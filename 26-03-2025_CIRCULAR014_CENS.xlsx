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D:\"/>
    </mc:Choice>
  </mc:AlternateContent>
  <xr:revisionPtr revIDLastSave="0" documentId="8_{0BE5E63F-7AC0-41E5-A6EF-005C9A20FB58}" xr6:coauthVersionLast="47" xr6:coauthVersionMax="47" xr10:uidLastSave="{00000000-0000-0000-0000-000000000000}"/>
  <bookViews>
    <workbookView xWindow="-108" yWindow="-108" windowWidth="23256" windowHeight="12456" activeTab="3" xr2:uid="{00000000-000D-0000-FFFF-FFFF00000000}"/>
    <workbookView xWindow="-108" yWindow="-108" windowWidth="23256" windowHeight="12456" activeTab="4" xr2:uid="{EBA095AB-9E1F-4BCF-9907-390A6E57C5D0}"/>
  </bookViews>
  <sheets>
    <sheet name="Manual de Uso" sheetId="5" r:id="rId1"/>
    <sheet name="1. Líneas" sheetId="4" r:id="rId2"/>
    <sheet name="2. Tr3" sheetId="6" r:id="rId3"/>
    <sheet name="3. Tr2" sheetId="7" r:id="rId4"/>
    <sheet name="4. Subestaciones" sheetId="9" r:id="rId5"/>
    <sheet name="5. Demanda" sheetId="12" r:id="rId6"/>
    <sheet name="6. Compensacion" sheetId="8" r:id="rId7"/>
    <sheet name="7. Compensacion dinamica" sheetId="10" r:id="rId8"/>
    <sheet name="8. DFACTS" sheetId="11" r:id="rId9"/>
    <sheet name="9. Formato espacio físico" sheetId="15" r:id="rId10"/>
    <sheet name="Listas Desplegables" sheetId="13" r:id="rId11"/>
  </sheets>
  <externalReferences>
    <externalReference r:id="rId12"/>
    <externalReference r:id="rId13"/>
    <externalReference r:id="rId14"/>
  </externalReferences>
  <definedNames>
    <definedName name="_xlnm._FilterDatabase" localSheetId="1" hidden="1">'1. Líneas'!$D$4:$F$91</definedName>
    <definedName name="_xlnm._FilterDatabase" localSheetId="2" hidden="1">'2. Tr3'!$A$5:$AH$5</definedName>
    <definedName name="_xlnm._FilterDatabase" localSheetId="3" hidden="1">'3. Tr2'!$D$4:$Y$98</definedName>
    <definedName name="_xlnm._FilterDatabase" localSheetId="4" hidden="1">'4. Subestaciones'!$D$4:$N$88</definedName>
    <definedName name="_xlnm._FilterDatabase" localSheetId="5" hidden="1">'5. Demanda'!$D$4:$I$85</definedName>
    <definedName name="Agua" localSheetId="9">'[1]Listas Desplegables'!#REF!</definedName>
    <definedName name="Agua">'Listas Desplegables'!#REF!</definedName>
    <definedName name="Biomasa">'Listas Desplegables'!$H$9:$H$10</definedName>
    <definedName name="Carbón" localSheetId="9">'[1]Listas Desplegables'!#REF!</definedName>
    <definedName name="Carbón">'Listas Desplegables'!#REF!</definedName>
    <definedName name="Crudo_Pesado" localSheetId="9">'[1]Listas Desplegables'!#REF!</definedName>
    <definedName name="Crudo_Pesado">'Listas Desplegables'!#REF!</definedName>
    <definedName name="Cultivo_Energético" localSheetId="9">'[1]Listas Desplegables'!#REF!</definedName>
    <definedName name="Cultivo_Energético">'Listas Desplegables'!#REF!</definedName>
    <definedName name="Eólica">'Listas Desplegables'!$F$9:$F$9</definedName>
    <definedName name="Fuil_Oil" localSheetId="9">'[1]Listas Desplegables'!#REF!</definedName>
    <definedName name="Fuil_Oil">'Listas Desplegables'!#REF!</definedName>
    <definedName name="Gas" localSheetId="9">'[1]Listas Desplegables'!#REF!</definedName>
    <definedName name="Gas">'Listas Desplegables'!#REF!</definedName>
    <definedName name="Geotérmica">'Listas Desplegables'!$I$9:$I$9</definedName>
    <definedName name="Hidráulico">'Listas Desplegables'!$G$9:$G$9</definedName>
    <definedName name="Otro" localSheetId="9">'[1]Listas Desplegables'!#REF!</definedName>
    <definedName name="Otro">'Listas Desplegables'!#REF!</definedName>
    <definedName name="Recurso" localSheetId="9">'[1]Listas Desplegables'!$B$11:$B$12</definedName>
    <definedName name="Recurso">'Listas Desplegables'!$B$11:$B$12</definedName>
    <definedName name="Residuos_Agrícolas_Cultivo" localSheetId="9">'[1]Listas Desplegables'!#REF!</definedName>
    <definedName name="Residuos_Agrícolas_Cultivo">'Listas Desplegables'!#REF!</definedName>
    <definedName name="Residuos_Agrícolas_Industriales" localSheetId="9">'[1]Listas Desplegables'!#REF!</definedName>
    <definedName name="Residuos_Agrícolas_Industriales">'Listas Desplegables'!#REF!</definedName>
    <definedName name="Residuos_Pecuarios" localSheetId="9">'[1]Listas Desplegables'!#REF!</definedName>
    <definedName name="Residuos_Pecuarios">'Listas Desplegables'!#REF!</definedName>
    <definedName name="Residuos_Solidos_Urbanos" localSheetId="9">'[1]Listas Desplegables'!#REF!</definedName>
    <definedName name="Residuos_Solidos_Urbanos">'Listas Desplegables'!#REF!</definedName>
    <definedName name="Sol" localSheetId="9">'[1]Listas Desplegables'!#REF!</definedName>
    <definedName name="Sol">'Listas Desplegables'!#REF!</definedName>
    <definedName name="Solar">'Listas Desplegables'!$E$9:$E$9</definedName>
    <definedName name="Tecnologia" localSheetId="9">'[1]Listas Desplegables'!#REF!</definedName>
    <definedName name="Tecnologia">'Listas Desplegables'!#REF!</definedName>
    <definedName name="Térmica">'Listas Desplegables'!$J$9:$J$9</definedName>
    <definedName name="TGenerador" localSheetId="10">'Listas Desplegables'!$B$4:$B$6</definedName>
    <definedName name="TGenerador">'[2]Listas Desplegables'!$B$3:$B$7</definedName>
    <definedName name="TProyecto" localSheetId="9">'[1]Listas Desplegables'!$B$8:$B$9</definedName>
    <definedName name="TProyecto">'Listas Desplegables'!$B$8:$B$9</definedName>
    <definedName name="Vapor" localSheetId="9">'[1]Listas Desplegables'!#REF!</definedName>
    <definedName name="Vapor">'Listas Desplegables'!#REF!</definedName>
    <definedName name="Viento" localSheetId="9">'[1]Listas Desplegables'!#REF!</definedName>
    <definedName name="Viento">'Listas Desplegables'!#REF!</definedName>
    <definedName name="zona" localSheetId="9">'[1]Listas Desplegables'!#REF!</definedName>
    <definedName name="zona">'Listas Desplegables'!#REF!</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1_a092b567-7336-4dc7-8382-d9b4b60da3f2" name="Tabla1" connection="Consulta - Tabla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5" i="12" l="1"/>
  <c r="M75" i="12"/>
  <c r="N75" i="12"/>
  <c r="O75" i="12"/>
  <c r="P75" i="12"/>
  <c r="K75" i="12"/>
  <c r="L67" i="12"/>
  <c r="M67" i="12"/>
  <c r="N67" i="12"/>
  <c r="O67" i="12"/>
  <c r="P67" i="12"/>
  <c r="K67" i="12"/>
  <c r="K74" i="12" l="1"/>
  <c r="L73" i="12"/>
  <c r="M73" i="12"/>
  <c r="N73" i="12"/>
  <c r="O73" i="12"/>
  <c r="P73" i="12"/>
  <c r="K73" i="12"/>
  <c r="K71" i="12"/>
  <c r="L69" i="12"/>
  <c r="M69" i="12"/>
  <c r="N69" i="12"/>
  <c r="O69" i="12"/>
  <c r="P69" i="12"/>
  <c r="K69" i="12"/>
  <c r="L68" i="12"/>
  <c r="M68" i="12"/>
  <c r="N68" i="12"/>
  <c r="O68" i="12"/>
  <c r="P68" i="12"/>
  <c r="K68" i="12"/>
  <c r="L59" i="12" l="1"/>
  <c r="M59" i="12"/>
  <c r="N59" i="12"/>
  <c r="O59" i="12"/>
  <c r="P59" i="12"/>
  <c r="K59" i="12"/>
  <c r="L62" i="12"/>
  <c r="M62" i="12"/>
  <c r="N62" i="12"/>
  <c r="O62" i="12"/>
  <c r="P62" i="12"/>
  <c r="K62" i="12"/>
  <c r="L53" i="12"/>
  <c r="M53" i="12"/>
  <c r="N53" i="12"/>
  <c r="O53" i="12"/>
  <c r="P53" i="12"/>
  <c r="K53" i="12"/>
  <c r="L45" i="12" l="1"/>
  <c r="M45" i="12"/>
  <c r="N45" i="12"/>
  <c r="O45" i="12"/>
  <c r="P45" i="12"/>
  <c r="K45" i="12"/>
  <c r="L29" i="12"/>
  <c r="M29" i="12"/>
  <c r="N29" i="12"/>
  <c r="O29" i="12"/>
  <c r="P29" i="12"/>
  <c r="K29" i="12"/>
  <c r="L12" i="12" l="1"/>
  <c r="M12" i="12"/>
  <c r="N12" i="12"/>
  <c r="O12" i="12"/>
  <c r="P12" i="12"/>
  <c r="K12" i="12"/>
  <c r="L15" i="12"/>
  <c r="M15" i="12"/>
  <c r="N15" i="12"/>
  <c r="O15" i="12"/>
  <c r="P15" i="12"/>
  <c r="K15" i="12"/>
  <c r="L7" i="12"/>
  <c r="M7" i="12"/>
  <c r="N7" i="12"/>
  <c r="O7" i="12"/>
  <c r="P7" i="12"/>
  <c r="K7" i="12"/>
  <c r="L72" i="12"/>
  <c r="M72" i="12"/>
  <c r="N72" i="12"/>
  <c r="O72" i="12"/>
  <c r="P72" i="12"/>
  <c r="K72" i="12"/>
  <c r="L71" i="12"/>
  <c r="M71" i="12"/>
  <c r="N71" i="12"/>
  <c r="O71" i="12"/>
  <c r="P71" i="12"/>
  <c r="L70" i="12"/>
  <c r="M70" i="12"/>
  <c r="N70" i="12"/>
  <c r="O70" i="12"/>
  <c r="P70" i="12"/>
  <c r="K70" i="12"/>
  <c r="L74" i="12"/>
  <c r="M74" i="12"/>
  <c r="N74" i="12"/>
  <c r="O74" i="12"/>
  <c r="P74" i="12"/>
  <c r="O4" i="12" l="1"/>
  <c r="Y4" i="7" l="1"/>
  <c r="X4" i="7"/>
  <c r="W4" i="7"/>
  <c r="V4" i="7"/>
  <c r="U4" i="7"/>
  <c r="AG4" i="6"/>
  <c r="AF4" i="6"/>
  <c r="AE4" i="6"/>
  <c r="AD4" i="6"/>
  <c r="AC4" i="6"/>
  <c r="AB4" i="6"/>
  <c r="AA4" i="6"/>
  <c r="Z4" i="6"/>
  <c r="AA4" i="4"/>
  <c r="Z4" i="4"/>
  <c r="Y4" i="4"/>
  <c r="X4" i="4"/>
  <c r="W4" i="4"/>
  <c r="V4" i="4"/>
  <c r="AH4" i="6"/>
  <c r="T4" i="7" l="1"/>
  <c r="S4" i="7"/>
  <c r="M4" i="11"/>
  <c r="L4" i="11"/>
  <c r="K4" i="11"/>
  <c r="J4" i="11"/>
  <c r="I4" i="11"/>
  <c r="H4" i="11"/>
  <c r="G4" i="11"/>
  <c r="F4" i="11"/>
  <c r="E4" i="11"/>
  <c r="D4" i="11"/>
  <c r="L4" i="10"/>
  <c r="K4" i="10"/>
  <c r="J4" i="10"/>
  <c r="I4" i="10"/>
  <c r="H4" i="10"/>
  <c r="G4" i="10"/>
  <c r="F4" i="10"/>
  <c r="E4" i="10"/>
  <c r="D4" i="10"/>
  <c r="N4" i="8"/>
  <c r="M4" i="8"/>
  <c r="L4" i="8"/>
  <c r="K4" i="8"/>
  <c r="J4" i="8"/>
  <c r="I4" i="8"/>
  <c r="G4" i="8"/>
  <c r="F4" i="8"/>
  <c r="E4" i="8"/>
  <c r="D4" i="8"/>
  <c r="Q4" i="12"/>
  <c r="M4" i="12"/>
  <c r="K4" i="12"/>
  <c r="J4" i="12"/>
  <c r="I4" i="12"/>
  <c r="H4" i="12"/>
  <c r="G4" i="12"/>
  <c r="F4" i="12"/>
  <c r="E4" i="12"/>
  <c r="D4" i="12"/>
  <c r="N4" i="9"/>
  <c r="M4" i="9"/>
  <c r="L4" i="9"/>
  <c r="K4" i="9"/>
  <c r="J4" i="9"/>
  <c r="I4" i="9"/>
  <c r="H4" i="9"/>
  <c r="G4" i="9"/>
  <c r="F4" i="9"/>
  <c r="E4" i="9"/>
  <c r="D4" i="9"/>
  <c r="R4" i="7"/>
  <c r="P4" i="7"/>
  <c r="O4" i="7"/>
  <c r="N4" i="7"/>
  <c r="M4" i="7"/>
  <c r="L4" i="7"/>
  <c r="K4" i="7"/>
  <c r="J4" i="7"/>
  <c r="I4" i="7"/>
  <c r="H4" i="7"/>
  <c r="G4" i="7"/>
  <c r="F4" i="7"/>
  <c r="E4" i="7"/>
  <c r="D4" i="7"/>
  <c r="Y4" i="6"/>
  <c r="W4" i="6"/>
  <c r="V4" i="6"/>
  <c r="U4" i="6"/>
  <c r="T4" i="6"/>
  <c r="S4" i="6"/>
  <c r="R4" i="6"/>
  <c r="Q4" i="6"/>
  <c r="P4" i="6"/>
  <c r="O4" i="6"/>
  <c r="N4" i="6"/>
  <c r="M4" i="6"/>
  <c r="L4" i="6"/>
  <c r="K4" i="6"/>
  <c r="J4" i="6"/>
  <c r="I4" i="6"/>
  <c r="H4" i="6"/>
  <c r="G4" i="6"/>
  <c r="F4" i="6"/>
  <c r="E4" i="6"/>
  <c r="D4" i="6"/>
  <c r="U4" i="4"/>
  <c r="T4" i="4"/>
  <c r="S4" i="4"/>
  <c r="R4" i="4"/>
  <c r="Q4" i="4"/>
  <c r="P4" i="4"/>
  <c r="O4" i="4"/>
  <c r="N4" i="4"/>
  <c r="M4" i="4"/>
  <c r="L4" i="4"/>
  <c r="K4" i="4"/>
  <c r="J4" i="4"/>
  <c r="I4" i="4"/>
  <c r="H4" i="4"/>
  <c r="G4" i="4"/>
  <c r="F4" i="4"/>
  <c r="E4" i="4"/>
  <c r="D4" i="4"/>
  <c r="B85" i="12" l="1"/>
  <c r="A85" i="12"/>
  <c r="B68" i="12"/>
  <c r="A68" i="12"/>
  <c r="B66" i="12"/>
  <c r="A66" i="12"/>
  <c r="B65" i="12"/>
  <c r="A65" i="12"/>
  <c r="B64" i="12"/>
  <c r="A64" i="12"/>
  <c r="B63" i="12"/>
  <c r="A63" i="12"/>
  <c r="B59" i="12"/>
  <c r="A59" i="12"/>
  <c r="B58" i="12"/>
  <c r="A58" i="12"/>
  <c r="B57" i="12"/>
  <c r="A57" i="12"/>
  <c r="B56" i="12"/>
  <c r="A56" i="12"/>
  <c r="B53" i="12"/>
  <c r="A53" i="12"/>
  <c r="B52" i="12"/>
  <c r="A52" i="12"/>
  <c r="B51" i="12"/>
  <c r="A51" i="12"/>
  <c r="B50" i="12"/>
  <c r="A50" i="12"/>
  <c r="B49" i="12"/>
  <c r="A49" i="12"/>
  <c r="B48" i="12"/>
  <c r="A48" i="12"/>
  <c r="B47" i="12"/>
  <c r="A47" i="12"/>
  <c r="B46" i="12"/>
  <c r="A46" i="12"/>
  <c r="B44" i="12"/>
  <c r="A44" i="12"/>
  <c r="B43" i="12"/>
  <c r="A43" i="12"/>
  <c r="B42" i="12"/>
  <c r="A42" i="12"/>
  <c r="B41" i="12"/>
  <c r="A41" i="12"/>
  <c r="B40" i="12"/>
  <c r="A40" i="12"/>
  <c r="B39" i="12"/>
  <c r="A39" i="12"/>
  <c r="B38" i="12"/>
  <c r="A38" i="12"/>
  <c r="B37" i="12"/>
  <c r="A37" i="12"/>
  <c r="B36" i="12"/>
  <c r="A36" i="12"/>
  <c r="B35" i="12"/>
  <c r="A35" i="12"/>
  <c r="B34" i="12"/>
  <c r="A34" i="12"/>
  <c r="B33" i="12"/>
  <c r="A33" i="12"/>
  <c r="B32" i="12"/>
  <c r="A32" i="12"/>
  <c r="B31" i="12"/>
  <c r="A31" i="12"/>
  <c r="B30" i="12"/>
  <c r="A30" i="12"/>
  <c r="B28" i="12"/>
  <c r="A28" i="12"/>
  <c r="B27" i="12"/>
  <c r="A27" i="12"/>
  <c r="B26" i="12"/>
  <c r="A26" i="12"/>
  <c r="B25" i="12"/>
  <c r="A25" i="12"/>
  <c r="B24" i="12"/>
  <c r="A24" i="12"/>
  <c r="B23" i="12"/>
  <c r="A23" i="12"/>
  <c r="B22" i="12"/>
  <c r="A22" i="12"/>
  <c r="B21" i="12"/>
  <c r="A21" i="12"/>
  <c r="B20" i="12"/>
  <c r="A20" i="12"/>
  <c r="B19" i="12"/>
  <c r="A19" i="12"/>
  <c r="B16" i="12"/>
  <c r="A16" i="12"/>
  <c r="B15" i="12"/>
  <c r="A15" i="12"/>
  <c r="B14" i="12"/>
  <c r="A14" i="12"/>
  <c r="B13" i="12"/>
  <c r="A13" i="12"/>
  <c r="B11" i="12"/>
  <c r="A11" i="12"/>
  <c r="B7" i="12"/>
  <c r="A7" i="12"/>
  <c r="B6" i="12"/>
  <c r="A6" i="12"/>
  <c r="B57" i="11"/>
  <c r="A57" i="11"/>
  <c r="B56" i="11"/>
  <c r="A56" i="11"/>
  <c r="B55" i="11"/>
  <c r="A55" i="11"/>
  <c r="B54" i="11"/>
  <c r="A54" i="11"/>
  <c r="B53" i="11"/>
  <c r="A53" i="11"/>
  <c r="B52" i="11"/>
  <c r="A52" i="11"/>
  <c r="B51" i="11"/>
  <c r="A51" i="11"/>
  <c r="B50" i="11"/>
  <c r="A50" i="11"/>
  <c r="B49" i="11"/>
  <c r="A49" i="11"/>
  <c r="B48" i="11"/>
  <c r="A48" i="11"/>
  <c r="B47" i="11"/>
  <c r="A47" i="11"/>
  <c r="B46" i="11"/>
  <c r="A46" i="11"/>
  <c r="B45" i="11"/>
  <c r="A45" i="11"/>
  <c r="B44" i="11"/>
  <c r="A44" i="11"/>
  <c r="B43" i="11"/>
  <c r="A43" i="11"/>
  <c r="B42" i="11"/>
  <c r="A42" i="11"/>
  <c r="B41" i="11"/>
  <c r="A41" i="11"/>
  <c r="B40" i="11"/>
  <c r="A40" i="11"/>
  <c r="B39" i="11"/>
  <c r="A39" i="11"/>
  <c r="B38" i="11"/>
  <c r="A38"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B18" i="11"/>
  <c r="A18" i="11"/>
  <c r="B17" i="11"/>
  <c r="A17" i="11"/>
  <c r="B16" i="11"/>
  <c r="A16" i="11"/>
  <c r="B15" i="11"/>
  <c r="A15" i="11"/>
  <c r="B14" i="11"/>
  <c r="A14" i="11"/>
  <c r="B13" i="11"/>
  <c r="A13" i="11"/>
  <c r="B12" i="11"/>
  <c r="A12" i="11"/>
  <c r="B11" i="11"/>
  <c r="A11" i="11"/>
  <c r="B10" i="11"/>
  <c r="A10" i="11"/>
  <c r="B9" i="11"/>
  <c r="A9" i="11"/>
  <c r="B8" i="11"/>
  <c r="A8" i="11"/>
  <c r="B7" i="11"/>
  <c r="A7" i="11"/>
  <c r="B6" i="11"/>
  <c r="A6" i="11"/>
  <c r="B57" i="10"/>
  <c r="A57" i="10"/>
  <c r="B56" i="10"/>
  <c r="A56" i="10"/>
  <c r="B55" i="10"/>
  <c r="A55" i="10"/>
  <c r="B54" i="10"/>
  <c r="A54" i="10"/>
  <c r="B53" i="10"/>
  <c r="A53" i="10"/>
  <c r="B52" i="10"/>
  <c r="A52" i="10"/>
  <c r="B51" i="10"/>
  <c r="A51" i="10"/>
  <c r="B50" i="10"/>
  <c r="A50" i="10"/>
  <c r="B49" i="10"/>
  <c r="A49" i="10"/>
  <c r="B48" i="10"/>
  <c r="A48" i="10"/>
  <c r="B47" i="10"/>
  <c r="A47" i="10"/>
  <c r="B46" i="10"/>
  <c r="A46" i="10"/>
  <c r="B45" i="10"/>
  <c r="A45" i="10"/>
  <c r="B44" i="10"/>
  <c r="A44" i="10"/>
  <c r="B43" i="10"/>
  <c r="A43" i="10"/>
  <c r="B42" i="10"/>
  <c r="A42" i="10"/>
  <c r="B41" i="10"/>
  <c r="A41" i="10"/>
  <c r="B40" i="10"/>
  <c r="A40" i="10"/>
  <c r="B39" i="10"/>
  <c r="A39" i="10"/>
  <c r="B38" i="10"/>
  <c r="A38" i="10"/>
  <c r="B37" i="10"/>
  <c r="A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B17" i="10"/>
  <c r="A17" i="10"/>
  <c r="B16" i="10"/>
  <c r="A16" i="10"/>
  <c r="B15" i="10"/>
  <c r="A15" i="10"/>
  <c r="B14" i="10"/>
  <c r="A14" i="10"/>
  <c r="B13" i="10"/>
  <c r="A13" i="10"/>
  <c r="B12" i="10"/>
  <c r="A12" i="10"/>
  <c r="B11" i="10"/>
  <c r="A11" i="10"/>
  <c r="B10" i="10"/>
  <c r="A10" i="10"/>
  <c r="B9" i="10"/>
  <c r="A9" i="10"/>
  <c r="B8" i="10"/>
  <c r="A8" i="10"/>
  <c r="B7" i="10"/>
  <c r="A7" i="10"/>
  <c r="B6" i="10"/>
  <c r="A6" i="10"/>
  <c r="B88" i="9"/>
  <c r="A88" i="9"/>
  <c r="B82" i="9"/>
  <c r="A82" i="9"/>
  <c r="B81" i="9"/>
  <c r="A81" i="9"/>
  <c r="B68" i="9"/>
  <c r="A68" i="9"/>
  <c r="B67" i="9"/>
  <c r="A67" i="9"/>
  <c r="B66" i="9"/>
  <c r="A66" i="9"/>
  <c r="B65" i="9"/>
  <c r="A65" i="9"/>
  <c r="B63" i="9"/>
  <c r="A63" i="9"/>
  <c r="B62" i="9"/>
  <c r="A62" i="9"/>
  <c r="B61" i="9"/>
  <c r="A61" i="9"/>
  <c r="B60" i="9"/>
  <c r="A60" i="9"/>
  <c r="B59" i="9"/>
  <c r="A59" i="9"/>
  <c r="B58" i="9"/>
  <c r="A58" i="9"/>
  <c r="B57" i="9"/>
  <c r="A57" i="9"/>
  <c r="B56" i="9"/>
  <c r="A56" i="9"/>
  <c r="B54" i="9"/>
  <c r="A54" i="9"/>
  <c r="B53" i="9"/>
  <c r="A53" i="9"/>
  <c r="B52" i="9"/>
  <c r="A52" i="9"/>
  <c r="B51" i="9"/>
  <c r="A51" i="9"/>
  <c r="B49" i="9"/>
  <c r="A49" i="9"/>
  <c r="B48" i="9"/>
  <c r="A48" i="9"/>
  <c r="B47" i="9"/>
  <c r="A47" i="9"/>
  <c r="B46" i="9"/>
  <c r="A46" i="9"/>
  <c r="B45" i="9"/>
  <c r="A45" i="9"/>
  <c r="B44" i="9"/>
  <c r="A44" i="9"/>
  <c r="B43" i="9"/>
  <c r="A43" i="9"/>
  <c r="B42" i="9"/>
  <c r="A42" i="9"/>
  <c r="B41" i="9"/>
  <c r="A41" i="9"/>
  <c r="B40" i="9"/>
  <c r="A40" i="9"/>
  <c r="B39" i="9"/>
  <c r="A39" i="9"/>
  <c r="B38" i="9"/>
  <c r="A38" i="9"/>
  <c r="B37" i="9"/>
  <c r="A37" i="9"/>
  <c r="B36" i="9"/>
  <c r="A36" i="9"/>
  <c r="B35" i="9"/>
  <c r="A35" i="9"/>
  <c r="B34" i="9"/>
  <c r="A34" i="9"/>
  <c r="B33" i="9"/>
  <c r="A33" i="9"/>
  <c r="B32" i="9"/>
  <c r="A32" i="9"/>
  <c r="B31" i="9"/>
  <c r="A31" i="9"/>
  <c r="B30" i="9"/>
  <c r="A30" i="9"/>
  <c r="B28" i="9"/>
  <c r="A28" i="9"/>
  <c r="B27" i="9"/>
  <c r="A27" i="9"/>
  <c r="B25" i="9"/>
  <c r="A25" i="9"/>
  <c r="B23" i="9"/>
  <c r="A23" i="9"/>
  <c r="B20" i="9"/>
  <c r="A20" i="9"/>
  <c r="B18" i="9"/>
  <c r="A18" i="9"/>
  <c r="B16" i="9"/>
  <c r="A16" i="9"/>
  <c r="B15" i="9"/>
  <c r="A15" i="9"/>
  <c r="B14" i="9"/>
  <c r="A14" i="9"/>
  <c r="B13" i="9"/>
  <c r="A13" i="9"/>
  <c r="B12" i="9"/>
  <c r="A12" i="9"/>
  <c r="B9" i="9"/>
  <c r="A9" i="9"/>
  <c r="B6" i="9"/>
  <c r="A6" i="9"/>
  <c r="B57" i="8"/>
  <c r="A57" i="8"/>
  <c r="B56" i="8"/>
  <c r="A56" i="8"/>
  <c r="B55" i="8"/>
  <c r="A55" i="8"/>
  <c r="B54" i="8"/>
  <c r="A54" i="8"/>
  <c r="B53" i="8"/>
  <c r="A53" i="8"/>
  <c r="B52" i="8"/>
  <c r="A52" i="8"/>
  <c r="B51" i="8"/>
  <c r="A51" i="8"/>
  <c r="B50" i="8"/>
  <c r="A50" i="8"/>
  <c r="B49" i="8"/>
  <c r="A49" i="8"/>
  <c r="B48" i="8"/>
  <c r="A48" i="8"/>
  <c r="B47" i="8"/>
  <c r="A47" i="8"/>
  <c r="B46" i="8"/>
  <c r="A46" i="8"/>
  <c r="B45" i="8"/>
  <c r="A45" i="8"/>
  <c r="B44" i="8"/>
  <c r="A44" i="8"/>
  <c r="B43" i="8"/>
  <c r="A43" i="8"/>
  <c r="B42" i="8"/>
  <c r="A42" i="8"/>
  <c r="B41" i="8"/>
  <c r="A41" i="8"/>
  <c r="B40" i="8"/>
  <c r="A40" i="8"/>
  <c r="B39" i="8"/>
  <c r="A39" i="8"/>
  <c r="B38" i="8"/>
  <c r="A38" i="8"/>
  <c r="B37" i="8"/>
  <c r="A37" i="8"/>
  <c r="B36" i="8"/>
  <c r="A36" i="8"/>
  <c r="B35" i="8"/>
  <c r="A35" i="8"/>
  <c r="B34" i="8"/>
  <c r="A34" i="8"/>
  <c r="B33"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B6" i="8"/>
  <c r="A6" i="8"/>
  <c r="B52" i="7"/>
  <c r="A52" i="7"/>
  <c r="B51" i="7"/>
  <c r="A51" i="7"/>
  <c r="B50" i="7"/>
  <c r="A50" i="7"/>
  <c r="B49" i="7"/>
  <c r="A49" i="7"/>
  <c r="B48" i="7"/>
  <c r="A48" i="7"/>
  <c r="B47" i="7"/>
  <c r="A47" i="7"/>
  <c r="B46" i="7"/>
  <c r="A46" i="7"/>
  <c r="B45" i="7"/>
  <c r="A45" i="7"/>
  <c r="B44" i="7"/>
  <c r="A44" i="7"/>
  <c r="B43" i="7"/>
  <c r="A43" i="7"/>
  <c r="B42" i="7"/>
  <c r="A42" i="7"/>
  <c r="B41" i="7"/>
  <c r="A41" i="7"/>
  <c r="B40" i="7"/>
  <c r="A40" i="7"/>
  <c r="B39" i="7"/>
  <c r="A39" i="7"/>
  <c r="B38" i="7"/>
  <c r="A38" i="7"/>
  <c r="B37" i="7"/>
  <c r="A37" i="7"/>
  <c r="B36" i="7"/>
  <c r="A36" i="7"/>
  <c r="B35" i="7"/>
  <c r="A35" i="7"/>
  <c r="B34" i="7"/>
  <c r="A34" i="7"/>
  <c r="B33" i="7"/>
  <c r="A33" i="7"/>
  <c r="B32" i="7"/>
  <c r="A32" i="7"/>
  <c r="B31" i="7"/>
  <c r="A31" i="7"/>
  <c r="B30" i="7"/>
  <c r="A30" i="7"/>
  <c r="B29" i="7"/>
  <c r="A29" i="7"/>
  <c r="B28" i="7"/>
  <c r="A28" i="7"/>
  <c r="B27" i="7"/>
  <c r="A27" i="7"/>
  <c r="B26" i="7"/>
  <c r="A26" i="7"/>
  <c r="B25" i="7"/>
  <c r="A25" i="7"/>
  <c r="B24" i="7"/>
  <c r="A24" i="7"/>
  <c r="B23" i="7"/>
  <c r="A23" i="7"/>
  <c r="B22" i="7"/>
  <c r="A22" i="7"/>
  <c r="B21" i="7"/>
  <c r="A21" i="7"/>
  <c r="B20" i="7"/>
  <c r="A20" i="7"/>
  <c r="B19" i="7"/>
  <c r="A19" i="7"/>
  <c r="B18" i="7"/>
  <c r="A18" i="7"/>
  <c r="B17" i="7"/>
  <c r="A17" i="7"/>
  <c r="B16" i="7"/>
  <c r="A16" i="7"/>
  <c r="B15" i="7"/>
  <c r="A15" i="7"/>
  <c r="B14" i="7"/>
  <c r="A14" i="7"/>
  <c r="B13" i="7"/>
  <c r="A13" i="7"/>
  <c r="B12" i="7"/>
  <c r="A12" i="7"/>
  <c r="B11" i="7"/>
  <c r="A11" i="7"/>
  <c r="B10" i="7"/>
  <c r="A10" i="7"/>
  <c r="B9" i="7"/>
  <c r="A9" i="7"/>
  <c r="B8" i="7"/>
  <c r="A8" i="7"/>
  <c r="B7" i="7"/>
  <c r="A7" i="7"/>
  <c r="B6" i="7"/>
  <c r="A6" i="7"/>
  <c r="B55" i="6"/>
  <c r="A55" i="6"/>
  <c r="B54" i="6"/>
  <c r="A54" i="6"/>
  <c r="B53" i="6"/>
  <c r="A53" i="6"/>
  <c r="B52" i="6"/>
  <c r="A52" i="6"/>
  <c r="B51" i="6"/>
  <c r="A51" i="6"/>
  <c r="B50" i="6"/>
  <c r="A50" i="6"/>
  <c r="B49" i="6"/>
  <c r="A49" i="6"/>
  <c r="B48" i="6"/>
  <c r="A48" i="6"/>
  <c r="B47" i="6"/>
  <c r="A47" i="6"/>
  <c r="B46" i="6"/>
  <c r="A46" i="6"/>
  <c r="B45" i="6"/>
  <c r="A45" i="6"/>
  <c r="B44" i="6"/>
  <c r="A44" i="6"/>
  <c r="B43" i="6"/>
  <c r="A43" i="6"/>
  <c r="B42" i="6"/>
  <c r="A42" i="6"/>
  <c r="B41" i="6"/>
  <c r="A41" i="6"/>
  <c r="B40" i="6"/>
  <c r="A40" i="6"/>
  <c r="B39" i="6"/>
  <c r="A39" i="6"/>
  <c r="B38" i="6"/>
  <c r="A38" i="6"/>
  <c r="B37" i="6"/>
  <c r="A37" i="6"/>
  <c r="B36" i="6"/>
  <c r="A36" i="6"/>
  <c r="B35" i="6"/>
  <c r="A35" i="6"/>
  <c r="B34" i="6"/>
  <c r="A34" i="6"/>
  <c r="B33" i="6"/>
  <c r="A33" i="6"/>
  <c r="B32" i="6"/>
  <c r="A32" i="6"/>
  <c r="B31" i="6"/>
  <c r="A31" i="6"/>
  <c r="B30" i="6"/>
  <c r="A30" i="6"/>
  <c r="B29" i="6"/>
  <c r="A29" i="6"/>
  <c r="B28" i="6"/>
  <c r="A28" i="6"/>
  <c r="B27" i="6"/>
  <c r="A27" i="6"/>
  <c r="B26" i="6"/>
  <c r="A26" i="6"/>
  <c r="B25" i="6"/>
  <c r="A25" i="6"/>
  <c r="B24" i="6"/>
  <c r="A24" i="6"/>
  <c r="B23" i="6"/>
  <c r="A23" i="6"/>
  <c r="B22" i="6"/>
  <c r="A22" i="6"/>
  <c r="B21" i="6"/>
  <c r="A21" i="6"/>
  <c r="B20" i="6"/>
  <c r="A20" i="6"/>
  <c r="B19" i="6"/>
  <c r="A19" i="6"/>
  <c r="B18" i="6"/>
  <c r="A18" i="6"/>
  <c r="B17" i="6"/>
  <c r="A17" i="6"/>
  <c r="B16" i="6"/>
  <c r="A16" i="6"/>
  <c r="B15" i="6"/>
  <c r="A15" i="6"/>
  <c r="B14" i="6"/>
  <c r="A14" i="6"/>
  <c r="B13" i="6"/>
  <c r="A13" i="6"/>
  <c r="B12" i="6"/>
  <c r="A12" i="6"/>
  <c r="B11" i="6"/>
  <c r="A11" i="6"/>
  <c r="B10" i="6"/>
  <c r="A10" i="6"/>
  <c r="B9" i="6"/>
  <c r="A9" i="6"/>
  <c r="B8" i="6"/>
  <c r="A8" i="6"/>
  <c r="B7" i="6"/>
  <c r="A7" i="6"/>
  <c r="B6" i="6"/>
  <c r="A6" i="6"/>
  <c r="B91" i="4"/>
  <c r="A91" i="4"/>
  <c r="B70" i="4"/>
  <c r="A70" i="4"/>
  <c r="B58" i="4"/>
  <c r="A58" i="4"/>
  <c r="B57" i="4"/>
  <c r="A57" i="4"/>
  <c r="B56" i="4"/>
  <c r="A56" i="4"/>
  <c r="B54" i="4"/>
  <c r="A54" i="4"/>
  <c r="B53" i="4"/>
  <c r="A53" i="4"/>
  <c r="B52" i="4"/>
  <c r="A52" i="4"/>
  <c r="B50" i="4"/>
  <c r="A50" i="4"/>
  <c r="B49" i="4"/>
  <c r="A49" i="4"/>
  <c r="B48" i="4"/>
  <c r="A48" i="4"/>
  <c r="B47" i="4"/>
  <c r="A47" i="4"/>
  <c r="B46" i="4"/>
  <c r="A46" i="4"/>
  <c r="B45" i="4"/>
  <c r="A45" i="4"/>
  <c r="B44" i="4"/>
  <c r="A44" i="4"/>
  <c r="B43" i="4"/>
  <c r="A43" i="4"/>
  <c r="B42" i="4"/>
  <c r="A42"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0" i="4"/>
  <c r="A20" i="4"/>
  <c r="B18" i="4"/>
  <c r="A18" i="4"/>
  <c r="B17" i="4"/>
  <c r="A17" i="4"/>
  <c r="B16" i="4"/>
  <c r="A16" i="4"/>
  <c r="B15" i="4"/>
  <c r="A15" i="4"/>
  <c r="B14" i="4"/>
  <c r="A14" i="4"/>
  <c r="B12" i="4"/>
  <c r="A12" i="4"/>
  <c r="B11" i="4"/>
  <c r="A11" i="4"/>
  <c r="B10" i="4"/>
  <c r="A10" i="4"/>
  <c r="B9" i="4"/>
  <c r="A9" i="4"/>
  <c r="B8" i="4"/>
  <c r="A8" i="4"/>
  <c r="B7" i="4"/>
  <c r="A7" i="4"/>
  <c r="B6" i="4"/>
  <c r="A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sulta - Tabla1" description="Conexión a la consulta 'Tabla1' en el libro." type="100" refreshedVersion="6" minRefreshableVersion="5">
    <extLst>
      <ext xmlns:x15="http://schemas.microsoft.com/office/spreadsheetml/2010/11/main" uri="{DE250136-89BD-433C-8126-D09CA5730AF9}">
        <x15:connection id="8a70a89d-4030-4248-bf97-53fa9ecf1b13"/>
      </ext>
    </extLst>
  </connection>
  <connection id="2" xr16:uid="{00000000-0015-0000-FFFF-FFFF01000000}"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<sst xmlns="http://schemas.openxmlformats.org/spreadsheetml/2006/main" count="2702" uniqueCount="950">
  <si>
    <t>Industrial</t>
  </si>
  <si>
    <t>Nombre</t>
  </si>
  <si>
    <t>Subestación</t>
  </si>
  <si>
    <t>No.</t>
  </si>
  <si>
    <t>…</t>
  </si>
  <si>
    <t>CONTENIDO</t>
  </si>
  <si>
    <t>Información General de Subestaciones</t>
  </si>
  <si>
    <t>Subestación 1</t>
  </si>
  <si>
    <t>Subestación 2</t>
  </si>
  <si>
    <t>Nivel de tensión [kV]</t>
  </si>
  <si>
    <t>Información General de Líneas</t>
  </si>
  <si>
    <t>Longitud [km]</t>
  </si>
  <si>
    <t>Capacidad transporte nominal [A]</t>
  </si>
  <si>
    <t>Capacidad transporte térmico [A]</t>
  </si>
  <si>
    <t>Capacidad transporte emergencia [A]</t>
  </si>
  <si>
    <t>Causa límite de capacidad</t>
  </si>
  <si>
    <t>R1 [Ohm/km]</t>
  </si>
  <si>
    <t>X1 [Ohm/km]</t>
  </si>
  <si>
    <t>B1 [uS/km]</t>
  </si>
  <si>
    <t>R0 [Ohm/km]</t>
  </si>
  <si>
    <t>X0 [Ohm/km]</t>
  </si>
  <si>
    <t>B0 [uS/km]</t>
  </si>
  <si>
    <t>En Operación</t>
  </si>
  <si>
    <t>FPO</t>
  </si>
  <si>
    <t>Observaciones transportador</t>
  </si>
  <si>
    <t>Nivel de tensión LV [kV]</t>
  </si>
  <si>
    <t>Nivel de tensión MV [kV]</t>
  </si>
  <si>
    <t>Nivel de tensión HV [kV]</t>
  </si>
  <si>
    <t>Capacidad HV [MVA]</t>
  </si>
  <si>
    <t>Capacidad MV [MVA]</t>
  </si>
  <si>
    <t>Capacidad LV [MVA]</t>
  </si>
  <si>
    <t>Grupo de conexión</t>
  </si>
  <si>
    <t>Impedancia HV-MV Secuencia +[%]</t>
  </si>
  <si>
    <t>Información General de Transformadores Tridevanados</t>
  </si>
  <si>
    <t>Impedancia HV-LV Secuencia +[%]</t>
  </si>
  <si>
    <t>Impedancia MV-LV Secuencia +[%]</t>
  </si>
  <si>
    <t>Impedancia HV-MV Secuencia 0[%]</t>
  </si>
  <si>
    <t>Impedancia HV-LV Secuencia 0[%]</t>
  </si>
  <si>
    <t>Impedancia MV-LV Secuencia 0[%]</t>
  </si>
  <si>
    <t>Posición Neutral Tap</t>
  </si>
  <si>
    <t>Posición Máxima Tap</t>
  </si>
  <si>
    <t>Posición Mínima Tap</t>
  </si>
  <si>
    <t>Delta Tap [%]</t>
  </si>
  <si>
    <t>Sobrecarga en emergencia</t>
  </si>
  <si>
    <t>Magnitud [%]</t>
  </si>
  <si>
    <t>Tiempo [minutos]</t>
  </si>
  <si>
    <t>Pérdidas Cu [kW]</t>
  </si>
  <si>
    <t>Capacidad [MVA]</t>
  </si>
  <si>
    <t>Impedancia Secuencia +[%]</t>
  </si>
  <si>
    <t>Impedancia Secuencia 0[%]</t>
  </si>
  <si>
    <t>Capacidad [MVAr]</t>
  </si>
  <si>
    <t>Número de pasos</t>
  </si>
  <si>
    <t>Información General de Transformadores Bidevanados</t>
  </si>
  <si>
    <t>Información General de Compensaciones</t>
  </si>
  <si>
    <t>Capacidad de interrupción [kA]</t>
  </si>
  <si>
    <t>Configuración</t>
  </si>
  <si>
    <t>Tipo</t>
  </si>
  <si>
    <t>Departamento</t>
  </si>
  <si>
    <t>Municipio</t>
  </si>
  <si>
    <t>Qmin [MVAr]</t>
  </si>
  <si>
    <t>Conectado al lado de</t>
  </si>
  <si>
    <t>Tensión máxima aporte [V]</t>
  </si>
  <si>
    <t>Modelo (si disponible)</t>
  </si>
  <si>
    <t>Corriente máxima aporte [A]</t>
  </si>
  <si>
    <t>Información General de Compensaciones dinámicas</t>
  </si>
  <si>
    <t>P [MW]</t>
  </si>
  <si>
    <t>Q [MVAr]</t>
  </si>
  <si>
    <t>Información General de Demandas</t>
  </si>
  <si>
    <t>MANUAL DE USO</t>
  </si>
  <si>
    <t>Dentro de cada sección se solicita que el Transportador compile información característica de cada uno de los tipos de activo. A continuación, se presenta la información y una descripción de lo requerido:</t>
  </si>
  <si>
    <t>Nombre de línea de transmisión o distribución.</t>
  </si>
  <si>
    <t>Subestación o punto de la red a la cual se conecta uno de los extremos de la línea</t>
  </si>
  <si>
    <t>Subestación o punto de la red a la cual se conecta el otro extremo de la línea</t>
  </si>
  <si>
    <t>Nivel de tensión nominal en kilovoltios al cual opera la línea</t>
  </si>
  <si>
    <t>Longitud en kilometros de la línea</t>
  </si>
  <si>
    <t>Capacidad de transporte de corriente nominal de la línea de transmisión en estado estable en amperios</t>
  </si>
  <si>
    <t>Capacidad nominal de transporte de corriente del conductor de menor capacidad utilizado en la línea de transmisión en amperios</t>
  </si>
  <si>
    <t>Capacidad de corriente máxima que puede soportar la línea ante condiciones de emergencia en amperios</t>
  </si>
  <si>
    <t>Indicar la razón por la cual se limita la capacidad de transporte de la línea. Ej: Topología, capacidad conductor, configuración CTs,etc.</t>
  </si>
  <si>
    <t>Resistencia de secuencia positiva por unidad de longitud en ohmios por kilometro</t>
  </si>
  <si>
    <t>Reactancia de secuencia positiva por unidad de longitud en ohmios por kilometro</t>
  </si>
  <si>
    <t>Susceptancia de secuancia positiva por unidad de longitud en microsiemens por kilometro</t>
  </si>
  <si>
    <t>Resistencia de secuencia cero por unidad de longitud en ohmios por kilometro</t>
  </si>
  <si>
    <t>Reactancia de secuencia cero por unidad de longitud en ohmios por kilometro</t>
  </si>
  <si>
    <t>Susceptancia de secuancia cero por unidad de longitud en microsiemens por kilometro</t>
  </si>
  <si>
    <t xml:space="preserve">Sistema al cual pertenece la línea. Se debe escoger en la lista desplegable entre: STN, STR y SDL. </t>
  </si>
  <si>
    <t>Tipo de línea. Se debe escoger en la lista desplegable entre: Áerea o Subterranea</t>
  </si>
  <si>
    <t>GD</t>
  </si>
  <si>
    <t>AGPE con excedentes</t>
  </si>
  <si>
    <t>No</t>
  </si>
  <si>
    <t>AGPE sin excedentes</t>
  </si>
  <si>
    <t>Recurso</t>
  </si>
  <si>
    <t>Solar</t>
  </si>
  <si>
    <t>Eólica</t>
  </si>
  <si>
    <t>Hidráulico</t>
  </si>
  <si>
    <t>Biomasa</t>
  </si>
  <si>
    <t>Geotérmica</t>
  </si>
  <si>
    <t>Térmica</t>
  </si>
  <si>
    <t>Sol</t>
  </si>
  <si>
    <t>Viento</t>
  </si>
  <si>
    <t>Agua</t>
  </si>
  <si>
    <t>Cultivo Energético</t>
  </si>
  <si>
    <t>Vapor</t>
  </si>
  <si>
    <t>Carbón</t>
  </si>
  <si>
    <t>Otro</t>
  </si>
  <si>
    <t>STN</t>
  </si>
  <si>
    <t>STR</t>
  </si>
  <si>
    <t>SDL</t>
  </si>
  <si>
    <t>Clase</t>
  </si>
  <si>
    <t>Áerea</t>
  </si>
  <si>
    <t>Subterránea</t>
  </si>
  <si>
    <t>Se debe escoger en la lista desplegable entre: Sí, cuando el activo se encuentre en operación al momento de realizar la entrega de la información, o No, si el activo tiene una fecha de puesta en operación futura</t>
  </si>
  <si>
    <t>Si el activo no se encuentra en operación, se debe especificar la Fecha de Puesta en Operación planteada en formato dd/mm/aaaa.</t>
  </si>
  <si>
    <t>Sección de libre diligenciamiento, donde el transportador debe indicar explicítamente cualquier condición operativa o de planeación que no este incluida en las demás variables. Ejemplo: La línea opera normalmente abierta al lado de la subestación A o se tiene planeado una repotenciación de la línea hasta una capacidad de X Amperios, la cual entrará en operación desde dd/mm/aaaa.</t>
  </si>
  <si>
    <t>Sí</t>
  </si>
  <si>
    <t>Sección de libre diligenciamiento, donde el transportador debe indicar explicítamente cualquier condición operativa o de planeación que no este incluida en las demás variables.</t>
  </si>
  <si>
    <t>Atendida Subestación Nivel IV</t>
  </si>
  <si>
    <t>1. LÍNEAS</t>
  </si>
  <si>
    <t>Tipo de Línea</t>
  </si>
  <si>
    <t>2. Tr3</t>
  </si>
  <si>
    <t>Uso</t>
  </si>
  <si>
    <t>3. Tr2</t>
  </si>
  <si>
    <t>4. Subestaciones</t>
  </si>
  <si>
    <t>Convencional</t>
  </si>
  <si>
    <t>Encapsulado</t>
  </si>
  <si>
    <t>Mixto</t>
  </si>
  <si>
    <t>Barra Principal y Barra de Transferencia</t>
  </si>
  <si>
    <t>Barra sencilla</t>
  </si>
  <si>
    <t>Doble barra</t>
  </si>
  <si>
    <t>Doble barra más seccionador de transferencia</t>
  </si>
  <si>
    <t>Doble barra más seccionador de By-pass o paso directo</t>
  </si>
  <si>
    <t>Doble barra más barra de transferencia</t>
  </si>
  <si>
    <t>Anillo</t>
  </si>
  <si>
    <t>Interruptor y medio</t>
  </si>
  <si>
    <t>Doble barra con doble interruptor</t>
  </si>
  <si>
    <t>5. Demanda</t>
  </si>
  <si>
    <t>Comercial</t>
  </si>
  <si>
    <t>6. Compensación</t>
  </si>
  <si>
    <t>Tipo de conexión</t>
  </si>
  <si>
    <t>Serie</t>
  </si>
  <si>
    <t>Paralelo</t>
  </si>
  <si>
    <t>Tipo conexión</t>
  </si>
  <si>
    <t>Operabilidad</t>
  </si>
  <si>
    <t>Fijo</t>
  </si>
  <si>
    <t>Maniobrable</t>
  </si>
  <si>
    <t>En operación</t>
  </si>
  <si>
    <t>7. Compesación dinámica</t>
  </si>
  <si>
    <t>SVC</t>
  </si>
  <si>
    <t>STATCOM</t>
  </si>
  <si>
    <t>Tecnología</t>
  </si>
  <si>
    <t>8. FACTS</t>
  </si>
  <si>
    <t xml:space="preserve">Sí </t>
  </si>
  <si>
    <t>Nombre del transformador tridevanado. Se sugiere sea nombre de la subestación seguido de los niveles de tensión del transformador</t>
  </si>
  <si>
    <t>Subestación en la cual se encuentra ubicado el transformador</t>
  </si>
  <si>
    <t>Nivel de tensión nominal de diseño de los bornes de alta tensión del transformador en kilovoltios</t>
  </si>
  <si>
    <t>Nivel de tensión nominal de diseño de los bornes de media tensión del transformador en kilovoltios</t>
  </si>
  <si>
    <t>Nivel de tensión nominal de diseño de los bornes de baja tensión del transformador en kilovoltios</t>
  </si>
  <si>
    <t>Capacidad nominal en el devanado de alta tensión del transformador en MVA</t>
  </si>
  <si>
    <t>Capacidad nominal en el devanado de media tensión del transformador en MVA</t>
  </si>
  <si>
    <t>Capacidad nominal en el devanado de baja tensión del transformador en MVA</t>
  </si>
  <si>
    <t xml:space="preserve">Convención utilizada para describir las configuraciones de los distintos devanados del transformador y el desfase en los angulos de fase según norma IEC 60076-1 2011. Ejemplo: YNyn0d5 </t>
  </si>
  <si>
    <t>Impedancia de corto circuito entre los devanados de alta y media tensión en secuencia positiva como porcentaje de la impedancia de referencia</t>
  </si>
  <si>
    <t>Impedancia de corto circuito entre los devanados de alta y baja tensión en secuencia positiva como porcentaje de la impedancia de referencia</t>
  </si>
  <si>
    <t>Impedancia de corto circuito entre los devanados de media y baja tensión en secuencia positiva como porcentaje de la impedancia de referencia</t>
  </si>
  <si>
    <t>Impedancia de corto circuito entre los devanados de alta y media tensión en secuencia cero como porcentaje de la impedancia de referencia</t>
  </si>
  <si>
    <t>Impedancia de corto circuito entre los devanados de alta y baja tensión en secuencia cero como porcentaje de la impedancia de referencia</t>
  </si>
  <si>
    <t>Impedancia de corto circuito entre los devanados de media y baja tensión en secuencia cero como porcentaje de la impedancia de referencia</t>
  </si>
  <si>
    <t>Valor del cambiador de tomas como número entero que permite alcanzar los valores nominales de tensión en el transformador</t>
  </si>
  <si>
    <t>Máximo valor posible del cambiador de tomas como número entero</t>
  </si>
  <si>
    <t>Mínimo valor posible del cambiador de tomas como número entero</t>
  </si>
  <si>
    <t>La diferencia entre dos pasos adyacentes del cambiador de tomas expresada como un porcentaje.</t>
  </si>
  <si>
    <t>Valor de sobrecarga aceptable en el transformador ante condiciones de emergencia expresado como porcentaje respecto a la capacidad del transformador y en la cantidad de tiempo en minutos en que el transformador puede soportar dicha condición</t>
  </si>
  <si>
    <t>Capacidad nominal del transformador en MVA</t>
  </si>
  <si>
    <t xml:space="preserve">Convención utilizada para describir las configuraciones de los distintos devanados del transformador y el desfase en los angulos de fase según norma IEC 60076-1 2011. Ejemplo: Dyn11 </t>
  </si>
  <si>
    <t>Impedancia de corto circuito en secuencia positiva como porcentaje de la impedancia de referencia</t>
  </si>
  <si>
    <t>Impedancia de corto circuito en secuencia cero como porcentaje de la impedancia de referencia</t>
  </si>
  <si>
    <t>Nombre de la subestación</t>
  </si>
  <si>
    <t>Agente Administrador</t>
  </si>
  <si>
    <t>Razón social del transportador con el mayor porcentaje de propiedad de los activos de la subestación</t>
  </si>
  <si>
    <t>Nivel de tensión nominal de la(s) barra(s) de la subestación en kilovoltios</t>
  </si>
  <si>
    <t>Capacidad de interrupción en kiloamperios de los interruptores de potencia en la subestación. En caso de haber múltiples interruptores se debe incluir únicamente l capacidad de interrupción de menor magnitud y dejar constancia de esto en el campo de observaciones del transportador.</t>
  </si>
  <si>
    <t>Configuración de barras de la subestación. Se debe escoger en la lista desplegable entre: barra sencilla, barra principal y transferencia, barra sencilla seccionada, barra seccionada con barra de transferencia, doble barra, doble barra con transferencia, doble barra con doble interruptor, interruptor y medio o anillo.</t>
  </si>
  <si>
    <t>Nombre del departamento en que se ubica o ubicará la subestación</t>
  </si>
  <si>
    <t>Nombre del municipio en que se ubica o ubicará la subestación</t>
  </si>
  <si>
    <t>Nombre de la demanda</t>
  </si>
  <si>
    <t>Subestación en la que se encuentra conectada la demanda. Para demandas conectadas a niveles de tensión inferiores a 11.4 kV se debe referir a nivel de tensión superior.</t>
  </si>
  <si>
    <t>Nivel de tensión en kilovoltios al que se conecta o refiere la demanda.</t>
  </si>
  <si>
    <t>Subestación de nivel de tensión IV o superior que atiende a la demanda.</t>
  </si>
  <si>
    <t>Demanda Mínima</t>
  </si>
  <si>
    <t>Demanda Media</t>
  </si>
  <si>
    <t>Demanda Máxima</t>
  </si>
  <si>
    <t>Nombre de la compensación. Se sugiere usar el nombre de la subestación a la que se conecta.</t>
  </si>
  <si>
    <t>Nombre de la subestación a la que se conecta la compensación.</t>
  </si>
  <si>
    <t>Nivel de tensión de la subestación en kilovoltios</t>
  </si>
  <si>
    <t>Capacidad de la compensación en MVAr</t>
  </si>
  <si>
    <t>Número de pasos posibles para alcanzar la capacidad de la compensación</t>
  </si>
  <si>
    <t>Nombre de la compensación dinámica. Se sugiere usar el nombre de la subestación a la que se conecta.</t>
  </si>
  <si>
    <t>Nombre de la subestación a la que se conecta la compensación dinámica.</t>
  </si>
  <si>
    <r>
      <t>Se debe escoger en la lista desplegable entre: STATCOM (</t>
    </r>
    <r>
      <rPr>
        <i/>
        <sz val="11"/>
        <rFont val="Calibri"/>
        <family val="2"/>
        <scheme val="minor"/>
      </rPr>
      <t>Synchronous Static Compensator</t>
    </r>
    <r>
      <rPr>
        <sz val="11"/>
        <rFont val="Calibri"/>
        <family val="2"/>
        <scheme val="minor"/>
      </rPr>
      <t>), SVC (</t>
    </r>
    <r>
      <rPr>
        <i/>
        <sz val="11"/>
        <rFont val="Calibri"/>
        <family val="2"/>
        <scheme val="minor"/>
      </rPr>
      <t>Static Var compensation</t>
    </r>
    <r>
      <rPr>
        <sz val="11"/>
        <rFont val="Calibri"/>
        <family val="2"/>
        <scheme val="minor"/>
      </rPr>
      <t>) o SC (</t>
    </r>
    <r>
      <rPr>
        <i/>
        <sz val="11"/>
        <rFont val="Calibri"/>
        <family val="2"/>
        <scheme val="minor"/>
      </rPr>
      <t>Synchronous condensers</t>
    </r>
    <r>
      <rPr>
        <sz val="11"/>
        <rFont val="Calibri"/>
        <family val="2"/>
        <scheme val="minor"/>
      </rPr>
      <t>)</t>
    </r>
  </si>
  <si>
    <t>Capacidad máxima de absorción de potencia reactiva en MVAr</t>
  </si>
  <si>
    <t>Qmax [MVAr]</t>
  </si>
  <si>
    <t>Capacidad máxima de aporte de potencia reactiva en MVAr</t>
  </si>
  <si>
    <t>Nombre del dispositivo FACTS. Se sugiere que contenga el nombre de la línea a intervenir</t>
  </si>
  <si>
    <t>Línea Intervenida</t>
  </si>
  <si>
    <t>Nombre de la línea de transmisión o distribución que se interviene para la conexión del dispositivo FACTS</t>
  </si>
  <si>
    <t>Nivel de tensión de la línea intervenida en kilovoltios</t>
  </si>
  <si>
    <t>Referencia o modelo del dispositivo instalado o adquirido.</t>
  </si>
  <si>
    <t>Se debe escoger de la lista despelegable entre: Convencional, Encapsulada y Mixta.</t>
  </si>
  <si>
    <t>Se debe escoger en la lista desplegable entre: Serie y Paralelo</t>
  </si>
  <si>
    <t>Se debe escoger en la lista desplegable entre: Fijo y Maniobrable</t>
  </si>
  <si>
    <t>Se debe escoger en la lista desplegable entre: Industrial, Comercial, Residencial y Oficial. En caso de que la demanda incluya varios tipos se debe seleccionar el tipo de mayor magnitud.</t>
  </si>
  <si>
    <t>Residencial</t>
  </si>
  <si>
    <t>Oficial</t>
  </si>
  <si>
    <t>SC</t>
  </si>
  <si>
    <t>Tensión máxima que puede inyectar cada dispositivo FACTS en voltios</t>
  </si>
  <si>
    <t>Corriente máxima que puede inyectar cada dispositivo FACTS en amperios</t>
  </si>
  <si>
    <t>Lado de la línea de transmisión en la que se conectan los dispositivos FACTS</t>
  </si>
  <si>
    <t>Ítem</t>
  </si>
  <si>
    <t>Contenido</t>
  </si>
  <si>
    <t>Extensiónes recomendadas para la entrega del archivo</t>
  </si>
  <si>
    <t>Presentado</t>
  </si>
  <si>
    <t>Nombre del Archivo</t>
  </si>
  <si>
    <t>Razón por la cual no se presenta la información</t>
  </si>
  <si>
    <t>Planos de vista en planta y vista en cortes de la subestación</t>
  </si>
  <si>
    <t>.dwg o .pdf</t>
  </si>
  <si>
    <t>Diagrama unifilar general de la subestación</t>
  </si>
  <si>
    <t>Diagrama unifilar de servicios auxiliares</t>
  </si>
  <si>
    <t>Espacio disponible para servicios auxiliares</t>
  </si>
  <si>
    <t>Expansiones proyectadas en la subestación. Debe contener los espacios que se encuentran reservados para proyectos aprobados.</t>
  </si>
  <si>
    <t>Disponibilidad de espacio para las salidas de las líneas de transmisión y/o distribución</t>
  </si>
  <si>
    <t>Disponibilidad de terrenos contiguos.</t>
  </si>
  <si>
    <t>Archivo fotográfico de la subestación y del lote circundante.</t>
  </si>
  <si>
    <t>.jpg, .png, .tif o .pdf</t>
  </si>
  <si>
    <t>Diagrama Unifilar General</t>
  </si>
  <si>
    <t>Diagrama Unifilar Servicios auxiliares</t>
  </si>
  <si>
    <t>Expansiones proyectadas en la subestación</t>
  </si>
  <si>
    <t>Disponibilidad de espacio para salidas de líneas</t>
  </si>
  <si>
    <t>Disponibilidad de terrenos contiguos</t>
  </si>
  <si>
    <t>Archivo fotografico subestación y lotes circundantes</t>
  </si>
  <si>
    <t>Planos de vista y planta de la subestación</t>
  </si>
  <si>
    <t>Descripción del estado de los lotes contiguos a la subestación y su disponibilidad para expansiones</t>
  </si>
  <si>
    <t>Descripción de futuras obras en la subestación que afecten el espacio disponible que se observa en los planos y diagramas unifilares</t>
  </si>
  <si>
    <t>Descripción del espacio disponible para nuevas líneas de conexión o uso y sus posible conflictos con líneas existentes.</t>
  </si>
  <si>
    <t>Planos Arquitectonicos predio</t>
  </si>
  <si>
    <t>Planos arquitectonicos del edificio de control. Debe contener la disposición y espacio físico en edificio de control.</t>
  </si>
  <si>
    <t>Tipo activo</t>
  </si>
  <si>
    <t>Se debe escoger en la lista desplegable entre: Capcitor o reactor</t>
  </si>
  <si>
    <t>Capacitor</t>
  </si>
  <si>
    <t>Reactor</t>
  </si>
  <si>
    <t>El Formato se encuentra dividido en 9 secciones según el tipo de activo a reportar: 
1. Información de líneas de transmisión y distribución
2. Información de transformadores tridevanados
3. Información de transformadores bidevanados
4. Información de subestaciones
5. Información de demandas
6. Información de compensaciones
7. Información de compensaciones dinámicas
8. Información de dispositivos DFACTS
9. Información de disponibilidad de espacio físico</t>
  </si>
  <si>
    <t>Se sugiere se presente en formato editable .dwg o archivo .pdf</t>
  </si>
  <si>
    <t>Debe permitir observar los elementos, las conexiones y la configuración</t>
  </si>
  <si>
    <t>Descripción del espacio disponible para las conexiones y posibilidades de ampliaciones en servicios auxiliares que pueda tener un proyecto</t>
  </si>
  <si>
    <t>Debe incluir la disposición de los equipos en la casa de control de la subestación en formato editable .dwg o archivo .pdf</t>
  </si>
  <si>
    <t>Conductor</t>
  </si>
  <si>
    <t>Se debe indicar el calibre y material del conductor predominante en la línea de transmisión o distribución</t>
  </si>
  <si>
    <t>Sistema al cual pertenece el transformador. Se debe escoger en la lista desplegable entre: STN, STR y SDL</t>
  </si>
  <si>
    <t>Sistema</t>
  </si>
  <si>
    <t>Información General de dispositivos DFACTS</t>
  </si>
  <si>
    <t>Pérdidas Cu HV-MV [kW]</t>
  </si>
  <si>
    <t>Pérdidas Cu HV-LV [kW]</t>
  </si>
  <si>
    <t>Pérdidas Cu MV-LV [kW]</t>
  </si>
  <si>
    <t>Pérdidas de potencia activa en kW de los devanados del transformador bidevanado</t>
  </si>
  <si>
    <t>Pérdidas de potencia activa en kW de los devanados de alta tensión y media tensión del transformador bidevanado</t>
  </si>
  <si>
    <t>Pérdidas de potencia activa en kW de los devanados de alta tensión y baja tensión del transformador bidevanado</t>
  </si>
  <si>
    <t>Pérdidas de potencia activa en kW de los devanados de media tensión y baja tensión del transformador bidevanado</t>
  </si>
  <si>
    <t>Líneas de transmisión y distribución</t>
  </si>
  <si>
    <t>Compensación estática</t>
  </si>
  <si>
    <t>Compensación dinámica</t>
  </si>
  <si>
    <t>DFACTS
NOTA. En el campo de observaciones del transportador se debe señalar si se consideran múltiples dispositivos FACTS en serie.</t>
  </si>
  <si>
    <t>Demandas</t>
  </si>
  <si>
    <t>Transformadores tridevanados</t>
  </si>
  <si>
    <t>Tranformadores bidevanados</t>
  </si>
  <si>
    <t xml:space="preserve">Valor mínimo de demanda de potencia activa en MW y reactiva en MVAr esperado para la demanda en el año 2021, hora 03:00. </t>
  </si>
  <si>
    <t>Valor medio de demanda de potencia activa en MW y reactiva en MVAr esperado para la demanda en el año 2021, hora 12:00.</t>
  </si>
  <si>
    <t>Valor máximo de demanda de potencia activa en MW y reactiva en MVAr esperado para la demanda en el año 2021, hora 19:00.</t>
  </si>
  <si>
    <t>Eventos anuales de indisponibilidad</t>
  </si>
  <si>
    <t>Tiempo de medio en horas que puede durar cada evento de indisponibilidad del activo</t>
  </si>
  <si>
    <t>Tiempo anual de indisponibilidad del activo en horas</t>
  </si>
  <si>
    <t>Número de eventos de indisponibilidad del activo</t>
  </si>
  <si>
    <t>Tiempo medio de reparación por evento [h]</t>
  </si>
  <si>
    <t>Horas anuales de indisponibilidad [h]</t>
  </si>
  <si>
    <t>Subestación espacio físico</t>
  </si>
  <si>
    <t>Subestaciones
NOTA. En caso de que una subestación tenga en su predio patios de distintos niveles de tensión, se debe realizar un reporte por cada nivel de tensión.</t>
  </si>
  <si>
    <t>INTRODUCCIÓN</t>
  </si>
  <si>
    <t>El presente formato se establece en cumplimiento de lo establecido en el articulo 7 de la Resolución CREG 075 de 2021, para facilitar el reporte uniforme de la información que los transportadores deben entregar para la realización de los estudios de conexión y disponibilidad de espacio físico. 
El uso del presente formato es transitorio, y se requerirá hasta que entre en funcionamiento el sistema de información de la ventanilla única de la UPME, a través del cual se reportará y actualizará la información requerida para estudios de conexión.</t>
  </si>
  <si>
    <t>MANUAL DE USO PARA EL REPORTE DE INFORMACIÓN REQUERIDA DE LOS TRANSPORTADORES</t>
  </si>
  <si>
    <t>Ayacucho</t>
  </si>
  <si>
    <t>Belén</t>
  </si>
  <si>
    <t>Convención</t>
  </si>
  <si>
    <t>Sevilla</t>
  </si>
  <si>
    <t>Ocaña</t>
  </si>
  <si>
    <t>Tibú</t>
  </si>
  <si>
    <t>Ínsula</t>
  </si>
  <si>
    <t>San Mateo</t>
  </si>
  <si>
    <t>Buturama</t>
  </si>
  <si>
    <t>Planta Zulia</t>
  </si>
  <si>
    <t>Aguachica</t>
  </si>
  <si>
    <t>TS01</t>
  </si>
  <si>
    <t>YN0yn0d0</t>
  </si>
  <si>
    <t>TI-01</t>
  </si>
  <si>
    <t>TI-05</t>
  </si>
  <si>
    <t>TS-89</t>
  </si>
  <si>
    <t>TS2</t>
  </si>
  <si>
    <t>Toledo</t>
  </si>
  <si>
    <t>TS04-BELEN-25MVA</t>
  </si>
  <si>
    <t>TS05-BELEN-40MVA</t>
  </si>
  <si>
    <t>TS06-BELEN-47MVA</t>
  </si>
  <si>
    <t>TS07-SAN_MATEO-47MVA</t>
  </si>
  <si>
    <t>TS08-SAN_MATEO-47MVA</t>
  </si>
  <si>
    <t>TS09-SAN_MATEO-40MVA</t>
  </si>
  <si>
    <t>TS10-ATALAYA-22MVA</t>
  </si>
  <si>
    <t>TS12-SEVILLA-20MVA</t>
  </si>
  <si>
    <t>TS14-INSULA-40MVA</t>
  </si>
  <si>
    <t>TS15-INSULA-25MVA</t>
  </si>
  <si>
    <t>TS16-EL_SAMAN-18MVA</t>
  </si>
  <si>
    <t>TS17-ESCOBAL-12.5MVA</t>
  </si>
  <si>
    <t>TS19-PLANTA_ZULIA-11MVA</t>
  </si>
  <si>
    <t>TS20-PAMPLONA-12.5MVA</t>
  </si>
  <si>
    <t>TS22-LOS_PATIOS-12.5MVA</t>
  </si>
  <si>
    <t>TS23-TIBU-18MVA</t>
  </si>
  <si>
    <t>TS24-TIBU-12MVA</t>
  </si>
  <si>
    <t>TS25-CONVENCION-10MVA</t>
  </si>
  <si>
    <t>TS26-CONVENCION-7MVA</t>
  </si>
  <si>
    <t>TS27-OCAÑA-30MVA</t>
  </si>
  <si>
    <t>TS28-OCAÑA-8MVA</t>
  </si>
  <si>
    <t>TS29-AYACUCHO-13MVA</t>
  </si>
  <si>
    <t>TS30-AYACUCHO-3MVA</t>
  </si>
  <si>
    <t>TS31-AGUACHICA-32MVA</t>
  </si>
  <si>
    <t>TS32-AGUACHICA-18MVA</t>
  </si>
  <si>
    <t>TS34-CORNEJO-5MVA</t>
  </si>
  <si>
    <t>TS35-CULEBRA-4MVA</t>
  </si>
  <si>
    <t>TS36-SALAZAR-3.5MVA</t>
  </si>
  <si>
    <t>TS38-SARDINATA-4MVA</t>
  </si>
  <si>
    <t>TS40-GAMARRA-12MVA</t>
  </si>
  <si>
    <t>TS42-ORU-2MVA</t>
  </si>
  <si>
    <t>TS43-PELAYA-4MVA</t>
  </si>
  <si>
    <t>TS44-EL_ZULIA-3.5MVA</t>
  </si>
  <si>
    <t>TS45-ABREGO-6MVA</t>
  </si>
  <si>
    <t>TS46-CAMPO_DOS-12MVA</t>
  </si>
  <si>
    <t>TS49-LA_GABARA-2MVA</t>
  </si>
  <si>
    <t>TS61-CACHIRA-1MVA</t>
  </si>
  <si>
    <t>TS62-LA_MATA-3MVA</t>
  </si>
  <si>
    <t>TS63-MONTECITOS-0.5MVA</t>
  </si>
  <si>
    <t>TS64-LA_MIEL-0.5MVA</t>
  </si>
  <si>
    <t>TS65-LOS_MANGOS-0.5MVA</t>
  </si>
  <si>
    <t>TS67-LOS_ALPES-0.5MVA</t>
  </si>
  <si>
    <t>TS68-SEVILLA-32MVA</t>
  </si>
  <si>
    <t>TS70-BUTURAMA-47MVA</t>
  </si>
  <si>
    <t>TS72-GRAMALOTE-6MVA</t>
  </si>
  <si>
    <t>YNyn0</t>
  </si>
  <si>
    <t>Dyn11</t>
  </si>
  <si>
    <t>Dyn5</t>
  </si>
  <si>
    <t>El Saman</t>
  </si>
  <si>
    <t>Los Patios</t>
  </si>
  <si>
    <t>Atalaya</t>
  </si>
  <si>
    <t>Escobal</t>
  </si>
  <si>
    <t>Pamplona</t>
  </si>
  <si>
    <t>Palermo</t>
  </si>
  <si>
    <t>Convencion</t>
  </si>
  <si>
    <t>Salazar</t>
  </si>
  <si>
    <t>El Tarra</t>
  </si>
  <si>
    <t>El Zulia</t>
  </si>
  <si>
    <t>Campo Dos</t>
  </si>
  <si>
    <t>La Mata</t>
  </si>
  <si>
    <t>Tibu</t>
  </si>
  <si>
    <t>Cornejo</t>
  </si>
  <si>
    <t>Culebra</t>
  </si>
  <si>
    <t>Sardinata</t>
  </si>
  <si>
    <t>Gamarra</t>
  </si>
  <si>
    <t>San Pablo</t>
  </si>
  <si>
    <t>Oru</t>
  </si>
  <si>
    <t>Pelaya</t>
  </si>
  <si>
    <t>Abrego</t>
  </si>
  <si>
    <t>Cachira</t>
  </si>
  <si>
    <t>Montecitos</t>
  </si>
  <si>
    <t>La Miel</t>
  </si>
  <si>
    <t>Los Mangos</t>
  </si>
  <si>
    <t>San Antonio</t>
  </si>
  <si>
    <t>Los Alpes</t>
  </si>
  <si>
    <t>Gramalote</t>
  </si>
  <si>
    <t>Caño Indio</t>
  </si>
  <si>
    <t>BELEN 230 - SAN MATEO 230</t>
  </si>
  <si>
    <t>Compensación S/E Belén</t>
  </si>
  <si>
    <t>Compensación S/E Buturama</t>
  </si>
  <si>
    <t>Compensación S/E Tibú</t>
  </si>
  <si>
    <t>Compensación S/E Ayacucho</t>
  </si>
  <si>
    <t>SANOL45</t>
  </si>
  <si>
    <t>SANOL35</t>
  </si>
  <si>
    <t>INSC77</t>
  </si>
  <si>
    <t>BEL35_1_PATIOS</t>
  </si>
  <si>
    <t>BEL35_2_PALERMO</t>
  </si>
  <si>
    <t>TOLPALERMO_2_PALERMO</t>
  </si>
  <si>
    <t>TOLPALERMO_1_PAMPLONA</t>
  </si>
  <si>
    <t>BUTC2</t>
  </si>
  <si>
    <t>BUTC1</t>
  </si>
  <si>
    <t>CONS65_1_SAN PABLO</t>
  </si>
  <si>
    <t>CONS65_2_EL TARRA</t>
  </si>
  <si>
    <t>BEL33_1_EL_ZULIA</t>
  </si>
  <si>
    <t>BEL33_2_CULEBRA</t>
  </si>
  <si>
    <t>BEL36_1_CORNEJO</t>
  </si>
  <si>
    <t>BEL36_2_GUADUAS</t>
  </si>
  <si>
    <t>BEL36_3_SALAZAR</t>
  </si>
  <si>
    <t>BEL36_4_GRAMALOTE</t>
  </si>
  <si>
    <t>OCAILA5</t>
  </si>
  <si>
    <t>SAN_ALBERTO _2_LA_MIEL</t>
  </si>
  <si>
    <t>SAN_ALBERTO _1_LOS_ALPES</t>
  </si>
  <si>
    <t>Cáchira</t>
  </si>
  <si>
    <t>TIBG11_1_CAÑO_INDIO</t>
  </si>
  <si>
    <t>TIBG11_2_LA_GABARRA</t>
  </si>
  <si>
    <t>BEL36_5_SARDINATA</t>
  </si>
  <si>
    <t>AYAA31_1_LA_MATA</t>
  </si>
  <si>
    <t>AYAA31_2_PELAYA</t>
  </si>
  <si>
    <t>SAN_ALBERTO _3_SAN_ANTONIO</t>
  </si>
  <si>
    <t>SAN_ALBERTO _4_LOS_MANGOS</t>
  </si>
  <si>
    <t>SAN_ALBERTO _5_CACHIRA</t>
  </si>
  <si>
    <t>SUBESTACIÓN BELEN</t>
  </si>
  <si>
    <t>SUBESTACIÓN SAN MATEO</t>
  </si>
  <si>
    <t>SUBESTACIÓN SEVILLA</t>
  </si>
  <si>
    <t>SUBESTACIÓN PALERMO</t>
  </si>
  <si>
    <t>SUBESTACIÓN PAMPLONA</t>
  </si>
  <si>
    <t>SUBESTACIÓN PLANTA ZULIA</t>
  </si>
  <si>
    <t>SUBESTACIÓN PLANTA TIBU</t>
  </si>
  <si>
    <t>SUBESTACIÓN CONVENCION</t>
  </si>
  <si>
    <t>SUBESTACIÓN OCAÑA</t>
  </si>
  <si>
    <t>SUBESTACIÓN AGUACHICA</t>
  </si>
  <si>
    <t>SUBESTACIÓN AYACUCHO</t>
  </si>
  <si>
    <t>SUBESTACIÓN SAMORE</t>
  </si>
  <si>
    <t>SUBESTACIÓN TOLEDO</t>
  </si>
  <si>
    <t>SUBESTACIÓN PATIOS</t>
  </si>
  <si>
    <t>SUBESTACIÓN CORNEJO</t>
  </si>
  <si>
    <t>SUBESTACIÓN CULEBRA</t>
  </si>
  <si>
    <t>SUBESTACIÓN SALAZAR</t>
  </si>
  <si>
    <t>SUBESTACIÓN SARDINATA</t>
  </si>
  <si>
    <t>SUBESTACIÓN EL TARRA</t>
  </si>
  <si>
    <t>SUBESTACIÓN LA GABARRA</t>
  </si>
  <si>
    <t>SUBESTACIÓN SAN PABLO</t>
  </si>
  <si>
    <t>SUBESTACIÓN ORU</t>
  </si>
  <si>
    <t>SUBESTACIÓN PELAYA</t>
  </si>
  <si>
    <t>SUBESTACIÓN EL ZULIA</t>
  </si>
  <si>
    <t>SUBESTACIÓN ABREGO</t>
  </si>
  <si>
    <t>SUBESTACIÓN CACHIRA</t>
  </si>
  <si>
    <t>SUBESTACIÓN LA MATA</t>
  </si>
  <si>
    <t>SUBESTACIÓN MONTESITOS</t>
  </si>
  <si>
    <t>SUBESTACIÓN LA MIEL</t>
  </si>
  <si>
    <t>SUBESTACIÓN LOS MANGOS</t>
  </si>
  <si>
    <t>SUBESTACIÓN SAN ANTONIO</t>
  </si>
  <si>
    <t>SUBESTACIÓN LOS ALPES</t>
  </si>
  <si>
    <t>SUBESTACIÓN INSULA</t>
  </si>
  <si>
    <t>SUBESTACIÓN ESCOBAL</t>
  </si>
  <si>
    <t>SUBESTACIÓN SAMAN</t>
  </si>
  <si>
    <t>SUBESTACIÓN ATALAYA</t>
  </si>
  <si>
    <t>SUBESTACIÓN BUTURAMA</t>
  </si>
  <si>
    <t>SUBESTACIÓN NUEVA GRAMALOTE</t>
  </si>
  <si>
    <t>SUBESTACIÓN GAMARRA</t>
  </si>
  <si>
    <t>SUBESTACIÓN CAMPO DOS</t>
  </si>
  <si>
    <t>SUBESTACIÓN GUADUAS</t>
  </si>
  <si>
    <t>CENS</t>
  </si>
  <si>
    <t>INTERCOLOMBIA</t>
  </si>
  <si>
    <t>Norte de Santander</t>
  </si>
  <si>
    <t>Cesar</t>
  </si>
  <si>
    <t>Cúcuta</t>
  </si>
  <si>
    <t>Teorama</t>
  </si>
  <si>
    <t>La Gloria</t>
  </si>
  <si>
    <t>San Cayetano</t>
  </si>
  <si>
    <t>Chinácota</t>
  </si>
  <si>
    <t>Ajuste por carga</t>
  </si>
  <si>
    <t>Transformador de corriente</t>
  </si>
  <si>
    <t>Linea</t>
  </si>
  <si>
    <t>BUIA25</t>
  </si>
  <si>
    <t>BUTURAMA</t>
  </si>
  <si>
    <t>AYACUCHO</t>
  </si>
  <si>
    <t>CONS75</t>
  </si>
  <si>
    <t>CONVENCION</t>
  </si>
  <si>
    <t>BUIA45</t>
  </si>
  <si>
    <t>AGUACHICA</t>
  </si>
  <si>
    <t>CONS95</t>
  </si>
  <si>
    <t>PLANTA TIBU</t>
  </si>
  <si>
    <t>INSIL60</t>
  </si>
  <si>
    <t>INSULA</t>
  </si>
  <si>
    <t>BELEN</t>
  </si>
  <si>
    <t>OCAIA15</t>
  </si>
  <si>
    <t>OCANA</t>
  </si>
  <si>
    <t>OCAIC25</t>
  </si>
  <si>
    <t>PLZS10</t>
  </si>
  <si>
    <t>PLANTA ZULIA</t>
  </si>
  <si>
    <t>SEVS10</t>
  </si>
  <si>
    <t>SEVILLA</t>
  </si>
  <si>
    <t>SEVS20</t>
  </si>
  <si>
    <t>SANIL15</t>
  </si>
  <si>
    <t>SAN MATEO</t>
  </si>
  <si>
    <t>PLZS20</t>
  </si>
  <si>
    <t>2/0 - Aluminio</t>
  </si>
  <si>
    <t>336.4 - Aluminio</t>
  </si>
  <si>
    <t>2 - Aluminio</t>
  </si>
  <si>
    <t>4/0 - Aluminio</t>
  </si>
  <si>
    <t>300 - Aluminio</t>
  </si>
  <si>
    <t>477 - Aluminio</t>
  </si>
  <si>
    <t>795 - Aluminio</t>
  </si>
  <si>
    <t>BELÉN</t>
  </si>
  <si>
    <t>EL SAMAN</t>
  </si>
  <si>
    <t>ESCOBAL</t>
  </si>
  <si>
    <t>ÍNSULA</t>
  </si>
  <si>
    <t>ATALAYA</t>
  </si>
  <si>
    <t>LOS PATIOS</t>
  </si>
  <si>
    <t>PALERMO</t>
  </si>
  <si>
    <t>TOLEDO</t>
  </si>
  <si>
    <t>PAMPLONA</t>
  </si>
  <si>
    <t>MONTESITOS</t>
  </si>
  <si>
    <t>GAMARRA</t>
  </si>
  <si>
    <t>LA MATA</t>
  </si>
  <si>
    <t>PELAYA</t>
  </si>
  <si>
    <t>CONVENCIÓN</t>
  </si>
  <si>
    <t>SAN PABLO</t>
  </si>
  <si>
    <t>EL TARRA</t>
  </si>
  <si>
    <t>EL ZULIA</t>
  </si>
  <si>
    <t>CULEBRA</t>
  </si>
  <si>
    <t>CORNEJO</t>
  </si>
  <si>
    <t>GUADUAS</t>
  </si>
  <si>
    <t>SALAZAR</t>
  </si>
  <si>
    <t>GRAMALOTE</t>
  </si>
  <si>
    <t>SARDINATA</t>
  </si>
  <si>
    <t>OCAÑA</t>
  </si>
  <si>
    <t>ABREGO</t>
  </si>
  <si>
    <t>SAN ALBERTO</t>
  </si>
  <si>
    <t>LOS ALPES</t>
  </si>
  <si>
    <t>LA MIEL</t>
  </si>
  <si>
    <t>SAN ANTONIO</t>
  </si>
  <si>
    <t>LOS MANGOS</t>
  </si>
  <si>
    <t>CÁCHIRA</t>
  </si>
  <si>
    <t>TIBÚ</t>
  </si>
  <si>
    <t>CAMPO DOS</t>
  </si>
  <si>
    <t>CAÑO INDIO</t>
  </si>
  <si>
    <t>LA GABARRA</t>
  </si>
  <si>
    <t>DON JUANA</t>
  </si>
  <si>
    <t>TONCHALÁ</t>
  </si>
  <si>
    <t>SAN MATEO - SEVILLA</t>
  </si>
  <si>
    <t>SEVILLA - ÍNSULA</t>
  </si>
  <si>
    <t>BELÉN - TONCHALA</t>
  </si>
  <si>
    <t>ÍNSULA - TONCHALA</t>
  </si>
  <si>
    <t>TONCHALA - DON JUANA 1</t>
  </si>
  <si>
    <t>TONCHALA - DON JUANA 2</t>
  </si>
  <si>
    <t>TONCHALA</t>
  </si>
  <si>
    <t>DON JUANA 1</t>
  </si>
  <si>
    <t>DON JUANA 2</t>
  </si>
  <si>
    <t>Se toman los datos desde la salida de la subestación Belén hasta la derivación que parte hacia la subestación Cornejo</t>
  </si>
  <si>
    <t>CORNEJO_DERIVACIÓN_SALAZAR-GRAMALOTE</t>
  </si>
  <si>
    <t>Operado por ISA</t>
  </si>
  <si>
    <t>TI-08 TOLEDO 50MVA</t>
  </si>
  <si>
    <t>TI07-SAMORE-50MVA</t>
  </si>
  <si>
    <t>Samore</t>
  </si>
  <si>
    <t>YN0yn0d1</t>
  </si>
  <si>
    <t>ACTIVO PARTICULAR PROPIEDAD DE ECOPETROL</t>
  </si>
  <si>
    <t>BELEN 230 - TERMOTASAJERO 230</t>
  </si>
  <si>
    <t>Termotasajero</t>
  </si>
  <si>
    <t>LINEA OPERADA POR ISA</t>
  </si>
  <si>
    <t>SAN MATEO 230 - OCAÑA 230</t>
  </si>
  <si>
    <t>TERMOTASAJERO 230 - SAN MATEO 230</t>
  </si>
  <si>
    <t>TOLEDO 230 - SAMORE 230</t>
  </si>
  <si>
    <t>Node_FMVE4430</t>
  </si>
  <si>
    <t>Se toman los datos desde el nodo FMVE4430  hasta la entrada S/E Salazar</t>
  </si>
  <si>
    <t>Se toman los datos desde la derivación en el nodo FMVE4430 hasta la entrada de la  S/E Gramalote</t>
  </si>
  <si>
    <t>Se toman los datos desde la derivación de la S/E Gramalote hasta la entrada a la  S/E Salazar</t>
  </si>
  <si>
    <t>INFORMACION DE OTRO OPERADOR</t>
  </si>
  <si>
    <t>NO SE TIENE EQUIPO</t>
  </si>
  <si>
    <t>Si</t>
  </si>
  <si>
    <t>En el archivo espacio fisico se crea una carpeta por cada subestación denominada Planta</t>
  </si>
  <si>
    <t>En el archivo espacio fisico se crea una carpeta por cada subestación denominada casa control</t>
  </si>
  <si>
    <t>En el archivo espacio fisico se crea una carpeta por cada subestación denominada fotos</t>
  </si>
  <si>
    <t>En el archivo espacio fisico se crea una carpeta por cada subestación denominada unifilar, a su vez en el archivo georeferenciación se encuentran los diagramas en UC's.</t>
  </si>
  <si>
    <t>No se cuenta con dicha información.</t>
  </si>
  <si>
    <t>LOD_ABREGO_138</t>
  </si>
  <si>
    <t>LOD_AGUACHICA_115</t>
  </si>
  <si>
    <t>LOD_ATALAYA_138</t>
  </si>
  <si>
    <t>LOD_AYACUCHO_115</t>
  </si>
  <si>
    <t>LOD_AYACUCHO_345</t>
  </si>
  <si>
    <t>LOD_BELEN_115</t>
  </si>
  <si>
    <t>LOD_BELEN_345</t>
  </si>
  <si>
    <t>LOD_BUTURAMA_345</t>
  </si>
  <si>
    <t>LOD_CACHIRA_138</t>
  </si>
  <si>
    <t>LOD_CAMPO DOS_138</t>
  </si>
  <si>
    <t>LOD_CORNEJO_138</t>
  </si>
  <si>
    <t>LOD_CULEBRA_138</t>
  </si>
  <si>
    <t>LOD_EL TARRA_138</t>
  </si>
  <si>
    <t>LOD_EL ZULIA_138</t>
  </si>
  <si>
    <t>LOD_ESCOBAL_138</t>
  </si>
  <si>
    <t>LOD_GAMARRA_138</t>
  </si>
  <si>
    <t>LOD_INSULA_115</t>
  </si>
  <si>
    <t>LOD_INSULA_345</t>
  </si>
  <si>
    <t>LOD_LA GABARRA_138</t>
  </si>
  <si>
    <t>LOD_LA MATA_138</t>
  </si>
  <si>
    <t>LOD_LA MIEL_138</t>
  </si>
  <si>
    <t>LOD_LOS ALPES_138</t>
  </si>
  <si>
    <t>LOD_LOS MANGOS_138</t>
  </si>
  <si>
    <t>LOD_NUEVA GRAMALOTE_138</t>
  </si>
  <si>
    <t>LOD_ORU_138</t>
  </si>
  <si>
    <t>LOD_PALERMO_138</t>
  </si>
  <si>
    <t>LOD_PAMPLONA_138</t>
  </si>
  <si>
    <t>LOD_PATIOS_138</t>
  </si>
  <si>
    <t>LOD_PELAYA_138</t>
  </si>
  <si>
    <t>LOD_PLANTA TIBU_115</t>
  </si>
  <si>
    <t>LOD_PLANTA TIBU_345</t>
  </si>
  <si>
    <t>LOD_SALAZAR_138</t>
  </si>
  <si>
    <t>LOD_SAMAN_138</t>
  </si>
  <si>
    <t>LOD_SAMORE_138</t>
  </si>
  <si>
    <t>LOD_SAN ANTONIO_138</t>
  </si>
  <si>
    <t>LOD_SAN MATEO_115</t>
  </si>
  <si>
    <t>LOD_SAN MATEO_345</t>
  </si>
  <si>
    <t>LOD_SAN PABLO_138</t>
  </si>
  <si>
    <t>LOD_SARDINATA_138</t>
  </si>
  <si>
    <t>LOD_SEVILLA_115</t>
  </si>
  <si>
    <t>LOD_TOLEDO_138</t>
  </si>
  <si>
    <t>LOD_TOLEDO_345</t>
  </si>
  <si>
    <t>LOD_AYACUCHO_ECO</t>
  </si>
  <si>
    <t>LOD_PLANTA TIBU_ECO</t>
  </si>
  <si>
    <t>CACHIRA</t>
  </si>
  <si>
    <t>NUEVA GRAMALOTE</t>
  </si>
  <si>
    <t>ORU</t>
  </si>
  <si>
    <t>PATIOS</t>
  </si>
  <si>
    <t>SAMAN</t>
  </si>
  <si>
    <t>SAMORE</t>
  </si>
  <si>
    <t>SAN ROQUE</t>
  </si>
  <si>
    <t>CULEBRA - SAN ROQUE</t>
  </si>
  <si>
    <t>SUBESTACIÓN SAN ROQUE</t>
  </si>
  <si>
    <t>SUBESTACIÓN ALTO DEL POZO</t>
  </si>
  <si>
    <t>TR S/E - ALTO DEL POZO</t>
  </si>
  <si>
    <t>Alto del Pozo</t>
  </si>
  <si>
    <t>ABREGO - ALTO DEL POZO</t>
  </si>
  <si>
    <t>ALTO DEL POZO</t>
  </si>
  <si>
    <t>N/A</t>
  </si>
  <si>
    <t>SUBESTACIÓN LA PLAYA</t>
  </si>
  <si>
    <t>Barra Sencilla</t>
  </si>
  <si>
    <t>TR S/E - LA PLAYA</t>
  </si>
  <si>
    <t>La Playa</t>
  </si>
  <si>
    <t>OCAÑA - LA PLAYA</t>
  </si>
  <si>
    <t>LA PLAYA</t>
  </si>
  <si>
    <t>Expansión (Desde una nueva Bahía habilitada en el patio existente 34.5 kV en la S/E Ocaña)</t>
  </si>
  <si>
    <t>San Roque</t>
  </si>
  <si>
    <t>TONCHALÁ - GUADUAS</t>
  </si>
  <si>
    <t xml:space="preserve">TONCHALA </t>
  </si>
  <si>
    <t>DON JUANA - PATIOS</t>
  </si>
  <si>
    <t>DON JUANA - PALERMO</t>
  </si>
  <si>
    <t>ATALAYA - TONCHALA</t>
  </si>
  <si>
    <t xml:space="preserve">ATALAYA </t>
  </si>
  <si>
    <t>Bochalema</t>
  </si>
  <si>
    <t>TERMOTASAJERO</t>
  </si>
  <si>
    <t>266.8 - Aluminio</t>
  </si>
  <si>
    <t>DON JUANA_115/34.5 kV</t>
  </si>
  <si>
    <t>DON JUANA_115/13.8 kV</t>
  </si>
  <si>
    <t>Esta linea es la existente INSIL60 seccionada en el kilometro 3 km Sentido Belén - Ínsula 115 kV para entrar al pórtico de la subestación Tonchalá</t>
  </si>
  <si>
    <t>Esta linea es la existente INSIL60 seccionada en el kilometro 18.38 km Sentido Insula - Belén 115 kV para entrar al pórtico de la subestación Tonchalá</t>
  </si>
  <si>
    <t>Esta línea sera seccionada con la entrada en operación de la subestación Tonchala en el km 18.38 sentido Insula - Belén</t>
  </si>
  <si>
    <t>Esta subestación se ubicara seccionando la línea INSIL60 en el km 18.38 sentido Insula - Belén</t>
  </si>
  <si>
    <t>Esta subestación se conectara al barraje 34.5 kV de la subestación Ocaña la línea OCAÑA - LA PLAYA</t>
  </si>
  <si>
    <t>Esta subestación se conectara con un doble circuito a la nueva subestación Tonchalá con la línea TONCHALA - DON JUANA 1 y 2</t>
  </si>
  <si>
    <t>Esta linea es la existente BEL35_2_PALERMO seccionada en el kilometro 17.41 km Sentido Patios - Palermo 34.5 kV para entrar al pórtico de la subestación Don Juana 34.5 kV + 2 km de expansión desde la derivación a la SE Don Juana</t>
  </si>
  <si>
    <t>Esta linea es la existente BEL35_2_PALERMO seccionada en el kilometro 13.76 km Sentido Palermo - Patios 34.5 kV para entrar al pórtico de la subestación Don Juana 34.5 kV + 2 km de expansión desde la derivación  a la SE Don Juana</t>
  </si>
  <si>
    <t>Expansión a la salida del Nuevo Barraje 34.5 kV de la subestación Planta Zulia hasta la nueva subestación San Roque</t>
  </si>
  <si>
    <t>Nuevo transformador en la subestación existente 115 kV para tener nivel de transformación 34.5 kV para enlazar a futuro con la subestación San Roque 34.5 kV</t>
  </si>
  <si>
    <t>Nuevo transformador en la subestación existente 115 kV para tener nivel de transformación 34.5 kV para enlazar a futuro</t>
  </si>
  <si>
    <t>Esta subestación se conectara al nuevo barraje previsto para la subestación Planta Zulia a partir del nuevo transformador 115/34.5 kV</t>
  </si>
  <si>
    <t>Esta subestación se conectara mediante un nuevo circuito 34.5 kV a la subestación existente Abrego</t>
  </si>
  <si>
    <t>Transformador asociado a la nueva subestación Alto del Pozo</t>
  </si>
  <si>
    <t>Transformador asociado a la nueva subestación La Playa</t>
  </si>
  <si>
    <t>Transformador asociado a la nueva subestación San Roque</t>
  </si>
  <si>
    <t>TS_CANO_INDIO-5MVA</t>
  </si>
  <si>
    <t>Repotenciación de la existente</t>
  </si>
  <si>
    <t>Expansión (Seccionamiento de la línea San Mateo - Insula, desmantelamentamiento de las dos línes 115 kV - Belén - Sevilla)</t>
  </si>
  <si>
    <t>Expansión desde la nueva Subestación Tonchalá</t>
  </si>
  <si>
    <t>Expansión desde la nueva subestación San Roque hasta la Existente Culebra 34.5 kV, esta última seguira alimentada desde la subestación Belen (Esta línea es de respaldo ante N-1 para la S/E Culebra).</t>
  </si>
  <si>
    <t xml:space="preserve">Expansión por 34.5 kV Conectado al barraje de la subestación Existente Abrego 34.5 kV </t>
  </si>
  <si>
    <t>ATALAYA-GUADUAS</t>
  </si>
  <si>
    <t>SAN ROQUE - SARDINATA</t>
  </si>
  <si>
    <t>Expansión desde la nueva subestación San Roque hasta la Existente Sardinata 34.5 kV, esta última se alimentara con esta línea desde la Subestación Planta Zulia.</t>
  </si>
  <si>
    <t>SEVC2 - 34.5 kV</t>
  </si>
  <si>
    <t>Sevilla asume carga de los alimentadores INSC77 e INSC76, realizando la apertura en el seccionamiento de línea LMVLS100248 (INSC77)  y  en la línea DMVL642 (INSC76) y expandiendo 460 metros desde la S/E Sevilla hasta  la línea BAMVLS82663. Revisar KMZ anexos.</t>
  </si>
  <si>
    <t>Sevilla asume carga de los alimentadores BELC38 y SANOL15, realizando la apertura en el seccionamiento de línea MVLS78099 (BELC38)  y  en la línea DMVL86 (SANOL15) y expandiendo 50 metros desde la S/E Sevilla hasta  la línea DMVL16. Revisar KMZ anexos.</t>
  </si>
  <si>
    <t>TONCHALÁ 115/34.5 kV</t>
  </si>
  <si>
    <t>TONCHALÁ 115/13.8 kV</t>
  </si>
  <si>
    <t>SUBESTACIÓN DON JUANA 115 kV</t>
  </si>
  <si>
    <t>SUBESTACIÓN DON JUANA 34.5 kV</t>
  </si>
  <si>
    <t>SUBESTACIÓN TONCHALÁ 115 kV</t>
  </si>
  <si>
    <t>SUBESTACIÓN TONCHALÁ 34.5 kV</t>
  </si>
  <si>
    <t>SUBESTACIÓN SEVILLA 34.5 kV</t>
  </si>
  <si>
    <t>Nuevo nivel de transformación en la subestación existente Sevilla</t>
  </si>
  <si>
    <t>SUBESTACIÓN PLANTA ZULIA 34.5 kV</t>
  </si>
  <si>
    <t>Nuevo nivel de transformación en la subestación existente Planta Zulia</t>
  </si>
  <si>
    <t>LOD_TONCHALA_345</t>
  </si>
  <si>
    <t>LOD_SEVILLA_345_1</t>
  </si>
  <si>
    <t>LOD_SEVILLA_345_2</t>
  </si>
  <si>
    <t>LOD_LAPLAYA_138</t>
  </si>
  <si>
    <t>LOD_SANROQUE_138</t>
  </si>
  <si>
    <t>LOD_AGUACHICA_138_1</t>
  </si>
  <si>
    <t>LOD_AGUACHICA_138_2</t>
  </si>
  <si>
    <t>LOD_AGUACHICA_34.5_2</t>
  </si>
  <si>
    <t>Esta carga es la referida al barraje 115 kV producto de la suma de las cargas LOD_AGUACHICA_138_1, LOD_AGUACHICA_138_2 y LOD_AGUACHICA_345_1</t>
  </si>
  <si>
    <t>Esta carga es la referida al barraje 13.8 kV del transformador TS33-AGUACHICA-12.5MVA</t>
  </si>
  <si>
    <t>Esta carga es la referida al barraje 13.8 kV del transformador TS32-AGUACHICA-18MVA</t>
  </si>
  <si>
    <t>Esta es la carga referida al barraje 34.5 kV de la Subestación Aguachica</t>
  </si>
  <si>
    <t>Esta carga es la referida al barraje 13.8 kV del transformador TS45-ABREGO-6MVA</t>
  </si>
  <si>
    <t>Esta carga es la referida al barraje 13.8 kV del transformador TS10-ATALAYA-22MVA</t>
  </si>
  <si>
    <t>LOD_AYACUCHO_138</t>
  </si>
  <si>
    <t>Esta carga es la referida al barraje 13.8 kV del transformador TS30-AYACUCHO-3MVA</t>
  </si>
  <si>
    <t>Esta carga es la referida al barraje 34.5 kV del transformador TS29-AYACUCHO-13MVA</t>
  </si>
  <si>
    <t>LOD_BELEN_138_1</t>
  </si>
  <si>
    <t>LOD_BELEN_138_2</t>
  </si>
  <si>
    <t>Esta carga es la referida al barraje 115 kV producto de la suma de las cargas LOD_BELEN_138_1,LOD_BELEN_138_2 Y LOD_BELEN_345</t>
  </si>
  <si>
    <t>Esta carga es la referida al barraje 13.8 kV del transformador TS04-BELEN-25MVA</t>
  </si>
  <si>
    <t>Esta carga es la referida al barraje 13.8 kV del transformador TS05-BELEN-40MVA</t>
  </si>
  <si>
    <t>Esta carga es la referida al barraje 34.5 kV del transformador TS06-BELEN-47MVA</t>
  </si>
  <si>
    <t>Esta carga es la referida al barraje 34.5 kV del transformador TS70-BUTURAMA-47MVA/ Puede ser referida directamente al barraje 115 kV de la subestación Buturama</t>
  </si>
  <si>
    <t>Esta carga es la referida al barraje 13.8 kV del transformador TS61-CACHIRA-1MVA</t>
  </si>
  <si>
    <t>Esta carga es la referida al barraje 13.8 kV del transformador TS46-CAMPO_DOS-12MVA</t>
  </si>
  <si>
    <t>Esta carga es la referida al barraje 13.8 kV del transformador TS26-CONVENCION-7MVA / Puede ser referida directamente al barraje 115 kV de la subestación Convención</t>
  </si>
  <si>
    <t>LOD_CONVENCION_138</t>
  </si>
  <si>
    <t>Esta carga es la referida al barraje 13.8 kV del transformador TS34-CORNEJO-5MVA</t>
  </si>
  <si>
    <t>Esta carga es la referida al barraje 13.8 kV del transformador TS35-CULEBRA-4MVA</t>
  </si>
  <si>
    <t>Esta carga es la referida al barraje 13.8 kV del transformador TS39-EL_TARRA-2MVA</t>
  </si>
  <si>
    <t>Esta carga es la referida al barraje 13.8 kV del transformador TS44-EL_ZULIA-3.5MVA</t>
  </si>
  <si>
    <t>Esta carga es la referida al barraje 13.8 kV del transformador TS17-ESCOBAL-12.5MVA</t>
  </si>
  <si>
    <t>Esta carga es la referida al barraje 13.8 kV del transformador TS40-GAMARRA-12MVA</t>
  </si>
  <si>
    <t>Esta carga es la referida al barraje 13.8 kV del transformador TS49-LA_GABARA-2MVA</t>
  </si>
  <si>
    <t>Esta carga es la referida al barraje 13.8 kV del transformador TS62-LA_MATA-3MVA</t>
  </si>
  <si>
    <t>Esta carga es la referida al barraje 13.8 kV del transformador TS64-LA_MIEL-0.5MVA</t>
  </si>
  <si>
    <t>Esta carga es la referida al barraje 13.8 kV del transformador TS67-LOS_ALPES-0.5MVA</t>
  </si>
  <si>
    <t>Esta carga es la referida al barraje 13.8 kV del transformador TS65-LOS_MANGOS-0.5MVA</t>
  </si>
  <si>
    <t>Esta carga es la referida al barraje 13.8 kV del transformador TS63-MONTECITOS-0.5MVA</t>
  </si>
  <si>
    <t>Esta carga es la referida al barraje 13.8 kV del transformador TS72-GRAMALOTE-6MVA</t>
  </si>
  <si>
    <t>Esta carga es la referida al barraje 13.8 kV del transformador TS42-ORU-2MVA</t>
  </si>
  <si>
    <t>Esta carga es la referida al barraje 13.8 kV del transformador TS21-PALERMO-6MVA</t>
  </si>
  <si>
    <t>Esta carga es la referida al barraje 13.8 kV del transformador TS20-PAMPLONA-12.5MVA</t>
  </si>
  <si>
    <t>Esta carga es la referida al barraje 13.8 kV del transformador TS22-LOS_PATIOS-12.5MVA</t>
  </si>
  <si>
    <t>Esta carga es la referida al barraje 13.8 kV del transformador TS43-PELAYA-4MVA</t>
  </si>
  <si>
    <t>Esta carga es la referida al barraje 13.8 kV del transformador TS36-SALAZAR-3.5MVA</t>
  </si>
  <si>
    <t>Esta carga es la referida al barraje 13.8 kV del transformador TS16-EL_SAMAN-18MVA</t>
  </si>
  <si>
    <t>Esta carga es la referida al barraje 13.8 kV del transformador TI07-SAMORE-50MVA</t>
  </si>
  <si>
    <t>Esta carga es la referida al barraje 13.8 kV del transformador TS66-SAN_ANTONIO-0.25MVA</t>
  </si>
  <si>
    <t>Esta carga es la referida al barraje 13.8 kV del transformador TS41-SAN_PABLO-1.5MVA</t>
  </si>
  <si>
    <t>Esta carga es la referida al barraje 13.8 kV del transformador TS38-SARDINATA-4MVA</t>
  </si>
  <si>
    <t>Esta carga es la referida al barraje 13.8 kV del transformador TI-08 TOLEDO 50MVA</t>
  </si>
  <si>
    <t>LOD_INSULA_138</t>
  </si>
  <si>
    <t>Esta carga es la referida al barraje 13.8 kV del transformador TS15-INSULA-25MVA</t>
  </si>
  <si>
    <t>Esta carga es la referida al barraje 34.5 kV del transformador TS14-INSULA-40MVA</t>
  </si>
  <si>
    <t>Esta carga es la referida al barraje 115 kV producto de la suma de las cargas LOD_INSULA_138 y LOD_INSULA_345</t>
  </si>
  <si>
    <t>LOD_OCAÑA_138</t>
  </si>
  <si>
    <t>Esta carga es la referida al barraje 13.8 kV del transformador TS27-OCAÑA-30MVA / Puede ser referida directamente al barraje 115 kV de la subestación Ocaña</t>
  </si>
  <si>
    <t>LOD_PLANTA TIBU_138</t>
  </si>
  <si>
    <t>Esta carga es la referida al barraje 115 kV producto de la suma de las cargas LOD_PLANTA TIBU_138 y LOD_PLANTA TIBU_345</t>
  </si>
  <si>
    <t>LOD_DON JUANA_138</t>
  </si>
  <si>
    <t>LOD_TONCHALA_138</t>
  </si>
  <si>
    <t>Esta carga es la referida al barraje 13.8 kV del transformador TS23-TIBU-18MVA</t>
  </si>
  <si>
    <t>Esta carga es la referida al barraje 34.5 kV del transformador TS24-TIBU-12MVA</t>
  </si>
  <si>
    <t>LOD_PLANTA ZULIA_138</t>
  </si>
  <si>
    <t>Esta carga es la referida al barraje 13.8 kV del transformador TS19-PLANTA_ZULIA-11MVA / Puede ser referida directamente al barraje 115 kV de la subestación Planta Zulia</t>
  </si>
  <si>
    <t>LOD_SAN MATEO_138_1</t>
  </si>
  <si>
    <t>LOD_SAN MATEO_138_2</t>
  </si>
  <si>
    <t>Esta carga es la referida al barraje 115 kV producto de la suma de las cargas LOD_SAN MATEO_138_1, LOD_SAN MATEO_138_2 y LOD_SAN MATEO_345</t>
  </si>
  <si>
    <t>Esta carga es la referida al barraje 13.8 kV del transformador TS09-SAN_MATEO-40MVA</t>
  </si>
  <si>
    <t>Esta carga es la referida al barraje 13.8 kV del transformador TS08-SAN_MATEO-47MVA</t>
  </si>
  <si>
    <t>Esta carga es la referida al barraje 34.5 kV del transformador TS07-SAN_MATEO-47MVA</t>
  </si>
  <si>
    <t>Esta carga es la referida al barraje 115 kV de la subestación AYACUCHO</t>
  </si>
  <si>
    <t>Esta carga es la referida al barraje 115 kV de la subestación PLANTA TIBU</t>
  </si>
  <si>
    <t>Esta carga es la referida al barraje 115 kV producto de la suma de las cargas LOD_TOLEDO_138 y LOD_TOLEDO_345</t>
  </si>
  <si>
    <t>Esta carga es la referida al barraje 34.5 kV del transformador TI-08 TOLEDO 50MVA</t>
  </si>
  <si>
    <t>LOD_SEVILLA_138_1</t>
  </si>
  <si>
    <t>LOD_SEVILLA_138_2</t>
  </si>
  <si>
    <t>Esta carga es la referida al barraje 13.8 kV del transformador TS12-SEVILLA-20MVA</t>
  </si>
  <si>
    <t>Esta carga es la referida al barraje 13.8 kV del transformador TS68-SEVILLA-32MVA</t>
  </si>
  <si>
    <t>Esta carga es la referida al barraje 115 kV producto de la suma de las cargas LOD_SEVILLA_138_1 y LOD_SEVILLA_138_2</t>
  </si>
  <si>
    <t>Toma el 40% de la carga LOD_BELEN_345</t>
  </si>
  <si>
    <t>Toma el 5% de la Carga LOD_BELEN_138_1, 31% de la Carga LOD_BELEN_138_2, 20% de la Carga LOD_ATALAYA_138 y 5% de la Carga LOD_CORNEJO_138</t>
  </si>
  <si>
    <t>Toma El 39% de su carga es de la Carga LOD_GRAMALOTE_138 y el 8% restante de su carga LOD_ABREGO_138</t>
  </si>
  <si>
    <t>Toma El 91% de la Carga LOD_SAN MATEO_345 y 31% de LOD_BELEN_345</t>
  </si>
  <si>
    <t>LOD_ALTO_POZO_138</t>
  </si>
  <si>
    <t>SEVC1 - 34.5 kv</t>
  </si>
  <si>
    <t>Reposición del transformador existente TS25-CONVENCION-10MVA</t>
  </si>
  <si>
    <t>TS_NUEVO-CONVENCION_115/34.5 kV</t>
  </si>
  <si>
    <t>Reposición del transformador existente TS44-EL_ZULIA-3.5MVA</t>
  </si>
  <si>
    <t>TS_NUEVO_EL_ZULIA_34.5/13.8 kV</t>
  </si>
  <si>
    <t>TS_NUEVO_ESCOBAL_34.5/13.8 kV</t>
  </si>
  <si>
    <t>Reposición del transformador existente TS17-ESCOBAL-12.5MVA</t>
  </si>
  <si>
    <t>TS_NUEVO_LA_GABARRA_34.5/13.8 kV</t>
  </si>
  <si>
    <t>La Gabarra</t>
  </si>
  <si>
    <t>Reposición del transformador existente TS49-LA_GABARA-2MVA</t>
  </si>
  <si>
    <t>Reposición del transformador existente TS28-OCAÑA-8MVA</t>
  </si>
  <si>
    <t>TS_NUEVO_OCAÑA_115/34.5 kV</t>
  </si>
  <si>
    <t>Reposición del transformador existente TS66-SAN_ANTONIO-0.25MVA</t>
  </si>
  <si>
    <t>Reposición del transformador existente TS41-SAN_PABLO-1.5MVA</t>
  </si>
  <si>
    <t>TS_NUEVO_SARDINATA_34.5/13.8 kV</t>
  </si>
  <si>
    <t>Reposición del transformador existente TS38-SARDINATA-4MVA</t>
  </si>
  <si>
    <t>Reposición del transformador existente TS12-SEVILLA-20MVA</t>
  </si>
  <si>
    <t>Reposición del transformador existente TS24-TIBU-12MVA</t>
  </si>
  <si>
    <t>TS_NUEVO_TIBU_115/13.8 kV</t>
  </si>
  <si>
    <t>TS_NUEVO_TIBU_115/34.5 kV</t>
  </si>
  <si>
    <t>Nuevo transformador en Paralelo al transformador existente TS24-TIBU-12MVA</t>
  </si>
  <si>
    <t>Transformador asociado a la nueva subestación Don Juana</t>
  </si>
  <si>
    <t>Transformador asociado a la nueva subestación Tonchalá</t>
  </si>
  <si>
    <t xml:space="preserve">Toma el 37% de la Carga de Palermo y 9% de la carga de Patios/ Puede ser referida como la carga </t>
  </si>
  <si>
    <t>TS_NUEVO_INSULA_115/34.5 kV</t>
  </si>
  <si>
    <t>TS_NUEVO_INSULA_115/13.8 kV</t>
  </si>
  <si>
    <t>SVC (Compensador Estático de Voltaje)</t>
  </si>
  <si>
    <t>AGUIG5</t>
  </si>
  <si>
    <t>Linea existente por 34.5 kV que conecta a la subestación Buturama y Aguachica</t>
  </si>
  <si>
    <t>TS_NUEVO_BUTURAMA_115/34.5 kV</t>
  </si>
  <si>
    <t>TS_NUEVO_BUTURAMA_115/13.8 kV</t>
  </si>
  <si>
    <t>Proyecto en identificación por señales de estudios de planeamiento, se reservar espacio en la subestación por 115 kV.</t>
  </si>
  <si>
    <t xml:space="preserve">PLANTA ZULIA </t>
  </si>
  <si>
    <t>PUERTO SANTANDER</t>
  </si>
  <si>
    <t>PLZ-PUERTO_SANTANDER</t>
  </si>
  <si>
    <t>INSC78</t>
  </si>
  <si>
    <t>SAN FAUSTINO</t>
  </si>
  <si>
    <t>Nuevo transformador en Paralelo para ampliar capacidad de transformación de la subestación, se reserva espacio en la subestación y se encuentra en estudio la redistribución de cargas.</t>
  </si>
  <si>
    <t>GAMARRA - MORALES</t>
  </si>
  <si>
    <t>MORALES</t>
  </si>
  <si>
    <t>SUBESTACIÓN MORALES</t>
  </si>
  <si>
    <t>Subestación en identificación por parte del transportador, en analisis nueva demanda que asumira.</t>
  </si>
  <si>
    <t>TS_NUEVO_MORALES-6MVA</t>
  </si>
  <si>
    <t>Morales</t>
  </si>
  <si>
    <t>Nuevo transformador en la subestación en identificación por parte del transportador Morales 34.5 kV</t>
  </si>
  <si>
    <t>TS_NUEVO_EL_MOLINO-25 MVA</t>
  </si>
  <si>
    <t>El Molino</t>
  </si>
  <si>
    <t>Nuevo transformador en la subestación en identificación por parte del transportador El Molino 34.5 kV</t>
  </si>
  <si>
    <t>Circuito en identificación por parte de CENS, el cual interconectara la subestación Existente Ocaña 34.5 kV , con la nueva subestación El Molino 34.5 kV. Se reserva espacio en las subestaciones para este proyecto.</t>
  </si>
  <si>
    <t>EL MOLINO</t>
  </si>
  <si>
    <t>OCAÑA-EL_MOLINO</t>
  </si>
  <si>
    <t>SUBESTACIÓN EL MOLINO</t>
  </si>
  <si>
    <t>Circuito en identificación por parte de CENS, el cual interconectara la subestación Existente Gamarra 34.5 kV, con la nueva subestación Morales 34.5 kV. Se reserva espacio en las subestaciones para este proyecto.</t>
  </si>
  <si>
    <t>Circuito en identificación por parte de CENS, el cual interconectara la subestación Existente Planta Zulia 34.5 kV, con la nueva subestación Puerto Santander 34.5 kV. Se reserva espacio en las subestaciones para este proyecto.</t>
  </si>
  <si>
    <t>San Faustino</t>
  </si>
  <si>
    <t>Nuevo transformador en la subestación en identificación por parte del transportador San Faustino 34.5 kV</t>
  </si>
  <si>
    <t>SUBESTACIÓN SAN FAUSTINO</t>
  </si>
  <si>
    <t>SUBESTACIÓN PUERTO SANTANDER</t>
  </si>
  <si>
    <t>TS_NUEVO_PUERTO_SANTANDER-6MVA</t>
  </si>
  <si>
    <t>Nuevo transformador en la subestación en identificación por parte del transportador Puerto Santander 34.5 kV</t>
  </si>
  <si>
    <t>Puerto Santander</t>
  </si>
  <si>
    <t>SUBESTACIÓN GUAMALITO</t>
  </si>
  <si>
    <t>La Esperanza</t>
  </si>
  <si>
    <t>TS_NUEVO_GUAMALITO-3 MVA</t>
  </si>
  <si>
    <t>Guamalito</t>
  </si>
  <si>
    <t>Nuevo transformador en la subestación en identificación por parte del transportador Guamalito 34.5 kV</t>
  </si>
  <si>
    <t>AYACUCHO - GUAMALITO</t>
  </si>
  <si>
    <t>GUAMALITO</t>
  </si>
  <si>
    <t>Circuito en identificación por parte de CENS, el cual interconectara la subestación Existente Ayacucho 34.5 kV, con la nueva subestación Guamalito 34.5 kV. Se reserva espacio en las subestaciones para este proyecto.</t>
  </si>
  <si>
    <t>SUBESTACIÓN TORCOROMA</t>
  </si>
  <si>
    <t>TS_NUEVO_TORCOROMA-12.5 MVA</t>
  </si>
  <si>
    <t>Torcoroma</t>
  </si>
  <si>
    <t>Nuevo transformador en la subestación en identificación por parte del transportador Torcoroma 34.5 kV</t>
  </si>
  <si>
    <t>SUBESTACIÓN PRADOS</t>
  </si>
  <si>
    <t>TS_NUEVO_PRADOS-22 MVA</t>
  </si>
  <si>
    <t>Prados</t>
  </si>
  <si>
    <t>Nuevo transformador en la subestación en identificación por parte del transportador Prados 34.5 kV</t>
  </si>
  <si>
    <t>SUBESTACIÓN CUCUTILLA</t>
  </si>
  <si>
    <t>Cucutilla</t>
  </si>
  <si>
    <t>TS_NUEVO_CUCUTILLA-5 MVA</t>
  </si>
  <si>
    <t>Nuevo transformador en la subestación en identificación por parte del transportador Cucutilla 34.5 kV</t>
  </si>
  <si>
    <t>DON JUANA - CUCUTILLA</t>
  </si>
  <si>
    <t>CUCUTILLA</t>
  </si>
  <si>
    <t>Circuito en identificación por parte de CENS, el cual interconectara la subestación Don Juana 34.5 kV, con la nueva subestación Cucutilla 34.5 kV. Se reserva espacio en las subestaciones para este proyecto.</t>
  </si>
  <si>
    <t>SUBESTACIÓN CHAPARRAL</t>
  </si>
  <si>
    <t>TS_NUEVO_CHAPARRAL-22 MVA</t>
  </si>
  <si>
    <t>Chaparral</t>
  </si>
  <si>
    <t>Nuevo transformador en la subestación en identificación por parte del transportador Chaparral 34.5 kV</t>
  </si>
  <si>
    <t>TS_NUEVO_CHITAGA-6 MVA</t>
  </si>
  <si>
    <t>Chitaga</t>
  </si>
  <si>
    <t>Nuevo transformador en la subestación en identificación por parte del transportador Chitagá 34.5 kV</t>
  </si>
  <si>
    <t>SUBESTACIÓN SWITCHEO LA LEGIA</t>
  </si>
  <si>
    <t>Subestación en identificación por parte del transportadoren el sector la legía en Pamplona, Para interconectar la nueva subestación Chitaga con el circuito existente TOLPALERMO_1_PAMPLONA</t>
  </si>
  <si>
    <t>SUBESTACIÓN CHITAGA</t>
  </si>
  <si>
    <t>SWITCHEO LA LEGIA</t>
  </si>
  <si>
    <t>CHITAGA</t>
  </si>
  <si>
    <t>LA LEGIA - CHITAGA</t>
  </si>
  <si>
    <t>Circuito en identificación por parte de CENS, el cual interconectara la nueva subestación de Swticheo La Legia 34.5 kV, con la nueva subestación Cucutilla 34.5 kV. Se reserva espacio en las subestaciones para este proyecto.</t>
  </si>
  <si>
    <t>CAMPO ALICIA</t>
  </si>
  <si>
    <t>CULEBRA - CAMPO ALICIA</t>
  </si>
  <si>
    <t>TS_NUEVO_CAMPO_ALICIA-6 MVA</t>
  </si>
  <si>
    <t>Campo Alicia</t>
  </si>
  <si>
    <t>Nuevo transformador en la subestación en identificación por parte del transportador Campo Alicia 34.5 kV</t>
  </si>
  <si>
    <t>SUBESTACIÓN CENTRO</t>
  </si>
  <si>
    <t>Chitagá</t>
  </si>
  <si>
    <t>SUBESTACIÓN CAMPO ALICIA</t>
  </si>
  <si>
    <t>TS_CENTRO-22 MVA</t>
  </si>
  <si>
    <t>Centro</t>
  </si>
  <si>
    <t>Nuevo transformador en la subestación en identificación por parte del transportador Centro 34.5 kV</t>
  </si>
  <si>
    <t>TS_NUEVO_ASTILLEROS-6 MVA</t>
  </si>
  <si>
    <t>Astilleros</t>
  </si>
  <si>
    <t>Nuevo transformador en la subestación en identificación por parte del transportador Astilleros 34.5 kV</t>
  </si>
  <si>
    <t>SUBESTACIÓN ASTILLEROS</t>
  </si>
  <si>
    <t>SUBESTACIÓN CEDROS</t>
  </si>
  <si>
    <t>Cedros</t>
  </si>
  <si>
    <t>Nuevo transformador en la subestación en identificación por parte del transportador Cedros 34.5 kV</t>
  </si>
  <si>
    <t>CEDROS</t>
  </si>
  <si>
    <t>CEDROS - BUTURAMA</t>
  </si>
  <si>
    <t>Circuito en identificación por parte de CENS, el cual interconectara la subestación existente Buturama 34.5 kV, con la nueva subestación Cedros 34.5 kV. Se reserva espacio en las subestaciones para este proyecto.</t>
  </si>
  <si>
    <t>Circuito en identificación por parte de CENS, el cual interconectara la subestación existente Culebra 34.5 kV, con la nueva subestación Campo Alicia 34.5 kV. Se reserva espacio en las subestaciones para este proyecto.</t>
  </si>
  <si>
    <t>SUBESTACIÓN NORTE</t>
  </si>
  <si>
    <t>TS_NUEVO_CEDROS-4 MVA</t>
  </si>
  <si>
    <t>NORTE</t>
  </si>
  <si>
    <t>OCAÑA-NORTE</t>
  </si>
  <si>
    <t>Norte</t>
  </si>
  <si>
    <t>Nuevo transformador en la subestación en identificación por parte del transportador Norte 34.5 kV</t>
  </si>
  <si>
    <t>Circuito en identificación por parte de CENS, el cual interconectara la subestación existente Ocaña 34.5 kV, con la nueva subestación Norte 34.5 kV. Se reserva espacio en las subestaciones para este proyecto.</t>
  </si>
  <si>
    <t>TS_NUEVO_NORTE-3 MVA</t>
  </si>
  <si>
    <t>CONVENCIÓN - TIBÚ (Repotenciación existente CONS95)</t>
  </si>
  <si>
    <t>TIBÚ - PLANTA ZULIA (Repotenciación PLZS20)</t>
  </si>
  <si>
    <t>TS-90 - OCAÑA 1</t>
  </si>
  <si>
    <t>85,5</t>
  </si>
  <si>
    <t>100,4</t>
  </si>
  <si>
    <t>3,5</t>
  </si>
  <si>
    <t>Linea con salida desde la subestación Belén hasta la subestación Patios 34.5 kV</t>
  </si>
  <si>
    <t>Linea con salida desde la subestación Patios 34.5 kV hasta la Subestación Palermo</t>
  </si>
  <si>
    <t>Toma El 40% de la Carga LOD_CULEBRA y toma el 38% de la Carga LOD_SARDINATA</t>
  </si>
  <si>
    <t>Toma El 13% de la carga LOD_OCAÑA_138 y toma el 8% de la carga LOD_CONVENCION_138</t>
  </si>
  <si>
    <t>Expansión por 34.5 kV que interconecta las subestaciones Atalaya y Guaduas cuya distancia entre las subestaciones sería de 22.19 km (Expansión de la actual INSC77)</t>
  </si>
  <si>
    <t>Esta linea secciona la línea ATALAYA-GUADUAS  en el kilometro 13 km Sentido Guaduas - Atalaya 34.4 kV para entrar al pórtico de la subestación Tonchalá (la conexión no es en T)</t>
  </si>
  <si>
    <t>Esta linea secciona la línea ATALAYA-GUADUAS en el kilometro 13 km Sentido Atalaya - Guaduas 34.5 kV para entrar al pórtico de la subestación Tonchalá (la conexión no es en T)</t>
  </si>
  <si>
    <t>SANOL55</t>
  </si>
  <si>
    <t>TS_NUEVO_CHAPARRAL-47 MVA</t>
  </si>
  <si>
    <t>TS21-PALERMO-12.5MVA</t>
  </si>
  <si>
    <t>LOD_SANFAUSTINO_138</t>
  </si>
  <si>
    <t>Toma El 25% de la carga de la LOD_INSULA_138</t>
  </si>
  <si>
    <t>Toma El 90% de la carga de la LOD_INSULA_345</t>
  </si>
  <si>
    <t>Expansión (Desde una nueva Bahía habilitada en el patio existente 34.5 kV en la S/E San Mateo a la Subestación Patios) En Condiciones normales de Operación se encuentra normalmente abierta</t>
  </si>
  <si>
    <t>AGUACHICA - BUTURAMA 1 115 Kv</t>
  </si>
  <si>
    <t>AYACUCHO - BUTURAMA 1 115 kV</t>
  </si>
  <si>
    <t>AYACUCHO - CONVENCION 1 115 kV</t>
  </si>
  <si>
    <t>LA INSULA (CUCUTA) - SAN MATEO (CUCUTA) 1 115 Kv</t>
  </si>
  <si>
    <t>Circuito en formulación por parte de CENS, el cual interconectara la subestación Existente Ínsula 34.5 kV, con la nueva subestación San Faustino 34.5 kV. Se reserva espacio en las subestaciones para este proyecto.</t>
  </si>
  <si>
    <t>TS-53_PLANTA_ZULIA-25MVA</t>
  </si>
  <si>
    <t>IL70</t>
  </si>
  <si>
    <t>TS52-SAN_ROQUE-12.5MVA</t>
  </si>
  <si>
    <t>TS51-SEVILLA-47MVA</t>
  </si>
  <si>
    <t>TS51_NUEVO-SEVILLA-47MVA</t>
  </si>
  <si>
    <t>TS83-ECOPETROL-40MVA</t>
  </si>
  <si>
    <t>TIBCDOS</t>
  </si>
  <si>
    <t>TIBO11 - VERSALLES</t>
  </si>
  <si>
    <t>VERSALLES</t>
  </si>
  <si>
    <t>TIBO11 - ORU</t>
  </si>
  <si>
    <t>TS39-EL_TARRA-5MVA</t>
  </si>
  <si>
    <t>Esta carga es la referida al barraje 115 kV producto de la suma de las cargas LOD_AYACUCHO_138 y LOD_AYACUCHO_345</t>
  </si>
  <si>
    <t>LOD_MONTECITOS_138</t>
  </si>
  <si>
    <t>LOD_TOLEDO_230</t>
  </si>
  <si>
    <t>TS_SAN_FAUSTINO-12.5 MVA</t>
  </si>
  <si>
    <t>Se toman los datos desde el punto de derivación de la Subestación Cornejo hasta la entrada de la subestación Guaduas</t>
  </si>
  <si>
    <t>Se toman los datos desde el punto de derivación de la subestación Cornejo hasta el nodo físico FMVE4430 en el cual derivan dos circuitos de 34.5 kV (ver mas a detalle en los diagramas unifilares y archivos georeferenciados)</t>
  </si>
  <si>
    <t>Las presentes demandas se encuentran a diciembre de 2021</t>
  </si>
  <si>
    <t>TS33-AGUACHICA-18MVA</t>
  </si>
  <si>
    <t>TS66-SAN_ANTONIO-0.5MVA</t>
  </si>
  <si>
    <t>TS41-SAN_PABLO-5MVA</t>
  </si>
  <si>
    <t>Esta subestación a partir del 2029 va a tomar las subestaciones Palermo y Patios por 34.5 kV seccionando la línea BEL35_2_PALERMO en la entrada al correguimiento de la Don Juana</t>
  </si>
  <si>
    <t>Nuevo transformador en la subestación en identificación por parte del transportador Chaparral 115 kV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</si>
</sst>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0.000"/>
    <numFmt numFmtId="166" formatCode="0.0000000"/>
    <numFmt numFmtId="167" formatCode="0.0000"/>
    <numFmt numFmtId="168" formatCode="0.0"/>
    <numFmt numFmtId="169" formatCode="yyyy"/>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1"/>
      <color rgb="FF9C6500"/>
      <name val="Calibri"/>
      <family val="2"/>
      <scheme val="minor"/>
    </font>
    <font>
      <sz val="10"/>
      <name val="Arial"/>
      <family val="2"/>
    </font>
    <font>
      <b/>
      <sz val="18"/>
      <color theme="3"/>
      <name val="Calibri Light"/>
      <family val="2"/>
      <scheme val="major"/>
    </font>
    <font>
      <b/>
      <sz val="9"/>
      <color theme="0"/>
      <name val="Calibri"/>
      <family val="2"/>
      <scheme val="minor"/>
    </font>
    <font>
      <b/>
      <sz val="9"/>
      <color theme="1"/>
      <name val="Calibri"/>
      <family val="2"/>
      <scheme val="minor"/>
    </font>
    <font>
      <b/>
      <sz val="14"/>
      <color theme="1"/>
      <name val="Calibri"/>
      <family val="2"/>
      <scheme val="minor"/>
    </font>
    <font>
      <sz val="10"/>
      <color theme="1"/>
      <name val="Calibri"/>
      <family val="2"/>
      <scheme val="minor"/>
    </font>
    <font>
      <sz val="11"/>
      <name val="Calibri"/>
      <family val="2"/>
      <scheme val="minor"/>
    </font>
    <font>
      <i/>
      <sz val="11"/>
      <color theme="1"/>
      <name val="Calibri"/>
      <family val="2"/>
      <scheme val="minor"/>
    </font>
    <font>
      <i/>
      <sz val="11"/>
      <name val="Calibri"/>
      <family val="2"/>
      <scheme val="minor"/>
    </font>
    <font>
      <sz val="8"/>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92D050"/>
        <bgColor indexed="64"/>
      </patternFill>
    </fill>
  </fills>
  <borders count="5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s>
  <cellStyleXfs count="4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0" borderId="0"/>
    <xf numFmtId="0" fontId="18" fillId="4"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20" fillId="0" borderId="0" applyNumberFormat="0" applyFill="0" applyBorder="0" applyAlignment="0" applyProtection="0"/>
    <xf numFmtId="0" fontId="19" fillId="0" borderId="0"/>
    <xf numFmtId="164" fontId="1" fillId="0" borderId="0" applyFont="0" applyFill="0" applyBorder="0" applyAlignment="0" applyProtection="0"/>
    <xf numFmtId="0" fontId="19" fillId="0" borderId="0"/>
    <xf numFmtId="9" fontId="1" fillId="0" borderId="0" applyFont="0" applyFill="0" applyBorder="0" applyAlignment="0" applyProtection="0"/>
  </cellStyleXfs>
  <cellXfs count="185">
    <xf numFmtId="0" fontId="0" fillId="0" borderId="0" xfId="0"/>
    <xf numFmtId="0" fontId="0" fillId="0" borderId="0" xfId="0" applyAlignment="1">
      <alignment horizontal="center" vertical="center"/>
    </xf>
    <xf numFmtId="0" fontId="0" fillId="0" borderId="0" xfId="0" applyAlignment="1">
      <alignment horizontal="center"/>
    </xf>
    <xf numFmtId="0" fontId="16" fillId="0" borderId="0" xfId="0" applyFont="1"/>
    <xf numFmtId="0" fontId="16" fillId="0" borderId="0" xfId="0" applyFont="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xf>
    <xf numFmtId="0" fontId="0" fillId="34" borderId="21" xfId="0" applyFill="1" applyBorder="1" applyAlignment="1">
      <alignment horizontal="center"/>
    </xf>
    <xf numFmtId="0" fontId="0" fillId="34" borderId="22" xfId="0" applyFill="1" applyBorder="1" applyAlignment="1">
      <alignment horizontal="center"/>
    </xf>
    <xf numFmtId="0" fontId="0" fillId="35" borderId="10" xfId="0" applyFill="1" applyBorder="1"/>
    <xf numFmtId="0" fontId="0" fillId="35" borderId="23" xfId="0" applyFill="1" applyBorder="1"/>
    <xf numFmtId="0" fontId="0" fillId="34" borderId="24" xfId="0" applyFill="1" applyBorder="1" applyAlignment="1">
      <alignment horizontal="center"/>
    </xf>
    <xf numFmtId="0" fontId="0" fillId="35" borderId="25" xfId="0" applyFill="1" applyBorder="1"/>
    <xf numFmtId="0" fontId="0" fillId="34" borderId="27" xfId="0" applyFill="1" applyBorder="1" applyAlignment="1">
      <alignment horizontal="center"/>
    </xf>
    <xf numFmtId="0" fontId="0" fillId="35" borderId="28" xfId="0" applyFill="1" applyBorder="1"/>
    <xf numFmtId="0" fontId="0" fillId="35" borderId="29" xfId="0" applyFill="1" applyBorder="1"/>
    <xf numFmtId="0" fontId="0" fillId="0" borderId="0" xfId="0" applyAlignment="1">
      <alignment vertical="center"/>
    </xf>
    <xf numFmtId="0" fontId="0" fillId="0" borderId="0" xfId="0" applyAlignment="1">
      <alignment vertical="center" wrapText="1"/>
    </xf>
    <xf numFmtId="0" fontId="23" fillId="0" borderId="0" xfId="0" applyFont="1" applyAlignment="1">
      <alignment horizontal="center" vertical="center" wrapText="1"/>
    </xf>
    <xf numFmtId="0" fontId="23" fillId="0" borderId="26" xfId="0" applyFont="1" applyBorder="1" applyAlignment="1">
      <alignment horizontal="center" vertical="center" wrapText="1"/>
    </xf>
    <xf numFmtId="0" fontId="24" fillId="0" borderId="0" xfId="0" applyFont="1" applyAlignment="1">
      <alignment horizontal="left" vertical="center" wrapText="1"/>
    </xf>
    <xf numFmtId="0" fontId="0" fillId="34" borderId="34" xfId="0" applyFill="1" applyBorder="1" applyAlignment="1">
      <alignment horizontal="center"/>
    </xf>
    <xf numFmtId="0" fontId="0" fillId="35" borderId="35" xfId="0" applyFill="1" applyBorder="1"/>
    <xf numFmtId="0" fontId="0" fillId="35" borderId="36" xfId="0" applyFill="1" applyBorder="1"/>
    <xf numFmtId="0" fontId="0" fillId="35" borderId="37" xfId="0" applyFill="1" applyBorder="1"/>
    <xf numFmtId="0" fontId="0" fillId="35" borderId="38" xfId="0" applyFill="1" applyBorder="1"/>
    <xf numFmtId="0" fontId="0" fillId="35" borderId="39" xfId="0" applyFill="1" applyBorder="1"/>
    <xf numFmtId="0" fontId="22" fillId="35" borderId="11" xfId="0" applyFont="1" applyFill="1" applyBorder="1" applyAlignment="1">
      <alignment horizontal="center" vertical="center" wrapText="1"/>
    </xf>
    <xf numFmtId="0" fontId="0" fillId="0" borderId="40" xfId="0" applyBorder="1" applyAlignment="1">
      <alignment horizontal="left" vertical="center" wrapText="1"/>
    </xf>
    <xf numFmtId="0" fontId="0" fillId="0" borderId="37" xfId="0" applyBorder="1" applyAlignment="1">
      <alignment horizontal="left" vertical="center" wrapText="1"/>
    </xf>
    <xf numFmtId="0" fontId="25" fillId="0" borderId="42" xfId="0" applyFont="1" applyBorder="1" applyAlignment="1">
      <alignment vertical="center" wrapText="1"/>
    </xf>
    <xf numFmtId="0" fontId="25" fillId="0" borderId="38" xfId="0" applyFont="1" applyBorder="1" applyAlignment="1">
      <alignment vertical="center" wrapText="1"/>
    </xf>
    <xf numFmtId="0" fontId="25" fillId="0" borderId="34" xfId="0" applyFont="1" applyBorder="1" applyAlignment="1">
      <alignment horizontal="left" vertical="center" wrapText="1"/>
    </xf>
    <xf numFmtId="0" fontId="25" fillId="0" borderId="22" xfId="0" applyFont="1" applyBorder="1" applyAlignment="1">
      <alignment horizontal="left" vertical="center" wrapText="1"/>
    </xf>
    <xf numFmtId="0" fontId="25" fillId="0" borderId="38" xfId="0" applyFont="1" applyBorder="1" applyAlignment="1">
      <alignment horizontal="left" vertical="center" wrapText="1"/>
    </xf>
    <xf numFmtId="0" fontId="25" fillId="0" borderId="43" xfId="0" applyFont="1" applyBorder="1" applyAlignment="1">
      <alignment horizontal="left" vertical="center" wrapText="1"/>
    </xf>
    <xf numFmtId="0" fontId="25" fillId="0" borderId="44" xfId="0" applyFont="1" applyBorder="1" applyAlignment="1">
      <alignment vertical="center" wrapText="1"/>
    </xf>
    <xf numFmtId="0" fontId="25" fillId="0" borderId="42" xfId="0" applyFont="1" applyBorder="1" applyAlignment="1">
      <alignment horizontal="left" vertical="center" wrapText="1"/>
    </xf>
    <xf numFmtId="0" fontId="25" fillId="0" borderId="45" xfId="0" applyFont="1" applyBorder="1" applyAlignment="1">
      <alignment horizontal="left" vertical="center" wrapText="1"/>
    </xf>
    <xf numFmtId="0" fontId="25" fillId="0" borderId="46" xfId="0" applyFont="1" applyBorder="1" applyAlignment="1">
      <alignment horizontal="left" vertical="center" wrapText="1"/>
    </xf>
    <xf numFmtId="0" fontId="25" fillId="0" borderId="40" xfId="0" applyFont="1" applyBorder="1" applyAlignment="1">
      <alignment vertical="center"/>
    </xf>
    <xf numFmtId="0" fontId="25" fillId="0" borderId="37" xfId="0" applyFont="1" applyBorder="1" applyAlignment="1">
      <alignment vertical="center" wrapText="1"/>
    </xf>
    <xf numFmtId="0" fontId="25" fillId="0" borderId="42" xfId="0" applyFont="1" applyBorder="1" applyAlignment="1">
      <alignment vertical="center"/>
    </xf>
    <xf numFmtId="0" fontId="25" fillId="0" borderId="37" xfId="0" applyFont="1" applyBorder="1" applyAlignment="1">
      <alignment horizontal="left" vertical="center" wrapText="1"/>
    </xf>
    <xf numFmtId="0" fontId="25" fillId="0" borderId="27" xfId="0" applyFont="1" applyBorder="1" applyAlignment="1">
      <alignment vertical="center" wrapText="1"/>
    </xf>
    <xf numFmtId="0" fontId="25" fillId="0" borderId="46" xfId="0" applyFont="1" applyBorder="1" applyAlignment="1">
      <alignment vertical="center" wrapText="1"/>
    </xf>
    <xf numFmtId="0" fontId="16" fillId="0" borderId="0" xfId="0" applyFont="1" applyAlignment="1">
      <alignment wrapText="1"/>
    </xf>
    <xf numFmtId="0" fontId="25" fillId="0" borderId="47" xfId="0" applyFont="1" applyBorder="1" applyAlignment="1">
      <alignment horizontal="left" vertical="center" wrapText="1"/>
    </xf>
    <xf numFmtId="0" fontId="0" fillId="0" borderId="10" xfId="0" applyBorder="1" applyAlignment="1">
      <alignment horizontal="center" vertical="center"/>
    </xf>
    <xf numFmtId="0" fontId="0" fillId="0" borderId="10" xfId="0" applyBorder="1" applyAlignment="1">
      <alignment horizontal="center"/>
    </xf>
    <xf numFmtId="0" fontId="0" fillId="0" borderId="10" xfId="0" applyBorder="1" applyAlignment="1">
      <alignment horizontal="center" wrapText="1"/>
    </xf>
    <xf numFmtId="0" fontId="15" fillId="33" borderId="10" xfId="0" applyFont="1" applyFill="1" applyBorder="1" applyAlignment="1">
      <alignment horizontal="center"/>
    </xf>
    <xf numFmtId="0" fontId="26" fillId="36" borderId="10" xfId="0" applyFont="1" applyFill="1" applyBorder="1" applyAlignment="1">
      <alignment horizontal="center"/>
    </xf>
    <xf numFmtId="0" fontId="26" fillId="36" borderId="10" xfId="0" applyFont="1" applyFill="1" applyBorder="1" applyAlignment="1">
      <alignment horizontal="center" vertical="center"/>
    </xf>
    <xf numFmtId="14" fontId="0" fillId="35" borderId="36" xfId="0" applyNumberFormat="1" applyFill="1" applyBorder="1"/>
    <xf numFmtId="14" fontId="0" fillId="0" borderId="0" xfId="0" applyNumberFormat="1"/>
    <xf numFmtId="14" fontId="0" fillId="35" borderId="23" xfId="0" applyNumberFormat="1" applyFill="1" applyBorder="1"/>
    <xf numFmtId="14" fontId="0" fillId="35" borderId="29" xfId="0" applyNumberFormat="1" applyFill="1" applyBorder="1"/>
    <xf numFmtId="14" fontId="0" fillId="35" borderId="35" xfId="0" applyNumberFormat="1" applyFill="1" applyBorder="1"/>
    <xf numFmtId="14" fontId="0" fillId="35" borderId="10" xfId="0" applyNumberFormat="1" applyFill="1" applyBorder="1"/>
    <xf numFmtId="14" fontId="0" fillId="35" borderId="25" xfId="0" applyNumberFormat="1" applyFill="1" applyBorder="1"/>
    <xf numFmtId="14" fontId="0" fillId="35" borderId="28" xfId="0" applyNumberFormat="1" applyFill="1" applyBorder="1"/>
    <xf numFmtId="0" fontId="25" fillId="0" borderId="43" xfId="0" applyFont="1" applyBorder="1" applyAlignment="1">
      <alignment vertical="center"/>
    </xf>
    <xf numFmtId="0" fontId="25" fillId="0" borderId="44" xfId="0" applyFont="1" applyBorder="1" applyAlignment="1">
      <alignment horizontal="left" vertical="center" wrapText="1"/>
    </xf>
    <xf numFmtId="0" fontId="25" fillId="0" borderId="22" xfId="0" applyFont="1" applyBorder="1" applyAlignment="1">
      <alignment vertical="center"/>
    </xf>
    <xf numFmtId="0" fontId="25" fillId="0" borderId="48" xfId="0" applyFont="1" applyBorder="1" applyAlignment="1">
      <alignment vertical="center" wrapText="1"/>
    </xf>
    <xf numFmtId="0" fontId="25" fillId="0" borderId="39" xfId="0" applyFont="1" applyBorder="1" applyAlignment="1">
      <alignment vertical="center" wrapText="1"/>
    </xf>
    <xf numFmtId="0" fontId="25" fillId="0" borderId="21" xfId="0" applyFont="1" applyBorder="1" applyAlignment="1">
      <alignment vertical="center" wrapText="1"/>
    </xf>
    <xf numFmtId="0" fontId="25" fillId="0" borderId="22" xfId="0" applyFont="1" applyBorder="1" applyAlignment="1">
      <alignment vertical="center" wrapText="1"/>
    </xf>
    <xf numFmtId="0" fontId="25" fillId="0" borderId="47" xfId="0" applyFont="1" applyBorder="1" applyAlignment="1">
      <alignment vertical="center" wrapText="1"/>
    </xf>
    <xf numFmtId="0" fontId="25" fillId="0" borderId="48" xfId="0" applyFont="1" applyBorder="1" applyAlignment="1">
      <alignment vertical="center"/>
    </xf>
    <xf numFmtId="0" fontId="15" fillId="35" borderId="15" xfId="0" applyFont="1" applyFill="1" applyBorder="1" applyAlignment="1">
      <alignment horizontal="center" vertical="center" wrapText="1"/>
    </xf>
    <xf numFmtId="0" fontId="0" fillId="37" borderId="0" xfId="0" applyFill="1"/>
    <xf numFmtId="0" fontId="0" fillId="35" borderId="10" xfId="0" applyFill="1" applyBorder="1" applyAlignment="1">
      <alignment horizontal="center" vertical="center" wrapText="1"/>
    </xf>
    <xf numFmtId="0" fontId="0" fillId="35" borderId="10" xfId="0" applyFill="1" applyBorder="1" applyAlignment="1">
      <alignment wrapText="1"/>
    </xf>
    <xf numFmtId="0" fontId="0" fillId="35" borderId="10" xfId="0" applyFill="1" applyBorder="1" applyAlignment="1">
      <alignment horizontal="center" vertical="center"/>
    </xf>
    <xf numFmtId="0" fontId="0" fillId="37" borderId="0" xfId="0" applyFill="1" applyAlignment="1">
      <alignment wrapText="1"/>
    </xf>
    <xf numFmtId="0" fontId="22" fillId="35" borderId="19" xfId="0" applyFont="1" applyFill="1" applyBorder="1" applyAlignment="1">
      <alignment horizontal="center" vertical="center" wrapText="1"/>
    </xf>
    <xf numFmtId="0" fontId="25" fillId="37" borderId="21" xfId="0" applyFont="1" applyFill="1" applyBorder="1" applyAlignment="1">
      <alignment vertical="center" wrapText="1"/>
    </xf>
    <xf numFmtId="0" fontId="25" fillId="37" borderId="44" xfId="0" applyFont="1" applyFill="1" applyBorder="1" applyAlignment="1">
      <alignment vertical="center" wrapText="1"/>
    </xf>
    <xf numFmtId="0" fontId="25" fillId="37" borderId="39" xfId="0" applyFont="1" applyFill="1" applyBorder="1" applyAlignment="1">
      <alignment vertical="center" wrapText="1"/>
    </xf>
    <xf numFmtId="0" fontId="25" fillId="0" borderId="45" xfId="0" applyFont="1" applyBorder="1" applyAlignment="1">
      <alignment vertical="center" wrapText="1"/>
    </xf>
    <xf numFmtId="0" fontId="0" fillId="35" borderId="35" xfId="0" applyFill="1" applyBorder="1" applyAlignment="1">
      <alignment horizontal="center"/>
    </xf>
    <xf numFmtId="0" fontId="0" fillId="35" borderId="10" xfId="0" applyFill="1" applyBorder="1" applyAlignment="1">
      <alignment horizontal="center"/>
    </xf>
    <xf numFmtId="165" fontId="0" fillId="35" borderId="36" xfId="0" applyNumberFormat="1" applyFill="1" applyBorder="1" applyAlignment="1">
      <alignment horizontal="center"/>
    </xf>
    <xf numFmtId="165" fontId="0" fillId="35" borderId="23" xfId="0" applyNumberFormat="1" applyFill="1" applyBorder="1" applyAlignment="1">
      <alignment horizontal="center"/>
    </xf>
    <xf numFmtId="0" fontId="0" fillId="35" borderId="23" xfId="0" applyFill="1" applyBorder="1" applyAlignment="1">
      <alignment horizontal="center"/>
    </xf>
    <xf numFmtId="0" fontId="0" fillId="35" borderId="36" xfId="0" applyFill="1" applyBorder="1" applyAlignment="1">
      <alignment horizontal="center"/>
    </xf>
    <xf numFmtId="2" fontId="0" fillId="35" borderId="36" xfId="0" applyNumberFormat="1" applyFill="1" applyBorder="1" applyAlignment="1">
      <alignment horizontal="center"/>
    </xf>
    <xf numFmtId="2" fontId="0" fillId="35" borderId="23" xfId="0" applyNumberFormat="1" applyFill="1" applyBorder="1" applyAlignment="1">
      <alignment horizontal="center"/>
    </xf>
    <xf numFmtId="0" fontId="0" fillId="35" borderId="25" xfId="0" applyFill="1" applyBorder="1" applyAlignment="1">
      <alignment horizontal="center"/>
    </xf>
    <xf numFmtId="0" fontId="0" fillId="35" borderId="28" xfId="0" applyFill="1" applyBorder="1" applyAlignment="1">
      <alignment horizontal="center"/>
    </xf>
    <xf numFmtId="0" fontId="0" fillId="35" borderId="29" xfId="0" applyFill="1" applyBorder="1" applyAlignment="1">
      <alignment horizontal="center"/>
    </xf>
    <xf numFmtId="0" fontId="0" fillId="35" borderId="49" xfId="0" applyFill="1" applyBorder="1" applyAlignment="1">
      <alignment horizontal="center"/>
    </xf>
    <xf numFmtId="0" fontId="0" fillId="35" borderId="49" xfId="0" applyFill="1" applyBorder="1"/>
    <xf numFmtId="14" fontId="0" fillId="35" borderId="49" xfId="0" applyNumberFormat="1" applyFill="1" applyBorder="1"/>
    <xf numFmtId="0" fontId="0" fillId="35" borderId="46" xfId="0" applyFill="1" applyBorder="1"/>
    <xf numFmtId="14" fontId="0" fillId="35" borderId="23" xfId="0" applyNumberFormat="1" applyFill="1" applyBorder="1" applyAlignment="1">
      <alignment horizontal="center"/>
    </xf>
    <xf numFmtId="0" fontId="0" fillId="35" borderId="50" xfId="0" applyFill="1" applyBorder="1"/>
    <xf numFmtId="0" fontId="0" fillId="35" borderId="51" xfId="0" applyFill="1" applyBorder="1"/>
    <xf numFmtId="0" fontId="0" fillId="35" borderId="44" xfId="0" applyFill="1" applyBorder="1"/>
    <xf numFmtId="9" fontId="0" fillId="35" borderId="23" xfId="0" applyNumberFormat="1" applyFill="1" applyBorder="1" applyAlignment="1">
      <alignment horizontal="center"/>
    </xf>
    <xf numFmtId="9" fontId="0" fillId="35" borderId="36" xfId="0" applyNumberFormat="1" applyFill="1" applyBorder="1" applyAlignment="1">
      <alignment horizontal="center"/>
    </xf>
    <xf numFmtId="0" fontId="0" fillId="35" borderId="51" xfId="0" applyFill="1" applyBorder="1" applyAlignment="1">
      <alignment horizontal="center"/>
    </xf>
    <xf numFmtId="0" fontId="0" fillId="35" borderId="50" xfId="0" applyFill="1" applyBorder="1" applyAlignment="1">
      <alignment horizontal="center"/>
    </xf>
    <xf numFmtId="14" fontId="0" fillId="35" borderId="36" xfId="0" applyNumberFormat="1" applyFill="1" applyBorder="1" applyAlignment="1">
      <alignment horizontal="center"/>
    </xf>
    <xf numFmtId="0" fontId="0" fillId="35" borderId="37" xfId="0" applyFill="1" applyBorder="1" applyAlignment="1">
      <alignment horizontal="center"/>
    </xf>
    <xf numFmtId="0" fontId="0" fillId="35" borderId="38" xfId="0" applyFill="1" applyBorder="1" applyAlignment="1">
      <alignment horizontal="center"/>
    </xf>
    <xf numFmtId="0" fontId="0" fillId="35" borderId="52" xfId="0" applyFill="1" applyBorder="1" applyAlignment="1">
      <alignment horizontal="center"/>
    </xf>
    <xf numFmtId="0" fontId="0" fillId="35" borderId="10" xfId="0" applyFill="1" applyBorder="1" applyAlignment="1">
      <alignment vertical="center" wrapText="1"/>
    </xf>
    <xf numFmtId="0" fontId="0" fillId="35" borderId="38" xfId="0" applyFill="1" applyBorder="1" applyAlignment="1">
      <alignment horizontal="left"/>
    </xf>
    <xf numFmtId="2" fontId="0" fillId="35" borderId="35" xfId="0" applyNumberFormat="1" applyFill="1" applyBorder="1" applyAlignment="1">
      <alignment horizontal="center"/>
    </xf>
    <xf numFmtId="2" fontId="0" fillId="35" borderId="10" xfId="0" applyNumberFormat="1" applyFill="1" applyBorder="1" applyAlignment="1">
      <alignment horizontal="center"/>
    </xf>
    <xf numFmtId="2" fontId="0" fillId="35" borderId="25" xfId="0" applyNumberFormat="1" applyFill="1" applyBorder="1" applyAlignment="1">
      <alignment horizontal="center"/>
    </xf>
    <xf numFmtId="2" fontId="0" fillId="0" borderId="0" xfId="0" applyNumberFormat="1"/>
    <xf numFmtId="0" fontId="0" fillId="35" borderId="25" xfId="0" applyFill="1" applyBorder="1" applyAlignment="1">
      <alignment horizontal="left"/>
    </xf>
    <xf numFmtId="0" fontId="0" fillId="35" borderId="10" xfId="0" applyFill="1" applyBorder="1" applyAlignment="1">
      <alignment horizontal="left"/>
    </xf>
    <xf numFmtId="0" fontId="0" fillId="35" borderId="46" xfId="0" applyFill="1" applyBorder="1" applyAlignment="1">
      <alignment horizontal="left"/>
    </xf>
    <xf numFmtId="9" fontId="0" fillId="0" borderId="0" xfId="47" applyFont="1"/>
    <xf numFmtId="0" fontId="25" fillId="35" borderId="25" xfId="0" applyFont="1" applyFill="1" applyBorder="1"/>
    <xf numFmtId="9" fontId="0" fillId="35" borderId="49" xfId="0" applyNumberFormat="1" applyFill="1" applyBorder="1" applyAlignment="1">
      <alignment horizontal="center"/>
    </xf>
    <xf numFmtId="165" fontId="0" fillId="35" borderId="49" xfId="0" applyNumberFormat="1" applyFill="1" applyBorder="1" applyAlignment="1">
      <alignment horizontal="center"/>
    </xf>
    <xf numFmtId="167" fontId="0" fillId="35" borderId="23" xfId="0" applyNumberFormat="1" applyFill="1" applyBorder="1" applyAlignment="1">
      <alignment horizontal="center"/>
    </xf>
    <xf numFmtId="168" fontId="0" fillId="35" borderId="23" xfId="0" applyNumberFormat="1" applyFill="1" applyBorder="1" applyAlignment="1">
      <alignment horizontal="center"/>
    </xf>
    <xf numFmtId="0" fontId="0" fillId="35" borderId="46" xfId="0" applyFill="1" applyBorder="1" applyAlignment="1">
      <alignment horizontal="center"/>
    </xf>
    <xf numFmtId="166" fontId="0" fillId="35" borderId="23" xfId="0" applyNumberFormat="1" applyFill="1" applyBorder="1" applyAlignment="1">
      <alignment horizontal="center"/>
    </xf>
    <xf numFmtId="14" fontId="0" fillId="35" borderId="49" xfId="0" applyNumberFormat="1" applyFill="1" applyBorder="1" applyAlignment="1">
      <alignment horizontal="center"/>
    </xf>
    <xf numFmtId="14" fontId="0" fillId="35" borderId="29" xfId="0" applyNumberFormat="1" applyFill="1" applyBorder="1" applyAlignment="1">
      <alignment horizontal="center"/>
    </xf>
    <xf numFmtId="0" fontId="0" fillId="35" borderId="39" xfId="0" applyFill="1" applyBorder="1" applyAlignment="1">
      <alignment horizontal="center"/>
    </xf>
    <xf numFmtId="14" fontId="0" fillId="0" borderId="0" xfId="0" applyNumberFormat="1" applyAlignment="1">
      <alignment horizontal="center"/>
    </xf>
    <xf numFmtId="169" fontId="0" fillId="35" borderId="49" xfId="0" applyNumberFormat="1" applyFill="1" applyBorder="1"/>
    <xf numFmtId="0" fontId="0" fillId="0" borderId="15" xfId="0" applyBorder="1" applyAlignment="1">
      <alignment horizontal="center" vertical="center" wrapText="1"/>
    </xf>
    <xf numFmtId="0" fontId="0" fillId="0" borderId="41" xfId="0" applyBorder="1" applyAlignment="1">
      <alignment horizontal="center" vertical="center"/>
    </xf>
    <xf numFmtId="0" fontId="0" fillId="0" borderId="19" xfId="0" applyBorder="1" applyAlignment="1">
      <alignment horizontal="center" vertical="center"/>
    </xf>
    <xf numFmtId="0" fontId="0" fillId="0" borderId="41" xfId="0" applyBorder="1" applyAlignment="1">
      <alignment horizontal="center" vertical="center" wrapText="1"/>
    </xf>
    <xf numFmtId="0" fontId="0" fillId="0" borderId="19" xfId="0" applyBorder="1" applyAlignment="1">
      <alignment horizontal="center" vertical="center" wrapText="1"/>
    </xf>
    <xf numFmtId="0" fontId="0" fillId="0" borderId="16" xfId="0" applyBorder="1" applyAlignment="1">
      <alignment horizontal="center" vertical="center" wrapText="1"/>
    </xf>
    <xf numFmtId="0" fontId="0" fillId="0" borderId="30" xfId="0" applyBorder="1" applyAlignment="1">
      <alignment horizontal="center" vertical="center" wrapText="1"/>
    </xf>
    <xf numFmtId="0" fontId="0" fillId="0" borderId="20" xfId="0" applyBorder="1" applyAlignment="1">
      <alignment horizontal="center" vertical="center" wrapTex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30" xfId="0" applyFont="1" applyBorder="1" applyAlignment="1">
      <alignment horizontal="center" vertical="center" wrapText="1"/>
    </xf>
    <xf numFmtId="0" fontId="23" fillId="0" borderId="0" xfId="0" applyFont="1" applyAlignment="1">
      <alignment horizontal="center" vertical="center" wrapText="1"/>
    </xf>
    <xf numFmtId="0" fontId="23" fillId="0" borderId="31" xfId="0" applyFont="1" applyBorder="1" applyAlignment="1">
      <alignment horizontal="center" vertical="center" wrapText="1"/>
    </xf>
    <xf numFmtId="0" fontId="23" fillId="0" borderId="20"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15" fillId="33" borderId="12" xfId="0" applyFont="1" applyFill="1" applyBorder="1" applyAlignment="1">
      <alignment horizontal="center" vertical="center" wrapText="1"/>
    </xf>
    <xf numFmtId="0" fontId="15" fillId="33" borderId="13" xfId="0" applyFont="1" applyFill="1" applyBorder="1" applyAlignment="1">
      <alignment horizontal="center" vertical="center" wrapText="1"/>
    </xf>
    <xf numFmtId="0" fontId="15" fillId="33" borderId="14" xfId="0" applyFont="1" applyFill="1" applyBorder="1" applyAlignment="1">
      <alignment horizontal="center" vertical="center" wrapText="1"/>
    </xf>
    <xf numFmtId="0" fontId="0" fillId="0" borderId="16" xfId="0" quotePrefix="1" applyBorder="1" applyAlignment="1">
      <alignment horizontal="left" vertical="center" wrapText="1"/>
    </xf>
    <xf numFmtId="0" fontId="0" fillId="0" borderId="17" xfId="0" quotePrefix="1" applyBorder="1" applyAlignment="1">
      <alignment horizontal="left" vertical="center" wrapText="1"/>
    </xf>
    <xf numFmtId="0" fontId="0" fillId="0" borderId="18" xfId="0" quotePrefix="1" applyBorder="1" applyAlignment="1">
      <alignment horizontal="left" vertical="center" wrapText="1"/>
    </xf>
    <xf numFmtId="0" fontId="0" fillId="0" borderId="30" xfId="0" quotePrefix="1" applyBorder="1" applyAlignment="1">
      <alignment horizontal="left" vertical="center" wrapText="1"/>
    </xf>
    <xf numFmtId="0" fontId="0" fillId="0" borderId="0" xfId="0" quotePrefix="1" applyAlignment="1">
      <alignment horizontal="left" vertical="center" wrapText="1"/>
    </xf>
    <xf numFmtId="0" fontId="0" fillId="0" borderId="31" xfId="0" quotePrefix="1" applyBorder="1" applyAlignment="1">
      <alignment horizontal="left" vertical="center" wrapText="1"/>
    </xf>
    <xf numFmtId="0" fontId="0" fillId="0" borderId="20" xfId="0" quotePrefix="1" applyBorder="1" applyAlignment="1">
      <alignment horizontal="left" vertical="center" wrapText="1"/>
    </xf>
    <xf numFmtId="0" fontId="0" fillId="0" borderId="33" xfId="0" quotePrefix="1" applyBorder="1" applyAlignment="1">
      <alignment horizontal="left" vertical="center" wrapText="1"/>
    </xf>
    <xf numFmtId="0" fontId="0" fillId="0" borderId="32" xfId="0" quotePrefix="1"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30" xfId="0" applyBorder="1" applyAlignment="1">
      <alignment horizontal="left" vertical="center" wrapText="1"/>
    </xf>
    <xf numFmtId="0" fontId="0" fillId="0" borderId="0" xfId="0" applyAlignment="1">
      <alignment horizontal="left" vertical="center" wrapText="1"/>
    </xf>
    <xf numFmtId="0" fontId="0" fillId="0" borderId="31" xfId="0" applyBorder="1" applyAlignment="1">
      <alignment horizontal="left" vertical="center" wrapText="1"/>
    </xf>
    <xf numFmtId="0" fontId="0" fillId="0" borderId="20" xfId="0" applyBorder="1" applyAlignment="1">
      <alignment horizontal="left" vertical="center" wrapText="1"/>
    </xf>
    <xf numFmtId="0" fontId="0" fillId="0" borderId="33" xfId="0" applyBorder="1" applyAlignment="1">
      <alignment horizontal="left" vertical="center" wrapText="1"/>
    </xf>
    <xf numFmtId="0" fontId="0" fillId="0" borderId="32" xfId="0" applyBorder="1" applyAlignment="1">
      <alignment horizontal="left" vertical="center" wrapText="1"/>
    </xf>
    <xf numFmtId="0" fontId="15" fillId="34" borderId="12" xfId="0" applyFont="1" applyFill="1" applyBorder="1" applyAlignment="1">
      <alignment horizontal="center" vertical="center"/>
    </xf>
    <xf numFmtId="0" fontId="15" fillId="34" borderId="13" xfId="0" applyFont="1" applyFill="1" applyBorder="1" applyAlignment="1">
      <alignment horizontal="center" vertical="center"/>
    </xf>
    <xf numFmtId="0" fontId="15" fillId="34" borderId="14" xfId="0" applyFont="1" applyFill="1" applyBorder="1" applyAlignment="1">
      <alignment horizontal="center" vertical="center"/>
    </xf>
    <xf numFmtId="0" fontId="22" fillId="35" borderId="15" xfId="0" applyFont="1" applyFill="1" applyBorder="1" applyAlignment="1">
      <alignment horizontal="center" vertical="center" wrapText="1"/>
    </xf>
    <xf numFmtId="0" fontId="22" fillId="35" borderId="19" xfId="0" applyFont="1" applyFill="1" applyBorder="1" applyAlignment="1">
      <alignment horizontal="center" vertical="center" wrapText="1"/>
    </xf>
    <xf numFmtId="0" fontId="22" fillId="34" borderId="15" xfId="0" applyFont="1" applyFill="1" applyBorder="1" applyAlignment="1">
      <alignment horizontal="center" vertical="center"/>
    </xf>
    <xf numFmtId="0" fontId="22" fillId="34" borderId="19" xfId="0" applyFont="1" applyFill="1" applyBorder="1" applyAlignment="1">
      <alignment horizontal="center" vertical="center"/>
    </xf>
    <xf numFmtId="0" fontId="22" fillId="35" borderId="16" xfId="0" applyFont="1" applyFill="1" applyBorder="1" applyAlignment="1">
      <alignment horizontal="center" vertical="center" wrapText="1"/>
    </xf>
    <xf numFmtId="0" fontId="22" fillId="35" borderId="18" xfId="0" applyFont="1" applyFill="1" applyBorder="1" applyAlignment="1">
      <alignment horizontal="center" vertical="center" wrapText="1"/>
    </xf>
    <xf numFmtId="14" fontId="22" fillId="35" borderId="15" xfId="0" applyNumberFormat="1" applyFont="1" applyFill="1" applyBorder="1" applyAlignment="1">
      <alignment horizontal="center" vertical="center" wrapText="1"/>
    </xf>
    <xf numFmtId="14" fontId="22" fillId="35" borderId="19" xfId="0" applyNumberFormat="1" applyFont="1" applyFill="1" applyBorder="1" applyAlignment="1">
      <alignment horizontal="center" vertical="center" wrapText="1"/>
    </xf>
    <xf numFmtId="0" fontId="0" fillId="38" borderId="12" xfId="0" applyFill="1" applyBorder="1" applyAlignment="1">
      <alignment horizontal="left"/>
    </xf>
    <xf numFmtId="0" fontId="0" fillId="38" borderId="13" xfId="0" applyFill="1" applyBorder="1" applyAlignment="1">
      <alignment horizontal="left"/>
    </xf>
    <xf numFmtId="0" fontId="0" fillId="38" borderId="14" xfId="0" applyFill="1" applyBorder="1" applyAlignment="1">
      <alignment horizontal="left"/>
    </xf>
    <xf numFmtId="0" fontId="22" fillId="35" borderId="12" xfId="0" applyFont="1" applyFill="1" applyBorder="1" applyAlignment="1">
      <alignment horizontal="center" vertical="center" wrapText="1"/>
    </xf>
    <xf numFmtId="0" fontId="22" fillId="35" borderId="14" xfId="0" applyFont="1" applyFill="1" applyBorder="1" applyAlignment="1">
      <alignment horizontal="center" vertical="center" wrapText="1"/>
    </xf>
  </cellXfs>
  <cellStyles count="48">
    <cellStyle name="20% - Énfasis1" xfId="18" builtinId="30" customBuiltin="1"/>
    <cellStyle name="20% - Énfasis2" xfId="21" builtinId="34" customBuiltin="1"/>
    <cellStyle name="20% - Énfasis3" xfId="24" builtinId="38" customBuiltin="1"/>
    <cellStyle name="20% - Énfasis4" xfId="27" builtinId="42" customBuiltin="1"/>
    <cellStyle name="20% - Énfasis5" xfId="30" builtinId="46" customBuiltin="1"/>
    <cellStyle name="20% - Énfasis6" xfId="33" builtinId="50" customBuiltin="1"/>
    <cellStyle name="40% - Énfasis1" xfId="19" builtinId="31" customBuiltin="1"/>
    <cellStyle name="40% - Énfasis2" xfId="22" builtinId="35" customBuiltin="1"/>
    <cellStyle name="40% - Énfasis3" xfId="25" builtinId="39" customBuiltin="1"/>
    <cellStyle name="40% - Énfasis4" xfId="28" builtinId="43" customBuiltin="1"/>
    <cellStyle name="40% - Énfasis5" xfId="31" builtinId="47" customBuiltin="1"/>
    <cellStyle name="40% - Énfasis6" xfId="34" builtinId="51" customBuiltin="1"/>
    <cellStyle name="60% - Accent1 2" xfId="37" xr:uid="{00000000-0005-0000-0000-00000C000000}"/>
    <cellStyle name="60% - Accent2 2" xfId="38" xr:uid="{00000000-0005-0000-0000-00000D000000}"/>
    <cellStyle name="60% - Accent3 2" xfId="39" xr:uid="{00000000-0005-0000-0000-00000E000000}"/>
    <cellStyle name="60% - Accent4 2" xfId="40" xr:uid="{00000000-0005-0000-0000-00000F000000}"/>
    <cellStyle name="60% - Accent5 2" xfId="41" xr:uid="{00000000-0005-0000-0000-000010000000}"/>
    <cellStyle name="60% - Accent6 2" xfId="42" xr:uid="{00000000-0005-0000-0000-000011000000}"/>
    <cellStyle name="Bueno" xfId="6" builtinId="26" customBuiltin="1"/>
    <cellStyle name="Cálculo" xfId="10" builtinId="22" customBuiltin="1"/>
    <cellStyle name="Celda de comprobación" xfId="12" builtinId="23" customBuiltin="1"/>
    <cellStyle name="Celda vinculada" xfId="11" builtinId="24" customBuiltin="1"/>
    <cellStyle name="Encabezado 1" xfId="2" builtinId="16" customBuiltin="1"/>
    <cellStyle name="Encabezado 4" xfId="5" builtinId="19" customBuiltin="1"/>
    <cellStyle name="Énfasis1" xfId="17" builtinId="29" customBuiltin="1"/>
    <cellStyle name="Énfasis2" xfId="20" builtinId="33" customBuiltin="1"/>
    <cellStyle name="Énfasis3" xfId="23" builtinId="37" customBuiltin="1"/>
    <cellStyle name="Énfasis4" xfId="26" builtinId="41" customBuiltin="1"/>
    <cellStyle name="Énfasis5" xfId="29" builtinId="45" customBuiltin="1"/>
    <cellStyle name="Énfasis6" xfId="32" builtinId="49" customBuiltin="1"/>
    <cellStyle name="Entrada" xfId="8" builtinId="20" customBuiltin="1"/>
    <cellStyle name="Incorrecto" xfId="7" builtinId="27" customBuiltin="1"/>
    <cellStyle name="Millares 2" xfId="45" xr:uid="{00000000-0005-0000-0000-000020000000}"/>
    <cellStyle name="Neutral 2" xfId="36" xr:uid="{00000000-0005-0000-0000-000021000000}"/>
    <cellStyle name="Normal" xfId="0" builtinId="0"/>
    <cellStyle name="Normal 2" xfId="35" xr:uid="{00000000-0005-0000-0000-000023000000}"/>
    <cellStyle name="Normal 2 2" xfId="46" xr:uid="{00000000-0005-0000-0000-000024000000}"/>
    <cellStyle name="Normal 3" xfId="44" xr:uid="{00000000-0005-0000-0000-000025000000}"/>
    <cellStyle name="Notas" xfId="14" builtinId="10" customBuiltin="1"/>
    <cellStyle name="Porcentaje" xfId="47" builtinId="5"/>
    <cellStyle name="Salida" xfId="9" builtinId="21" customBuiltin="1"/>
    <cellStyle name="Texto de advertencia" xfId="13" builtinId="11" customBuiltin="1"/>
    <cellStyle name="Texto explicativo" xfId="15" builtinId="53" customBuiltin="1"/>
    <cellStyle name="Title 2" xfId="43" xr:uid="{00000000-0005-0000-0000-00002B000000}"/>
    <cellStyle name="Título" xfId="1" builtinId="15" customBuiltin="1"/>
    <cellStyle name="Título 2" xfId="3" builtinId="17" customBuiltin="1"/>
    <cellStyle name="Título 3" xfId="4" builtinId="18" customBuiltin="1"/>
    <cellStyle name="Total" xfId="16" builtinId="25" customBuiltin="1"/>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epmco.sharepoint.com/Users/aacosta/Downloads/Informaci&#243;n%20OR_vCAT%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pmco.sharepoint.com/Users/aacosta/Downloads/Circular_002_Anexo.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acosta\Downloads\Circular_002_Anex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de Uso"/>
      <sheetName val="1. Líneas"/>
      <sheetName val="2. Tr3"/>
      <sheetName val="3. Tr2"/>
      <sheetName val="4. Subestaciones"/>
      <sheetName val="5. Demanda"/>
      <sheetName val="6. Compensacion"/>
      <sheetName val="7. Compensacion dinamica"/>
      <sheetName val="8. FACTS"/>
      <sheetName val="9. Subestaciones espacio físico"/>
      <sheetName val="9. Subestaciones espacio fí (2"/>
      <sheetName val="Listas Desplegables"/>
      <sheetName val="Subestaciones espacio físico"/>
      <sheetName val="Re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8">
          <cell r="B8" t="str">
            <v>Áerea</v>
          </cell>
        </row>
        <row r="9">
          <cell r="B9" t="str">
            <v>Subterránea</v>
          </cell>
        </row>
        <row r="11">
          <cell r="B11" t="str">
            <v>Sí</v>
          </cell>
        </row>
        <row r="12">
          <cell r="B12" t="str">
            <v>No</v>
          </cell>
        </row>
      </sheetData>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de Uso"/>
      <sheetName val="Generalidades"/>
      <sheetName val="Solicitudes"/>
      <sheetName val="Listas Desplegables"/>
    </sheetNames>
    <sheetDataSet>
      <sheetData sheetId="0">
        <row r="30">
          <cell r="C30" t="str">
            <v>Nombre del proyecto</v>
          </cell>
        </row>
      </sheetData>
      <sheetData sheetId="1" refreshError="1"/>
      <sheetData sheetId="2" refreshError="1"/>
      <sheetData sheetId="3">
        <row r="3">
          <cell r="B3" t="str">
            <v>GD</v>
          </cell>
          <cell r="H3" t="str">
            <v>GD</v>
          </cell>
          <cell r="I3">
            <v>0</v>
          </cell>
          <cell r="J3">
            <v>100</v>
          </cell>
        </row>
        <row r="4">
          <cell r="B4" t="str">
            <v>AGPE con excedentes</v>
          </cell>
          <cell r="H4" t="str">
            <v>AGPE con excedentes</v>
          </cell>
          <cell r="I4">
            <v>0</v>
          </cell>
          <cell r="J4">
            <v>1000</v>
          </cell>
        </row>
        <row r="5">
          <cell r="B5" t="str">
            <v>AGPE sin excedentes</v>
          </cell>
          <cell r="H5" t="str">
            <v>AGPE sin excedentes</v>
          </cell>
          <cell r="I5">
            <v>0</v>
          </cell>
          <cell r="J5">
            <v>1000</v>
          </cell>
        </row>
        <row r="6">
          <cell r="B6" t="str">
            <v>AGGE con excedentes</v>
          </cell>
          <cell r="H6" t="str">
            <v>AGGE con excedentes</v>
          </cell>
          <cell r="I6">
            <v>1000.00001</v>
          </cell>
          <cell r="J6">
            <v>1E+40</v>
          </cell>
        </row>
        <row r="7">
          <cell r="B7" t="str">
            <v>AGGE sin excedentes</v>
          </cell>
          <cell r="H7" t="str">
            <v>AGGE sin excedentes</v>
          </cell>
          <cell r="I7">
            <v>1000.00001</v>
          </cell>
          <cell r="J7">
            <v>1E+40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Desplegables"/>
      <sheetName val="Manual de Uso"/>
      <sheetName val="Generalidades"/>
      <sheetName val="Solicitudes"/>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D164"/>
  <sheetViews>
    <sheetView workbookViewId="0"/>
    <sheetView workbookViewId="1"/>
  </sheetViews>
  <sheetFormatPr baseColWidth="10" defaultColWidth="9.109375" defaultRowHeight="14.4" x14ac:dyDescent="0.3"/>
  <cols>
    <col min="1" max="1" width="3.6640625" customWidth="1"/>
    <col min="2" max="2" width="43.6640625" customWidth="1"/>
    <col min="3" max="3" width="48.109375" style="16" customWidth="1"/>
    <col min="4" max="4" width="80.33203125" style="17" customWidth="1"/>
  </cols>
  <sheetData>
    <row r="1" spans="2:4" ht="15" thickBot="1" x14ac:dyDescent="0.35"/>
    <row r="2" spans="2:4" ht="15" customHeight="1" x14ac:dyDescent="0.3">
      <c r="B2" s="139" t="s">
        <v>286</v>
      </c>
      <c r="C2" s="140"/>
      <c r="D2" s="141"/>
    </row>
    <row r="3" spans="2:4" ht="15" customHeight="1" x14ac:dyDescent="0.3">
      <c r="B3" s="142"/>
      <c r="C3" s="143"/>
      <c r="D3" s="144"/>
    </row>
    <row r="4" spans="2:4" ht="15" customHeight="1" x14ac:dyDescent="0.3">
      <c r="B4" s="142"/>
      <c r="C4" s="143"/>
      <c r="D4" s="144"/>
    </row>
    <row r="5" spans="2:4" ht="15.75" customHeight="1" thickBot="1" x14ac:dyDescent="0.35">
      <c r="B5" s="145"/>
      <c r="C5" s="146"/>
      <c r="D5" s="147"/>
    </row>
    <row r="6" spans="2:4" ht="15.75" customHeight="1" thickBot="1" x14ac:dyDescent="0.35">
      <c r="B6" s="18"/>
      <c r="C6" s="18"/>
      <c r="D6" s="19"/>
    </row>
    <row r="7" spans="2:4" ht="15.75" customHeight="1" thickBot="1" x14ac:dyDescent="0.35">
      <c r="B7" s="148" t="s">
        <v>284</v>
      </c>
      <c r="C7" s="149"/>
      <c r="D7" s="150"/>
    </row>
    <row r="8" spans="2:4" ht="15.75" customHeight="1" x14ac:dyDescent="0.3">
      <c r="B8" s="151" t="s">
        <v>285</v>
      </c>
      <c r="C8" s="152"/>
      <c r="D8" s="153"/>
    </row>
    <row r="9" spans="2:4" ht="15.75" customHeight="1" x14ac:dyDescent="0.3">
      <c r="B9" s="154"/>
      <c r="C9" s="155"/>
      <c r="D9" s="156"/>
    </row>
    <row r="10" spans="2:4" ht="15.75" customHeight="1" x14ac:dyDescent="0.3">
      <c r="B10" s="154"/>
      <c r="C10" s="155"/>
      <c r="D10" s="156"/>
    </row>
    <row r="11" spans="2:4" ht="15.75" customHeight="1" x14ac:dyDescent="0.3">
      <c r="B11" s="154"/>
      <c r="C11" s="155"/>
      <c r="D11" s="156"/>
    </row>
    <row r="12" spans="2:4" ht="15.75" customHeight="1" thickBot="1" x14ac:dyDescent="0.35">
      <c r="B12" s="157"/>
      <c r="C12" s="158"/>
      <c r="D12" s="159"/>
    </row>
    <row r="13" spans="2:4" ht="15.75" customHeight="1" thickBot="1" x14ac:dyDescent="0.35">
      <c r="B13" s="20"/>
      <c r="C13" s="20"/>
      <c r="D13" s="20"/>
    </row>
    <row r="14" spans="2:4" ht="15.75" customHeight="1" thickBot="1" x14ac:dyDescent="0.35">
      <c r="B14" s="148" t="s">
        <v>5</v>
      </c>
      <c r="C14" s="149"/>
      <c r="D14" s="150"/>
    </row>
    <row r="15" spans="2:4" ht="15.75" customHeight="1" x14ac:dyDescent="0.3">
      <c r="B15" s="160" t="s">
        <v>249</v>
      </c>
      <c r="C15" s="161"/>
      <c r="D15" s="162"/>
    </row>
    <row r="16" spans="2:4" ht="15.75" customHeight="1" x14ac:dyDescent="0.3">
      <c r="B16" s="163"/>
      <c r="C16" s="164"/>
      <c r="D16" s="165"/>
    </row>
    <row r="17" spans="2:4" ht="15.75" customHeight="1" x14ac:dyDescent="0.3">
      <c r="B17" s="163"/>
      <c r="C17" s="164"/>
      <c r="D17" s="165"/>
    </row>
    <row r="18" spans="2:4" ht="15.75" customHeight="1" x14ac:dyDescent="0.3">
      <c r="B18" s="163"/>
      <c r="C18" s="164"/>
      <c r="D18" s="165"/>
    </row>
    <row r="19" spans="2:4" ht="15.75" customHeight="1" x14ac:dyDescent="0.3">
      <c r="B19" s="163"/>
      <c r="C19" s="164"/>
      <c r="D19" s="165"/>
    </row>
    <row r="20" spans="2:4" ht="15.75" customHeight="1" x14ac:dyDescent="0.3">
      <c r="B20" s="163"/>
      <c r="C20" s="164"/>
      <c r="D20" s="165"/>
    </row>
    <row r="21" spans="2:4" ht="15.75" customHeight="1" x14ac:dyDescent="0.3">
      <c r="B21" s="163"/>
      <c r="C21" s="164"/>
      <c r="D21" s="165"/>
    </row>
    <row r="22" spans="2:4" ht="15.75" customHeight="1" x14ac:dyDescent="0.3">
      <c r="B22" s="163"/>
      <c r="C22" s="164"/>
      <c r="D22" s="165"/>
    </row>
    <row r="23" spans="2:4" ht="15.75" customHeight="1" x14ac:dyDescent="0.3">
      <c r="B23" s="163"/>
      <c r="C23" s="164"/>
      <c r="D23" s="165"/>
    </row>
    <row r="24" spans="2:4" ht="15.75" customHeight="1" thickBot="1" x14ac:dyDescent="0.35">
      <c r="B24" s="166"/>
      <c r="C24" s="167"/>
      <c r="D24" s="168"/>
    </row>
    <row r="25" spans="2:4" ht="15.75" customHeight="1" thickBot="1" x14ac:dyDescent="0.35"/>
    <row r="26" spans="2:4" ht="15.75" customHeight="1" thickBot="1" x14ac:dyDescent="0.35">
      <c r="B26" s="148" t="s">
        <v>68</v>
      </c>
      <c r="C26" s="149"/>
      <c r="D26" s="150"/>
    </row>
    <row r="27" spans="2:4" ht="15.75" customHeight="1" x14ac:dyDescent="0.3">
      <c r="B27" s="160" t="s">
        <v>69</v>
      </c>
      <c r="C27" s="161"/>
      <c r="D27" s="162"/>
    </row>
    <row r="28" spans="2:4" ht="15.75" customHeight="1" thickBot="1" x14ac:dyDescent="0.35">
      <c r="B28" s="166"/>
      <c r="C28" s="167"/>
      <c r="D28" s="168"/>
    </row>
    <row r="29" spans="2:4" ht="15.75" customHeight="1" x14ac:dyDescent="0.3">
      <c r="B29" s="131" t="s">
        <v>266</v>
      </c>
      <c r="C29" s="28" t="s">
        <v>1</v>
      </c>
      <c r="D29" s="29" t="s">
        <v>70</v>
      </c>
    </row>
    <row r="30" spans="2:4" ht="15" customHeight="1" x14ac:dyDescent="0.3">
      <c r="B30" s="134"/>
      <c r="C30" s="30" t="s">
        <v>7</v>
      </c>
      <c r="D30" s="31" t="s">
        <v>71</v>
      </c>
    </row>
    <row r="31" spans="2:4" x14ac:dyDescent="0.3">
      <c r="B31" s="134"/>
      <c r="C31" s="30" t="s">
        <v>8</v>
      </c>
      <c r="D31" s="31" t="s">
        <v>72</v>
      </c>
    </row>
    <row r="32" spans="2:4" x14ac:dyDescent="0.3">
      <c r="B32" s="134"/>
      <c r="C32" s="30" t="s">
        <v>9</v>
      </c>
      <c r="D32" s="31" t="s">
        <v>73</v>
      </c>
    </row>
    <row r="33" spans="2:4" x14ac:dyDescent="0.3">
      <c r="B33" s="134"/>
      <c r="C33" s="30" t="s">
        <v>11</v>
      </c>
      <c r="D33" s="31" t="s">
        <v>74</v>
      </c>
    </row>
    <row r="34" spans="2:4" ht="28.8" x14ac:dyDescent="0.3">
      <c r="B34" s="134"/>
      <c r="C34" s="30" t="s">
        <v>12</v>
      </c>
      <c r="D34" s="31" t="s">
        <v>75</v>
      </c>
    </row>
    <row r="35" spans="2:4" ht="28.8" x14ac:dyDescent="0.3">
      <c r="B35" s="134"/>
      <c r="C35" s="30" t="s">
        <v>13</v>
      </c>
      <c r="D35" s="31" t="s">
        <v>76</v>
      </c>
    </row>
    <row r="36" spans="2:4" ht="28.8" x14ac:dyDescent="0.3">
      <c r="B36" s="134"/>
      <c r="C36" s="30" t="s">
        <v>14</v>
      </c>
      <c r="D36" s="31" t="s">
        <v>77</v>
      </c>
    </row>
    <row r="37" spans="2:4" ht="28.8" x14ac:dyDescent="0.3">
      <c r="B37" s="134"/>
      <c r="C37" s="30" t="s">
        <v>15</v>
      </c>
      <c r="D37" s="31" t="s">
        <v>78</v>
      </c>
    </row>
    <row r="38" spans="2:4" x14ac:dyDescent="0.3">
      <c r="B38" s="134"/>
      <c r="C38" s="30" t="s">
        <v>16</v>
      </c>
      <c r="D38" s="31" t="s">
        <v>79</v>
      </c>
    </row>
    <row r="39" spans="2:4" x14ac:dyDescent="0.3">
      <c r="B39" s="134"/>
      <c r="C39" s="30" t="s">
        <v>17</v>
      </c>
      <c r="D39" s="31" t="s">
        <v>80</v>
      </c>
    </row>
    <row r="40" spans="2:4" x14ac:dyDescent="0.3">
      <c r="B40" s="134"/>
      <c r="C40" s="30" t="s">
        <v>18</v>
      </c>
      <c r="D40" s="31" t="s">
        <v>81</v>
      </c>
    </row>
    <row r="41" spans="2:4" x14ac:dyDescent="0.3">
      <c r="B41" s="134"/>
      <c r="C41" s="30" t="s">
        <v>19</v>
      </c>
      <c r="D41" s="31" t="s">
        <v>82</v>
      </c>
    </row>
    <row r="42" spans="2:4" x14ac:dyDescent="0.3">
      <c r="B42" s="134"/>
      <c r="C42" s="30" t="s">
        <v>20</v>
      </c>
      <c r="D42" s="31" t="s">
        <v>83</v>
      </c>
    </row>
    <row r="43" spans="2:4" x14ac:dyDescent="0.3">
      <c r="B43" s="134"/>
      <c r="C43" s="30" t="s">
        <v>21</v>
      </c>
      <c r="D43" s="31" t="s">
        <v>84</v>
      </c>
    </row>
    <row r="44" spans="2:4" x14ac:dyDescent="0.3">
      <c r="B44" s="134"/>
      <c r="C44" s="30" t="s">
        <v>257</v>
      </c>
      <c r="D44" s="31" t="s">
        <v>85</v>
      </c>
    </row>
    <row r="45" spans="2:4" x14ac:dyDescent="0.3">
      <c r="B45" s="134"/>
      <c r="C45" s="30" t="s">
        <v>56</v>
      </c>
      <c r="D45" s="31" t="s">
        <v>86</v>
      </c>
    </row>
    <row r="46" spans="2:4" ht="43.2" x14ac:dyDescent="0.3">
      <c r="B46" s="134"/>
      <c r="C46" s="30" t="s">
        <v>22</v>
      </c>
      <c r="D46" s="31" t="s">
        <v>111</v>
      </c>
    </row>
    <row r="47" spans="2:4" ht="28.8" x14ac:dyDescent="0.3">
      <c r="B47" s="134"/>
      <c r="C47" s="30" t="s">
        <v>23</v>
      </c>
      <c r="D47" s="31" t="s">
        <v>112</v>
      </c>
    </row>
    <row r="48" spans="2:4" ht="28.8" x14ac:dyDescent="0.3">
      <c r="B48" s="134"/>
      <c r="C48" s="30" t="s">
        <v>254</v>
      </c>
      <c r="D48" s="31" t="s">
        <v>255</v>
      </c>
    </row>
    <row r="49" spans="2:4" x14ac:dyDescent="0.3">
      <c r="B49" s="134"/>
      <c r="C49" s="30" t="s">
        <v>280</v>
      </c>
      <c r="D49" s="31" t="s">
        <v>277</v>
      </c>
    </row>
    <row r="50" spans="2:4" x14ac:dyDescent="0.3">
      <c r="B50" s="134"/>
      <c r="C50" s="30" t="s">
        <v>281</v>
      </c>
      <c r="D50" s="31" t="s">
        <v>278</v>
      </c>
    </row>
    <row r="51" spans="2:4" x14ac:dyDescent="0.3">
      <c r="B51" s="134"/>
      <c r="C51" s="30" t="s">
        <v>276</v>
      </c>
      <c r="D51" s="31" t="s">
        <v>279</v>
      </c>
    </row>
    <row r="52" spans="2:4" ht="72.599999999999994" thickBot="1" x14ac:dyDescent="0.35">
      <c r="B52" s="134"/>
      <c r="C52" s="30" t="s">
        <v>24</v>
      </c>
      <c r="D52" s="31" t="s">
        <v>113</v>
      </c>
    </row>
    <row r="53" spans="2:4" ht="28.8" x14ac:dyDescent="0.3">
      <c r="B53" s="131" t="s">
        <v>271</v>
      </c>
      <c r="C53" s="32" t="s">
        <v>1</v>
      </c>
      <c r="D53" s="43" t="s">
        <v>152</v>
      </c>
    </row>
    <row r="54" spans="2:4" x14ac:dyDescent="0.3">
      <c r="B54" s="134"/>
      <c r="C54" s="33" t="s">
        <v>2</v>
      </c>
      <c r="D54" s="34" t="s">
        <v>153</v>
      </c>
    </row>
    <row r="55" spans="2:4" ht="28.8" x14ac:dyDescent="0.3">
      <c r="B55" s="134"/>
      <c r="C55" s="33" t="s">
        <v>27</v>
      </c>
      <c r="D55" s="34" t="s">
        <v>154</v>
      </c>
    </row>
    <row r="56" spans="2:4" ht="28.8" x14ac:dyDescent="0.3">
      <c r="B56" s="134"/>
      <c r="C56" s="33" t="s">
        <v>26</v>
      </c>
      <c r="D56" s="34" t="s">
        <v>155</v>
      </c>
    </row>
    <row r="57" spans="2:4" ht="28.8" x14ac:dyDescent="0.3">
      <c r="B57" s="134"/>
      <c r="C57" s="33" t="s">
        <v>25</v>
      </c>
      <c r="D57" s="34" t="s">
        <v>156</v>
      </c>
    </row>
    <row r="58" spans="2:4" x14ac:dyDescent="0.3">
      <c r="B58" s="134"/>
      <c r="C58" s="33" t="s">
        <v>28</v>
      </c>
      <c r="D58" s="34" t="s">
        <v>157</v>
      </c>
    </row>
    <row r="59" spans="2:4" x14ac:dyDescent="0.3">
      <c r="B59" s="134"/>
      <c r="C59" s="33" t="s">
        <v>29</v>
      </c>
      <c r="D59" s="34" t="s">
        <v>158</v>
      </c>
    </row>
    <row r="60" spans="2:4" x14ac:dyDescent="0.3">
      <c r="B60" s="134"/>
      <c r="C60" s="33" t="s">
        <v>30</v>
      </c>
      <c r="D60" s="34" t="s">
        <v>159</v>
      </c>
    </row>
    <row r="61" spans="2:4" ht="43.2" x14ac:dyDescent="0.3">
      <c r="B61" s="134"/>
      <c r="C61" s="33" t="s">
        <v>31</v>
      </c>
      <c r="D61" s="34" t="s">
        <v>160</v>
      </c>
    </row>
    <row r="62" spans="2:4" ht="28.8" x14ac:dyDescent="0.3">
      <c r="B62" s="134"/>
      <c r="C62" s="33" t="s">
        <v>32</v>
      </c>
      <c r="D62" s="34" t="s">
        <v>161</v>
      </c>
    </row>
    <row r="63" spans="2:4" ht="28.8" x14ac:dyDescent="0.3">
      <c r="B63" s="134"/>
      <c r="C63" s="33" t="s">
        <v>34</v>
      </c>
      <c r="D63" s="34" t="s">
        <v>162</v>
      </c>
    </row>
    <row r="64" spans="2:4" ht="28.8" x14ac:dyDescent="0.3">
      <c r="B64" s="134"/>
      <c r="C64" s="33" t="s">
        <v>35</v>
      </c>
      <c r="D64" s="34" t="s">
        <v>163</v>
      </c>
    </row>
    <row r="65" spans="2:4" ht="28.8" x14ac:dyDescent="0.3">
      <c r="B65" s="134"/>
      <c r="C65" s="33" t="s">
        <v>36</v>
      </c>
      <c r="D65" s="34" t="s">
        <v>164</v>
      </c>
    </row>
    <row r="66" spans="2:4" ht="28.8" x14ac:dyDescent="0.3">
      <c r="B66" s="134"/>
      <c r="C66" s="33" t="s">
        <v>37</v>
      </c>
      <c r="D66" s="34" t="s">
        <v>165</v>
      </c>
    </row>
    <row r="67" spans="2:4" ht="28.8" x14ac:dyDescent="0.3">
      <c r="B67" s="134"/>
      <c r="C67" s="33" t="s">
        <v>38</v>
      </c>
      <c r="D67" s="34" t="s">
        <v>166</v>
      </c>
    </row>
    <row r="68" spans="2:4" ht="28.8" x14ac:dyDescent="0.3">
      <c r="B68" s="134"/>
      <c r="C68" s="33" t="s">
        <v>39</v>
      </c>
      <c r="D68" s="34" t="s">
        <v>167</v>
      </c>
    </row>
    <row r="69" spans="2:4" x14ac:dyDescent="0.3">
      <c r="B69" s="134"/>
      <c r="C69" s="33" t="s">
        <v>40</v>
      </c>
      <c r="D69" s="34" t="s">
        <v>168</v>
      </c>
    </row>
    <row r="70" spans="2:4" x14ac:dyDescent="0.3">
      <c r="B70" s="134"/>
      <c r="C70" s="33" t="s">
        <v>41</v>
      </c>
      <c r="D70" s="34" t="s">
        <v>169</v>
      </c>
    </row>
    <row r="71" spans="2:4" ht="28.8" x14ac:dyDescent="0.3">
      <c r="B71" s="134"/>
      <c r="C71" s="47" t="s">
        <v>42</v>
      </c>
      <c r="D71" s="39" t="s">
        <v>170</v>
      </c>
    </row>
    <row r="72" spans="2:4" ht="43.2" x14ac:dyDescent="0.3">
      <c r="B72" s="134"/>
      <c r="C72" s="47" t="s">
        <v>43</v>
      </c>
      <c r="D72" s="39" t="s">
        <v>171</v>
      </c>
    </row>
    <row r="73" spans="2:4" ht="43.2" x14ac:dyDescent="0.3">
      <c r="B73" s="134"/>
      <c r="C73" s="30" t="s">
        <v>22</v>
      </c>
      <c r="D73" s="31" t="s">
        <v>111</v>
      </c>
    </row>
    <row r="74" spans="2:4" ht="28.8" x14ac:dyDescent="0.3">
      <c r="B74" s="134"/>
      <c r="C74" s="30" t="s">
        <v>23</v>
      </c>
      <c r="D74" s="31" t="s">
        <v>112</v>
      </c>
    </row>
    <row r="75" spans="2:4" ht="28.8" x14ac:dyDescent="0.3">
      <c r="B75" s="134"/>
      <c r="C75" s="30" t="s">
        <v>257</v>
      </c>
      <c r="D75" s="31" t="s">
        <v>256</v>
      </c>
    </row>
    <row r="76" spans="2:4" ht="28.8" x14ac:dyDescent="0.3">
      <c r="B76" s="134"/>
      <c r="C76" s="81" t="s">
        <v>259</v>
      </c>
      <c r="D76" s="45" t="s">
        <v>263</v>
      </c>
    </row>
    <row r="77" spans="2:4" ht="28.8" x14ac:dyDescent="0.3">
      <c r="B77" s="134"/>
      <c r="C77" s="81" t="s">
        <v>260</v>
      </c>
      <c r="D77" s="45" t="s">
        <v>264</v>
      </c>
    </row>
    <row r="78" spans="2:4" ht="28.8" x14ac:dyDescent="0.3">
      <c r="B78" s="134"/>
      <c r="C78" s="81" t="s">
        <v>261</v>
      </c>
      <c r="D78" s="45" t="s">
        <v>265</v>
      </c>
    </row>
    <row r="79" spans="2:4" x14ac:dyDescent="0.3">
      <c r="B79" s="134"/>
      <c r="C79" s="30" t="s">
        <v>280</v>
      </c>
      <c r="D79" s="31" t="s">
        <v>277</v>
      </c>
    </row>
    <row r="80" spans="2:4" x14ac:dyDescent="0.3">
      <c r="B80" s="134"/>
      <c r="C80" s="30" t="s">
        <v>281</v>
      </c>
      <c r="D80" s="31" t="s">
        <v>278</v>
      </c>
    </row>
    <row r="81" spans="2:4" x14ac:dyDescent="0.3">
      <c r="B81" s="134"/>
      <c r="C81" s="30" t="s">
        <v>276</v>
      </c>
      <c r="D81" s="31" t="s">
        <v>279</v>
      </c>
    </row>
    <row r="82" spans="2:4" ht="29.4" thickBot="1" x14ac:dyDescent="0.35">
      <c r="B82" s="135"/>
      <c r="C82" s="30" t="s">
        <v>24</v>
      </c>
      <c r="D82" s="31" t="s">
        <v>115</v>
      </c>
    </row>
    <row r="83" spans="2:4" ht="28.8" x14ac:dyDescent="0.3">
      <c r="B83" s="131" t="s">
        <v>272</v>
      </c>
      <c r="C83" s="32" t="s">
        <v>1</v>
      </c>
      <c r="D83" s="43" t="s">
        <v>152</v>
      </c>
    </row>
    <row r="84" spans="2:4" x14ac:dyDescent="0.3">
      <c r="B84" s="134"/>
      <c r="C84" s="33" t="s">
        <v>2</v>
      </c>
      <c r="D84" s="34" t="s">
        <v>153</v>
      </c>
    </row>
    <row r="85" spans="2:4" ht="28.8" x14ac:dyDescent="0.3">
      <c r="B85" s="134"/>
      <c r="C85" s="33" t="s">
        <v>27</v>
      </c>
      <c r="D85" s="34" t="s">
        <v>154</v>
      </c>
    </row>
    <row r="86" spans="2:4" ht="28.8" x14ac:dyDescent="0.3">
      <c r="B86" s="134"/>
      <c r="C86" s="33" t="s">
        <v>25</v>
      </c>
      <c r="D86" s="34" t="s">
        <v>156</v>
      </c>
    </row>
    <row r="87" spans="2:4" x14ac:dyDescent="0.3">
      <c r="B87" s="134"/>
      <c r="C87" s="35" t="s">
        <v>47</v>
      </c>
      <c r="D87" s="34" t="s">
        <v>172</v>
      </c>
    </row>
    <row r="88" spans="2:4" ht="43.2" x14ac:dyDescent="0.3">
      <c r="B88" s="134"/>
      <c r="C88" s="35" t="s">
        <v>31</v>
      </c>
      <c r="D88" s="34" t="s">
        <v>173</v>
      </c>
    </row>
    <row r="89" spans="2:4" ht="28.8" x14ac:dyDescent="0.3">
      <c r="B89" s="134"/>
      <c r="C89" s="35" t="s">
        <v>48</v>
      </c>
      <c r="D89" s="34" t="s">
        <v>174</v>
      </c>
    </row>
    <row r="90" spans="2:4" ht="28.8" x14ac:dyDescent="0.3">
      <c r="B90" s="134"/>
      <c r="C90" s="37" t="s">
        <v>49</v>
      </c>
      <c r="D90" s="34" t="s">
        <v>175</v>
      </c>
    </row>
    <row r="91" spans="2:4" ht="28.8" x14ac:dyDescent="0.3">
      <c r="B91" s="134"/>
      <c r="C91" s="37" t="s">
        <v>39</v>
      </c>
      <c r="D91" s="34" t="s">
        <v>167</v>
      </c>
    </row>
    <row r="92" spans="2:4" x14ac:dyDescent="0.3">
      <c r="B92" s="134"/>
      <c r="C92" s="37" t="s">
        <v>40</v>
      </c>
      <c r="D92" s="34" t="s">
        <v>168</v>
      </c>
    </row>
    <row r="93" spans="2:4" x14ac:dyDescent="0.3">
      <c r="B93" s="134"/>
      <c r="C93" s="37" t="s">
        <v>41</v>
      </c>
      <c r="D93" s="34" t="s">
        <v>169</v>
      </c>
    </row>
    <row r="94" spans="2:4" ht="28.8" x14ac:dyDescent="0.3">
      <c r="B94" s="134"/>
      <c r="C94" s="38" t="s">
        <v>42</v>
      </c>
      <c r="D94" s="39" t="s">
        <v>170</v>
      </c>
    </row>
    <row r="95" spans="2:4" ht="43.2" x14ac:dyDescent="0.3">
      <c r="B95" s="134"/>
      <c r="C95" s="47" t="s">
        <v>43</v>
      </c>
      <c r="D95" s="39" t="s">
        <v>171</v>
      </c>
    </row>
    <row r="96" spans="2:4" ht="43.2" x14ac:dyDescent="0.3">
      <c r="B96" s="134"/>
      <c r="C96" s="30" t="s">
        <v>22</v>
      </c>
      <c r="D96" s="31" t="s">
        <v>111</v>
      </c>
    </row>
    <row r="97" spans="2:4" ht="28.8" x14ac:dyDescent="0.3">
      <c r="B97" s="134"/>
      <c r="C97" s="30" t="s">
        <v>23</v>
      </c>
      <c r="D97" s="31" t="s">
        <v>112</v>
      </c>
    </row>
    <row r="98" spans="2:4" ht="28.8" x14ac:dyDescent="0.3">
      <c r="B98" s="134"/>
      <c r="C98" s="30" t="s">
        <v>257</v>
      </c>
      <c r="D98" s="31" t="s">
        <v>256</v>
      </c>
    </row>
    <row r="99" spans="2:4" x14ac:dyDescent="0.3">
      <c r="B99" s="134"/>
      <c r="C99" s="30" t="s">
        <v>46</v>
      </c>
      <c r="D99" s="39" t="s">
        <v>262</v>
      </c>
    </row>
    <row r="100" spans="2:4" x14ac:dyDescent="0.3">
      <c r="B100" s="134"/>
      <c r="C100" s="30" t="s">
        <v>280</v>
      </c>
      <c r="D100" s="31" t="s">
        <v>277</v>
      </c>
    </row>
    <row r="101" spans="2:4" x14ac:dyDescent="0.3">
      <c r="B101" s="134"/>
      <c r="C101" s="30" t="s">
        <v>281</v>
      </c>
      <c r="D101" s="31" t="s">
        <v>278</v>
      </c>
    </row>
    <row r="102" spans="2:4" x14ac:dyDescent="0.3">
      <c r="B102" s="134"/>
      <c r="C102" s="30" t="s">
        <v>276</v>
      </c>
      <c r="D102" s="31" t="s">
        <v>279</v>
      </c>
    </row>
    <row r="103" spans="2:4" ht="29.4" thickBot="1" x14ac:dyDescent="0.35">
      <c r="B103" s="135"/>
      <c r="C103" s="30" t="s">
        <v>24</v>
      </c>
      <c r="D103" s="31" t="s">
        <v>115</v>
      </c>
    </row>
    <row r="104" spans="2:4" x14ac:dyDescent="0.3">
      <c r="B104" s="131" t="s">
        <v>283</v>
      </c>
      <c r="C104" s="40" t="s">
        <v>1</v>
      </c>
      <c r="D104" s="41" t="s">
        <v>176</v>
      </c>
    </row>
    <row r="105" spans="2:4" ht="28.8" x14ac:dyDescent="0.3">
      <c r="B105" s="132"/>
      <c r="C105" s="62" t="s">
        <v>177</v>
      </c>
      <c r="D105" s="36" t="s">
        <v>178</v>
      </c>
    </row>
    <row r="106" spans="2:4" x14ac:dyDescent="0.3">
      <c r="B106" s="132"/>
      <c r="C106" s="62" t="s">
        <v>9</v>
      </c>
      <c r="D106" s="36" t="s">
        <v>179</v>
      </c>
    </row>
    <row r="107" spans="2:4" ht="43.2" x14ac:dyDescent="0.3">
      <c r="B107" s="132"/>
      <c r="C107" s="62" t="s">
        <v>54</v>
      </c>
      <c r="D107" s="36" t="s">
        <v>180</v>
      </c>
    </row>
    <row r="108" spans="2:4" ht="57.6" x14ac:dyDescent="0.3">
      <c r="B108" s="132"/>
      <c r="C108" s="42" t="s">
        <v>55</v>
      </c>
      <c r="D108" s="31" t="s">
        <v>181</v>
      </c>
    </row>
    <row r="109" spans="2:4" x14ac:dyDescent="0.3">
      <c r="B109" s="132"/>
      <c r="C109" s="42" t="s">
        <v>56</v>
      </c>
      <c r="D109" s="31" t="s">
        <v>207</v>
      </c>
    </row>
    <row r="110" spans="2:4" ht="43.2" x14ac:dyDescent="0.3">
      <c r="B110" s="132"/>
      <c r="C110" s="30" t="s">
        <v>22</v>
      </c>
      <c r="D110" s="31" t="s">
        <v>111</v>
      </c>
    </row>
    <row r="111" spans="2:4" ht="28.8" x14ac:dyDescent="0.3">
      <c r="B111" s="132"/>
      <c r="C111" s="30" t="s">
        <v>23</v>
      </c>
      <c r="D111" s="31" t="s">
        <v>112</v>
      </c>
    </row>
    <row r="112" spans="2:4" x14ac:dyDescent="0.3">
      <c r="B112" s="132"/>
      <c r="C112" s="42" t="s">
        <v>57</v>
      </c>
      <c r="D112" s="31" t="s">
        <v>182</v>
      </c>
    </row>
    <row r="113" spans="2:4" x14ac:dyDescent="0.3">
      <c r="B113" s="132"/>
      <c r="C113" s="42" t="s">
        <v>58</v>
      </c>
      <c r="D113" s="31" t="s">
        <v>183</v>
      </c>
    </row>
    <row r="114" spans="2:4" ht="29.4" thickBot="1" x14ac:dyDescent="0.35">
      <c r="B114" s="132"/>
      <c r="C114" s="30" t="s">
        <v>24</v>
      </c>
      <c r="D114" s="31" t="s">
        <v>115</v>
      </c>
    </row>
    <row r="115" spans="2:4" x14ac:dyDescent="0.3">
      <c r="B115" s="131" t="s">
        <v>270</v>
      </c>
      <c r="C115" s="40" t="s">
        <v>1</v>
      </c>
      <c r="D115" s="43" t="s">
        <v>184</v>
      </c>
    </row>
    <row r="116" spans="2:4" ht="28.8" x14ac:dyDescent="0.3">
      <c r="B116" s="134"/>
      <c r="C116" s="62" t="s">
        <v>2</v>
      </c>
      <c r="D116" s="63" t="s">
        <v>185</v>
      </c>
    </row>
    <row r="117" spans="2:4" x14ac:dyDescent="0.3">
      <c r="B117" s="134"/>
      <c r="C117" s="62" t="s">
        <v>9</v>
      </c>
      <c r="D117" s="63" t="s">
        <v>186</v>
      </c>
    </row>
    <row r="118" spans="2:4" ht="28.8" x14ac:dyDescent="0.3">
      <c r="B118" s="134"/>
      <c r="C118" s="42" t="s">
        <v>56</v>
      </c>
      <c r="D118" s="31" t="s">
        <v>210</v>
      </c>
    </row>
    <row r="119" spans="2:4" x14ac:dyDescent="0.3">
      <c r="B119" s="134"/>
      <c r="C119" s="64" t="s">
        <v>116</v>
      </c>
      <c r="D119" s="34" t="s">
        <v>187</v>
      </c>
    </row>
    <row r="120" spans="2:4" ht="43.2" x14ac:dyDescent="0.3">
      <c r="B120" s="134"/>
      <c r="C120" s="30" t="s">
        <v>22</v>
      </c>
      <c r="D120" s="31" t="s">
        <v>111</v>
      </c>
    </row>
    <row r="121" spans="2:4" ht="28.8" x14ac:dyDescent="0.3">
      <c r="B121" s="134"/>
      <c r="C121" s="30" t="s">
        <v>23</v>
      </c>
      <c r="D121" s="31" t="s">
        <v>112</v>
      </c>
    </row>
    <row r="122" spans="2:4" ht="28.8" x14ac:dyDescent="0.3">
      <c r="B122" s="134"/>
      <c r="C122" s="30" t="s">
        <v>188</v>
      </c>
      <c r="D122" s="31" t="s">
        <v>273</v>
      </c>
    </row>
    <row r="123" spans="2:4" ht="28.8" x14ac:dyDescent="0.3">
      <c r="B123" s="134"/>
      <c r="C123" s="30" t="s">
        <v>189</v>
      </c>
      <c r="D123" s="31" t="s">
        <v>274</v>
      </c>
    </row>
    <row r="124" spans="2:4" ht="28.8" x14ac:dyDescent="0.3">
      <c r="B124" s="134"/>
      <c r="C124" s="64" t="s">
        <v>190</v>
      </c>
      <c r="D124" s="31" t="s">
        <v>275</v>
      </c>
    </row>
    <row r="125" spans="2:4" ht="29.4" thickBot="1" x14ac:dyDescent="0.35">
      <c r="B125" s="135"/>
      <c r="C125" s="65" t="s">
        <v>24</v>
      </c>
      <c r="D125" s="66" t="s">
        <v>115</v>
      </c>
    </row>
    <row r="126" spans="2:4" x14ac:dyDescent="0.3">
      <c r="B126" s="134" t="s">
        <v>267</v>
      </c>
      <c r="C126" s="32" t="s">
        <v>1</v>
      </c>
      <c r="D126" s="41" t="s">
        <v>191</v>
      </c>
    </row>
    <row r="127" spans="2:4" x14ac:dyDescent="0.3">
      <c r="B127" s="134"/>
      <c r="C127" s="33" t="s">
        <v>2</v>
      </c>
      <c r="D127" s="36" t="s">
        <v>192</v>
      </c>
    </row>
    <row r="128" spans="2:4" x14ac:dyDescent="0.3">
      <c r="B128" s="134"/>
      <c r="C128" s="33" t="s">
        <v>9</v>
      </c>
      <c r="D128" s="36" t="s">
        <v>193</v>
      </c>
    </row>
    <row r="129" spans="2:4" x14ac:dyDescent="0.3">
      <c r="B129" s="134"/>
      <c r="C129" s="35" t="s">
        <v>50</v>
      </c>
      <c r="D129" s="31" t="s">
        <v>194</v>
      </c>
    </row>
    <row r="130" spans="2:4" x14ac:dyDescent="0.3">
      <c r="B130" s="134"/>
      <c r="C130" s="35" t="s">
        <v>245</v>
      </c>
      <c r="D130" s="31" t="s">
        <v>246</v>
      </c>
    </row>
    <row r="131" spans="2:4" x14ac:dyDescent="0.3">
      <c r="B131" s="134"/>
      <c r="C131" s="30" t="s">
        <v>51</v>
      </c>
      <c r="D131" s="31" t="s">
        <v>195</v>
      </c>
    </row>
    <row r="132" spans="2:4" x14ac:dyDescent="0.3">
      <c r="B132" s="134"/>
      <c r="C132" s="30" t="s">
        <v>141</v>
      </c>
      <c r="D132" s="31" t="s">
        <v>208</v>
      </c>
    </row>
    <row r="133" spans="2:4" x14ac:dyDescent="0.3">
      <c r="B133" s="134"/>
      <c r="C133" s="30" t="s">
        <v>142</v>
      </c>
      <c r="D133" s="31" t="s">
        <v>209</v>
      </c>
    </row>
    <row r="134" spans="2:4" ht="43.2" x14ac:dyDescent="0.3">
      <c r="B134" s="134"/>
      <c r="C134" s="30" t="s">
        <v>22</v>
      </c>
      <c r="D134" s="31" t="s">
        <v>111</v>
      </c>
    </row>
    <row r="135" spans="2:4" ht="28.8" x14ac:dyDescent="0.3">
      <c r="B135" s="134"/>
      <c r="C135" s="30" t="s">
        <v>23</v>
      </c>
      <c r="D135" s="31" t="s">
        <v>112</v>
      </c>
    </row>
    <row r="136" spans="2:4" ht="29.4" thickBot="1" x14ac:dyDescent="0.35">
      <c r="B136" s="135"/>
      <c r="C136" s="65" t="s">
        <v>24</v>
      </c>
      <c r="D136" s="66" t="s">
        <v>115</v>
      </c>
    </row>
    <row r="137" spans="2:4" ht="28.8" x14ac:dyDescent="0.3">
      <c r="B137" s="136" t="s">
        <v>268</v>
      </c>
      <c r="C137" s="32" t="s">
        <v>1</v>
      </c>
      <c r="D137" s="41" t="s">
        <v>196</v>
      </c>
    </row>
    <row r="138" spans="2:4" x14ac:dyDescent="0.3">
      <c r="B138" s="137"/>
      <c r="C138" s="33" t="s">
        <v>2</v>
      </c>
      <c r="D138" s="36" t="s">
        <v>197</v>
      </c>
    </row>
    <row r="139" spans="2:4" x14ac:dyDescent="0.3">
      <c r="B139" s="137"/>
      <c r="C139" s="33" t="s">
        <v>9</v>
      </c>
      <c r="D139" s="36" t="s">
        <v>193</v>
      </c>
    </row>
    <row r="140" spans="2:4" ht="28.8" x14ac:dyDescent="0.3">
      <c r="B140" s="137"/>
      <c r="C140" s="67" t="s">
        <v>149</v>
      </c>
      <c r="D140" s="31" t="s">
        <v>198</v>
      </c>
    </row>
    <row r="141" spans="2:4" ht="43.2" x14ac:dyDescent="0.3">
      <c r="B141" s="137"/>
      <c r="C141" s="68" t="s">
        <v>22</v>
      </c>
      <c r="D141" s="31" t="s">
        <v>111</v>
      </c>
    </row>
    <row r="142" spans="2:4" ht="28.8" x14ac:dyDescent="0.3">
      <c r="B142" s="137"/>
      <c r="C142" s="68" t="s">
        <v>23</v>
      </c>
      <c r="D142" s="31" t="s">
        <v>112</v>
      </c>
    </row>
    <row r="143" spans="2:4" x14ac:dyDescent="0.3">
      <c r="B143" s="137"/>
      <c r="C143" s="68" t="s">
        <v>59</v>
      </c>
      <c r="D143" s="31" t="s">
        <v>199</v>
      </c>
    </row>
    <row r="144" spans="2:4" x14ac:dyDescent="0.3">
      <c r="B144" s="137"/>
      <c r="C144" s="68" t="s">
        <v>200</v>
      </c>
      <c r="D144" s="31" t="s">
        <v>201</v>
      </c>
    </row>
    <row r="145" spans="2:4" ht="29.4" thickBot="1" x14ac:dyDescent="0.35">
      <c r="B145" s="138"/>
      <c r="C145" s="44" t="s">
        <v>24</v>
      </c>
      <c r="D145" s="66" t="s">
        <v>115</v>
      </c>
    </row>
    <row r="146" spans="2:4" x14ac:dyDescent="0.3">
      <c r="B146" s="136" t="s">
        <v>269</v>
      </c>
      <c r="C146" s="32" t="s">
        <v>1</v>
      </c>
      <c r="D146" s="41" t="s">
        <v>202</v>
      </c>
    </row>
    <row r="147" spans="2:4" ht="28.8" x14ac:dyDescent="0.3">
      <c r="B147" s="137"/>
      <c r="C147" s="33" t="s">
        <v>203</v>
      </c>
      <c r="D147" s="36" t="s">
        <v>204</v>
      </c>
    </row>
    <row r="148" spans="2:4" x14ac:dyDescent="0.3">
      <c r="B148" s="137"/>
      <c r="C148" s="33" t="s">
        <v>9</v>
      </c>
      <c r="D148" s="36" t="s">
        <v>205</v>
      </c>
    </row>
    <row r="149" spans="2:4" ht="43.2" x14ac:dyDescent="0.3">
      <c r="B149" s="137"/>
      <c r="C149" s="68" t="s">
        <v>22</v>
      </c>
      <c r="D149" s="31" t="s">
        <v>111</v>
      </c>
    </row>
    <row r="150" spans="2:4" ht="28.8" x14ac:dyDescent="0.3">
      <c r="B150" s="137"/>
      <c r="C150" s="68" t="s">
        <v>23</v>
      </c>
      <c r="D150" s="31" t="s">
        <v>112</v>
      </c>
    </row>
    <row r="151" spans="2:4" x14ac:dyDescent="0.3">
      <c r="B151" s="137"/>
      <c r="C151" s="78" t="s">
        <v>60</v>
      </c>
      <c r="D151" s="79" t="s">
        <v>216</v>
      </c>
    </row>
    <row r="152" spans="2:4" x14ac:dyDescent="0.3">
      <c r="B152" s="137"/>
      <c r="C152" s="68" t="s">
        <v>61</v>
      </c>
      <c r="D152" s="31" t="s">
        <v>214</v>
      </c>
    </row>
    <row r="153" spans="2:4" x14ac:dyDescent="0.3">
      <c r="B153" s="137"/>
      <c r="C153" s="68" t="s">
        <v>63</v>
      </c>
      <c r="D153" s="31" t="s">
        <v>215</v>
      </c>
    </row>
    <row r="154" spans="2:4" x14ac:dyDescent="0.3">
      <c r="B154" s="137"/>
      <c r="C154" s="69" t="s">
        <v>62</v>
      </c>
      <c r="D154" s="45" t="s">
        <v>206</v>
      </c>
    </row>
    <row r="155" spans="2:4" ht="29.4" thickBot="1" x14ac:dyDescent="0.35">
      <c r="B155" s="138"/>
      <c r="C155" s="44" t="s">
        <v>24</v>
      </c>
      <c r="D155" s="66" t="s">
        <v>115</v>
      </c>
    </row>
    <row r="156" spans="2:4" x14ac:dyDescent="0.3">
      <c r="B156" s="131" t="s">
        <v>282</v>
      </c>
      <c r="C156" s="40" t="s">
        <v>239</v>
      </c>
      <c r="D156" s="36" t="s">
        <v>250</v>
      </c>
    </row>
    <row r="157" spans="2:4" x14ac:dyDescent="0.3">
      <c r="B157" s="132"/>
      <c r="C157" s="62" t="s">
        <v>233</v>
      </c>
      <c r="D157" s="36" t="s">
        <v>251</v>
      </c>
    </row>
    <row r="158" spans="2:4" x14ac:dyDescent="0.3">
      <c r="B158" s="132"/>
      <c r="C158" s="62" t="s">
        <v>234</v>
      </c>
      <c r="D158" s="79"/>
    </row>
    <row r="159" spans="2:4" ht="28.8" x14ac:dyDescent="0.3">
      <c r="B159" s="132"/>
      <c r="C159" s="62" t="s">
        <v>227</v>
      </c>
      <c r="D159" s="36" t="s">
        <v>252</v>
      </c>
    </row>
    <row r="160" spans="2:4" ht="28.8" x14ac:dyDescent="0.3">
      <c r="B160" s="132"/>
      <c r="C160" s="62" t="s">
        <v>243</v>
      </c>
      <c r="D160" s="36" t="s">
        <v>253</v>
      </c>
    </row>
    <row r="161" spans="2:4" ht="28.8" x14ac:dyDescent="0.3">
      <c r="B161" s="132"/>
      <c r="C161" s="62" t="s">
        <v>235</v>
      </c>
      <c r="D161" s="36" t="s">
        <v>241</v>
      </c>
    </row>
    <row r="162" spans="2:4" ht="28.8" x14ac:dyDescent="0.3">
      <c r="B162" s="132"/>
      <c r="C162" s="62" t="s">
        <v>236</v>
      </c>
      <c r="D162" s="36" t="s">
        <v>242</v>
      </c>
    </row>
    <row r="163" spans="2:4" ht="28.8" x14ac:dyDescent="0.3">
      <c r="B163" s="132"/>
      <c r="C163" s="62" t="s">
        <v>237</v>
      </c>
      <c r="D163" s="36" t="s">
        <v>240</v>
      </c>
    </row>
    <row r="164" spans="2:4" ht="15" thickBot="1" x14ac:dyDescent="0.35">
      <c r="B164" s="133"/>
      <c r="C164" s="70" t="s">
        <v>238</v>
      </c>
      <c r="D164" s="80"/>
    </row>
  </sheetData>
  <mergeCells count="16">
    <mergeCell ref="B2:D5"/>
    <mergeCell ref="B53:B82"/>
    <mergeCell ref="B83:B103"/>
    <mergeCell ref="B104:B114"/>
    <mergeCell ref="B7:D7"/>
    <mergeCell ref="B8:D12"/>
    <mergeCell ref="B14:D14"/>
    <mergeCell ref="B15:D24"/>
    <mergeCell ref="B26:D26"/>
    <mergeCell ref="B27:D28"/>
    <mergeCell ref="B29:B52"/>
    <mergeCell ref="B156:B164"/>
    <mergeCell ref="B115:B125"/>
    <mergeCell ref="B126:B136"/>
    <mergeCell ref="B137:B145"/>
    <mergeCell ref="B146:B155"/>
  </mergeCells>
  <pageMargins left="0.7" right="0.7" top="0.75" bottom="0.75" header="0.3" footer="0.3"/>
  <pageSetup scale="6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theme="9"/>
  </sheetPr>
  <dimension ref="A1:AA91"/>
  <sheetViews>
    <sheetView zoomScaleNormal="100" workbookViewId="0">
      <selection activeCell="A86" sqref="A86:XFD86"/>
    </sheetView>
    <sheetView topLeftCell="C1" workbookViewId="1">
      <selection activeCell="D6" sqref="D6"/>
    </sheetView>
  </sheetViews>
  <sheetFormatPr baseColWidth="10" defaultColWidth="11.5546875" defaultRowHeight="14.4" x14ac:dyDescent="0.3"/>
  <cols>
    <col min="1" max="2" width="3" style="3" customWidth="1"/>
    <col min="3" max="3" width="6.6640625" style="2" customWidth="1"/>
    <col min="4" max="4" width="56.109375" bestFit="1" customWidth="1"/>
    <col min="5" max="5" width="35.44140625" bestFit="1" customWidth="1"/>
    <col min="6" max="6" width="22.33203125" bestFit="1" customWidth="1"/>
    <col min="7" max="8" width="11.5546875" customWidth="1"/>
    <col min="9" max="9" width="29.44140625" customWidth="1"/>
    <col min="10" max="10" width="29.109375" style="2" customWidth="1"/>
    <col min="11" max="11" width="32.109375" style="2" customWidth="1"/>
    <col min="12" max="12" width="26.6640625" style="2" customWidth="1"/>
    <col min="13" max="16" width="11.6640625" style="2" customWidth="1"/>
    <col min="17" max="17" width="12.5546875" style="2" customWidth="1"/>
    <col min="18" max="18" width="11.6640625" style="2" customWidth="1"/>
    <col min="19" max="19" width="12.44140625" style="2" customWidth="1"/>
    <col min="20" max="21" width="11.5546875" style="2" customWidth="1"/>
    <col min="22" max="22" width="12.109375" style="129" customWidth="1"/>
    <col min="23" max="23" width="18.109375" style="2" customWidth="1"/>
    <col min="24" max="26" width="16.5546875" style="2" customWidth="1"/>
    <col min="27" max="27" width="243.44140625" style="2" bestFit="1" customWidth="1"/>
  </cols>
  <sheetData>
    <row r="1" spans="1:27" x14ac:dyDescent="0.3">
      <c r="J1"/>
      <c r="K1"/>
      <c r="L1"/>
      <c r="M1"/>
      <c r="N1"/>
      <c r="O1"/>
      <c r="P1"/>
      <c r="Q1"/>
      <c r="R1"/>
      <c r="S1"/>
      <c r="T1"/>
      <c r="U1"/>
      <c r="V1" s="55"/>
      <c r="W1"/>
      <c r="X1"/>
      <c r="Y1"/>
      <c r="Z1"/>
      <c r="AA1"/>
    </row>
    <row r="2" spans="1:27" ht="15" thickBot="1" x14ac:dyDescent="0.35">
      <c r="J2"/>
      <c r="K2"/>
      <c r="L2"/>
      <c r="M2"/>
      <c r="N2"/>
      <c r="O2"/>
      <c r="P2"/>
      <c r="Q2"/>
      <c r="R2"/>
      <c r="S2"/>
      <c r="T2"/>
      <c r="U2"/>
      <c r="V2" s="55"/>
      <c r="W2"/>
      <c r="X2"/>
      <c r="Y2"/>
      <c r="Z2"/>
      <c r="AA2"/>
    </row>
    <row r="3" spans="1:27" s="1" customFormat="1" ht="15" thickBot="1" x14ac:dyDescent="0.35">
      <c r="A3" s="4"/>
      <c r="B3" s="4"/>
      <c r="C3" s="169" t="s">
        <v>10</v>
      </c>
      <c r="D3" s="170"/>
      <c r="E3" s="170"/>
      <c r="F3" s="170"/>
      <c r="G3" s="170"/>
      <c r="H3" s="170"/>
      <c r="I3" s="170"/>
      <c r="J3" s="170"/>
      <c r="K3" s="170"/>
      <c r="L3" s="170"/>
      <c r="M3" s="170"/>
      <c r="N3" s="170"/>
      <c r="O3" s="170"/>
      <c r="P3" s="170"/>
      <c r="Q3" s="170"/>
      <c r="R3" s="170"/>
      <c r="S3" s="170"/>
      <c r="T3" s="170"/>
      <c r="U3" s="170"/>
      <c r="V3" s="170"/>
      <c r="W3" s="170"/>
      <c r="X3" s="170"/>
      <c r="Y3" s="170"/>
      <c r="Z3" s="170"/>
      <c r="AA3" s="171"/>
    </row>
    <row r="4" spans="1:27" s="6" customFormat="1" ht="12" customHeight="1" x14ac:dyDescent="0.3">
      <c r="A4" s="5"/>
      <c r="B4" s="5"/>
      <c r="C4" s="174" t="s">
        <v>3</v>
      </c>
      <c r="D4" s="172" t="str">
        <f>'Manual de Uso'!C29</f>
        <v>Nombre</v>
      </c>
      <c r="E4" s="172" t="str">
        <f>'Manual de Uso'!C30</f>
        <v>Subestación 1</v>
      </c>
      <c r="F4" s="172" t="str">
        <f>'Manual de Uso'!C31</f>
        <v>Subestación 2</v>
      </c>
      <c r="G4" s="172" t="str">
        <f>'Manual de Uso'!C32</f>
        <v>Nivel de tensión [kV]</v>
      </c>
      <c r="H4" s="172" t="str">
        <f>'Manual de Uso'!C33</f>
        <v>Longitud [km]</v>
      </c>
      <c r="I4" s="172" t="str">
        <f>'Manual de Uso'!C34</f>
        <v>Capacidad transporte nominal [A]</v>
      </c>
      <c r="J4" s="172" t="str">
        <f>'Manual de Uso'!C35</f>
        <v>Capacidad transporte térmico [A]</v>
      </c>
      <c r="K4" s="172" t="str">
        <f>'Manual de Uso'!C36</f>
        <v>Capacidad transporte emergencia [A]</v>
      </c>
      <c r="L4" s="172" t="str">
        <f>'Manual de Uso'!C37</f>
        <v>Causa límite de capacidad</v>
      </c>
      <c r="M4" s="172" t="str">
        <f>'Manual de Uso'!C38</f>
        <v>R1 [Ohm/km]</v>
      </c>
      <c r="N4" s="172" t="str">
        <f>'Manual de Uso'!C39</f>
        <v>X1 [Ohm/km]</v>
      </c>
      <c r="O4" s="172" t="str">
        <f>'Manual de Uso'!C40</f>
        <v>B1 [uS/km]</v>
      </c>
      <c r="P4" s="172" t="str">
        <f>'Manual de Uso'!C41</f>
        <v>R0 [Ohm/km]</v>
      </c>
      <c r="Q4" s="172" t="str">
        <f>'Manual de Uso'!C42</f>
        <v>X0 [Ohm/km]</v>
      </c>
      <c r="R4" s="172" t="str">
        <f>'Manual de Uso'!C43</f>
        <v>B0 [uS/km]</v>
      </c>
      <c r="S4" s="172" t="str">
        <f>'Manual de Uso'!C44</f>
        <v>Sistema</v>
      </c>
      <c r="T4" s="172" t="str">
        <f>'Manual de Uso'!C45</f>
        <v>Tipo</v>
      </c>
      <c r="U4" s="172" t="str">
        <f>'Manual de Uso'!C46</f>
        <v>En Operación</v>
      </c>
      <c r="V4" s="172" t="str">
        <f>'Manual de Uso'!C47</f>
        <v>FPO</v>
      </c>
      <c r="W4" s="172" t="str">
        <f>'Manual de Uso'!C48</f>
        <v>Conductor</v>
      </c>
      <c r="X4" s="172" t="str">
        <f>'Manual de Uso'!C49</f>
        <v>Tiempo medio de reparación por evento [h]</v>
      </c>
      <c r="Y4" s="172" t="str">
        <f>'Manual de Uso'!C50</f>
        <v>Horas anuales de indisponibilidad [h]</v>
      </c>
      <c r="Z4" s="172" t="str">
        <f>'Manual de Uso'!C51</f>
        <v>Eventos anuales de indisponibilidad</v>
      </c>
      <c r="AA4" s="172" t="str">
        <f>'Manual de Uso'!C52</f>
        <v>Observaciones transportador</v>
      </c>
    </row>
    <row r="5" spans="1:27" s="6" customFormat="1" ht="40.5" customHeight="1" thickBot="1" x14ac:dyDescent="0.35">
      <c r="A5" s="5"/>
      <c r="B5" s="5"/>
      <c r="C5" s="175"/>
      <c r="D5" s="173"/>
      <c r="E5" s="173"/>
      <c r="F5" s="173"/>
      <c r="G5" s="173"/>
      <c r="H5" s="173"/>
      <c r="I5" s="173"/>
      <c r="J5" s="173"/>
      <c r="K5" s="173"/>
      <c r="L5" s="173"/>
      <c r="M5" s="173"/>
      <c r="N5" s="173"/>
      <c r="O5" s="173"/>
      <c r="P5" s="173"/>
      <c r="Q5" s="173"/>
      <c r="R5" s="173"/>
      <c r="S5" s="173"/>
      <c r="T5" s="173"/>
      <c r="U5" s="173"/>
      <c r="V5" s="173"/>
      <c r="W5" s="173"/>
      <c r="X5" s="173"/>
      <c r="Y5" s="173"/>
      <c r="Z5" s="173"/>
      <c r="AA5" s="173"/>
    </row>
    <row r="6" spans="1:27" ht="15" thickBot="1" x14ac:dyDescent="0.35">
      <c r="A6" s="3" t="e">
        <f>VLOOKUP(E6,'[2]Listas Desplegables'!$H$3:$J$7,2,FALSE)</f>
        <v>#N/A</v>
      </c>
      <c r="B6" s="3" t="e">
        <f>VLOOKUP(E6,'[2]Listas Desplegables'!$H$3:$J$7,3,FALSE)</f>
        <v>#N/A</v>
      </c>
      <c r="C6" s="21">
        <v>1</v>
      </c>
      <c r="D6" s="12" t="s">
        <v>474</v>
      </c>
      <c r="E6" s="9" t="s">
        <v>475</v>
      </c>
      <c r="F6" s="22" t="s">
        <v>470</v>
      </c>
      <c r="G6" s="82">
        <v>115</v>
      </c>
      <c r="H6" s="89">
        <v>1.5</v>
      </c>
      <c r="I6" s="87">
        <v>260</v>
      </c>
      <c r="J6" s="87">
        <v>670</v>
      </c>
      <c r="K6" s="87">
        <v>260</v>
      </c>
      <c r="L6" s="87" t="s">
        <v>466</v>
      </c>
      <c r="M6" s="84">
        <v>0.13412009999999999</v>
      </c>
      <c r="N6" s="84">
        <v>0.48433080000000001</v>
      </c>
      <c r="O6" s="84">
        <v>3.4194</v>
      </c>
      <c r="P6" s="84">
        <v>0.42543690000000001</v>
      </c>
      <c r="Q6" s="84">
        <v>1.5448999999999999</v>
      </c>
      <c r="R6" s="84">
        <v>1.8856999999999999</v>
      </c>
      <c r="S6" s="86" t="s">
        <v>106</v>
      </c>
      <c r="T6" s="86" t="s">
        <v>109</v>
      </c>
      <c r="U6" s="86" t="s">
        <v>114</v>
      </c>
      <c r="V6" s="105"/>
      <c r="W6" s="87" t="s">
        <v>497</v>
      </c>
      <c r="X6" s="87">
        <v>10.540444444410815</v>
      </c>
      <c r="Y6" s="87">
        <v>31.621333333232442</v>
      </c>
      <c r="Z6" s="87">
        <v>3</v>
      </c>
      <c r="AA6" s="106" t="s">
        <v>922</v>
      </c>
    </row>
    <row r="7" spans="1:27" ht="15" thickBot="1" x14ac:dyDescent="0.35">
      <c r="A7" s="3" t="e">
        <f>VLOOKUP(E7,'[2]Listas Desplegables'!$H$3:$J$7,2,FALSE)</f>
        <v>#N/A</v>
      </c>
      <c r="B7" s="3" t="e">
        <f>VLOOKUP(E7,'[2]Listas Desplegables'!$H$3:$J$7,3,FALSE)</f>
        <v>#N/A</v>
      </c>
      <c r="C7" s="8">
        <v>2</v>
      </c>
      <c r="D7" s="12" t="s">
        <v>469</v>
      </c>
      <c r="E7" s="9" t="s">
        <v>471</v>
      </c>
      <c r="F7" s="22" t="s">
        <v>470</v>
      </c>
      <c r="G7" s="83">
        <v>115</v>
      </c>
      <c r="H7" s="89">
        <v>43.7</v>
      </c>
      <c r="I7" s="86">
        <v>661</v>
      </c>
      <c r="J7" s="86">
        <v>661</v>
      </c>
      <c r="K7" s="86">
        <v>690</v>
      </c>
      <c r="L7" s="87" t="s">
        <v>466</v>
      </c>
      <c r="M7" s="85">
        <v>0.1205253</v>
      </c>
      <c r="N7" s="85">
        <v>0.49289240000000001</v>
      </c>
      <c r="O7" s="85">
        <v>3.3342000000000001</v>
      </c>
      <c r="P7" s="85">
        <v>0.28850140000000002</v>
      </c>
      <c r="Q7" s="85">
        <v>1.6211</v>
      </c>
      <c r="R7" s="85">
        <v>1.69</v>
      </c>
      <c r="S7" s="86" t="s">
        <v>106</v>
      </c>
      <c r="T7" s="86" t="s">
        <v>109</v>
      </c>
      <c r="U7" s="86" t="s">
        <v>114</v>
      </c>
      <c r="V7" s="97"/>
      <c r="W7" s="86" t="s">
        <v>497</v>
      </c>
      <c r="X7" s="86">
        <v>3.5440833333168413</v>
      </c>
      <c r="Y7" s="86">
        <v>14.176333333267365</v>
      </c>
      <c r="Z7" s="86">
        <v>4</v>
      </c>
      <c r="AA7" s="107" t="s">
        <v>923</v>
      </c>
    </row>
    <row r="8" spans="1:27" x14ac:dyDescent="0.3">
      <c r="A8" s="3" t="e">
        <f>VLOOKUP(E8,'[2]Listas Desplegables'!$H$3:$J$7,2,FALSE)</f>
        <v>#N/A</v>
      </c>
      <c r="B8" s="3" t="e">
        <f>VLOOKUP(E8,'[2]Listas Desplegables'!$H$3:$J$7,3,FALSE)</f>
        <v>#N/A</v>
      </c>
      <c r="C8" s="8">
        <v>3</v>
      </c>
      <c r="D8" s="12" t="s">
        <v>472</v>
      </c>
      <c r="E8" s="9" t="s">
        <v>471</v>
      </c>
      <c r="F8" s="22" t="s">
        <v>473</v>
      </c>
      <c r="G8" s="83">
        <v>115</v>
      </c>
      <c r="H8" s="89">
        <v>37.89</v>
      </c>
      <c r="I8" s="86">
        <v>530</v>
      </c>
      <c r="J8" s="86">
        <v>530</v>
      </c>
      <c r="K8" s="86">
        <v>610</v>
      </c>
      <c r="L8" s="87" t="s">
        <v>466</v>
      </c>
      <c r="M8" s="85">
        <v>0.18509999999999999</v>
      </c>
      <c r="N8" s="85">
        <v>0.4869</v>
      </c>
      <c r="O8" s="85">
        <v>3.3675999999999999</v>
      </c>
      <c r="P8" s="85">
        <v>0.47639999999999999</v>
      </c>
      <c r="Q8" s="85">
        <v>1.5475000000000001</v>
      </c>
      <c r="R8" s="85">
        <v>1.8697999999999999</v>
      </c>
      <c r="S8" s="86" t="s">
        <v>106</v>
      </c>
      <c r="T8" s="86" t="s">
        <v>109</v>
      </c>
      <c r="U8" s="86" t="s">
        <v>114</v>
      </c>
      <c r="V8" s="97"/>
      <c r="W8" s="86" t="s">
        <v>493</v>
      </c>
      <c r="X8" s="86">
        <v>8.3269444444275003</v>
      </c>
      <c r="Y8" s="86">
        <v>83.269444444274995</v>
      </c>
      <c r="Z8" s="86">
        <v>10</v>
      </c>
      <c r="AA8" s="107" t="s">
        <v>924</v>
      </c>
    </row>
    <row r="9" spans="1:27" x14ac:dyDescent="0.3">
      <c r="A9" s="3" t="e">
        <f>VLOOKUP(E9,'[2]Listas Desplegables'!$H$3:$J$7,2,FALSE)</f>
        <v>#N/A</v>
      </c>
      <c r="B9" s="3" t="e">
        <f>VLOOKUP(E9,'[2]Listas Desplegables'!$H$3:$J$7,3,FALSE)</f>
        <v>#N/A</v>
      </c>
      <c r="C9" s="8">
        <v>4</v>
      </c>
      <c r="D9" s="12" t="s">
        <v>486</v>
      </c>
      <c r="E9" s="9" t="s">
        <v>487</v>
      </c>
      <c r="F9" s="9" t="s">
        <v>480</v>
      </c>
      <c r="G9" s="83">
        <v>115</v>
      </c>
      <c r="H9" s="89">
        <v>4.1550000000000002</v>
      </c>
      <c r="I9" s="86">
        <v>300</v>
      </c>
      <c r="J9" s="86">
        <v>490</v>
      </c>
      <c r="K9" s="86">
        <v>300</v>
      </c>
      <c r="L9" s="86" t="s">
        <v>467</v>
      </c>
      <c r="M9" s="85">
        <v>0.18590000000000001</v>
      </c>
      <c r="N9" s="85">
        <v>0.48520000000000002</v>
      </c>
      <c r="O9" s="85">
        <v>3.4060999999999999</v>
      </c>
      <c r="P9" s="85">
        <v>0.46260000000000001</v>
      </c>
      <c r="Q9" s="85">
        <v>1.3712</v>
      </c>
      <c r="R9" s="85">
        <v>2.0367999999999999</v>
      </c>
      <c r="S9" s="86" t="s">
        <v>106</v>
      </c>
      <c r="T9" s="86" t="s">
        <v>109</v>
      </c>
      <c r="U9" s="86" t="s">
        <v>114</v>
      </c>
      <c r="V9" s="97"/>
      <c r="W9" s="86" t="s">
        <v>496</v>
      </c>
      <c r="X9" s="86">
        <v>14.49101851839805</v>
      </c>
      <c r="Y9" s="86">
        <v>43.473055555194151</v>
      </c>
      <c r="Z9" s="86">
        <v>3</v>
      </c>
      <c r="AA9" s="107"/>
    </row>
    <row r="10" spans="1:27" ht="15" thickBot="1" x14ac:dyDescent="0.35">
      <c r="A10" s="3" t="e">
        <f>VLOOKUP(E10,'[2]Listas Desplegables'!$H$3:$J$7,2,FALSE)</f>
        <v>#N/A</v>
      </c>
      <c r="B10" s="3" t="e">
        <f>VLOOKUP(E10,'[2]Listas Desplegables'!$H$3:$J$7,3,FALSE)</f>
        <v>#N/A</v>
      </c>
      <c r="C10" s="8">
        <v>5</v>
      </c>
      <c r="D10" s="12" t="s">
        <v>488</v>
      </c>
      <c r="E10" s="9" t="s">
        <v>487</v>
      </c>
      <c r="F10" s="9" t="s">
        <v>480</v>
      </c>
      <c r="G10" s="83">
        <v>115</v>
      </c>
      <c r="H10" s="89">
        <v>4.1550000000000002</v>
      </c>
      <c r="I10" s="86">
        <v>200</v>
      </c>
      <c r="J10" s="86">
        <v>530</v>
      </c>
      <c r="K10" s="86">
        <v>200</v>
      </c>
      <c r="L10" s="86" t="s">
        <v>467</v>
      </c>
      <c r="M10" s="85">
        <v>0.1648</v>
      </c>
      <c r="N10" s="85">
        <v>0.4773</v>
      </c>
      <c r="O10" s="85">
        <v>3.4544999999999999</v>
      </c>
      <c r="P10" s="85">
        <v>0.44159999999999999</v>
      </c>
      <c r="Q10" s="85">
        <v>1.3633</v>
      </c>
      <c r="R10" s="85">
        <v>2.0524</v>
      </c>
      <c r="S10" s="86" t="s">
        <v>106</v>
      </c>
      <c r="T10" s="86" t="s">
        <v>109</v>
      </c>
      <c r="U10" s="86" t="s">
        <v>114</v>
      </c>
      <c r="V10" s="97"/>
      <c r="W10" s="86" t="s">
        <v>496</v>
      </c>
      <c r="X10" s="86">
        <v>15.956736111067585</v>
      </c>
      <c r="Y10" s="86">
        <v>63.826944444270339</v>
      </c>
      <c r="Z10" s="86">
        <v>4</v>
      </c>
      <c r="AA10" s="107"/>
    </row>
    <row r="11" spans="1:27" x14ac:dyDescent="0.3">
      <c r="A11" s="3" t="e">
        <f>VLOOKUP(E11,'[2]Listas Desplegables'!$H$3:$J$7,2,FALSE)</f>
        <v>#N/A</v>
      </c>
      <c r="B11" s="3" t="e">
        <f>VLOOKUP(E11,'[2]Listas Desplegables'!$H$3:$J$7,3,FALSE)</f>
        <v>#N/A</v>
      </c>
      <c r="C11" s="8">
        <v>6</v>
      </c>
      <c r="D11" s="12" t="s">
        <v>481</v>
      </c>
      <c r="E11" s="9" t="s">
        <v>482</v>
      </c>
      <c r="F11" s="9" t="s">
        <v>470</v>
      </c>
      <c r="G11" s="83">
        <v>115</v>
      </c>
      <c r="H11" s="89">
        <v>41.5</v>
      </c>
      <c r="I11" s="86">
        <v>670</v>
      </c>
      <c r="J11" s="86">
        <v>670</v>
      </c>
      <c r="K11" s="86">
        <v>690</v>
      </c>
      <c r="L11" s="87" t="s">
        <v>466</v>
      </c>
      <c r="M11" s="85">
        <v>0.1341</v>
      </c>
      <c r="N11" s="85">
        <v>0.48433080000000001</v>
      </c>
      <c r="O11" s="85">
        <v>3.4194</v>
      </c>
      <c r="P11" s="85">
        <v>0.42543690000000001</v>
      </c>
      <c r="Q11" s="85">
        <v>1.5448999999999999</v>
      </c>
      <c r="R11" s="85">
        <v>1.8856999999999999</v>
      </c>
      <c r="S11" s="86" t="s">
        <v>106</v>
      </c>
      <c r="T11" s="86" t="s">
        <v>109</v>
      </c>
      <c r="U11" s="86" t="s">
        <v>114</v>
      </c>
      <c r="V11" s="97"/>
      <c r="W11" s="86" t="s">
        <v>497</v>
      </c>
      <c r="X11" s="86">
        <v>2.2682777777896264</v>
      </c>
      <c r="Y11" s="86">
        <v>11.341388888948131</v>
      </c>
      <c r="Z11" s="86">
        <v>5</v>
      </c>
      <c r="AA11" s="107"/>
    </row>
    <row r="12" spans="1:27" x14ac:dyDescent="0.3">
      <c r="A12" s="3" t="e">
        <f>VLOOKUP(E12,'[2]Listas Desplegables'!$H$3:$J$7,2,FALSE)</f>
        <v>#N/A</v>
      </c>
      <c r="B12" s="3" t="e">
        <f>VLOOKUP(E12,'[2]Listas Desplegables'!$H$3:$J$7,3,FALSE)</f>
        <v>#N/A</v>
      </c>
      <c r="C12" s="8">
        <v>7</v>
      </c>
      <c r="D12" s="12" t="s">
        <v>382</v>
      </c>
      <c r="E12" s="9" t="s">
        <v>499</v>
      </c>
      <c r="F12" s="9" t="s">
        <v>490</v>
      </c>
      <c r="G12" s="83">
        <v>230</v>
      </c>
      <c r="H12" s="89">
        <v>1</v>
      </c>
      <c r="I12" s="86">
        <v>800</v>
      </c>
      <c r="J12" s="86">
        <v>860</v>
      </c>
      <c r="K12" s="86">
        <v>860</v>
      </c>
      <c r="L12" s="86" t="s">
        <v>467</v>
      </c>
      <c r="M12" s="85">
        <v>6.6699999999999995E-2</v>
      </c>
      <c r="N12" s="85">
        <v>0.5181</v>
      </c>
      <c r="O12" s="85">
        <v>3.3370000000000002</v>
      </c>
      <c r="P12" s="85">
        <v>0.28899999999999998</v>
      </c>
      <c r="Q12" s="85">
        <v>0.92400000000000004</v>
      </c>
      <c r="R12" s="85">
        <v>2.6960000000000002</v>
      </c>
      <c r="S12" s="86" t="s">
        <v>105</v>
      </c>
      <c r="T12" s="86" t="s">
        <v>109</v>
      </c>
      <c r="U12" s="86" t="s">
        <v>114</v>
      </c>
      <c r="V12" s="97"/>
      <c r="W12" s="86" t="s">
        <v>498</v>
      </c>
      <c r="X12" s="86">
        <v>0</v>
      </c>
      <c r="Y12" s="86">
        <v>0</v>
      </c>
      <c r="Z12" s="86">
        <v>0</v>
      </c>
      <c r="AA12" s="107"/>
    </row>
    <row r="13" spans="1:27" x14ac:dyDescent="0.3">
      <c r="C13" s="8">
        <v>8</v>
      </c>
      <c r="D13" s="12" t="s">
        <v>553</v>
      </c>
      <c r="E13" s="9" t="s">
        <v>499</v>
      </c>
      <c r="F13" s="9" t="s">
        <v>645</v>
      </c>
      <c r="G13" s="83">
        <v>230</v>
      </c>
      <c r="H13" s="89">
        <v>1</v>
      </c>
      <c r="I13" s="86">
        <v>814</v>
      </c>
      <c r="J13" s="86"/>
      <c r="K13" s="86"/>
      <c r="L13" s="86"/>
      <c r="M13" s="85">
        <v>7.2900000000000006E-2</v>
      </c>
      <c r="N13" s="85">
        <v>0.53680000000000005</v>
      </c>
      <c r="O13" s="85">
        <v>3.2052</v>
      </c>
      <c r="P13" s="85">
        <v>0.42780000000000001</v>
      </c>
      <c r="Q13" s="85">
        <v>1.3580000000000001</v>
      </c>
      <c r="R13" s="85">
        <v>2.1901999999999999</v>
      </c>
      <c r="S13" s="86" t="s">
        <v>105</v>
      </c>
      <c r="T13" s="86" t="s">
        <v>109</v>
      </c>
      <c r="U13" s="86" t="s">
        <v>114</v>
      </c>
      <c r="V13" s="97"/>
      <c r="W13" s="86"/>
      <c r="X13" s="86"/>
      <c r="Y13" s="86"/>
      <c r="Z13" s="86"/>
      <c r="AA13" s="107" t="s">
        <v>555</v>
      </c>
    </row>
    <row r="14" spans="1:27" x14ac:dyDescent="0.3">
      <c r="A14" s="3" t="e">
        <f>VLOOKUP(E14,'[2]Listas Desplegables'!$H$3:$J$7,2,FALSE)</f>
        <v>#N/A</v>
      </c>
      <c r="B14" s="3" t="e">
        <f>VLOOKUP(E14,'[2]Listas Desplegables'!$H$3:$J$7,3,FALSE)</f>
        <v>#N/A</v>
      </c>
      <c r="C14" s="8">
        <v>9</v>
      </c>
      <c r="D14" s="12" t="s">
        <v>483</v>
      </c>
      <c r="E14" s="9" t="s">
        <v>482</v>
      </c>
      <c r="F14" s="9" t="s">
        <v>473</v>
      </c>
      <c r="G14" s="83">
        <v>115</v>
      </c>
      <c r="H14" s="89">
        <v>33.67</v>
      </c>
      <c r="I14" s="86">
        <v>660</v>
      </c>
      <c r="J14" s="86">
        <v>661</v>
      </c>
      <c r="K14" s="86">
        <v>660</v>
      </c>
      <c r="L14" s="86" t="s">
        <v>467</v>
      </c>
      <c r="M14" s="85">
        <v>0.12089999999999999</v>
      </c>
      <c r="N14" s="85">
        <v>0.49270000000000003</v>
      </c>
      <c r="O14" s="85">
        <v>3.3616999999999999</v>
      </c>
      <c r="P14" s="85">
        <v>0.40939999999999999</v>
      </c>
      <c r="Q14" s="85">
        <v>1.3654999999999999</v>
      </c>
      <c r="R14" s="85">
        <v>1.9414</v>
      </c>
      <c r="S14" s="86" t="s">
        <v>106</v>
      </c>
      <c r="T14" s="86" t="s">
        <v>109</v>
      </c>
      <c r="U14" s="86" t="s">
        <v>114</v>
      </c>
      <c r="V14" s="97"/>
      <c r="W14" s="86" t="s">
        <v>497</v>
      </c>
      <c r="X14" s="86">
        <v>4.5662499999802098</v>
      </c>
      <c r="Y14" s="86">
        <v>45.662499999802094</v>
      </c>
      <c r="Z14" s="86">
        <v>10</v>
      </c>
      <c r="AA14" s="107"/>
    </row>
    <row r="15" spans="1:27" x14ac:dyDescent="0.3">
      <c r="A15" s="3" t="e">
        <f>VLOOKUP(E15,'[2]Listas Desplegables'!$H$3:$J$7,2,FALSE)</f>
        <v>#N/A</v>
      </c>
      <c r="B15" s="3" t="e">
        <f>VLOOKUP(E15,'[2]Listas Desplegables'!$H$3:$J$7,3,FALSE)</f>
        <v>#N/A</v>
      </c>
      <c r="C15" s="8">
        <v>10</v>
      </c>
      <c r="D15" s="12" t="s">
        <v>476</v>
      </c>
      <c r="E15" s="9" t="s">
        <v>473</v>
      </c>
      <c r="F15" s="9" t="s">
        <v>477</v>
      </c>
      <c r="G15" s="83">
        <v>115</v>
      </c>
      <c r="H15" s="89">
        <v>79.22</v>
      </c>
      <c r="I15" s="86">
        <v>300</v>
      </c>
      <c r="J15" s="86">
        <v>300</v>
      </c>
      <c r="K15" s="86">
        <v>300</v>
      </c>
      <c r="L15" s="86" t="s">
        <v>468</v>
      </c>
      <c r="M15" s="85">
        <v>0.4291201</v>
      </c>
      <c r="N15" s="85">
        <v>0.5960744</v>
      </c>
      <c r="O15" s="85">
        <v>3.1767180000000002</v>
      </c>
      <c r="P15" s="85">
        <v>0.72043690000000005</v>
      </c>
      <c r="Q15" s="85">
        <v>1.65666</v>
      </c>
      <c r="R15" s="85">
        <v>1.80959</v>
      </c>
      <c r="S15" s="86" t="s">
        <v>106</v>
      </c>
      <c r="T15" s="86" t="s">
        <v>109</v>
      </c>
      <c r="U15" s="86" t="s">
        <v>114</v>
      </c>
      <c r="V15" s="97"/>
      <c r="W15" s="86" t="s">
        <v>496</v>
      </c>
      <c r="X15" s="86">
        <v>9.6074635241141859</v>
      </c>
      <c r="Y15" s="86">
        <v>951.13888888730435</v>
      </c>
      <c r="Z15" s="86">
        <v>99</v>
      </c>
      <c r="AA15" s="107"/>
    </row>
    <row r="16" spans="1:27" x14ac:dyDescent="0.3">
      <c r="A16" s="3" t="e">
        <f>VLOOKUP(E16,'[2]Listas Desplegables'!$H$3:$J$7,2,FALSE)</f>
        <v>#N/A</v>
      </c>
      <c r="B16" s="3" t="e">
        <f>VLOOKUP(E16,'[2]Listas Desplegables'!$H$3:$J$7,3,FALSE)</f>
        <v>#N/A</v>
      </c>
      <c r="C16" s="8">
        <v>11</v>
      </c>
      <c r="D16" s="12" t="s">
        <v>478</v>
      </c>
      <c r="E16" s="9" t="s">
        <v>479</v>
      </c>
      <c r="F16" s="9" t="s">
        <v>480</v>
      </c>
      <c r="G16" s="83">
        <v>115</v>
      </c>
      <c r="H16" s="89">
        <v>21.38</v>
      </c>
      <c r="I16" s="86">
        <v>661</v>
      </c>
      <c r="J16" s="86">
        <v>859</v>
      </c>
      <c r="K16" s="86">
        <v>793.6</v>
      </c>
      <c r="L16" s="86" t="s">
        <v>467</v>
      </c>
      <c r="M16" s="122">
        <v>0.121</v>
      </c>
      <c r="N16" s="122">
        <v>0.37840000000000001</v>
      </c>
      <c r="O16" s="122">
        <v>0.4874</v>
      </c>
      <c r="P16" s="122">
        <v>1.2775000000000001</v>
      </c>
      <c r="Q16" s="122">
        <v>3.4074</v>
      </c>
      <c r="R16" s="122">
        <v>1.9498</v>
      </c>
      <c r="S16" s="86" t="s">
        <v>106</v>
      </c>
      <c r="T16" s="86" t="s">
        <v>109</v>
      </c>
      <c r="U16" s="86" t="s">
        <v>114</v>
      </c>
      <c r="V16" s="97"/>
      <c r="W16" s="86" t="s">
        <v>497</v>
      </c>
      <c r="X16" s="86">
        <v>24.722453703638166</v>
      </c>
      <c r="Y16" s="86">
        <v>148.334722221829</v>
      </c>
      <c r="Z16" s="86">
        <v>6</v>
      </c>
      <c r="AA16" s="107" t="s">
        <v>651</v>
      </c>
    </row>
    <row r="17" spans="1:27" x14ac:dyDescent="0.3">
      <c r="A17" s="3" t="e">
        <f>VLOOKUP(E17,'[2]Listas Desplegables'!$H$3:$J$7,2,FALSE)</f>
        <v>#N/A</v>
      </c>
      <c r="B17" s="3" t="e">
        <f>VLOOKUP(E17,'[2]Listas Desplegables'!$H$3:$J$7,3,FALSE)</f>
        <v>#N/A</v>
      </c>
      <c r="C17" s="8">
        <v>12</v>
      </c>
      <c r="D17" s="12" t="s">
        <v>484</v>
      </c>
      <c r="E17" s="9" t="s">
        <v>485</v>
      </c>
      <c r="F17" s="9" t="s">
        <v>479</v>
      </c>
      <c r="G17" s="83">
        <v>115</v>
      </c>
      <c r="H17" s="89">
        <v>31.24</v>
      </c>
      <c r="I17" s="86">
        <v>350</v>
      </c>
      <c r="J17" s="86">
        <v>490</v>
      </c>
      <c r="K17" s="86">
        <v>350</v>
      </c>
      <c r="L17" s="86" t="s">
        <v>467</v>
      </c>
      <c r="M17" s="85">
        <v>0.2091604</v>
      </c>
      <c r="N17" s="85">
        <v>0.49504100000000001</v>
      </c>
      <c r="O17" s="85">
        <v>3.3216329999999998</v>
      </c>
      <c r="P17" s="85">
        <v>0.50039999999999996</v>
      </c>
      <c r="Q17" s="85">
        <v>1.5556000000000001</v>
      </c>
      <c r="R17" s="85">
        <v>1.85562</v>
      </c>
      <c r="S17" s="86" t="s">
        <v>106</v>
      </c>
      <c r="T17" s="86" t="s">
        <v>109</v>
      </c>
      <c r="U17" s="86" t="s">
        <v>114</v>
      </c>
      <c r="V17" s="97"/>
      <c r="W17" s="86" t="s">
        <v>496</v>
      </c>
      <c r="X17" s="86">
        <v>4.4133024691642886</v>
      </c>
      <c r="Y17" s="86">
        <v>39.719722222478595</v>
      </c>
      <c r="Z17" s="86">
        <v>9</v>
      </c>
      <c r="AA17" s="107"/>
    </row>
    <row r="18" spans="1:27" x14ac:dyDescent="0.3">
      <c r="A18" s="3" t="e">
        <f>VLOOKUP(E18,'[2]Listas Desplegables'!$H$3:$J$7,2,FALSE)</f>
        <v>#N/A</v>
      </c>
      <c r="B18" s="3" t="e">
        <f>VLOOKUP(E18,'[2]Listas Desplegables'!$H$3:$J$7,3,FALSE)</f>
        <v>#N/A</v>
      </c>
      <c r="C18" s="8">
        <v>13</v>
      </c>
      <c r="D18" s="12" t="s">
        <v>489</v>
      </c>
      <c r="E18" s="9" t="s">
        <v>479</v>
      </c>
      <c r="F18" s="9" t="s">
        <v>490</v>
      </c>
      <c r="G18" s="83">
        <v>115</v>
      </c>
      <c r="H18" s="89">
        <v>13.601000000000001</v>
      </c>
      <c r="I18" s="86">
        <v>910</v>
      </c>
      <c r="J18" s="86">
        <v>910</v>
      </c>
      <c r="K18" s="86">
        <v>970</v>
      </c>
      <c r="L18" s="86" t="s">
        <v>467</v>
      </c>
      <c r="M18" s="85">
        <v>8.01201E-2</v>
      </c>
      <c r="N18" s="85">
        <v>0.45827119999999999</v>
      </c>
      <c r="O18" s="85">
        <v>3.601048</v>
      </c>
      <c r="P18" s="85">
        <v>0.37143690000000001</v>
      </c>
      <c r="Q18" s="85">
        <v>1.5188600000000001</v>
      </c>
      <c r="R18" s="85">
        <v>1.9395</v>
      </c>
      <c r="S18" s="86" t="s">
        <v>106</v>
      </c>
      <c r="T18" s="86" t="s">
        <v>109</v>
      </c>
      <c r="U18" s="86" t="s">
        <v>114</v>
      </c>
      <c r="V18" s="97"/>
      <c r="W18" s="86" t="s">
        <v>498</v>
      </c>
      <c r="X18" s="86">
        <v>1.1416666667209938</v>
      </c>
      <c r="Y18" s="86">
        <v>2.2833333334419876</v>
      </c>
      <c r="Z18" s="86">
        <v>2</v>
      </c>
      <c r="AA18" s="107" t="s">
        <v>925</v>
      </c>
    </row>
    <row r="19" spans="1:27" x14ac:dyDescent="0.3">
      <c r="C19" s="8">
        <v>14</v>
      </c>
      <c r="D19" s="12" t="s">
        <v>556</v>
      </c>
      <c r="E19" s="9" t="s">
        <v>294</v>
      </c>
      <c r="F19" s="9" t="s">
        <v>291</v>
      </c>
      <c r="G19" s="83">
        <v>230</v>
      </c>
      <c r="H19" s="89">
        <v>1</v>
      </c>
      <c r="I19" s="86">
        <v>875</v>
      </c>
      <c r="J19" s="86"/>
      <c r="K19" s="86"/>
      <c r="L19" s="86"/>
      <c r="M19" s="85">
        <v>6.4699999999999994E-2</v>
      </c>
      <c r="N19" s="85">
        <v>0.5131</v>
      </c>
      <c r="O19" s="85">
        <v>3.3254000000000001</v>
      </c>
      <c r="P19" s="85">
        <v>0.29199999999999998</v>
      </c>
      <c r="Q19" s="85">
        <v>1.0764</v>
      </c>
      <c r="R19" s="85">
        <v>2.1991999999999998</v>
      </c>
      <c r="S19" s="86" t="s">
        <v>105</v>
      </c>
      <c r="T19" s="86" t="s">
        <v>109</v>
      </c>
      <c r="U19" s="86" t="s">
        <v>114</v>
      </c>
      <c r="V19" s="97"/>
      <c r="W19" s="86"/>
      <c r="X19" s="86"/>
      <c r="Y19" s="86"/>
      <c r="Z19" s="86"/>
      <c r="AA19" s="107" t="s">
        <v>555</v>
      </c>
    </row>
    <row r="20" spans="1:27" x14ac:dyDescent="0.3">
      <c r="A20" s="3" t="e">
        <f>VLOOKUP(E20,'[2]Listas Desplegables'!$H$3:$J$7,2,FALSE)</f>
        <v>#N/A</v>
      </c>
      <c r="B20" s="3" t="e">
        <f>VLOOKUP(E20,'[2]Listas Desplegables'!$H$3:$J$7,3,FALSE)</f>
        <v>#N/A</v>
      </c>
      <c r="C20" s="8">
        <v>15</v>
      </c>
      <c r="D20" s="12" t="s">
        <v>491</v>
      </c>
      <c r="E20" s="9" t="s">
        <v>485</v>
      </c>
      <c r="F20" s="9" t="s">
        <v>477</v>
      </c>
      <c r="G20" s="83">
        <v>115</v>
      </c>
      <c r="H20" s="89">
        <v>68.34</v>
      </c>
      <c r="I20" s="86">
        <v>300</v>
      </c>
      <c r="J20" s="86">
        <v>490</v>
      </c>
      <c r="K20" s="86">
        <v>300</v>
      </c>
      <c r="L20" s="86" t="s">
        <v>467</v>
      </c>
      <c r="M20" s="85">
        <v>0.20910000000000001</v>
      </c>
      <c r="N20" s="85">
        <v>0.49509999999999998</v>
      </c>
      <c r="O20" s="85">
        <v>3.3216000000000001</v>
      </c>
      <c r="P20" s="85">
        <v>0.50039999999999996</v>
      </c>
      <c r="Q20" s="85">
        <v>1.5556000000000001</v>
      </c>
      <c r="R20" s="85">
        <v>1.8555999999999999</v>
      </c>
      <c r="S20" s="86" t="s">
        <v>106</v>
      </c>
      <c r="T20" s="86" t="s">
        <v>109</v>
      </c>
      <c r="U20" s="86" t="s">
        <v>114</v>
      </c>
      <c r="V20" s="97"/>
      <c r="W20" s="86" t="s">
        <v>496</v>
      </c>
      <c r="X20" s="86">
        <v>14.21994281045216</v>
      </c>
      <c r="Y20" s="86">
        <v>483.47805555537343</v>
      </c>
      <c r="Z20" s="86">
        <v>34</v>
      </c>
      <c r="AA20" s="107"/>
    </row>
    <row r="21" spans="1:27" x14ac:dyDescent="0.3">
      <c r="C21" s="8">
        <v>16</v>
      </c>
      <c r="D21" s="12" t="s">
        <v>557</v>
      </c>
      <c r="E21" s="9" t="s">
        <v>554</v>
      </c>
      <c r="F21" s="9" t="s">
        <v>294</v>
      </c>
      <c r="G21" s="83">
        <v>230</v>
      </c>
      <c r="H21" s="89">
        <v>1</v>
      </c>
      <c r="I21" s="86">
        <v>860</v>
      </c>
      <c r="J21" s="86"/>
      <c r="K21" s="86"/>
      <c r="L21" s="86"/>
      <c r="M21" s="85">
        <v>6.6600000000000006E-2</v>
      </c>
      <c r="N21" s="85">
        <v>0.49459999999999998</v>
      </c>
      <c r="O21" s="85">
        <v>3.3420000000000001</v>
      </c>
      <c r="P21" s="85">
        <v>0.28899999999999998</v>
      </c>
      <c r="Q21" s="85">
        <v>0.92400000000000004</v>
      </c>
      <c r="R21" s="85">
        <v>2.6960000000000002</v>
      </c>
      <c r="S21" s="86" t="s">
        <v>105</v>
      </c>
      <c r="T21" s="86" t="s">
        <v>109</v>
      </c>
      <c r="U21" s="86" t="s">
        <v>114</v>
      </c>
      <c r="V21" s="97"/>
      <c r="W21" s="86"/>
      <c r="X21" s="86"/>
      <c r="Y21" s="86"/>
      <c r="Z21" s="86"/>
      <c r="AA21" s="107" t="s">
        <v>555</v>
      </c>
    </row>
    <row r="22" spans="1:27" x14ac:dyDescent="0.3">
      <c r="C22" s="8">
        <v>17</v>
      </c>
      <c r="D22" s="12" t="s">
        <v>558</v>
      </c>
      <c r="E22" s="9" t="s">
        <v>304</v>
      </c>
      <c r="F22" s="9" t="s">
        <v>550</v>
      </c>
      <c r="G22" s="83">
        <v>220</v>
      </c>
      <c r="H22" s="89">
        <v>1</v>
      </c>
      <c r="I22" s="86">
        <v>868</v>
      </c>
      <c r="J22" s="86"/>
      <c r="K22" s="86"/>
      <c r="L22" s="86"/>
      <c r="M22" s="85">
        <v>6.8199999999999997E-2</v>
      </c>
      <c r="N22" s="85">
        <v>0.52659999999999996</v>
      </c>
      <c r="O22" s="85">
        <v>3.2315</v>
      </c>
      <c r="P22" s="85">
        <v>0.30020000000000002</v>
      </c>
      <c r="Q22" s="85">
        <v>1.0499000000000001</v>
      </c>
      <c r="R22" s="85">
        <v>2.1945000000000001</v>
      </c>
      <c r="S22" s="86" t="s">
        <v>105</v>
      </c>
      <c r="T22" s="86" t="s">
        <v>109</v>
      </c>
      <c r="U22" s="86" t="s">
        <v>114</v>
      </c>
      <c r="V22" s="97"/>
      <c r="W22" s="86"/>
      <c r="X22" s="86"/>
      <c r="Y22" s="86"/>
      <c r="Z22" s="86"/>
      <c r="AA22" s="107" t="s">
        <v>555</v>
      </c>
    </row>
    <row r="23" spans="1:27" x14ac:dyDescent="0.3">
      <c r="A23" s="3" t="e">
        <f>VLOOKUP(E23,'[2]Listas Desplegables'!$H$3:$J$7,2,FALSE)</f>
        <v>#N/A</v>
      </c>
      <c r="B23" s="3" t="e">
        <f>VLOOKUP(E23,'[2]Listas Desplegables'!$H$3:$J$7,3,FALSE)</f>
        <v>#N/A</v>
      </c>
      <c r="C23" s="8">
        <v>18</v>
      </c>
      <c r="D23" s="12" t="s">
        <v>387</v>
      </c>
      <c r="E23" s="9" t="s">
        <v>490</v>
      </c>
      <c r="F23" s="9" t="s">
        <v>500</v>
      </c>
      <c r="G23" s="83">
        <v>34.5</v>
      </c>
      <c r="H23" s="89">
        <v>4.6270999999999987</v>
      </c>
      <c r="I23" s="86">
        <v>454</v>
      </c>
      <c r="J23" s="86"/>
      <c r="K23" s="86"/>
      <c r="L23" s="86"/>
      <c r="M23" s="85">
        <v>0.21234649999999999</v>
      </c>
      <c r="N23" s="85">
        <v>0.35697780000000001</v>
      </c>
      <c r="O23" s="85">
        <v>4.7525019999999998</v>
      </c>
      <c r="P23" s="85">
        <v>0.38559919999999998</v>
      </c>
      <c r="Q23" s="85">
        <v>1.97044</v>
      </c>
      <c r="R23" s="85">
        <v>1.4435830000000001</v>
      </c>
      <c r="S23" s="86" t="s">
        <v>107</v>
      </c>
      <c r="T23" s="86" t="s">
        <v>109</v>
      </c>
      <c r="U23" s="86" t="s">
        <v>114</v>
      </c>
      <c r="V23" s="97"/>
      <c r="W23" s="86" t="s">
        <v>646</v>
      </c>
      <c r="X23" s="86">
        <v>3.3468518519075587</v>
      </c>
      <c r="Y23" s="86">
        <v>10.040555555722676</v>
      </c>
      <c r="Z23" s="86">
        <v>3</v>
      </c>
      <c r="AA23" s="107"/>
    </row>
    <row r="24" spans="1:27" x14ac:dyDescent="0.3">
      <c r="A24" s="3" t="e">
        <f>VLOOKUP(E24,'[2]Listas Desplegables'!$H$3:$J$7,2,FALSE)</f>
        <v>#N/A</v>
      </c>
      <c r="B24" s="3" t="e">
        <f>VLOOKUP(E24,'[2]Listas Desplegables'!$H$3:$J$7,3,FALSE)</f>
        <v>#N/A</v>
      </c>
      <c r="C24" s="8">
        <v>19</v>
      </c>
      <c r="D24" s="12" t="s">
        <v>388</v>
      </c>
      <c r="E24" s="9" t="s">
        <v>490</v>
      </c>
      <c r="F24" s="9" t="s">
        <v>501</v>
      </c>
      <c r="G24" s="83">
        <v>34.5</v>
      </c>
      <c r="H24" s="89">
        <v>10.151300000000003</v>
      </c>
      <c r="I24" s="86">
        <v>357</v>
      </c>
      <c r="J24" s="86"/>
      <c r="K24" s="86"/>
      <c r="L24" s="86"/>
      <c r="M24" s="85">
        <v>0.26478220000000002</v>
      </c>
      <c r="N24" s="85">
        <v>0.3778648</v>
      </c>
      <c r="O24" s="85">
        <v>4.638185</v>
      </c>
      <c r="P24" s="85">
        <v>0.4380348</v>
      </c>
      <c r="Q24" s="85">
        <v>1.9913270000000001</v>
      </c>
      <c r="R24" s="85">
        <v>1.432903</v>
      </c>
      <c r="S24" s="86" t="s">
        <v>107</v>
      </c>
      <c r="T24" s="86" t="s">
        <v>109</v>
      </c>
      <c r="U24" s="86" t="s">
        <v>114</v>
      </c>
      <c r="V24" s="97"/>
      <c r="W24" s="86" t="s">
        <v>495</v>
      </c>
      <c r="X24" s="86">
        <v>9.6713194443873363</v>
      </c>
      <c r="Y24" s="86">
        <v>77.37055555509869</v>
      </c>
      <c r="Z24" s="86">
        <v>8</v>
      </c>
      <c r="AA24" s="107"/>
    </row>
    <row r="25" spans="1:27" x14ac:dyDescent="0.3">
      <c r="A25" s="3" t="e">
        <f>VLOOKUP(E25,'[2]Listas Desplegables'!$H$3:$J$7,2,FALSE)</f>
        <v>#N/A</v>
      </c>
      <c r="B25" s="3" t="e">
        <f>VLOOKUP(E25,'[2]Listas Desplegables'!$H$3:$J$7,3,FALSE)</f>
        <v>#N/A</v>
      </c>
      <c r="C25" s="8">
        <v>20</v>
      </c>
      <c r="D25" s="12" t="s">
        <v>389</v>
      </c>
      <c r="E25" s="12" t="s">
        <v>502</v>
      </c>
      <c r="F25" s="12" t="s">
        <v>503</v>
      </c>
      <c r="G25" s="83">
        <v>34.5</v>
      </c>
      <c r="H25" s="89">
        <v>7.56</v>
      </c>
      <c r="I25" s="86">
        <v>357</v>
      </c>
      <c r="J25" s="86"/>
      <c r="K25" s="86"/>
      <c r="L25" s="86"/>
      <c r="M25" s="85">
        <v>0.26478220000000002</v>
      </c>
      <c r="N25" s="85">
        <v>0.3778648</v>
      </c>
      <c r="O25" s="85">
        <v>4.638185</v>
      </c>
      <c r="P25" s="85">
        <v>0.4380348</v>
      </c>
      <c r="Q25" s="85">
        <v>1.9913270000000001</v>
      </c>
      <c r="R25" s="85">
        <v>1.432903</v>
      </c>
      <c r="S25" s="86" t="s">
        <v>107</v>
      </c>
      <c r="T25" s="86" t="s">
        <v>109</v>
      </c>
      <c r="U25" s="86" t="s">
        <v>114</v>
      </c>
      <c r="V25" s="97"/>
      <c r="W25" s="86" t="s">
        <v>495</v>
      </c>
      <c r="X25" s="86">
        <v>4.0009126983932219</v>
      </c>
      <c r="Y25" s="86">
        <v>28.006388888752554</v>
      </c>
      <c r="Z25" s="86">
        <v>7</v>
      </c>
      <c r="AA25" s="107"/>
    </row>
    <row r="26" spans="1:27" x14ac:dyDescent="0.3">
      <c r="A26" s="3" t="e">
        <f>VLOOKUP(E26,'[2]Listas Desplegables'!$H$3:$J$7,2,FALSE)</f>
        <v>#N/A</v>
      </c>
      <c r="B26" s="3" t="e">
        <f>VLOOKUP(E26,'[2]Listas Desplegables'!$H$3:$J$7,3,FALSE)</f>
        <v>#N/A</v>
      </c>
      <c r="C26" s="8">
        <v>21</v>
      </c>
      <c r="D26" s="12" t="s">
        <v>390</v>
      </c>
      <c r="E26" s="12" t="s">
        <v>499</v>
      </c>
      <c r="F26" s="12" t="s">
        <v>504</v>
      </c>
      <c r="G26" s="83">
        <v>34.5</v>
      </c>
      <c r="H26" s="89">
        <v>7.9782999999999795</v>
      </c>
      <c r="I26" s="86">
        <v>357</v>
      </c>
      <c r="J26" s="86"/>
      <c r="K26" s="86"/>
      <c r="L26" s="86"/>
      <c r="M26" s="85">
        <v>0.26478220000000002</v>
      </c>
      <c r="N26" s="85">
        <v>0.3778648</v>
      </c>
      <c r="O26" s="85">
        <v>4.638185</v>
      </c>
      <c r="P26" s="85">
        <v>0.4380348</v>
      </c>
      <c r="Q26" s="85">
        <v>1.9913270000000001</v>
      </c>
      <c r="R26" s="85">
        <v>1.432903</v>
      </c>
      <c r="S26" s="86" t="s">
        <v>107</v>
      </c>
      <c r="T26" s="86" t="s">
        <v>109</v>
      </c>
      <c r="U26" s="86" t="s">
        <v>114</v>
      </c>
      <c r="V26" s="97"/>
      <c r="W26" s="86" t="s">
        <v>495</v>
      </c>
      <c r="X26" s="86">
        <v>2.8313105412884259</v>
      </c>
      <c r="Y26" s="86">
        <v>110.4211111102486</v>
      </c>
      <c r="Z26" s="86">
        <v>39</v>
      </c>
      <c r="AA26" s="107" t="s">
        <v>908</v>
      </c>
    </row>
    <row r="27" spans="1:27" x14ac:dyDescent="0.3">
      <c r="A27" s="3" t="e">
        <f>VLOOKUP(E27,'[2]Listas Desplegables'!$H$3:$J$7,2,FALSE)</f>
        <v>#N/A</v>
      </c>
      <c r="B27" s="3" t="e">
        <f>VLOOKUP(E27,'[2]Listas Desplegables'!$H$3:$J$7,3,FALSE)</f>
        <v>#N/A</v>
      </c>
      <c r="C27" s="8">
        <v>22</v>
      </c>
      <c r="D27" s="12" t="s">
        <v>391</v>
      </c>
      <c r="E27" s="12" t="s">
        <v>499</v>
      </c>
      <c r="F27" s="12" t="s">
        <v>505</v>
      </c>
      <c r="G27" s="83">
        <v>34.5</v>
      </c>
      <c r="H27" s="89">
        <v>31.171300000000006</v>
      </c>
      <c r="I27" s="86">
        <v>357</v>
      </c>
      <c r="J27" s="89"/>
      <c r="K27" s="86"/>
      <c r="L27" s="86"/>
      <c r="M27" s="85">
        <v>0.26478220000000002</v>
      </c>
      <c r="N27" s="85">
        <v>0.3778648</v>
      </c>
      <c r="O27" s="85">
        <v>4.638185</v>
      </c>
      <c r="P27" s="85">
        <v>0.4380348</v>
      </c>
      <c r="Q27" s="85">
        <v>1.9913270000000001</v>
      </c>
      <c r="R27" s="85">
        <v>1.432903</v>
      </c>
      <c r="S27" s="86" t="s">
        <v>107</v>
      </c>
      <c r="T27" s="86" t="s">
        <v>109</v>
      </c>
      <c r="U27" s="86" t="s">
        <v>114</v>
      </c>
      <c r="V27" s="97"/>
      <c r="W27" s="86" t="s">
        <v>495</v>
      </c>
      <c r="X27" s="86">
        <v>7.1732738095140247</v>
      </c>
      <c r="Y27" s="86">
        <v>200.8516666663927</v>
      </c>
      <c r="Z27" s="86">
        <v>28</v>
      </c>
      <c r="AA27" s="107" t="s">
        <v>909</v>
      </c>
    </row>
    <row r="28" spans="1:27" x14ac:dyDescent="0.3">
      <c r="A28" s="3" t="e">
        <f>VLOOKUP(E28,'[2]Listas Desplegables'!$H$3:$J$7,2,FALSE)</f>
        <v>#N/A</v>
      </c>
      <c r="B28" s="3" t="e">
        <f>VLOOKUP(E28,'[2]Listas Desplegables'!$H$3:$J$7,3,FALSE)</f>
        <v>#N/A</v>
      </c>
      <c r="C28" s="8">
        <v>23</v>
      </c>
      <c r="D28" s="12" t="s">
        <v>393</v>
      </c>
      <c r="E28" s="12" t="s">
        <v>506</v>
      </c>
      <c r="F28" s="12" t="s">
        <v>507</v>
      </c>
      <c r="G28" s="83">
        <v>34.5</v>
      </c>
      <c r="H28" s="89">
        <v>31.599800000000041</v>
      </c>
      <c r="I28" s="86">
        <v>357</v>
      </c>
      <c r="J28" s="86"/>
      <c r="K28" s="86"/>
      <c r="L28" s="86"/>
      <c r="M28" s="85">
        <v>0.26478220000000002</v>
      </c>
      <c r="N28" s="85">
        <v>0.3778648</v>
      </c>
      <c r="O28" s="85">
        <v>4.638185</v>
      </c>
      <c r="P28" s="85">
        <v>0.4380348</v>
      </c>
      <c r="Q28" s="85">
        <v>1.9913270000000001</v>
      </c>
      <c r="R28" s="85">
        <v>1.432903</v>
      </c>
      <c r="S28" s="86" t="s">
        <v>107</v>
      </c>
      <c r="T28" s="86" t="s">
        <v>109</v>
      </c>
      <c r="U28" s="86" t="s">
        <v>114</v>
      </c>
      <c r="V28" s="97"/>
      <c r="W28" s="86" t="s">
        <v>495</v>
      </c>
      <c r="X28" s="86">
        <v>0.38722222219803371</v>
      </c>
      <c r="Y28" s="86">
        <v>0.77444444439606741</v>
      </c>
      <c r="Z28" s="86">
        <v>2</v>
      </c>
      <c r="AA28" s="107"/>
    </row>
    <row r="29" spans="1:27" x14ac:dyDescent="0.3">
      <c r="A29" s="3" t="e">
        <f>VLOOKUP(E29,'[2]Listas Desplegables'!$H$3:$J$7,2,FALSE)</f>
        <v>#N/A</v>
      </c>
      <c r="B29" s="3" t="e">
        <f>VLOOKUP(E29,'[2]Listas Desplegables'!$H$3:$J$7,3,FALSE)</f>
        <v>#N/A</v>
      </c>
      <c r="C29" s="8">
        <v>24</v>
      </c>
      <c r="D29" s="12" t="s">
        <v>392</v>
      </c>
      <c r="E29" s="12" t="s">
        <v>506</v>
      </c>
      <c r="F29" s="12" t="s">
        <v>505</v>
      </c>
      <c r="G29" s="83">
        <v>34.5</v>
      </c>
      <c r="H29" s="89">
        <v>28.302399999999853</v>
      </c>
      <c r="I29" s="86">
        <v>357</v>
      </c>
      <c r="J29" s="86"/>
      <c r="K29" s="86"/>
      <c r="L29" s="86"/>
      <c r="M29" s="85">
        <v>0.26478220000000002</v>
      </c>
      <c r="N29" s="85">
        <v>0.3778648</v>
      </c>
      <c r="O29" s="85">
        <v>4.638185</v>
      </c>
      <c r="P29" s="85">
        <v>0.4380348</v>
      </c>
      <c r="Q29" s="85">
        <v>1.9913270000000001</v>
      </c>
      <c r="R29" s="85">
        <v>1.432903</v>
      </c>
      <c r="S29" s="86" t="s">
        <v>107</v>
      </c>
      <c r="T29" s="86" t="s">
        <v>109</v>
      </c>
      <c r="U29" s="86" t="s">
        <v>114</v>
      </c>
      <c r="V29" s="97"/>
      <c r="W29" s="86" t="s">
        <v>495</v>
      </c>
      <c r="X29" s="86">
        <v>1.6219629629602423</v>
      </c>
      <c r="Y29" s="86">
        <v>97.317777777614538</v>
      </c>
      <c r="Z29" s="86">
        <v>60</v>
      </c>
      <c r="AA29" s="107"/>
    </row>
    <row r="30" spans="1:27" x14ac:dyDescent="0.3">
      <c r="A30" s="3" t="e">
        <f>VLOOKUP(E30,'[2]Listas Desplegables'!$H$3:$J$7,2,FALSE)</f>
        <v>#N/A</v>
      </c>
      <c r="B30" s="3" t="e">
        <f>VLOOKUP(E30,'[2]Listas Desplegables'!$H$3:$J$7,3,FALSE)</f>
        <v>#N/A</v>
      </c>
      <c r="C30" s="8">
        <v>25</v>
      </c>
      <c r="D30" s="12" t="s">
        <v>394</v>
      </c>
      <c r="E30" s="12" t="s">
        <v>470</v>
      </c>
      <c r="F30" s="12" t="s">
        <v>508</v>
      </c>
      <c r="G30" s="83">
        <v>34.5</v>
      </c>
      <c r="H30" s="89">
        <v>30.24760000000002</v>
      </c>
      <c r="I30" s="86">
        <v>276</v>
      </c>
      <c r="J30" s="86"/>
      <c r="K30" s="86"/>
      <c r="L30" s="86"/>
      <c r="M30" s="85">
        <v>0.41998259999999998</v>
      </c>
      <c r="N30" s="85">
        <v>0.39541890000000002</v>
      </c>
      <c r="O30" s="85">
        <v>4.412274</v>
      </c>
      <c r="P30" s="85">
        <v>0.59323530000000002</v>
      </c>
      <c r="Q30" s="85">
        <v>2.0088810000000001</v>
      </c>
      <c r="R30" s="85">
        <v>1.410682</v>
      </c>
      <c r="S30" s="86" t="s">
        <v>107</v>
      </c>
      <c r="T30" s="86" t="s">
        <v>109</v>
      </c>
      <c r="U30" s="86" t="s">
        <v>114</v>
      </c>
      <c r="V30" s="97"/>
      <c r="W30" s="86" t="s">
        <v>492</v>
      </c>
      <c r="X30" s="86">
        <v>1.3298976608279383</v>
      </c>
      <c r="Y30" s="86">
        <v>50.536111111461651</v>
      </c>
      <c r="Z30" s="86">
        <v>38</v>
      </c>
      <c r="AA30" s="107"/>
    </row>
    <row r="31" spans="1:27" x14ac:dyDescent="0.3">
      <c r="A31" s="3" t="e">
        <f>VLOOKUP(E31,'[2]Listas Desplegables'!$H$3:$J$7,2,FALSE)</f>
        <v>#N/A</v>
      </c>
      <c r="B31" s="3" t="e">
        <f>VLOOKUP(E31,'[2]Listas Desplegables'!$H$3:$J$7,3,FALSE)</f>
        <v>#N/A</v>
      </c>
      <c r="C31" s="8">
        <v>26</v>
      </c>
      <c r="D31" s="12" t="s">
        <v>395</v>
      </c>
      <c r="E31" s="12" t="s">
        <v>470</v>
      </c>
      <c r="F31" s="12" t="s">
        <v>509</v>
      </c>
      <c r="G31" s="83">
        <v>34.5</v>
      </c>
      <c r="H31" s="89">
        <v>15.087599999999995</v>
      </c>
      <c r="I31" s="86">
        <v>528</v>
      </c>
      <c r="J31" s="86"/>
      <c r="K31" s="86"/>
      <c r="L31" s="86"/>
      <c r="M31" s="85">
        <v>0.1681272</v>
      </c>
      <c r="N31" s="85">
        <v>0.34309719999999999</v>
      </c>
      <c r="O31" s="85">
        <v>4.899959</v>
      </c>
      <c r="P31" s="85">
        <v>0.34137990000000001</v>
      </c>
      <c r="Q31" s="85">
        <v>1.9565589999999999</v>
      </c>
      <c r="R31" s="85">
        <v>1.456839</v>
      </c>
      <c r="S31" s="86" t="s">
        <v>107</v>
      </c>
      <c r="T31" s="86" t="s">
        <v>109</v>
      </c>
      <c r="U31" s="86" t="s">
        <v>114</v>
      </c>
      <c r="V31" s="97"/>
      <c r="W31" s="86" t="s">
        <v>493</v>
      </c>
      <c r="X31" s="86">
        <v>1.6370493827232471</v>
      </c>
      <c r="Y31" s="86">
        <v>73.667222222546116</v>
      </c>
      <c r="Z31" s="86">
        <v>45</v>
      </c>
      <c r="AA31" s="107"/>
    </row>
    <row r="32" spans="1:27" x14ac:dyDescent="0.3">
      <c r="A32" s="3" t="e">
        <f>VLOOKUP(E32,'[2]Listas Desplegables'!$H$3:$J$7,2,FALSE)</f>
        <v>#N/A</v>
      </c>
      <c r="B32" s="3" t="e">
        <f>VLOOKUP(E32,'[2]Listas Desplegables'!$H$3:$J$7,3,FALSE)</f>
        <v>#N/A</v>
      </c>
      <c r="C32" s="8">
        <v>27</v>
      </c>
      <c r="D32" s="12" t="s">
        <v>411</v>
      </c>
      <c r="E32" s="12" t="s">
        <v>471</v>
      </c>
      <c r="F32" s="12" t="s">
        <v>510</v>
      </c>
      <c r="G32" s="83">
        <v>34.5</v>
      </c>
      <c r="H32" s="89">
        <v>4.596099999999999</v>
      </c>
      <c r="I32" s="86">
        <v>454</v>
      </c>
      <c r="J32" s="86"/>
      <c r="K32" s="86"/>
      <c r="L32" s="86"/>
      <c r="M32" s="85">
        <v>0.21234649999999999</v>
      </c>
      <c r="N32" s="85">
        <v>0.35697780000000001</v>
      </c>
      <c r="O32" s="85">
        <v>4.7525019999999998</v>
      </c>
      <c r="P32" s="85">
        <v>0.38559919999999998</v>
      </c>
      <c r="Q32" s="85">
        <v>1.97044</v>
      </c>
      <c r="R32" s="85">
        <v>1.4435830000000001</v>
      </c>
      <c r="S32" s="86" t="s">
        <v>107</v>
      </c>
      <c r="T32" s="86" t="s">
        <v>109</v>
      </c>
      <c r="U32" s="86" t="s">
        <v>114</v>
      </c>
      <c r="V32" s="97"/>
      <c r="W32" s="86" t="s">
        <v>646</v>
      </c>
      <c r="X32" s="86">
        <v>0.80483333335723728</v>
      </c>
      <c r="Y32" s="86">
        <v>12.072500000358559</v>
      </c>
      <c r="Z32" s="86">
        <v>15</v>
      </c>
      <c r="AA32" s="107"/>
    </row>
    <row r="33" spans="1:27" x14ac:dyDescent="0.3">
      <c r="A33" s="3" t="e">
        <f>VLOOKUP(E33,'[2]Listas Desplegables'!$H$3:$J$7,2,FALSE)</f>
        <v>#N/A</v>
      </c>
      <c r="B33" s="3" t="e">
        <f>VLOOKUP(E33,'[2]Listas Desplegables'!$H$3:$J$7,3,FALSE)</f>
        <v>#N/A</v>
      </c>
      <c r="C33" s="8">
        <v>28</v>
      </c>
      <c r="D33" s="12" t="s">
        <v>412</v>
      </c>
      <c r="E33" s="12" t="s">
        <v>471</v>
      </c>
      <c r="F33" s="12" t="s">
        <v>511</v>
      </c>
      <c r="G33" s="83">
        <v>34.5</v>
      </c>
      <c r="H33" s="89">
        <v>9.6778999999999957</v>
      </c>
      <c r="I33" s="86">
        <v>454</v>
      </c>
      <c r="J33" s="86"/>
      <c r="K33" s="86"/>
      <c r="L33" s="86"/>
      <c r="M33" s="85">
        <v>0.21234649999999999</v>
      </c>
      <c r="N33" s="85">
        <v>0.35697780000000001</v>
      </c>
      <c r="O33" s="85">
        <v>4.7525019999999998</v>
      </c>
      <c r="P33" s="85">
        <v>0.38559919999999998</v>
      </c>
      <c r="Q33" s="85">
        <v>1.97044</v>
      </c>
      <c r="R33" s="85">
        <v>1.4435830000000001</v>
      </c>
      <c r="S33" s="86" t="s">
        <v>107</v>
      </c>
      <c r="T33" s="86" t="s">
        <v>109</v>
      </c>
      <c r="U33" s="86" t="s">
        <v>114</v>
      </c>
      <c r="V33" s="97"/>
      <c r="W33" s="86" t="s">
        <v>646</v>
      </c>
      <c r="X33" s="86">
        <v>1.823771929834038</v>
      </c>
      <c r="Y33" s="86">
        <v>34.651666666846722</v>
      </c>
      <c r="Z33" s="86">
        <v>19</v>
      </c>
      <c r="AA33" s="107"/>
    </row>
    <row r="34" spans="1:27" x14ac:dyDescent="0.3">
      <c r="A34" s="3" t="e">
        <f>VLOOKUP(E34,'[2]Listas Desplegables'!$H$3:$J$7,2,FALSE)</f>
        <v>#N/A</v>
      </c>
      <c r="B34" s="3" t="e">
        <f>VLOOKUP(E34,'[2]Listas Desplegables'!$H$3:$J$7,3,FALSE)</f>
        <v>#N/A</v>
      </c>
      <c r="C34" s="8">
        <v>29</v>
      </c>
      <c r="D34" s="12" t="s">
        <v>396</v>
      </c>
      <c r="E34" s="12" t="s">
        <v>512</v>
      </c>
      <c r="F34" s="12" t="s">
        <v>513</v>
      </c>
      <c r="G34" s="83">
        <v>34.5</v>
      </c>
      <c r="H34" s="89">
        <v>12.985400000000006</v>
      </c>
      <c r="I34" s="86">
        <v>357</v>
      </c>
      <c r="J34" s="86"/>
      <c r="K34" s="86"/>
      <c r="L34" s="86"/>
      <c r="M34" s="85">
        <v>0.26478220000000002</v>
      </c>
      <c r="N34" s="85">
        <v>0.3778648</v>
      </c>
      <c r="O34" s="85">
        <v>4.638185</v>
      </c>
      <c r="P34" s="85">
        <v>0.4380348</v>
      </c>
      <c r="Q34" s="85">
        <v>1.9913270000000001</v>
      </c>
      <c r="R34" s="85">
        <v>1.432903</v>
      </c>
      <c r="S34" s="86" t="s">
        <v>107</v>
      </c>
      <c r="T34" s="86" t="s">
        <v>109</v>
      </c>
      <c r="U34" s="86" t="s">
        <v>114</v>
      </c>
      <c r="V34" s="97"/>
      <c r="W34" s="86" t="s">
        <v>495</v>
      </c>
      <c r="X34" s="86">
        <v>3.6026736111161881</v>
      </c>
      <c r="Y34" s="86">
        <v>57.64277777785901</v>
      </c>
      <c r="Z34" s="86">
        <v>16</v>
      </c>
      <c r="AA34" s="107"/>
    </row>
    <row r="35" spans="1:27" x14ac:dyDescent="0.3">
      <c r="A35" s="3" t="e">
        <f>VLOOKUP(E35,'[2]Listas Desplegables'!$H$3:$J$7,2,FALSE)</f>
        <v>#N/A</v>
      </c>
      <c r="B35" s="3" t="e">
        <f>VLOOKUP(E35,'[2]Listas Desplegables'!$H$3:$J$7,3,FALSE)</f>
        <v>#N/A</v>
      </c>
      <c r="C35" s="8">
        <v>30</v>
      </c>
      <c r="D35" s="12" t="s">
        <v>397</v>
      </c>
      <c r="E35" s="12" t="s">
        <v>512</v>
      </c>
      <c r="F35" s="12" t="s">
        <v>514</v>
      </c>
      <c r="G35" s="83">
        <v>34.5</v>
      </c>
      <c r="H35" s="89">
        <v>20.814100000000003</v>
      </c>
      <c r="I35" s="86">
        <v>357</v>
      </c>
      <c r="J35" s="86"/>
      <c r="K35" s="86"/>
      <c r="L35" s="86"/>
      <c r="M35" s="85">
        <v>0.26478220000000002</v>
      </c>
      <c r="N35" s="85">
        <v>0.3778648</v>
      </c>
      <c r="O35" s="85">
        <v>4.638185</v>
      </c>
      <c r="P35" s="85">
        <v>0.4380348</v>
      </c>
      <c r="Q35" s="85">
        <v>1.9913270000000001</v>
      </c>
      <c r="R35" s="85">
        <v>1.432903</v>
      </c>
      <c r="S35" s="86" t="s">
        <v>107</v>
      </c>
      <c r="T35" s="86" t="s">
        <v>109</v>
      </c>
      <c r="U35" s="86" t="s">
        <v>114</v>
      </c>
      <c r="V35" s="97"/>
      <c r="W35" s="86" t="s">
        <v>495</v>
      </c>
      <c r="X35" s="86">
        <v>1.507069444420631</v>
      </c>
      <c r="Y35" s="86">
        <v>30.141388888412621</v>
      </c>
      <c r="Z35" s="86">
        <v>20</v>
      </c>
      <c r="AA35" s="107"/>
    </row>
    <row r="36" spans="1:27" x14ac:dyDescent="0.3">
      <c r="A36" s="3" t="e">
        <f>VLOOKUP(E36,'[2]Listas Desplegables'!$H$3:$J$7,2,FALSE)</f>
        <v>#N/A</v>
      </c>
      <c r="B36" s="3" t="e">
        <f>VLOOKUP(E36,'[2]Listas Desplegables'!$H$3:$J$7,3,FALSE)</f>
        <v>#N/A</v>
      </c>
      <c r="C36" s="8">
        <v>31</v>
      </c>
      <c r="D36" s="12" t="s">
        <v>398</v>
      </c>
      <c r="E36" s="12" t="s">
        <v>499</v>
      </c>
      <c r="F36" s="12" t="s">
        <v>515</v>
      </c>
      <c r="G36" s="83">
        <v>34.5</v>
      </c>
      <c r="H36" s="85">
        <v>14.815900000000006</v>
      </c>
      <c r="I36" s="86">
        <v>454</v>
      </c>
      <c r="J36" s="86"/>
      <c r="K36" s="86"/>
      <c r="L36" s="86"/>
      <c r="M36" s="85">
        <v>0.21234649999999999</v>
      </c>
      <c r="N36" s="85">
        <v>0.35697780000000001</v>
      </c>
      <c r="O36" s="85">
        <v>4.7525019999999998</v>
      </c>
      <c r="P36" s="85">
        <v>0.38559919999999998</v>
      </c>
      <c r="Q36" s="85">
        <v>1.97044</v>
      </c>
      <c r="R36" s="85">
        <v>1.4435830000000001</v>
      </c>
      <c r="S36" s="86" t="s">
        <v>107</v>
      </c>
      <c r="T36" s="86" t="s">
        <v>109</v>
      </c>
      <c r="U36" s="86" t="s">
        <v>114</v>
      </c>
      <c r="V36" s="97"/>
      <c r="W36" s="86" t="s">
        <v>646</v>
      </c>
      <c r="X36" s="86">
        <v>4.1439181286565914</v>
      </c>
      <c r="Y36" s="86">
        <v>78.73444444447523</v>
      </c>
      <c r="Z36" s="86">
        <v>19</v>
      </c>
      <c r="AA36" s="107"/>
    </row>
    <row r="37" spans="1:27" x14ac:dyDescent="0.3">
      <c r="A37" s="3" t="e">
        <f>VLOOKUP(E37,'[2]Listas Desplegables'!$H$3:$J$7,2,FALSE)</f>
        <v>#N/A</v>
      </c>
      <c r="B37" s="3" t="e">
        <f>VLOOKUP(E37,'[2]Listas Desplegables'!$H$3:$J$7,3,FALSE)</f>
        <v>#N/A</v>
      </c>
      <c r="C37" s="8">
        <v>32</v>
      </c>
      <c r="D37" s="12" t="s">
        <v>399</v>
      </c>
      <c r="E37" s="12" t="s">
        <v>499</v>
      </c>
      <c r="F37" s="12" t="s">
        <v>516</v>
      </c>
      <c r="G37" s="83">
        <v>34.5</v>
      </c>
      <c r="H37" s="89">
        <v>14.1137</v>
      </c>
      <c r="I37" s="86">
        <v>454</v>
      </c>
      <c r="J37" s="86"/>
      <c r="K37" s="86"/>
      <c r="L37" s="86"/>
      <c r="M37" s="85">
        <v>0.21234649999999999</v>
      </c>
      <c r="N37" s="85">
        <v>0.35697780000000001</v>
      </c>
      <c r="O37" s="85">
        <v>4.7525019999999998</v>
      </c>
      <c r="P37" s="85">
        <v>0.38559919999999998</v>
      </c>
      <c r="Q37" s="85">
        <v>1.97044</v>
      </c>
      <c r="R37" s="85">
        <v>1.4435830000000001</v>
      </c>
      <c r="S37" s="86" t="s">
        <v>107</v>
      </c>
      <c r="T37" s="86" t="s">
        <v>109</v>
      </c>
      <c r="U37" s="86" t="s">
        <v>114</v>
      </c>
      <c r="V37" s="97"/>
      <c r="W37" s="86" t="s">
        <v>646</v>
      </c>
      <c r="X37" s="86">
        <v>5.0255092592269648</v>
      </c>
      <c r="Y37" s="86">
        <v>30.153055555361789</v>
      </c>
      <c r="Z37" s="86">
        <v>6</v>
      </c>
      <c r="AA37" s="107"/>
    </row>
    <row r="38" spans="1:27" x14ac:dyDescent="0.3">
      <c r="A38" s="3" t="e">
        <f>VLOOKUP(E38,'[2]Listas Desplegables'!$H$3:$J$7,2,FALSE)</f>
        <v>#N/A</v>
      </c>
      <c r="B38" s="3" t="e">
        <f>VLOOKUP(E38,'[2]Listas Desplegables'!$H$3:$J$7,3,FALSE)</f>
        <v>#N/A</v>
      </c>
      <c r="C38" s="8">
        <v>33</v>
      </c>
      <c r="D38" s="12" t="s">
        <v>400</v>
      </c>
      <c r="E38" s="12" t="s">
        <v>499</v>
      </c>
      <c r="F38" s="12" t="s">
        <v>517</v>
      </c>
      <c r="G38" s="83">
        <v>34.5</v>
      </c>
      <c r="H38" s="89">
        <v>15.5733</v>
      </c>
      <c r="I38" s="86">
        <v>454</v>
      </c>
      <c r="J38" s="86"/>
      <c r="K38" s="86"/>
      <c r="L38" s="86"/>
      <c r="M38" s="85">
        <v>0.21234649999999999</v>
      </c>
      <c r="N38" s="85">
        <v>0.35697780000000001</v>
      </c>
      <c r="O38" s="85">
        <v>4.7525019999999998</v>
      </c>
      <c r="P38" s="85">
        <v>0.38559919999999998</v>
      </c>
      <c r="Q38" s="85">
        <v>1.97044</v>
      </c>
      <c r="R38" s="85">
        <v>1.4435830000000001</v>
      </c>
      <c r="S38" s="86" t="s">
        <v>107</v>
      </c>
      <c r="T38" s="86" t="s">
        <v>109</v>
      </c>
      <c r="U38" s="86" t="s">
        <v>114</v>
      </c>
      <c r="V38" s="97"/>
      <c r="W38" s="86" t="s">
        <v>646</v>
      </c>
      <c r="X38" s="86">
        <v>3.0663981481455265</v>
      </c>
      <c r="Y38" s="86">
        <v>91.991944444365799</v>
      </c>
      <c r="Z38" s="86">
        <v>30</v>
      </c>
      <c r="AA38" s="107" t="s">
        <v>545</v>
      </c>
    </row>
    <row r="39" spans="1:27" x14ac:dyDescent="0.3">
      <c r="A39" s="3" t="e">
        <f>VLOOKUP(E39,'[2]Listas Desplegables'!$H$3:$J$7,2,FALSE)</f>
        <v>#N/A</v>
      </c>
      <c r="B39" s="3" t="e">
        <f>VLOOKUP(E39,'[2]Listas Desplegables'!$H$3:$J$7,3,FALSE)</f>
        <v>#N/A</v>
      </c>
      <c r="C39" s="8">
        <v>34</v>
      </c>
      <c r="D39" s="12" t="s">
        <v>401</v>
      </c>
      <c r="E39" s="12" t="s">
        <v>499</v>
      </c>
      <c r="F39" s="12" t="s">
        <v>518</v>
      </c>
      <c r="G39" s="83">
        <v>34.5</v>
      </c>
      <c r="H39" s="89">
        <v>7.182400000000003</v>
      </c>
      <c r="I39" s="86">
        <v>454</v>
      </c>
      <c r="J39" s="86"/>
      <c r="K39" s="86"/>
      <c r="L39" s="86"/>
      <c r="M39" s="85">
        <v>0.21234649999999999</v>
      </c>
      <c r="N39" s="85">
        <v>0.35697780000000001</v>
      </c>
      <c r="O39" s="85">
        <v>4.7525019999999998</v>
      </c>
      <c r="P39" s="85">
        <v>0.38559919999999998</v>
      </c>
      <c r="Q39" s="85">
        <v>1.97044</v>
      </c>
      <c r="R39" s="85">
        <v>1.4435830000000001</v>
      </c>
      <c r="S39" s="86" t="s">
        <v>107</v>
      </c>
      <c r="T39" s="86" t="s">
        <v>109</v>
      </c>
      <c r="U39" s="86" t="s">
        <v>114</v>
      </c>
      <c r="V39" s="97"/>
      <c r="W39" s="86" t="s">
        <v>646</v>
      </c>
      <c r="X39" s="86">
        <v>5.8297222222317941</v>
      </c>
      <c r="Y39" s="86">
        <v>11.659444444463588</v>
      </c>
      <c r="Z39" s="86">
        <v>2</v>
      </c>
      <c r="AA39" s="107" t="s">
        <v>942</v>
      </c>
    </row>
    <row r="40" spans="1:27" x14ac:dyDescent="0.3">
      <c r="A40" s="3" t="e">
        <f>VLOOKUP(E40,'[2]Listas Desplegables'!$H$3:$J$7,2,FALSE)</f>
        <v>#N/A</v>
      </c>
      <c r="B40" s="3" t="e">
        <f>VLOOKUP(E40,'[2]Listas Desplegables'!$H$3:$J$7,3,FALSE)</f>
        <v>#N/A</v>
      </c>
      <c r="C40" s="8">
        <v>35</v>
      </c>
      <c r="D40" s="12" t="s">
        <v>402</v>
      </c>
      <c r="E40" s="12" t="s">
        <v>499</v>
      </c>
      <c r="F40" s="12" t="s">
        <v>519</v>
      </c>
      <c r="G40" s="83">
        <v>34.5</v>
      </c>
      <c r="H40" s="89">
        <v>10.695399999999999</v>
      </c>
      <c r="I40" s="86">
        <v>493</v>
      </c>
      <c r="J40" s="86"/>
      <c r="K40" s="86"/>
      <c r="L40" s="86"/>
      <c r="M40" s="85">
        <v>0.18802379999999999</v>
      </c>
      <c r="N40" s="85">
        <v>0.34624680000000002</v>
      </c>
      <c r="O40" s="85">
        <v>4.8448789999999997</v>
      </c>
      <c r="P40" s="85">
        <v>0.3612764</v>
      </c>
      <c r="Q40" s="85">
        <v>1.9597089999999999</v>
      </c>
      <c r="R40" s="85">
        <v>1.451954</v>
      </c>
      <c r="S40" s="86" t="s">
        <v>107</v>
      </c>
      <c r="T40" s="86" t="s">
        <v>109</v>
      </c>
      <c r="U40" s="86" t="s">
        <v>114</v>
      </c>
      <c r="V40" s="97"/>
      <c r="W40" s="86" t="s">
        <v>496</v>
      </c>
      <c r="X40" s="86">
        <v>7.5031144781122832</v>
      </c>
      <c r="Y40" s="86">
        <v>247.60277777770534</v>
      </c>
      <c r="Z40" s="86">
        <v>33</v>
      </c>
      <c r="AA40" s="107" t="s">
        <v>560</v>
      </c>
    </row>
    <row r="41" spans="1:27" x14ac:dyDescent="0.3">
      <c r="C41" s="8">
        <v>36</v>
      </c>
      <c r="D41" s="12" t="s">
        <v>546</v>
      </c>
      <c r="E41" s="12" t="s">
        <v>517</v>
      </c>
      <c r="F41" s="12" t="s">
        <v>559</v>
      </c>
      <c r="G41" s="83">
        <v>34.5</v>
      </c>
      <c r="H41" s="89">
        <v>15.662999999999997</v>
      </c>
      <c r="I41" s="86">
        <v>493</v>
      </c>
      <c r="J41" s="86"/>
      <c r="K41" s="86"/>
      <c r="L41" s="86"/>
      <c r="M41" s="85">
        <v>0.18802379999999999</v>
      </c>
      <c r="N41" s="85">
        <v>0.34624680000000002</v>
      </c>
      <c r="O41" s="85">
        <v>4.8448789999999997</v>
      </c>
      <c r="P41" s="85">
        <v>0.3612764</v>
      </c>
      <c r="Q41" s="85">
        <v>1.9597089999999999</v>
      </c>
      <c r="R41" s="85">
        <v>1.451954</v>
      </c>
      <c r="S41" s="86" t="s">
        <v>107</v>
      </c>
      <c r="T41" s="86" t="s">
        <v>109</v>
      </c>
      <c r="U41" s="86" t="s">
        <v>114</v>
      </c>
      <c r="V41" s="97"/>
      <c r="W41" s="86" t="s">
        <v>496</v>
      </c>
      <c r="X41" s="86"/>
      <c r="Y41" s="86"/>
      <c r="Z41" s="86"/>
      <c r="AA41" s="107" t="s">
        <v>943</v>
      </c>
    </row>
    <row r="42" spans="1:27" x14ac:dyDescent="0.3">
      <c r="A42" s="3" t="e">
        <f>VLOOKUP(E42,'[2]Listas Desplegables'!$H$3:$J$7,2,FALSE)</f>
        <v>#N/A</v>
      </c>
      <c r="B42" s="3" t="e">
        <f>VLOOKUP(E42,'[2]Listas Desplegables'!$H$3:$J$7,3,FALSE)</f>
        <v>#N/A</v>
      </c>
      <c r="C42" s="8">
        <v>37</v>
      </c>
      <c r="D42" s="12" t="s">
        <v>403</v>
      </c>
      <c r="E42" s="12" t="s">
        <v>499</v>
      </c>
      <c r="F42" s="12" t="s">
        <v>520</v>
      </c>
      <c r="G42" s="83">
        <v>34.5</v>
      </c>
      <c r="H42" s="89">
        <v>10.804199999999994</v>
      </c>
      <c r="I42" s="86">
        <v>454</v>
      </c>
      <c r="J42" s="86"/>
      <c r="K42" s="86"/>
      <c r="L42" s="86"/>
      <c r="M42" s="85">
        <v>0.21234649999999999</v>
      </c>
      <c r="N42" s="85">
        <v>0.35697780000000001</v>
      </c>
      <c r="O42" s="85">
        <v>4.7525019999999998</v>
      </c>
      <c r="P42" s="85">
        <v>0.38559919999999998</v>
      </c>
      <c r="Q42" s="85">
        <v>1.97044</v>
      </c>
      <c r="R42" s="85">
        <v>1.4435830000000001</v>
      </c>
      <c r="S42" s="86" t="s">
        <v>107</v>
      </c>
      <c r="T42" s="86" t="s">
        <v>109</v>
      </c>
      <c r="U42" s="86" t="s">
        <v>114</v>
      </c>
      <c r="V42" s="97"/>
      <c r="W42" s="86" t="s">
        <v>646</v>
      </c>
      <c r="X42" s="86">
        <v>0.73324074074116652</v>
      </c>
      <c r="Y42" s="86">
        <v>35.195555555575993</v>
      </c>
      <c r="Z42" s="86">
        <v>48</v>
      </c>
      <c r="AA42" s="107" t="s">
        <v>561</v>
      </c>
    </row>
    <row r="43" spans="1:27" x14ac:dyDescent="0.3">
      <c r="A43" s="3" t="e">
        <f>VLOOKUP(E43,'[2]Listas Desplegables'!$H$3:$J$7,2,FALSE)</f>
        <v>#N/A</v>
      </c>
      <c r="B43" s="3" t="e">
        <f>VLOOKUP(E43,'[2]Listas Desplegables'!$H$3:$J$7,3,FALSE)</f>
        <v>#N/A</v>
      </c>
      <c r="C43" s="8">
        <v>38</v>
      </c>
      <c r="D43" s="12" t="s">
        <v>410</v>
      </c>
      <c r="E43" s="12" t="s">
        <v>499</v>
      </c>
      <c r="F43" s="12" t="s">
        <v>521</v>
      </c>
      <c r="G43" s="83">
        <v>34.5</v>
      </c>
      <c r="H43" s="89">
        <v>25.58860000000001</v>
      </c>
      <c r="I43" s="86">
        <v>454</v>
      </c>
      <c r="J43" s="86"/>
      <c r="K43" s="86"/>
      <c r="L43" s="86"/>
      <c r="M43" s="85">
        <v>0.21234649999999999</v>
      </c>
      <c r="N43" s="85">
        <v>0.35697780000000001</v>
      </c>
      <c r="O43" s="85">
        <v>4.7525019999999998</v>
      </c>
      <c r="P43" s="85">
        <v>0.38559919999999998</v>
      </c>
      <c r="Q43" s="85">
        <v>1.97044</v>
      </c>
      <c r="R43" s="85">
        <v>1.4435830000000001</v>
      </c>
      <c r="S43" s="86" t="s">
        <v>107</v>
      </c>
      <c r="T43" s="86" t="s">
        <v>109</v>
      </c>
      <c r="U43" s="86" t="s">
        <v>114</v>
      </c>
      <c r="V43" s="97"/>
      <c r="W43" s="86" t="s">
        <v>646</v>
      </c>
      <c r="X43" s="86">
        <v>0.14253703706199303</v>
      </c>
      <c r="Y43" s="86">
        <v>2.1380555559298955</v>
      </c>
      <c r="Z43" s="86">
        <v>15</v>
      </c>
      <c r="AA43" s="107" t="s">
        <v>562</v>
      </c>
    </row>
    <row r="44" spans="1:27" x14ac:dyDescent="0.3">
      <c r="A44" s="3" t="e">
        <f>VLOOKUP(E44,'[2]Listas Desplegables'!$H$3:$J$7,2,FALSE)</f>
        <v>#N/A</v>
      </c>
      <c r="B44" s="3" t="e">
        <f>VLOOKUP(E44,'[2]Listas Desplegables'!$H$3:$J$7,3,FALSE)</f>
        <v>#N/A</v>
      </c>
      <c r="C44" s="8">
        <v>39</v>
      </c>
      <c r="D44" s="12" t="s">
        <v>404</v>
      </c>
      <c r="E44" s="12" t="s">
        <v>522</v>
      </c>
      <c r="F44" s="12" t="s">
        <v>523</v>
      </c>
      <c r="G44" s="83">
        <v>34.5</v>
      </c>
      <c r="H44" s="89">
        <v>19.13310000000001</v>
      </c>
      <c r="I44" s="86">
        <v>357</v>
      </c>
      <c r="J44" s="86"/>
      <c r="K44" s="86"/>
      <c r="L44" s="86"/>
      <c r="M44" s="85">
        <v>0.26478220000000002</v>
      </c>
      <c r="N44" s="85">
        <v>0.3778648</v>
      </c>
      <c r="O44" s="85">
        <v>4.638185</v>
      </c>
      <c r="P44" s="85">
        <v>0.4380348</v>
      </c>
      <c r="Q44" s="85">
        <v>1.9913270000000001</v>
      </c>
      <c r="R44" s="85">
        <v>1.432903</v>
      </c>
      <c r="S44" s="86" t="s">
        <v>107</v>
      </c>
      <c r="T44" s="86" t="s">
        <v>109</v>
      </c>
      <c r="U44" s="86" t="s">
        <v>114</v>
      </c>
      <c r="V44" s="97"/>
      <c r="W44" s="86" t="s">
        <v>495</v>
      </c>
      <c r="X44" s="86">
        <v>2.4119444444077089</v>
      </c>
      <c r="Y44" s="86">
        <v>31.355277777300216</v>
      </c>
      <c r="Z44" s="86">
        <v>13</v>
      </c>
      <c r="AA44" s="107"/>
    </row>
    <row r="45" spans="1:27" x14ac:dyDescent="0.3">
      <c r="A45" s="3" t="e">
        <f>VLOOKUP(E45,'[2]Listas Desplegables'!$H$3:$J$7,2,FALSE)</f>
        <v>#N/A</v>
      </c>
      <c r="B45" s="3" t="e">
        <f>VLOOKUP(E45,'[2]Listas Desplegables'!$H$3:$J$7,3,FALSE)</f>
        <v>#N/A</v>
      </c>
      <c r="C45" s="8">
        <v>40</v>
      </c>
      <c r="D45" s="12" t="s">
        <v>406</v>
      </c>
      <c r="E45" s="12" t="s">
        <v>524</v>
      </c>
      <c r="F45" s="12" t="s">
        <v>525</v>
      </c>
      <c r="G45" s="83">
        <v>34.5</v>
      </c>
      <c r="H45" s="89">
        <v>24.707409999999999</v>
      </c>
      <c r="I45" s="86">
        <v>276</v>
      </c>
      <c r="J45" s="86"/>
      <c r="K45" s="86"/>
      <c r="L45" s="86"/>
      <c r="M45" s="85">
        <v>0.41998259999999998</v>
      </c>
      <c r="N45" s="85">
        <v>0.39541890000000002</v>
      </c>
      <c r="O45" s="85">
        <v>4.412274</v>
      </c>
      <c r="P45" s="85">
        <v>0.59323530000000002</v>
      </c>
      <c r="Q45" s="85">
        <v>2.0088810000000001</v>
      </c>
      <c r="R45" s="85">
        <v>1.410682</v>
      </c>
      <c r="S45" s="86" t="s">
        <v>107</v>
      </c>
      <c r="T45" s="86" t="s">
        <v>109</v>
      </c>
      <c r="U45" s="86" t="s">
        <v>114</v>
      </c>
      <c r="V45" s="97"/>
      <c r="W45" s="86" t="s">
        <v>492</v>
      </c>
      <c r="X45" s="86">
        <v>1.7322853535270868</v>
      </c>
      <c r="Y45" s="86">
        <v>38.110277777595911</v>
      </c>
      <c r="Z45" s="86">
        <v>22</v>
      </c>
      <c r="AA45" s="107"/>
    </row>
    <row r="46" spans="1:27" x14ac:dyDescent="0.3">
      <c r="A46" s="3" t="e">
        <f>VLOOKUP(E46,'[2]Listas Desplegables'!$H$3:$J$7,2,FALSE)</f>
        <v>#N/A</v>
      </c>
      <c r="B46" s="3" t="e">
        <f>VLOOKUP(E46,'[2]Listas Desplegables'!$H$3:$J$7,3,FALSE)</f>
        <v>#N/A</v>
      </c>
      <c r="C46" s="8">
        <v>41</v>
      </c>
      <c r="D46" s="12" t="s">
        <v>405</v>
      </c>
      <c r="E46" s="12" t="s">
        <v>524</v>
      </c>
      <c r="F46" s="12" t="s">
        <v>526</v>
      </c>
      <c r="G46" s="83">
        <v>34.5</v>
      </c>
      <c r="H46" s="89">
        <v>8.8492999999999959</v>
      </c>
      <c r="I46" s="86">
        <v>183</v>
      </c>
      <c r="J46" s="86"/>
      <c r="K46" s="86"/>
      <c r="L46" s="86"/>
      <c r="M46" s="85">
        <v>0.86362609999999995</v>
      </c>
      <c r="N46" s="85">
        <v>0.42093120000000001</v>
      </c>
      <c r="O46" s="85">
        <v>4.115615</v>
      </c>
      <c r="P46" s="85">
        <v>1.0368790000000001</v>
      </c>
      <c r="Q46" s="85">
        <v>2.0343930000000001</v>
      </c>
      <c r="R46" s="85">
        <v>1.3790210000000001</v>
      </c>
      <c r="S46" s="86" t="s">
        <v>107</v>
      </c>
      <c r="T46" s="86" t="s">
        <v>109</v>
      </c>
      <c r="U46" s="86" t="s">
        <v>114</v>
      </c>
      <c r="V46" s="97"/>
      <c r="W46" s="86" t="s">
        <v>494</v>
      </c>
      <c r="X46" s="86"/>
      <c r="Y46" s="86"/>
      <c r="Z46" s="86"/>
      <c r="AA46" s="107"/>
    </row>
    <row r="47" spans="1:27" x14ac:dyDescent="0.3">
      <c r="A47" s="3" t="e">
        <f>VLOOKUP(E47,'[2]Listas Desplegables'!$H$3:$J$7,2,FALSE)</f>
        <v>#N/A</v>
      </c>
      <c r="B47" s="3" t="e">
        <f>VLOOKUP(E47,'[2]Listas Desplegables'!$H$3:$J$7,3,FALSE)</f>
        <v>#N/A</v>
      </c>
      <c r="C47" s="8">
        <v>42</v>
      </c>
      <c r="D47" s="12" t="s">
        <v>413</v>
      </c>
      <c r="E47" s="12" t="s">
        <v>524</v>
      </c>
      <c r="F47" s="12" t="s">
        <v>527</v>
      </c>
      <c r="G47" s="83">
        <v>34.5</v>
      </c>
      <c r="H47" s="89">
        <v>10.463999999999999</v>
      </c>
      <c r="I47" s="86">
        <v>183</v>
      </c>
      <c r="J47" s="86"/>
      <c r="K47" s="86"/>
      <c r="L47" s="86"/>
      <c r="M47" s="85">
        <v>0.86362609999999995</v>
      </c>
      <c r="N47" s="85">
        <v>0.42093120000000001</v>
      </c>
      <c r="O47" s="85">
        <v>4.115615</v>
      </c>
      <c r="P47" s="85">
        <v>1.0368790000000001</v>
      </c>
      <c r="Q47" s="85">
        <v>2.0343930000000001</v>
      </c>
      <c r="R47" s="85">
        <v>1.3790210000000001</v>
      </c>
      <c r="S47" s="86" t="s">
        <v>107</v>
      </c>
      <c r="T47" s="86" t="s">
        <v>109</v>
      </c>
      <c r="U47" s="86" t="s">
        <v>114</v>
      </c>
      <c r="V47" s="97"/>
      <c r="W47" s="86" t="s">
        <v>494</v>
      </c>
      <c r="X47" s="86"/>
      <c r="Y47" s="86"/>
      <c r="Z47" s="86"/>
      <c r="AA47" s="107"/>
    </row>
    <row r="48" spans="1:27" x14ac:dyDescent="0.3">
      <c r="A48" s="3" t="e">
        <f>VLOOKUP(E48,'[2]Listas Desplegables'!$H$3:$J$7,2,FALSE)</f>
        <v>#N/A</v>
      </c>
      <c r="B48" s="3" t="e">
        <f>VLOOKUP(E48,'[2]Listas Desplegables'!$H$3:$J$7,3,FALSE)</f>
        <v>#N/A</v>
      </c>
      <c r="C48" s="8">
        <v>43</v>
      </c>
      <c r="D48" s="12" t="s">
        <v>414</v>
      </c>
      <c r="E48" s="12" t="s">
        <v>524</v>
      </c>
      <c r="F48" s="12" t="s">
        <v>528</v>
      </c>
      <c r="G48" s="83">
        <v>34.5</v>
      </c>
      <c r="H48" s="89">
        <v>3.5644999999999998</v>
      </c>
      <c r="I48" s="86">
        <v>183</v>
      </c>
      <c r="J48" s="86"/>
      <c r="K48" s="86"/>
      <c r="L48" s="86"/>
      <c r="M48" s="85">
        <v>0.86362609999999995</v>
      </c>
      <c r="N48" s="85">
        <v>0.42093120000000001</v>
      </c>
      <c r="O48" s="85">
        <v>4.115615</v>
      </c>
      <c r="P48" s="85">
        <v>1.0368790000000001</v>
      </c>
      <c r="Q48" s="85">
        <v>2.0343930000000001</v>
      </c>
      <c r="R48" s="85">
        <v>1.3790210000000001</v>
      </c>
      <c r="S48" s="86" t="s">
        <v>107</v>
      </c>
      <c r="T48" s="86" t="s">
        <v>109</v>
      </c>
      <c r="U48" s="86" t="s">
        <v>114</v>
      </c>
      <c r="V48" s="97"/>
      <c r="W48" s="86" t="s">
        <v>494</v>
      </c>
      <c r="X48" s="86">
        <v>0.15420138889749069</v>
      </c>
      <c r="Y48" s="86">
        <v>1.2336111111799255</v>
      </c>
      <c r="Z48" s="86">
        <v>8</v>
      </c>
      <c r="AA48" s="107"/>
    </row>
    <row r="49" spans="1:27" x14ac:dyDescent="0.3">
      <c r="A49" s="3" t="e">
        <f>VLOOKUP(E49,'[2]Listas Desplegables'!$H$3:$J$7,2,FALSE)</f>
        <v>#N/A</v>
      </c>
      <c r="B49" s="3" t="e">
        <f>VLOOKUP(E49,'[2]Listas Desplegables'!$H$3:$J$7,3,FALSE)</f>
        <v>#N/A</v>
      </c>
      <c r="C49" s="8">
        <v>44</v>
      </c>
      <c r="D49" s="12" t="s">
        <v>415</v>
      </c>
      <c r="E49" s="12" t="s">
        <v>524</v>
      </c>
      <c r="F49" s="12" t="s">
        <v>529</v>
      </c>
      <c r="G49" s="83">
        <v>34.5</v>
      </c>
      <c r="H49" s="89">
        <v>6.7736999999999998</v>
      </c>
      <c r="I49" s="86">
        <v>183</v>
      </c>
      <c r="J49" s="86"/>
      <c r="K49" s="86"/>
      <c r="L49" s="86"/>
      <c r="M49" s="85">
        <v>0.86362609999999995</v>
      </c>
      <c r="N49" s="85">
        <v>0.42093120000000001</v>
      </c>
      <c r="O49" s="85">
        <v>4.115615</v>
      </c>
      <c r="P49" s="85">
        <v>1.0368790000000001</v>
      </c>
      <c r="Q49" s="85">
        <v>2.0343930000000001</v>
      </c>
      <c r="R49" s="85">
        <v>1.3790210000000001</v>
      </c>
      <c r="S49" s="86" t="s">
        <v>107</v>
      </c>
      <c r="T49" s="86" t="s">
        <v>109</v>
      </c>
      <c r="U49" s="86" t="s">
        <v>114</v>
      </c>
      <c r="V49" s="97"/>
      <c r="W49" s="86" t="s">
        <v>494</v>
      </c>
      <c r="X49" s="86"/>
      <c r="Y49" s="86"/>
      <c r="Z49" s="86"/>
      <c r="AA49" s="107"/>
    </row>
    <row r="50" spans="1:27" x14ac:dyDescent="0.3">
      <c r="A50" s="3" t="e">
        <f>VLOOKUP(E50,'[2]Listas Desplegables'!$H$3:$J$7,2,FALSE)</f>
        <v>#N/A</v>
      </c>
      <c r="B50" s="3" t="e">
        <f>VLOOKUP(E50,'[2]Listas Desplegables'!$H$3:$J$7,3,FALSE)</f>
        <v>#N/A</v>
      </c>
      <c r="C50" s="8">
        <v>45</v>
      </c>
      <c r="D50" s="12" t="s">
        <v>934</v>
      </c>
      <c r="E50" s="12" t="s">
        <v>530</v>
      </c>
      <c r="F50" s="12" t="s">
        <v>935</v>
      </c>
      <c r="G50" s="83">
        <v>34.5</v>
      </c>
      <c r="H50" s="89">
        <v>33.69</v>
      </c>
      <c r="I50" s="86">
        <v>276</v>
      </c>
      <c r="J50" s="86"/>
      <c r="K50" s="86"/>
      <c r="L50" s="86"/>
      <c r="M50" s="85">
        <v>0.41998259999999998</v>
      </c>
      <c r="N50" s="85">
        <v>0.39541890000000002</v>
      </c>
      <c r="O50" s="85">
        <v>4.412274</v>
      </c>
      <c r="P50" s="85">
        <v>0.59323530000000002</v>
      </c>
      <c r="Q50" s="85">
        <v>2.0088810000000001</v>
      </c>
      <c r="R50" s="85">
        <v>1.410682</v>
      </c>
      <c r="S50" s="86" t="s">
        <v>107</v>
      </c>
      <c r="T50" s="86" t="s">
        <v>109</v>
      </c>
      <c r="U50" s="86" t="s">
        <v>114</v>
      </c>
      <c r="V50" s="97"/>
      <c r="W50" s="86" t="s">
        <v>492</v>
      </c>
      <c r="X50" s="86">
        <v>0.94020467836641108</v>
      </c>
      <c r="Y50" s="86">
        <v>142.91111111169448</v>
      </c>
      <c r="Z50" s="86">
        <v>152</v>
      </c>
      <c r="AA50" s="107"/>
    </row>
    <row r="51" spans="1:27" x14ac:dyDescent="0.3">
      <c r="C51" s="8">
        <v>46</v>
      </c>
      <c r="D51" s="12" t="s">
        <v>936</v>
      </c>
      <c r="E51" s="12" t="s">
        <v>530</v>
      </c>
      <c r="F51" s="12" t="s">
        <v>617</v>
      </c>
      <c r="G51" s="83">
        <v>34.5</v>
      </c>
      <c r="H51" s="89">
        <v>4</v>
      </c>
      <c r="I51" s="86">
        <v>276</v>
      </c>
      <c r="J51" s="86"/>
      <c r="K51" s="86"/>
      <c r="L51" s="86"/>
      <c r="M51" s="85"/>
      <c r="N51" s="85"/>
      <c r="O51" s="85"/>
      <c r="P51" s="85"/>
      <c r="Q51" s="85"/>
      <c r="R51" s="85"/>
      <c r="S51" s="86"/>
      <c r="T51" s="86"/>
      <c r="U51" s="86"/>
      <c r="V51" s="97"/>
      <c r="W51" s="86"/>
      <c r="X51" s="86"/>
      <c r="Y51" s="86"/>
      <c r="Z51" s="86"/>
      <c r="AA51" s="107"/>
    </row>
    <row r="52" spans="1:27" x14ac:dyDescent="0.3">
      <c r="A52" s="3" t="e">
        <f>VLOOKUP(E52,'[2]Listas Desplegables'!$H$3:$J$7,2,FALSE)</f>
        <v>#N/A</v>
      </c>
      <c r="B52" s="3" t="e">
        <f>VLOOKUP(E52,'[2]Listas Desplegables'!$H$3:$J$7,3,FALSE)</f>
        <v>#N/A</v>
      </c>
      <c r="C52" s="8">
        <v>47</v>
      </c>
      <c r="D52" s="12" t="s">
        <v>933</v>
      </c>
      <c r="E52" s="12" t="s">
        <v>530</v>
      </c>
      <c r="F52" s="12" t="s">
        <v>531</v>
      </c>
      <c r="G52" s="83">
        <v>34.5</v>
      </c>
      <c r="H52" s="89">
        <v>20.669600000000006</v>
      </c>
      <c r="I52" s="86">
        <v>528</v>
      </c>
      <c r="J52" s="86"/>
      <c r="K52" s="86"/>
      <c r="L52" s="86"/>
      <c r="M52" s="85">
        <v>0.1681272</v>
      </c>
      <c r="N52" s="85">
        <v>0.34309719999999999</v>
      </c>
      <c r="O52" s="85">
        <v>4.899959</v>
      </c>
      <c r="P52" s="85">
        <v>0.34137990000000001</v>
      </c>
      <c r="Q52" s="85">
        <v>1.9565589999999999</v>
      </c>
      <c r="R52" s="85">
        <v>1.456839</v>
      </c>
      <c r="S52" s="86" t="s">
        <v>107</v>
      </c>
      <c r="T52" s="86" t="s">
        <v>109</v>
      </c>
      <c r="U52" s="86" t="s">
        <v>114</v>
      </c>
      <c r="V52" s="97"/>
      <c r="W52" s="86" t="s">
        <v>493</v>
      </c>
      <c r="X52" s="86">
        <v>0.73162280702749027</v>
      </c>
      <c r="Y52" s="86">
        <v>27.801666667044628</v>
      </c>
      <c r="Z52" s="86">
        <v>38</v>
      </c>
      <c r="AA52" s="107"/>
    </row>
    <row r="53" spans="1:27" x14ac:dyDescent="0.3">
      <c r="A53" s="3" t="e">
        <f>VLOOKUP(E53,'[2]Listas Desplegables'!$H$3:$J$7,2,FALSE)</f>
        <v>#N/A</v>
      </c>
      <c r="B53" s="3" t="e">
        <f>VLOOKUP(E53,'[2]Listas Desplegables'!$H$3:$J$7,3,FALSE)</f>
        <v>#N/A</v>
      </c>
      <c r="C53" s="8">
        <v>48</v>
      </c>
      <c r="D53" s="12" t="s">
        <v>408</v>
      </c>
      <c r="E53" s="12" t="s">
        <v>530</v>
      </c>
      <c r="F53" s="12" t="s">
        <v>532</v>
      </c>
      <c r="G53" s="83">
        <v>34.5</v>
      </c>
      <c r="H53" s="89">
        <v>28.413499999999935</v>
      </c>
      <c r="I53" s="86">
        <v>276</v>
      </c>
      <c r="J53" s="86"/>
      <c r="K53" s="86"/>
      <c r="L53" s="86"/>
      <c r="M53" s="85">
        <v>0.41998259999999998</v>
      </c>
      <c r="N53" s="85">
        <v>0.39541890000000002</v>
      </c>
      <c r="O53" s="85">
        <v>4.412274</v>
      </c>
      <c r="P53" s="85">
        <v>0.59323530000000002</v>
      </c>
      <c r="Q53" s="85">
        <v>2.0088810000000001</v>
      </c>
      <c r="R53" s="85">
        <v>1.410682</v>
      </c>
      <c r="S53" s="86" t="s">
        <v>107</v>
      </c>
      <c r="T53" s="86" t="s">
        <v>109</v>
      </c>
      <c r="U53" s="86" t="s">
        <v>114</v>
      </c>
      <c r="V53" s="97"/>
      <c r="W53" s="86" t="s">
        <v>492</v>
      </c>
      <c r="X53" s="86">
        <v>1.5176683501605028</v>
      </c>
      <c r="Y53" s="86">
        <v>50.083055555296596</v>
      </c>
      <c r="Z53" s="86">
        <v>33</v>
      </c>
      <c r="AA53" s="107"/>
    </row>
    <row r="54" spans="1:27" x14ac:dyDescent="0.3">
      <c r="A54" s="3" t="e">
        <f>VLOOKUP(E54,'[2]Listas Desplegables'!$H$3:$J$7,2,FALSE)</f>
        <v>#N/A</v>
      </c>
      <c r="B54" s="3" t="e">
        <f>VLOOKUP(E54,'[2]Listas Desplegables'!$H$3:$J$7,3,FALSE)</f>
        <v>#N/A</v>
      </c>
      <c r="C54" s="8">
        <v>49</v>
      </c>
      <c r="D54" s="12" t="s">
        <v>409</v>
      </c>
      <c r="E54" s="12" t="s">
        <v>530</v>
      </c>
      <c r="F54" s="12" t="s">
        <v>533</v>
      </c>
      <c r="G54" s="83">
        <v>34.5</v>
      </c>
      <c r="H54" s="89">
        <v>19.585000000000008</v>
      </c>
      <c r="I54" s="86">
        <v>276</v>
      </c>
      <c r="J54" s="86"/>
      <c r="K54" s="86"/>
      <c r="L54" s="86"/>
      <c r="M54" s="85">
        <v>0.41998259999999998</v>
      </c>
      <c r="N54" s="85">
        <v>0.39541890000000002</v>
      </c>
      <c r="O54" s="85">
        <v>4.412274</v>
      </c>
      <c r="P54" s="85">
        <v>0.59323530000000002</v>
      </c>
      <c r="Q54" s="85">
        <v>2.0088810000000001</v>
      </c>
      <c r="R54" s="85">
        <v>1.410682</v>
      </c>
      <c r="S54" s="86" t="s">
        <v>107</v>
      </c>
      <c r="T54" s="86" t="s">
        <v>109</v>
      </c>
      <c r="U54" s="86" t="s">
        <v>114</v>
      </c>
      <c r="V54" s="97"/>
      <c r="W54" s="86" t="s">
        <v>492</v>
      </c>
      <c r="X54" s="86">
        <v>0.61082352941088813</v>
      </c>
      <c r="Y54" s="86">
        <v>51.919999999925494</v>
      </c>
      <c r="Z54" s="86">
        <v>85</v>
      </c>
      <c r="AA54" s="107"/>
    </row>
    <row r="55" spans="1:27" x14ac:dyDescent="0.3">
      <c r="C55" s="8">
        <v>50</v>
      </c>
      <c r="D55" s="12" t="s">
        <v>801</v>
      </c>
      <c r="E55" s="115" t="s">
        <v>475</v>
      </c>
      <c r="F55" s="115" t="s">
        <v>470</v>
      </c>
      <c r="G55" s="90">
        <v>34.5</v>
      </c>
      <c r="H55" s="93">
        <v>2.42</v>
      </c>
      <c r="I55" s="93">
        <v>528</v>
      </c>
      <c r="J55" s="93"/>
      <c r="K55" s="93"/>
      <c r="L55" s="93"/>
      <c r="M55" s="85">
        <v>0.1681272</v>
      </c>
      <c r="N55" s="85">
        <v>0.34309719999999999</v>
      </c>
      <c r="O55" s="85">
        <v>4.899959</v>
      </c>
      <c r="P55" s="85">
        <v>0.34137990000000001</v>
      </c>
      <c r="Q55" s="85">
        <v>1.9565589999999999</v>
      </c>
      <c r="R55" s="85">
        <v>1.456839</v>
      </c>
      <c r="S55" s="86" t="s">
        <v>107</v>
      </c>
      <c r="T55" s="86" t="s">
        <v>109</v>
      </c>
      <c r="U55" s="86" t="s">
        <v>114</v>
      </c>
      <c r="V55" s="97"/>
      <c r="W55" s="86" t="s">
        <v>493</v>
      </c>
      <c r="X55" s="93"/>
      <c r="Y55" s="93"/>
      <c r="Z55" s="93"/>
      <c r="AA55" s="124" t="s">
        <v>802</v>
      </c>
    </row>
    <row r="56" spans="1:27" x14ac:dyDescent="0.3">
      <c r="A56" s="3" t="e">
        <f>VLOOKUP(E56,'[2]Listas Desplegables'!$H$3:$J$7,2,FALSE)</f>
        <v>#N/A</v>
      </c>
      <c r="B56" s="3" t="e">
        <f>VLOOKUP(E56,'[2]Listas Desplegables'!$H$3:$J$7,3,FALSE)</f>
        <v>#N/A</v>
      </c>
      <c r="C56" s="8">
        <v>51</v>
      </c>
      <c r="D56" s="12" t="s">
        <v>902</v>
      </c>
      <c r="E56" s="12" t="s">
        <v>512</v>
      </c>
      <c r="F56" s="12" t="s">
        <v>530</v>
      </c>
      <c r="G56" s="83">
        <v>115</v>
      </c>
      <c r="H56" s="86">
        <v>79.22</v>
      </c>
      <c r="I56" s="86">
        <v>670</v>
      </c>
      <c r="J56" s="86"/>
      <c r="K56" s="86">
        <v>670</v>
      </c>
      <c r="L56" s="125"/>
      <c r="M56" s="85">
        <v>0.13412009999999999</v>
      </c>
      <c r="N56" s="85">
        <v>0.48433080000000001</v>
      </c>
      <c r="O56" s="85">
        <v>3.4193760000000002</v>
      </c>
      <c r="P56" s="85">
        <v>0.42543690000000001</v>
      </c>
      <c r="Q56" s="85">
        <v>1.5449200000000001</v>
      </c>
      <c r="R56" s="85">
        <v>1.8856660000000001</v>
      </c>
      <c r="S56" s="86" t="s">
        <v>106</v>
      </c>
      <c r="T56" s="86" t="s">
        <v>109</v>
      </c>
      <c r="U56" s="86" t="s">
        <v>89</v>
      </c>
      <c r="V56" s="97">
        <v>46371</v>
      </c>
      <c r="W56" s="86"/>
      <c r="X56" s="86"/>
      <c r="Y56" s="86"/>
      <c r="Z56" s="86"/>
      <c r="AA56" s="107" t="s">
        <v>666</v>
      </c>
    </row>
    <row r="57" spans="1:27" x14ac:dyDescent="0.3">
      <c r="A57" s="3" t="e">
        <f>VLOOKUP(E57,'[2]Listas Desplegables'!$H$3:$J$7,2,FALSE)</f>
        <v>#N/A</v>
      </c>
      <c r="B57" s="3" t="e">
        <f>VLOOKUP(E57,'[2]Listas Desplegables'!$H$3:$J$7,3,FALSE)</f>
        <v>#N/A</v>
      </c>
      <c r="C57" s="8">
        <v>52</v>
      </c>
      <c r="D57" s="12" t="s">
        <v>903</v>
      </c>
      <c r="E57" s="12" t="s">
        <v>530</v>
      </c>
      <c r="F57" s="12" t="s">
        <v>485</v>
      </c>
      <c r="G57" s="83">
        <v>115</v>
      </c>
      <c r="H57" s="86">
        <v>68.34</v>
      </c>
      <c r="I57" s="86">
        <v>670</v>
      </c>
      <c r="J57" s="86"/>
      <c r="K57" s="86"/>
      <c r="L57" s="86"/>
      <c r="M57" s="85">
        <v>0.13412009999999999</v>
      </c>
      <c r="N57" s="85">
        <v>0.48433080000000001</v>
      </c>
      <c r="O57" s="85">
        <v>3.4193760000000002</v>
      </c>
      <c r="P57" s="85">
        <v>0.42543690000000001</v>
      </c>
      <c r="Q57" s="85">
        <v>1.5449200000000001</v>
      </c>
      <c r="R57" s="85">
        <v>1.8856660000000001</v>
      </c>
      <c r="S57" s="86" t="s">
        <v>106</v>
      </c>
      <c r="T57" s="86" t="s">
        <v>109</v>
      </c>
      <c r="U57" s="86" t="s">
        <v>89</v>
      </c>
      <c r="V57" s="97">
        <v>46009</v>
      </c>
      <c r="W57" s="86"/>
      <c r="X57" s="86"/>
      <c r="Y57" s="86"/>
      <c r="Z57" s="86"/>
      <c r="AA57" s="107" t="s">
        <v>666</v>
      </c>
    </row>
    <row r="58" spans="1:27" x14ac:dyDescent="0.3">
      <c r="A58" s="3" t="e">
        <f>VLOOKUP(E58,'[2]Listas Desplegables'!$H$3:$J$7,2,FALSE)</f>
        <v>#N/A</v>
      </c>
      <c r="B58" s="3" t="e">
        <f>VLOOKUP(E58,'[2]Listas Desplegables'!$H$3:$J$7,3,FALSE)</f>
        <v>#N/A</v>
      </c>
      <c r="C58" s="8">
        <v>53</v>
      </c>
      <c r="D58" s="12" t="s">
        <v>536</v>
      </c>
      <c r="E58" s="12" t="s">
        <v>490</v>
      </c>
      <c r="F58" s="12" t="s">
        <v>487</v>
      </c>
      <c r="G58" s="83">
        <v>115</v>
      </c>
      <c r="H58" s="86">
        <v>15.6</v>
      </c>
      <c r="I58" s="86">
        <v>800</v>
      </c>
      <c r="J58" s="86"/>
      <c r="K58" s="86">
        <v>800</v>
      </c>
      <c r="L58" s="86"/>
      <c r="M58" s="85">
        <v>8.01201E-2</v>
      </c>
      <c r="N58" s="85">
        <v>0.45827119999999999</v>
      </c>
      <c r="O58" s="85">
        <v>3.601048</v>
      </c>
      <c r="P58" s="85">
        <v>0.37143690000000001</v>
      </c>
      <c r="Q58" s="85">
        <v>1.5188600000000001</v>
      </c>
      <c r="R58" s="85">
        <v>1.9395</v>
      </c>
      <c r="S58" s="86" t="s">
        <v>106</v>
      </c>
      <c r="T58" s="86" t="s">
        <v>109</v>
      </c>
      <c r="U58" s="86" t="s">
        <v>89</v>
      </c>
      <c r="V58" s="97">
        <v>46387</v>
      </c>
      <c r="W58" s="86"/>
      <c r="X58" s="86"/>
      <c r="Y58" s="86"/>
      <c r="Z58" s="86"/>
      <c r="AA58" s="107" t="s">
        <v>667</v>
      </c>
    </row>
    <row r="59" spans="1:27" x14ac:dyDescent="0.3">
      <c r="C59" s="8">
        <v>54</v>
      </c>
      <c r="D59" s="12" t="s">
        <v>537</v>
      </c>
      <c r="E59" s="12" t="s">
        <v>487</v>
      </c>
      <c r="F59" s="12" t="s">
        <v>502</v>
      </c>
      <c r="G59" s="83">
        <v>115</v>
      </c>
      <c r="H59" s="86">
        <v>6.4</v>
      </c>
      <c r="I59" s="86">
        <v>800</v>
      </c>
      <c r="J59" s="86"/>
      <c r="K59" s="86">
        <v>800</v>
      </c>
      <c r="L59" s="86"/>
      <c r="M59" s="85">
        <v>8.01201E-2</v>
      </c>
      <c r="N59" s="85">
        <v>0.45827119999999999</v>
      </c>
      <c r="O59" s="85">
        <v>3.601048</v>
      </c>
      <c r="P59" s="85">
        <v>0.37143690000000001</v>
      </c>
      <c r="Q59" s="85">
        <v>1.5188600000000001</v>
      </c>
      <c r="R59" s="85">
        <v>1.9395</v>
      </c>
      <c r="S59" s="86" t="s">
        <v>106</v>
      </c>
      <c r="T59" s="86" t="s">
        <v>109</v>
      </c>
      <c r="U59" s="86" t="s">
        <v>89</v>
      </c>
      <c r="V59" s="97">
        <v>46387</v>
      </c>
      <c r="W59" s="86"/>
      <c r="X59" s="86"/>
      <c r="Y59" s="86"/>
      <c r="Z59" s="86"/>
      <c r="AA59" s="107" t="s">
        <v>667</v>
      </c>
    </row>
    <row r="60" spans="1:27" x14ac:dyDescent="0.3">
      <c r="C60" s="8">
        <v>55</v>
      </c>
      <c r="D60" s="12" t="s">
        <v>538</v>
      </c>
      <c r="E60" s="12" t="s">
        <v>499</v>
      </c>
      <c r="F60" s="12" t="s">
        <v>542</v>
      </c>
      <c r="G60" s="83">
        <v>115</v>
      </c>
      <c r="H60" s="86">
        <v>3</v>
      </c>
      <c r="I60" s="86">
        <v>661</v>
      </c>
      <c r="J60" s="86"/>
      <c r="K60" s="86">
        <v>661</v>
      </c>
      <c r="L60" s="86"/>
      <c r="M60" s="122">
        <v>0.121</v>
      </c>
      <c r="N60" s="122">
        <v>0.37840000000000001</v>
      </c>
      <c r="O60" s="122">
        <v>0.4874</v>
      </c>
      <c r="P60" s="122">
        <v>1.2775000000000001</v>
      </c>
      <c r="Q60" s="122">
        <v>3.4074</v>
      </c>
      <c r="R60" s="122">
        <v>1.9498</v>
      </c>
      <c r="S60" s="86" t="s">
        <v>106</v>
      </c>
      <c r="T60" s="86" t="s">
        <v>109</v>
      </c>
      <c r="U60" s="86" t="s">
        <v>89</v>
      </c>
      <c r="V60" s="97">
        <v>46752</v>
      </c>
      <c r="W60" s="86"/>
      <c r="X60" s="86"/>
      <c r="Y60" s="86"/>
      <c r="Z60" s="86"/>
      <c r="AA60" s="107" t="s">
        <v>649</v>
      </c>
    </row>
    <row r="61" spans="1:27" x14ac:dyDescent="0.3">
      <c r="C61" s="8">
        <v>56</v>
      </c>
      <c r="D61" s="12" t="s">
        <v>539</v>
      </c>
      <c r="E61" s="12" t="s">
        <v>502</v>
      </c>
      <c r="F61" s="12" t="s">
        <v>542</v>
      </c>
      <c r="G61" s="83">
        <v>115</v>
      </c>
      <c r="H61" s="86">
        <v>18.600000000000001</v>
      </c>
      <c r="I61" s="86">
        <v>661</v>
      </c>
      <c r="J61" s="86"/>
      <c r="K61" s="86"/>
      <c r="L61" s="86"/>
      <c r="M61" s="85">
        <v>0.121</v>
      </c>
      <c r="N61" s="85">
        <v>0.37840000000000001</v>
      </c>
      <c r="O61" s="85">
        <v>0.4874</v>
      </c>
      <c r="P61" s="85">
        <v>1.2775000000000001</v>
      </c>
      <c r="Q61" s="85">
        <v>3.4074</v>
      </c>
      <c r="R61" s="85">
        <v>1.9498</v>
      </c>
      <c r="S61" s="86" t="s">
        <v>106</v>
      </c>
      <c r="T61" s="86" t="s">
        <v>109</v>
      </c>
      <c r="U61" s="86" t="s">
        <v>89</v>
      </c>
      <c r="V61" s="97">
        <v>46752</v>
      </c>
      <c r="W61" s="86"/>
      <c r="X61" s="86"/>
      <c r="Y61" s="86"/>
      <c r="Z61" s="86"/>
      <c r="AA61" s="107" t="s">
        <v>650</v>
      </c>
    </row>
    <row r="62" spans="1:27" x14ac:dyDescent="0.3">
      <c r="C62" s="8">
        <v>57</v>
      </c>
      <c r="D62" s="12" t="s">
        <v>540</v>
      </c>
      <c r="E62" s="12" t="s">
        <v>542</v>
      </c>
      <c r="F62" s="12" t="s">
        <v>543</v>
      </c>
      <c r="G62" s="83">
        <v>115</v>
      </c>
      <c r="H62" s="86">
        <v>30</v>
      </c>
      <c r="I62" s="86">
        <v>661</v>
      </c>
      <c r="J62" s="86"/>
      <c r="K62" s="86"/>
      <c r="L62" s="86"/>
      <c r="M62" s="122">
        <v>0.121</v>
      </c>
      <c r="N62" s="122">
        <v>0.37840000000000001</v>
      </c>
      <c r="O62" s="122">
        <v>0.4874</v>
      </c>
      <c r="P62" s="122">
        <v>1.2775000000000001</v>
      </c>
      <c r="Q62" s="122">
        <v>3.4074</v>
      </c>
      <c r="R62" s="122">
        <v>1.9498</v>
      </c>
      <c r="S62" s="86" t="s">
        <v>106</v>
      </c>
      <c r="T62" s="86" t="s">
        <v>109</v>
      </c>
      <c r="U62" s="86" t="s">
        <v>89</v>
      </c>
      <c r="V62" s="97">
        <v>47483</v>
      </c>
      <c r="W62" s="86"/>
      <c r="X62" s="86"/>
      <c r="Y62" s="86"/>
      <c r="Z62" s="86"/>
      <c r="AA62" s="107" t="s">
        <v>668</v>
      </c>
    </row>
    <row r="63" spans="1:27" x14ac:dyDescent="0.3">
      <c r="C63" s="8">
        <v>58</v>
      </c>
      <c r="D63" s="12" t="s">
        <v>541</v>
      </c>
      <c r="E63" s="12" t="s">
        <v>542</v>
      </c>
      <c r="F63" s="12" t="s">
        <v>544</v>
      </c>
      <c r="G63" s="83">
        <v>115</v>
      </c>
      <c r="H63" s="86">
        <v>30</v>
      </c>
      <c r="I63" s="86">
        <v>661</v>
      </c>
      <c r="J63" s="86"/>
      <c r="K63" s="86"/>
      <c r="L63" s="86"/>
      <c r="M63" s="122">
        <v>0.121</v>
      </c>
      <c r="N63" s="122">
        <v>0.37840000000000001</v>
      </c>
      <c r="O63" s="122">
        <v>0.4874</v>
      </c>
      <c r="P63" s="122">
        <v>1.2775000000000001</v>
      </c>
      <c r="Q63" s="122">
        <v>3.4074</v>
      </c>
      <c r="R63" s="122">
        <v>1.9498</v>
      </c>
      <c r="S63" s="86" t="s">
        <v>106</v>
      </c>
      <c r="T63" s="86" t="s">
        <v>109</v>
      </c>
      <c r="U63" s="86" t="s">
        <v>89</v>
      </c>
      <c r="V63" s="97">
        <v>47483</v>
      </c>
      <c r="W63" s="86"/>
      <c r="X63" s="86"/>
      <c r="Y63" s="86"/>
      <c r="Z63" s="86"/>
      <c r="AA63" s="107" t="s">
        <v>668</v>
      </c>
    </row>
    <row r="64" spans="1:27" x14ac:dyDescent="0.3">
      <c r="C64" s="8">
        <v>59</v>
      </c>
      <c r="D64" s="12" t="s">
        <v>928</v>
      </c>
      <c r="E64" s="12" t="s">
        <v>621</v>
      </c>
      <c r="F64" s="12" t="s">
        <v>485</v>
      </c>
      <c r="G64" s="83">
        <v>34.5</v>
      </c>
      <c r="H64" s="86">
        <v>30</v>
      </c>
      <c r="I64" s="86">
        <v>528</v>
      </c>
      <c r="J64" s="86"/>
      <c r="K64" s="86"/>
      <c r="L64" s="86"/>
      <c r="M64" s="85">
        <v>0.1681272</v>
      </c>
      <c r="N64" s="85">
        <v>0.34309719999999999</v>
      </c>
      <c r="O64" s="85">
        <v>4.899959</v>
      </c>
      <c r="P64" s="85">
        <v>0.34137990000000001</v>
      </c>
      <c r="Q64" s="85">
        <v>1.9565589999999999</v>
      </c>
      <c r="R64" s="85">
        <v>1.456839</v>
      </c>
      <c r="S64" s="86" t="s">
        <v>107</v>
      </c>
      <c r="T64" s="86" t="s">
        <v>109</v>
      </c>
      <c r="U64" s="86" t="s">
        <v>114</v>
      </c>
      <c r="V64" s="97">
        <v>45291</v>
      </c>
      <c r="W64" s="86" t="s">
        <v>493</v>
      </c>
      <c r="X64" s="86"/>
      <c r="Y64" s="86"/>
      <c r="Z64" s="86"/>
      <c r="AA64" s="107" t="s">
        <v>657</v>
      </c>
    </row>
    <row r="65" spans="1:27" x14ac:dyDescent="0.3">
      <c r="C65" s="8">
        <v>60</v>
      </c>
      <c r="D65" s="12" t="s">
        <v>622</v>
      </c>
      <c r="E65" s="12" t="s">
        <v>516</v>
      </c>
      <c r="F65" s="12" t="s">
        <v>621</v>
      </c>
      <c r="G65" s="83">
        <v>34.5</v>
      </c>
      <c r="H65" s="86">
        <v>27</v>
      </c>
      <c r="I65" s="86">
        <v>528</v>
      </c>
      <c r="J65" s="86"/>
      <c r="K65" s="86"/>
      <c r="L65" s="86"/>
      <c r="M65" s="85">
        <v>0.1681272</v>
      </c>
      <c r="N65" s="85">
        <v>0.34309719999999999</v>
      </c>
      <c r="O65" s="85">
        <v>4.899959</v>
      </c>
      <c r="P65" s="85">
        <v>0.34137990000000001</v>
      </c>
      <c r="Q65" s="85">
        <v>1.9565589999999999</v>
      </c>
      <c r="R65" s="85">
        <v>1.456839</v>
      </c>
      <c r="S65" s="86" t="s">
        <v>107</v>
      </c>
      <c r="T65" s="86" t="s">
        <v>109</v>
      </c>
      <c r="U65" s="86" t="s">
        <v>89</v>
      </c>
      <c r="V65" s="97">
        <v>45657</v>
      </c>
      <c r="W65" s="86" t="s">
        <v>493</v>
      </c>
      <c r="X65" s="86"/>
      <c r="Y65" s="86"/>
      <c r="Z65" s="86"/>
      <c r="AA65" s="107" t="s">
        <v>669</v>
      </c>
    </row>
    <row r="66" spans="1:27" x14ac:dyDescent="0.3">
      <c r="C66" s="8">
        <v>61</v>
      </c>
      <c r="D66" s="12" t="s">
        <v>672</v>
      </c>
      <c r="E66" s="12" t="s">
        <v>621</v>
      </c>
      <c r="F66" s="12" t="s">
        <v>521</v>
      </c>
      <c r="G66" s="83">
        <v>34.5</v>
      </c>
      <c r="H66" s="86">
        <v>15.98</v>
      </c>
      <c r="I66" s="86">
        <v>528</v>
      </c>
      <c r="J66" s="86"/>
      <c r="K66" s="86"/>
      <c r="L66" s="86"/>
      <c r="M66" s="85">
        <v>0.1681272</v>
      </c>
      <c r="N66" s="85">
        <v>0.34309719999999999</v>
      </c>
      <c r="O66" s="85">
        <v>4.899959</v>
      </c>
      <c r="P66" s="85">
        <v>0.34137990000000001</v>
      </c>
      <c r="Q66" s="85">
        <v>1.9565589999999999</v>
      </c>
      <c r="R66" s="85">
        <v>1.456839</v>
      </c>
      <c r="S66" s="86" t="s">
        <v>107</v>
      </c>
      <c r="T66" s="86" t="s">
        <v>109</v>
      </c>
      <c r="U66" s="86" t="s">
        <v>89</v>
      </c>
      <c r="V66" s="97">
        <v>46387</v>
      </c>
      <c r="W66" s="86" t="s">
        <v>493</v>
      </c>
      <c r="X66" s="86"/>
      <c r="Y66" s="86"/>
      <c r="Z66" s="86"/>
      <c r="AA66" s="107" t="s">
        <v>673</v>
      </c>
    </row>
    <row r="67" spans="1:27" x14ac:dyDescent="0.3">
      <c r="C67" s="8">
        <v>62</v>
      </c>
      <c r="D67" s="12" t="s">
        <v>627</v>
      </c>
      <c r="E67" s="12" t="s">
        <v>523</v>
      </c>
      <c r="F67" s="12" t="s">
        <v>628</v>
      </c>
      <c r="G67" s="83">
        <v>34.5</v>
      </c>
      <c r="H67" s="86">
        <v>29.08</v>
      </c>
      <c r="I67" s="86">
        <v>528</v>
      </c>
      <c r="J67" s="86"/>
      <c r="K67" s="86"/>
      <c r="L67" s="86"/>
      <c r="M67" s="85">
        <v>0.1681272</v>
      </c>
      <c r="N67" s="85">
        <v>0.34309719999999999</v>
      </c>
      <c r="O67" s="85">
        <v>4.899959</v>
      </c>
      <c r="P67" s="85">
        <v>0.34137990000000001</v>
      </c>
      <c r="Q67" s="85">
        <v>1.9565589999999999</v>
      </c>
      <c r="R67" s="85">
        <v>1.456839</v>
      </c>
      <c r="S67" s="86" t="s">
        <v>107</v>
      </c>
      <c r="T67" s="86" t="s">
        <v>109</v>
      </c>
      <c r="U67" s="86" t="s">
        <v>89</v>
      </c>
      <c r="V67" s="97">
        <v>46387</v>
      </c>
      <c r="W67" s="86" t="s">
        <v>493</v>
      </c>
      <c r="X67" s="86"/>
      <c r="Y67" s="86"/>
      <c r="Z67" s="86"/>
      <c r="AA67" s="107" t="s">
        <v>670</v>
      </c>
    </row>
    <row r="68" spans="1:27" x14ac:dyDescent="0.3">
      <c r="C68" s="8">
        <v>63</v>
      </c>
      <c r="D68" s="12" t="s">
        <v>634</v>
      </c>
      <c r="E68" s="12" t="s">
        <v>522</v>
      </c>
      <c r="F68" s="12" t="s">
        <v>635</v>
      </c>
      <c r="G68" s="83">
        <v>34.5</v>
      </c>
      <c r="H68" s="86">
        <v>17.600000000000001</v>
      </c>
      <c r="I68" s="86">
        <v>528</v>
      </c>
      <c r="J68" s="86"/>
      <c r="K68" s="86"/>
      <c r="L68" s="86"/>
      <c r="M68" s="85">
        <v>0.1681272</v>
      </c>
      <c r="N68" s="85">
        <v>0.34309719999999999</v>
      </c>
      <c r="O68" s="85">
        <v>4.899959</v>
      </c>
      <c r="P68" s="85">
        <v>0.34137990000000001</v>
      </c>
      <c r="Q68" s="85">
        <v>1.9565589999999999</v>
      </c>
      <c r="R68" s="85">
        <v>1.456839</v>
      </c>
      <c r="S68" s="86" t="s">
        <v>107</v>
      </c>
      <c r="T68" s="86" t="s">
        <v>109</v>
      </c>
      <c r="U68" s="86" t="s">
        <v>89</v>
      </c>
      <c r="V68" s="97">
        <v>46387</v>
      </c>
      <c r="W68" s="86" t="s">
        <v>493</v>
      </c>
      <c r="X68" s="86"/>
      <c r="Y68" s="86"/>
      <c r="Z68" s="86"/>
      <c r="AA68" s="107" t="s">
        <v>636</v>
      </c>
    </row>
    <row r="69" spans="1:27" x14ac:dyDescent="0.3">
      <c r="C69" s="8">
        <v>64</v>
      </c>
      <c r="D69" s="12" t="s">
        <v>671</v>
      </c>
      <c r="E69" s="12" t="s">
        <v>643</v>
      </c>
      <c r="F69" s="12" t="s">
        <v>518</v>
      </c>
      <c r="G69" s="83">
        <v>34.5</v>
      </c>
      <c r="H69" s="86">
        <v>22.19</v>
      </c>
      <c r="I69" s="86">
        <v>528</v>
      </c>
      <c r="J69" s="86"/>
      <c r="K69" s="86"/>
      <c r="L69" s="86"/>
      <c r="M69" s="85">
        <v>0.1681272</v>
      </c>
      <c r="N69" s="85">
        <v>0.34309719999999999</v>
      </c>
      <c r="O69" s="85">
        <v>4.899959</v>
      </c>
      <c r="P69" s="85">
        <v>0.34137990000000001</v>
      </c>
      <c r="Q69" s="85">
        <v>1.9565589999999999</v>
      </c>
      <c r="R69" s="85">
        <v>1.456839</v>
      </c>
      <c r="S69" s="86" t="s">
        <v>107</v>
      </c>
      <c r="T69" s="86" t="s">
        <v>109</v>
      </c>
      <c r="U69" s="86" t="s">
        <v>89</v>
      </c>
      <c r="V69" s="97">
        <v>46022</v>
      </c>
      <c r="W69" s="86" t="s">
        <v>493</v>
      </c>
      <c r="X69" s="86"/>
      <c r="Y69" s="86"/>
      <c r="Z69" s="86"/>
      <c r="AA69" s="107" t="s">
        <v>912</v>
      </c>
    </row>
    <row r="70" spans="1:27" x14ac:dyDescent="0.3">
      <c r="A70" s="3" t="e">
        <f>VLOOKUP(E70,'[2]Listas Desplegables'!$H$3:$J$7,2,FALSE)</f>
        <v>#N/A</v>
      </c>
      <c r="B70" s="3" t="e">
        <f>VLOOKUP(E70,'[2]Listas Desplegables'!$H$3:$J$7,3,FALSE)</f>
        <v>#N/A</v>
      </c>
      <c r="C70" s="8">
        <v>65</v>
      </c>
      <c r="D70" s="12" t="s">
        <v>638</v>
      </c>
      <c r="E70" s="12" t="s">
        <v>639</v>
      </c>
      <c r="F70" s="12" t="s">
        <v>518</v>
      </c>
      <c r="G70" s="83">
        <v>34.5</v>
      </c>
      <c r="H70" s="86">
        <v>13</v>
      </c>
      <c r="I70" s="86">
        <v>528</v>
      </c>
      <c r="J70" s="86"/>
      <c r="K70" s="86"/>
      <c r="L70" s="86"/>
      <c r="M70" s="85">
        <v>0.1681272</v>
      </c>
      <c r="N70" s="85">
        <v>0.34309719999999999</v>
      </c>
      <c r="O70" s="85">
        <v>4.899959</v>
      </c>
      <c r="P70" s="85">
        <v>0.34137990000000001</v>
      </c>
      <c r="Q70" s="85">
        <v>1.9565589999999999</v>
      </c>
      <c r="R70" s="85">
        <v>1.456839</v>
      </c>
      <c r="S70" s="86" t="s">
        <v>107</v>
      </c>
      <c r="T70" s="86" t="s">
        <v>109</v>
      </c>
      <c r="U70" s="86" t="s">
        <v>89</v>
      </c>
      <c r="V70" s="97">
        <v>46752</v>
      </c>
      <c r="W70" s="86" t="s">
        <v>493</v>
      </c>
      <c r="X70" s="86"/>
      <c r="Y70" s="86"/>
      <c r="Z70" s="86"/>
      <c r="AA70" s="107" t="s">
        <v>914</v>
      </c>
    </row>
    <row r="71" spans="1:27" x14ac:dyDescent="0.3">
      <c r="C71" s="8">
        <v>66</v>
      </c>
      <c r="D71" s="12" t="s">
        <v>642</v>
      </c>
      <c r="E71" s="12" t="s">
        <v>643</v>
      </c>
      <c r="F71" s="12" t="s">
        <v>542</v>
      </c>
      <c r="G71" s="83">
        <v>34.5</v>
      </c>
      <c r="H71" s="86">
        <v>13</v>
      </c>
      <c r="I71" s="86">
        <v>528</v>
      </c>
      <c r="J71" s="86"/>
      <c r="K71" s="86"/>
      <c r="L71" s="86"/>
      <c r="M71" s="85">
        <v>0.1681272</v>
      </c>
      <c r="N71" s="85">
        <v>0.34309719999999999</v>
      </c>
      <c r="O71" s="85">
        <v>4.899959</v>
      </c>
      <c r="P71" s="85">
        <v>0.34137990000000001</v>
      </c>
      <c r="Q71" s="85">
        <v>1.9565589999999999</v>
      </c>
      <c r="R71" s="85">
        <v>1.456839</v>
      </c>
      <c r="S71" s="86" t="s">
        <v>107</v>
      </c>
      <c r="T71" s="86" t="s">
        <v>109</v>
      </c>
      <c r="U71" s="86" t="s">
        <v>89</v>
      </c>
      <c r="V71" s="97">
        <v>46752</v>
      </c>
      <c r="W71" s="86" t="s">
        <v>493</v>
      </c>
      <c r="X71" s="86"/>
      <c r="Y71" s="86"/>
      <c r="Z71" s="86"/>
      <c r="AA71" s="107" t="s">
        <v>913</v>
      </c>
    </row>
    <row r="72" spans="1:27" x14ac:dyDescent="0.3">
      <c r="C72" s="8">
        <v>67</v>
      </c>
      <c r="D72" s="12" t="s">
        <v>641</v>
      </c>
      <c r="E72" s="12" t="s">
        <v>534</v>
      </c>
      <c r="F72" s="12" t="s">
        <v>505</v>
      </c>
      <c r="G72" s="90">
        <v>34.5</v>
      </c>
      <c r="H72" s="93">
        <v>15.76</v>
      </c>
      <c r="I72" s="86">
        <v>357</v>
      </c>
      <c r="J72" s="93"/>
      <c r="K72" s="93"/>
      <c r="L72" s="93"/>
      <c r="M72" s="85">
        <v>0.26478220000000002</v>
      </c>
      <c r="N72" s="85">
        <v>0.3778648</v>
      </c>
      <c r="O72" s="85">
        <v>4.638185</v>
      </c>
      <c r="P72" s="85">
        <v>0.4380348</v>
      </c>
      <c r="Q72" s="85">
        <v>1.9913270000000001</v>
      </c>
      <c r="R72" s="85">
        <v>1.432903</v>
      </c>
      <c r="S72" s="86" t="s">
        <v>107</v>
      </c>
      <c r="T72" s="86" t="s">
        <v>109</v>
      </c>
      <c r="U72" s="86" t="s">
        <v>89</v>
      </c>
      <c r="V72" s="97">
        <v>47483</v>
      </c>
      <c r="W72" s="86" t="s">
        <v>495</v>
      </c>
      <c r="X72" s="93"/>
      <c r="Y72" s="93"/>
      <c r="Z72" s="93"/>
      <c r="AA72" s="107" t="s">
        <v>655</v>
      </c>
    </row>
    <row r="73" spans="1:27" x14ac:dyDescent="0.3">
      <c r="C73" s="8">
        <v>68</v>
      </c>
      <c r="D73" s="12" t="s">
        <v>640</v>
      </c>
      <c r="E73" s="12" t="s">
        <v>534</v>
      </c>
      <c r="F73" s="12" t="s">
        <v>618</v>
      </c>
      <c r="G73" s="90">
        <v>34.5</v>
      </c>
      <c r="H73" s="93">
        <v>19.41</v>
      </c>
      <c r="I73" s="86">
        <v>357</v>
      </c>
      <c r="J73" s="93"/>
      <c r="K73" s="93"/>
      <c r="L73" s="93"/>
      <c r="M73" s="85">
        <v>0.26478220000000002</v>
      </c>
      <c r="N73" s="85">
        <v>0.3778648</v>
      </c>
      <c r="O73" s="85">
        <v>4.638185</v>
      </c>
      <c r="P73" s="85">
        <v>0.4380348</v>
      </c>
      <c r="Q73" s="85">
        <v>1.9913270000000001</v>
      </c>
      <c r="R73" s="85">
        <v>1.432903</v>
      </c>
      <c r="S73" s="86" t="s">
        <v>107</v>
      </c>
      <c r="T73" s="86" t="s">
        <v>109</v>
      </c>
      <c r="U73" s="86" t="s">
        <v>89</v>
      </c>
      <c r="V73" s="97">
        <v>47483</v>
      </c>
      <c r="W73" s="86" t="s">
        <v>495</v>
      </c>
      <c r="X73" s="93"/>
      <c r="Y73" s="93"/>
      <c r="Z73" s="93"/>
      <c r="AA73" s="107" t="s">
        <v>656</v>
      </c>
    </row>
    <row r="74" spans="1:27" x14ac:dyDescent="0.3">
      <c r="C74" s="8">
        <v>69</v>
      </c>
      <c r="D74" s="12" t="s">
        <v>915</v>
      </c>
      <c r="E74" s="12" t="s">
        <v>490</v>
      </c>
      <c r="F74" s="12" t="s">
        <v>618</v>
      </c>
      <c r="G74" s="83">
        <v>34.5</v>
      </c>
      <c r="H74" s="86">
        <v>9.81</v>
      </c>
      <c r="I74" s="86">
        <v>528</v>
      </c>
      <c r="J74" s="86"/>
      <c r="K74" s="86"/>
      <c r="L74" s="86"/>
      <c r="M74" s="85">
        <v>0.1681272</v>
      </c>
      <c r="N74" s="85">
        <v>0.34309719999999999</v>
      </c>
      <c r="O74" s="85">
        <v>4.899959</v>
      </c>
      <c r="P74" s="85">
        <v>0.34137990000000001</v>
      </c>
      <c r="Q74" s="85">
        <v>1.9565589999999999</v>
      </c>
      <c r="R74" s="85">
        <v>1.456839</v>
      </c>
      <c r="S74" s="86" t="s">
        <v>107</v>
      </c>
      <c r="T74" s="86" t="s">
        <v>109</v>
      </c>
      <c r="U74" s="86" t="s">
        <v>89</v>
      </c>
      <c r="V74" s="97">
        <v>44926</v>
      </c>
      <c r="W74" s="86" t="s">
        <v>493</v>
      </c>
      <c r="X74" s="86"/>
      <c r="Y74" s="86"/>
      <c r="Z74" s="86"/>
      <c r="AA74" s="107" t="s">
        <v>921</v>
      </c>
    </row>
    <row r="75" spans="1:27" x14ac:dyDescent="0.3">
      <c r="C75" s="8">
        <v>70</v>
      </c>
      <c r="D75" s="12" t="s">
        <v>774</v>
      </c>
      <c r="E75" s="12" t="s">
        <v>487</v>
      </c>
      <c r="F75" s="12" t="s">
        <v>502</v>
      </c>
      <c r="G75" s="90">
        <v>34.5</v>
      </c>
      <c r="H75" s="93">
        <v>0.46</v>
      </c>
      <c r="I75" s="86">
        <v>528</v>
      </c>
      <c r="J75" s="86"/>
      <c r="K75" s="86"/>
      <c r="L75" s="86"/>
      <c r="M75" s="85">
        <v>0.1681272</v>
      </c>
      <c r="N75" s="85">
        <v>0.34309719999999999</v>
      </c>
      <c r="O75" s="85">
        <v>4.899959</v>
      </c>
      <c r="P75" s="85">
        <v>0.34137990000000001</v>
      </c>
      <c r="Q75" s="85">
        <v>1.9565589999999999</v>
      </c>
      <c r="R75" s="85">
        <v>1.456839</v>
      </c>
      <c r="S75" s="86" t="s">
        <v>107</v>
      </c>
      <c r="T75" s="86" t="s">
        <v>109</v>
      </c>
      <c r="U75" s="86" t="s">
        <v>114</v>
      </c>
      <c r="V75" s="97">
        <v>46387</v>
      </c>
      <c r="W75" s="86" t="s">
        <v>493</v>
      </c>
      <c r="X75" s="93"/>
      <c r="Y75" s="93"/>
      <c r="Z75" s="93"/>
      <c r="AA75" s="124" t="s">
        <v>675</v>
      </c>
    </row>
    <row r="76" spans="1:27" x14ac:dyDescent="0.3">
      <c r="C76" s="8">
        <v>71</v>
      </c>
      <c r="D76" s="12" t="s">
        <v>674</v>
      </c>
      <c r="E76" s="12" t="s">
        <v>487</v>
      </c>
      <c r="F76" s="12" t="s">
        <v>490</v>
      </c>
      <c r="G76" s="90">
        <v>34.5</v>
      </c>
      <c r="H76" s="93">
        <v>0.05</v>
      </c>
      <c r="I76" s="86">
        <v>528</v>
      </c>
      <c r="J76" s="86"/>
      <c r="K76" s="86"/>
      <c r="L76" s="86"/>
      <c r="M76" s="85">
        <v>0.1681272</v>
      </c>
      <c r="N76" s="85">
        <v>0.34309719999999999</v>
      </c>
      <c r="O76" s="85">
        <v>4.899959</v>
      </c>
      <c r="P76" s="85">
        <v>0.34137990000000001</v>
      </c>
      <c r="Q76" s="85">
        <v>1.9565589999999999</v>
      </c>
      <c r="R76" s="85">
        <v>1.456839</v>
      </c>
      <c r="S76" s="86" t="s">
        <v>107</v>
      </c>
      <c r="T76" s="86" t="s">
        <v>109</v>
      </c>
      <c r="U76" s="86" t="s">
        <v>114</v>
      </c>
      <c r="V76" s="97">
        <v>46387</v>
      </c>
      <c r="W76" s="86" t="s">
        <v>493</v>
      </c>
      <c r="X76" s="93"/>
      <c r="Y76" s="93"/>
      <c r="Z76" s="93"/>
      <c r="AA76" s="124" t="s">
        <v>676</v>
      </c>
    </row>
    <row r="77" spans="1:27" x14ac:dyDescent="0.3">
      <c r="C77" s="8">
        <v>72</v>
      </c>
      <c r="D77" s="12" t="s">
        <v>808</v>
      </c>
      <c r="E77" s="12" t="s">
        <v>806</v>
      </c>
      <c r="F77" s="12" t="s">
        <v>807</v>
      </c>
      <c r="G77" s="90">
        <v>34.5</v>
      </c>
      <c r="H77" s="93">
        <v>9</v>
      </c>
      <c r="I77" s="93">
        <v>528</v>
      </c>
      <c r="J77" s="93"/>
      <c r="K77" s="93"/>
      <c r="L77" s="93"/>
      <c r="M77" s="85">
        <v>0.1681272</v>
      </c>
      <c r="N77" s="85">
        <v>0.34309719999999999</v>
      </c>
      <c r="O77" s="85">
        <v>4.899959</v>
      </c>
      <c r="P77" s="85">
        <v>0.34137990000000001</v>
      </c>
      <c r="Q77" s="85">
        <v>1.9565589999999999</v>
      </c>
      <c r="R77" s="85">
        <v>1.456839</v>
      </c>
      <c r="S77" s="86" t="s">
        <v>107</v>
      </c>
      <c r="T77" s="86" t="s">
        <v>109</v>
      </c>
      <c r="U77" s="86" t="s">
        <v>89</v>
      </c>
      <c r="V77" s="97">
        <v>47483</v>
      </c>
      <c r="W77" s="86" t="s">
        <v>493</v>
      </c>
      <c r="X77" s="93"/>
      <c r="Y77" s="93"/>
      <c r="Z77" s="93"/>
      <c r="AA77" s="124" t="s">
        <v>827</v>
      </c>
    </row>
    <row r="78" spans="1:27" x14ac:dyDescent="0.3">
      <c r="C78" s="8">
        <v>73</v>
      </c>
      <c r="D78" s="12" t="s">
        <v>809</v>
      </c>
      <c r="E78" s="12" t="s">
        <v>479</v>
      </c>
      <c r="F78" s="12" t="s">
        <v>810</v>
      </c>
      <c r="G78" s="90">
        <v>34.5</v>
      </c>
      <c r="H78" s="93">
        <v>12.1</v>
      </c>
      <c r="I78" s="93">
        <v>528</v>
      </c>
      <c r="J78" s="93"/>
      <c r="K78" s="93"/>
      <c r="L78" s="93"/>
      <c r="M78" s="85">
        <v>0.1681272</v>
      </c>
      <c r="N78" s="85">
        <v>0.34309719999999999</v>
      </c>
      <c r="O78" s="85">
        <v>4.899959</v>
      </c>
      <c r="P78" s="85">
        <v>0.34137990000000001</v>
      </c>
      <c r="Q78" s="85">
        <v>1.9565589999999999</v>
      </c>
      <c r="R78" s="85">
        <v>1.456839</v>
      </c>
      <c r="S78" s="86" t="s">
        <v>107</v>
      </c>
      <c r="T78" s="86" t="s">
        <v>109</v>
      </c>
      <c r="U78" s="86" t="s">
        <v>89</v>
      </c>
      <c r="V78" s="97">
        <v>46752</v>
      </c>
      <c r="W78" s="86" t="s">
        <v>493</v>
      </c>
      <c r="X78" s="93"/>
      <c r="Y78" s="93"/>
      <c r="Z78" s="93"/>
      <c r="AA78" s="124" t="s">
        <v>926</v>
      </c>
    </row>
    <row r="79" spans="1:27" x14ac:dyDescent="0.3">
      <c r="C79" s="8">
        <v>74</v>
      </c>
      <c r="D79" s="12" t="s">
        <v>824</v>
      </c>
      <c r="E79" s="12" t="s">
        <v>522</v>
      </c>
      <c r="F79" s="12" t="s">
        <v>823</v>
      </c>
      <c r="G79" s="90">
        <v>34.5</v>
      </c>
      <c r="H79" s="93">
        <v>5</v>
      </c>
      <c r="I79" s="93">
        <v>528</v>
      </c>
      <c r="J79" s="93"/>
      <c r="K79" s="93"/>
      <c r="L79" s="93"/>
      <c r="M79" s="85">
        <v>0.1681272</v>
      </c>
      <c r="N79" s="85">
        <v>0.34309719999999999</v>
      </c>
      <c r="O79" s="85">
        <v>4.899959</v>
      </c>
      <c r="P79" s="85">
        <v>0.34137990000000001</v>
      </c>
      <c r="Q79" s="85">
        <v>1.9565589999999999</v>
      </c>
      <c r="R79" s="85">
        <v>1.456839</v>
      </c>
      <c r="S79" s="86" t="s">
        <v>107</v>
      </c>
      <c r="T79" s="86" t="s">
        <v>109</v>
      </c>
      <c r="U79" s="86" t="s">
        <v>89</v>
      </c>
      <c r="V79" s="97">
        <v>48213</v>
      </c>
      <c r="W79" s="86" t="s">
        <v>493</v>
      </c>
      <c r="X79" s="93"/>
      <c r="Y79" s="93"/>
      <c r="Z79" s="93"/>
      <c r="AA79" s="124" t="s">
        <v>822</v>
      </c>
    </row>
    <row r="80" spans="1:27" x14ac:dyDescent="0.3">
      <c r="C80" s="8">
        <v>75</v>
      </c>
      <c r="D80" s="12" t="s">
        <v>812</v>
      </c>
      <c r="E80" s="119" t="s">
        <v>509</v>
      </c>
      <c r="F80" s="12" t="s">
        <v>813</v>
      </c>
      <c r="G80" s="90">
        <v>34.5</v>
      </c>
      <c r="H80" s="93">
        <v>22</v>
      </c>
      <c r="I80" s="93">
        <v>528</v>
      </c>
      <c r="J80" s="93"/>
      <c r="K80" s="93"/>
      <c r="L80" s="93"/>
      <c r="M80" s="85">
        <v>0.1681272</v>
      </c>
      <c r="N80" s="85">
        <v>0.34309719999999999</v>
      </c>
      <c r="O80" s="85">
        <v>4.899959</v>
      </c>
      <c r="P80" s="85">
        <v>0.34137990000000001</v>
      </c>
      <c r="Q80" s="85">
        <v>1.9565589999999999</v>
      </c>
      <c r="R80" s="85">
        <v>1.456839</v>
      </c>
      <c r="S80" s="86" t="s">
        <v>107</v>
      </c>
      <c r="T80" s="86" t="s">
        <v>109</v>
      </c>
      <c r="U80" s="86" t="s">
        <v>89</v>
      </c>
      <c r="V80" s="97">
        <v>48213</v>
      </c>
      <c r="W80" s="86" t="s">
        <v>493</v>
      </c>
      <c r="X80" s="93"/>
      <c r="Y80" s="93"/>
      <c r="Z80" s="93"/>
      <c r="AA80" s="124" t="s">
        <v>826</v>
      </c>
    </row>
    <row r="81" spans="1:27" x14ac:dyDescent="0.3">
      <c r="C81" s="8">
        <v>76</v>
      </c>
      <c r="D81" s="12" t="s">
        <v>840</v>
      </c>
      <c r="E81" s="119" t="s">
        <v>471</v>
      </c>
      <c r="F81" s="12" t="s">
        <v>841</v>
      </c>
      <c r="G81" s="90">
        <v>34.5</v>
      </c>
      <c r="H81" s="93">
        <v>17</v>
      </c>
      <c r="I81" s="93">
        <v>528</v>
      </c>
      <c r="J81" s="93"/>
      <c r="K81" s="93"/>
      <c r="L81" s="93"/>
      <c r="M81" s="85">
        <v>0.1681272</v>
      </c>
      <c r="N81" s="85">
        <v>0.34309719999999999</v>
      </c>
      <c r="O81" s="85">
        <v>4.899959</v>
      </c>
      <c r="P81" s="85">
        <v>0.34137990000000001</v>
      </c>
      <c r="Q81" s="85">
        <v>1.9565589999999999</v>
      </c>
      <c r="R81" s="85">
        <v>1.456839</v>
      </c>
      <c r="S81" s="86" t="s">
        <v>107</v>
      </c>
      <c r="T81" s="86" t="s">
        <v>109</v>
      </c>
      <c r="U81" s="86" t="s">
        <v>89</v>
      </c>
      <c r="V81" s="97">
        <v>47483</v>
      </c>
      <c r="W81" s="86" t="s">
        <v>493</v>
      </c>
      <c r="X81" s="93"/>
      <c r="Y81" s="93"/>
      <c r="Z81" s="93"/>
      <c r="AA81" s="124" t="s">
        <v>842</v>
      </c>
    </row>
    <row r="82" spans="1:27" x14ac:dyDescent="0.3">
      <c r="C82" s="8">
        <v>77</v>
      </c>
      <c r="D82" s="12" t="s">
        <v>855</v>
      </c>
      <c r="E82" s="119" t="s">
        <v>534</v>
      </c>
      <c r="F82" s="12" t="s">
        <v>856</v>
      </c>
      <c r="G82" s="90">
        <v>34.5</v>
      </c>
      <c r="H82" s="93">
        <v>36</v>
      </c>
      <c r="I82" s="93">
        <v>528</v>
      </c>
      <c r="J82" s="93"/>
      <c r="K82" s="93"/>
      <c r="L82" s="93"/>
      <c r="M82" s="85">
        <v>0.1681272</v>
      </c>
      <c r="N82" s="85">
        <v>0.34309719999999999</v>
      </c>
      <c r="O82" s="85">
        <v>4.899959</v>
      </c>
      <c r="P82" s="85">
        <v>0.34137990000000001</v>
      </c>
      <c r="Q82" s="85">
        <v>1.9565589999999999</v>
      </c>
      <c r="R82" s="85">
        <v>1.456839</v>
      </c>
      <c r="S82" s="86" t="s">
        <v>107</v>
      </c>
      <c r="T82" s="86" t="s">
        <v>109</v>
      </c>
      <c r="U82" s="86" t="s">
        <v>89</v>
      </c>
      <c r="V82" s="97">
        <v>48579</v>
      </c>
      <c r="W82" s="86" t="s">
        <v>493</v>
      </c>
      <c r="X82" s="93"/>
      <c r="Y82" s="93"/>
      <c r="Z82" s="93"/>
      <c r="AA82" s="124" t="s">
        <v>857</v>
      </c>
    </row>
    <row r="83" spans="1:27" x14ac:dyDescent="0.3">
      <c r="C83" s="8">
        <v>78</v>
      </c>
      <c r="D83" s="12" t="s">
        <v>870</v>
      </c>
      <c r="E83" s="119" t="s">
        <v>868</v>
      </c>
      <c r="F83" s="12" t="s">
        <v>869</v>
      </c>
      <c r="G83" s="90">
        <v>34.5</v>
      </c>
      <c r="H83" s="93">
        <v>17</v>
      </c>
      <c r="I83" s="93">
        <v>528</v>
      </c>
      <c r="J83" s="93"/>
      <c r="K83" s="93"/>
      <c r="L83" s="93"/>
      <c r="M83" s="85">
        <v>0.1681272</v>
      </c>
      <c r="N83" s="85">
        <v>0.34309719999999999</v>
      </c>
      <c r="O83" s="85">
        <v>4.899959</v>
      </c>
      <c r="P83" s="85">
        <v>0.34137990000000001</v>
      </c>
      <c r="Q83" s="85">
        <v>1.9565589999999999</v>
      </c>
      <c r="R83" s="85">
        <v>1.456839</v>
      </c>
      <c r="S83" s="86" t="s">
        <v>107</v>
      </c>
      <c r="T83" s="86" t="s">
        <v>109</v>
      </c>
      <c r="U83" s="86" t="s">
        <v>89</v>
      </c>
      <c r="V83" s="97">
        <v>48944</v>
      </c>
      <c r="W83" s="86" t="s">
        <v>493</v>
      </c>
      <c r="X83" s="93"/>
      <c r="Y83" s="93"/>
      <c r="Z83" s="93"/>
      <c r="AA83" s="124" t="s">
        <v>871</v>
      </c>
    </row>
    <row r="84" spans="1:27" x14ac:dyDescent="0.3">
      <c r="C84" s="8">
        <v>79</v>
      </c>
      <c r="D84" s="12" t="s">
        <v>873</v>
      </c>
      <c r="E84" s="119" t="s">
        <v>516</v>
      </c>
      <c r="F84" s="12" t="s">
        <v>872</v>
      </c>
      <c r="G84" s="90">
        <v>34.5</v>
      </c>
      <c r="H84" s="93">
        <v>15</v>
      </c>
      <c r="I84" s="93">
        <v>528</v>
      </c>
      <c r="J84" s="93"/>
      <c r="K84" s="93"/>
      <c r="L84" s="93"/>
      <c r="M84" s="85">
        <v>0.1681272</v>
      </c>
      <c r="N84" s="85">
        <v>0.34309719999999999</v>
      </c>
      <c r="O84" s="85">
        <v>4.899959</v>
      </c>
      <c r="P84" s="85">
        <v>0.34137990000000001</v>
      </c>
      <c r="Q84" s="85">
        <v>1.9565589999999999</v>
      </c>
      <c r="R84" s="85">
        <v>1.456839</v>
      </c>
      <c r="S84" s="86" t="s">
        <v>107</v>
      </c>
      <c r="T84" s="86" t="s">
        <v>109</v>
      </c>
      <c r="U84" s="86" t="s">
        <v>89</v>
      </c>
      <c r="V84" s="97">
        <v>49309</v>
      </c>
      <c r="W84" s="86" t="s">
        <v>493</v>
      </c>
      <c r="X84" s="93"/>
      <c r="Y84" s="93"/>
      <c r="Z84" s="93"/>
      <c r="AA84" s="124" t="s">
        <v>893</v>
      </c>
    </row>
    <row r="85" spans="1:27" x14ac:dyDescent="0.3">
      <c r="C85" s="8">
        <v>80</v>
      </c>
      <c r="D85" s="12" t="s">
        <v>891</v>
      </c>
      <c r="E85" s="119" t="s">
        <v>470</v>
      </c>
      <c r="F85" s="12" t="s">
        <v>890</v>
      </c>
      <c r="G85" s="90">
        <v>34.5</v>
      </c>
      <c r="H85" s="93">
        <v>14</v>
      </c>
      <c r="I85" s="93">
        <v>528</v>
      </c>
      <c r="J85" s="93"/>
      <c r="K85" s="93"/>
      <c r="L85" s="93"/>
      <c r="M85" s="85">
        <v>0.1681272</v>
      </c>
      <c r="N85" s="85">
        <v>0.34309719999999999</v>
      </c>
      <c r="O85" s="85">
        <v>4.899959</v>
      </c>
      <c r="P85" s="85">
        <v>0.34137990000000001</v>
      </c>
      <c r="Q85" s="85">
        <v>1.9565589999999999</v>
      </c>
      <c r="R85" s="85">
        <v>1.456839</v>
      </c>
      <c r="S85" s="86" t="s">
        <v>107</v>
      </c>
      <c r="T85" s="86" t="s">
        <v>109</v>
      </c>
      <c r="U85" s="86" t="s">
        <v>89</v>
      </c>
      <c r="V85" s="97">
        <v>47483</v>
      </c>
      <c r="W85" s="86" t="s">
        <v>493</v>
      </c>
      <c r="X85" s="93"/>
      <c r="Y85" s="93"/>
      <c r="Z85" s="93"/>
      <c r="AA85" s="124" t="s">
        <v>892</v>
      </c>
    </row>
    <row r="86" spans="1:27" x14ac:dyDescent="0.3">
      <c r="C86" s="8">
        <v>81</v>
      </c>
      <c r="D86" s="12" t="s">
        <v>897</v>
      </c>
      <c r="E86" s="119" t="s">
        <v>522</v>
      </c>
      <c r="F86" s="12" t="s">
        <v>896</v>
      </c>
      <c r="G86" s="90">
        <v>34.5</v>
      </c>
      <c r="H86" s="93">
        <v>11</v>
      </c>
      <c r="I86" s="93">
        <v>528</v>
      </c>
      <c r="J86" s="93"/>
      <c r="K86" s="93"/>
      <c r="L86" s="93"/>
      <c r="M86" s="121">
        <v>0.1681272</v>
      </c>
      <c r="N86" s="121">
        <v>0.34309719999999999</v>
      </c>
      <c r="O86" s="121">
        <v>4.899959</v>
      </c>
      <c r="P86" s="121">
        <v>0.34137990000000001</v>
      </c>
      <c r="Q86" s="121">
        <v>1.9565589999999999</v>
      </c>
      <c r="R86" s="121">
        <v>1.456839</v>
      </c>
      <c r="S86" s="93" t="s">
        <v>107</v>
      </c>
      <c r="T86" s="93" t="s">
        <v>109</v>
      </c>
      <c r="U86" s="93" t="s">
        <v>89</v>
      </c>
      <c r="V86" s="126">
        <v>48213</v>
      </c>
      <c r="W86" s="93" t="s">
        <v>493</v>
      </c>
      <c r="X86" s="93"/>
      <c r="Y86" s="93"/>
      <c r="Z86" s="93"/>
      <c r="AA86" s="124" t="s">
        <v>900</v>
      </c>
    </row>
    <row r="87" spans="1:27" x14ac:dyDescent="0.3">
      <c r="C87" s="8">
        <v>83</v>
      </c>
      <c r="D87" s="12"/>
      <c r="E87" s="119"/>
      <c r="F87" s="12"/>
      <c r="G87" s="90"/>
      <c r="H87" s="93"/>
      <c r="I87" s="93"/>
      <c r="J87" s="93"/>
      <c r="K87" s="93"/>
      <c r="L87" s="93"/>
      <c r="M87" s="121"/>
      <c r="N87" s="121"/>
      <c r="O87" s="121"/>
      <c r="P87" s="121"/>
      <c r="Q87" s="121"/>
      <c r="R87" s="121"/>
      <c r="S87" s="93"/>
      <c r="T87" s="93"/>
      <c r="U87" s="93"/>
      <c r="V87" s="126"/>
      <c r="W87" s="93"/>
      <c r="X87" s="93"/>
      <c r="Y87" s="93"/>
      <c r="Z87" s="93"/>
      <c r="AA87" s="124"/>
    </row>
    <row r="88" spans="1:27" x14ac:dyDescent="0.3">
      <c r="C88" s="8">
        <v>84</v>
      </c>
      <c r="D88" s="12"/>
      <c r="E88" s="119"/>
      <c r="F88" s="12"/>
      <c r="G88" s="90"/>
      <c r="H88" s="93"/>
      <c r="I88" s="93"/>
      <c r="J88" s="93"/>
      <c r="K88" s="93"/>
      <c r="L88" s="93"/>
      <c r="M88" s="121"/>
      <c r="N88" s="121"/>
      <c r="O88" s="121"/>
      <c r="P88" s="121"/>
      <c r="Q88" s="121"/>
      <c r="R88" s="121"/>
      <c r="S88" s="93"/>
      <c r="T88" s="93"/>
      <c r="U88" s="93"/>
      <c r="V88" s="126"/>
      <c r="W88" s="93"/>
      <c r="X88" s="93"/>
      <c r="Y88" s="93"/>
      <c r="Z88" s="93"/>
      <c r="AA88" s="124"/>
    </row>
    <row r="89" spans="1:27" x14ac:dyDescent="0.3">
      <c r="C89" s="8">
        <v>85</v>
      </c>
      <c r="D89" s="12"/>
      <c r="E89" s="119"/>
      <c r="F89" s="12"/>
      <c r="G89" s="90"/>
      <c r="H89" s="93"/>
      <c r="I89" s="93"/>
      <c r="J89" s="93"/>
      <c r="K89" s="93"/>
      <c r="L89" s="93"/>
      <c r="M89" s="121"/>
      <c r="N89" s="121"/>
      <c r="O89" s="121"/>
      <c r="P89" s="121"/>
      <c r="Q89" s="121"/>
      <c r="R89" s="121"/>
      <c r="S89" s="93"/>
      <c r="T89" s="93"/>
      <c r="U89" s="93"/>
      <c r="V89" s="126"/>
      <c r="W89" s="93"/>
      <c r="X89" s="93"/>
      <c r="Y89" s="93"/>
      <c r="Z89" s="93"/>
      <c r="AA89" s="124"/>
    </row>
    <row r="90" spans="1:27" x14ac:dyDescent="0.3">
      <c r="C90" s="8">
        <v>86</v>
      </c>
      <c r="D90" s="12"/>
      <c r="E90" s="119"/>
      <c r="F90" s="12"/>
      <c r="G90" s="90"/>
      <c r="H90" s="93"/>
      <c r="I90" s="93"/>
      <c r="J90" s="93"/>
      <c r="K90" s="93"/>
      <c r="L90" s="93"/>
      <c r="M90" s="121"/>
      <c r="N90" s="121"/>
      <c r="O90" s="121"/>
      <c r="P90" s="121"/>
      <c r="Q90" s="121"/>
      <c r="R90" s="121"/>
      <c r="S90" s="93"/>
      <c r="T90" s="93"/>
      <c r="U90" s="93"/>
      <c r="V90" s="126"/>
      <c r="W90" s="93"/>
      <c r="X90" s="93"/>
      <c r="Y90" s="93"/>
      <c r="Z90" s="93"/>
      <c r="AA90" s="124"/>
    </row>
    <row r="91" spans="1:27" ht="15" thickBot="1" x14ac:dyDescent="0.35">
      <c r="A91" s="3" t="e">
        <f>VLOOKUP(E91,'[2]Listas Desplegables'!$H$3:$J$7,2,FALSE)</f>
        <v>#N/A</v>
      </c>
      <c r="B91" s="3" t="e">
        <f>VLOOKUP(E91,'[2]Listas Desplegables'!$H$3:$J$7,3,FALSE)</f>
        <v>#N/A</v>
      </c>
      <c r="C91" s="13" t="s">
        <v>4</v>
      </c>
      <c r="D91" s="14"/>
      <c r="E91" s="14"/>
      <c r="F91" s="14"/>
      <c r="G91" s="14"/>
      <c r="H91" s="15"/>
      <c r="I91" s="15"/>
      <c r="J91" s="92"/>
      <c r="K91" s="92"/>
      <c r="L91" s="92"/>
      <c r="M91" s="92"/>
      <c r="N91" s="92"/>
      <c r="O91" s="92"/>
      <c r="P91" s="92"/>
      <c r="Q91" s="92"/>
      <c r="R91" s="92"/>
      <c r="S91" s="92"/>
      <c r="T91" s="92"/>
      <c r="U91" s="92"/>
      <c r="V91" s="127"/>
      <c r="W91" s="92"/>
      <c r="X91" s="92"/>
      <c r="Y91" s="92"/>
      <c r="Z91" s="92"/>
      <c r="AA91" s="128"/>
    </row>
  </sheetData>
  <mergeCells count="26">
    <mergeCell ref="X4:X5"/>
    <mergeCell ref="Z4:Z5"/>
    <mergeCell ref="Y4:Y5"/>
    <mergeCell ref="C4:C5"/>
    <mergeCell ref="D4:D5"/>
    <mergeCell ref="T4:T5"/>
    <mergeCell ref="U4:U5"/>
    <mergeCell ref="E4:E5"/>
    <mergeCell ref="F4:F5"/>
    <mergeCell ref="G4:G5"/>
    <mergeCell ref="C3:AA3"/>
    <mergeCell ref="H4:H5"/>
    <mergeCell ref="K4:K5"/>
    <mergeCell ref="L4:L5"/>
    <mergeCell ref="J4:J5"/>
    <mergeCell ref="I4:I5"/>
    <mergeCell ref="M4:M5"/>
    <mergeCell ref="N4:N5"/>
    <mergeCell ref="O4:O5"/>
    <mergeCell ref="P4:P5"/>
    <mergeCell ref="Q4:Q5"/>
    <mergeCell ref="R4:R5"/>
    <mergeCell ref="V4:V5"/>
    <mergeCell ref="AA4:AA5"/>
    <mergeCell ref="W4:W5"/>
    <mergeCell ref="S4:S5"/>
  </mergeCells>
  <dataValidations count="4">
    <dataValidation type="decimal" showInputMessage="1" showErrorMessage="1" sqref="M1:R3 G1:K3 P96:U96 P97:R1048576 G6:K1048576 M6:O1048576 P6:R95" xr:uid="{00000000-0002-0000-0100-000000000000}">
      <formula1>-100000000000000</formula1>
      <formula2>10000000000</formula2>
    </dataValidation>
    <dataValidation type="date" operator="greaterThan" allowBlank="1" showInputMessage="1" showErrorMessage="1" sqref="V1:V3 V6:V1048576" xr:uid="{00000000-0002-0000-0100-000001000000}">
      <formula1>1</formula1>
    </dataValidation>
    <dataValidation type="list" allowBlank="1" showInputMessage="1" showErrorMessage="1" sqref="T6:T91" xr:uid="{00000000-0002-0000-0100-000002000000}">
      <formula1>TProyecto</formula1>
    </dataValidation>
    <dataValidation type="list" allowBlank="1" showInputMessage="1" showErrorMessage="1" sqref="U6:U91" xr:uid="{00000000-0002-0000-0100-000003000000}">
      <formula1>Recurso</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4000000}">
          <x14:formula1>
            <xm:f>'C:\Users\aacosta\Downloads\[Circular_002_Anexo.xlsx]Listas Desplegables'!#REF!</xm:f>
          </x14:formula1>
          <xm:sqref>F92:F96 F331:F1048576</xm:sqref>
        </x14:dataValidation>
        <x14:dataValidation type="list" allowBlank="1" showInputMessage="1" showErrorMessage="1" xr:uid="{00000000-0002-0000-0100-000005000000}">
          <x14:formula1>
            <xm:f>'Listas Desplegables'!$B$4:$B$6</xm:f>
          </x14:formula1>
          <xm:sqref>S6:S91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9"/>
  </sheetPr>
  <dimension ref="A2:AH55"/>
  <sheetViews>
    <sheetView workbookViewId="0">
      <selection activeCell="H31" sqref="H31"/>
    </sheetView>
    <sheetView topLeftCell="A3" workbookViewId="1"/>
  </sheetViews>
  <sheetFormatPr baseColWidth="10" defaultColWidth="11.5546875" defaultRowHeight="14.4" x14ac:dyDescent="0.3"/>
  <cols>
    <col min="1" max="2" width="3" style="3" customWidth="1"/>
    <col min="3" max="3" width="6.6640625" style="2" customWidth="1"/>
    <col min="4" max="4" width="33" customWidth="1"/>
    <col min="5" max="5" width="14.5546875" customWidth="1"/>
    <col min="6" max="8" width="12.6640625" customWidth="1"/>
    <col min="11" max="11" width="11.44140625" customWidth="1"/>
    <col min="13" max="13" width="14.88671875" customWidth="1"/>
    <col min="14" max="14" width="29.109375" bestFit="1" customWidth="1"/>
    <col min="15" max="15" width="29.44140625" bestFit="1" customWidth="1"/>
    <col min="16" max="16" width="29.88671875" bestFit="1" customWidth="1"/>
    <col min="17" max="18" width="14.88671875" customWidth="1"/>
    <col min="19" max="19" width="11.44140625" customWidth="1"/>
    <col min="26" max="26" width="11.5546875" style="55"/>
    <col min="28" max="28" width="18.33203125" bestFit="1" customWidth="1"/>
    <col min="29" max="29" width="17.6640625" bestFit="1" customWidth="1"/>
    <col min="30" max="30" width="17.88671875" bestFit="1" customWidth="1"/>
    <col min="31" max="33" width="16.5546875" customWidth="1"/>
    <col min="34" max="34" width="33" customWidth="1"/>
  </cols>
  <sheetData>
    <row r="2" spans="1:34" ht="15" thickBot="1" x14ac:dyDescent="0.35"/>
    <row r="3" spans="1:34" s="1" customFormat="1" ht="15" thickBot="1" x14ac:dyDescent="0.35">
      <c r="A3" s="4"/>
      <c r="B3" s="4"/>
      <c r="C3" s="169" t="s">
        <v>33</v>
      </c>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1"/>
    </row>
    <row r="4" spans="1:34" s="6" customFormat="1" ht="12" customHeight="1" thickBot="1" x14ac:dyDescent="0.35">
      <c r="A4" s="5"/>
      <c r="B4" s="5"/>
      <c r="C4" s="174" t="s">
        <v>3</v>
      </c>
      <c r="D4" s="172" t="str">
        <f>'Manual de Uso'!C53</f>
        <v>Nombre</v>
      </c>
      <c r="E4" s="172" t="str">
        <f>'Manual de Uso'!C54</f>
        <v>Subestación</v>
      </c>
      <c r="F4" s="172" t="str">
        <f>'Manual de Uso'!C55</f>
        <v>Nivel de tensión HV [kV]</v>
      </c>
      <c r="G4" s="172" t="str">
        <f>'Manual de Uso'!C56</f>
        <v>Nivel de tensión MV [kV]</v>
      </c>
      <c r="H4" s="172" t="str">
        <f>'Manual de Uso'!C57</f>
        <v>Nivel de tensión LV [kV]</v>
      </c>
      <c r="I4" s="172" t="str">
        <f>'Manual de Uso'!C58</f>
        <v>Capacidad HV [MVA]</v>
      </c>
      <c r="J4" s="172" t="str">
        <f>'Manual de Uso'!C59</f>
        <v>Capacidad MV [MVA]</v>
      </c>
      <c r="K4" s="172" t="str">
        <f>'Manual de Uso'!C60</f>
        <v>Capacidad LV [MVA]</v>
      </c>
      <c r="L4" s="172" t="str">
        <f>'Manual de Uso'!C61</f>
        <v>Grupo de conexión</v>
      </c>
      <c r="M4" s="172" t="str">
        <f>'Manual de Uso'!C62</f>
        <v>Impedancia HV-MV Secuencia +[%]</v>
      </c>
      <c r="N4" s="172" t="str">
        <f>'Manual de Uso'!C63</f>
        <v>Impedancia HV-LV Secuencia +[%]</v>
      </c>
      <c r="O4" s="172" t="str">
        <f>'Manual de Uso'!C64</f>
        <v>Impedancia MV-LV Secuencia +[%]</v>
      </c>
      <c r="P4" s="172" t="str">
        <f>'Manual de Uso'!C65</f>
        <v>Impedancia HV-MV Secuencia 0[%]</v>
      </c>
      <c r="Q4" s="172" t="str">
        <f>'Manual de Uso'!C66</f>
        <v>Impedancia HV-LV Secuencia 0[%]</v>
      </c>
      <c r="R4" s="172" t="str">
        <f>'Manual de Uso'!C67</f>
        <v>Impedancia MV-LV Secuencia 0[%]</v>
      </c>
      <c r="S4" s="172" t="str">
        <f>'Manual de Uso'!C68</f>
        <v>Posición Neutral Tap</v>
      </c>
      <c r="T4" s="172" t="str">
        <f>'Manual de Uso'!C69</f>
        <v>Posición Máxima Tap</v>
      </c>
      <c r="U4" s="172" t="str">
        <f>'Manual de Uso'!C70</f>
        <v>Posición Mínima Tap</v>
      </c>
      <c r="V4" s="172" t="str">
        <f>'Manual de Uso'!C71</f>
        <v>Delta Tap [%]</v>
      </c>
      <c r="W4" s="176" t="str">
        <f>'Manual de Uso'!C72</f>
        <v>Sobrecarga en emergencia</v>
      </c>
      <c r="X4" s="177"/>
      <c r="Y4" s="172" t="str">
        <f>'Manual de Uso'!C73</f>
        <v>En Operación</v>
      </c>
      <c r="Z4" s="178" t="str">
        <f>'Manual de Uso'!C74</f>
        <v>FPO</v>
      </c>
      <c r="AA4" s="178" t="str">
        <f>'Manual de Uso'!C75</f>
        <v>Sistema</v>
      </c>
      <c r="AB4" s="172" t="str">
        <f>'Manual de Uso'!C76</f>
        <v>Pérdidas Cu HV-MV [kW]</v>
      </c>
      <c r="AC4" s="178" t="str">
        <f>'Manual de Uso'!C77</f>
        <v>Pérdidas Cu HV-LV [kW]</v>
      </c>
      <c r="AD4" s="178" t="str">
        <f>'Manual de Uso'!C78</f>
        <v>Pérdidas Cu MV-LV [kW]</v>
      </c>
      <c r="AE4" s="178" t="str">
        <f>'Manual de Uso'!C79</f>
        <v>Tiempo medio de reparación por evento [h]</v>
      </c>
      <c r="AF4" s="178" t="str">
        <f>'Manual de Uso'!C80</f>
        <v>Horas anuales de indisponibilidad [h]</v>
      </c>
      <c r="AG4" s="178" t="str">
        <f>'Manual de Uso'!C81</f>
        <v>Eventos anuales de indisponibilidad</v>
      </c>
      <c r="AH4" s="178" t="str">
        <f>'Manual de Uso'!C82</f>
        <v>Observaciones transportador</v>
      </c>
    </row>
    <row r="5" spans="1:34" s="6" customFormat="1" ht="51" customHeight="1" thickBot="1" x14ac:dyDescent="0.35">
      <c r="A5" s="5"/>
      <c r="B5" s="5"/>
      <c r="C5" s="175"/>
      <c r="D5" s="173"/>
      <c r="E5" s="173"/>
      <c r="F5" s="173"/>
      <c r="G5" s="173"/>
      <c r="H5" s="173"/>
      <c r="I5" s="173"/>
      <c r="J5" s="173"/>
      <c r="K5" s="173"/>
      <c r="L5" s="173"/>
      <c r="M5" s="173"/>
      <c r="N5" s="173"/>
      <c r="O5" s="173"/>
      <c r="P5" s="173"/>
      <c r="Q5" s="173"/>
      <c r="R5" s="173"/>
      <c r="S5" s="173"/>
      <c r="T5" s="173"/>
      <c r="U5" s="173"/>
      <c r="V5" s="173"/>
      <c r="W5" s="27" t="s">
        <v>44</v>
      </c>
      <c r="X5" s="27" t="s">
        <v>45</v>
      </c>
      <c r="Y5" s="173"/>
      <c r="Z5" s="179"/>
      <c r="AA5" s="179"/>
      <c r="AB5" s="173"/>
      <c r="AC5" s="179"/>
      <c r="AD5" s="179"/>
      <c r="AE5" s="179"/>
      <c r="AF5" s="179"/>
      <c r="AG5" s="179"/>
      <c r="AH5" s="179"/>
    </row>
    <row r="6" spans="1:34" x14ac:dyDescent="0.3">
      <c r="A6" s="3" t="e">
        <f>VLOOKUP(E6,'[2]Listas Desplegables'!$H$3:$J$7,2,FALSE)</f>
        <v>#N/A</v>
      </c>
      <c r="B6" s="3" t="e">
        <f>VLOOKUP(E6,'[2]Listas Desplegables'!$H$3:$J$7,3,FALSE)</f>
        <v>#N/A</v>
      </c>
      <c r="C6" s="21">
        <v>1</v>
      </c>
      <c r="D6" s="82" t="s">
        <v>300</v>
      </c>
      <c r="E6" s="82" t="s">
        <v>294</v>
      </c>
      <c r="F6" s="82">
        <v>230</v>
      </c>
      <c r="G6" s="82">
        <v>115</v>
      </c>
      <c r="H6" s="87">
        <v>13.8</v>
      </c>
      <c r="I6" s="87">
        <v>150</v>
      </c>
      <c r="J6" s="87">
        <v>150</v>
      </c>
      <c r="K6" s="87">
        <v>25</v>
      </c>
      <c r="L6" s="87" t="s">
        <v>299</v>
      </c>
      <c r="M6" s="88">
        <v>15.35</v>
      </c>
      <c r="N6" s="88">
        <v>5.88</v>
      </c>
      <c r="O6" s="88">
        <v>3.03</v>
      </c>
      <c r="P6" s="88">
        <v>15.35</v>
      </c>
      <c r="Q6" s="88">
        <v>3.0320999999999998</v>
      </c>
      <c r="R6" s="88">
        <v>5.88</v>
      </c>
      <c r="S6" s="87">
        <v>9</v>
      </c>
      <c r="T6" s="87">
        <v>17</v>
      </c>
      <c r="U6" s="87">
        <v>1</v>
      </c>
      <c r="V6" s="87">
        <v>1.25</v>
      </c>
      <c r="W6" s="102"/>
      <c r="X6" s="87"/>
      <c r="Y6" s="87" t="s">
        <v>114</v>
      </c>
      <c r="Z6" s="105"/>
      <c r="AA6" s="87" t="s">
        <v>106</v>
      </c>
      <c r="AB6" s="84">
        <v>480</v>
      </c>
      <c r="AC6" s="84">
        <v>24.9</v>
      </c>
      <c r="AD6" s="84">
        <v>54.79</v>
      </c>
      <c r="AE6" s="87"/>
      <c r="AF6" s="87"/>
      <c r="AG6" s="87"/>
      <c r="AH6" s="106" t="s">
        <v>547</v>
      </c>
    </row>
    <row r="7" spans="1:34" x14ac:dyDescent="0.3">
      <c r="A7" s="3" t="e">
        <f>VLOOKUP(E7,'[2]Listas Desplegables'!$H$3:$J$7,2,FALSE)</f>
        <v>#N/A</v>
      </c>
      <c r="B7" s="3" t="e">
        <f>VLOOKUP(E7,'[2]Listas Desplegables'!$H$3:$J$7,3,FALSE)</f>
        <v>#N/A</v>
      </c>
      <c r="C7" s="8">
        <v>2</v>
      </c>
      <c r="D7" s="83" t="s">
        <v>301</v>
      </c>
      <c r="E7" s="83" t="s">
        <v>291</v>
      </c>
      <c r="F7" s="83">
        <v>220</v>
      </c>
      <c r="G7" s="83">
        <v>115</v>
      </c>
      <c r="H7" s="86">
        <v>13.8</v>
      </c>
      <c r="I7" s="86">
        <v>90</v>
      </c>
      <c r="J7" s="86">
        <v>90</v>
      </c>
      <c r="K7" s="86">
        <v>30</v>
      </c>
      <c r="L7" s="86" t="s">
        <v>299</v>
      </c>
      <c r="M7" s="89">
        <v>8.6999999999999993</v>
      </c>
      <c r="N7" s="89">
        <v>7</v>
      </c>
      <c r="O7" s="89" t="s">
        <v>907</v>
      </c>
      <c r="P7" s="89">
        <v>8.6999999999999993</v>
      </c>
      <c r="Q7" s="89">
        <v>7</v>
      </c>
      <c r="R7" s="89" t="s">
        <v>907</v>
      </c>
      <c r="S7" s="86">
        <v>9</v>
      </c>
      <c r="T7" s="86">
        <v>21</v>
      </c>
      <c r="U7" s="86">
        <v>1</v>
      </c>
      <c r="V7" s="86">
        <v>1.25</v>
      </c>
      <c r="W7" s="101"/>
      <c r="X7" s="86"/>
      <c r="Y7" s="86" t="s">
        <v>114</v>
      </c>
      <c r="Z7" s="97"/>
      <c r="AA7" s="86" t="s">
        <v>106</v>
      </c>
      <c r="AB7" s="85" t="s">
        <v>905</v>
      </c>
      <c r="AC7" s="85">
        <v>202</v>
      </c>
      <c r="AD7" s="123" t="s">
        <v>906</v>
      </c>
      <c r="AE7" s="86"/>
      <c r="AF7" s="86"/>
      <c r="AG7" s="86"/>
      <c r="AH7" s="107" t="s">
        <v>547</v>
      </c>
    </row>
    <row r="8" spans="1:34" x14ac:dyDescent="0.3">
      <c r="A8" s="3" t="e">
        <f>VLOOKUP(E8,'[2]Listas Desplegables'!$H$3:$J$7,2,FALSE)</f>
        <v>#N/A</v>
      </c>
      <c r="B8" s="3" t="e">
        <f>VLOOKUP(E8,'[2]Listas Desplegables'!$H$3:$J$7,3,FALSE)</f>
        <v>#N/A</v>
      </c>
      <c r="C8" s="8">
        <v>3</v>
      </c>
      <c r="D8" s="83" t="s">
        <v>302</v>
      </c>
      <c r="E8" s="83" t="s">
        <v>291</v>
      </c>
      <c r="F8" s="83">
        <v>220</v>
      </c>
      <c r="G8" s="83">
        <v>115</v>
      </c>
      <c r="H8" s="86">
        <v>13.8</v>
      </c>
      <c r="I8" s="86">
        <v>90</v>
      </c>
      <c r="J8" s="86">
        <v>90</v>
      </c>
      <c r="K8" s="86">
        <v>30</v>
      </c>
      <c r="L8" s="86" t="s">
        <v>299</v>
      </c>
      <c r="M8" s="89">
        <v>8.6999999999999993</v>
      </c>
      <c r="N8" s="89">
        <v>7</v>
      </c>
      <c r="O8" s="89" t="s">
        <v>907</v>
      </c>
      <c r="P8" s="89">
        <v>8.6999999999999993</v>
      </c>
      <c r="Q8" s="89">
        <v>7</v>
      </c>
      <c r="R8" s="89" t="s">
        <v>907</v>
      </c>
      <c r="S8" s="86">
        <v>9</v>
      </c>
      <c r="T8" s="86">
        <v>21</v>
      </c>
      <c r="U8" s="86">
        <v>1</v>
      </c>
      <c r="V8" s="86">
        <v>1.25</v>
      </c>
      <c r="W8" s="101"/>
      <c r="X8" s="86"/>
      <c r="Y8" s="86" t="s">
        <v>114</v>
      </c>
      <c r="Z8" s="97"/>
      <c r="AA8" s="86" t="s">
        <v>106</v>
      </c>
      <c r="AB8" s="85" t="s">
        <v>905</v>
      </c>
      <c r="AC8" s="85">
        <v>202</v>
      </c>
      <c r="AD8" s="123" t="s">
        <v>906</v>
      </c>
      <c r="AE8" s="86">
        <v>3.5211111110984348</v>
      </c>
      <c r="AF8" s="86">
        <v>10.563333333295304</v>
      </c>
      <c r="AG8" s="86">
        <v>3</v>
      </c>
      <c r="AH8" s="107"/>
    </row>
    <row r="9" spans="1:34" x14ac:dyDescent="0.3">
      <c r="A9" s="3" t="e">
        <f>VLOOKUP(E9,'[2]Listas Desplegables'!$H$3:$J$7,2,FALSE)</f>
        <v>#N/A</v>
      </c>
      <c r="B9" s="3" t="e">
        <f>VLOOKUP(E9,'[2]Listas Desplegables'!$H$3:$J$7,3,FALSE)</f>
        <v>#N/A</v>
      </c>
      <c r="C9" s="8">
        <v>4</v>
      </c>
      <c r="D9" s="83" t="s">
        <v>904</v>
      </c>
      <c r="E9" s="83" t="s">
        <v>291</v>
      </c>
      <c r="F9" s="83">
        <v>220</v>
      </c>
      <c r="G9" s="83">
        <v>115</v>
      </c>
      <c r="H9" s="86">
        <v>13.8</v>
      </c>
      <c r="I9" s="86">
        <v>90</v>
      </c>
      <c r="J9" s="86">
        <v>90</v>
      </c>
      <c r="K9" s="86">
        <v>30</v>
      </c>
      <c r="L9" s="86" t="s">
        <v>299</v>
      </c>
      <c r="M9" s="86">
        <v>8.6999999999999993</v>
      </c>
      <c r="N9" s="86">
        <v>9.1999999999999993</v>
      </c>
      <c r="O9" s="86">
        <v>6.1</v>
      </c>
      <c r="P9" s="86">
        <v>8.6999999999999993</v>
      </c>
      <c r="Q9" s="86">
        <v>9.1999999999999993</v>
      </c>
      <c r="R9" s="86">
        <v>6.1</v>
      </c>
      <c r="S9" s="86">
        <v>9</v>
      </c>
      <c r="T9" s="86">
        <v>21</v>
      </c>
      <c r="U9" s="86">
        <v>1</v>
      </c>
      <c r="V9" s="86">
        <v>1.25</v>
      </c>
      <c r="W9" s="86"/>
      <c r="X9" s="86"/>
      <c r="Y9" s="86" t="s">
        <v>114</v>
      </c>
      <c r="Z9" s="97"/>
      <c r="AA9" s="86" t="s">
        <v>106</v>
      </c>
      <c r="AB9" s="86">
        <v>183</v>
      </c>
      <c r="AC9" s="86">
        <v>58.4</v>
      </c>
      <c r="AD9" s="86">
        <v>59</v>
      </c>
      <c r="AE9" s="86">
        <v>2.3372222221805714</v>
      </c>
      <c r="AF9" s="86">
        <v>2.3372222221805714</v>
      </c>
      <c r="AG9" s="86">
        <v>1</v>
      </c>
      <c r="AH9" s="107"/>
    </row>
    <row r="10" spans="1:34" x14ac:dyDescent="0.3">
      <c r="A10" s="3" t="e">
        <f>VLOOKUP(E10,'[2]Listas Desplegables'!$H$3:$J$7,2,FALSE)</f>
        <v>#N/A</v>
      </c>
      <c r="B10" s="3" t="e">
        <f>VLOOKUP(E10,'[2]Listas Desplegables'!$H$3:$J$7,3,FALSE)</f>
        <v>#N/A</v>
      </c>
      <c r="C10" s="8">
        <v>5</v>
      </c>
      <c r="D10" s="83" t="s">
        <v>298</v>
      </c>
      <c r="E10" s="83" t="s">
        <v>288</v>
      </c>
      <c r="F10" s="83">
        <v>230</v>
      </c>
      <c r="G10" s="83">
        <v>115</v>
      </c>
      <c r="H10" s="86">
        <v>13.8</v>
      </c>
      <c r="I10" s="86">
        <v>150</v>
      </c>
      <c r="J10" s="86">
        <v>150</v>
      </c>
      <c r="K10" s="86">
        <v>50</v>
      </c>
      <c r="L10" s="86" t="s">
        <v>299</v>
      </c>
      <c r="M10" s="86">
        <v>16.010000000000002</v>
      </c>
      <c r="N10" s="86">
        <v>6.4</v>
      </c>
      <c r="O10" s="86">
        <v>3.4</v>
      </c>
      <c r="P10" s="86">
        <v>16.010000000000002</v>
      </c>
      <c r="Q10" s="86">
        <v>6.4</v>
      </c>
      <c r="R10" s="86">
        <v>3.4</v>
      </c>
      <c r="S10" s="86">
        <v>13</v>
      </c>
      <c r="T10" s="86">
        <v>27</v>
      </c>
      <c r="U10" s="86">
        <v>1</v>
      </c>
      <c r="V10" s="86">
        <v>1.25</v>
      </c>
      <c r="W10" s="86"/>
      <c r="X10" s="86"/>
      <c r="Y10" s="86" t="s">
        <v>114</v>
      </c>
      <c r="Z10" s="97"/>
      <c r="AA10" s="86" t="s">
        <v>106</v>
      </c>
      <c r="AB10" s="86">
        <v>337.1</v>
      </c>
      <c r="AC10" s="86">
        <v>162.4</v>
      </c>
      <c r="AD10" s="86">
        <v>15</v>
      </c>
      <c r="AE10" s="86">
        <v>3.881018518586643</v>
      </c>
      <c r="AF10" s="86">
        <v>11.643055555759929</v>
      </c>
      <c r="AG10" s="86">
        <v>3</v>
      </c>
      <c r="AH10" s="107"/>
    </row>
    <row r="11" spans="1:34" x14ac:dyDescent="0.3">
      <c r="A11" s="3" t="e">
        <f>VLOOKUP(E11,'[2]Listas Desplegables'!$H$3:$J$7,2,FALSE)</f>
        <v>#N/A</v>
      </c>
      <c r="B11" s="3" t="e">
        <f>VLOOKUP(E11,'[2]Listas Desplegables'!$H$3:$J$7,3,FALSE)</f>
        <v>#N/A</v>
      </c>
      <c r="C11" s="8">
        <v>6</v>
      </c>
      <c r="D11" s="83" t="s">
        <v>303</v>
      </c>
      <c r="E11" s="83" t="s">
        <v>294</v>
      </c>
      <c r="F11" s="83">
        <v>230</v>
      </c>
      <c r="G11" s="83">
        <v>115</v>
      </c>
      <c r="H11" s="86">
        <v>13.8</v>
      </c>
      <c r="I11" s="86">
        <v>150</v>
      </c>
      <c r="J11" s="86">
        <v>150</v>
      </c>
      <c r="K11" s="86">
        <v>25</v>
      </c>
      <c r="L11" s="86" t="s">
        <v>299</v>
      </c>
      <c r="M11" s="86">
        <v>16</v>
      </c>
      <c r="N11" s="86">
        <v>6.1</v>
      </c>
      <c r="O11" s="86">
        <v>3</v>
      </c>
      <c r="P11" s="86">
        <v>16</v>
      </c>
      <c r="Q11" s="86">
        <v>6.1</v>
      </c>
      <c r="R11" s="86">
        <v>3</v>
      </c>
      <c r="S11" s="86">
        <v>9</v>
      </c>
      <c r="T11" s="86">
        <v>17</v>
      </c>
      <c r="U11" s="86">
        <v>1</v>
      </c>
      <c r="V11" s="86">
        <v>1.25</v>
      </c>
      <c r="W11" s="86"/>
      <c r="X11" s="86"/>
      <c r="Y11" s="86" t="s">
        <v>114</v>
      </c>
      <c r="Z11" s="97"/>
      <c r="AA11" s="86" t="s">
        <v>106</v>
      </c>
      <c r="AB11" s="86">
        <v>162.4</v>
      </c>
      <c r="AC11" s="86">
        <v>15</v>
      </c>
      <c r="AD11" s="86">
        <v>15</v>
      </c>
      <c r="AE11" s="86">
        <v>32.354722222255077</v>
      </c>
      <c r="AF11" s="86">
        <v>32.354722222255077</v>
      </c>
      <c r="AG11" s="86">
        <v>1</v>
      </c>
      <c r="AH11" s="107"/>
    </row>
    <row r="12" spans="1:34" x14ac:dyDescent="0.3">
      <c r="A12" s="3" t="e">
        <f>VLOOKUP(E14,'[2]Listas Desplegables'!$H$3:$J$7,2,FALSE)</f>
        <v>#N/A</v>
      </c>
      <c r="B12" s="3" t="e">
        <f>VLOOKUP(E14,'[2]Listas Desplegables'!$H$3:$J$7,3,FALSE)</f>
        <v>#N/A</v>
      </c>
      <c r="C12" s="8">
        <v>7</v>
      </c>
      <c r="D12" s="83" t="s">
        <v>548</v>
      </c>
      <c r="E12" s="83" t="s">
        <v>304</v>
      </c>
      <c r="F12" s="83">
        <v>220</v>
      </c>
      <c r="G12" s="83">
        <v>34.5</v>
      </c>
      <c r="H12" s="86">
        <v>13.8</v>
      </c>
      <c r="I12" s="86">
        <v>50</v>
      </c>
      <c r="J12" s="86">
        <v>50</v>
      </c>
      <c r="K12" s="86">
        <v>16.600000000000001</v>
      </c>
      <c r="L12" s="86" t="s">
        <v>299</v>
      </c>
      <c r="M12" s="86">
        <v>17.100000000000001</v>
      </c>
      <c r="N12" s="86">
        <v>9.1850000000000005</v>
      </c>
      <c r="O12" s="86">
        <v>3.7410000000000001</v>
      </c>
      <c r="P12" s="86">
        <v>17.100000000000001</v>
      </c>
      <c r="Q12" s="86">
        <v>9.1850000000000005</v>
      </c>
      <c r="R12" s="86">
        <v>3.7410000000000001</v>
      </c>
      <c r="S12" s="86">
        <v>9</v>
      </c>
      <c r="T12" s="86">
        <v>21</v>
      </c>
      <c r="U12" s="86">
        <v>1</v>
      </c>
      <c r="V12" s="86">
        <v>1.012</v>
      </c>
      <c r="W12" s="86"/>
      <c r="X12" s="86"/>
      <c r="Y12" s="86" t="s">
        <v>114</v>
      </c>
      <c r="Z12" s="97"/>
      <c r="AA12" s="86" t="s">
        <v>105</v>
      </c>
      <c r="AB12" s="86">
        <v>206.4</v>
      </c>
      <c r="AC12" s="86">
        <v>0</v>
      </c>
      <c r="AD12" s="86">
        <v>0</v>
      </c>
      <c r="AE12" s="86"/>
      <c r="AF12" s="86"/>
      <c r="AG12" s="86"/>
      <c r="AH12" s="107" t="s">
        <v>547</v>
      </c>
    </row>
    <row r="13" spans="1:34" x14ac:dyDescent="0.3">
      <c r="A13" s="3" t="e">
        <f>VLOOKUP(E15,'[2]Listas Desplegables'!$H$3:$J$7,2,FALSE)</f>
        <v>#N/A</v>
      </c>
      <c r="B13" s="3" t="e">
        <f>VLOOKUP(E15,'[2]Listas Desplegables'!$H$3:$J$7,3,FALSE)</f>
        <v>#N/A</v>
      </c>
      <c r="C13" s="8">
        <v>8</v>
      </c>
      <c r="D13" s="83" t="s">
        <v>549</v>
      </c>
      <c r="E13" s="83" t="s">
        <v>550</v>
      </c>
      <c r="F13" s="83">
        <v>220</v>
      </c>
      <c r="G13" s="83">
        <v>34.5</v>
      </c>
      <c r="H13" s="86">
        <v>13.8</v>
      </c>
      <c r="I13" s="86">
        <v>50</v>
      </c>
      <c r="J13" s="86">
        <v>50</v>
      </c>
      <c r="K13" s="86">
        <v>16.600000000000001</v>
      </c>
      <c r="L13" s="86" t="s">
        <v>551</v>
      </c>
      <c r="M13" s="86">
        <v>17</v>
      </c>
      <c r="N13" s="86">
        <v>10.468999999999999</v>
      </c>
      <c r="O13" s="86">
        <v>3.8119999999999998</v>
      </c>
      <c r="P13" s="86">
        <v>17</v>
      </c>
      <c r="Q13" s="86">
        <v>10.468999999999999</v>
      </c>
      <c r="R13" s="86">
        <v>3.8119999999999998</v>
      </c>
      <c r="S13" s="86">
        <v>9</v>
      </c>
      <c r="T13" s="86">
        <v>21</v>
      </c>
      <c r="U13" s="86">
        <v>1</v>
      </c>
      <c r="V13" s="86">
        <v>1.012</v>
      </c>
      <c r="W13" s="86"/>
      <c r="X13" s="86"/>
      <c r="Y13" s="86" t="s">
        <v>114</v>
      </c>
      <c r="Z13" s="97"/>
      <c r="AA13" s="86" t="s">
        <v>105</v>
      </c>
      <c r="AB13" s="86">
        <v>206.4</v>
      </c>
      <c r="AC13" s="86">
        <v>50</v>
      </c>
      <c r="AD13" s="86">
        <v>0</v>
      </c>
      <c r="AE13" s="86"/>
      <c r="AF13" s="86"/>
      <c r="AG13" s="86"/>
      <c r="AH13" s="107" t="s">
        <v>547</v>
      </c>
    </row>
    <row r="14" spans="1:34" x14ac:dyDescent="0.3">
      <c r="A14" s="3" t="e">
        <f>VLOOKUP(#REF!,'[2]Listas Desplegables'!$H$3:$J$7,2,FALSE)</f>
        <v>#REF!</v>
      </c>
      <c r="B14" s="3" t="e">
        <f>VLOOKUP(#REF!,'[2]Listas Desplegables'!$H$3:$J$7,3,FALSE)</f>
        <v>#REF!</v>
      </c>
      <c r="C14" s="8">
        <v>9</v>
      </c>
      <c r="D14" s="83"/>
      <c r="E14" s="83"/>
      <c r="F14" s="83"/>
      <c r="G14" s="83"/>
      <c r="H14" s="86"/>
      <c r="I14" s="86"/>
      <c r="J14" s="86"/>
      <c r="K14" s="86"/>
      <c r="L14" s="86"/>
      <c r="M14" s="86"/>
      <c r="N14" s="86"/>
      <c r="O14" s="86"/>
      <c r="P14" s="86"/>
      <c r="Q14" s="86"/>
      <c r="R14" s="86"/>
      <c r="S14" s="86"/>
      <c r="T14" s="86"/>
      <c r="U14" s="86"/>
      <c r="V14" s="86"/>
      <c r="W14" s="86"/>
      <c r="X14" s="86"/>
      <c r="Y14" s="86"/>
      <c r="Z14" s="97"/>
      <c r="AA14" s="86"/>
      <c r="AB14" s="86"/>
      <c r="AC14" s="86"/>
      <c r="AD14" s="86"/>
      <c r="AE14" s="86"/>
      <c r="AF14" s="86"/>
      <c r="AG14" s="86"/>
      <c r="AH14" s="107"/>
    </row>
    <row r="15" spans="1:34" x14ac:dyDescent="0.3">
      <c r="A15" s="3" t="e">
        <f>VLOOKUP(#REF!,'[2]Listas Desplegables'!$H$3:$J$7,2,FALSE)</f>
        <v>#REF!</v>
      </c>
      <c r="B15" s="3" t="e">
        <f>VLOOKUP(#REF!,'[2]Listas Desplegables'!$H$3:$J$7,3,FALSE)</f>
        <v>#REF!</v>
      </c>
      <c r="C15" s="8">
        <v>10</v>
      </c>
      <c r="D15" s="83"/>
      <c r="E15" s="83"/>
      <c r="F15" s="83"/>
      <c r="G15" s="83"/>
      <c r="H15" s="86"/>
      <c r="I15" s="86"/>
      <c r="J15" s="86"/>
      <c r="K15" s="86"/>
      <c r="L15" s="86"/>
      <c r="M15" s="86"/>
      <c r="N15" s="86"/>
      <c r="O15" s="86"/>
      <c r="P15" s="86"/>
      <c r="Q15" s="86"/>
      <c r="R15" s="86"/>
      <c r="S15" s="86"/>
      <c r="T15" s="86"/>
      <c r="U15" s="86"/>
      <c r="V15" s="86"/>
      <c r="W15" s="86"/>
      <c r="X15" s="86"/>
      <c r="Y15" s="86"/>
      <c r="Z15" s="97"/>
      <c r="AA15" s="86"/>
      <c r="AB15" s="86"/>
      <c r="AC15" s="86"/>
      <c r="AD15" s="86"/>
      <c r="AE15" s="86"/>
      <c r="AF15" s="86"/>
      <c r="AG15" s="86"/>
      <c r="AH15" s="107"/>
    </row>
    <row r="16" spans="1:34" x14ac:dyDescent="0.3">
      <c r="A16" s="3" t="e">
        <f>VLOOKUP(E16,'[2]Listas Desplegables'!$H$3:$J$7,2,FALSE)</f>
        <v>#N/A</v>
      </c>
      <c r="B16" s="3" t="e">
        <f>VLOOKUP(E16,'[2]Listas Desplegables'!$H$3:$J$7,3,FALSE)</f>
        <v>#N/A</v>
      </c>
      <c r="C16" s="8">
        <v>11</v>
      </c>
      <c r="D16" s="9"/>
      <c r="E16" s="9"/>
      <c r="F16" s="9"/>
      <c r="G16" s="9"/>
      <c r="H16" s="10"/>
      <c r="I16" s="10"/>
      <c r="J16" s="10"/>
      <c r="K16" s="10"/>
      <c r="L16" s="10"/>
      <c r="M16" s="10"/>
      <c r="N16" s="10"/>
      <c r="O16" s="10"/>
      <c r="P16" s="10"/>
      <c r="Q16" s="10"/>
      <c r="R16" s="10"/>
      <c r="S16" s="10"/>
      <c r="T16" s="10"/>
      <c r="U16" s="10"/>
      <c r="V16" s="10"/>
      <c r="W16" s="10"/>
      <c r="X16" s="10"/>
      <c r="Y16" s="10"/>
      <c r="Z16" s="56"/>
      <c r="AA16" s="10"/>
      <c r="AB16" s="10"/>
      <c r="AC16" s="10"/>
      <c r="AD16" s="10"/>
      <c r="AE16" s="10"/>
      <c r="AF16" s="10"/>
      <c r="AG16" s="10"/>
      <c r="AH16" s="25"/>
    </row>
    <row r="17" spans="1:34" x14ac:dyDescent="0.3">
      <c r="A17" s="3" t="e">
        <f>VLOOKUP(E17,'[2]Listas Desplegables'!$H$3:$J$7,2,FALSE)</f>
        <v>#N/A</v>
      </c>
      <c r="B17" s="3" t="e">
        <f>VLOOKUP(E17,'[2]Listas Desplegables'!$H$3:$J$7,3,FALSE)</f>
        <v>#N/A</v>
      </c>
      <c r="C17" s="8">
        <v>12</v>
      </c>
      <c r="D17" s="9"/>
      <c r="E17" s="9"/>
      <c r="F17" s="9"/>
      <c r="G17" s="9"/>
      <c r="H17" s="10"/>
      <c r="I17" s="10"/>
      <c r="J17" s="10"/>
      <c r="K17" s="10"/>
      <c r="L17" s="10"/>
      <c r="M17" s="10"/>
      <c r="N17" s="10"/>
      <c r="O17" s="10"/>
      <c r="P17" s="10"/>
      <c r="Q17" s="10"/>
      <c r="R17" s="10"/>
      <c r="S17" s="10"/>
      <c r="T17" s="10"/>
      <c r="U17" s="10"/>
      <c r="V17" s="10"/>
      <c r="W17" s="10"/>
      <c r="X17" s="10"/>
      <c r="Y17" s="10"/>
      <c r="Z17" s="56"/>
      <c r="AA17" s="10"/>
      <c r="AB17" s="10"/>
      <c r="AC17" s="10"/>
      <c r="AD17" s="10"/>
      <c r="AE17" s="10"/>
      <c r="AF17" s="10"/>
      <c r="AG17" s="10"/>
      <c r="AH17" s="25"/>
    </row>
    <row r="18" spans="1:34" x14ac:dyDescent="0.3">
      <c r="A18" s="3" t="e">
        <f>VLOOKUP(E18,'[2]Listas Desplegables'!$H$3:$J$7,2,FALSE)</f>
        <v>#N/A</v>
      </c>
      <c r="B18" s="3" t="e">
        <f>VLOOKUP(E18,'[2]Listas Desplegables'!$H$3:$J$7,3,FALSE)</f>
        <v>#N/A</v>
      </c>
      <c r="C18" s="8">
        <v>13</v>
      </c>
      <c r="D18" s="9"/>
      <c r="E18" s="9"/>
      <c r="F18" s="9"/>
      <c r="G18" s="9"/>
      <c r="H18" s="10"/>
      <c r="I18" s="10"/>
      <c r="J18" s="10"/>
      <c r="K18" s="10"/>
      <c r="L18" s="10"/>
      <c r="M18" s="10"/>
      <c r="N18" s="10"/>
      <c r="O18" s="10"/>
      <c r="P18" s="10"/>
      <c r="Q18" s="10"/>
      <c r="R18" s="10"/>
      <c r="S18" s="10"/>
      <c r="T18" s="10"/>
      <c r="U18" s="10"/>
      <c r="V18" s="10"/>
      <c r="W18" s="10"/>
      <c r="X18" s="10"/>
      <c r="Y18" s="10"/>
      <c r="Z18" s="56"/>
      <c r="AA18" s="10"/>
      <c r="AB18" s="10"/>
      <c r="AC18" s="10"/>
      <c r="AD18" s="10"/>
      <c r="AE18" s="10"/>
      <c r="AF18" s="10"/>
      <c r="AG18" s="10"/>
      <c r="AH18" s="25"/>
    </row>
    <row r="19" spans="1:34" x14ac:dyDescent="0.3">
      <c r="A19" s="3" t="e">
        <f>VLOOKUP(E19,'[2]Listas Desplegables'!$H$3:$J$7,2,FALSE)</f>
        <v>#N/A</v>
      </c>
      <c r="B19" s="3" t="e">
        <f>VLOOKUP(E19,'[2]Listas Desplegables'!$H$3:$J$7,3,FALSE)</f>
        <v>#N/A</v>
      </c>
      <c r="C19" s="8">
        <v>14</v>
      </c>
      <c r="D19" s="9"/>
      <c r="E19" s="9"/>
      <c r="F19" s="9"/>
      <c r="G19" s="9"/>
      <c r="H19" s="10"/>
      <c r="I19" s="10"/>
      <c r="J19" s="10"/>
      <c r="K19" s="10"/>
      <c r="L19" s="10"/>
      <c r="M19" s="10"/>
      <c r="N19" s="10"/>
      <c r="O19" s="10"/>
      <c r="P19" s="10"/>
      <c r="Q19" s="10"/>
      <c r="R19" s="10"/>
      <c r="S19" s="10"/>
      <c r="T19" s="10"/>
      <c r="U19" s="10"/>
      <c r="V19" s="10"/>
      <c r="W19" s="10"/>
      <c r="X19" s="10"/>
      <c r="Y19" s="10"/>
      <c r="Z19" s="56"/>
      <c r="AA19" s="10"/>
      <c r="AB19" s="10"/>
      <c r="AC19" s="10"/>
      <c r="AD19" s="10"/>
      <c r="AE19" s="10"/>
      <c r="AF19" s="10"/>
      <c r="AG19" s="10"/>
      <c r="AH19" s="25"/>
    </row>
    <row r="20" spans="1:34" x14ac:dyDescent="0.3">
      <c r="A20" s="3" t="e">
        <f>VLOOKUP(E20,'[2]Listas Desplegables'!$H$3:$J$7,2,FALSE)</f>
        <v>#N/A</v>
      </c>
      <c r="B20" s="3" t="e">
        <f>VLOOKUP(E20,'[2]Listas Desplegables'!$H$3:$J$7,3,FALSE)</f>
        <v>#N/A</v>
      </c>
      <c r="C20" s="8">
        <v>15</v>
      </c>
      <c r="D20" s="9"/>
      <c r="E20" s="9"/>
      <c r="F20" s="9"/>
      <c r="G20" s="9"/>
      <c r="H20" s="10"/>
      <c r="I20" s="10"/>
      <c r="J20" s="10"/>
      <c r="K20" s="10"/>
      <c r="L20" s="10"/>
      <c r="M20" s="10"/>
      <c r="N20" s="10"/>
      <c r="O20" s="10"/>
      <c r="P20" s="10"/>
      <c r="Q20" s="10"/>
      <c r="R20" s="10"/>
      <c r="S20" s="10"/>
      <c r="T20" s="10"/>
      <c r="U20" s="10"/>
      <c r="V20" s="10"/>
      <c r="W20" s="10"/>
      <c r="X20" s="10"/>
      <c r="Y20" s="10"/>
      <c r="Z20" s="56"/>
      <c r="AA20" s="10"/>
      <c r="AB20" s="10"/>
      <c r="AC20" s="10"/>
      <c r="AD20" s="10"/>
      <c r="AE20" s="10"/>
      <c r="AF20" s="10"/>
      <c r="AG20" s="10"/>
      <c r="AH20" s="25"/>
    </row>
    <row r="21" spans="1:34" x14ac:dyDescent="0.3">
      <c r="A21" s="3" t="e">
        <f>VLOOKUP(E21,'[2]Listas Desplegables'!$H$3:$J$7,2,FALSE)</f>
        <v>#N/A</v>
      </c>
      <c r="B21" s="3" t="e">
        <f>VLOOKUP(E21,'[2]Listas Desplegables'!$H$3:$J$7,3,FALSE)</f>
        <v>#N/A</v>
      </c>
      <c r="C21" s="8">
        <v>16</v>
      </c>
      <c r="D21" s="9"/>
      <c r="E21" s="9"/>
      <c r="F21" s="9"/>
      <c r="G21" s="9"/>
      <c r="H21" s="10"/>
      <c r="I21" s="10"/>
      <c r="J21" s="10"/>
      <c r="K21" s="10"/>
      <c r="L21" s="10"/>
      <c r="M21" s="10"/>
      <c r="N21" s="10"/>
      <c r="O21" s="10"/>
      <c r="P21" s="10"/>
      <c r="Q21" s="10"/>
      <c r="R21" s="10"/>
      <c r="S21" s="10"/>
      <c r="T21" s="10"/>
      <c r="U21" s="10"/>
      <c r="V21" s="10"/>
      <c r="W21" s="10"/>
      <c r="X21" s="10"/>
      <c r="Y21" s="10"/>
      <c r="Z21" s="56"/>
      <c r="AA21" s="10"/>
      <c r="AB21" s="10"/>
      <c r="AC21" s="10"/>
      <c r="AD21" s="10"/>
      <c r="AE21" s="10"/>
      <c r="AF21" s="10"/>
      <c r="AG21" s="10"/>
      <c r="AH21" s="25"/>
    </row>
    <row r="22" spans="1:34" x14ac:dyDescent="0.3">
      <c r="A22" s="3" t="e">
        <f>VLOOKUP(E22,'[2]Listas Desplegables'!$H$3:$J$7,2,FALSE)</f>
        <v>#N/A</v>
      </c>
      <c r="B22" s="3" t="e">
        <f>VLOOKUP(E22,'[2]Listas Desplegables'!$H$3:$J$7,3,FALSE)</f>
        <v>#N/A</v>
      </c>
      <c r="C22" s="8">
        <v>17</v>
      </c>
      <c r="D22" s="9"/>
      <c r="E22" s="9"/>
      <c r="F22" s="9"/>
      <c r="G22" s="9"/>
      <c r="H22" s="10"/>
      <c r="I22" s="10"/>
      <c r="J22" s="10"/>
      <c r="K22" s="10"/>
      <c r="L22" s="10"/>
      <c r="M22" s="10"/>
      <c r="N22" s="10"/>
      <c r="O22" s="10"/>
      <c r="P22" s="10"/>
      <c r="Q22" s="10"/>
      <c r="R22" s="10"/>
      <c r="S22" s="10"/>
      <c r="T22" s="10"/>
      <c r="U22" s="10"/>
      <c r="V22" s="10"/>
      <c r="W22" s="10"/>
      <c r="X22" s="10"/>
      <c r="Y22" s="10"/>
      <c r="Z22" s="56"/>
      <c r="AA22" s="10"/>
      <c r="AB22" s="10"/>
      <c r="AC22" s="10"/>
      <c r="AD22" s="10"/>
      <c r="AE22" s="10"/>
      <c r="AF22" s="10"/>
      <c r="AG22" s="10"/>
      <c r="AH22" s="25"/>
    </row>
    <row r="23" spans="1:34" x14ac:dyDescent="0.3">
      <c r="A23" s="3" t="e">
        <f>VLOOKUP(E23,'[2]Listas Desplegables'!$H$3:$J$7,2,FALSE)</f>
        <v>#N/A</v>
      </c>
      <c r="B23" s="3" t="e">
        <f>VLOOKUP(E23,'[2]Listas Desplegables'!$H$3:$J$7,3,FALSE)</f>
        <v>#N/A</v>
      </c>
      <c r="C23" s="8">
        <v>18</v>
      </c>
      <c r="D23" s="12"/>
      <c r="E23" s="9"/>
      <c r="F23" s="12"/>
      <c r="G23" s="9"/>
      <c r="H23" s="10"/>
      <c r="I23" s="10"/>
      <c r="J23" s="10"/>
      <c r="K23" s="10"/>
      <c r="L23" s="10"/>
      <c r="M23" s="10"/>
      <c r="N23" s="10"/>
      <c r="O23" s="10"/>
      <c r="P23" s="10"/>
      <c r="Q23" s="10"/>
      <c r="R23" s="10"/>
      <c r="S23" s="10"/>
      <c r="T23" s="10"/>
      <c r="U23" s="10"/>
      <c r="V23" s="10"/>
      <c r="W23" s="10"/>
      <c r="X23" s="10"/>
      <c r="Y23" s="10"/>
      <c r="Z23" s="56"/>
      <c r="AA23" s="10"/>
      <c r="AB23" s="10"/>
      <c r="AC23" s="10"/>
      <c r="AD23" s="10"/>
      <c r="AE23" s="10"/>
      <c r="AF23" s="10"/>
      <c r="AG23" s="10"/>
      <c r="AH23" s="25"/>
    </row>
    <row r="24" spans="1:34" x14ac:dyDescent="0.3">
      <c r="A24" s="3" t="e">
        <f>VLOOKUP(E24,'[2]Listas Desplegables'!$H$3:$J$7,2,FALSE)</f>
        <v>#N/A</v>
      </c>
      <c r="B24" s="3" t="e">
        <f>VLOOKUP(E24,'[2]Listas Desplegables'!$H$3:$J$7,3,FALSE)</f>
        <v>#N/A</v>
      </c>
      <c r="C24" s="8">
        <v>19</v>
      </c>
      <c r="D24" s="12"/>
      <c r="E24" s="9"/>
      <c r="F24" s="12"/>
      <c r="G24" s="9"/>
      <c r="H24" s="10"/>
      <c r="I24" s="10"/>
      <c r="J24" s="10"/>
      <c r="K24" s="10"/>
      <c r="L24" s="10"/>
      <c r="M24" s="10"/>
      <c r="N24" s="10"/>
      <c r="O24" s="10"/>
      <c r="P24" s="10"/>
      <c r="Q24" s="10"/>
      <c r="R24" s="10"/>
      <c r="S24" s="10"/>
      <c r="T24" s="10"/>
      <c r="U24" s="10"/>
      <c r="V24" s="10"/>
      <c r="W24" s="10"/>
      <c r="X24" s="10"/>
      <c r="Y24" s="10"/>
      <c r="Z24" s="56"/>
      <c r="AA24" s="10"/>
      <c r="AB24" s="10"/>
      <c r="AC24" s="10"/>
      <c r="AD24" s="10"/>
      <c r="AE24" s="10"/>
      <c r="AF24" s="10"/>
      <c r="AG24" s="10"/>
      <c r="AH24" s="25"/>
    </row>
    <row r="25" spans="1:34" x14ac:dyDescent="0.3">
      <c r="A25" s="3" t="e">
        <f>VLOOKUP(E25,'[2]Listas Desplegables'!$H$3:$J$7,2,FALSE)</f>
        <v>#N/A</v>
      </c>
      <c r="B25" s="3" t="e">
        <f>VLOOKUP(E25,'[2]Listas Desplegables'!$H$3:$J$7,3,FALSE)</f>
        <v>#N/A</v>
      </c>
      <c r="C25" s="8">
        <v>20</v>
      </c>
      <c r="D25" s="12"/>
      <c r="E25" s="9"/>
      <c r="F25" s="12"/>
      <c r="G25" s="9"/>
      <c r="H25" s="10"/>
      <c r="I25" s="10"/>
      <c r="J25" s="10"/>
      <c r="K25" s="10"/>
      <c r="L25" s="10"/>
      <c r="M25" s="10"/>
      <c r="N25" s="10"/>
      <c r="O25" s="10"/>
      <c r="P25" s="10"/>
      <c r="Q25" s="10"/>
      <c r="R25" s="10"/>
      <c r="S25" s="10"/>
      <c r="T25" s="10"/>
      <c r="U25" s="10"/>
      <c r="V25" s="10"/>
      <c r="W25" s="10"/>
      <c r="X25" s="10"/>
      <c r="Y25" s="10"/>
      <c r="Z25" s="56"/>
      <c r="AA25" s="10"/>
      <c r="AB25" s="10"/>
      <c r="AC25" s="10"/>
      <c r="AD25" s="10"/>
      <c r="AE25" s="10"/>
      <c r="AF25" s="10"/>
      <c r="AG25" s="10"/>
      <c r="AH25" s="25"/>
    </row>
    <row r="26" spans="1:34" x14ac:dyDescent="0.3">
      <c r="A26" s="3" t="e">
        <f>VLOOKUP(E26,'[2]Listas Desplegables'!$H$3:$J$7,2,FALSE)</f>
        <v>#N/A</v>
      </c>
      <c r="B26" s="3" t="e">
        <f>VLOOKUP(E26,'[2]Listas Desplegables'!$H$3:$J$7,3,FALSE)</f>
        <v>#N/A</v>
      </c>
      <c r="C26" s="8">
        <v>21</v>
      </c>
      <c r="D26" s="12"/>
      <c r="E26" s="9"/>
      <c r="F26" s="12"/>
      <c r="G26" s="9"/>
      <c r="H26" s="10"/>
      <c r="I26" s="10"/>
      <c r="J26" s="10"/>
      <c r="K26" s="10"/>
      <c r="L26" s="10"/>
      <c r="M26" s="10"/>
      <c r="N26" s="10"/>
      <c r="O26" s="10"/>
      <c r="P26" s="10"/>
      <c r="Q26" s="10"/>
      <c r="R26" s="10"/>
      <c r="S26" s="10"/>
      <c r="T26" s="10"/>
      <c r="U26" s="10"/>
      <c r="V26" s="10"/>
      <c r="W26" s="10"/>
      <c r="X26" s="10"/>
      <c r="Y26" s="10"/>
      <c r="Z26" s="56"/>
      <c r="AA26" s="10"/>
      <c r="AB26" s="10"/>
      <c r="AC26" s="10"/>
      <c r="AD26" s="10"/>
      <c r="AE26" s="10"/>
      <c r="AF26" s="10"/>
      <c r="AG26" s="10"/>
      <c r="AH26" s="25"/>
    </row>
    <row r="27" spans="1:34" x14ac:dyDescent="0.3">
      <c r="A27" s="3" t="e">
        <f>VLOOKUP(E27,'[2]Listas Desplegables'!$H$3:$J$7,2,FALSE)</f>
        <v>#N/A</v>
      </c>
      <c r="B27" s="3" t="e">
        <f>VLOOKUP(E27,'[2]Listas Desplegables'!$H$3:$J$7,3,FALSE)</f>
        <v>#N/A</v>
      </c>
      <c r="C27" s="8">
        <v>22</v>
      </c>
      <c r="D27" s="12"/>
      <c r="E27" s="9"/>
      <c r="F27" s="12"/>
      <c r="G27" s="9"/>
      <c r="H27" s="10"/>
      <c r="I27" s="10"/>
      <c r="J27" s="10"/>
      <c r="K27" s="10"/>
      <c r="L27" s="10"/>
      <c r="M27" s="10"/>
      <c r="N27" s="10"/>
      <c r="O27" s="10"/>
      <c r="P27" s="10"/>
      <c r="Q27" s="10"/>
      <c r="R27" s="10"/>
      <c r="S27" s="10"/>
      <c r="T27" s="10"/>
      <c r="U27" s="10"/>
      <c r="V27" s="10"/>
      <c r="W27" s="10"/>
      <c r="X27" s="10"/>
      <c r="Y27" s="10"/>
      <c r="Z27" s="56"/>
      <c r="AA27" s="10"/>
      <c r="AB27" s="10"/>
      <c r="AC27" s="10"/>
      <c r="AD27" s="10"/>
      <c r="AE27" s="10"/>
      <c r="AF27" s="10"/>
      <c r="AG27" s="10"/>
      <c r="AH27" s="25"/>
    </row>
    <row r="28" spans="1:34" x14ac:dyDescent="0.3">
      <c r="A28" s="3" t="e">
        <f>VLOOKUP(E28,'[2]Listas Desplegables'!$H$3:$J$7,2,FALSE)</f>
        <v>#N/A</v>
      </c>
      <c r="B28" s="3" t="e">
        <f>VLOOKUP(E28,'[2]Listas Desplegables'!$H$3:$J$7,3,FALSE)</f>
        <v>#N/A</v>
      </c>
      <c r="C28" s="8">
        <v>23</v>
      </c>
      <c r="D28" s="12"/>
      <c r="E28" s="9"/>
      <c r="F28" s="12"/>
      <c r="G28" s="9"/>
      <c r="H28" s="10"/>
      <c r="I28" s="10"/>
      <c r="J28" s="10"/>
      <c r="K28" s="10"/>
      <c r="L28" s="10"/>
      <c r="M28" s="10"/>
      <c r="N28" s="10"/>
      <c r="O28" s="10"/>
      <c r="P28" s="10"/>
      <c r="Q28" s="10"/>
      <c r="R28" s="10"/>
      <c r="S28" s="10"/>
      <c r="T28" s="10"/>
      <c r="U28" s="10"/>
      <c r="V28" s="10"/>
      <c r="W28" s="10"/>
      <c r="X28" s="10"/>
      <c r="Y28" s="10"/>
      <c r="Z28" s="56"/>
      <c r="AA28" s="10"/>
      <c r="AB28" s="10"/>
      <c r="AC28" s="10"/>
      <c r="AD28" s="10"/>
      <c r="AE28" s="10"/>
      <c r="AF28" s="10"/>
      <c r="AG28" s="10"/>
      <c r="AH28" s="25"/>
    </row>
    <row r="29" spans="1:34" x14ac:dyDescent="0.3">
      <c r="A29" s="3" t="e">
        <f>VLOOKUP(E29,'[2]Listas Desplegables'!$H$3:$J$7,2,FALSE)</f>
        <v>#N/A</v>
      </c>
      <c r="B29" s="3" t="e">
        <f>VLOOKUP(E29,'[2]Listas Desplegables'!$H$3:$J$7,3,FALSE)</f>
        <v>#N/A</v>
      </c>
      <c r="C29" s="8">
        <v>24</v>
      </c>
      <c r="D29" s="12"/>
      <c r="E29" s="9"/>
      <c r="F29" s="12"/>
      <c r="G29" s="9"/>
      <c r="H29" s="10"/>
      <c r="I29" s="10"/>
      <c r="J29" s="10"/>
      <c r="K29" s="10"/>
      <c r="L29" s="10"/>
      <c r="M29" s="10"/>
      <c r="N29" s="10"/>
      <c r="O29" s="10"/>
      <c r="P29" s="10"/>
      <c r="Q29" s="10"/>
      <c r="R29" s="10"/>
      <c r="S29" s="10"/>
      <c r="T29" s="10"/>
      <c r="U29" s="10"/>
      <c r="V29" s="10"/>
      <c r="W29" s="10"/>
      <c r="X29" s="10"/>
      <c r="Y29" s="10"/>
      <c r="Z29" s="56"/>
      <c r="AA29" s="10"/>
      <c r="AB29" s="10"/>
      <c r="AC29" s="10"/>
      <c r="AD29" s="10"/>
      <c r="AE29" s="10"/>
      <c r="AF29" s="10"/>
      <c r="AG29" s="10"/>
      <c r="AH29" s="25"/>
    </row>
    <row r="30" spans="1:34" x14ac:dyDescent="0.3">
      <c r="A30" s="3" t="e">
        <f>VLOOKUP(E30,'[2]Listas Desplegables'!$H$3:$J$7,2,FALSE)</f>
        <v>#N/A</v>
      </c>
      <c r="B30" s="3" t="e">
        <f>VLOOKUP(E30,'[2]Listas Desplegables'!$H$3:$J$7,3,FALSE)</f>
        <v>#N/A</v>
      </c>
      <c r="C30" s="8">
        <v>25</v>
      </c>
      <c r="D30" s="12"/>
      <c r="E30" s="12"/>
      <c r="F30" s="12"/>
      <c r="G30" s="9"/>
      <c r="H30" s="10"/>
      <c r="I30" s="10"/>
      <c r="J30" s="10"/>
      <c r="K30" s="10"/>
      <c r="L30" s="10"/>
      <c r="M30" s="10"/>
      <c r="N30" s="10"/>
      <c r="O30" s="10"/>
      <c r="P30" s="10"/>
      <c r="Q30" s="10"/>
      <c r="R30" s="10"/>
      <c r="S30" s="10"/>
      <c r="T30" s="10"/>
      <c r="U30" s="10"/>
      <c r="V30" s="10"/>
      <c r="W30" s="10"/>
      <c r="X30" s="10"/>
      <c r="Y30" s="10"/>
      <c r="Z30" s="56"/>
      <c r="AA30" s="10"/>
      <c r="AB30" s="10"/>
      <c r="AC30" s="10"/>
      <c r="AD30" s="10"/>
      <c r="AE30" s="10"/>
      <c r="AF30" s="10"/>
      <c r="AG30" s="10"/>
      <c r="AH30" s="25"/>
    </row>
    <row r="31" spans="1:34" x14ac:dyDescent="0.3">
      <c r="A31" s="3" t="e">
        <f>VLOOKUP(E31,'[2]Listas Desplegables'!$H$3:$J$7,2,FALSE)</f>
        <v>#N/A</v>
      </c>
      <c r="B31" s="3" t="e">
        <f>VLOOKUP(E31,'[2]Listas Desplegables'!$H$3:$J$7,3,FALSE)</f>
        <v>#N/A</v>
      </c>
      <c r="C31" s="8">
        <v>26</v>
      </c>
      <c r="D31" s="12"/>
      <c r="E31" s="12"/>
      <c r="F31" s="12"/>
      <c r="G31" s="9"/>
      <c r="H31" s="10"/>
      <c r="I31" s="10"/>
      <c r="J31" s="10"/>
      <c r="K31" s="10"/>
      <c r="L31" s="10"/>
      <c r="M31" s="10"/>
      <c r="N31" s="10"/>
      <c r="O31" s="10"/>
      <c r="P31" s="10"/>
      <c r="Q31" s="10"/>
      <c r="R31" s="10"/>
      <c r="S31" s="10"/>
      <c r="T31" s="10"/>
      <c r="U31" s="10"/>
      <c r="V31" s="10"/>
      <c r="W31" s="10"/>
      <c r="X31" s="10"/>
      <c r="Y31" s="10"/>
      <c r="Z31" s="56"/>
      <c r="AA31" s="10"/>
      <c r="AB31" s="10"/>
      <c r="AC31" s="10"/>
      <c r="AD31" s="10"/>
      <c r="AE31" s="10"/>
      <c r="AF31" s="10"/>
      <c r="AG31" s="10"/>
      <c r="AH31" s="25"/>
    </row>
    <row r="32" spans="1:34" x14ac:dyDescent="0.3">
      <c r="A32" s="3" t="e">
        <f>VLOOKUP(E32,'[2]Listas Desplegables'!$H$3:$J$7,2,FALSE)</f>
        <v>#N/A</v>
      </c>
      <c r="B32" s="3" t="e">
        <f>VLOOKUP(E32,'[2]Listas Desplegables'!$H$3:$J$7,3,FALSE)</f>
        <v>#N/A</v>
      </c>
      <c r="C32" s="8">
        <v>27</v>
      </c>
      <c r="D32" s="12"/>
      <c r="E32" s="12"/>
      <c r="F32" s="12"/>
      <c r="G32" s="9"/>
      <c r="H32" s="10"/>
      <c r="I32" s="10"/>
      <c r="J32" s="10"/>
      <c r="K32" s="10"/>
      <c r="L32" s="10"/>
      <c r="M32" s="10"/>
      <c r="N32" s="10"/>
      <c r="O32" s="10"/>
      <c r="P32" s="10"/>
      <c r="Q32" s="10"/>
      <c r="R32" s="10"/>
      <c r="S32" s="10"/>
      <c r="T32" s="10"/>
      <c r="U32" s="10"/>
      <c r="V32" s="10"/>
      <c r="W32" s="10"/>
      <c r="X32" s="10"/>
      <c r="Y32" s="10"/>
      <c r="Z32" s="56"/>
      <c r="AA32" s="10"/>
      <c r="AB32" s="10"/>
      <c r="AC32" s="10"/>
      <c r="AD32" s="10"/>
      <c r="AE32" s="10"/>
      <c r="AF32" s="10"/>
      <c r="AG32" s="10"/>
      <c r="AH32" s="25"/>
    </row>
    <row r="33" spans="1:34" x14ac:dyDescent="0.3">
      <c r="A33" s="3" t="e">
        <f>VLOOKUP(E33,'[2]Listas Desplegables'!$H$3:$J$7,2,FALSE)</f>
        <v>#N/A</v>
      </c>
      <c r="B33" s="3" t="e">
        <f>VLOOKUP(E33,'[2]Listas Desplegables'!$H$3:$J$7,3,FALSE)</f>
        <v>#N/A</v>
      </c>
      <c r="C33" s="8">
        <v>28</v>
      </c>
      <c r="D33" s="12"/>
      <c r="E33" s="12"/>
      <c r="F33" s="12"/>
      <c r="G33" s="9"/>
      <c r="H33" s="10"/>
      <c r="I33" s="10"/>
      <c r="J33" s="10"/>
      <c r="K33" s="10"/>
      <c r="L33" s="10"/>
      <c r="M33" s="10"/>
      <c r="N33" s="10"/>
      <c r="O33" s="10"/>
      <c r="P33" s="10"/>
      <c r="Q33" s="10"/>
      <c r="R33" s="10"/>
      <c r="S33" s="10"/>
      <c r="T33" s="10"/>
      <c r="U33" s="10"/>
      <c r="V33" s="10"/>
      <c r="W33" s="10"/>
      <c r="X33" s="10"/>
      <c r="Y33" s="10"/>
      <c r="Z33" s="56"/>
      <c r="AA33" s="10"/>
      <c r="AB33" s="10"/>
      <c r="AC33" s="10"/>
      <c r="AD33" s="10"/>
      <c r="AE33" s="10"/>
      <c r="AF33" s="10"/>
      <c r="AG33" s="10"/>
      <c r="AH33" s="25"/>
    </row>
    <row r="34" spans="1:34" x14ac:dyDescent="0.3">
      <c r="A34" s="3" t="e">
        <f>VLOOKUP(E34,'[2]Listas Desplegables'!$H$3:$J$7,2,FALSE)</f>
        <v>#N/A</v>
      </c>
      <c r="B34" s="3" t="e">
        <f>VLOOKUP(E34,'[2]Listas Desplegables'!$H$3:$J$7,3,FALSE)</f>
        <v>#N/A</v>
      </c>
      <c r="C34" s="8">
        <v>29</v>
      </c>
      <c r="D34" s="12"/>
      <c r="E34" s="12"/>
      <c r="F34" s="12"/>
      <c r="G34" s="9"/>
      <c r="H34" s="10"/>
      <c r="I34" s="10"/>
      <c r="J34" s="10"/>
      <c r="K34" s="10"/>
      <c r="L34" s="10"/>
      <c r="M34" s="10"/>
      <c r="N34" s="10"/>
      <c r="O34" s="10"/>
      <c r="P34" s="10"/>
      <c r="Q34" s="10"/>
      <c r="R34" s="10"/>
      <c r="S34" s="10"/>
      <c r="T34" s="10"/>
      <c r="U34" s="10"/>
      <c r="V34" s="10"/>
      <c r="W34" s="10"/>
      <c r="X34" s="10"/>
      <c r="Y34" s="10"/>
      <c r="Z34" s="56"/>
      <c r="AA34" s="10"/>
      <c r="AB34" s="10"/>
      <c r="AC34" s="10"/>
      <c r="AD34" s="10"/>
      <c r="AE34" s="10"/>
      <c r="AF34" s="10"/>
      <c r="AG34" s="10"/>
      <c r="AH34" s="25"/>
    </row>
    <row r="35" spans="1:34" x14ac:dyDescent="0.3">
      <c r="A35" s="3" t="e">
        <f>VLOOKUP(E35,'[2]Listas Desplegables'!$H$3:$J$7,2,FALSE)</f>
        <v>#N/A</v>
      </c>
      <c r="B35" s="3" t="e">
        <f>VLOOKUP(E35,'[2]Listas Desplegables'!$H$3:$J$7,3,FALSE)</f>
        <v>#N/A</v>
      </c>
      <c r="C35" s="8">
        <v>30</v>
      </c>
      <c r="D35" s="12"/>
      <c r="E35" s="12"/>
      <c r="F35" s="12"/>
      <c r="G35" s="9"/>
      <c r="H35" s="10"/>
      <c r="I35" s="10"/>
      <c r="J35" s="10"/>
      <c r="K35" s="10"/>
      <c r="L35" s="10"/>
      <c r="M35" s="10"/>
      <c r="N35" s="10"/>
      <c r="O35" s="10"/>
      <c r="P35" s="10"/>
      <c r="Q35" s="10"/>
      <c r="R35" s="10"/>
      <c r="S35" s="10"/>
      <c r="T35" s="10"/>
      <c r="U35" s="10"/>
      <c r="V35" s="10"/>
      <c r="W35" s="10"/>
      <c r="X35" s="10"/>
      <c r="Y35" s="10"/>
      <c r="Z35" s="56"/>
      <c r="AA35" s="10"/>
      <c r="AB35" s="10"/>
      <c r="AC35" s="10"/>
      <c r="AD35" s="10"/>
      <c r="AE35" s="10"/>
      <c r="AF35" s="10"/>
      <c r="AG35" s="10"/>
      <c r="AH35" s="25"/>
    </row>
    <row r="36" spans="1:34" x14ac:dyDescent="0.3">
      <c r="A36" s="3" t="e">
        <f>VLOOKUP(E36,'[2]Listas Desplegables'!$H$3:$J$7,2,FALSE)</f>
        <v>#N/A</v>
      </c>
      <c r="B36" s="3" t="e">
        <f>VLOOKUP(E36,'[2]Listas Desplegables'!$H$3:$J$7,3,FALSE)</f>
        <v>#N/A</v>
      </c>
      <c r="C36" s="8">
        <v>31</v>
      </c>
      <c r="D36" s="12"/>
      <c r="E36" s="12"/>
      <c r="F36" s="12"/>
      <c r="G36" s="9"/>
      <c r="H36" s="10"/>
      <c r="I36" s="10"/>
      <c r="J36" s="10"/>
      <c r="K36" s="10"/>
      <c r="L36" s="10"/>
      <c r="M36" s="10"/>
      <c r="N36" s="10"/>
      <c r="O36" s="10"/>
      <c r="P36" s="10"/>
      <c r="Q36" s="10"/>
      <c r="R36" s="10"/>
      <c r="S36" s="10"/>
      <c r="T36" s="10"/>
      <c r="U36" s="10"/>
      <c r="V36" s="10"/>
      <c r="W36" s="10"/>
      <c r="X36" s="10"/>
      <c r="Y36" s="10"/>
      <c r="Z36" s="56"/>
      <c r="AA36" s="10"/>
      <c r="AB36" s="10"/>
      <c r="AC36" s="10"/>
      <c r="AD36" s="10"/>
      <c r="AE36" s="10"/>
      <c r="AF36" s="10"/>
      <c r="AG36" s="10"/>
      <c r="AH36" s="25"/>
    </row>
    <row r="37" spans="1:34" x14ac:dyDescent="0.3">
      <c r="A37" s="3" t="e">
        <f>VLOOKUP(E37,'[2]Listas Desplegables'!$H$3:$J$7,2,FALSE)</f>
        <v>#N/A</v>
      </c>
      <c r="B37" s="3" t="e">
        <f>VLOOKUP(E37,'[2]Listas Desplegables'!$H$3:$J$7,3,FALSE)</f>
        <v>#N/A</v>
      </c>
      <c r="C37" s="8">
        <v>32</v>
      </c>
      <c r="D37" s="12"/>
      <c r="E37" s="12"/>
      <c r="F37" s="12"/>
      <c r="G37" s="9"/>
      <c r="H37" s="10"/>
      <c r="I37" s="10"/>
      <c r="J37" s="10"/>
      <c r="K37" s="10"/>
      <c r="L37" s="10"/>
      <c r="M37" s="10"/>
      <c r="N37" s="10"/>
      <c r="O37" s="10"/>
      <c r="P37" s="10"/>
      <c r="Q37" s="10"/>
      <c r="R37" s="10"/>
      <c r="S37" s="10"/>
      <c r="T37" s="10"/>
      <c r="U37" s="10"/>
      <c r="V37" s="10"/>
      <c r="W37" s="10"/>
      <c r="X37" s="10"/>
      <c r="Y37" s="10"/>
      <c r="Z37" s="56"/>
      <c r="AA37" s="10"/>
      <c r="AB37" s="10"/>
      <c r="AC37" s="10"/>
      <c r="AD37" s="10"/>
      <c r="AE37" s="10"/>
      <c r="AF37" s="10"/>
      <c r="AG37" s="10"/>
      <c r="AH37" s="25"/>
    </row>
    <row r="38" spans="1:34" x14ac:dyDescent="0.3">
      <c r="A38" s="3" t="e">
        <f>VLOOKUP(E38,'[2]Listas Desplegables'!$H$3:$J$7,2,FALSE)</f>
        <v>#N/A</v>
      </c>
      <c r="B38" s="3" t="e">
        <f>VLOOKUP(E38,'[2]Listas Desplegables'!$H$3:$J$7,3,FALSE)</f>
        <v>#N/A</v>
      </c>
      <c r="C38" s="8">
        <v>33</v>
      </c>
      <c r="D38" s="12"/>
      <c r="E38" s="12"/>
      <c r="F38" s="12"/>
      <c r="G38" s="9"/>
      <c r="H38" s="10"/>
      <c r="I38" s="10"/>
      <c r="J38" s="10"/>
      <c r="K38" s="10"/>
      <c r="L38" s="10"/>
      <c r="M38" s="10"/>
      <c r="N38" s="10"/>
      <c r="O38" s="10"/>
      <c r="P38" s="10"/>
      <c r="Q38" s="10"/>
      <c r="R38" s="10"/>
      <c r="S38" s="10"/>
      <c r="T38" s="10"/>
      <c r="U38" s="10"/>
      <c r="V38" s="10"/>
      <c r="W38" s="10"/>
      <c r="X38" s="10"/>
      <c r="Y38" s="10"/>
      <c r="Z38" s="56"/>
      <c r="AA38" s="10"/>
      <c r="AB38" s="10"/>
      <c r="AC38" s="10"/>
      <c r="AD38" s="10"/>
      <c r="AE38" s="10"/>
      <c r="AF38" s="10"/>
      <c r="AG38" s="10"/>
      <c r="AH38" s="25"/>
    </row>
    <row r="39" spans="1:34" x14ac:dyDescent="0.3">
      <c r="A39" s="3" t="e">
        <f>VLOOKUP(E39,'[2]Listas Desplegables'!$H$3:$J$7,2,FALSE)</f>
        <v>#N/A</v>
      </c>
      <c r="B39" s="3" t="e">
        <f>VLOOKUP(E39,'[2]Listas Desplegables'!$H$3:$J$7,3,FALSE)</f>
        <v>#N/A</v>
      </c>
      <c r="C39" s="8">
        <v>34</v>
      </c>
      <c r="D39" s="12"/>
      <c r="E39" s="12"/>
      <c r="F39" s="12"/>
      <c r="G39" s="9"/>
      <c r="H39" s="10"/>
      <c r="I39" s="10"/>
      <c r="J39" s="10"/>
      <c r="K39" s="10"/>
      <c r="L39" s="10"/>
      <c r="M39" s="10"/>
      <c r="N39" s="10"/>
      <c r="O39" s="10"/>
      <c r="P39" s="10"/>
      <c r="Q39" s="10"/>
      <c r="R39" s="10"/>
      <c r="S39" s="10"/>
      <c r="T39" s="10"/>
      <c r="U39" s="10"/>
      <c r="V39" s="10"/>
      <c r="W39" s="10"/>
      <c r="X39" s="10"/>
      <c r="Y39" s="10"/>
      <c r="Z39" s="56"/>
      <c r="AA39" s="10"/>
      <c r="AB39" s="10"/>
      <c r="AC39" s="10"/>
      <c r="AD39" s="10"/>
      <c r="AE39" s="10"/>
      <c r="AF39" s="10"/>
      <c r="AG39" s="10"/>
      <c r="AH39" s="25"/>
    </row>
    <row r="40" spans="1:34" x14ac:dyDescent="0.3">
      <c r="A40" s="3" t="e">
        <f>VLOOKUP(E40,'[2]Listas Desplegables'!$H$3:$J$7,2,FALSE)</f>
        <v>#N/A</v>
      </c>
      <c r="B40" s="3" t="e">
        <f>VLOOKUP(E40,'[2]Listas Desplegables'!$H$3:$J$7,3,FALSE)</f>
        <v>#N/A</v>
      </c>
      <c r="C40" s="8">
        <v>35</v>
      </c>
      <c r="D40" s="12"/>
      <c r="E40" s="12"/>
      <c r="F40" s="12"/>
      <c r="G40" s="9"/>
      <c r="H40" s="10"/>
      <c r="I40" s="10"/>
      <c r="J40" s="10"/>
      <c r="K40" s="10"/>
      <c r="L40" s="10"/>
      <c r="M40" s="10"/>
      <c r="N40" s="10"/>
      <c r="O40" s="10"/>
      <c r="P40" s="10"/>
      <c r="Q40" s="10"/>
      <c r="R40" s="10"/>
      <c r="S40" s="10"/>
      <c r="T40" s="10"/>
      <c r="U40" s="10"/>
      <c r="V40" s="10"/>
      <c r="W40" s="10"/>
      <c r="X40" s="10"/>
      <c r="Y40" s="10"/>
      <c r="Z40" s="56"/>
      <c r="AA40" s="10"/>
      <c r="AB40" s="10"/>
      <c r="AC40" s="10"/>
      <c r="AD40" s="10"/>
      <c r="AE40" s="10"/>
      <c r="AF40" s="10"/>
      <c r="AG40" s="10"/>
      <c r="AH40" s="25"/>
    </row>
    <row r="41" spans="1:34" x14ac:dyDescent="0.3">
      <c r="A41" s="3" t="e">
        <f>VLOOKUP(E41,'[2]Listas Desplegables'!$H$3:$J$7,2,FALSE)</f>
        <v>#N/A</v>
      </c>
      <c r="B41" s="3" t="e">
        <f>VLOOKUP(E41,'[2]Listas Desplegables'!$H$3:$J$7,3,FALSE)</f>
        <v>#N/A</v>
      </c>
      <c r="C41" s="8">
        <v>36</v>
      </c>
      <c r="D41" s="12"/>
      <c r="E41" s="12"/>
      <c r="F41" s="12"/>
      <c r="G41" s="9"/>
      <c r="H41" s="10"/>
      <c r="I41" s="10"/>
      <c r="J41" s="10"/>
      <c r="K41" s="10"/>
      <c r="L41" s="10"/>
      <c r="M41" s="10"/>
      <c r="N41" s="10"/>
      <c r="O41" s="10"/>
      <c r="P41" s="10"/>
      <c r="Q41" s="10"/>
      <c r="R41" s="10"/>
      <c r="S41" s="10"/>
      <c r="T41" s="10"/>
      <c r="U41" s="10"/>
      <c r="V41" s="10"/>
      <c r="W41" s="10"/>
      <c r="X41" s="10"/>
      <c r="Y41" s="10"/>
      <c r="Z41" s="56"/>
      <c r="AA41" s="10"/>
      <c r="AB41" s="10"/>
      <c r="AC41" s="10"/>
      <c r="AD41" s="10"/>
      <c r="AE41" s="10"/>
      <c r="AF41" s="10"/>
      <c r="AG41" s="10"/>
      <c r="AH41" s="25"/>
    </row>
    <row r="42" spans="1:34" x14ac:dyDescent="0.3">
      <c r="A42" s="3" t="e">
        <f>VLOOKUP(E42,'[2]Listas Desplegables'!$H$3:$J$7,2,FALSE)</f>
        <v>#N/A</v>
      </c>
      <c r="B42" s="3" t="e">
        <f>VLOOKUP(E42,'[2]Listas Desplegables'!$H$3:$J$7,3,FALSE)</f>
        <v>#N/A</v>
      </c>
      <c r="C42" s="8">
        <v>37</v>
      </c>
      <c r="D42" s="12"/>
      <c r="E42" s="12"/>
      <c r="F42" s="12"/>
      <c r="G42" s="9"/>
      <c r="H42" s="10"/>
      <c r="I42" s="10"/>
      <c r="J42" s="10"/>
      <c r="K42" s="10"/>
      <c r="L42" s="10"/>
      <c r="M42" s="10"/>
      <c r="N42" s="10"/>
      <c r="O42" s="10"/>
      <c r="P42" s="10"/>
      <c r="Q42" s="10"/>
      <c r="R42" s="10"/>
      <c r="S42" s="10"/>
      <c r="T42" s="10"/>
      <c r="U42" s="10"/>
      <c r="V42" s="10"/>
      <c r="W42" s="10"/>
      <c r="X42" s="10"/>
      <c r="Y42" s="10"/>
      <c r="Z42" s="56"/>
      <c r="AA42" s="10"/>
      <c r="AB42" s="10"/>
      <c r="AC42" s="10"/>
      <c r="AD42" s="10"/>
      <c r="AE42" s="10"/>
      <c r="AF42" s="10"/>
      <c r="AG42" s="10"/>
      <c r="AH42" s="25"/>
    </row>
    <row r="43" spans="1:34" x14ac:dyDescent="0.3">
      <c r="A43" s="3" t="e">
        <f>VLOOKUP(E43,'[2]Listas Desplegables'!$H$3:$J$7,2,FALSE)</f>
        <v>#N/A</v>
      </c>
      <c r="B43" s="3" t="e">
        <f>VLOOKUP(E43,'[2]Listas Desplegables'!$H$3:$J$7,3,FALSE)</f>
        <v>#N/A</v>
      </c>
      <c r="C43" s="8">
        <v>38</v>
      </c>
      <c r="D43" s="12"/>
      <c r="E43" s="12"/>
      <c r="F43" s="12"/>
      <c r="G43" s="9"/>
      <c r="H43" s="10"/>
      <c r="I43" s="10"/>
      <c r="J43" s="10"/>
      <c r="K43" s="10"/>
      <c r="L43" s="10"/>
      <c r="M43" s="10"/>
      <c r="N43" s="10"/>
      <c r="O43" s="10"/>
      <c r="P43" s="10"/>
      <c r="Q43" s="10"/>
      <c r="R43" s="10"/>
      <c r="S43" s="10"/>
      <c r="T43" s="10"/>
      <c r="U43" s="10"/>
      <c r="V43" s="10"/>
      <c r="W43" s="10"/>
      <c r="X43" s="10"/>
      <c r="Y43" s="10"/>
      <c r="Z43" s="56"/>
      <c r="AA43" s="10"/>
      <c r="AB43" s="10"/>
      <c r="AC43" s="10"/>
      <c r="AD43" s="10"/>
      <c r="AE43" s="10"/>
      <c r="AF43" s="10"/>
      <c r="AG43" s="10"/>
      <c r="AH43" s="25"/>
    </row>
    <row r="44" spans="1:34" x14ac:dyDescent="0.3">
      <c r="A44" s="3" t="e">
        <f>VLOOKUP(E44,'[2]Listas Desplegables'!$H$3:$J$7,2,FALSE)</f>
        <v>#N/A</v>
      </c>
      <c r="B44" s="3" t="e">
        <f>VLOOKUP(E44,'[2]Listas Desplegables'!$H$3:$J$7,3,FALSE)</f>
        <v>#N/A</v>
      </c>
      <c r="C44" s="8">
        <v>39</v>
      </c>
      <c r="D44" s="12"/>
      <c r="E44" s="12"/>
      <c r="F44" s="12"/>
      <c r="G44" s="9"/>
      <c r="H44" s="10"/>
      <c r="I44" s="10"/>
      <c r="J44" s="10"/>
      <c r="K44" s="10"/>
      <c r="L44" s="10"/>
      <c r="M44" s="10"/>
      <c r="N44" s="10"/>
      <c r="O44" s="10"/>
      <c r="P44" s="10"/>
      <c r="Q44" s="10"/>
      <c r="R44" s="10"/>
      <c r="S44" s="10"/>
      <c r="T44" s="10"/>
      <c r="U44" s="10"/>
      <c r="V44" s="10"/>
      <c r="W44" s="10"/>
      <c r="X44" s="10"/>
      <c r="Y44" s="10"/>
      <c r="Z44" s="56"/>
      <c r="AA44" s="10"/>
      <c r="AB44" s="10"/>
      <c r="AC44" s="10"/>
      <c r="AD44" s="10"/>
      <c r="AE44" s="10"/>
      <c r="AF44" s="10"/>
      <c r="AG44" s="10"/>
      <c r="AH44" s="25"/>
    </row>
    <row r="45" spans="1:34" x14ac:dyDescent="0.3">
      <c r="A45" s="3" t="e">
        <f>VLOOKUP(E45,'[2]Listas Desplegables'!$H$3:$J$7,2,FALSE)</f>
        <v>#N/A</v>
      </c>
      <c r="B45" s="3" t="e">
        <f>VLOOKUP(E45,'[2]Listas Desplegables'!$H$3:$J$7,3,FALSE)</f>
        <v>#N/A</v>
      </c>
      <c r="C45" s="8">
        <v>40</v>
      </c>
      <c r="D45" s="12"/>
      <c r="E45" s="12"/>
      <c r="F45" s="12"/>
      <c r="G45" s="9"/>
      <c r="H45" s="10"/>
      <c r="I45" s="10"/>
      <c r="J45" s="10"/>
      <c r="K45" s="10"/>
      <c r="L45" s="10"/>
      <c r="M45" s="10"/>
      <c r="N45" s="10"/>
      <c r="O45" s="10"/>
      <c r="P45" s="10"/>
      <c r="Q45" s="10"/>
      <c r="R45" s="10"/>
      <c r="S45" s="10"/>
      <c r="T45" s="10"/>
      <c r="U45" s="10"/>
      <c r="V45" s="10"/>
      <c r="W45" s="10"/>
      <c r="X45" s="10"/>
      <c r="Y45" s="10"/>
      <c r="Z45" s="56"/>
      <c r="AA45" s="10"/>
      <c r="AB45" s="10"/>
      <c r="AC45" s="10"/>
      <c r="AD45" s="10"/>
      <c r="AE45" s="10"/>
      <c r="AF45" s="10"/>
      <c r="AG45" s="10"/>
      <c r="AH45" s="25"/>
    </row>
    <row r="46" spans="1:34" x14ac:dyDescent="0.3">
      <c r="A46" s="3" t="e">
        <f>VLOOKUP(E46,'[2]Listas Desplegables'!$H$3:$J$7,2,FALSE)</f>
        <v>#N/A</v>
      </c>
      <c r="B46" s="3" t="e">
        <f>VLOOKUP(E46,'[2]Listas Desplegables'!$H$3:$J$7,3,FALSE)</f>
        <v>#N/A</v>
      </c>
      <c r="C46" s="8">
        <v>41</v>
      </c>
      <c r="D46" s="12"/>
      <c r="E46" s="12"/>
      <c r="F46" s="12"/>
      <c r="G46" s="9"/>
      <c r="H46" s="10"/>
      <c r="I46" s="10"/>
      <c r="J46" s="10"/>
      <c r="K46" s="10"/>
      <c r="L46" s="10"/>
      <c r="M46" s="10"/>
      <c r="N46" s="10"/>
      <c r="O46" s="10"/>
      <c r="P46" s="10"/>
      <c r="Q46" s="10"/>
      <c r="R46" s="10"/>
      <c r="S46" s="10"/>
      <c r="T46" s="10"/>
      <c r="U46" s="10"/>
      <c r="V46" s="10"/>
      <c r="W46" s="10"/>
      <c r="X46" s="10"/>
      <c r="Y46" s="10"/>
      <c r="Z46" s="56"/>
      <c r="AA46" s="10"/>
      <c r="AB46" s="10"/>
      <c r="AC46" s="10"/>
      <c r="AD46" s="10"/>
      <c r="AE46" s="10"/>
      <c r="AF46" s="10"/>
      <c r="AG46" s="10"/>
      <c r="AH46" s="25"/>
    </row>
    <row r="47" spans="1:34" x14ac:dyDescent="0.3">
      <c r="A47" s="3" t="e">
        <f>VLOOKUP(E47,'[2]Listas Desplegables'!$H$3:$J$7,2,FALSE)</f>
        <v>#N/A</v>
      </c>
      <c r="B47" s="3" t="e">
        <f>VLOOKUP(E47,'[2]Listas Desplegables'!$H$3:$J$7,3,FALSE)</f>
        <v>#N/A</v>
      </c>
      <c r="C47" s="8">
        <v>42</v>
      </c>
      <c r="D47" s="12"/>
      <c r="E47" s="12"/>
      <c r="F47" s="12"/>
      <c r="G47" s="9"/>
      <c r="H47" s="10"/>
      <c r="I47" s="10"/>
      <c r="J47" s="10"/>
      <c r="K47" s="10"/>
      <c r="L47" s="10"/>
      <c r="M47" s="10"/>
      <c r="N47" s="10"/>
      <c r="O47" s="10"/>
      <c r="P47" s="10"/>
      <c r="Q47" s="10"/>
      <c r="R47" s="10"/>
      <c r="S47" s="10"/>
      <c r="T47" s="10"/>
      <c r="U47" s="10"/>
      <c r="V47" s="10"/>
      <c r="W47" s="10"/>
      <c r="X47" s="10"/>
      <c r="Y47" s="10"/>
      <c r="Z47" s="56"/>
      <c r="AA47" s="10"/>
      <c r="AB47" s="10"/>
      <c r="AC47" s="10"/>
      <c r="AD47" s="10"/>
      <c r="AE47" s="10"/>
      <c r="AF47" s="10"/>
      <c r="AG47" s="10"/>
      <c r="AH47" s="25"/>
    </row>
    <row r="48" spans="1:34" x14ac:dyDescent="0.3">
      <c r="A48" s="3" t="e">
        <f>VLOOKUP(E48,'[2]Listas Desplegables'!$H$3:$J$7,2,FALSE)</f>
        <v>#N/A</v>
      </c>
      <c r="B48" s="3" t="e">
        <f>VLOOKUP(E48,'[2]Listas Desplegables'!$H$3:$J$7,3,FALSE)</f>
        <v>#N/A</v>
      </c>
      <c r="C48" s="8">
        <v>43</v>
      </c>
      <c r="D48" s="12"/>
      <c r="E48" s="12"/>
      <c r="F48" s="12"/>
      <c r="G48" s="9"/>
      <c r="H48" s="10"/>
      <c r="I48" s="10"/>
      <c r="J48" s="10"/>
      <c r="K48" s="10"/>
      <c r="L48" s="10"/>
      <c r="M48" s="10"/>
      <c r="N48" s="10"/>
      <c r="O48" s="10"/>
      <c r="P48" s="10"/>
      <c r="Q48" s="10"/>
      <c r="R48" s="10"/>
      <c r="S48" s="10"/>
      <c r="T48" s="10"/>
      <c r="U48" s="10"/>
      <c r="V48" s="10"/>
      <c r="W48" s="10"/>
      <c r="X48" s="10"/>
      <c r="Y48" s="10"/>
      <c r="Z48" s="56"/>
      <c r="AA48" s="10"/>
      <c r="AB48" s="10"/>
      <c r="AC48" s="10"/>
      <c r="AD48" s="10"/>
      <c r="AE48" s="10"/>
      <c r="AF48" s="10"/>
      <c r="AG48" s="10"/>
      <c r="AH48" s="25"/>
    </row>
    <row r="49" spans="1:34" x14ac:dyDescent="0.3">
      <c r="A49" s="3" t="e">
        <f>VLOOKUP(E49,'[2]Listas Desplegables'!$H$3:$J$7,2,FALSE)</f>
        <v>#N/A</v>
      </c>
      <c r="B49" s="3" t="e">
        <f>VLOOKUP(E49,'[2]Listas Desplegables'!$H$3:$J$7,3,FALSE)</f>
        <v>#N/A</v>
      </c>
      <c r="C49" s="8">
        <v>44</v>
      </c>
      <c r="D49" s="12"/>
      <c r="E49" s="12"/>
      <c r="F49" s="12"/>
      <c r="G49" s="9"/>
      <c r="H49" s="10"/>
      <c r="I49" s="10"/>
      <c r="J49" s="10"/>
      <c r="K49" s="10"/>
      <c r="L49" s="10"/>
      <c r="M49" s="10"/>
      <c r="N49" s="10"/>
      <c r="O49" s="10"/>
      <c r="P49" s="10"/>
      <c r="Q49" s="10"/>
      <c r="R49" s="10"/>
      <c r="S49" s="10"/>
      <c r="T49" s="10"/>
      <c r="U49" s="10"/>
      <c r="V49" s="10"/>
      <c r="W49" s="10"/>
      <c r="X49" s="10"/>
      <c r="Y49" s="10"/>
      <c r="Z49" s="56"/>
      <c r="AA49" s="10"/>
      <c r="AB49" s="10"/>
      <c r="AC49" s="10"/>
      <c r="AD49" s="10"/>
      <c r="AE49" s="10"/>
      <c r="AF49" s="10"/>
      <c r="AG49" s="10"/>
      <c r="AH49" s="25"/>
    </row>
    <row r="50" spans="1:34" x14ac:dyDescent="0.3">
      <c r="A50" s="3" t="e">
        <f>VLOOKUP(E50,'[2]Listas Desplegables'!$H$3:$J$7,2,FALSE)</f>
        <v>#N/A</v>
      </c>
      <c r="B50" s="3" t="e">
        <f>VLOOKUP(E50,'[2]Listas Desplegables'!$H$3:$J$7,3,FALSE)</f>
        <v>#N/A</v>
      </c>
      <c r="C50" s="8">
        <v>45</v>
      </c>
      <c r="D50" s="12"/>
      <c r="E50" s="12"/>
      <c r="F50" s="12"/>
      <c r="G50" s="9"/>
      <c r="H50" s="10"/>
      <c r="I50" s="10"/>
      <c r="J50" s="10"/>
      <c r="K50" s="10"/>
      <c r="L50" s="10"/>
      <c r="M50" s="10"/>
      <c r="N50" s="10"/>
      <c r="O50" s="10"/>
      <c r="P50" s="10"/>
      <c r="Q50" s="10"/>
      <c r="R50" s="10"/>
      <c r="S50" s="10"/>
      <c r="T50" s="10"/>
      <c r="U50" s="10"/>
      <c r="V50" s="10"/>
      <c r="W50" s="10"/>
      <c r="X50" s="10"/>
      <c r="Y50" s="10"/>
      <c r="Z50" s="56"/>
      <c r="AA50" s="10"/>
      <c r="AB50" s="10"/>
      <c r="AC50" s="10"/>
      <c r="AD50" s="10"/>
      <c r="AE50" s="10"/>
      <c r="AF50" s="10"/>
      <c r="AG50" s="10"/>
      <c r="AH50" s="25"/>
    </row>
    <row r="51" spans="1:34" x14ac:dyDescent="0.3">
      <c r="A51" s="3" t="e">
        <f>VLOOKUP(E51,'[2]Listas Desplegables'!$H$3:$J$7,2,FALSE)</f>
        <v>#N/A</v>
      </c>
      <c r="B51" s="3" t="e">
        <f>VLOOKUP(E51,'[2]Listas Desplegables'!$H$3:$J$7,3,FALSE)</f>
        <v>#N/A</v>
      </c>
      <c r="C51" s="8">
        <v>46</v>
      </c>
      <c r="D51" s="12"/>
      <c r="E51" s="12"/>
      <c r="F51" s="12"/>
      <c r="G51" s="9"/>
      <c r="H51" s="10"/>
      <c r="I51" s="10"/>
      <c r="J51" s="10"/>
      <c r="K51" s="10"/>
      <c r="L51" s="10"/>
      <c r="M51" s="10"/>
      <c r="N51" s="10"/>
      <c r="O51" s="10"/>
      <c r="P51" s="10"/>
      <c r="Q51" s="10"/>
      <c r="R51" s="10"/>
      <c r="S51" s="10"/>
      <c r="T51" s="10"/>
      <c r="U51" s="10"/>
      <c r="V51" s="10"/>
      <c r="W51" s="10"/>
      <c r="X51" s="10"/>
      <c r="Y51" s="10"/>
      <c r="Z51" s="56"/>
      <c r="AA51" s="10"/>
      <c r="AB51" s="10"/>
      <c r="AC51" s="10"/>
      <c r="AD51" s="10"/>
      <c r="AE51" s="10"/>
      <c r="AF51" s="10"/>
      <c r="AG51" s="10"/>
      <c r="AH51" s="25"/>
    </row>
    <row r="52" spans="1:34" x14ac:dyDescent="0.3">
      <c r="A52" s="3" t="e">
        <f>VLOOKUP(E52,'[2]Listas Desplegables'!$H$3:$J$7,2,FALSE)</f>
        <v>#N/A</v>
      </c>
      <c r="B52" s="3" t="e">
        <f>VLOOKUP(E52,'[2]Listas Desplegables'!$H$3:$J$7,3,FALSE)</f>
        <v>#N/A</v>
      </c>
      <c r="C52" s="8">
        <v>47</v>
      </c>
      <c r="D52" s="12"/>
      <c r="E52" s="12"/>
      <c r="F52" s="12"/>
      <c r="G52" s="9"/>
      <c r="H52" s="10"/>
      <c r="I52" s="10"/>
      <c r="J52" s="10"/>
      <c r="K52" s="10"/>
      <c r="L52" s="10"/>
      <c r="M52" s="10"/>
      <c r="N52" s="10"/>
      <c r="O52" s="10"/>
      <c r="P52" s="10"/>
      <c r="Q52" s="10"/>
      <c r="R52" s="10"/>
      <c r="S52" s="10"/>
      <c r="T52" s="10"/>
      <c r="U52" s="10"/>
      <c r="V52" s="10"/>
      <c r="W52" s="10"/>
      <c r="X52" s="10"/>
      <c r="Y52" s="10"/>
      <c r="Z52" s="56"/>
      <c r="AA52" s="10"/>
      <c r="AB52" s="10"/>
      <c r="AC52" s="10"/>
      <c r="AD52" s="10"/>
      <c r="AE52" s="10"/>
      <c r="AF52" s="10"/>
      <c r="AG52" s="10"/>
      <c r="AH52" s="25"/>
    </row>
    <row r="53" spans="1:34" x14ac:dyDescent="0.3">
      <c r="A53" s="3" t="e">
        <f>VLOOKUP(E53,'[2]Listas Desplegables'!$H$3:$J$7,2,FALSE)</f>
        <v>#N/A</v>
      </c>
      <c r="B53" s="3" t="e">
        <f>VLOOKUP(E53,'[2]Listas Desplegables'!$H$3:$J$7,3,FALSE)</f>
        <v>#N/A</v>
      </c>
      <c r="C53" s="8">
        <v>48</v>
      </c>
      <c r="D53" s="12"/>
      <c r="E53" s="12"/>
      <c r="F53" s="12"/>
      <c r="G53" s="9"/>
      <c r="H53" s="10"/>
      <c r="I53" s="10"/>
      <c r="J53" s="10"/>
      <c r="K53" s="10"/>
      <c r="L53" s="10"/>
      <c r="M53" s="10"/>
      <c r="N53" s="10"/>
      <c r="O53" s="10"/>
      <c r="P53" s="10"/>
      <c r="Q53" s="10"/>
      <c r="R53" s="10"/>
      <c r="S53" s="10"/>
      <c r="T53" s="10"/>
      <c r="U53" s="10"/>
      <c r="V53" s="10"/>
      <c r="W53" s="10"/>
      <c r="X53" s="10"/>
      <c r="Y53" s="10"/>
      <c r="Z53" s="56"/>
      <c r="AA53" s="10"/>
      <c r="AB53" s="10"/>
      <c r="AC53" s="10"/>
      <c r="AD53" s="10"/>
      <c r="AE53" s="10"/>
      <c r="AF53" s="10"/>
      <c r="AG53" s="10"/>
      <c r="AH53" s="25"/>
    </row>
    <row r="54" spans="1:34" x14ac:dyDescent="0.3">
      <c r="A54" s="3" t="e">
        <f>VLOOKUP(E54,'[2]Listas Desplegables'!$H$3:$J$7,2,FALSE)</f>
        <v>#N/A</v>
      </c>
      <c r="B54" s="3" t="e">
        <f>VLOOKUP(E54,'[2]Listas Desplegables'!$H$3:$J$7,3,FALSE)</f>
        <v>#N/A</v>
      </c>
      <c r="C54" s="8">
        <v>49</v>
      </c>
      <c r="D54" s="12"/>
      <c r="E54" s="12"/>
      <c r="F54" s="12"/>
      <c r="G54" s="9"/>
      <c r="H54" s="10"/>
      <c r="I54" s="10"/>
      <c r="J54" s="10"/>
      <c r="K54" s="10"/>
      <c r="L54" s="10"/>
      <c r="M54" s="10"/>
      <c r="N54" s="10"/>
      <c r="O54" s="10"/>
      <c r="P54" s="10"/>
      <c r="Q54" s="10"/>
      <c r="R54" s="10"/>
      <c r="S54" s="10"/>
      <c r="T54" s="10"/>
      <c r="U54" s="10"/>
      <c r="V54" s="10"/>
      <c r="W54" s="10"/>
      <c r="X54" s="10"/>
      <c r="Y54" s="10"/>
      <c r="Z54" s="56"/>
      <c r="AA54" s="10"/>
      <c r="AB54" s="10"/>
      <c r="AC54" s="10"/>
      <c r="AD54" s="10"/>
      <c r="AE54" s="10"/>
      <c r="AF54" s="10"/>
      <c r="AG54" s="10"/>
      <c r="AH54" s="25"/>
    </row>
    <row r="55" spans="1:34" ht="15" thickBot="1" x14ac:dyDescent="0.35">
      <c r="A55" s="3" t="e">
        <f>VLOOKUP(E55,'[2]Listas Desplegables'!$H$3:$J$7,2,FALSE)</f>
        <v>#N/A</v>
      </c>
      <c r="B55" s="3" t="e">
        <f>VLOOKUP(E55,'[2]Listas Desplegables'!$H$3:$J$7,3,FALSE)</f>
        <v>#N/A</v>
      </c>
      <c r="C55" s="13" t="s">
        <v>4</v>
      </c>
      <c r="D55" s="14"/>
      <c r="E55" s="14"/>
      <c r="F55" s="14"/>
      <c r="G55" s="14"/>
      <c r="H55" s="15"/>
      <c r="I55" s="15"/>
      <c r="J55" s="15"/>
      <c r="K55" s="15"/>
      <c r="L55" s="15"/>
      <c r="M55" s="15"/>
      <c r="N55" s="15"/>
      <c r="O55" s="15"/>
      <c r="P55" s="15"/>
      <c r="Q55" s="15"/>
      <c r="R55" s="15"/>
      <c r="S55" s="15"/>
      <c r="T55" s="15"/>
      <c r="U55" s="15"/>
      <c r="V55" s="15"/>
      <c r="W55" s="15"/>
      <c r="X55" s="15"/>
      <c r="Y55" s="15"/>
      <c r="Z55" s="57"/>
      <c r="AA55" s="15"/>
      <c r="AB55" s="15"/>
      <c r="AC55" s="15"/>
      <c r="AD55" s="15"/>
      <c r="AE55" s="15"/>
      <c r="AF55" s="15"/>
      <c r="AG55" s="15"/>
      <c r="AH55" s="26"/>
    </row>
  </sheetData>
  <autoFilter ref="A5:AH5" xr:uid="{00000000-0009-0000-0000-000002000000}"/>
  <mergeCells count="32">
    <mergeCell ref="AB4:AB5"/>
    <mergeCell ref="AH4:AH5"/>
    <mergeCell ref="Z4:Z5"/>
    <mergeCell ref="Y4:Y5"/>
    <mergeCell ref="AC4:AC5"/>
    <mergeCell ref="AD4:AD5"/>
    <mergeCell ref="AE4:AE5"/>
    <mergeCell ref="AF4:AF5"/>
    <mergeCell ref="AG4:AG5"/>
    <mergeCell ref="V4:V5"/>
    <mergeCell ref="W4:X4"/>
    <mergeCell ref="AA4:AA5"/>
    <mergeCell ref="R4:R5"/>
    <mergeCell ref="S4:S5"/>
    <mergeCell ref="T4:T5"/>
    <mergeCell ref="U4:U5"/>
    <mergeCell ref="Q4:Q5"/>
    <mergeCell ref="C3:AH3"/>
    <mergeCell ref="C4:C5"/>
    <mergeCell ref="D4:D5"/>
    <mergeCell ref="E4:E5"/>
    <mergeCell ref="F4:F5"/>
    <mergeCell ref="G4:G5"/>
    <mergeCell ref="H4:H5"/>
    <mergeCell ref="I4:I5"/>
    <mergeCell ref="J4:J5"/>
    <mergeCell ref="K4:K5"/>
    <mergeCell ref="L4:L5"/>
    <mergeCell ref="M4:M5"/>
    <mergeCell ref="N4:N5"/>
    <mergeCell ref="O4:O5"/>
    <mergeCell ref="P4:P5"/>
  </mergeCells>
  <dataValidations count="3">
    <dataValidation type="decimal" allowBlank="1" showInputMessage="1" showErrorMessage="1" sqref="M14:X1048576 F6:K11 F14:K1048576 M6:X11" xr:uid="{00000000-0002-0000-0200-000000000000}">
      <formula1>-1000000</formula1>
      <formula2>10000000</formula2>
    </dataValidation>
    <dataValidation type="date" operator="greaterThan" allowBlank="1" showInputMessage="1" showErrorMessage="1" sqref="Z6:Z11 Z14:Z1048576" xr:uid="{00000000-0002-0000-0200-000001000000}">
      <formula1>1</formula1>
    </dataValidation>
    <dataValidation type="decimal" allowBlank="1" showInputMessage="1" showErrorMessage="1" sqref="AH6:AH11 AH16:AH1048576" xr:uid="{00000000-0002-0000-0200-000002000000}">
      <formula1>-10000000</formula1>
      <formula2>100000000000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3000000}">
          <x14:formula1>
            <xm:f>'Listas Desplegables'!$B$16:$B$17</xm:f>
          </x14:formula1>
          <xm:sqref>Y6:Y11 Y14:Y1048576</xm:sqref>
        </x14:dataValidation>
        <x14:dataValidation type="list" allowBlank="1" showInputMessage="1" showErrorMessage="1" xr:uid="{00000000-0002-0000-0200-000004000000}">
          <x14:formula1>
            <xm:f>'Listas Desplegables'!$B$19:$B$21</xm:f>
          </x14:formula1>
          <xm:sqref>AA6:AA11 AA14:AA1048576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theme="9"/>
  </sheetPr>
  <dimension ref="A2:Y98"/>
  <sheetViews>
    <sheetView tabSelected="1" topLeftCell="A69" zoomScale="115" zoomScaleNormal="115" workbookViewId="0">
      <selection activeCell="V98" sqref="V98"/>
    </sheetView>
    <sheetView topLeftCell="A21" workbookViewId="1">
      <selection activeCell="D88" sqref="D88"/>
    </sheetView>
  </sheetViews>
  <sheetFormatPr baseColWidth="10" defaultColWidth="11.5546875" defaultRowHeight="14.4" x14ac:dyDescent="0.3"/>
  <cols>
    <col min="1" max="2" width="3" style="3" customWidth="1"/>
    <col min="3" max="3" width="6.6640625" style="2" customWidth="1"/>
    <col min="4" max="4" width="36.6640625" bestFit="1" customWidth="1"/>
    <col min="5" max="5" width="16.109375" customWidth="1"/>
    <col min="6" max="7" width="12.6640625" customWidth="1"/>
    <col min="8" max="9" width="11.5546875" customWidth="1"/>
    <col min="10" max="11" width="14.88671875" customWidth="1"/>
    <col min="12" max="12" width="11.44140625" customWidth="1"/>
    <col min="13" max="18" width="11.5546875" customWidth="1"/>
    <col min="19" max="19" width="11.5546875" style="55"/>
    <col min="21" max="21" width="11.5546875" customWidth="1"/>
    <col min="22" max="24" width="16.5546875" customWidth="1"/>
    <col min="25" max="25" width="159.109375" bestFit="1" customWidth="1"/>
  </cols>
  <sheetData>
    <row r="2" spans="1:25" ht="15" thickBot="1" x14ac:dyDescent="0.35"/>
    <row r="3" spans="1:25" s="1" customFormat="1" ht="15" thickBot="1" x14ac:dyDescent="0.35">
      <c r="A3" s="4"/>
      <c r="B3" s="4"/>
      <c r="C3" s="169" t="s">
        <v>52</v>
      </c>
      <c r="D3" s="170"/>
      <c r="E3" s="170"/>
      <c r="F3" s="170"/>
      <c r="G3" s="170"/>
      <c r="H3" s="170"/>
      <c r="I3" s="170"/>
      <c r="J3" s="170"/>
      <c r="K3" s="170"/>
      <c r="L3" s="170"/>
      <c r="M3" s="170"/>
      <c r="N3" s="170"/>
      <c r="O3" s="170"/>
      <c r="P3" s="170"/>
      <c r="Q3" s="170"/>
      <c r="R3" s="170"/>
      <c r="S3" s="170"/>
      <c r="T3" s="170"/>
      <c r="U3" s="170"/>
      <c r="V3" s="170"/>
      <c r="W3" s="170"/>
      <c r="X3" s="170"/>
      <c r="Y3" s="171"/>
    </row>
    <row r="4" spans="1:25" s="6" customFormat="1" ht="12" customHeight="1" thickBot="1" x14ac:dyDescent="0.35">
      <c r="A4" s="5"/>
      <c r="B4" s="5"/>
      <c r="C4" s="174" t="s">
        <v>3</v>
      </c>
      <c r="D4" s="172" t="str">
        <f>'Manual de Uso'!C83</f>
        <v>Nombre</v>
      </c>
      <c r="E4" s="172" t="str">
        <f>'Manual de Uso'!C84</f>
        <v>Subestación</v>
      </c>
      <c r="F4" s="172" t="str">
        <f>'Manual de Uso'!C85</f>
        <v>Nivel de tensión HV [kV]</v>
      </c>
      <c r="G4" s="172" t="str">
        <f>'Manual de Uso'!C86</f>
        <v>Nivel de tensión LV [kV]</v>
      </c>
      <c r="H4" s="172" t="str">
        <f>'Manual de Uso'!C87</f>
        <v>Capacidad [MVA]</v>
      </c>
      <c r="I4" s="172" t="str">
        <f>'Manual de Uso'!C88</f>
        <v>Grupo de conexión</v>
      </c>
      <c r="J4" s="172" t="str">
        <f>'Manual de Uso'!C89</f>
        <v>Impedancia Secuencia +[%]</v>
      </c>
      <c r="K4" s="172" t="str">
        <f>'Manual de Uso'!C90</f>
        <v>Impedancia Secuencia 0[%]</v>
      </c>
      <c r="L4" s="172" t="str">
        <f>'Manual de Uso'!C91</f>
        <v>Posición Neutral Tap</v>
      </c>
      <c r="M4" s="172" t="str">
        <f>'Manual de Uso'!C92</f>
        <v>Posición Máxima Tap</v>
      </c>
      <c r="N4" s="172" t="str">
        <f>'Manual de Uso'!C93</f>
        <v>Posición Mínima Tap</v>
      </c>
      <c r="O4" s="172" t="str">
        <f>'Manual de Uso'!C94</f>
        <v>Delta Tap [%]</v>
      </c>
      <c r="P4" s="176" t="str">
        <f>'Manual de Uso'!C95</f>
        <v>Sobrecarga en emergencia</v>
      </c>
      <c r="Q4" s="177"/>
      <c r="R4" s="172" t="str">
        <f>'Manual de Uso'!C96</f>
        <v>En Operación</v>
      </c>
      <c r="S4" s="178" t="str">
        <f>'Manual de Uso'!C97</f>
        <v>FPO</v>
      </c>
      <c r="T4" s="178" t="str">
        <f>'Manual de Uso'!C98</f>
        <v>Sistema</v>
      </c>
      <c r="U4" s="172" t="str">
        <f>'Manual de Uso'!C99</f>
        <v>Pérdidas Cu [kW]</v>
      </c>
      <c r="V4" s="172" t="str">
        <f>'Manual de Uso'!C100</f>
        <v>Tiempo medio de reparación por evento [h]</v>
      </c>
      <c r="W4" s="172" t="str">
        <f>'Manual de Uso'!C101</f>
        <v>Horas anuales de indisponibilidad [h]</v>
      </c>
      <c r="X4" s="172" t="str">
        <f>'Manual de Uso'!C102</f>
        <v>Eventos anuales de indisponibilidad</v>
      </c>
      <c r="Y4" s="172" t="str">
        <f>'Manual de Uso'!C103</f>
        <v>Observaciones transportador</v>
      </c>
    </row>
    <row r="5" spans="1:25" s="6" customFormat="1" ht="24" customHeight="1" thickBot="1" x14ac:dyDescent="0.35">
      <c r="A5" s="5"/>
      <c r="B5" s="5"/>
      <c r="C5" s="175"/>
      <c r="D5" s="173"/>
      <c r="E5" s="173"/>
      <c r="F5" s="173"/>
      <c r="G5" s="173"/>
      <c r="H5" s="173"/>
      <c r="I5" s="173"/>
      <c r="J5" s="173"/>
      <c r="K5" s="173"/>
      <c r="L5" s="173"/>
      <c r="M5" s="173"/>
      <c r="N5" s="173"/>
      <c r="O5" s="173"/>
      <c r="P5" s="27" t="s">
        <v>44</v>
      </c>
      <c r="Q5" s="27" t="s">
        <v>45</v>
      </c>
      <c r="R5" s="173"/>
      <c r="S5" s="179"/>
      <c r="T5" s="179"/>
      <c r="U5" s="173"/>
      <c r="V5" s="173"/>
      <c r="W5" s="173"/>
      <c r="X5" s="173"/>
      <c r="Y5" s="173"/>
    </row>
    <row r="6" spans="1:25" x14ac:dyDescent="0.3">
      <c r="A6" s="3" t="e">
        <f>VLOOKUP(E6,'[2]Listas Desplegables'!$H$3:$J$7,2,FALSE)</f>
        <v>#N/A</v>
      </c>
      <c r="B6" s="3" t="e">
        <f>VLOOKUP(E6,'[2]Listas Desplegables'!$H$3:$J$7,3,FALSE)</f>
        <v>#N/A</v>
      </c>
      <c r="C6" s="21">
        <v>1</v>
      </c>
      <c r="D6" s="90" t="s">
        <v>305</v>
      </c>
      <c r="E6" s="22" t="s">
        <v>288</v>
      </c>
      <c r="F6" s="82">
        <v>115</v>
      </c>
      <c r="G6" s="87">
        <v>13.8</v>
      </c>
      <c r="H6" s="87">
        <v>25</v>
      </c>
      <c r="I6" s="87" t="s">
        <v>350</v>
      </c>
      <c r="J6" s="87">
        <v>8.52</v>
      </c>
      <c r="K6" s="87">
        <v>8.52</v>
      </c>
      <c r="L6" s="87">
        <v>5</v>
      </c>
      <c r="M6" s="87">
        <v>15</v>
      </c>
      <c r="N6" s="87">
        <v>1</v>
      </c>
      <c r="O6" s="87">
        <v>1.25</v>
      </c>
      <c r="P6" s="102">
        <v>1.31</v>
      </c>
      <c r="Q6" s="87">
        <v>30</v>
      </c>
      <c r="R6" s="87" t="s">
        <v>114</v>
      </c>
      <c r="S6" s="54"/>
      <c r="T6" s="87" t="s">
        <v>106</v>
      </c>
      <c r="U6" s="87">
        <v>68.5</v>
      </c>
      <c r="V6" s="23">
        <v>17.857430555624887</v>
      </c>
      <c r="W6" s="23">
        <v>71.429722222499549</v>
      </c>
      <c r="X6" s="23">
        <v>4</v>
      </c>
      <c r="Y6" s="24"/>
    </row>
    <row r="7" spans="1:25" x14ac:dyDescent="0.3">
      <c r="A7" s="3" t="e">
        <f>VLOOKUP(E7,'[2]Listas Desplegables'!$H$3:$J$7,2,FALSE)</f>
        <v>#N/A</v>
      </c>
      <c r="B7" s="3" t="e">
        <f>VLOOKUP(E7,'[2]Listas Desplegables'!$H$3:$J$7,3,FALSE)</f>
        <v>#N/A</v>
      </c>
      <c r="C7" s="8">
        <v>2</v>
      </c>
      <c r="D7" s="90" t="s">
        <v>306</v>
      </c>
      <c r="E7" s="9" t="s">
        <v>288</v>
      </c>
      <c r="F7" s="83">
        <v>115</v>
      </c>
      <c r="G7" s="86">
        <v>13.8</v>
      </c>
      <c r="H7" s="86">
        <v>40</v>
      </c>
      <c r="I7" s="86" t="s">
        <v>350</v>
      </c>
      <c r="J7" s="86">
        <v>12.45</v>
      </c>
      <c r="K7" s="86">
        <v>12.45</v>
      </c>
      <c r="L7" s="86">
        <v>5</v>
      </c>
      <c r="M7" s="86">
        <v>15</v>
      </c>
      <c r="N7" s="86">
        <v>1</v>
      </c>
      <c r="O7" s="86">
        <v>1.25</v>
      </c>
      <c r="P7" s="101">
        <v>1.05</v>
      </c>
      <c r="Q7" s="86">
        <v>30</v>
      </c>
      <c r="R7" s="86" t="s">
        <v>114</v>
      </c>
      <c r="S7" s="56"/>
      <c r="T7" s="86" t="s">
        <v>106</v>
      </c>
      <c r="U7" s="86">
        <v>115</v>
      </c>
      <c r="V7" s="10">
        <v>16.077166666695849</v>
      </c>
      <c r="W7" s="10">
        <v>80.385833333479241</v>
      </c>
      <c r="X7" s="10">
        <v>5</v>
      </c>
      <c r="Y7" s="25"/>
    </row>
    <row r="8" spans="1:25" x14ac:dyDescent="0.3">
      <c r="A8" s="3" t="e">
        <f>VLOOKUP(E8,'[2]Listas Desplegables'!$H$3:$J$7,2,FALSE)</f>
        <v>#N/A</v>
      </c>
      <c r="B8" s="3" t="e">
        <f>VLOOKUP(E8,'[2]Listas Desplegables'!$H$3:$J$7,3,FALSE)</f>
        <v>#N/A</v>
      </c>
      <c r="C8" s="8">
        <v>3</v>
      </c>
      <c r="D8" s="90" t="s">
        <v>307</v>
      </c>
      <c r="E8" s="9" t="s">
        <v>288</v>
      </c>
      <c r="F8" s="83">
        <v>115</v>
      </c>
      <c r="G8" s="86">
        <v>34.5</v>
      </c>
      <c r="H8" s="86">
        <v>47</v>
      </c>
      <c r="I8" s="86" t="s">
        <v>350</v>
      </c>
      <c r="J8" s="86">
        <v>14.993</v>
      </c>
      <c r="K8" s="86">
        <v>14.993</v>
      </c>
      <c r="L8" s="86">
        <v>9</v>
      </c>
      <c r="M8" s="86">
        <v>17</v>
      </c>
      <c r="N8" s="86">
        <v>1</v>
      </c>
      <c r="O8" s="86">
        <v>1.25</v>
      </c>
      <c r="P8" s="101">
        <v>1.1499999999999999</v>
      </c>
      <c r="Q8" s="86">
        <v>30</v>
      </c>
      <c r="R8" s="86" t="s">
        <v>114</v>
      </c>
      <c r="S8" s="56"/>
      <c r="T8" s="86" t="s">
        <v>106</v>
      </c>
      <c r="U8" s="86">
        <v>189.36</v>
      </c>
      <c r="V8" s="10">
        <v>31.506666666653473</v>
      </c>
      <c r="W8" s="10">
        <v>31.506666666653473</v>
      </c>
      <c r="X8" s="10">
        <v>1</v>
      </c>
      <c r="Y8" s="25"/>
    </row>
    <row r="9" spans="1:25" x14ac:dyDescent="0.3">
      <c r="A9" s="3" t="e">
        <f>VLOOKUP(E9,'[2]Listas Desplegables'!$H$3:$J$7,2,FALSE)</f>
        <v>#N/A</v>
      </c>
      <c r="B9" s="3" t="e">
        <f>VLOOKUP(E9,'[2]Listas Desplegables'!$H$3:$J$7,3,FALSE)</f>
        <v>#N/A</v>
      </c>
      <c r="C9" s="8">
        <v>4</v>
      </c>
      <c r="D9" s="90" t="s">
        <v>308</v>
      </c>
      <c r="E9" s="9" t="s">
        <v>294</v>
      </c>
      <c r="F9" s="83">
        <v>115</v>
      </c>
      <c r="G9" s="86">
        <v>34.5</v>
      </c>
      <c r="H9" s="86">
        <v>47</v>
      </c>
      <c r="I9" s="86" t="s">
        <v>350</v>
      </c>
      <c r="J9" s="86">
        <v>14.366300000000001</v>
      </c>
      <c r="K9" s="86">
        <v>14.366300000000001</v>
      </c>
      <c r="L9" s="86">
        <v>7</v>
      </c>
      <c r="M9" s="86">
        <v>15</v>
      </c>
      <c r="N9" s="86">
        <v>1</v>
      </c>
      <c r="O9" s="86">
        <v>1.25</v>
      </c>
      <c r="P9" s="101">
        <v>1.1100000000000001</v>
      </c>
      <c r="Q9" s="86">
        <v>30</v>
      </c>
      <c r="R9" s="86" t="s">
        <v>114</v>
      </c>
      <c r="S9" s="56"/>
      <c r="T9" s="86" t="s">
        <v>106</v>
      </c>
      <c r="U9" s="86">
        <v>189.36</v>
      </c>
      <c r="V9" s="10">
        <v>21.892314814787824</v>
      </c>
      <c r="W9" s="10">
        <v>65.676944444363471</v>
      </c>
      <c r="X9" s="10">
        <v>3</v>
      </c>
      <c r="Y9" s="25"/>
    </row>
    <row r="10" spans="1:25" x14ac:dyDescent="0.3">
      <c r="A10" s="3" t="e">
        <f>VLOOKUP(E10,'[2]Listas Desplegables'!$H$3:$J$7,2,FALSE)</f>
        <v>#N/A</v>
      </c>
      <c r="B10" s="3" t="e">
        <f>VLOOKUP(E10,'[2]Listas Desplegables'!$H$3:$J$7,3,FALSE)</f>
        <v>#N/A</v>
      </c>
      <c r="C10" s="8">
        <v>5</v>
      </c>
      <c r="D10" s="90" t="s">
        <v>309</v>
      </c>
      <c r="E10" s="9" t="s">
        <v>294</v>
      </c>
      <c r="F10" s="83">
        <v>115</v>
      </c>
      <c r="G10" s="86">
        <v>13.8</v>
      </c>
      <c r="H10" s="86">
        <v>47</v>
      </c>
      <c r="I10" s="86" t="s">
        <v>350</v>
      </c>
      <c r="J10" s="86">
        <v>15.09</v>
      </c>
      <c r="K10" s="86">
        <v>15.09</v>
      </c>
      <c r="L10" s="86">
        <v>9</v>
      </c>
      <c r="M10" s="86">
        <v>33</v>
      </c>
      <c r="N10" s="86">
        <v>1</v>
      </c>
      <c r="O10" s="86">
        <v>0.62</v>
      </c>
      <c r="P10" s="101">
        <v>1.1299999999999999</v>
      </c>
      <c r="Q10" s="86">
        <v>30</v>
      </c>
      <c r="R10" s="86" t="s">
        <v>114</v>
      </c>
      <c r="S10" s="56"/>
      <c r="T10" s="86" t="s">
        <v>106</v>
      </c>
      <c r="U10" s="86">
        <v>250</v>
      </c>
      <c r="V10" s="10">
        <v>14.771666666667443</v>
      </c>
      <c r="W10" s="10">
        <v>44.315000000002328</v>
      </c>
      <c r="X10" s="10">
        <v>3</v>
      </c>
      <c r="Y10" s="25"/>
    </row>
    <row r="11" spans="1:25" x14ac:dyDescent="0.3">
      <c r="A11" s="3" t="e">
        <f>VLOOKUP(E11,'[2]Listas Desplegables'!$H$3:$J$7,2,FALSE)</f>
        <v>#N/A</v>
      </c>
      <c r="B11" s="3" t="e">
        <f>VLOOKUP(E11,'[2]Listas Desplegables'!$H$3:$J$7,3,FALSE)</f>
        <v>#N/A</v>
      </c>
      <c r="C11" s="8">
        <v>6</v>
      </c>
      <c r="D11" s="90" t="s">
        <v>310</v>
      </c>
      <c r="E11" s="9" t="s">
        <v>294</v>
      </c>
      <c r="F11" s="83">
        <v>115</v>
      </c>
      <c r="G11" s="86">
        <v>13.8</v>
      </c>
      <c r="H11" s="86">
        <v>40</v>
      </c>
      <c r="I11" s="86" t="s">
        <v>350</v>
      </c>
      <c r="J11" s="86">
        <v>15.09</v>
      </c>
      <c r="K11" s="86">
        <v>15.09</v>
      </c>
      <c r="L11" s="86">
        <v>9</v>
      </c>
      <c r="M11" s="86">
        <v>33</v>
      </c>
      <c r="N11" s="86">
        <v>1</v>
      </c>
      <c r="O11" s="86">
        <v>0.62</v>
      </c>
      <c r="P11" s="101">
        <v>1.05</v>
      </c>
      <c r="Q11" s="86">
        <v>30</v>
      </c>
      <c r="R11" s="86" t="s">
        <v>114</v>
      </c>
      <c r="S11" s="56"/>
      <c r="T11" s="86" t="s">
        <v>106</v>
      </c>
      <c r="U11" s="86">
        <v>250</v>
      </c>
      <c r="V11" s="10">
        <v>21.864907407434657</v>
      </c>
      <c r="W11" s="10">
        <v>65.594722222303972</v>
      </c>
      <c r="X11" s="10">
        <v>3</v>
      </c>
      <c r="Y11" s="25"/>
    </row>
    <row r="12" spans="1:25" x14ac:dyDescent="0.3">
      <c r="A12" s="3" t="e">
        <f>VLOOKUP(E12,'[2]Listas Desplegables'!$H$3:$J$7,2,FALSE)</f>
        <v>#N/A</v>
      </c>
      <c r="B12" s="3" t="e">
        <f>VLOOKUP(E12,'[2]Listas Desplegables'!$H$3:$J$7,3,FALSE)</f>
        <v>#N/A</v>
      </c>
      <c r="C12" s="8">
        <v>7</v>
      </c>
      <c r="D12" s="90" t="s">
        <v>311</v>
      </c>
      <c r="E12" s="9" t="s">
        <v>355</v>
      </c>
      <c r="F12" s="83">
        <v>34.5</v>
      </c>
      <c r="G12" s="86">
        <v>13.8</v>
      </c>
      <c r="H12" s="86">
        <v>22</v>
      </c>
      <c r="I12" s="86" t="s">
        <v>351</v>
      </c>
      <c r="J12" s="86">
        <v>5.75</v>
      </c>
      <c r="K12" s="86">
        <v>5.75</v>
      </c>
      <c r="L12" s="86">
        <v>3</v>
      </c>
      <c r="M12" s="86">
        <v>5</v>
      </c>
      <c r="N12" s="86">
        <v>1</v>
      </c>
      <c r="O12" s="86">
        <v>2.5</v>
      </c>
      <c r="P12" s="101"/>
      <c r="Q12" s="86"/>
      <c r="R12" s="86" t="s">
        <v>114</v>
      </c>
      <c r="S12" s="56"/>
      <c r="T12" s="86" t="s">
        <v>107</v>
      </c>
      <c r="U12" s="86">
        <v>90</v>
      </c>
      <c r="V12" s="10">
        <v>9.4780555554607417</v>
      </c>
      <c r="W12" s="10">
        <v>18.956111110921483</v>
      </c>
      <c r="X12" s="10">
        <v>2</v>
      </c>
      <c r="Y12" s="25"/>
    </row>
    <row r="13" spans="1:25" x14ac:dyDescent="0.3">
      <c r="A13" s="3" t="e">
        <f>VLOOKUP(E13,'[2]Listas Desplegables'!$H$3:$J$7,2,FALSE)</f>
        <v>#N/A</v>
      </c>
      <c r="B13" s="3" t="e">
        <f>VLOOKUP(E13,'[2]Listas Desplegables'!$H$3:$J$7,3,FALSE)</f>
        <v>#N/A</v>
      </c>
      <c r="C13" s="8">
        <v>8</v>
      </c>
      <c r="D13" s="90" t="s">
        <v>312</v>
      </c>
      <c r="E13" s="9" t="s">
        <v>290</v>
      </c>
      <c r="F13" s="83">
        <v>115</v>
      </c>
      <c r="G13" s="86">
        <v>13.8</v>
      </c>
      <c r="H13" s="86">
        <v>20</v>
      </c>
      <c r="I13" s="86" t="s">
        <v>350</v>
      </c>
      <c r="J13" s="86">
        <v>9.5</v>
      </c>
      <c r="K13" s="86">
        <v>9.5</v>
      </c>
      <c r="L13" s="86">
        <v>7</v>
      </c>
      <c r="M13" s="86">
        <v>15</v>
      </c>
      <c r="N13" s="86">
        <v>1</v>
      </c>
      <c r="O13" s="86">
        <v>1.25</v>
      </c>
      <c r="P13" s="101">
        <v>1.2</v>
      </c>
      <c r="Q13" s="86">
        <v>30</v>
      </c>
      <c r="R13" s="86" t="s">
        <v>114</v>
      </c>
      <c r="S13" s="56"/>
      <c r="T13" s="86" t="s">
        <v>106</v>
      </c>
      <c r="U13" s="86">
        <v>96</v>
      </c>
      <c r="V13" s="10">
        <v>15.956736111067585</v>
      </c>
      <c r="W13" s="10">
        <v>63.826944444270339</v>
      </c>
      <c r="X13" s="10">
        <v>4</v>
      </c>
      <c r="Y13" s="25"/>
    </row>
    <row r="14" spans="1:25" x14ac:dyDescent="0.3">
      <c r="A14" s="3" t="e">
        <f>VLOOKUP(E14,'[2]Listas Desplegables'!$H$3:$J$7,2,FALSE)</f>
        <v>#N/A</v>
      </c>
      <c r="B14" s="3" t="e">
        <f>VLOOKUP(E14,'[2]Listas Desplegables'!$H$3:$J$7,3,FALSE)</f>
        <v>#N/A</v>
      </c>
      <c r="C14" s="8">
        <v>9</v>
      </c>
      <c r="D14" s="90" t="s">
        <v>313</v>
      </c>
      <c r="E14" s="9" t="s">
        <v>293</v>
      </c>
      <c r="F14" s="83">
        <v>115</v>
      </c>
      <c r="G14" s="86">
        <v>34.5</v>
      </c>
      <c r="H14" s="86">
        <v>40</v>
      </c>
      <c r="I14" s="86" t="s">
        <v>350</v>
      </c>
      <c r="J14" s="86">
        <v>11.99</v>
      </c>
      <c r="K14" s="86">
        <v>11.99</v>
      </c>
      <c r="L14" s="86">
        <v>7</v>
      </c>
      <c r="M14" s="86">
        <v>15</v>
      </c>
      <c r="N14" s="86">
        <v>1</v>
      </c>
      <c r="O14" s="86">
        <v>1.25</v>
      </c>
      <c r="P14" s="101">
        <v>1.05</v>
      </c>
      <c r="Q14" s="86">
        <v>30</v>
      </c>
      <c r="R14" s="86" t="s">
        <v>114</v>
      </c>
      <c r="S14" s="56"/>
      <c r="T14" s="86" t="s">
        <v>106</v>
      </c>
      <c r="U14" s="86">
        <v>117.5</v>
      </c>
      <c r="V14" s="10">
        <v>3.0715277777781012</v>
      </c>
      <c r="W14" s="10">
        <v>12.286111111112405</v>
      </c>
      <c r="X14" s="10">
        <v>4</v>
      </c>
      <c r="Y14" s="25"/>
    </row>
    <row r="15" spans="1:25" x14ac:dyDescent="0.3">
      <c r="A15" s="3" t="e">
        <f>VLOOKUP(E15,'[2]Listas Desplegables'!$H$3:$J$7,2,FALSE)</f>
        <v>#N/A</v>
      </c>
      <c r="B15" s="3" t="e">
        <f>VLOOKUP(E15,'[2]Listas Desplegables'!$H$3:$J$7,3,FALSE)</f>
        <v>#N/A</v>
      </c>
      <c r="C15" s="8">
        <v>10</v>
      </c>
      <c r="D15" s="90" t="s">
        <v>314</v>
      </c>
      <c r="E15" s="9" t="s">
        <v>293</v>
      </c>
      <c r="F15" s="83">
        <v>115</v>
      </c>
      <c r="G15" s="86">
        <v>13.8</v>
      </c>
      <c r="H15" s="86">
        <v>25</v>
      </c>
      <c r="I15" s="86" t="s">
        <v>350</v>
      </c>
      <c r="J15" s="86">
        <v>9.4749999999999996</v>
      </c>
      <c r="K15" s="86">
        <v>9.4749999999999996</v>
      </c>
      <c r="L15" s="86">
        <v>7</v>
      </c>
      <c r="M15" s="86">
        <v>15</v>
      </c>
      <c r="N15" s="86">
        <v>1</v>
      </c>
      <c r="O15" s="86">
        <v>1</v>
      </c>
      <c r="P15" s="101">
        <v>1.2</v>
      </c>
      <c r="Q15" s="86">
        <v>30</v>
      </c>
      <c r="R15" s="86" t="s">
        <v>114</v>
      </c>
      <c r="S15" s="56"/>
      <c r="T15" s="86" t="s">
        <v>106</v>
      </c>
      <c r="U15" s="86">
        <v>62.2727</v>
      </c>
      <c r="V15" s="10">
        <v>4.685833333292976</v>
      </c>
      <c r="W15" s="10">
        <v>9.371666666585952</v>
      </c>
      <c r="X15" s="10">
        <v>2</v>
      </c>
      <c r="Y15" s="25"/>
    </row>
    <row r="16" spans="1:25" x14ac:dyDescent="0.3">
      <c r="A16" s="3" t="e">
        <f>VLOOKUP(E16,'[2]Listas Desplegables'!$H$3:$J$7,2,FALSE)</f>
        <v>#N/A</v>
      </c>
      <c r="B16" s="3" t="e">
        <f>VLOOKUP(E16,'[2]Listas Desplegables'!$H$3:$J$7,3,FALSE)</f>
        <v>#N/A</v>
      </c>
      <c r="C16" s="8">
        <v>11</v>
      </c>
      <c r="D16" s="90" t="s">
        <v>315</v>
      </c>
      <c r="E16" s="9" t="s">
        <v>353</v>
      </c>
      <c r="F16" s="83">
        <v>34.5</v>
      </c>
      <c r="G16" s="86">
        <v>13.8</v>
      </c>
      <c r="H16" s="86">
        <v>18</v>
      </c>
      <c r="I16" s="86" t="s">
        <v>351</v>
      </c>
      <c r="J16" s="86">
        <v>7.524</v>
      </c>
      <c r="K16" s="86">
        <v>7.524</v>
      </c>
      <c r="L16" s="86">
        <v>3</v>
      </c>
      <c r="M16" s="86">
        <v>5</v>
      </c>
      <c r="N16" s="86">
        <v>1</v>
      </c>
      <c r="O16" s="86">
        <v>2.5</v>
      </c>
      <c r="P16" s="101"/>
      <c r="Q16" s="86"/>
      <c r="R16" s="86" t="s">
        <v>114</v>
      </c>
      <c r="S16" s="56"/>
      <c r="T16" s="86" t="s">
        <v>107</v>
      </c>
      <c r="U16" s="86">
        <v>82.2</v>
      </c>
      <c r="V16" s="10">
        <v>21.862500000017462</v>
      </c>
      <c r="W16" s="10">
        <v>43.725000000034925</v>
      </c>
      <c r="X16" s="10">
        <v>2</v>
      </c>
      <c r="Y16" s="25"/>
    </row>
    <row r="17" spans="1:25" x14ac:dyDescent="0.3">
      <c r="A17" s="3" t="e">
        <f>VLOOKUP(E17,'[2]Listas Desplegables'!$H$3:$J$7,2,FALSE)</f>
        <v>#N/A</v>
      </c>
      <c r="B17" s="3" t="e">
        <f>VLOOKUP(E17,'[2]Listas Desplegables'!$H$3:$J$7,3,FALSE)</f>
        <v>#N/A</v>
      </c>
      <c r="C17" s="8">
        <v>12</v>
      </c>
      <c r="D17" s="90" t="s">
        <v>316</v>
      </c>
      <c r="E17" s="9" t="s">
        <v>356</v>
      </c>
      <c r="F17" s="83">
        <v>34.5</v>
      </c>
      <c r="G17" s="86">
        <v>13.8</v>
      </c>
      <c r="H17" s="86">
        <v>12.5</v>
      </c>
      <c r="I17" s="86" t="s">
        <v>351</v>
      </c>
      <c r="J17" s="86">
        <v>7.45</v>
      </c>
      <c r="K17" s="86">
        <v>7.45</v>
      </c>
      <c r="L17" s="86">
        <v>3</v>
      </c>
      <c r="M17" s="86">
        <v>5</v>
      </c>
      <c r="N17" s="86">
        <v>1</v>
      </c>
      <c r="O17" s="86">
        <v>2.5</v>
      </c>
      <c r="P17" s="101"/>
      <c r="Q17" s="86"/>
      <c r="R17" s="86" t="s">
        <v>114</v>
      </c>
      <c r="S17" s="56"/>
      <c r="T17" s="86" t="s">
        <v>107</v>
      </c>
      <c r="U17" s="86">
        <v>53.5</v>
      </c>
      <c r="V17" s="10">
        <v>29.215902777796146</v>
      </c>
      <c r="W17" s="10">
        <v>116.86361111118458</v>
      </c>
      <c r="X17" s="10">
        <v>4</v>
      </c>
      <c r="Y17" s="25"/>
    </row>
    <row r="18" spans="1:25" x14ac:dyDescent="0.3">
      <c r="A18" s="3" t="e">
        <f>VLOOKUP(E18,'[2]Listas Desplegables'!$H$3:$J$7,2,FALSE)</f>
        <v>#N/A</v>
      </c>
      <c r="B18" s="3" t="e">
        <f>VLOOKUP(E18,'[2]Listas Desplegables'!$H$3:$J$7,3,FALSE)</f>
        <v>#N/A</v>
      </c>
      <c r="C18" s="8">
        <v>13</v>
      </c>
      <c r="D18" s="90" t="s">
        <v>317</v>
      </c>
      <c r="E18" s="9" t="s">
        <v>296</v>
      </c>
      <c r="F18" s="83">
        <v>115</v>
      </c>
      <c r="G18" s="86">
        <v>13.8</v>
      </c>
      <c r="H18" s="86">
        <v>11</v>
      </c>
      <c r="I18" s="86" t="s">
        <v>350</v>
      </c>
      <c r="J18" s="86">
        <v>11.1</v>
      </c>
      <c r="K18" s="86">
        <v>11.1</v>
      </c>
      <c r="L18" s="86">
        <v>6</v>
      </c>
      <c r="M18" s="86">
        <v>11</v>
      </c>
      <c r="N18" s="86">
        <v>1</v>
      </c>
      <c r="O18" s="86">
        <v>1</v>
      </c>
      <c r="P18" s="101">
        <v>1.18</v>
      </c>
      <c r="Q18" s="86">
        <v>30</v>
      </c>
      <c r="R18" s="86" t="s">
        <v>114</v>
      </c>
      <c r="S18" s="56"/>
      <c r="T18" s="86" t="s">
        <v>106</v>
      </c>
      <c r="U18" s="86">
        <v>69.209599999999995</v>
      </c>
      <c r="V18" s="10">
        <v>3.6266666667652316</v>
      </c>
      <c r="W18" s="10">
        <v>10.880000000295695</v>
      </c>
      <c r="X18" s="10">
        <v>3</v>
      </c>
      <c r="Y18" s="25"/>
    </row>
    <row r="19" spans="1:25" x14ac:dyDescent="0.3">
      <c r="A19" s="3" t="e">
        <f>VLOOKUP(E19,'[2]Listas Desplegables'!$H$3:$J$7,2,FALSE)</f>
        <v>#N/A</v>
      </c>
      <c r="B19" s="3" t="e">
        <f>VLOOKUP(E19,'[2]Listas Desplegables'!$H$3:$J$7,3,FALSE)</f>
        <v>#N/A</v>
      </c>
      <c r="C19" s="8">
        <v>14</v>
      </c>
      <c r="D19" s="90" t="s">
        <v>318</v>
      </c>
      <c r="E19" s="9" t="s">
        <v>357</v>
      </c>
      <c r="F19" s="83">
        <v>34.5</v>
      </c>
      <c r="G19" s="86">
        <v>13.8</v>
      </c>
      <c r="H19" s="86">
        <v>12.5</v>
      </c>
      <c r="I19" s="86" t="s">
        <v>351</v>
      </c>
      <c r="J19" s="86">
        <v>7.47</v>
      </c>
      <c r="K19" s="86">
        <v>7.47</v>
      </c>
      <c r="L19" s="86">
        <v>3</v>
      </c>
      <c r="M19" s="86">
        <v>5</v>
      </c>
      <c r="N19" s="86">
        <v>1</v>
      </c>
      <c r="O19" s="86">
        <v>2.5</v>
      </c>
      <c r="P19" s="101"/>
      <c r="Q19" s="86"/>
      <c r="R19" s="86" t="s">
        <v>114</v>
      </c>
      <c r="S19" s="56"/>
      <c r="T19" s="86" t="s">
        <v>107</v>
      </c>
      <c r="U19" s="86">
        <v>53.5</v>
      </c>
      <c r="V19" s="10">
        <v>0</v>
      </c>
      <c r="W19" s="10">
        <v>0</v>
      </c>
      <c r="X19" s="10">
        <v>0</v>
      </c>
      <c r="Y19" s="25"/>
    </row>
    <row r="20" spans="1:25" x14ac:dyDescent="0.3">
      <c r="A20" s="3" t="e">
        <f>VLOOKUP(E20,'[2]Listas Desplegables'!$H$3:$J$7,2,FALSE)</f>
        <v>#N/A</v>
      </c>
      <c r="B20" s="3" t="e">
        <f>VLOOKUP(E20,'[2]Listas Desplegables'!$H$3:$J$7,3,FALSE)</f>
        <v>#N/A</v>
      </c>
      <c r="C20" s="8">
        <v>15</v>
      </c>
      <c r="D20" s="90" t="s">
        <v>319</v>
      </c>
      <c r="E20" s="9" t="s">
        <v>354</v>
      </c>
      <c r="F20" s="83">
        <v>34.5</v>
      </c>
      <c r="G20" s="86">
        <v>13.8</v>
      </c>
      <c r="H20" s="86">
        <v>12.5</v>
      </c>
      <c r="I20" s="86" t="s">
        <v>351</v>
      </c>
      <c r="J20" s="86">
        <v>9.3125</v>
      </c>
      <c r="K20" s="86">
        <v>9.3125</v>
      </c>
      <c r="L20" s="86">
        <v>3</v>
      </c>
      <c r="M20" s="86">
        <v>5</v>
      </c>
      <c r="N20" s="86">
        <v>1</v>
      </c>
      <c r="O20" s="86">
        <v>2.5</v>
      </c>
      <c r="P20" s="101"/>
      <c r="Q20" s="86"/>
      <c r="R20" s="86" t="s">
        <v>114</v>
      </c>
      <c r="S20" s="56"/>
      <c r="T20" s="86" t="s">
        <v>107</v>
      </c>
      <c r="U20" s="86">
        <v>51.25</v>
      </c>
      <c r="V20" s="10">
        <v>6.3894444445031695</v>
      </c>
      <c r="W20" s="10">
        <v>12.778888889006339</v>
      </c>
      <c r="X20" s="10">
        <v>2</v>
      </c>
      <c r="Y20" s="25"/>
    </row>
    <row r="21" spans="1:25" x14ac:dyDescent="0.3">
      <c r="A21" s="3" t="e">
        <f>VLOOKUP(E21,'[2]Listas Desplegables'!$H$3:$J$7,2,FALSE)</f>
        <v>#N/A</v>
      </c>
      <c r="B21" s="3" t="e">
        <f>VLOOKUP(E21,'[2]Listas Desplegables'!$H$3:$J$7,3,FALSE)</f>
        <v>#N/A</v>
      </c>
      <c r="C21" s="8">
        <v>16</v>
      </c>
      <c r="D21" s="90" t="s">
        <v>320</v>
      </c>
      <c r="E21" s="9" t="s">
        <v>365</v>
      </c>
      <c r="F21" s="83">
        <v>115</v>
      </c>
      <c r="G21" s="86">
        <v>13.8</v>
      </c>
      <c r="H21" s="86">
        <v>18</v>
      </c>
      <c r="I21" s="86" t="s">
        <v>351</v>
      </c>
      <c r="J21" s="86">
        <v>11.1744</v>
      </c>
      <c r="K21" s="86">
        <v>11.1744</v>
      </c>
      <c r="L21" s="86">
        <v>3</v>
      </c>
      <c r="M21" s="86">
        <v>5</v>
      </c>
      <c r="N21" s="86">
        <v>1</v>
      </c>
      <c r="O21" s="86">
        <v>2.5</v>
      </c>
      <c r="P21" s="101">
        <v>1.1100000000000001</v>
      </c>
      <c r="Q21" s="86">
        <v>30</v>
      </c>
      <c r="R21" s="86" t="s">
        <v>114</v>
      </c>
      <c r="S21" s="56"/>
      <c r="T21" s="86" t="s">
        <v>106</v>
      </c>
      <c r="U21" s="86">
        <v>75</v>
      </c>
      <c r="V21" s="10">
        <v>10.498333333292976</v>
      </c>
      <c r="W21" s="10">
        <v>10.498333333292976</v>
      </c>
      <c r="X21" s="10">
        <v>1</v>
      </c>
      <c r="Y21" s="25"/>
    </row>
    <row r="22" spans="1:25" x14ac:dyDescent="0.3">
      <c r="A22" s="3" t="e">
        <f>VLOOKUP(E22,'[2]Listas Desplegables'!$H$3:$J$7,2,FALSE)</f>
        <v>#N/A</v>
      </c>
      <c r="B22" s="3" t="e">
        <f>VLOOKUP(E22,'[2]Listas Desplegables'!$H$3:$J$7,3,FALSE)</f>
        <v>#N/A</v>
      </c>
      <c r="C22" s="8">
        <v>17</v>
      </c>
      <c r="D22" s="90" t="s">
        <v>321</v>
      </c>
      <c r="E22" s="9" t="s">
        <v>365</v>
      </c>
      <c r="F22" s="83">
        <v>115</v>
      </c>
      <c r="G22" s="86">
        <v>34.5</v>
      </c>
      <c r="H22" s="86">
        <v>12</v>
      </c>
      <c r="I22" s="86" t="s">
        <v>350</v>
      </c>
      <c r="J22" s="86">
        <v>8.8523999999999994</v>
      </c>
      <c r="K22" s="86">
        <v>8.8523999999999994</v>
      </c>
      <c r="L22" s="86">
        <v>3</v>
      </c>
      <c r="M22" s="86">
        <v>5</v>
      </c>
      <c r="N22" s="86">
        <v>1</v>
      </c>
      <c r="O22" s="86">
        <v>2.5</v>
      </c>
      <c r="P22" s="101">
        <v>1.1499999999999999</v>
      </c>
      <c r="Q22" s="86">
        <v>30</v>
      </c>
      <c r="R22" s="86" t="s">
        <v>114</v>
      </c>
      <c r="S22" s="56"/>
      <c r="T22" s="86" t="s">
        <v>106</v>
      </c>
      <c r="U22" s="86">
        <v>51.36</v>
      </c>
      <c r="V22" s="10">
        <v>7.8519444444682449</v>
      </c>
      <c r="W22" s="10">
        <v>7.8519444444682449</v>
      </c>
      <c r="X22" s="10">
        <v>1</v>
      </c>
      <c r="Y22" s="25"/>
    </row>
    <row r="23" spans="1:25" x14ac:dyDescent="0.3">
      <c r="A23" s="3" t="e">
        <f>VLOOKUP(E23,'[2]Listas Desplegables'!$H$3:$J$7,2,FALSE)</f>
        <v>#N/A</v>
      </c>
      <c r="B23" s="3" t="e">
        <f>VLOOKUP(E23,'[2]Listas Desplegables'!$H$3:$J$7,3,FALSE)</f>
        <v>#N/A</v>
      </c>
      <c r="C23" s="8">
        <v>18</v>
      </c>
      <c r="D23" s="90" t="s">
        <v>322</v>
      </c>
      <c r="E23" s="9" t="s">
        <v>359</v>
      </c>
      <c r="F23" s="83">
        <v>115</v>
      </c>
      <c r="G23" s="86">
        <v>34.5</v>
      </c>
      <c r="H23" s="86">
        <v>10</v>
      </c>
      <c r="I23" s="86" t="s">
        <v>350</v>
      </c>
      <c r="J23" s="86">
        <v>11.4625</v>
      </c>
      <c r="K23" s="86">
        <v>11.4625</v>
      </c>
      <c r="L23" s="86">
        <v>3</v>
      </c>
      <c r="M23" s="86">
        <v>5</v>
      </c>
      <c r="N23" s="86">
        <v>1</v>
      </c>
      <c r="O23" s="86">
        <v>1.25</v>
      </c>
      <c r="P23" s="101">
        <v>1.49</v>
      </c>
      <c r="Q23" s="86">
        <v>30</v>
      </c>
      <c r="R23" s="86" t="s">
        <v>114</v>
      </c>
      <c r="S23" s="56"/>
      <c r="T23" s="86" t="s">
        <v>106</v>
      </c>
      <c r="U23" s="86">
        <v>61.5</v>
      </c>
      <c r="V23" s="10">
        <v>5.1324305555317551</v>
      </c>
      <c r="W23" s="10">
        <v>20.52972222212702</v>
      </c>
      <c r="X23" s="10">
        <v>4</v>
      </c>
      <c r="Y23" s="25"/>
    </row>
    <row r="24" spans="1:25" x14ac:dyDescent="0.3">
      <c r="A24" s="3" t="e">
        <f>VLOOKUP(E24,'[2]Listas Desplegables'!$H$3:$J$7,2,FALSE)</f>
        <v>#N/A</v>
      </c>
      <c r="B24" s="3" t="e">
        <f>VLOOKUP(E24,'[2]Listas Desplegables'!$H$3:$J$7,3,FALSE)</f>
        <v>#N/A</v>
      </c>
      <c r="C24" s="8">
        <v>19</v>
      </c>
      <c r="D24" s="90" t="s">
        <v>323</v>
      </c>
      <c r="E24" s="12" t="s">
        <v>359</v>
      </c>
      <c r="F24" s="90">
        <v>34.5</v>
      </c>
      <c r="G24" s="86">
        <v>13.8</v>
      </c>
      <c r="H24" s="86">
        <v>7</v>
      </c>
      <c r="I24" s="86" t="s">
        <v>351</v>
      </c>
      <c r="J24" s="86">
        <v>6.49</v>
      </c>
      <c r="K24" s="86">
        <v>6.49</v>
      </c>
      <c r="L24" s="86">
        <v>3</v>
      </c>
      <c r="M24" s="86">
        <v>5</v>
      </c>
      <c r="N24" s="86">
        <v>1</v>
      </c>
      <c r="O24" s="86">
        <v>2.5</v>
      </c>
      <c r="P24" s="101"/>
      <c r="Q24" s="86"/>
      <c r="R24" s="86" t="s">
        <v>114</v>
      </c>
      <c r="S24" s="56"/>
      <c r="T24" s="86" t="s">
        <v>107</v>
      </c>
      <c r="U24" s="86">
        <v>48.2</v>
      </c>
      <c r="V24" s="10">
        <v>5.8469841269626546</v>
      </c>
      <c r="W24" s="10">
        <v>40.928888888738584</v>
      </c>
      <c r="X24" s="10">
        <v>7</v>
      </c>
      <c r="Y24" s="25"/>
    </row>
    <row r="25" spans="1:25" x14ac:dyDescent="0.3">
      <c r="A25" s="3" t="e">
        <f>VLOOKUP(E25,'[2]Listas Desplegables'!$H$3:$J$7,2,FALSE)</f>
        <v>#N/A</v>
      </c>
      <c r="B25" s="3" t="e">
        <f>VLOOKUP(E25,'[2]Listas Desplegables'!$H$3:$J$7,3,FALSE)</f>
        <v>#N/A</v>
      </c>
      <c r="C25" s="8">
        <v>20</v>
      </c>
      <c r="D25" s="90" t="s">
        <v>324</v>
      </c>
      <c r="E25" s="12" t="s">
        <v>291</v>
      </c>
      <c r="F25" s="90">
        <v>115</v>
      </c>
      <c r="G25" s="86">
        <v>13.8</v>
      </c>
      <c r="H25" s="86">
        <v>30</v>
      </c>
      <c r="I25" s="86" t="s">
        <v>351</v>
      </c>
      <c r="J25" s="86">
        <v>17.28</v>
      </c>
      <c r="K25" s="86">
        <v>17.28</v>
      </c>
      <c r="L25" s="86">
        <v>11</v>
      </c>
      <c r="M25" s="86">
        <v>26</v>
      </c>
      <c r="N25" s="86">
        <v>1</v>
      </c>
      <c r="O25" s="86">
        <v>1</v>
      </c>
      <c r="P25" s="101">
        <v>1.33</v>
      </c>
      <c r="Q25" s="86">
        <v>30</v>
      </c>
      <c r="R25" s="86" t="s">
        <v>114</v>
      </c>
      <c r="S25" s="56"/>
      <c r="T25" s="86" t="s">
        <v>106</v>
      </c>
      <c r="U25" s="86">
        <v>120</v>
      </c>
      <c r="V25" s="10">
        <v>13.343333333206829</v>
      </c>
      <c r="W25" s="10">
        <v>13.343333333206829</v>
      </c>
      <c r="X25" s="10">
        <v>1</v>
      </c>
      <c r="Y25" s="25"/>
    </row>
    <row r="26" spans="1:25" x14ac:dyDescent="0.3">
      <c r="A26" s="3" t="e">
        <f>VLOOKUP(E26,'[2]Listas Desplegables'!$H$3:$J$7,2,FALSE)</f>
        <v>#N/A</v>
      </c>
      <c r="B26" s="3" t="e">
        <f>VLOOKUP(E26,'[2]Listas Desplegables'!$H$3:$J$7,3,FALSE)</f>
        <v>#N/A</v>
      </c>
      <c r="C26" s="8">
        <v>21</v>
      </c>
      <c r="D26" s="90" t="s">
        <v>325</v>
      </c>
      <c r="E26" s="12" t="s">
        <v>291</v>
      </c>
      <c r="F26" s="90">
        <v>115</v>
      </c>
      <c r="G26" s="86">
        <v>34.5</v>
      </c>
      <c r="H26" s="86">
        <v>8</v>
      </c>
      <c r="I26" s="86" t="s">
        <v>351</v>
      </c>
      <c r="J26" s="86">
        <v>11.38</v>
      </c>
      <c r="K26" s="86">
        <v>11.38</v>
      </c>
      <c r="L26" s="86">
        <v>3</v>
      </c>
      <c r="M26" s="86">
        <v>5</v>
      </c>
      <c r="N26" s="86">
        <v>1</v>
      </c>
      <c r="O26" s="86">
        <v>2.5</v>
      </c>
      <c r="P26" s="101">
        <v>1.25</v>
      </c>
      <c r="Q26" s="86">
        <v>30</v>
      </c>
      <c r="R26" s="86" t="s">
        <v>114</v>
      </c>
      <c r="S26" s="56"/>
      <c r="T26" s="86" t="s">
        <v>106</v>
      </c>
      <c r="U26" s="86">
        <v>47</v>
      </c>
      <c r="V26" s="10">
        <v>10.149629629624542</v>
      </c>
      <c r="W26" s="10">
        <v>30.448888888873626</v>
      </c>
      <c r="X26" s="10">
        <v>3</v>
      </c>
      <c r="Y26" s="25"/>
    </row>
    <row r="27" spans="1:25" x14ac:dyDescent="0.3">
      <c r="A27" s="3" t="e">
        <f>VLOOKUP(E27,'[2]Listas Desplegables'!$H$3:$J$7,2,FALSE)</f>
        <v>#N/A</v>
      </c>
      <c r="B27" s="3" t="e">
        <f>VLOOKUP(E27,'[2]Listas Desplegables'!$H$3:$J$7,3,FALSE)</f>
        <v>#N/A</v>
      </c>
      <c r="C27" s="8">
        <v>22</v>
      </c>
      <c r="D27" s="90" t="s">
        <v>326</v>
      </c>
      <c r="E27" s="12" t="s">
        <v>287</v>
      </c>
      <c r="F27" s="90">
        <v>115</v>
      </c>
      <c r="G27" s="86">
        <v>34.5</v>
      </c>
      <c r="H27" s="86">
        <v>13</v>
      </c>
      <c r="I27" s="86" t="s">
        <v>350</v>
      </c>
      <c r="J27" s="86">
        <v>11.71</v>
      </c>
      <c r="K27" s="86">
        <v>11.71</v>
      </c>
      <c r="L27" s="86">
        <v>3</v>
      </c>
      <c r="M27" s="86">
        <v>5</v>
      </c>
      <c r="N27" s="86">
        <v>1</v>
      </c>
      <c r="O27" s="86">
        <v>2.5</v>
      </c>
      <c r="P27" s="101">
        <v>1.07</v>
      </c>
      <c r="Q27" s="86">
        <v>30</v>
      </c>
      <c r="R27" s="86" t="s">
        <v>114</v>
      </c>
      <c r="S27" s="56"/>
      <c r="T27" s="86" t="s">
        <v>106</v>
      </c>
      <c r="U27" s="86">
        <v>81.628699999999995</v>
      </c>
      <c r="V27" s="10">
        <v>0</v>
      </c>
      <c r="W27" s="10">
        <v>0</v>
      </c>
      <c r="X27" s="10">
        <v>0</v>
      </c>
      <c r="Y27" s="25"/>
    </row>
    <row r="28" spans="1:25" x14ac:dyDescent="0.3">
      <c r="A28" s="3" t="e">
        <f>VLOOKUP(E28,'[2]Listas Desplegables'!$H$3:$J$7,2,FALSE)</f>
        <v>#N/A</v>
      </c>
      <c r="B28" s="3" t="e">
        <f>VLOOKUP(E28,'[2]Listas Desplegables'!$H$3:$J$7,3,FALSE)</f>
        <v>#N/A</v>
      </c>
      <c r="C28" s="8">
        <v>23</v>
      </c>
      <c r="D28" s="90" t="s">
        <v>327</v>
      </c>
      <c r="E28" s="12" t="s">
        <v>287</v>
      </c>
      <c r="F28" s="90">
        <v>34.5</v>
      </c>
      <c r="G28" s="86">
        <v>13.8</v>
      </c>
      <c r="H28" s="86">
        <v>3</v>
      </c>
      <c r="I28" s="86" t="s">
        <v>351</v>
      </c>
      <c r="J28" s="86">
        <v>6.5</v>
      </c>
      <c r="K28" s="86">
        <v>6.5</v>
      </c>
      <c r="L28" s="86">
        <v>3</v>
      </c>
      <c r="M28" s="86">
        <v>5</v>
      </c>
      <c r="N28" s="86">
        <v>1</v>
      </c>
      <c r="O28" s="86">
        <v>2.5</v>
      </c>
      <c r="P28" s="101"/>
      <c r="Q28" s="86"/>
      <c r="R28" s="86" t="s">
        <v>114</v>
      </c>
      <c r="S28" s="56"/>
      <c r="T28" s="86" t="s">
        <v>107</v>
      </c>
      <c r="U28" s="86">
        <v>29</v>
      </c>
      <c r="V28" s="10">
        <v>0</v>
      </c>
      <c r="W28" s="10">
        <v>0</v>
      </c>
      <c r="X28" s="10">
        <v>0</v>
      </c>
      <c r="Y28" s="25"/>
    </row>
    <row r="29" spans="1:25" x14ac:dyDescent="0.3">
      <c r="A29" s="3" t="e">
        <f>VLOOKUP(E29,'[2]Listas Desplegables'!$H$3:$J$7,2,FALSE)</f>
        <v>#N/A</v>
      </c>
      <c r="B29" s="3" t="e">
        <f>VLOOKUP(E29,'[2]Listas Desplegables'!$H$3:$J$7,3,FALSE)</f>
        <v>#N/A</v>
      </c>
      <c r="C29" s="8">
        <v>24</v>
      </c>
      <c r="D29" s="90" t="s">
        <v>328</v>
      </c>
      <c r="E29" s="12" t="s">
        <v>297</v>
      </c>
      <c r="F29" s="90">
        <v>115</v>
      </c>
      <c r="G29" s="86">
        <v>34.5</v>
      </c>
      <c r="H29" s="86">
        <v>32</v>
      </c>
      <c r="I29" s="86" t="s">
        <v>350</v>
      </c>
      <c r="J29" s="86">
        <v>11.05</v>
      </c>
      <c r="K29" s="86">
        <v>11.05</v>
      </c>
      <c r="L29" s="86">
        <v>8</v>
      </c>
      <c r="M29" s="86">
        <v>16</v>
      </c>
      <c r="N29" s="86">
        <v>1</v>
      </c>
      <c r="O29" s="86">
        <v>1.25</v>
      </c>
      <c r="P29" s="101">
        <v>1.24</v>
      </c>
      <c r="Q29" s="86">
        <v>30</v>
      </c>
      <c r="R29" s="86" t="s">
        <v>114</v>
      </c>
      <c r="S29" s="56"/>
      <c r="T29" s="86" t="s">
        <v>106</v>
      </c>
      <c r="U29" s="86">
        <v>135</v>
      </c>
      <c r="V29" s="10">
        <v>7.0130555555806495</v>
      </c>
      <c r="W29" s="10">
        <v>21.039166666741949</v>
      </c>
      <c r="X29" s="10">
        <v>3</v>
      </c>
      <c r="Y29" s="25"/>
    </row>
    <row r="30" spans="1:25" x14ac:dyDescent="0.3">
      <c r="A30" s="3" t="e">
        <f>VLOOKUP(E30,'[2]Listas Desplegables'!$H$3:$J$7,2,FALSE)</f>
        <v>#N/A</v>
      </c>
      <c r="B30" s="3" t="e">
        <f>VLOOKUP(E30,'[2]Listas Desplegables'!$H$3:$J$7,3,FALSE)</f>
        <v>#N/A</v>
      </c>
      <c r="C30" s="8">
        <v>25</v>
      </c>
      <c r="D30" s="90" t="s">
        <v>329</v>
      </c>
      <c r="E30" s="12" t="s">
        <v>297</v>
      </c>
      <c r="F30" s="90">
        <v>34.5</v>
      </c>
      <c r="G30" s="86">
        <v>13.8</v>
      </c>
      <c r="H30" s="86">
        <v>18</v>
      </c>
      <c r="I30" s="86" t="s">
        <v>351</v>
      </c>
      <c r="J30" s="86">
        <v>9.8040000000000003</v>
      </c>
      <c r="K30" s="86">
        <v>9.8040000000000003</v>
      </c>
      <c r="L30" s="86">
        <v>3</v>
      </c>
      <c r="M30" s="86">
        <v>5</v>
      </c>
      <c r="N30" s="86">
        <v>1</v>
      </c>
      <c r="O30" s="86">
        <v>2.5</v>
      </c>
      <c r="P30" s="101"/>
      <c r="Q30" s="86"/>
      <c r="R30" s="86" t="s">
        <v>114</v>
      </c>
      <c r="S30" s="56"/>
      <c r="T30" s="86" t="s">
        <v>107</v>
      </c>
      <c r="U30" s="86">
        <v>68.599999999999994</v>
      </c>
      <c r="V30" s="10">
        <v>5.5018055555701721</v>
      </c>
      <c r="W30" s="10">
        <v>11.003611111140344</v>
      </c>
      <c r="X30" s="10">
        <v>2</v>
      </c>
      <c r="Y30" s="25"/>
    </row>
    <row r="31" spans="1:25" x14ac:dyDescent="0.3">
      <c r="A31" s="3" t="e">
        <f>VLOOKUP(E31,'[2]Listas Desplegables'!$H$3:$J$7,2,FALSE)</f>
        <v>#N/A</v>
      </c>
      <c r="B31" s="3" t="e">
        <f>VLOOKUP(E31,'[2]Listas Desplegables'!$H$3:$J$7,3,FALSE)</f>
        <v>#N/A</v>
      </c>
      <c r="C31" s="8">
        <v>26</v>
      </c>
      <c r="D31" s="90" t="s">
        <v>330</v>
      </c>
      <c r="E31" s="12" t="s">
        <v>366</v>
      </c>
      <c r="F31" s="90">
        <v>34.5</v>
      </c>
      <c r="G31" s="86">
        <v>13.8</v>
      </c>
      <c r="H31" s="86">
        <v>5</v>
      </c>
      <c r="I31" s="86" t="s">
        <v>351</v>
      </c>
      <c r="J31" s="86">
        <v>5.82</v>
      </c>
      <c r="K31" s="86">
        <v>5.82</v>
      </c>
      <c r="L31" s="86">
        <v>3</v>
      </c>
      <c r="M31" s="86">
        <v>5</v>
      </c>
      <c r="N31" s="86">
        <v>1</v>
      </c>
      <c r="O31" s="86">
        <v>2.5</v>
      </c>
      <c r="P31" s="101"/>
      <c r="Q31" s="86"/>
      <c r="R31" s="86" t="s">
        <v>114</v>
      </c>
      <c r="S31" s="56"/>
      <c r="T31" s="86" t="s">
        <v>107</v>
      </c>
      <c r="U31" s="86">
        <v>16.5</v>
      </c>
      <c r="V31" s="10">
        <v>0.41666666662786156</v>
      </c>
      <c r="W31" s="10">
        <v>0.41666666662786156</v>
      </c>
      <c r="X31" s="10">
        <v>1</v>
      </c>
      <c r="Y31" s="25"/>
    </row>
    <row r="32" spans="1:25" x14ac:dyDescent="0.3">
      <c r="A32" s="3" t="e">
        <f>VLOOKUP(E32,'[2]Listas Desplegables'!$H$3:$J$7,2,FALSE)</f>
        <v>#N/A</v>
      </c>
      <c r="B32" s="3" t="e">
        <f>VLOOKUP(E32,'[2]Listas Desplegables'!$H$3:$J$7,3,FALSE)</f>
        <v>#N/A</v>
      </c>
      <c r="C32" s="8">
        <v>27</v>
      </c>
      <c r="D32" s="90" t="s">
        <v>331</v>
      </c>
      <c r="E32" s="12" t="s">
        <v>367</v>
      </c>
      <c r="F32" s="90">
        <v>34.5</v>
      </c>
      <c r="G32" s="86">
        <v>13.8</v>
      </c>
      <c r="H32" s="86">
        <v>4</v>
      </c>
      <c r="I32" s="86" t="s">
        <v>351</v>
      </c>
      <c r="J32" s="86">
        <v>6.57</v>
      </c>
      <c r="K32" s="86">
        <v>6.57</v>
      </c>
      <c r="L32" s="86">
        <v>3</v>
      </c>
      <c r="M32" s="86">
        <v>5</v>
      </c>
      <c r="N32" s="86">
        <v>1</v>
      </c>
      <c r="O32" s="86">
        <v>2.5</v>
      </c>
      <c r="P32" s="101"/>
      <c r="Q32" s="86"/>
      <c r="R32" s="86" t="s">
        <v>114</v>
      </c>
      <c r="S32" s="56"/>
      <c r="T32" s="86" t="s">
        <v>107</v>
      </c>
      <c r="U32" s="86">
        <v>36.1</v>
      </c>
      <c r="V32" s="10">
        <v>0</v>
      </c>
      <c r="W32" s="10">
        <v>0</v>
      </c>
      <c r="X32" s="10">
        <v>0</v>
      </c>
      <c r="Y32" s="25"/>
    </row>
    <row r="33" spans="1:25" x14ac:dyDescent="0.3">
      <c r="A33" s="3" t="e">
        <f>VLOOKUP(E33,'[2]Listas Desplegables'!$H$3:$J$7,2,FALSE)</f>
        <v>#N/A</v>
      </c>
      <c r="B33" s="3" t="e">
        <f>VLOOKUP(E33,'[2]Listas Desplegables'!$H$3:$J$7,3,FALSE)</f>
        <v>#N/A</v>
      </c>
      <c r="C33" s="8">
        <v>28</v>
      </c>
      <c r="D33" s="90" t="s">
        <v>332</v>
      </c>
      <c r="E33" s="12" t="s">
        <v>360</v>
      </c>
      <c r="F33" s="90">
        <v>34.5</v>
      </c>
      <c r="G33" s="86">
        <v>13.8</v>
      </c>
      <c r="H33" s="86">
        <v>3.5</v>
      </c>
      <c r="I33" s="86" t="s">
        <v>351</v>
      </c>
      <c r="J33" s="86">
        <v>5.7</v>
      </c>
      <c r="K33" s="86">
        <v>5.7</v>
      </c>
      <c r="L33" s="86">
        <v>3</v>
      </c>
      <c r="M33" s="86">
        <v>5</v>
      </c>
      <c r="N33" s="86">
        <v>1</v>
      </c>
      <c r="O33" s="86">
        <v>2.5</v>
      </c>
      <c r="P33" s="101"/>
      <c r="Q33" s="86"/>
      <c r="R33" s="86" t="s">
        <v>114</v>
      </c>
      <c r="S33" s="56"/>
      <c r="T33" s="86" t="s">
        <v>107</v>
      </c>
      <c r="U33" s="86">
        <v>21.5</v>
      </c>
      <c r="V33" s="10">
        <v>4.4804166666290257</v>
      </c>
      <c r="W33" s="10">
        <v>8.9608333332580514</v>
      </c>
      <c r="X33" s="10">
        <v>2</v>
      </c>
      <c r="Y33" s="25"/>
    </row>
    <row r="34" spans="1:25" x14ac:dyDescent="0.3">
      <c r="A34" s="3" t="e">
        <f>VLOOKUP(E34,'[2]Listas Desplegables'!$H$3:$J$7,2,FALSE)</f>
        <v>#N/A</v>
      </c>
      <c r="B34" s="3" t="e">
        <f>VLOOKUP(E34,'[2]Listas Desplegables'!$H$3:$J$7,3,FALSE)</f>
        <v>#N/A</v>
      </c>
      <c r="C34" s="8">
        <v>29</v>
      </c>
      <c r="D34" s="90" t="s">
        <v>333</v>
      </c>
      <c r="E34" s="12" t="s">
        <v>368</v>
      </c>
      <c r="F34" s="90">
        <v>34.5</v>
      </c>
      <c r="G34" s="86">
        <v>13.8</v>
      </c>
      <c r="H34" s="86">
        <v>4</v>
      </c>
      <c r="I34" s="86" t="s">
        <v>351</v>
      </c>
      <c r="J34" s="86">
        <v>6.1</v>
      </c>
      <c r="K34" s="86">
        <v>6.1</v>
      </c>
      <c r="L34" s="86">
        <v>3</v>
      </c>
      <c r="M34" s="86">
        <v>5</v>
      </c>
      <c r="N34" s="86">
        <v>1</v>
      </c>
      <c r="O34" s="86">
        <v>2.5</v>
      </c>
      <c r="P34" s="101"/>
      <c r="Q34" s="86"/>
      <c r="R34" s="86" t="s">
        <v>114</v>
      </c>
      <c r="S34" s="56"/>
      <c r="T34" s="86" t="s">
        <v>107</v>
      </c>
      <c r="U34" s="86">
        <v>35</v>
      </c>
      <c r="V34" s="10">
        <v>11.466111111163627</v>
      </c>
      <c r="W34" s="10">
        <v>11.466111111163627</v>
      </c>
      <c r="X34" s="10">
        <v>1</v>
      </c>
      <c r="Y34" s="25"/>
    </row>
    <row r="35" spans="1:25" x14ac:dyDescent="0.3">
      <c r="A35" s="3" t="e">
        <f>VLOOKUP(E35,'[2]Listas Desplegables'!$H$3:$J$7,2,FALSE)</f>
        <v>#N/A</v>
      </c>
      <c r="B35" s="3" t="e">
        <f>VLOOKUP(E35,'[2]Listas Desplegables'!$H$3:$J$7,3,FALSE)</f>
        <v>#N/A</v>
      </c>
      <c r="C35" s="8">
        <v>30</v>
      </c>
      <c r="D35" s="90" t="s">
        <v>937</v>
      </c>
      <c r="E35" s="12" t="s">
        <v>361</v>
      </c>
      <c r="F35" s="90">
        <v>34.5</v>
      </c>
      <c r="G35" s="86">
        <v>13.8</v>
      </c>
      <c r="H35" s="86">
        <v>5</v>
      </c>
      <c r="I35" s="86" t="s">
        <v>352</v>
      </c>
      <c r="J35" s="86">
        <v>5.98</v>
      </c>
      <c r="K35" s="86">
        <v>5.98</v>
      </c>
      <c r="L35" s="86">
        <v>3</v>
      </c>
      <c r="M35" s="86">
        <v>5</v>
      </c>
      <c r="N35" s="86">
        <v>1</v>
      </c>
      <c r="O35" s="86">
        <v>2.5</v>
      </c>
      <c r="P35" s="101"/>
      <c r="Q35" s="86"/>
      <c r="R35" s="86" t="s">
        <v>114</v>
      </c>
      <c r="S35" s="56"/>
      <c r="T35" s="86" t="s">
        <v>107</v>
      </c>
      <c r="U35" s="86">
        <v>20.9</v>
      </c>
      <c r="V35" s="10">
        <v>1.619047610854198E-2</v>
      </c>
      <c r="W35" s="10">
        <v>0.11333333275979385</v>
      </c>
      <c r="X35" s="10">
        <v>7</v>
      </c>
      <c r="Y35" s="25"/>
    </row>
    <row r="36" spans="1:25" x14ac:dyDescent="0.3">
      <c r="A36" s="3" t="e">
        <f>VLOOKUP(E36,'[2]Listas Desplegables'!$H$3:$J$7,2,FALSE)</f>
        <v>#N/A</v>
      </c>
      <c r="B36" s="3" t="e">
        <f>VLOOKUP(E36,'[2]Listas Desplegables'!$H$3:$J$7,3,FALSE)</f>
        <v>#N/A</v>
      </c>
      <c r="C36" s="8">
        <v>31</v>
      </c>
      <c r="D36" s="90" t="s">
        <v>334</v>
      </c>
      <c r="E36" s="12" t="s">
        <v>369</v>
      </c>
      <c r="F36" s="90">
        <v>34.5</v>
      </c>
      <c r="G36" s="86">
        <v>13.8</v>
      </c>
      <c r="H36" s="86">
        <v>12</v>
      </c>
      <c r="I36" s="86" t="s">
        <v>352</v>
      </c>
      <c r="J36" s="86">
        <v>8.85</v>
      </c>
      <c r="K36" s="86">
        <v>8.85</v>
      </c>
      <c r="L36" s="86">
        <v>3</v>
      </c>
      <c r="M36" s="86">
        <v>5</v>
      </c>
      <c r="N36" s="86">
        <v>1</v>
      </c>
      <c r="O36" s="86">
        <v>2.5</v>
      </c>
      <c r="P36" s="101"/>
      <c r="Q36" s="86"/>
      <c r="R36" s="86" t="s">
        <v>114</v>
      </c>
      <c r="S36" s="56"/>
      <c r="T36" s="86" t="s">
        <v>107</v>
      </c>
      <c r="U36" s="86">
        <v>51.36</v>
      </c>
      <c r="V36" s="10">
        <v>8.2333333332790062</v>
      </c>
      <c r="W36" s="10">
        <v>8.2333333332790062</v>
      </c>
      <c r="X36" s="10">
        <v>1</v>
      </c>
      <c r="Y36" s="25"/>
    </row>
    <row r="37" spans="1:25" x14ac:dyDescent="0.3">
      <c r="A37" s="3" t="e">
        <f>VLOOKUP(E37,'[2]Listas Desplegables'!$H$3:$J$7,2,FALSE)</f>
        <v>#N/A</v>
      </c>
      <c r="B37" s="3" t="e">
        <f>VLOOKUP(E37,'[2]Listas Desplegables'!$H$3:$J$7,3,FALSE)</f>
        <v>#N/A</v>
      </c>
      <c r="C37" s="8">
        <v>32</v>
      </c>
      <c r="D37" s="90" t="s">
        <v>335</v>
      </c>
      <c r="E37" s="12" t="s">
        <v>371</v>
      </c>
      <c r="F37" s="90">
        <v>34.5</v>
      </c>
      <c r="G37" s="86">
        <v>13.8</v>
      </c>
      <c r="H37" s="86">
        <v>2</v>
      </c>
      <c r="I37" s="86" t="s">
        <v>351</v>
      </c>
      <c r="J37" s="86">
        <v>5.98</v>
      </c>
      <c r="K37" s="86">
        <v>5.98</v>
      </c>
      <c r="L37" s="86">
        <v>3</v>
      </c>
      <c r="M37" s="86">
        <v>5</v>
      </c>
      <c r="N37" s="86">
        <v>1</v>
      </c>
      <c r="O37" s="86">
        <v>2.5</v>
      </c>
      <c r="P37" s="101"/>
      <c r="Q37" s="86"/>
      <c r="R37" s="86" t="s">
        <v>114</v>
      </c>
      <c r="S37" s="56"/>
      <c r="T37" s="86" t="s">
        <v>107</v>
      </c>
      <c r="U37" s="86">
        <v>20.9</v>
      </c>
      <c r="V37" s="10">
        <v>0.28006235827164422</v>
      </c>
      <c r="W37" s="10">
        <v>13.723055555310566</v>
      </c>
      <c r="X37" s="10">
        <v>49</v>
      </c>
      <c r="Y37" s="25"/>
    </row>
    <row r="38" spans="1:25" x14ac:dyDescent="0.3">
      <c r="A38" s="3" t="e">
        <f>VLOOKUP(E38,'[2]Listas Desplegables'!$H$3:$J$7,2,FALSE)</f>
        <v>#N/A</v>
      </c>
      <c r="B38" s="3" t="e">
        <f>VLOOKUP(E38,'[2]Listas Desplegables'!$H$3:$J$7,3,FALSE)</f>
        <v>#N/A</v>
      </c>
      <c r="C38" s="8">
        <v>33</v>
      </c>
      <c r="D38" s="90" t="s">
        <v>336</v>
      </c>
      <c r="E38" s="12" t="s">
        <v>372</v>
      </c>
      <c r="F38" s="90">
        <v>34.5</v>
      </c>
      <c r="G38" s="86">
        <v>13.8</v>
      </c>
      <c r="H38" s="86">
        <v>4</v>
      </c>
      <c r="I38" s="86" t="s">
        <v>351</v>
      </c>
      <c r="J38" s="86">
        <v>6.5</v>
      </c>
      <c r="K38" s="86">
        <v>6.5</v>
      </c>
      <c r="L38" s="86">
        <v>3</v>
      </c>
      <c r="M38" s="86">
        <v>5</v>
      </c>
      <c r="N38" s="86">
        <v>1</v>
      </c>
      <c r="O38" s="86">
        <v>2.5</v>
      </c>
      <c r="P38" s="101"/>
      <c r="Q38" s="86"/>
      <c r="R38" s="86" t="s">
        <v>114</v>
      </c>
      <c r="S38" s="56"/>
      <c r="T38" s="86" t="s">
        <v>107</v>
      </c>
      <c r="U38" s="86">
        <v>25.27</v>
      </c>
      <c r="V38" s="10">
        <v>9.4014814815018326</v>
      </c>
      <c r="W38" s="10">
        <v>28.204444444505498</v>
      </c>
      <c r="X38" s="10">
        <v>3</v>
      </c>
      <c r="Y38" s="25"/>
    </row>
    <row r="39" spans="1:25" x14ac:dyDescent="0.3">
      <c r="A39" s="3" t="e">
        <f>VLOOKUP(E39,'[2]Listas Desplegables'!$H$3:$J$7,2,FALSE)</f>
        <v>#N/A</v>
      </c>
      <c r="B39" s="3" t="e">
        <f>VLOOKUP(E39,'[2]Listas Desplegables'!$H$3:$J$7,3,FALSE)</f>
        <v>#N/A</v>
      </c>
      <c r="C39" s="8">
        <v>34</v>
      </c>
      <c r="D39" s="90" t="s">
        <v>337</v>
      </c>
      <c r="E39" s="12" t="s">
        <v>362</v>
      </c>
      <c r="F39" s="90">
        <v>34.5</v>
      </c>
      <c r="G39" s="86">
        <v>13.8</v>
      </c>
      <c r="H39" s="86">
        <v>4</v>
      </c>
      <c r="I39" s="86" t="s">
        <v>351</v>
      </c>
      <c r="J39" s="86">
        <v>6.5</v>
      </c>
      <c r="K39" s="86">
        <v>6.5</v>
      </c>
      <c r="L39" s="86">
        <v>3</v>
      </c>
      <c r="M39" s="86">
        <v>5</v>
      </c>
      <c r="N39" s="86">
        <v>1</v>
      </c>
      <c r="O39" s="86">
        <v>2.5</v>
      </c>
      <c r="P39" s="101"/>
      <c r="Q39" s="86"/>
      <c r="R39" s="86" t="s">
        <v>114</v>
      </c>
      <c r="S39" s="56"/>
      <c r="T39" s="86" t="s">
        <v>107</v>
      </c>
      <c r="U39" s="86">
        <v>25.27</v>
      </c>
      <c r="V39" s="10">
        <v>0.55370370368473232</v>
      </c>
      <c r="W39" s="10">
        <v>1.661111111054197</v>
      </c>
      <c r="X39" s="10">
        <v>3</v>
      </c>
      <c r="Y39" s="25"/>
    </row>
    <row r="40" spans="1:25" x14ac:dyDescent="0.3">
      <c r="A40" s="3" t="e">
        <f>VLOOKUP(E40,'[2]Listas Desplegables'!$H$3:$J$7,2,FALSE)</f>
        <v>#N/A</v>
      </c>
      <c r="B40" s="3" t="e">
        <f>VLOOKUP(E40,'[2]Listas Desplegables'!$H$3:$J$7,3,FALSE)</f>
        <v>#N/A</v>
      </c>
      <c r="C40" s="8">
        <v>35</v>
      </c>
      <c r="D40" s="90" t="s">
        <v>338</v>
      </c>
      <c r="E40" s="12" t="s">
        <v>373</v>
      </c>
      <c r="F40" s="90">
        <v>34.5</v>
      </c>
      <c r="G40" s="86">
        <v>13.8</v>
      </c>
      <c r="H40" s="86">
        <v>6</v>
      </c>
      <c r="I40" s="86" t="s">
        <v>351</v>
      </c>
      <c r="J40" s="86">
        <v>7.2</v>
      </c>
      <c r="K40" s="86">
        <v>7.2</v>
      </c>
      <c r="L40" s="86">
        <v>3</v>
      </c>
      <c r="M40" s="86">
        <v>5</v>
      </c>
      <c r="N40" s="86">
        <v>1</v>
      </c>
      <c r="O40" s="86">
        <v>2.5</v>
      </c>
      <c r="P40" s="101"/>
      <c r="Q40" s="86"/>
      <c r="R40" s="86" t="s">
        <v>114</v>
      </c>
      <c r="S40" s="56"/>
      <c r="T40" s="86" t="s">
        <v>107</v>
      </c>
      <c r="U40" s="86">
        <v>36</v>
      </c>
      <c r="V40" s="10">
        <v>5.7638888888759539</v>
      </c>
      <c r="W40" s="10">
        <v>5.7638888888759539</v>
      </c>
      <c r="X40" s="10">
        <v>1</v>
      </c>
      <c r="Y40" s="25"/>
    </row>
    <row r="41" spans="1:25" x14ac:dyDescent="0.3">
      <c r="A41" s="3" t="e">
        <f>VLOOKUP(E41,'[2]Listas Desplegables'!$H$3:$J$7,2,FALSE)</f>
        <v>#N/A</v>
      </c>
      <c r="B41" s="3" t="e">
        <f>VLOOKUP(E41,'[2]Listas Desplegables'!$H$3:$J$7,3,FALSE)</f>
        <v>#N/A</v>
      </c>
      <c r="C41" s="8">
        <v>36</v>
      </c>
      <c r="D41" s="90" t="s">
        <v>339</v>
      </c>
      <c r="E41" s="12" t="s">
        <v>363</v>
      </c>
      <c r="F41" s="90">
        <v>34.5</v>
      </c>
      <c r="G41" s="86">
        <v>13.8</v>
      </c>
      <c r="H41" s="86">
        <v>12</v>
      </c>
      <c r="I41" s="86" t="s">
        <v>351</v>
      </c>
      <c r="J41" s="86">
        <v>8.85</v>
      </c>
      <c r="K41" s="86">
        <v>8.85</v>
      </c>
      <c r="L41" s="86">
        <v>3</v>
      </c>
      <c r="M41" s="86">
        <v>5</v>
      </c>
      <c r="N41" s="86">
        <v>1</v>
      </c>
      <c r="O41" s="86">
        <v>2.5</v>
      </c>
      <c r="P41" s="101"/>
      <c r="Q41" s="86"/>
      <c r="R41" s="86" t="s">
        <v>114</v>
      </c>
      <c r="S41" s="56"/>
      <c r="T41" s="86" t="s">
        <v>107</v>
      </c>
      <c r="U41" s="86">
        <v>51.36</v>
      </c>
      <c r="V41" s="10">
        <v>0.71888176639241952</v>
      </c>
      <c r="W41" s="10">
        <v>28.036388889304362</v>
      </c>
      <c r="X41" s="10">
        <v>39</v>
      </c>
      <c r="Y41" s="25"/>
    </row>
    <row r="42" spans="1:25" x14ac:dyDescent="0.3">
      <c r="A42" s="3" t="e">
        <f>VLOOKUP(E42,'[2]Listas Desplegables'!$H$3:$J$7,2,FALSE)</f>
        <v>#N/A</v>
      </c>
      <c r="B42" s="3" t="e">
        <f>VLOOKUP(E42,'[2]Listas Desplegables'!$H$3:$J$7,3,FALSE)</f>
        <v>#N/A</v>
      </c>
      <c r="C42" s="8">
        <v>37</v>
      </c>
      <c r="D42" s="90" t="s">
        <v>340</v>
      </c>
      <c r="E42" s="12" t="s">
        <v>782</v>
      </c>
      <c r="F42" s="90">
        <v>34.5</v>
      </c>
      <c r="G42" s="86">
        <v>13.8</v>
      </c>
      <c r="H42" s="86">
        <v>2</v>
      </c>
      <c r="I42" s="86" t="s">
        <v>351</v>
      </c>
      <c r="J42" s="86">
        <v>5.98</v>
      </c>
      <c r="K42" s="86">
        <v>5.98</v>
      </c>
      <c r="L42" s="86">
        <v>3</v>
      </c>
      <c r="M42" s="86">
        <v>5</v>
      </c>
      <c r="N42" s="86">
        <v>1</v>
      </c>
      <c r="O42" s="86">
        <v>2.5</v>
      </c>
      <c r="P42" s="101"/>
      <c r="Q42" s="86"/>
      <c r="R42" s="86" t="s">
        <v>114</v>
      </c>
      <c r="S42" s="56"/>
      <c r="T42" s="86" t="s">
        <v>107</v>
      </c>
      <c r="U42" s="86">
        <v>20.9</v>
      </c>
      <c r="V42" s="10">
        <v>0.96530864199545852</v>
      </c>
      <c r="W42" s="10">
        <v>8.687777777959127</v>
      </c>
      <c r="X42" s="10">
        <v>9</v>
      </c>
      <c r="Y42" s="25"/>
    </row>
    <row r="43" spans="1:25" x14ac:dyDescent="0.3">
      <c r="A43" s="3" t="e">
        <f>VLOOKUP(E43,'[2]Listas Desplegables'!$H$3:$J$7,2,FALSE)</f>
        <v>#N/A</v>
      </c>
      <c r="B43" s="3" t="e">
        <f>VLOOKUP(E43,'[2]Listas Desplegables'!$H$3:$J$7,3,FALSE)</f>
        <v>#N/A</v>
      </c>
      <c r="C43" s="8">
        <v>38</v>
      </c>
      <c r="D43" s="90" t="s">
        <v>341</v>
      </c>
      <c r="E43" s="12" t="s">
        <v>374</v>
      </c>
      <c r="F43" s="90">
        <v>34.5</v>
      </c>
      <c r="G43" s="86">
        <v>13.8</v>
      </c>
      <c r="H43" s="86">
        <v>1</v>
      </c>
      <c r="I43" s="86" t="s">
        <v>352</v>
      </c>
      <c r="J43" s="86">
        <v>5.87</v>
      </c>
      <c r="K43" s="86">
        <v>5.87</v>
      </c>
      <c r="L43" s="86">
        <v>3</v>
      </c>
      <c r="M43" s="86">
        <v>5</v>
      </c>
      <c r="N43" s="86">
        <v>1</v>
      </c>
      <c r="O43" s="86">
        <v>2.5</v>
      </c>
      <c r="P43" s="101"/>
      <c r="Q43" s="86"/>
      <c r="R43" s="86" t="s">
        <v>114</v>
      </c>
      <c r="S43" s="56"/>
      <c r="T43" s="86" t="s">
        <v>107</v>
      </c>
      <c r="U43" s="86">
        <v>7.4539999999999997</v>
      </c>
      <c r="V43" s="10">
        <v>0</v>
      </c>
      <c r="W43" s="10">
        <v>0</v>
      </c>
      <c r="X43" s="10">
        <v>0</v>
      </c>
      <c r="Y43" s="25"/>
    </row>
    <row r="44" spans="1:25" x14ac:dyDescent="0.3">
      <c r="A44" s="3" t="e">
        <f>VLOOKUP(E44,'[2]Listas Desplegables'!$H$3:$J$7,2,FALSE)</f>
        <v>#N/A</v>
      </c>
      <c r="B44" s="3" t="e">
        <f>VLOOKUP(E44,'[2]Listas Desplegables'!$H$3:$J$7,3,FALSE)</f>
        <v>#N/A</v>
      </c>
      <c r="C44" s="8">
        <v>39</v>
      </c>
      <c r="D44" s="90" t="s">
        <v>342</v>
      </c>
      <c r="E44" s="12" t="s">
        <v>364</v>
      </c>
      <c r="F44" s="90">
        <v>34.5</v>
      </c>
      <c r="G44" s="86">
        <v>13.8</v>
      </c>
      <c r="H44" s="86">
        <v>3</v>
      </c>
      <c r="I44" s="86" t="s">
        <v>351</v>
      </c>
      <c r="J44" s="86">
        <v>6.03</v>
      </c>
      <c r="K44" s="86">
        <v>6.03</v>
      </c>
      <c r="L44" s="86">
        <v>3</v>
      </c>
      <c r="M44" s="86">
        <v>5</v>
      </c>
      <c r="N44" s="86">
        <v>1</v>
      </c>
      <c r="O44" s="86">
        <v>2.5</v>
      </c>
      <c r="P44" s="101"/>
      <c r="Q44" s="86"/>
      <c r="R44" s="86" t="s">
        <v>114</v>
      </c>
      <c r="S44" s="56"/>
      <c r="T44" s="86" t="s">
        <v>107</v>
      </c>
      <c r="U44" s="86">
        <v>26.903099999999998</v>
      </c>
      <c r="V44" s="10">
        <v>4.3368749999790452</v>
      </c>
      <c r="W44" s="10">
        <v>17.347499999916181</v>
      </c>
      <c r="X44" s="10">
        <v>4</v>
      </c>
      <c r="Y44" s="25"/>
    </row>
    <row r="45" spans="1:25" x14ac:dyDescent="0.3">
      <c r="A45" s="3" t="e">
        <f>VLOOKUP(E45,'[2]Listas Desplegables'!$H$3:$J$7,2,FALSE)</f>
        <v>#N/A</v>
      </c>
      <c r="B45" s="3" t="e">
        <f>VLOOKUP(E45,'[2]Listas Desplegables'!$H$3:$J$7,3,FALSE)</f>
        <v>#N/A</v>
      </c>
      <c r="C45" s="8">
        <v>40</v>
      </c>
      <c r="D45" s="90" t="s">
        <v>343</v>
      </c>
      <c r="E45" s="12" t="s">
        <v>375</v>
      </c>
      <c r="F45" s="90">
        <v>34.5</v>
      </c>
      <c r="G45" s="86">
        <v>13.8</v>
      </c>
      <c r="H45" s="86">
        <v>1</v>
      </c>
      <c r="I45" s="86" t="s">
        <v>352</v>
      </c>
      <c r="J45" s="86">
        <v>6</v>
      </c>
      <c r="K45" s="86">
        <v>6</v>
      </c>
      <c r="L45" s="86">
        <v>3</v>
      </c>
      <c r="M45" s="86">
        <v>5</v>
      </c>
      <c r="N45" s="86">
        <v>1</v>
      </c>
      <c r="O45" s="86">
        <v>2.5</v>
      </c>
      <c r="P45" s="101"/>
      <c r="Q45" s="86"/>
      <c r="R45" s="86" t="s">
        <v>114</v>
      </c>
      <c r="S45" s="56"/>
      <c r="T45" s="86" t="s">
        <v>107</v>
      </c>
      <c r="U45" s="86">
        <v>8.4</v>
      </c>
      <c r="V45" s="10">
        <v>3.9274691390649728E-2</v>
      </c>
      <c r="W45" s="10">
        <v>0.70694444503169507</v>
      </c>
      <c r="X45" s="10">
        <v>18</v>
      </c>
      <c r="Y45" s="25"/>
    </row>
    <row r="46" spans="1:25" x14ac:dyDescent="0.3">
      <c r="A46" s="3" t="e">
        <f>VLOOKUP(E46,'[2]Listas Desplegables'!$H$3:$J$7,2,FALSE)</f>
        <v>#N/A</v>
      </c>
      <c r="B46" s="3" t="e">
        <f>VLOOKUP(E46,'[2]Listas Desplegables'!$H$3:$J$7,3,FALSE)</f>
        <v>#N/A</v>
      </c>
      <c r="C46" s="8">
        <v>41</v>
      </c>
      <c r="D46" s="90" t="s">
        <v>344</v>
      </c>
      <c r="E46" s="12" t="s">
        <v>376</v>
      </c>
      <c r="F46" s="90">
        <v>34.5</v>
      </c>
      <c r="G46" s="86">
        <v>13.8</v>
      </c>
      <c r="H46" s="86">
        <v>0.5</v>
      </c>
      <c r="I46" s="86" t="s">
        <v>352</v>
      </c>
      <c r="J46" s="86">
        <v>6.6</v>
      </c>
      <c r="K46" s="86">
        <v>6.6</v>
      </c>
      <c r="L46" s="86">
        <v>3</v>
      </c>
      <c r="M46" s="86">
        <v>5</v>
      </c>
      <c r="N46" s="86">
        <v>1</v>
      </c>
      <c r="O46" s="86">
        <v>2.5</v>
      </c>
      <c r="P46" s="101"/>
      <c r="Q46" s="86"/>
      <c r="R46" s="86" t="s">
        <v>114</v>
      </c>
      <c r="S46" s="56"/>
      <c r="T46" s="86" t="s">
        <v>107</v>
      </c>
      <c r="U46" s="86">
        <v>6.37</v>
      </c>
      <c r="V46" s="10">
        <v>0</v>
      </c>
      <c r="W46" s="10">
        <v>0</v>
      </c>
      <c r="X46" s="10">
        <v>0</v>
      </c>
      <c r="Y46" s="25"/>
    </row>
    <row r="47" spans="1:25" x14ac:dyDescent="0.3">
      <c r="A47" s="3" t="e">
        <f>VLOOKUP(E47,'[2]Listas Desplegables'!$H$3:$J$7,2,FALSE)</f>
        <v>#N/A</v>
      </c>
      <c r="B47" s="3" t="e">
        <f>VLOOKUP(E47,'[2]Listas Desplegables'!$H$3:$J$7,3,FALSE)</f>
        <v>#N/A</v>
      </c>
      <c r="C47" s="8">
        <v>42</v>
      </c>
      <c r="D47" s="90" t="s">
        <v>345</v>
      </c>
      <c r="E47" s="12" t="s">
        <v>377</v>
      </c>
      <c r="F47" s="90">
        <v>34.5</v>
      </c>
      <c r="G47" s="86">
        <v>13.8</v>
      </c>
      <c r="H47" s="86">
        <v>0.5</v>
      </c>
      <c r="I47" s="86" t="s">
        <v>351</v>
      </c>
      <c r="J47" s="86">
        <v>5.22</v>
      </c>
      <c r="K47" s="86">
        <v>5.22</v>
      </c>
      <c r="L47" s="86">
        <v>3</v>
      </c>
      <c r="M47" s="86">
        <v>5</v>
      </c>
      <c r="N47" s="86">
        <v>1</v>
      </c>
      <c r="O47" s="86">
        <v>2.5</v>
      </c>
      <c r="P47" s="101"/>
      <c r="Q47" s="86"/>
      <c r="R47" s="86" t="s">
        <v>114</v>
      </c>
      <c r="S47" s="56"/>
      <c r="T47" s="86" t="s">
        <v>107</v>
      </c>
      <c r="U47" s="86">
        <v>6.37</v>
      </c>
      <c r="V47" s="10">
        <v>0</v>
      </c>
      <c r="W47" s="10">
        <v>0</v>
      </c>
      <c r="X47" s="10">
        <v>0</v>
      </c>
      <c r="Y47" s="25"/>
    </row>
    <row r="48" spans="1:25" x14ac:dyDescent="0.3">
      <c r="A48" s="3" t="e">
        <f>VLOOKUP(E48,'[2]Listas Desplegables'!$H$3:$J$7,2,FALSE)</f>
        <v>#N/A</v>
      </c>
      <c r="B48" s="3" t="e">
        <f>VLOOKUP(E48,'[2]Listas Desplegables'!$H$3:$J$7,3,FALSE)</f>
        <v>#N/A</v>
      </c>
      <c r="C48" s="8">
        <v>43</v>
      </c>
      <c r="D48" s="90" t="s">
        <v>346</v>
      </c>
      <c r="E48" s="12" t="s">
        <v>379</v>
      </c>
      <c r="F48" s="90">
        <v>34.5</v>
      </c>
      <c r="G48" s="86">
        <v>13.8</v>
      </c>
      <c r="H48" s="86">
        <v>0.5</v>
      </c>
      <c r="I48" s="86" t="s">
        <v>351</v>
      </c>
      <c r="J48" s="86">
        <v>6.38</v>
      </c>
      <c r="K48" s="86">
        <v>6.38</v>
      </c>
      <c r="L48" s="86">
        <v>3</v>
      </c>
      <c r="M48" s="86">
        <v>5</v>
      </c>
      <c r="N48" s="86">
        <v>1</v>
      </c>
      <c r="O48" s="86">
        <v>2.5</v>
      </c>
      <c r="P48" s="101"/>
      <c r="Q48" s="86"/>
      <c r="R48" s="86" t="s">
        <v>114</v>
      </c>
      <c r="S48" s="56"/>
      <c r="T48" s="86" t="s">
        <v>107</v>
      </c>
      <c r="U48" s="86">
        <v>6.37</v>
      </c>
      <c r="V48" s="10">
        <v>0.9597222221782431</v>
      </c>
      <c r="W48" s="10">
        <v>0.9597222221782431</v>
      </c>
      <c r="X48" s="10">
        <v>1</v>
      </c>
      <c r="Y48" s="25"/>
    </row>
    <row r="49" spans="1:25" x14ac:dyDescent="0.3">
      <c r="A49" s="3" t="e">
        <f>VLOOKUP(E49,'[2]Listas Desplegables'!$H$3:$J$7,2,FALSE)</f>
        <v>#N/A</v>
      </c>
      <c r="B49" s="3" t="e">
        <f>VLOOKUP(E49,'[2]Listas Desplegables'!$H$3:$J$7,3,FALSE)</f>
        <v>#N/A</v>
      </c>
      <c r="C49" s="8">
        <v>44</v>
      </c>
      <c r="D49" s="90" t="s">
        <v>347</v>
      </c>
      <c r="E49" s="115" t="s">
        <v>290</v>
      </c>
      <c r="F49" s="90">
        <v>115</v>
      </c>
      <c r="G49" s="86">
        <v>13.8</v>
      </c>
      <c r="H49" s="86">
        <v>32</v>
      </c>
      <c r="I49" s="86" t="s">
        <v>350</v>
      </c>
      <c r="J49" s="86">
        <v>9.3800000000000008</v>
      </c>
      <c r="K49" s="86">
        <v>9.3800000000000008</v>
      </c>
      <c r="L49" s="86">
        <v>8</v>
      </c>
      <c r="M49" s="86">
        <v>16</v>
      </c>
      <c r="N49" s="86">
        <v>2</v>
      </c>
      <c r="O49" s="86">
        <v>1</v>
      </c>
      <c r="P49" s="101">
        <v>1.24</v>
      </c>
      <c r="Q49" s="86">
        <v>30</v>
      </c>
      <c r="R49" s="86" t="s">
        <v>114</v>
      </c>
      <c r="S49" s="56"/>
      <c r="T49" s="86" t="s">
        <v>106</v>
      </c>
      <c r="U49" s="86">
        <v>130</v>
      </c>
      <c r="V49" s="10">
        <v>14.49101851839805</v>
      </c>
      <c r="W49" s="10">
        <v>43.473055555194151</v>
      </c>
      <c r="X49" s="10">
        <v>3</v>
      </c>
      <c r="Y49" s="25"/>
    </row>
    <row r="50" spans="1:25" x14ac:dyDescent="0.3">
      <c r="A50" s="3" t="e">
        <f>VLOOKUP(E50,'[2]Listas Desplegables'!$H$3:$J$7,2,FALSE)</f>
        <v>#N/A</v>
      </c>
      <c r="B50" s="3" t="e">
        <f>VLOOKUP(E50,'[2]Listas Desplegables'!$H$3:$J$7,3,FALSE)</f>
        <v>#N/A</v>
      </c>
      <c r="C50" s="8">
        <v>45</v>
      </c>
      <c r="D50" s="90" t="s">
        <v>348</v>
      </c>
      <c r="E50" s="115" t="s">
        <v>295</v>
      </c>
      <c r="F50" s="90">
        <v>115</v>
      </c>
      <c r="G50" s="86">
        <v>34.5</v>
      </c>
      <c r="H50" s="86">
        <v>47</v>
      </c>
      <c r="I50" s="86" t="s">
        <v>350</v>
      </c>
      <c r="J50" s="86">
        <v>14.366300000000001</v>
      </c>
      <c r="K50" s="86">
        <v>14.366300000000001</v>
      </c>
      <c r="L50" s="86">
        <v>7</v>
      </c>
      <c r="M50" s="86">
        <v>15</v>
      </c>
      <c r="N50" s="86">
        <v>1</v>
      </c>
      <c r="O50" s="86">
        <v>1.25</v>
      </c>
      <c r="P50" s="101">
        <v>1.1499999999999999</v>
      </c>
      <c r="Q50" s="86">
        <v>30</v>
      </c>
      <c r="R50" s="86" t="s">
        <v>114</v>
      </c>
      <c r="S50" s="56"/>
      <c r="T50" s="86" t="s">
        <v>106</v>
      </c>
      <c r="U50" s="86">
        <v>189.36</v>
      </c>
      <c r="V50" s="10">
        <v>7.4850925926002674</v>
      </c>
      <c r="W50" s="10">
        <v>22.455277777800802</v>
      </c>
      <c r="X50" s="10">
        <v>3</v>
      </c>
      <c r="Y50" s="25"/>
    </row>
    <row r="51" spans="1:25" x14ac:dyDescent="0.3">
      <c r="A51" s="3" t="e">
        <f>VLOOKUP(E51,'[2]Listas Desplegables'!$H$3:$J$7,2,FALSE)</f>
        <v>#N/A</v>
      </c>
      <c r="B51" s="3" t="e">
        <f>VLOOKUP(E51,'[2]Listas Desplegables'!$H$3:$J$7,3,FALSE)</f>
        <v>#N/A</v>
      </c>
      <c r="C51" s="8">
        <v>46</v>
      </c>
      <c r="D51" s="90" t="s">
        <v>349</v>
      </c>
      <c r="E51" s="115" t="s">
        <v>380</v>
      </c>
      <c r="F51" s="90">
        <v>34.5</v>
      </c>
      <c r="G51" s="86">
        <v>13.8</v>
      </c>
      <c r="H51" s="86">
        <v>6</v>
      </c>
      <c r="I51" s="86" t="s">
        <v>351</v>
      </c>
      <c r="J51" s="86">
        <v>7.2</v>
      </c>
      <c r="K51" s="86">
        <v>7.2</v>
      </c>
      <c r="L51" s="86">
        <v>3</v>
      </c>
      <c r="M51" s="86">
        <v>5</v>
      </c>
      <c r="N51" s="86">
        <v>1</v>
      </c>
      <c r="O51" s="86">
        <v>2.5</v>
      </c>
      <c r="P51" s="101"/>
      <c r="Q51" s="86"/>
      <c r="R51" s="86" t="s">
        <v>114</v>
      </c>
      <c r="S51" s="56"/>
      <c r="T51" s="86" t="s">
        <v>107</v>
      </c>
      <c r="U51" s="86">
        <v>33.74</v>
      </c>
      <c r="V51" s="10">
        <v>10.361111111124046</v>
      </c>
      <c r="W51" s="10">
        <v>10.361111111124046</v>
      </c>
      <c r="X51" s="10">
        <v>1</v>
      </c>
      <c r="Y51" s="25"/>
    </row>
    <row r="52" spans="1:25" x14ac:dyDescent="0.3">
      <c r="A52" s="3" t="e">
        <f>VLOOKUP(E52,'[2]Listas Desplegables'!$H$3:$J$7,2,FALSE)</f>
        <v>#N/A</v>
      </c>
      <c r="B52" s="3" t="e">
        <f>VLOOKUP(E52,'[2]Listas Desplegables'!$H$3:$J$7,3,FALSE)</f>
        <v>#N/A</v>
      </c>
      <c r="C52" s="8">
        <v>47</v>
      </c>
      <c r="D52" s="90" t="s">
        <v>932</v>
      </c>
      <c r="E52" s="115" t="s">
        <v>292</v>
      </c>
      <c r="F52" s="90">
        <v>115</v>
      </c>
      <c r="G52" s="86">
        <v>34.5</v>
      </c>
      <c r="H52" s="86">
        <v>40</v>
      </c>
      <c r="I52" s="86" t="s">
        <v>350</v>
      </c>
      <c r="J52" s="86">
        <v>17.03</v>
      </c>
      <c r="K52" s="86">
        <v>17.03</v>
      </c>
      <c r="L52" s="86">
        <v>7</v>
      </c>
      <c r="M52" s="86">
        <v>15</v>
      </c>
      <c r="N52" s="86">
        <v>1</v>
      </c>
      <c r="O52" s="86">
        <v>1.25</v>
      </c>
      <c r="P52" s="101"/>
      <c r="Q52" s="86"/>
      <c r="R52" s="86" t="s">
        <v>114</v>
      </c>
      <c r="S52" s="56"/>
      <c r="T52" s="86" t="s">
        <v>106</v>
      </c>
      <c r="U52" s="86">
        <v>120</v>
      </c>
      <c r="V52" s="10"/>
      <c r="W52" s="10"/>
      <c r="X52" s="10"/>
      <c r="Y52" s="25" t="s">
        <v>552</v>
      </c>
    </row>
    <row r="53" spans="1:25" x14ac:dyDescent="0.3">
      <c r="C53" s="8">
        <v>48</v>
      </c>
      <c r="D53" s="90" t="s">
        <v>665</v>
      </c>
      <c r="E53" s="115" t="s">
        <v>381</v>
      </c>
      <c r="F53" s="90">
        <v>34.5</v>
      </c>
      <c r="G53" s="86">
        <v>13.8</v>
      </c>
      <c r="H53" s="86">
        <v>0.16</v>
      </c>
      <c r="I53" s="86" t="s">
        <v>352</v>
      </c>
      <c r="J53" s="86">
        <v>5</v>
      </c>
      <c r="K53" s="86">
        <v>5</v>
      </c>
      <c r="L53" s="93">
        <v>0</v>
      </c>
      <c r="M53" s="93">
        <v>2</v>
      </c>
      <c r="N53" s="93">
        <v>-2</v>
      </c>
      <c r="O53" s="93">
        <v>2.5</v>
      </c>
      <c r="P53" s="101"/>
      <c r="Q53" s="86"/>
      <c r="R53" s="86" t="s">
        <v>114</v>
      </c>
      <c r="S53" s="95"/>
      <c r="T53" s="93" t="s">
        <v>107</v>
      </c>
      <c r="U53" s="93">
        <v>4.84</v>
      </c>
      <c r="V53" s="94">
        <v>0.48333333333721384</v>
      </c>
      <c r="W53" s="94">
        <v>0.96666666667442769</v>
      </c>
      <c r="X53" s="94">
        <v>2</v>
      </c>
      <c r="Y53" s="96"/>
    </row>
    <row r="54" spans="1:25" x14ac:dyDescent="0.3">
      <c r="C54" s="8">
        <v>49</v>
      </c>
      <c r="D54" s="90" t="s">
        <v>647</v>
      </c>
      <c r="E54" s="116" t="s">
        <v>534</v>
      </c>
      <c r="F54" s="83">
        <v>115</v>
      </c>
      <c r="G54" s="83">
        <v>34.5</v>
      </c>
      <c r="H54" s="86">
        <v>25</v>
      </c>
      <c r="I54" s="93" t="s">
        <v>350</v>
      </c>
      <c r="J54" s="93">
        <v>8.52</v>
      </c>
      <c r="K54" s="93">
        <v>8.52</v>
      </c>
      <c r="L54" s="93">
        <v>5</v>
      </c>
      <c r="M54" s="93">
        <v>15</v>
      </c>
      <c r="N54" s="93">
        <v>1</v>
      </c>
      <c r="O54" s="93">
        <v>1.25</v>
      </c>
      <c r="P54" s="94"/>
      <c r="Q54" s="94"/>
      <c r="R54" s="93" t="s">
        <v>89</v>
      </c>
      <c r="S54" s="95">
        <v>47483</v>
      </c>
      <c r="T54" s="93" t="s">
        <v>106</v>
      </c>
      <c r="U54" s="93">
        <v>68.5</v>
      </c>
      <c r="V54" s="94"/>
      <c r="W54" s="94"/>
      <c r="X54" s="94"/>
      <c r="Y54" s="110" t="s">
        <v>795</v>
      </c>
    </row>
    <row r="55" spans="1:25" x14ac:dyDescent="0.3">
      <c r="C55" s="8">
        <v>50</v>
      </c>
      <c r="D55" s="90" t="s">
        <v>648</v>
      </c>
      <c r="E55" s="116" t="s">
        <v>534</v>
      </c>
      <c r="F55" s="83">
        <v>115</v>
      </c>
      <c r="G55" s="83">
        <v>13.8</v>
      </c>
      <c r="H55" s="86">
        <v>6</v>
      </c>
      <c r="I55" s="86" t="s">
        <v>351</v>
      </c>
      <c r="J55" s="86">
        <v>7.2</v>
      </c>
      <c r="K55" s="86">
        <v>7.2</v>
      </c>
      <c r="L55" s="86">
        <v>3</v>
      </c>
      <c r="M55" s="86">
        <v>5</v>
      </c>
      <c r="N55" s="86">
        <v>1</v>
      </c>
      <c r="O55" s="86">
        <v>2.5</v>
      </c>
      <c r="P55" s="101"/>
      <c r="Q55" s="86"/>
      <c r="R55" s="93" t="s">
        <v>89</v>
      </c>
      <c r="S55" s="95">
        <v>47483</v>
      </c>
      <c r="T55" s="86" t="s">
        <v>106</v>
      </c>
      <c r="U55" s="86">
        <v>36</v>
      </c>
      <c r="V55" s="94"/>
      <c r="W55" s="94"/>
      <c r="X55" s="94"/>
      <c r="Y55" s="110" t="s">
        <v>795</v>
      </c>
    </row>
    <row r="56" spans="1:25" x14ac:dyDescent="0.3">
      <c r="C56" s="8">
        <v>51</v>
      </c>
      <c r="D56" s="90" t="s">
        <v>677</v>
      </c>
      <c r="E56" s="116" t="s">
        <v>535</v>
      </c>
      <c r="F56" s="83">
        <v>115</v>
      </c>
      <c r="G56" s="83">
        <v>34.5</v>
      </c>
      <c r="H56" s="86">
        <v>47</v>
      </c>
      <c r="I56" s="86" t="s">
        <v>350</v>
      </c>
      <c r="J56" s="86">
        <v>11.99</v>
      </c>
      <c r="K56" s="86">
        <v>11.99</v>
      </c>
      <c r="L56" s="86">
        <v>7</v>
      </c>
      <c r="M56" s="86">
        <v>15</v>
      </c>
      <c r="N56" s="86">
        <v>1</v>
      </c>
      <c r="O56" s="86">
        <v>1.25</v>
      </c>
      <c r="P56" s="94"/>
      <c r="Q56" s="94"/>
      <c r="R56" s="93" t="s">
        <v>89</v>
      </c>
      <c r="S56" s="95">
        <v>46752</v>
      </c>
      <c r="T56" s="93" t="s">
        <v>106</v>
      </c>
      <c r="U56" s="86">
        <v>117.5</v>
      </c>
      <c r="V56" s="94"/>
      <c r="W56" s="94"/>
      <c r="X56" s="94"/>
      <c r="Y56" s="110" t="s">
        <v>796</v>
      </c>
    </row>
    <row r="57" spans="1:25" x14ac:dyDescent="0.3">
      <c r="C57" s="8">
        <v>52</v>
      </c>
      <c r="D57" s="90" t="s">
        <v>678</v>
      </c>
      <c r="E57" s="116" t="s">
        <v>535</v>
      </c>
      <c r="F57" s="83">
        <v>115</v>
      </c>
      <c r="G57" s="93">
        <v>13.8</v>
      </c>
      <c r="H57" s="93">
        <v>25</v>
      </c>
      <c r="I57" s="93" t="s">
        <v>350</v>
      </c>
      <c r="J57" s="86">
        <v>11.1</v>
      </c>
      <c r="K57" s="86">
        <v>11.1</v>
      </c>
      <c r="L57" s="86">
        <v>6</v>
      </c>
      <c r="M57" s="86">
        <v>11</v>
      </c>
      <c r="N57" s="86">
        <v>1</v>
      </c>
      <c r="O57" s="86">
        <v>1</v>
      </c>
      <c r="P57" s="94"/>
      <c r="Q57" s="94"/>
      <c r="R57" s="93" t="s">
        <v>89</v>
      </c>
      <c r="S57" s="95">
        <v>46752</v>
      </c>
      <c r="T57" s="93" t="s">
        <v>106</v>
      </c>
      <c r="U57" s="86">
        <v>12.32</v>
      </c>
      <c r="V57" s="94"/>
      <c r="W57" s="94"/>
      <c r="X57" s="94"/>
      <c r="Y57" s="110" t="s">
        <v>796</v>
      </c>
    </row>
    <row r="58" spans="1:25" x14ac:dyDescent="0.3">
      <c r="C58" s="8">
        <v>53</v>
      </c>
      <c r="D58" s="90" t="s">
        <v>625</v>
      </c>
      <c r="E58" s="115" t="s">
        <v>626</v>
      </c>
      <c r="F58" s="90">
        <v>34.5</v>
      </c>
      <c r="G58" s="93">
        <v>13.8</v>
      </c>
      <c r="H58" s="93">
        <v>3</v>
      </c>
      <c r="I58" s="86" t="s">
        <v>351</v>
      </c>
      <c r="J58" s="86">
        <v>6.03</v>
      </c>
      <c r="K58" s="86">
        <v>6.03</v>
      </c>
      <c r="L58" s="86">
        <v>3</v>
      </c>
      <c r="M58" s="86">
        <v>5</v>
      </c>
      <c r="N58" s="86">
        <v>1</v>
      </c>
      <c r="O58" s="86">
        <v>2.5</v>
      </c>
      <c r="P58" s="94"/>
      <c r="Q58" s="94"/>
      <c r="R58" s="93" t="s">
        <v>89</v>
      </c>
      <c r="S58" s="95">
        <v>46387</v>
      </c>
      <c r="T58" s="93" t="s">
        <v>107</v>
      </c>
      <c r="U58" s="86">
        <v>26.903099999999998</v>
      </c>
      <c r="V58" s="94"/>
      <c r="W58" s="94"/>
      <c r="X58" s="94"/>
      <c r="Y58" s="110" t="s">
        <v>662</v>
      </c>
    </row>
    <row r="59" spans="1:25" x14ac:dyDescent="0.3">
      <c r="C59" s="8">
        <v>54</v>
      </c>
      <c r="D59" s="90" t="s">
        <v>632</v>
      </c>
      <c r="E59" s="115" t="s">
        <v>633</v>
      </c>
      <c r="F59" s="90">
        <v>34.5</v>
      </c>
      <c r="G59" s="93">
        <v>13.8</v>
      </c>
      <c r="H59" s="93">
        <v>5</v>
      </c>
      <c r="I59" s="86" t="s">
        <v>351</v>
      </c>
      <c r="J59" s="86">
        <v>5.82</v>
      </c>
      <c r="K59" s="86">
        <v>5.82</v>
      </c>
      <c r="L59" s="86">
        <v>3</v>
      </c>
      <c r="M59" s="86">
        <v>5</v>
      </c>
      <c r="N59" s="86">
        <v>1</v>
      </c>
      <c r="O59" s="86">
        <v>2.5</v>
      </c>
      <c r="P59" s="94"/>
      <c r="Q59" s="94"/>
      <c r="R59" s="93" t="s">
        <v>89</v>
      </c>
      <c r="S59" s="95">
        <v>46387</v>
      </c>
      <c r="T59" s="93" t="s">
        <v>107</v>
      </c>
      <c r="U59" s="86">
        <v>16.5</v>
      </c>
      <c r="V59" s="94"/>
      <c r="W59" s="94"/>
      <c r="X59" s="94"/>
      <c r="Y59" s="110" t="s">
        <v>663</v>
      </c>
    </row>
    <row r="60" spans="1:25" x14ac:dyDescent="0.3">
      <c r="C60" s="8">
        <v>55</v>
      </c>
      <c r="D60" s="90" t="s">
        <v>929</v>
      </c>
      <c r="E60" s="115" t="s">
        <v>637</v>
      </c>
      <c r="F60" s="90">
        <v>34.5</v>
      </c>
      <c r="G60" s="93">
        <v>13.8</v>
      </c>
      <c r="H60" s="86">
        <v>12.5</v>
      </c>
      <c r="I60" s="86" t="s">
        <v>351</v>
      </c>
      <c r="J60" s="86">
        <v>7.45</v>
      </c>
      <c r="K60" s="86">
        <v>7.45</v>
      </c>
      <c r="L60" s="86">
        <v>3</v>
      </c>
      <c r="M60" s="86">
        <v>5</v>
      </c>
      <c r="N60" s="86">
        <v>1</v>
      </c>
      <c r="O60" s="86">
        <v>2.5</v>
      </c>
      <c r="P60" s="101"/>
      <c r="Q60" s="86"/>
      <c r="R60" s="93" t="s">
        <v>114</v>
      </c>
      <c r="S60" s="95">
        <v>45291</v>
      </c>
      <c r="T60" s="93" t="s">
        <v>107</v>
      </c>
      <c r="U60" s="86">
        <v>53.5</v>
      </c>
      <c r="V60" s="94"/>
      <c r="W60" s="94"/>
      <c r="X60" s="94"/>
      <c r="Y60" s="110" t="s">
        <v>664</v>
      </c>
    </row>
    <row r="61" spans="1:25" x14ac:dyDescent="0.3">
      <c r="C61" s="8">
        <v>56</v>
      </c>
      <c r="D61" s="90" t="s">
        <v>930</v>
      </c>
      <c r="E61" s="12" t="s">
        <v>290</v>
      </c>
      <c r="F61" s="90">
        <v>115</v>
      </c>
      <c r="G61" s="93">
        <v>34.5</v>
      </c>
      <c r="H61" s="93">
        <v>47</v>
      </c>
      <c r="I61" s="93" t="s">
        <v>350</v>
      </c>
      <c r="J61" s="93">
        <v>14.366300000000001</v>
      </c>
      <c r="K61" s="93">
        <v>14.366300000000001</v>
      </c>
      <c r="L61" s="86">
        <v>7</v>
      </c>
      <c r="M61" s="86">
        <v>15</v>
      </c>
      <c r="N61" s="86">
        <v>1</v>
      </c>
      <c r="O61" s="86">
        <v>1.25</v>
      </c>
      <c r="P61" s="94"/>
      <c r="Q61" s="94"/>
      <c r="R61" s="93" t="s">
        <v>114</v>
      </c>
      <c r="S61" s="60"/>
      <c r="T61" s="86" t="s">
        <v>106</v>
      </c>
      <c r="U61" s="93">
        <v>189.36</v>
      </c>
      <c r="V61" s="94"/>
      <c r="W61" s="94"/>
      <c r="X61" s="94"/>
      <c r="Y61" s="117" t="s">
        <v>659</v>
      </c>
    </row>
    <row r="62" spans="1:25" x14ac:dyDescent="0.3">
      <c r="C62" s="8">
        <v>57</v>
      </c>
      <c r="D62" s="90" t="s">
        <v>927</v>
      </c>
      <c r="E62" s="12" t="s">
        <v>296</v>
      </c>
      <c r="F62" s="90">
        <v>115</v>
      </c>
      <c r="G62" s="93">
        <v>34.5</v>
      </c>
      <c r="H62" s="93">
        <v>25</v>
      </c>
      <c r="I62" s="93" t="s">
        <v>350</v>
      </c>
      <c r="J62" s="93">
        <v>11.4625</v>
      </c>
      <c r="K62" s="93">
        <v>11.4625</v>
      </c>
      <c r="L62" s="93">
        <v>3</v>
      </c>
      <c r="M62" s="93">
        <v>5</v>
      </c>
      <c r="N62" s="93">
        <v>1</v>
      </c>
      <c r="O62" s="93">
        <v>1.25</v>
      </c>
      <c r="P62" s="94"/>
      <c r="Q62" s="94"/>
      <c r="R62" s="93" t="s">
        <v>114</v>
      </c>
      <c r="S62" s="95">
        <v>45291</v>
      </c>
      <c r="T62" s="93" t="s">
        <v>106</v>
      </c>
      <c r="U62" s="93">
        <v>61.5</v>
      </c>
      <c r="V62" s="94"/>
      <c r="W62" s="94"/>
      <c r="X62" s="94"/>
      <c r="Y62" s="117" t="s">
        <v>658</v>
      </c>
    </row>
    <row r="63" spans="1:25" x14ac:dyDescent="0.3">
      <c r="C63" s="8">
        <v>58</v>
      </c>
      <c r="D63" s="90" t="s">
        <v>945</v>
      </c>
      <c r="E63" s="12" t="s">
        <v>297</v>
      </c>
      <c r="F63" s="90">
        <v>34.5</v>
      </c>
      <c r="G63" s="86">
        <v>13.8</v>
      </c>
      <c r="H63" s="86">
        <v>18</v>
      </c>
      <c r="I63" s="86" t="s">
        <v>351</v>
      </c>
      <c r="J63" s="86">
        <v>9.8040000000000003</v>
      </c>
      <c r="K63" s="86">
        <v>9.8040000000000003</v>
      </c>
      <c r="L63" s="86">
        <v>3</v>
      </c>
      <c r="M63" s="86">
        <v>5</v>
      </c>
      <c r="N63" s="86">
        <v>1</v>
      </c>
      <c r="O63" s="86">
        <v>2.5</v>
      </c>
      <c r="P63" s="101"/>
      <c r="Q63" s="86"/>
      <c r="R63" s="86" t="s">
        <v>114</v>
      </c>
      <c r="S63" s="56">
        <v>45291</v>
      </c>
      <c r="T63" s="86" t="s">
        <v>107</v>
      </c>
      <c r="U63" s="86">
        <v>68.599999999999994</v>
      </c>
      <c r="V63" s="10"/>
      <c r="W63" s="10"/>
      <c r="X63" s="10"/>
      <c r="Y63" s="117"/>
    </row>
    <row r="64" spans="1:25" x14ac:dyDescent="0.3">
      <c r="C64" s="8">
        <v>59</v>
      </c>
      <c r="D64" s="90" t="s">
        <v>776</v>
      </c>
      <c r="E64" s="12" t="s">
        <v>359</v>
      </c>
      <c r="F64" s="83">
        <v>115</v>
      </c>
      <c r="G64" s="83">
        <v>34.5</v>
      </c>
      <c r="H64" s="86">
        <v>25</v>
      </c>
      <c r="I64" s="93" t="s">
        <v>350</v>
      </c>
      <c r="J64" s="93">
        <v>8.52</v>
      </c>
      <c r="K64" s="93">
        <v>8.52</v>
      </c>
      <c r="L64" s="93">
        <v>5</v>
      </c>
      <c r="M64" s="93">
        <v>15</v>
      </c>
      <c r="N64" s="93">
        <v>1</v>
      </c>
      <c r="O64" s="93">
        <v>1.25</v>
      </c>
      <c r="P64" s="94"/>
      <c r="Q64" s="94"/>
      <c r="R64" s="93" t="s">
        <v>89</v>
      </c>
      <c r="S64" s="56">
        <v>46752</v>
      </c>
      <c r="T64" s="93" t="s">
        <v>106</v>
      </c>
      <c r="U64" s="93">
        <v>68.5</v>
      </c>
      <c r="V64" s="94"/>
      <c r="W64" s="94"/>
      <c r="X64" s="94"/>
      <c r="Y64" s="117" t="s">
        <v>775</v>
      </c>
    </row>
    <row r="65" spans="3:25" x14ac:dyDescent="0.3">
      <c r="C65" s="8">
        <v>60</v>
      </c>
      <c r="D65" s="90" t="s">
        <v>778</v>
      </c>
      <c r="E65" s="12" t="s">
        <v>362</v>
      </c>
      <c r="F65" s="83">
        <v>34.5</v>
      </c>
      <c r="G65" s="86">
        <v>13.8</v>
      </c>
      <c r="H65" s="86">
        <v>6</v>
      </c>
      <c r="I65" s="86" t="s">
        <v>351</v>
      </c>
      <c r="J65" s="86">
        <v>7.2</v>
      </c>
      <c r="K65" s="86">
        <v>7.2</v>
      </c>
      <c r="L65" s="86">
        <v>3</v>
      </c>
      <c r="M65" s="86">
        <v>5</v>
      </c>
      <c r="N65" s="86">
        <v>1</v>
      </c>
      <c r="O65" s="86">
        <v>2.5</v>
      </c>
      <c r="P65" s="101"/>
      <c r="Q65" s="86"/>
      <c r="R65" s="86" t="s">
        <v>89</v>
      </c>
      <c r="S65" s="56">
        <v>46752</v>
      </c>
      <c r="T65" s="86" t="s">
        <v>107</v>
      </c>
      <c r="U65" s="86">
        <v>33.74</v>
      </c>
      <c r="V65" s="10"/>
      <c r="W65" s="10"/>
      <c r="X65" s="10"/>
      <c r="Y65" s="117" t="s">
        <v>777</v>
      </c>
    </row>
    <row r="66" spans="3:25" x14ac:dyDescent="0.3">
      <c r="C66" s="8">
        <v>61</v>
      </c>
      <c r="D66" s="90" t="s">
        <v>779</v>
      </c>
      <c r="E66" s="9" t="s">
        <v>356</v>
      </c>
      <c r="F66" s="83">
        <v>34.5</v>
      </c>
      <c r="G66" s="86">
        <v>13.8</v>
      </c>
      <c r="H66" s="86">
        <v>25</v>
      </c>
      <c r="I66" s="86" t="s">
        <v>351</v>
      </c>
      <c r="J66" s="86">
        <v>5.75</v>
      </c>
      <c r="K66" s="86">
        <v>5.75</v>
      </c>
      <c r="L66" s="86">
        <v>3</v>
      </c>
      <c r="M66" s="86">
        <v>5</v>
      </c>
      <c r="N66" s="86">
        <v>1</v>
      </c>
      <c r="O66" s="86">
        <v>2.5</v>
      </c>
      <c r="P66" s="101"/>
      <c r="Q66" s="86"/>
      <c r="R66" s="86" t="s">
        <v>89</v>
      </c>
      <c r="S66" s="56">
        <v>45657</v>
      </c>
      <c r="T66" s="86" t="s">
        <v>107</v>
      </c>
      <c r="U66" s="86">
        <v>90</v>
      </c>
      <c r="V66" s="10"/>
      <c r="W66" s="10"/>
      <c r="X66" s="10"/>
      <c r="Y66" s="117" t="s">
        <v>780</v>
      </c>
    </row>
    <row r="67" spans="3:25" x14ac:dyDescent="0.3">
      <c r="C67" s="8">
        <v>62</v>
      </c>
      <c r="D67" s="90" t="s">
        <v>781</v>
      </c>
      <c r="E67" s="12" t="s">
        <v>782</v>
      </c>
      <c r="F67" s="90">
        <v>34.5</v>
      </c>
      <c r="G67" s="86">
        <v>13.8</v>
      </c>
      <c r="H67" s="86">
        <v>5</v>
      </c>
      <c r="I67" s="86" t="s">
        <v>351</v>
      </c>
      <c r="J67" s="86">
        <v>5.82</v>
      </c>
      <c r="K67" s="86">
        <v>5.82</v>
      </c>
      <c r="L67" s="86">
        <v>3</v>
      </c>
      <c r="M67" s="86">
        <v>5</v>
      </c>
      <c r="N67" s="86">
        <v>1</v>
      </c>
      <c r="O67" s="86">
        <v>2.5</v>
      </c>
      <c r="P67" s="101"/>
      <c r="Q67" s="86"/>
      <c r="R67" s="86" t="s">
        <v>89</v>
      </c>
      <c r="S67" s="56">
        <v>45657</v>
      </c>
      <c r="T67" s="86" t="s">
        <v>107</v>
      </c>
      <c r="U67" s="86">
        <v>16.5</v>
      </c>
      <c r="V67" s="10"/>
      <c r="W67" s="10"/>
      <c r="X67" s="10"/>
      <c r="Y67" s="117" t="s">
        <v>783</v>
      </c>
    </row>
    <row r="68" spans="3:25" x14ac:dyDescent="0.3">
      <c r="C68" s="8">
        <v>63</v>
      </c>
      <c r="D68" s="90" t="s">
        <v>785</v>
      </c>
      <c r="E68" s="12" t="s">
        <v>291</v>
      </c>
      <c r="F68" s="83">
        <v>115</v>
      </c>
      <c r="G68" s="83">
        <v>34.5</v>
      </c>
      <c r="H68" s="86">
        <v>25</v>
      </c>
      <c r="I68" s="93" t="s">
        <v>350</v>
      </c>
      <c r="J68" s="93">
        <v>8.52</v>
      </c>
      <c r="K68" s="93">
        <v>8.52</v>
      </c>
      <c r="L68" s="93">
        <v>5</v>
      </c>
      <c r="M68" s="93">
        <v>15</v>
      </c>
      <c r="N68" s="93">
        <v>1</v>
      </c>
      <c r="O68" s="93">
        <v>1.25</v>
      </c>
      <c r="P68" s="94"/>
      <c r="Q68" s="94"/>
      <c r="R68" s="93" t="s">
        <v>89</v>
      </c>
      <c r="S68" s="56">
        <v>46022</v>
      </c>
      <c r="T68" s="93" t="s">
        <v>106</v>
      </c>
      <c r="U68" s="93">
        <v>68.5</v>
      </c>
      <c r="V68" s="94"/>
      <c r="W68" s="94"/>
      <c r="X68" s="94"/>
      <c r="Y68" s="117" t="s">
        <v>784</v>
      </c>
    </row>
    <row r="69" spans="3:25" x14ac:dyDescent="0.3">
      <c r="C69" s="8">
        <v>64</v>
      </c>
      <c r="D69" s="90" t="s">
        <v>917</v>
      </c>
      <c r="E69" s="9" t="s">
        <v>358</v>
      </c>
      <c r="F69" s="83">
        <v>34.5</v>
      </c>
      <c r="G69" s="86">
        <v>13.8</v>
      </c>
      <c r="H69" s="86">
        <v>12.5</v>
      </c>
      <c r="I69" s="86" t="s">
        <v>351</v>
      </c>
      <c r="J69" s="86">
        <v>7.47</v>
      </c>
      <c r="K69" s="86">
        <v>7.47</v>
      </c>
      <c r="L69" s="86">
        <v>3</v>
      </c>
      <c r="M69" s="86">
        <v>5</v>
      </c>
      <c r="N69" s="86">
        <v>1</v>
      </c>
      <c r="O69" s="86">
        <v>2.5</v>
      </c>
      <c r="P69" s="101"/>
      <c r="Q69" s="86"/>
      <c r="R69" s="93" t="s">
        <v>114</v>
      </c>
      <c r="S69" s="95">
        <v>45291</v>
      </c>
      <c r="T69" s="86" t="s">
        <v>107</v>
      </c>
      <c r="U69" s="86">
        <v>53.5</v>
      </c>
      <c r="V69" s="10"/>
      <c r="W69" s="10"/>
      <c r="X69" s="10"/>
      <c r="Y69" s="117"/>
    </row>
    <row r="70" spans="3:25" x14ac:dyDescent="0.3">
      <c r="C70" s="8">
        <v>65</v>
      </c>
      <c r="D70" s="90" t="s">
        <v>946</v>
      </c>
      <c r="E70" s="12" t="s">
        <v>378</v>
      </c>
      <c r="F70" s="90">
        <v>34.5</v>
      </c>
      <c r="G70" s="86">
        <v>13.8</v>
      </c>
      <c r="H70" s="86">
        <v>0.5</v>
      </c>
      <c r="I70" s="86" t="s">
        <v>352</v>
      </c>
      <c r="J70" s="86">
        <v>6.6</v>
      </c>
      <c r="K70" s="86">
        <v>6.6</v>
      </c>
      <c r="L70" s="86">
        <v>3</v>
      </c>
      <c r="M70" s="86">
        <v>5</v>
      </c>
      <c r="N70" s="86">
        <v>1</v>
      </c>
      <c r="O70" s="86">
        <v>2.5</v>
      </c>
      <c r="P70" s="101"/>
      <c r="Q70" s="86"/>
      <c r="R70" s="93" t="s">
        <v>114</v>
      </c>
      <c r="S70" s="95">
        <v>45291</v>
      </c>
      <c r="T70" s="86" t="s">
        <v>107</v>
      </c>
      <c r="U70" s="86">
        <v>6.37</v>
      </c>
      <c r="V70" s="10"/>
      <c r="W70" s="10"/>
      <c r="X70" s="10"/>
      <c r="Y70" s="117" t="s">
        <v>786</v>
      </c>
    </row>
    <row r="71" spans="3:25" x14ac:dyDescent="0.3">
      <c r="C71" s="8">
        <v>66</v>
      </c>
      <c r="D71" s="90" t="s">
        <v>947</v>
      </c>
      <c r="E71" s="12" t="s">
        <v>370</v>
      </c>
      <c r="F71" s="90">
        <v>34.5</v>
      </c>
      <c r="G71" s="86">
        <v>13.8</v>
      </c>
      <c r="H71" s="86">
        <v>5</v>
      </c>
      <c r="I71" s="86" t="s">
        <v>351</v>
      </c>
      <c r="J71" s="86">
        <v>5.82</v>
      </c>
      <c r="K71" s="86">
        <v>5.82</v>
      </c>
      <c r="L71" s="86">
        <v>3</v>
      </c>
      <c r="M71" s="86">
        <v>5</v>
      </c>
      <c r="N71" s="86">
        <v>1</v>
      </c>
      <c r="O71" s="86">
        <v>2.5</v>
      </c>
      <c r="P71" s="101"/>
      <c r="Q71" s="86"/>
      <c r="R71" s="93" t="s">
        <v>114</v>
      </c>
      <c r="S71" s="95">
        <v>45291</v>
      </c>
      <c r="T71" s="86" t="s">
        <v>107</v>
      </c>
      <c r="U71" s="86">
        <v>16.5</v>
      </c>
      <c r="V71" s="10"/>
      <c r="W71" s="10"/>
      <c r="X71" s="10"/>
      <c r="Y71" s="117" t="s">
        <v>787</v>
      </c>
    </row>
    <row r="72" spans="3:25" x14ac:dyDescent="0.3">
      <c r="C72" s="8">
        <v>67</v>
      </c>
      <c r="D72" s="90" t="s">
        <v>788</v>
      </c>
      <c r="E72" s="12" t="s">
        <v>368</v>
      </c>
      <c r="F72" s="83">
        <v>34.5</v>
      </c>
      <c r="G72" s="86">
        <v>13.8</v>
      </c>
      <c r="H72" s="86">
        <v>12.5</v>
      </c>
      <c r="I72" s="86" t="s">
        <v>351</v>
      </c>
      <c r="J72" s="86">
        <v>7.47</v>
      </c>
      <c r="K72" s="86">
        <v>7.47</v>
      </c>
      <c r="L72" s="86">
        <v>3</v>
      </c>
      <c r="M72" s="86">
        <v>5</v>
      </c>
      <c r="N72" s="86">
        <v>1</v>
      </c>
      <c r="O72" s="86">
        <v>2.5</v>
      </c>
      <c r="P72" s="101"/>
      <c r="Q72" s="86"/>
      <c r="R72" s="93" t="s">
        <v>89</v>
      </c>
      <c r="S72" s="95">
        <v>45657</v>
      </c>
      <c r="T72" s="86" t="s">
        <v>107</v>
      </c>
      <c r="U72" s="86">
        <v>53.5</v>
      </c>
      <c r="V72" s="10"/>
      <c r="W72" s="10"/>
      <c r="X72" s="10"/>
      <c r="Y72" s="117" t="s">
        <v>789</v>
      </c>
    </row>
    <row r="73" spans="3:25" x14ac:dyDescent="0.3">
      <c r="C73" s="8">
        <v>68</v>
      </c>
      <c r="D73" s="90" t="s">
        <v>931</v>
      </c>
      <c r="E73" s="12" t="s">
        <v>290</v>
      </c>
      <c r="F73" s="83">
        <v>115</v>
      </c>
      <c r="G73" s="86">
        <v>13.8</v>
      </c>
      <c r="H73" s="86">
        <v>47</v>
      </c>
      <c r="I73" s="86" t="s">
        <v>350</v>
      </c>
      <c r="J73" s="86">
        <v>15.09</v>
      </c>
      <c r="K73" s="86">
        <v>15.09</v>
      </c>
      <c r="L73" s="86">
        <v>9</v>
      </c>
      <c r="M73" s="86">
        <v>33</v>
      </c>
      <c r="N73" s="86">
        <v>1</v>
      </c>
      <c r="O73" s="86">
        <v>0.62</v>
      </c>
      <c r="P73" s="101"/>
      <c r="Q73" s="86"/>
      <c r="R73" s="93" t="s">
        <v>89</v>
      </c>
      <c r="S73" s="56">
        <v>46387</v>
      </c>
      <c r="T73" s="86" t="s">
        <v>106</v>
      </c>
      <c r="U73" s="86">
        <v>250</v>
      </c>
      <c r="V73" s="10"/>
      <c r="W73" s="10"/>
      <c r="X73" s="10"/>
      <c r="Y73" s="117" t="s">
        <v>790</v>
      </c>
    </row>
    <row r="74" spans="3:25" x14ac:dyDescent="0.3">
      <c r="C74" s="8">
        <v>69</v>
      </c>
      <c r="D74" s="90" t="s">
        <v>793</v>
      </c>
      <c r="E74" s="115" t="s">
        <v>292</v>
      </c>
      <c r="F74" s="83">
        <v>115</v>
      </c>
      <c r="G74" s="83">
        <v>34.5</v>
      </c>
      <c r="H74" s="86">
        <v>25</v>
      </c>
      <c r="I74" s="93" t="s">
        <v>350</v>
      </c>
      <c r="J74" s="93">
        <v>8.52</v>
      </c>
      <c r="K74" s="93">
        <v>8.52</v>
      </c>
      <c r="L74" s="93">
        <v>5</v>
      </c>
      <c r="M74" s="93">
        <v>15</v>
      </c>
      <c r="N74" s="93">
        <v>1</v>
      </c>
      <c r="O74" s="93">
        <v>1.25</v>
      </c>
      <c r="P74" s="94"/>
      <c r="Q74" s="94"/>
      <c r="R74" s="93" t="s">
        <v>89</v>
      </c>
      <c r="S74" s="56">
        <v>46022</v>
      </c>
      <c r="T74" s="93" t="s">
        <v>106</v>
      </c>
      <c r="U74" s="93">
        <v>68.5</v>
      </c>
      <c r="V74" s="94"/>
      <c r="W74" s="94"/>
      <c r="X74" s="94"/>
      <c r="Y74" s="117" t="s">
        <v>791</v>
      </c>
    </row>
    <row r="75" spans="3:25" x14ac:dyDescent="0.3">
      <c r="C75" s="8">
        <v>70</v>
      </c>
      <c r="D75" s="90" t="s">
        <v>792</v>
      </c>
      <c r="E75" s="115" t="s">
        <v>292</v>
      </c>
      <c r="F75" s="83">
        <v>115</v>
      </c>
      <c r="G75" s="86">
        <v>13.8</v>
      </c>
      <c r="H75" s="86">
        <v>11</v>
      </c>
      <c r="I75" s="86" t="s">
        <v>350</v>
      </c>
      <c r="J75" s="86">
        <v>11.1</v>
      </c>
      <c r="K75" s="86">
        <v>11.1</v>
      </c>
      <c r="L75" s="86">
        <v>6</v>
      </c>
      <c r="M75" s="86">
        <v>11</v>
      </c>
      <c r="N75" s="86">
        <v>1</v>
      </c>
      <c r="O75" s="86">
        <v>1</v>
      </c>
      <c r="P75" s="101"/>
      <c r="Q75" s="86"/>
      <c r="R75" s="93" t="s">
        <v>89</v>
      </c>
      <c r="S75" s="95">
        <v>45657</v>
      </c>
      <c r="T75" s="86" t="s">
        <v>106</v>
      </c>
      <c r="U75" s="86">
        <v>69.209599999999995</v>
      </c>
      <c r="V75" s="10"/>
      <c r="W75" s="10"/>
      <c r="X75" s="10"/>
      <c r="Y75" s="117" t="s">
        <v>794</v>
      </c>
    </row>
    <row r="76" spans="3:25" x14ac:dyDescent="0.3">
      <c r="C76" s="8">
        <v>71</v>
      </c>
      <c r="D76" s="90" t="s">
        <v>798</v>
      </c>
      <c r="E76" s="9" t="s">
        <v>293</v>
      </c>
      <c r="F76" s="83">
        <v>115</v>
      </c>
      <c r="G76" s="86">
        <v>34.5</v>
      </c>
      <c r="H76" s="86">
        <v>40</v>
      </c>
      <c r="I76" s="86" t="s">
        <v>350</v>
      </c>
      <c r="J76" s="86">
        <v>11.99</v>
      </c>
      <c r="K76" s="86">
        <v>11.99</v>
      </c>
      <c r="L76" s="86">
        <v>7</v>
      </c>
      <c r="M76" s="86">
        <v>15</v>
      </c>
      <c r="N76" s="86">
        <v>1</v>
      </c>
      <c r="O76" s="86">
        <v>1.25</v>
      </c>
      <c r="P76" s="101"/>
      <c r="Q76" s="86"/>
      <c r="R76" s="93" t="s">
        <v>89</v>
      </c>
      <c r="S76" s="56">
        <v>46752</v>
      </c>
      <c r="T76" s="86" t="s">
        <v>106</v>
      </c>
      <c r="U76" s="86">
        <v>117.5</v>
      </c>
      <c r="V76" s="10"/>
      <c r="W76" s="10"/>
      <c r="X76" s="10"/>
      <c r="Y76" s="117" t="s">
        <v>811</v>
      </c>
    </row>
    <row r="77" spans="3:25" x14ac:dyDescent="0.3">
      <c r="C77" s="8">
        <v>72</v>
      </c>
      <c r="D77" s="90" t="s">
        <v>799</v>
      </c>
      <c r="E77" s="9" t="s">
        <v>293</v>
      </c>
      <c r="F77" s="83">
        <v>115</v>
      </c>
      <c r="G77" s="86">
        <v>13.8</v>
      </c>
      <c r="H77" s="86">
        <v>25</v>
      </c>
      <c r="I77" s="86" t="s">
        <v>350</v>
      </c>
      <c r="J77" s="86">
        <v>9.4749999999999996</v>
      </c>
      <c r="K77" s="86">
        <v>9.4749999999999996</v>
      </c>
      <c r="L77" s="86">
        <v>7</v>
      </c>
      <c r="M77" s="86">
        <v>15</v>
      </c>
      <c r="N77" s="86">
        <v>1</v>
      </c>
      <c r="O77" s="86">
        <v>1</v>
      </c>
      <c r="P77" s="101"/>
      <c r="Q77" s="86"/>
      <c r="R77" s="93" t="s">
        <v>89</v>
      </c>
      <c r="S77" s="56">
        <v>46752</v>
      </c>
      <c r="T77" s="86" t="s">
        <v>106</v>
      </c>
      <c r="U77" s="86">
        <v>62.2727</v>
      </c>
      <c r="V77" s="10"/>
      <c r="W77" s="10"/>
      <c r="X77" s="10"/>
      <c r="Y77" s="117" t="s">
        <v>811</v>
      </c>
    </row>
    <row r="78" spans="3:25" x14ac:dyDescent="0.3">
      <c r="C78" s="8">
        <v>73</v>
      </c>
      <c r="D78" s="90" t="s">
        <v>803</v>
      </c>
      <c r="E78" s="9" t="s">
        <v>295</v>
      </c>
      <c r="F78" s="83">
        <v>115</v>
      </c>
      <c r="G78" s="86">
        <v>34.5</v>
      </c>
      <c r="H78" s="86">
        <v>40</v>
      </c>
      <c r="I78" s="86" t="s">
        <v>350</v>
      </c>
      <c r="J78" s="86">
        <v>11.99</v>
      </c>
      <c r="K78" s="86">
        <v>11.99</v>
      </c>
      <c r="L78" s="86">
        <v>7</v>
      </c>
      <c r="M78" s="86">
        <v>15</v>
      </c>
      <c r="N78" s="86">
        <v>1</v>
      </c>
      <c r="O78" s="86">
        <v>1.25</v>
      </c>
      <c r="P78" s="101"/>
      <c r="Q78" s="86"/>
      <c r="R78" s="93" t="s">
        <v>89</v>
      </c>
      <c r="S78" s="56">
        <v>47848</v>
      </c>
      <c r="T78" s="86" t="s">
        <v>106</v>
      </c>
      <c r="U78" s="86">
        <v>117.5</v>
      </c>
      <c r="V78" s="10"/>
      <c r="W78" s="10"/>
      <c r="X78" s="10"/>
      <c r="Y78" s="117" t="s">
        <v>811</v>
      </c>
    </row>
    <row r="79" spans="3:25" x14ac:dyDescent="0.3">
      <c r="C79" s="8">
        <v>74</v>
      </c>
      <c r="D79" s="90" t="s">
        <v>804</v>
      </c>
      <c r="E79" s="9" t="s">
        <v>295</v>
      </c>
      <c r="F79" s="83">
        <v>115</v>
      </c>
      <c r="G79" s="86">
        <v>13.8</v>
      </c>
      <c r="H79" s="86">
        <v>25</v>
      </c>
      <c r="I79" s="86" t="s">
        <v>350</v>
      </c>
      <c r="J79" s="86">
        <v>9.4749999999999996</v>
      </c>
      <c r="K79" s="86">
        <v>9.4749999999999996</v>
      </c>
      <c r="L79" s="86">
        <v>7</v>
      </c>
      <c r="M79" s="86">
        <v>15</v>
      </c>
      <c r="N79" s="86">
        <v>1</v>
      </c>
      <c r="O79" s="86">
        <v>1</v>
      </c>
      <c r="P79" s="101"/>
      <c r="Q79" s="86"/>
      <c r="R79" s="93" t="s">
        <v>89</v>
      </c>
      <c r="S79" s="56">
        <v>47848</v>
      </c>
      <c r="T79" s="86" t="s">
        <v>106</v>
      </c>
      <c r="U79" s="86">
        <v>62.2727</v>
      </c>
      <c r="V79" s="10"/>
      <c r="W79" s="10"/>
      <c r="X79" s="10"/>
      <c r="Y79" s="117" t="s">
        <v>811</v>
      </c>
    </row>
    <row r="80" spans="3:25" x14ac:dyDescent="0.3">
      <c r="C80" s="8">
        <v>75</v>
      </c>
      <c r="D80" s="90" t="s">
        <v>816</v>
      </c>
      <c r="E80" s="12" t="s">
        <v>817</v>
      </c>
      <c r="F80" s="90">
        <v>34.5</v>
      </c>
      <c r="G80" s="93">
        <v>13.8</v>
      </c>
      <c r="H80" s="93">
        <v>6</v>
      </c>
      <c r="I80" s="93" t="s">
        <v>351</v>
      </c>
      <c r="J80" s="93">
        <v>7.2</v>
      </c>
      <c r="K80" s="93">
        <v>7.2</v>
      </c>
      <c r="L80" s="93">
        <v>3</v>
      </c>
      <c r="M80" s="93">
        <v>5</v>
      </c>
      <c r="N80" s="93">
        <v>1</v>
      </c>
      <c r="O80" s="93">
        <v>2.5</v>
      </c>
      <c r="P80" s="120"/>
      <c r="Q80" s="93"/>
      <c r="R80" s="93" t="s">
        <v>89</v>
      </c>
      <c r="S80" s="95">
        <v>48213</v>
      </c>
      <c r="T80" s="93" t="s">
        <v>107</v>
      </c>
      <c r="U80" s="93">
        <v>36</v>
      </c>
      <c r="V80" s="94"/>
      <c r="W80" s="94"/>
      <c r="X80" s="94"/>
      <c r="Y80" s="117" t="s">
        <v>818</v>
      </c>
    </row>
    <row r="81" spans="3:25" x14ac:dyDescent="0.3">
      <c r="C81" s="8">
        <v>76</v>
      </c>
      <c r="D81" s="90" t="s">
        <v>819</v>
      </c>
      <c r="E81" s="12" t="s">
        <v>820</v>
      </c>
      <c r="F81" s="83">
        <v>34.5</v>
      </c>
      <c r="G81" s="86">
        <v>13.8</v>
      </c>
      <c r="H81" s="86">
        <v>25</v>
      </c>
      <c r="I81" s="86" t="s">
        <v>351</v>
      </c>
      <c r="J81" s="86">
        <v>5.75</v>
      </c>
      <c r="K81" s="86">
        <v>5.75</v>
      </c>
      <c r="L81" s="86">
        <v>3</v>
      </c>
      <c r="M81" s="86">
        <v>5</v>
      </c>
      <c r="N81" s="86">
        <v>1</v>
      </c>
      <c r="O81" s="86">
        <v>2.5</v>
      </c>
      <c r="P81" s="101"/>
      <c r="Q81" s="86"/>
      <c r="R81" s="86" t="s">
        <v>89</v>
      </c>
      <c r="S81" s="56">
        <v>48213</v>
      </c>
      <c r="T81" s="86" t="s">
        <v>107</v>
      </c>
      <c r="U81" s="86">
        <v>90</v>
      </c>
      <c r="V81" s="10"/>
      <c r="W81" s="10"/>
      <c r="X81" s="10"/>
      <c r="Y81" s="117" t="s">
        <v>821</v>
      </c>
    </row>
    <row r="82" spans="3:25" x14ac:dyDescent="0.3">
      <c r="C82" s="8">
        <v>77</v>
      </c>
      <c r="D82" s="90" t="s">
        <v>941</v>
      </c>
      <c r="E82" s="12" t="s">
        <v>828</v>
      </c>
      <c r="F82" s="90">
        <v>34.5</v>
      </c>
      <c r="G82" s="93">
        <v>13.8</v>
      </c>
      <c r="H82" s="86">
        <v>12.5</v>
      </c>
      <c r="I82" s="86" t="s">
        <v>351</v>
      </c>
      <c r="J82" s="86">
        <v>7.45</v>
      </c>
      <c r="K82" s="86">
        <v>7.45</v>
      </c>
      <c r="L82" s="86">
        <v>3</v>
      </c>
      <c r="M82" s="86">
        <v>5</v>
      </c>
      <c r="N82" s="86">
        <v>1</v>
      </c>
      <c r="O82" s="86">
        <v>2.5</v>
      </c>
      <c r="P82" s="101"/>
      <c r="Q82" s="86"/>
      <c r="R82" s="93" t="s">
        <v>89</v>
      </c>
      <c r="S82" s="95">
        <v>46752</v>
      </c>
      <c r="T82" s="93" t="s">
        <v>107</v>
      </c>
      <c r="U82" s="86">
        <v>53.5</v>
      </c>
      <c r="V82" s="94"/>
      <c r="W82" s="94"/>
      <c r="X82" s="94"/>
      <c r="Y82" s="117" t="s">
        <v>829</v>
      </c>
    </row>
    <row r="83" spans="3:25" x14ac:dyDescent="0.3">
      <c r="C83" s="8">
        <v>78</v>
      </c>
      <c r="D83" s="90" t="s">
        <v>832</v>
      </c>
      <c r="E83" s="12" t="s">
        <v>834</v>
      </c>
      <c r="F83" s="90">
        <v>34.5</v>
      </c>
      <c r="G83" s="93">
        <v>13.8</v>
      </c>
      <c r="H83" s="93">
        <v>6</v>
      </c>
      <c r="I83" s="93" t="s">
        <v>351</v>
      </c>
      <c r="J83" s="93">
        <v>7.2</v>
      </c>
      <c r="K83" s="93">
        <v>7.2</v>
      </c>
      <c r="L83" s="93">
        <v>3</v>
      </c>
      <c r="M83" s="93">
        <v>5</v>
      </c>
      <c r="N83" s="93">
        <v>1</v>
      </c>
      <c r="O83" s="93">
        <v>2.5</v>
      </c>
      <c r="P83" s="120"/>
      <c r="Q83" s="93"/>
      <c r="R83" s="93" t="s">
        <v>89</v>
      </c>
      <c r="S83" s="95">
        <v>47483</v>
      </c>
      <c r="T83" s="93" t="s">
        <v>107</v>
      </c>
      <c r="U83" s="93">
        <v>36</v>
      </c>
      <c r="V83" s="94"/>
      <c r="W83" s="94"/>
      <c r="X83" s="94"/>
      <c r="Y83" s="117" t="s">
        <v>833</v>
      </c>
    </row>
    <row r="84" spans="3:25" x14ac:dyDescent="0.3">
      <c r="C84" s="8">
        <v>79</v>
      </c>
      <c r="D84" s="90" t="s">
        <v>837</v>
      </c>
      <c r="E84" s="12" t="s">
        <v>838</v>
      </c>
      <c r="F84" s="90">
        <v>34.5</v>
      </c>
      <c r="G84" s="86">
        <v>13.8</v>
      </c>
      <c r="H84" s="86">
        <v>3</v>
      </c>
      <c r="I84" s="86" t="s">
        <v>351</v>
      </c>
      <c r="J84" s="86">
        <v>6.03</v>
      </c>
      <c r="K84" s="86">
        <v>6.03</v>
      </c>
      <c r="L84" s="86">
        <v>3</v>
      </c>
      <c r="M84" s="86">
        <v>5</v>
      </c>
      <c r="N84" s="86">
        <v>1</v>
      </c>
      <c r="O84" s="86">
        <v>2.5</v>
      </c>
      <c r="P84" s="101"/>
      <c r="Q84" s="86"/>
      <c r="R84" s="86" t="s">
        <v>89</v>
      </c>
      <c r="S84" s="95">
        <v>47483</v>
      </c>
      <c r="T84" s="86" t="s">
        <v>107</v>
      </c>
      <c r="U84" s="86">
        <v>26.903099999999998</v>
      </c>
      <c r="V84" s="10"/>
      <c r="W84" s="10"/>
      <c r="X84" s="10"/>
      <c r="Y84" s="117" t="s">
        <v>839</v>
      </c>
    </row>
    <row r="85" spans="3:25" x14ac:dyDescent="0.3">
      <c r="C85" s="8">
        <v>80</v>
      </c>
      <c r="D85" s="90" t="s">
        <v>844</v>
      </c>
      <c r="E85" s="12" t="s">
        <v>845</v>
      </c>
      <c r="F85" s="90">
        <v>34.5</v>
      </c>
      <c r="G85" s="93">
        <v>13.8</v>
      </c>
      <c r="H85" s="86">
        <v>12.5</v>
      </c>
      <c r="I85" s="86" t="s">
        <v>351</v>
      </c>
      <c r="J85" s="86">
        <v>7.45</v>
      </c>
      <c r="K85" s="86">
        <v>7.45</v>
      </c>
      <c r="L85" s="86">
        <v>3</v>
      </c>
      <c r="M85" s="86">
        <v>5</v>
      </c>
      <c r="N85" s="86">
        <v>1</v>
      </c>
      <c r="O85" s="86">
        <v>2.5</v>
      </c>
      <c r="P85" s="101"/>
      <c r="Q85" s="86"/>
      <c r="R85" s="93" t="s">
        <v>89</v>
      </c>
      <c r="S85" s="95">
        <v>47483</v>
      </c>
      <c r="T85" s="93" t="s">
        <v>107</v>
      </c>
      <c r="U85" s="86">
        <v>53.5</v>
      </c>
      <c r="V85" s="94"/>
      <c r="W85" s="94"/>
      <c r="X85" s="94"/>
      <c r="Y85" s="117" t="s">
        <v>846</v>
      </c>
    </row>
    <row r="86" spans="3:25" x14ac:dyDescent="0.3">
      <c r="C86" s="8">
        <v>81</v>
      </c>
      <c r="D86" s="90" t="s">
        <v>848</v>
      </c>
      <c r="E86" s="12" t="s">
        <v>849</v>
      </c>
      <c r="F86" s="83">
        <v>34.5</v>
      </c>
      <c r="G86" s="86">
        <v>13.8</v>
      </c>
      <c r="H86" s="86">
        <v>22</v>
      </c>
      <c r="I86" s="86" t="s">
        <v>351</v>
      </c>
      <c r="J86" s="86">
        <v>5.75</v>
      </c>
      <c r="K86" s="86">
        <v>5.75</v>
      </c>
      <c r="L86" s="86">
        <v>3</v>
      </c>
      <c r="M86" s="86">
        <v>5</v>
      </c>
      <c r="N86" s="86">
        <v>1</v>
      </c>
      <c r="O86" s="86">
        <v>2.5</v>
      </c>
      <c r="P86" s="101"/>
      <c r="Q86" s="86"/>
      <c r="R86" s="86" t="s">
        <v>89</v>
      </c>
      <c r="S86" s="95">
        <v>48579</v>
      </c>
      <c r="T86" s="86" t="s">
        <v>107</v>
      </c>
      <c r="U86" s="86">
        <v>90</v>
      </c>
      <c r="V86" s="10"/>
      <c r="W86" s="10"/>
      <c r="X86" s="10"/>
      <c r="Y86" s="117" t="s">
        <v>850</v>
      </c>
    </row>
    <row r="87" spans="3:25" x14ac:dyDescent="0.3">
      <c r="C87" s="8">
        <v>82</v>
      </c>
      <c r="D87" s="90" t="s">
        <v>853</v>
      </c>
      <c r="E87" s="12" t="s">
        <v>852</v>
      </c>
      <c r="F87" s="90">
        <v>34.5</v>
      </c>
      <c r="G87" s="93">
        <v>13.8</v>
      </c>
      <c r="H87" s="93">
        <v>5</v>
      </c>
      <c r="I87" s="86" t="s">
        <v>351</v>
      </c>
      <c r="J87" s="86">
        <v>5.82</v>
      </c>
      <c r="K87" s="86">
        <v>5.82</v>
      </c>
      <c r="L87" s="86">
        <v>3</v>
      </c>
      <c r="M87" s="86">
        <v>5</v>
      </c>
      <c r="N87" s="86">
        <v>1</v>
      </c>
      <c r="O87" s="86">
        <v>2.5</v>
      </c>
      <c r="P87" s="94"/>
      <c r="Q87" s="94"/>
      <c r="R87" s="93" t="s">
        <v>89</v>
      </c>
      <c r="S87" s="95">
        <v>47483</v>
      </c>
      <c r="T87" s="93" t="s">
        <v>107</v>
      </c>
      <c r="U87" s="86">
        <v>16.5</v>
      </c>
      <c r="V87" s="94"/>
      <c r="W87" s="94"/>
      <c r="X87" s="94"/>
      <c r="Y87" s="117" t="s">
        <v>854</v>
      </c>
    </row>
    <row r="88" spans="3:25" x14ac:dyDescent="0.3">
      <c r="C88" s="8">
        <v>83</v>
      </c>
      <c r="D88" s="90" t="s">
        <v>859</v>
      </c>
      <c r="E88" s="12" t="s">
        <v>860</v>
      </c>
      <c r="F88" s="83">
        <v>34.5</v>
      </c>
      <c r="G88" s="86">
        <v>13.8</v>
      </c>
      <c r="H88" s="86">
        <v>22</v>
      </c>
      <c r="I88" s="86" t="s">
        <v>351</v>
      </c>
      <c r="J88" s="86">
        <v>5.75</v>
      </c>
      <c r="K88" s="86">
        <v>5.75</v>
      </c>
      <c r="L88" s="86">
        <v>3</v>
      </c>
      <c r="M88" s="86">
        <v>5</v>
      </c>
      <c r="N88" s="86">
        <v>1</v>
      </c>
      <c r="O88" s="86">
        <v>2.5</v>
      </c>
      <c r="P88" s="101"/>
      <c r="Q88" s="86"/>
      <c r="R88" s="86" t="s">
        <v>89</v>
      </c>
      <c r="S88" s="95">
        <v>47118</v>
      </c>
      <c r="T88" s="86" t="s">
        <v>107</v>
      </c>
      <c r="U88" s="86">
        <v>90</v>
      </c>
      <c r="V88" s="10"/>
      <c r="W88" s="10"/>
      <c r="X88" s="10"/>
      <c r="Y88" s="117" t="s">
        <v>861</v>
      </c>
    </row>
    <row r="89" spans="3:25" x14ac:dyDescent="0.3">
      <c r="C89" s="8">
        <v>84</v>
      </c>
      <c r="D89" s="90" t="s">
        <v>916</v>
      </c>
      <c r="E89" s="12" t="s">
        <v>860</v>
      </c>
      <c r="F89" s="83">
        <v>115</v>
      </c>
      <c r="G89" s="86">
        <v>34.5</v>
      </c>
      <c r="H89" s="86">
        <v>47</v>
      </c>
      <c r="I89" s="86" t="s">
        <v>350</v>
      </c>
      <c r="J89" s="86">
        <v>14.993</v>
      </c>
      <c r="K89" s="86">
        <v>14.993</v>
      </c>
      <c r="L89" s="86">
        <v>9</v>
      </c>
      <c r="M89" s="86">
        <v>17</v>
      </c>
      <c r="N89" s="86">
        <v>1</v>
      </c>
      <c r="O89" s="86">
        <v>1.25</v>
      </c>
      <c r="P89" s="101"/>
      <c r="Q89" s="86"/>
      <c r="R89" s="86" t="s">
        <v>89</v>
      </c>
      <c r="S89" s="95">
        <v>47118</v>
      </c>
      <c r="T89" s="86" t="s">
        <v>106</v>
      </c>
      <c r="U89" s="86">
        <v>189.36</v>
      </c>
      <c r="V89" s="10"/>
      <c r="W89" s="10"/>
      <c r="X89" s="10"/>
      <c r="Y89" s="117" t="s">
        <v>949</v>
      </c>
    </row>
    <row r="90" spans="3:25" x14ac:dyDescent="0.3">
      <c r="C90" s="8">
        <v>85</v>
      </c>
      <c r="D90" s="90" t="s">
        <v>862</v>
      </c>
      <c r="E90" s="12" t="s">
        <v>863</v>
      </c>
      <c r="F90" s="83">
        <v>34.5</v>
      </c>
      <c r="G90" s="86">
        <v>13.8</v>
      </c>
      <c r="H90" s="86">
        <v>6</v>
      </c>
      <c r="I90" s="86" t="s">
        <v>351</v>
      </c>
      <c r="J90" s="86">
        <v>7.2</v>
      </c>
      <c r="K90" s="86">
        <v>7.2</v>
      </c>
      <c r="L90" s="86">
        <v>3</v>
      </c>
      <c r="M90" s="86">
        <v>5</v>
      </c>
      <c r="N90" s="86">
        <v>1</v>
      </c>
      <c r="O90" s="86">
        <v>2.5</v>
      </c>
      <c r="P90" s="101"/>
      <c r="Q90" s="86"/>
      <c r="R90" s="86" t="s">
        <v>89</v>
      </c>
      <c r="S90" s="56">
        <v>48944</v>
      </c>
      <c r="T90" s="86" t="s">
        <v>107</v>
      </c>
      <c r="U90" s="86">
        <v>33.74</v>
      </c>
      <c r="V90" s="10"/>
      <c r="W90" s="10"/>
      <c r="X90" s="10"/>
      <c r="Y90" s="117" t="s">
        <v>864</v>
      </c>
    </row>
    <row r="91" spans="3:25" x14ac:dyDescent="0.3">
      <c r="C91" s="8">
        <v>86</v>
      </c>
      <c r="D91" s="90" t="s">
        <v>874</v>
      </c>
      <c r="E91" s="12" t="s">
        <v>875</v>
      </c>
      <c r="F91" s="90">
        <v>34.5</v>
      </c>
      <c r="G91" s="86">
        <v>13.8</v>
      </c>
      <c r="H91" s="86">
        <v>3</v>
      </c>
      <c r="I91" s="86" t="s">
        <v>351</v>
      </c>
      <c r="J91" s="86">
        <v>6.03</v>
      </c>
      <c r="K91" s="86">
        <v>6.03</v>
      </c>
      <c r="L91" s="86">
        <v>3</v>
      </c>
      <c r="M91" s="86">
        <v>5</v>
      </c>
      <c r="N91" s="86">
        <v>1</v>
      </c>
      <c r="O91" s="86">
        <v>2.5</v>
      </c>
      <c r="P91" s="101"/>
      <c r="Q91" s="86"/>
      <c r="R91" s="86" t="s">
        <v>89</v>
      </c>
      <c r="S91" s="95">
        <v>49309</v>
      </c>
      <c r="T91" s="86" t="s">
        <v>107</v>
      </c>
      <c r="U91" s="86">
        <v>26.903099999999998</v>
      </c>
      <c r="V91" s="10"/>
      <c r="W91" s="10"/>
      <c r="X91" s="10"/>
      <c r="Y91" s="117" t="s">
        <v>876</v>
      </c>
    </row>
    <row r="92" spans="3:25" x14ac:dyDescent="0.3">
      <c r="C92" s="8">
        <v>87</v>
      </c>
      <c r="D92" s="90" t="s">
        <v>880</v>
      </c>
      <c r="E92" s="12" t="s">
        <v>881</v>
      </c>
      <c r="F92" s="83">
        <v>34.5</v>
      </c>
      <c r="G92" s="86">
        <v>13.8</v>
      </c>
      <c r="H92" s="86">
        <v>22</v>
      </c>
      <c r="I92" s="86" t="s">
        <v>351</v>
      </c>
      <c r="J92" s="86">
        <v>5.75</v>
      </c>
      <c r="K92" s="86">
        <v>5.75</v>
      </c>
      <c r="L92" s="86">
        <v>3</v>
      </c>
      <c r="M92" s="86">
        <v>5</v>
      </c>
      <c r="N92" s="86">
        <v>1</v>
      </c>
      <c r="O92" s="86">
        <v>2.5</v>
      </c>
      <c r="P92" s="101"/>
      <c r="Q92" s="86"/>
      <c r="R92" s="86" t="s">
        <v>89</v>
      </c>
      <c r="S92" s="95">
        <v>47848</v>
      </c>
      <c r="T92" s="86" t="s">
        <v>107</v>
      </c>
      <c r="U92" s="86">
        <v>90</v>
      </c>
      <c r="V92" s="10"/>
      <c r="W92" s="10"/>
      <c r="X92" s="10"/>
      <c r="Y92" s="117" t="s">
        <v>882</v>
      </c>
    </row>
    <row r="93" spans="3:25" x14ac:dyDescent="0.3">
      <c r="C93" s="8">
        <v>88</v>
      </c>
      <c r="D93" s="90" t="s">
        <v>883</v>
      </c>
      <c r="E93" s="12" t="s">
        <v>884</v>
      </c>
      <c r="F93" s="83">
        <v>34.5</v>
      </c>
      <c r="G93" s="86">
        <v>13.8</v>
      </c>
      <c r="H93" s="86">
        <v>6</v>
      </c>
      <c r="I93" s="86" t="s">
        <v>351</v>
      </c>
      <c r="J93" s="86">
        <v>7.2</v>
      </c>
      <c r="K93" s="86">
        <v>7.2</v>
      </c>
      <c r="L93" s="86">
        <v>3</v>
      </c>
      <c r="M93" s="86">
        <v>5</v>
      </c>
      <c r="N93" s="86">
        <v>1</v>
      </c>
      <c r="O93" s="86">
        <v>2.5</v>
      </c>
      <c r="P93" s="101"/>
      <c r="Q93" s="86"/>
      <c r="R93" s="86" t="s">
        <v>89</v>
      </c>
      <c r="S93" s="56">
        <v>47848</v>
      </c>
      <c r="T93" s="86" t="s">
        <v>107</v>
      </c>
      <c r="U93" s="86">
        <v>33.74</v>
      </c>
      <c r="V93" s="10"/>
      <c r="W93" s="10"/>
      <c r="X93" s="10"/>
      <c r="Y93" s="117" t="s">
        <v>885</v>
      </c>
    </row>
    <row r="94" spans="3:25" x14ac:dyDescent="0.3">
      <c r="C94" s="8">
        <v>89</v>
      </c>
      <c r="D94" s="90" t="s">
        <v>895</v>
      </c>
      <c r="E94" s="12" t="s">
        <v>888</v>
      </c>
      <c r="F94" s="90">
        <v>34.5</v>
      </c>
      <c r="G94" s="86">
        <v>13.8</v>
      </c>
      <c r="H94" s="86">
        <v>4</v>
      </c>
      <c r="I94" s="86" t="s">
        <v>351</v>
      </c>
      <c r="J94" s="86">
        <v>6.57</v>
      </c>
      <c r="K94" s="86">
        <v>6.57</v>
      </c>
      <c r="L94" s="86">
        <v>3</v>
      </c>
      <c r="M94" s="86">
        <v>5</v>
      </c>
      <c r="N94" s="86">
        <v>1</v>
      </c>
      <c r="O94" s="86">
        <v>2.5</v>
      </c>
      <c r="P94" s="101"/>
      <c r="Q94" s="86"/>
      <c r="R94" s="93" t="s">
        <v>89</v>
      </c>
      <c r="S94" s="56">
        <v>47483</v>
      </c>
      <c r="T94" s="86" t="s">
        <v>107</v>
      </c>
      <c r="U94" s="86">
        <v>36.1</v>
      </c>
      <c r="V94" s="10"/>
      <c r="W94" s="10"/>
      <c r="X94" s="10"/>
      <c r="Y94" s="117" t="s">
        <v>889</v>
      </c>
    </row>
    <row r="95" spans="3:25" x14ac:dyDescent="0.3">
      <c r="C95" s="8">
        <v>90</v>
      </c>
      <c r="D95" s="90" t="s">
        <v>901</v>
      </c>
      <c r="E95" s="12" t="s">
        <v>898</v>
      </c>
      <c r="F95" s="90">
        <v>34.5</v>
      </c>
      <c r="G95" s="93">
        <v>13.8</v>
      </c>
      <c r="H95" s="93">
        <v>3</v>
      </c>
      <c r="I95" s="86" t="s">
        <v>351</v>
      </c>
      <c r="J95" s="86">
        <v>6.03</v>
      </c>
      <c r="K95" s="86">
        <v>6.03</v>
      </c>
      <c r="L95" s="86">
        <v>3</v>
      </c>
      <c r="M95" s="86">
        <v>5</v>
      </c>
      <c r="N95" s="86">
        <v>1</v>
      </c>
      <c r="O95" s="86">
        <v>2.5</v>
      </c>
      <c r="P95" s="94"/>
      <c r="Q95" s="94"/>
      <c r="R95" s="93" t="s">
        <v>89</v>
      </c>
      <c r="S95" s="95">
        <v>48213</v>
      </c>
      <c r="T95" s="93" t="s">
        <v>107</v>
      </c>
      <c r="U95" s="86">
        <v>26.903099999999998</v>
      </c>
      <c r="V95" s="94"/>
      <c r="W95" s="94"/>
      <c r="X95" s="94"/>
      <c r="Y95" s="117" t="s">
        <v>899</v>
      </c>
    </row>
    <row r="96" spans="3:25" x14ac:dyDescent="0.3">
      <c r="C96" s="8">
        <v>91</v>
      </c>
      <c r="D96" s="90"/>
      <c r="E96" s="12"/>
      <c r="F96" s="90"/>
      <c r="G96" s="93"/>
      <c r="H96" s="93"/>
      <c r="I96" s="93"/>
      <c r="J96" s="93"/>
      <c r="K96" s="93"/>
      <c r="L96" s="93"/>
      <c r="M96" s="93"/>
      <c r="N96" s="93"/>
      <c r="O96" s="93"/>
      <c r="P96" s="94"/>
      <c r="Q96" s="94"/>
      <c r="R96" s="93"/>
      <c r="S96" s="95"/>
      <c r="T96" s="93"/>
      <c r="U96" s="93"/>
      <c r="V96" s="94"/>
      <c r="W96" s="94"/>
      <c r="X96" s="94"/>
      <c r="Y96" s="117"/>
    </row>
    <row r="97" spans="3:25" x14ac:dyDescent="0.3">
      <c r="C97" s="8">
        <v>92</v>
      </c>
      <c r="D97" s="90"/>
      <c r="E97" s="12"/>
      <c r="F97" s="90"/>
      <c r="G97" s="93"/>
      <c r="H97" s="93"/>
      <c r="I97" s="93"/>
      <c r="J97" s="93"/>
      <c r="K97" s="93"/>
      <c r="L97" s="93"/>
      <c r="M97" s="93"/>
      <c r="N97" s="93"/>
      <c r="O97" s="93"/>
      <c r="P97" s="94"/>
      <c r="Q97" s="94"/>
      <c r="R97" s="93"/>
      <c r="S97" s="95"/>
      <c r="T97" s="93"/>
      <c r="U97" s="93"/>
      <c r="V97" s="94"/>
      <c r="W97" s="94"/>
      <c r="X97" s="94"/>
      <c r="Y97" s="117"/>
    </row>
    <row r="98" spans="3:25" ht="15" thickBot="1" x14ac:dyDescent="0.35">
      <c r="C98" s="8">
        <v>93</v>
      </c>
      <c r="D98" s="91"/>
      <c r="E98" s="14"/>
      <c r="F98" s="91"/>
      <c r="G98" s="92"/>
      <c r="H98" s="92"/>
      <c r="I98" s="92"/>
      <c r="J98" s="92"/>
      <c r="K98" s="92"/>
      <c r="L98" s="15"/>
      <c r="M98" s="15"/>
      <c r="N98" s="15"/>
      <c r="O98" s="15"/>
      <c r="P98" s="15"/>
      <c r="Q98" s="15"/>
      <c r="R98" s="15"/>
      <c r="S98" s="57"/>
      <c r="T98" s="15"/>
      <c r="U98" s="15"/>
      <c r="V98" s="15"/>
      <c r="W98" s="15"/>
      <c r="X98" s="15"/>
      <c r="Y98" s="26"/>
    </row>
  </sheetData>
  <mergeCells count="23">
    <mergeCell ref="S4:S5"/>
    <mergeCell ref="T4:T5"/>
    <mergeCell ref="U4:U5"/>
    <mergeCell ref="Y4:Y5"/>
    <mergeCell ref="V4:V5"/>
    <mergeCell ref="W4:W5"/>
    <mergeCell ref="X4:X5"/>
    <mergeCell ref="I4:I5"/>
    <mergeCell ref="J4:J5"/>
    <mergeCell ref="K4:K5"/>
    <mergeCell ref="C3:Y3"/>
    <mergeCell ref="C4:C5"/>
    <mergeCell ref="D4:D5"/>
    <mergeCell ref="E4:E5"/>
    <mergeCell ref="F4:F5"/>
    <mergeCell ref="G4:G5"/>
    <mergeCell ref="H4:H5"/>
    <mergeCell ref="L4:L5"/>
    <mergeCell ref="M4:M5"/>
    <mergeCell ref="N4:N5"/>
    <mergeCell ref="O4:O5"/>
    <mergeCell ref="P4:Q4"/>
    <mergeCell ref="R4:R5"/>
  </mergeCells>
  <dataValidations count="3">
    <dataValidation type="decimal" allowBlank="1" showInputMessage="1" showErrorMessage="1" sqref="Y98:Y1048576 F58:H63 F65:H67 F69:H73 F6:H53 Y6:Y53 F75:H1048576 J6:Q1048576" xr:uid="{00000000-0002-0000-0300-000000000000}">
      <formula1>-10000000</formula1>
      <formula2>10000000</formula2>
    </dataValidation>
    <dataValidation type="decimal" allowBlank="1" showInputMessage="1" showErrorMessage="1" sqref="F54:H57 F64:H64 F68:H68 F74:H74" xr:uid="{00000000-0002-0000-0300-000001000000}">
      <formula1>-1000000</formula1>
      <formula2>10000000</formula2>
    </dataValidation>
    <dataValidation type="date" operator="greaterThan" allowBlank="1" showInputMessage="1" showErrorMessage="1" sqref="S6:S1048576" xr:uid="{00000000-0002-0000-0300-000002000000}">
      <formula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3000000}">
          <x14:formula1>
            <xm:f>'Listas Desplegables'!$B$25:$B$26</xm:f>
          </x14:formula1>
          <xm:sqref>R6:R1048576</xm:sqref>
        </x14:dataValidation>
        <x14:dataValidation type="list" allowBlank="1" showInputMessage="1" showErrorMessage="1" xr:uid="{00000000-0002-0000-0300-000004000000}">
          <x14:formula1>
            <xm:f>'Listas Desplegables'!$B$28:$B$30</xm:f>
          </x14:formula1>
          <xm:sqref>T6:T1048576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theme="9"/>
  </sheetPr>
  <dimension ref="A2:N88"/>
  <sheetViews>
    <sheetView topLeftCell="A60" workbookViewId="0">
      <selection activeCell="K69" sqref="K69:K84"/>
    </sheetView>
    <sheetView tabSelected="1" topLeftCell="J1" workbookViewId="1">
      <selection activeCell="K4" sqref="K4:K5"/>
    </sheetView>
  </sheetViews>
  <sheetFormatPr baseColWidth="10" defaultColWidth="11.5546875" defaultRowHeight="14.4" x14ac:dyDescent="0.3"/>
  <cols>
    <col min="1" max="2" width="3" style="3" customWidth="1"/>
    <col min="3" max="3" width="6.6640625" style="2" customWidth="1"/>
    <col min="4" max="4" width="43" bestFit="1" customWidth="1"/>
    <col min="5" max="5" width="16.5546875" bestFit="1" customWidth="1"/>
    <col min="6" max="6" width="19.6640625" bestFit="1" customWidth="1"/>
    <col min="7" max="7" width="12.6640625" customWidth="1"/>
    <col min="8" max="8" width="46.88671875" bestFit="1" customWidth="1"/>
    <col min="9" max="9" width="13" bestFit="1" customWidth="1"/>
    <col min="12" max="12" width="18.44140625" bestFit="1" customWidth="1"/>
    <col min="13" max="13" width="12.88671875" bestFit="1" customWidth="1"/>
    <col min="14" max="14" width="185.109375" bestFit="1" customWidth="1"/>
  </cols>
  <sheetData>
    <row r="2" spans="1:14" ht="15" thickBot="1" x14ac:dyDescent="0.35"/>
    <row r="3" spans="1:14" s="1" customFormat="1" ht="15" thickBot="1" x14ac:dyDescent="0.35">
      <c r="A3" s="4"/>
      <c r="B3" s="4"/>
      <c r="C3" s="169" t="s">
        <v>6</v>
      </c>
      <c r="D3" s="170"/>
      <c r="E3" s="170"/>
      <c r="F3" s="170"/>
      <c r="G3" s="170"/>
      <c r="H3" s="170"/>
      <c r="I3" s="170"/>
      <c r="J3" s="170"/>
      <c r="K3" s="170"/>
      <c r="L3" s="170"/>
      <c r="M3" s="170"/>
      <c r="N3" s="171"/>
    </row>
    <row r="4" spans="1:14" s="6" customFormat="1" ht="12" customHeight="1" x14ac:dyDescent="0.3">
      <c r="A4" s="5"/>
      <c r="B4" s="5"/>
      <c r="C4" s="174" t="s">
        <v>3</v>
      </c>
      <c r="D4" s="172" t="str">
        <f>'Manual de Uso'!C104</f>
        <v>Nombre</v>
      </c>
      <c r="E4" s="172" t="str">
        <f>'Manual de Uso'!C105</f>
        <v>Agente Administrador</v>
      </c>
      <c r="F4" s="172" t="str">
        <f>'Manual de Uso'!C106</f>
        <v>Nivel de tensión [kV]</v>
      </c>
      <c r="G4" s="172" t="str">
        <f>'Manual de Uso'!C107</f>
        <v>Capacidad de interrupción [kA]</v>
      </c>
      <c r="H4" s="172" t="str">
        <f>'Manual de Uso'!C108</f>
        <v>Configuración</v>
      </c>
      <c r="I4" s="172" t="str">
        <f>'Manual de Uso'!C109</f>
        <v>Tipo</v>
      </c>
      <c r="J4" s="172" t="str">
        <f>'Manual de Uso'!C110</f>
        <v>En Operación</v>
      </c>
      <c r="K4" s="172" t="str">
        <f>'Manual de Uso'!C111</f>
        <v>FPO</v>
      </c>
      <c r="L4" s="172" t="str">
        <f>'Manual de Uso'!C112</f>
        <v>Departamento</v>
      </c>
      <c r="M4" s="172" t="str">
        <f>'Manual de Uso'!C113</f>
        <v>Municipio</v>
      </c>
      <c r="N4" s="172" t="str">
        <f>'Manual de Uso'!C114</f>
        <v>Observaciones transportador</v>
      </c>
    </row>
    <row r="5" spans="1:14" s="6" customFormat="1" ht="24" customHeight="1" thickBot="1" x14ac:dyDescent="0.35">
      <c r="A5" s="5"/>
      <c r="B5" s="5"/>
      <c r="C5" s="175"/>
      <c r="D5" s="173"/>
      <c r="E5" s="173"/>
      <c r="F5" s="173"/>
      <c r="G5" s="173"/>
      <c r="H5" s="173"/>
      <c r="I5" s="173"/>
      <c r="J5" s="173"/>
      <c r="K5" s="173"/>
      <c r="L5" s="173"/>
      <c r="M5" s="173"/>
      <c r="N5" s="173"/>
    </row>
    <row r="6" spans="1:14" x14ac:dyDescent="0.3">
      <c r="A6" s="3" t="e">
        <f>VLOOKUP(E6,'[2]Listas Desplegables'!$H$3:$J$7,2,FALSE)</f>
        <v>#N/A</v>
      </c>
      <c r="B6" s="3" t="e">
        <f>VLOOKUP(E6,'[2]Listas Desplegables'!$H$3:$J$7,3,FALSE)</f>
        <v>#N/A</v>
      </c>
      <c r="C6" s="21">
        <v>1</v>
      </c>
      <c r="D6" s="22" t="s">
        <v>416</v>
      </c>
      <c r="E6" s="9" t="s">
        <v>458</v>
      </c>
      <c r="F6" s="90">
        <v>230</v>
      </c>
      <c r="G6" s="82">
        <v>30</v>
      </c>
      <c r="H6" s="10" t="s">
        <v>132</v>
      </c>
      <c r="I6" s="23" t="s">
        <v>123</v>
      </c>
      <c r="J6" s="86" t="s">
        <v>114</v>
      </c>
      <c r="K6" s="23"/>
      <c r="L6" s="23" t="s">
        <v>459</v>
      </c>
      <c r="M6" s="87" t="s">
        <v>461</v>
      </c>
      <c r="N6" s="24"/>
    </row>
    <row r="7" spans="1:14" x14ac:dyDescent="0.3">
      <c r="C7" s="7">
        <v>2</v>
      </c>
      <c r="D7" s="9" t="s">
        <v>416</v>
      </c>
      <c r="E7" s="9" t="s">
        <v>457</v>
      </c>
      <c r="F7" s="90">
        <v>115</v>
      </c>
      <c r="G7" s="83">
        <v>31.5</v>
      </c>
      <c r="H7" s="10" t="s">
        <v>132</v>
      </c>
      <c r="I7" s="10" t="s">
        <v>123</v>
      </c>
      <c r="J7" s="86" t="s">
        <v>114</v>
      </c>
      <c r="K7" s="10"/>
      <c r="L7" s="10" t="s">
        <v>459</v>
      </c>
      <c r="M7" s="83" t="s">
        <v>461</v>
      </c>
      <c r="N7" s="100"/>
    </row>
    <row r="8" spans="1:14" x14ac:dyDescent="0.3">
      <c r="C8" s="7">
        <v>3</v>
      </c>
      <c r="D8" s="98" t="s">
        <v>416</v>
      </c>
      <c r="E8" s="98" t="s">
        <v>457</v>
      </c>
      <c r="F8" s="90">
        <v>34.5</v>
      </c>
      <c r="G8" s="108">
        <v>25</v>
      </c>
      <c r="H8" s="99" t="s">
        <v>127</v>
      </c>
      <c r="I8" s="10" t="s">
        <v>123</v>
      </c>
      <c r="J8" s="86" t="s">
        <v>114</v>
      </c>
      <c r="K8" s="9"/>
      <c r="L8" s="9" t="s">
        <v>459</v>
      </c>
      <c r="M8" s="83" t="s">
        <v>461</v>
      </c>
      <c r="N8" s="98"/>
    </row>
    <row r="9" spans="1:14" x14ac:dyDescent="0.3">
      <c r="A9" s="3" t="e">
        <f>VLOOKUP(E9,'[2]Listas Desplegables'!$H$3:$J$7,2,FALSE)</f>
        <v>#N/A</v>
      </c>
      <c r="B9" s="3" t="e">
        <f>VLOOKUP(E9,'[2]Listas Desplegables'!$H$3:$J$7,3,FALSE)</f>
        <v>#N/A</v>
      </c>
      <c r="C9" s="7">
        <v>4</v>
      </c>
      <c r="D9" s="9" t="s">
        <v>417</v>
      </c>
      <c r="E9" s="9" t="s">
        <v>458</v>
      </c>
      <c r="F9" s="90">
        <v>230</v>
      </c>
      <c r="G9" s="83">
        <v>40</v>
      </c>
      <c r="H9" s="99" t="s">
        <v>126</v>
      </c>
      <c r="I9" s="99" t="s">
        <v>123</v>
      </c>
      <c r="J9" s="103" t="s">
        <v>114</v>
      </c>
      <c r="K9" s="99"/>
      <c r="L9" s="99" t="s">
        <v>459</v>
      </c>
      <c r="M9" s="104" t="s">
        <v>461</v>
      </c>
      <c r="N9" s="25" t="s">
        <v>563</v>
      </c>
    </row>
    <row r="10" spans="1:14" x14ac:dyDescent="0.3">
      <c r="C10" s="7">
        <v>5</v>
      </c>
      <c r="D10" s="9" t="s">
        <v>417</v>
      </c>
      <c r="E10" s="98" t="s">
        <v>457</v>
      </c>
      <c r="F10" s="90">
        <v>115</v>
      </c>
      <c r="G10" s="104">
        <v>31.5</v>
      </c>
      <c r="H10" s="99" t="s">
        <v>126</v>
      </c>
      <c r="I10" s="99" t="s">
        <v>123</v>
      </c>
      <c r="J10" s="86" t="s">
        <v>114</v>
      </c>
      <c r="K10" s="99"/>
      <c r="L10" s="99" t="s">
        <v>459</v>
      </c>
      <c r="M10" s="104" t="s">
        <v>461</v>
      </c>
      <c r="N10" s="25"/>
    </row>
    <row r="11" spans="1:14" x14ac:dyDescent="0.3">
      <c r="C11" s="7">
        <v>6</v>
      </c>
      <c r="D11" s="9" t="s">
        <v>417</v>
      </c>
      <c r="E11" s="98" t="s">
        <v>457</v>
      </c>
      <c r="F11" s="90">
        <v>34.5</v>
      </c>
      <c r="G11" s="104">
        <v>25</v>
      </c>
      <c r="H11" s="99" t="s">
        <v>127</v>
      </c>
      <c r="I11" s="99" t="s">
        <v>123</v>
      </c>
      <c r="J11" s="86" t="s">
        <v>114</v>
      </c>
      <c r="K11" s="99"/>
      <c r="L11" s="99" t="s">
        <v>459</v>
      </c>
      <c r="M11" s="104" t="s">
        <v>461</v>
      </c>
      <c r="N11" s="25"/>
    </row>
    <row r="12" spans="1:14" x14ac:dyDescent="0.3">
      <c r="A12" s="3" t="e">
        <f>VLOOKUP(E12,'[2]Listas Desplegables'!$H$3:$J$7,2,FALSE)</f>
        <v>#N/A</v>
      </c>
      <c r="B12" s="3" t="e">
        <f>VLOOKUP(E12,'[2]Listas Desplegables'!$H$3:$J$7,3,FALSE)</f>
        <v>#N/A</v>
      </c>
      <c r="C12" s="7">
        <v>7</v>
      </c>
      <c r="D12" s="9" t="s">
        <v>418</v>
      </c>
      <c r="E12" s="9" t="s">
        <v>457</v>
      </c>
      <c r="F12" s="90">
        <v>115</v>
      </c>
      <c r="G12" s="83">
        <v>31.5</v>
      </c>
      <c r="H12" s="10" t="s">
        <v>127</v>
      </c>
      <c r="I12" s="10" t="s">
        <v>123</v>
      </c>
      <c r="J12" s="86" t="s">
        <v>114</v>
      </c>
      <c r="K12" s="10"/>
      <c r="L12" s="10" t="s">
        <v>459</v>
      </c>
      <c r="M12" s="104" t="s">
        <v>461</v>
      </c>
      <c r="N12" s="25"/>
    </row>
    <row r="13" spans="1:14" x14ac:dyDescent="0.3">
      <c r="A13" s="3" t="e">
        <f>VLOOKUP(E13,'[2]Listas Desplegables'!$H$3:$J$7,2,FALSE)</f>
        <v>#N/A</v>
      </c>
      <c r="B13" s="3" t="e">
        <f>VLOOKUP(E13,'[2]Listas Desplegables'!$H$3:$J$7,3,FALSE)</f>
        <v>#N/A</v>
      </c>
      <c r="C13" s="7">
        <v>8</v>
      </c>
      <c r="D13" s="9" t="s">
        <v>419</v>
      </c>
      <c r="E13" s="9" t="s">
        <v>457</v>
      </c>
      <c r="F13" s="90">
        <v>34.5</v>
      </c>
      <c r="G13" s="83">
        <v>25</v>
      </c>
      <c r="H13" s="99" t="s">
        <v>127</v>
      </c>
      <c r="I13" s="10" t="s">
        <v>123</v>
      </c>
      <c r="J13" s="86" t="s">
        <v>114</v>
      </c>
      <c r="K13" s="10"/>
      <c r="L13" s="10" t="s">
        <v>459</v>
      </c>
      <c r="M13" s="104" t="s">
        <v>465</v>
      </c>
      <c r="N13" s="25"/>
    </row>
    <row r="14" spans="1:14" x14ac:dyDescent="0.3">
      <c r="A14" s="3" t="e">
        <f>VLOOKUP(E14,'[2]Listas Desplegables'!$H$3:$J$7,2,FALSE)</f>
        <v>#N/A</v>
      </c>
      <c r="B14" s="3" t="e">
        <f>VLOOKUP(E14,'[2]Listas Desplegables'!$H$3:$J$7,3,FALSE)</f>
        <v>#N/A</v>
      </c>
      <c r="C14" s="7">
        <v>9</v>
      </c>
      <c r="D14" s="9" t="s">
        <v>420</v>
      </c>
      <c r="E14" s="9" t="s">
        <v>457</v>
      </c>
      <c r="F14" s="90">
        <v>34.5</v>
      </c>
      <c r="G14" s="83">
        <v>31.5</v>
      </c>
      <c r="H14" s="99" t="s">
        <v>127</v>
      </c>
      <c r="I14" s="10" t="s">
        <v>123</v>
      </c>
      <c r="J14" s="86" t="s">
        <v>114</v>
      </c>
      <c r="K14" s="10"/>
      <c r="L14" s="10" t="s">
        <v>459</v>
      </c>
      <c r="M14" s="83" t="s">
        <v>357</v>
      </c>
      <c r="N14" s="25"/>
    </row>
    <row r="15" spans="1:14" x14ac:dyDescent="0.3">
      <c r="A15" s="3" t="e">
        <f>VLOOKUP(E15,'[2]Listas Desplegables'!$H$3:$J$7,2,FALSE)</f>
        <v>#N/A</v>
      </c>
      <c r="B15" s="3" t="e">
        <f>VLOOKUP(E15,'[2]Listas Desplegables'!$H$3:$J$7,3,FALSE)</f>
        <v>#N/A</v>
      </c>
      <c r="C15" s="7">
        <v>10</v>
      </c>
      <c r="D15" s="9" t="s">
        <v>421</v>
      </c>
      <c r="E15" s="9" t="s">
        <v>457</v>
      </c>
      <c r="F15" s="90">
        <v>115</v>
      </c>
      <c r="G15" s="83">
        <v>31.5</v>
      </c>
      <c r="H15" s="10" t="s">
        <v>127</v>
      </c>
      <c r="I15" s="10" t="s">
        <v>123</v>
      </c>
      <c r="J15" s="86" t="s">
        <v>114</v>
      </c>
      <c r="K15" s="10"/>
      <c r="L15" s="10" t="s">
        <v>459</v>
      </c>
      <c r="M15" s="83" t="s">
        <v>461</v>
      </c>
      <c r="N15" s="25"/>
    </row>
    <row r="16" spans="1:14" x14ac:dyDescent="0.3">
      <c r="A16" s="3" t="e">
        <f>VLOOKUP(E16,'[2]Listas Desplegables'!$H$3:$J$7,2,FALSE)</f>
        <v>#N/A</v>
      </c>
      <c r="B16" s="3" t="e">
        <f>VLOOKUP(E16,'[2]Listas Desplegables'!$H$3:$J$7,3,FALSE)</f>
        <v>#N/A</v>
      </c>
      <c r="C16" s="7">
        <v>11</v>
      </c>
      <c r="D16" s="9" t="s">
        <v>422</v>
      </c>
      <c r="E16" s="9" t="s">
        <v>457</v>
      </c>
      <c r="F16" s="90">
        <v>115</v>
      </c>
      <c r="G16" s="83">
        <v>40</v>
      </c>
      <c r="H16" s="99" t="s">
        <v>127</v>
      </c>
      <c r="I16" s="10" t="s">
        <v>123</v>
      </c>
      <c r="J16" s="86" t="s">
        <v>114</v>
      </c>
      <c r="K16" s="10"/>
      <c r="L16" s="10" t="s">
        <v>459</v>
      </c>
      <c r="M16" s="83" t="s">
        <v>292</v>
      </c>
      <c r="N16" s="25"/>
    </row>
    <row r="17" spans="1:14" x14ac:dyDescent="0.3">
      <c r="C17" s="7">
        <v>12</v>
      </c>
      <c r="D17" s="9" t="s">
        <v>422</v>
      </c>
      <c r="E17" s="9" t="s">
        <v>457</v>
      </c>
      <c r="F17" s="90">
        <v>34.5</v>
      </c>
      <c r="G17" s="83">
        <v>25</v>
      </c>
      <c r="H17" s="99" t="s">
        <v>127</v>
      </c>
      <c r="I17" s="10" t="s">
        <v>123</v>
      </c>
      <c r="J17" s="86" t="s">
        <v>114</v>
      </c>
      <c r="K17" s="10"/>
      <c r="L17" s="10" t="s">
        <v>459</v>
      </c>
      <c r="M17" s="83" t="s">
        <v>292</v>
      </c>
      <c r="N17" s="25"/>
    </row>
    <row r="18" spans="1:14" x14ac:dyDescent="0.3">
      <c r="A18" s="3" t="e">
        <f>VLOOKUP(E18,'[2]Listas Desplegables'!$H$3:$J$7,2,FALSE)</f>
        <v>#N/A</v>
      </c>
      <c r="B18" s="3" t="e">
        <f>VLOOKUP(E18,'[2]Listas Desplegables'!$H$3:$J$7,3,FALSE)</f>
        <v>#N/A</v>
      </c>
      <c r="C18" s="7">
        <v>13</v>
      </c>
      <c r="D18" s="9" t="s">
        <v>423</v>
      </c>
      <c r="E18" s="9" t="s">
        <v>457</v>
      </c>
      <c r="F18" s="90">
        <v>115</v>
      </c>
      <c r="G18" s="83">
        <v>15</v>
      </c>
      <c r="H18" s="99" t="s">
        <v>127</v>
      </c>
      <c r="I18" s="10" t="s">
        <v>123</v>
      </c>
      <c r="J18" s="86" t="s">
        <v>114</v>
      </c>
      <c r="K18" s="10"/>
      <c r="L18" s="10" t="s">
        <v>459</v>
      </c>
      <c r="M18" s="83" t="s">
        <v>289</v>
      </c>
      <c r="N18" s="25"/>
    </row>
    <row r="19" spans="1:14" x14ac:dyDescent="0.3">
      <c r="C19" s="7">
        <v>14</v>
      </c>
      <c r="D19" s="9" t="s">
        <v>423</v>
      </c>
      <c r="E19" s="9" t="s">
        <v>457</v>
      </c>
      <c r="F19" s="90">
        <v>34.5</v>
      </c>
      <c r="G19" s="83">
        <v>25</v>
      </c>
      <c r="H19" s="99" t="s">
        <v>127</v>
      </c>
      <c r="I19" s="10" t="s">
        <v>123</v>
      </c>
      <c r="J19" s="86" t="s">
        <v>114</v>
      </c>
      <c r="K19" s="10"/>
      <c r="L19" s="10" t="s">
        <v>459</v>
      </c>
      <c r="M19" s="83" t="s">
        <v>289</v>
      </c>
      <c r="N19" s="25"/>
    </row>
    <row r="20" spans="1:14" x14ac:dyDescent="0.3">
      <c r="A20" s="3" t="e">
        <f>VLOOKUP(E20,'[2]Listas Desplegables'!$H$3:$J$7,2,FALSE)</f>
        <v>#N/A</v>
      </c>
      <c r="B20" s="3" t="e">
        <f>VLOOKUP(E20,'[2]Listas Desplegables'!$H$3:$J$7,3,FALSE)</f>
        <v>#N/A</v>
      </c>
      <c r="C20" s="7">
        <v>15</v>
      </c>
      <c r="D20" s="9" t="s">
        <v>424</v>
      </c>
      <c r="E20" s="9" t="s">
        <v>458</v>
      </c>
      <c r="F20" s="90">
        <v>230</v>
      </c>
      <c r="G20" s="83">
        <v>31.5</v>
      </c>
      <c r="H20" s="99" t="s">
        <v>126</v>
      </c>
      <c r="I20" s="10" t="s">
        <v>123</v>
      </c>
      <c r="J20" s="86" t="s">
        <v>114</v>
      </c>
      <c r="K20" s="10"/>
      <c r="L20" s="10" t="s">
        <v>459</v>
      </c>
      <c r="M20" s="83" t="s">
        <v>291</v>
      </c>
      <c r="N20" s="25" t="s">
        <v>563</v>
      </c>
    </row>
    <row r="21" spans="1:14" x14ac:dyDescent="0.3">
      <c r="C21" s="7">
        <v>16</v>
      </c>
      <c r="D21" s="9" t="s">
        <v>424</v>
      </c>
      <c r="E21" s="9" t="s">
        <v>457</v>
      </c>
      <c r="F21" s="90">
        <v>115</v>
      </c>
      <c r="G21" s="83">
        <v>31.5</v>
      </c>
      <c r="H21" s="99" t="s">
        <v>126</v>
      </c>
      <c r="I21" s="10" t="s">
        <v>123</v>
      </c>
      <c r="J21" s="86" t="s">
        <v>114</v>
      </c>
      <c r="K21" s="10"/>
      <c r="L21" s="10" t="s">
        <v>459</v>
      </c>
      <c r="M21" s="83" t="s">
        <v>291</v>
      </c>
      <c r="N21" s="25"/>
    </row>
    <row r="22" spans="1:14" x14ac:dyDescent="0.3">
      <c r="C22" s="7">
        <v>17</v>
      </c>
      <c r="D22" s="9" t="s">
        <v>424</v>
      </c>
      <c r="E22" s="98" t="s">
        <v>457</v>
      </c>
      <c r="F22" s="90">
        <v>34.5</v>
      </c>
      <c r="G22" s="83">
        <v>25</v>
      </c>
      <c r="H22" s="99" t="s">
        <v>127</v>
      </c>
      <c r="I22" s="10" t="s">
        <v>123</v>
      </c>
      <c r="J22" s="86" t="s">
        <v>114</v>
      </c>
      <c r="K22" s="10"/>
      <c r="L22" s="10" t="s">
        <v>459</v>
      </c>
      <c r="M22" s="83" t="s">
        <v>291</v>
      </c>
      <c r="N22" s="25"/>
    </row>
    <row r="23" spans="1:14" x14ac:dyDescent="0.3">
      <c r="A23" s="3" t="e">
        <f>VLOOKUP(E23,'[2]Listas Desplegables'!$H$3:$J$7,2,FALSE)</f>
        <v>#N/A</v>
      </c>
      <c r="B23" s="3" t="e">
        <f>VLOOKUP(E23,'[2]Listas Desplegables'!$H$3:$J$7,3,FALSE)</f>
        <v>#N/A</v>
      </c>
      <c r="C23" s="7">
        <v>18</v>
      </c>
      <c r="D23" s="9" t="s">
        <v>425</v>
      </c>
      <c r="E23" s="9" t="s">
        <v>457</v>
      </c>
      <c r="F23" s="90">
        <v>115</v>
      </c>
      <c r="G23" s="83">
        <v>31.5</v>
      </c>
      <c r="H23" s="99" t="s">
        <v>127</v>
      </c>
      <c r="I23" s="10" t="s">
        <v>123</v>
      </c>
      <c r="J23" s="86" t="s">
        <v>114</v>
      </c>
      <c r="K23" s="10"/>
      <c r="L23" s="10" t="s">
        <v>460</v>
      </c>
      <c r="M23" s="83" t="s">
        <v>297</v>
      </c>
      <c r="N23" s="25"/>
    </row>
    <row r="24" spans="1:14" x14ac:dyDescent="0.3">
      <c r="C24" s="7">
        <v>19</v>
      </c>
      <c r="D24" s="9" t="s">
        <v>425</v>
      </c>
      <c r="E24" s="9" t="s">
        <v>457</v>
      </c>
      <c r="F24" s="90">
        <v>34.5</v>
      </c>
      <c r="G24" s="83">
        <v>25</v>
      </c>
      <c r="H24" s="99" t="s">
        <v>127</v>
      </c>
      <c r="I24" s="10" t="s">
        <v>123</v>
      </c>
      <c r="J24" s="86" t="s">
        <v>114</v>
      </c>
      <c r="K24" s="10"/>
      <c r="L24" s="10" t="s">
        <v>460</v>
      </c>
      <c r="M24" s="83" t="s">
        <v>297</v>
      </c>
      <c r="N24" s="25"/>
    </row>
    <row r="25" spans="1:14" x14ac:dyDescent="0.3">
      <c r="A25" s="3" t="e">
        <f>VLOOKUP(E25,'[2]Listas Desplegables'!$H$3:$J$7,2,FALSE)</f>
        <v>#N/A</v>
      </c>
      <c r="B25" s="3" t="e">
        <f>VLOOKUP(E25,'[2]Listas Desplegables'!$H$3:$J$7,3,FALSE)</f>
        <v>#N/A</v>
      </c>
      <c r="C25" s="7">
        <v>20</v>
      </c>
      <c r="D25" s="9" t="s">
        <v>426</v>
      </c>
      <c r="E25" s="9" t="s">
        <v>457</v>
      </c>
      <c r="F25" s="90">
        <v>115</v>
      </c>
      <c r="G25" s="83">
        <v>31.5</v>
      </c>
      <c r="H25" s="99" t="s">
        <v>127</v>
      </c>
      <c r="I25" s="10" t="s">
        <v>123</v>
      </c>
      <c r="J25" s="86" t="s">
        <v>114</v>
      </c>
      <c r="K25" s="10"/>
      <c r="L25" s="10" t="s">
        <v>460</v>
      </c>
      <c r="M25" s="83" t="s">
        <v>463</v>
      </c>
      <c r="N25" s="25"/>
    </row>
    <row r="26" spans="1:14" x14ac:dyDescent="0.3">
      <c r="C26" s="7">
        <v>21</v>
      </c>
      <c r="D26" s="9" t="s">
        <v>426</v>
      </c>
      <c r="E26" s="9" t="s">
        <v>457</v>
      </c>
      <c r="F26" s="90">
        <v>34.5</v>
      </c>
      <c r="G26" s="83">
        <v>25</v>
      </c>
      <c r="H26" s="99" t="s">
        <v>127</v>
      </c>
      <c r="I26" s="10" t="s">
        <v>123</v>
      </c>
      <c r="J26" s="86" t="s">
        <v>114</v>
      </c>
      <c r="K26" s="10"/>
      <c r="L26" s="10" t="s">
        <v>460</v>
      </c>
      <c r="M26" s="83" t="s">
        <v>463</v>
      </c>
      <c r="N26" s="25"/>
    </row>
    <row r="27" spans="1:14" x14ac:dyDescent="0.3">
      <c r="A27" s="3" t="e">
        <f>VLOOKUP(E27,'[2]Listas Desplegables'!$H$3:$J$7,2,FALSE)</f>
        <v>#N/A</v>
      </c>
      <c r="B27" s="3" t="e">
        <f>VLOOKUP(E27,'[2]Listas Desplegables'!$H$3:$J$7,3,FALSE)</f>
        <v>#N/A</v>
      </c>
      <c r="C27" s="7">
        <v>22</v>
      </c>
      <c r="D27" s="9" t="s">
        <v>427</v>
      </c>
      <c r="E27" s="9" t="s">
        <v>458</v>
      </c>
      <c r="F27" s="90">
        <v>230</v>
      </c>
      <c r="G27" s="83">
        <v>31.5</v>
      </c>
      <c r="H27" s="99" t="s">
        <v>126</v>
      </c>
      <c r="I27" s="10" t="s">
        <v>123</v>
      </c>
      <c r="J27" s="86" t="s">
        <v>114</v>
      </c>
      <c r="K27" s="10"/>
      <c r="L27" s="10" t="s">
        <v>459</v>
      </c>
      <c r="M27" s="83" t="s">
        <v>304</v>
      </c>
      <c r="N27" s="25" t="s">
        <v>563</v>
      </c>
    </row>
    <row r="28" spans="1:14" x14ac:dyDescent="0.3">
      <c r="A28" s="3" t="e">
        <f>VLOOKUP(E28,'[2]Listas Desplegables'!$H$3:$J$7,2,FALSE)</f>
        <v>#N/A</v>
      </c>
      <c r="B28" s="3" t="e">
        <f>VLOOKUP(E28,'[2]Listas Desplegables'!$H$3:$J$7,3,FALSE)</f>
        <v>#N/A</v>
      </c>
      <c r="C28" s="7">
        <v>23</v>
      </c>
      <c r="D28" s="9" t="s">
        <v>428</v>
      </c>
      <c r="E28" s="9" t="s">
        <v>458</v>
      </c>
      <c r="F28" s="90">
        <v>230</v>
      </c>
      <c r="G28" s="83">
        <v>31.5</v>
      </c>
      <c r="H28" s="99" t="s">
        <v>127</v>
      </c>
      <c r="I28" s="10" t="s">
        <v>123</v>
      </c>
      <c r="J28" s="86" t="s">
        <v>114</v>
      </c>
      <c r="K28" s="10"/>
      <c r="L28" s="10" t="s">
        <v>459</v>
      </c>
      <c r="M28" s="83" t="s">
        <v>304</v>
      </c>
      <c r="N28" s="25" t="s">
        <v>563</v>
      </c>
    </row>
    <row r="29" spans="1:14" x14ac:dyDescent="0.3">
      <c r="C29" s="7">
        <v>24</v>
      </c>
      <c r="D29" s="9" t="s">
        <v>428</v>
      </c>
      <c r="E29" s="9" t="s">
        <v>457</v>
      </c>
      <c r="F29" s="90">
        <v>34.5</v>
      </c>
      <c r="G29" s="83"/>
      <c r="H29" s="99" t="s">
        <v>127</v>
      </c>
      <c r="I29" s="10" t="s">
        <v>123</v>
      </c>
      <c r="J29" s="86" t="s">
        <v>114</v>
      </c>
      <c r="K29" s="10"/>
      <c r="L29" s="10" t="s">
        <v>459</v>
      </c>
      <c r="M29" s="83" t="s">
        <v>304</v>
      </c>
      <c r="N29" s="25" t="s">
        <v>563</v>
      </c>
    </row>
    <row r="30" spans="1:14" x14ac:dyDescent="0.3">
      <c r="A30" s="3" t="e">
        <f>VLOOKUP(E30,'[2]Listas Desplegables'!$H$3:$J$7,2,FALSE)</f>
        <v>#N/A</v>
      </c>
      <c r="B30" s="3" t="e">
        <f>VLOOKUP(E30,'[2]Listas Desplegables'!$H$3:$J$7,3,FALSE)</f>
        <v>#N/A</v>
      </c>
      <c r="C30" s="7">
        <v>25</v>
      </c>
      <c r="D30" s="9" t="s">
        <v>429</v>
      </c>
      <c r="E30" s="9" t="s">
        <v>457</v>
      </c>
      <c r="F30" s="90">
        <v>34.5</v>
      </c>
      <c r="G30" s="83">
        <v>12.5</v>
      </c>
      <c r="H30" s="99" t="s">
        <v>127</v>
      </c>
      <c r="I30" s="10" t="s">
        <v>123</v>
      </c>
      <c r="J30" s="86" t="s">
        <v>114</v>
      </c>
      <c r="K30" s="10"/>
      <c r="L30" s="10" t="s">
        <v>459</v>
      </c>
      <c r="M30" s="83" t="s">
        <v>354</v>
      </c>
      <c r="N30" s="25"/>
    </row>
    <row r="31" spans="1:14" x14ac:dyDescent="0.3">
      <c r="A31" s="3" t="e">
        <f>VLOOKUP(E31,'[2]Listas Desplegables'!$H$3:$J$7,2,FALSE)</f>
        <v>#N/A</v>
      </c>
      <c r="B31" s="3" t="e">
        <f>VLOOKUP(E31,'[2]Listas Desplegables'!$H$3:$J$7,3,FALSE)</f>
        <v>#N/A</v>
      </c>
      <c r="C31" s="7">
        <v>26</v>
      </c>
      <c r="D31" s="9" t="s">
        <v>430</v>
      </c>
      <c r="E31" s="9" t="s">
        <v>457</v>
      </c>
      <c r="F31" s="90">
        <v>34.5</v>
      </c>
      <c r="G31" s="83">
        <v>12.5</v>
      </c>
      <c r="H31" s="99" t="s">
        <v>127</v>
      </c>
      <c r="I31" s="10" t="s">
        <v>123</v>
      </c>
      <c r="J31" s="86" t="s">
        <v>114</v>
      </c>
      <c r="K31" s="10"/>
      <c r="L31" s="10" t="s">
        <v>459</v>
      </c>
      <c r="M31" s="83" t="s">
        <v>362</v>
      </c>
      <c r="N31" s="25"/>
    </row>
    <row r="32" spans="1:14" x14ac:dyDescent="0.3">
      <c r="A32" s="3" t="e">
        <f>VLOOKUP(E32,'[2]Listas Desplegables'!$H$3:$J$7,2,FALSE)</f>
        <v>#N/A</v>
      </c>
      <c r="B32" s="3" t="e">
        <f>VLOOKUP(E32,'[2]Listas Desplegables'!$H$3:$J$7,3,FALSE)</f>
        <v>#N/A</v>
      </c>
      <c r="C32" s="7">
        <v>27</v>
      </c>
      <c r="D32" s="9" t="s">
        <v>431</v>
      </c>
      <c r="E32" s="9" t="s">
        <v>457</v>
      </c>
      <c r="F32" s="90">
        <v>34.5</v>
      </c>
      <c r="G32" s="83">
        <v>16</v>
      </c>
      <c r="H32" s="99" t="s">
        <v>127</v>
      </c>
      <c r="I32" s="10" t="s">
        <v>123</v>
      </c>
      <c r="J32" s="86" t="s">
        <v>114</v>
      </c>
      <c r="K32" s="10"/>
      <c r="L32" s="10" t="s">
        <v>459</v>
      </c>
      <c r="M32" s="83" t="s">
        <v>362</v>
      </c>
      <c r="N32" s="25"/>
    </row>
    <row r="33" spans="1:14" x14ac:dyDescent="0.3">
      <c r="A33" s="3" t="e">
        <f>VLOOKUP(E33,'[2]Listas Desplegables'!$H$3:$J$7,2,FALSE)</f>
        <v>#N/A</v>
      </c>
      <c r="B33" s="3" t="e">
        <f>VLOOKUP(E33,'[2]Listas Desplegables'!$H$3:$J$7,3,FALSE)</f>
        <v>#N/A</v>
      </c>
      <c r="C33" s="7">
        <v>28</v>
      </c>
      <c r="D33" s="9" t="s">
        <v>432</v>
      </c>
      <c r="E33" s="9" t="s">
        <v>457</v>
      </c>
      <c r="F33" s="90">
        <v>34.5</v>
      </c>
      <c r="G33" s="83">
        <v>16</v>
      </c>
      <c r="H33" s="99" t="s">
        <v>127</v>
      </c>
      <c r="I33" s="10" t="s">
        <v>123</v>
      </c>
      <c r="J33" s="86" t="s">
        <v>114</v>
      </c>
      <c r="K33" s="10"/>
      <c r="L33" s="10" t="s">
        <v>459</v>
      </c>
      <c r="M33" s="83" t="s">
        <v>360</v>
      </c>
      <c r="N33" s="25"/>
    </row>
    <row r="34" spans="1:14" x14ac:dyDescent="0.3">
      <c r="A34" s="3" t="e">
        <f>VLOOKUP(#REF!,'[2]Listas Desplegables'!$H$3:$J$7,2,FALSE)</f>
        <v>#REF!</v>
      </c>
      <c r="B34" s="3" t="e">
        <f>VLOOKUP(#REF!,'[2]Listas Desplegables'!$H$3:$J$7,3,FALSE)</f>
        <v>#REF!</v>
      </c>
      <c r="C34" s="7">
        <v>29</v>
      </c>
      <c r="D34" s="9" t="s">
        <v>433</v>
      </c>
      <c r="E34" s="9" t="s">
        <v>457</v>
      </c>
      <c r="F34" s="90">
        <v>34.5</v>
      </c>
      <c r="G34" s="83">
        <v>25</v>
      </c>
      <c r="H34" s="99" t="s">
        <v>127</v>
      </c>
      <c r="I34" s="10" t="s">
        <v>123</v>
      </c>
      <c r="J34" s="86" t="s">
        <v>114</v>
      </c>
      <c r="K34" s="10"/>
      <c r="L34" s="10" t="s">
        <v>459</v>
      </c>
      <c r="M34" s="83" t="s">
        <v>368</v>
      </c>
      <c r="N34" s="25"/>
    </row>
    <row r="35" spans="1:14" x14ac:dyDescent="0.3">
      <c r="A35" s="3" t="e">
        <f>VLOOKUP(E34,'[2]Listas Desplegables'!$H$3:$J$7,2,FALSE)</f>
        <v>#N/A</v>
      </c>
      <c r="B35" s="3" t="e">
        <f>VLOOKUP(E34,'[2]Listas Desplegables'!$H$3:$J$7,3,FALSE)</f>
        <v>#N/A</v>
      </c>
      <c r="C35" s="7">
        <v>30</v>
      </c>
      <c r="D35" s="9" t="s">
        <v>434</v>
      </c>
      <c r="E35" s="12" t="s">
        <v>457</v>
      </c>
      <c r="F35" s="90">
        <v>34.5</v>
      </c>
      <c r="G35" s="83">
        <v>16</v>
      </c>
      <c r="H35" s="99" t="s">
        <v>127</v>
      </c>
      <c r="I35" s="10" t="s">
        <v>123</v>
      </c>
      <c r="J35" s="86" t="s">
        <v>114</v>
      </c>
      <c r="K35" s="10"/>
      <c r="L35" s="10" t="s">
        <v>459</v>
      </c>
      <c r="M35" s="83" t="s">
        <v>361</v>
      </c>
      <c r="N35" s="25"/>
    </row>
    <row r="36" spans="1:14" x14ac:dyDescent="0.3">
      <c r="A36" s="3" t="e">
        <f>VLOOKUP(E35,'[2]Listas Desplegables'!$H$3:$J$7,2,FALSE)</f>
        <v>#N/A</v>
      </c>
      <c r="B36" s="3" t="e">
        <f>VLOOKUP(E35,'[2]Listas Desplegables'!$H$3:$J$7,3,FALSE)</f>
        <v>#N/A</v>
      </c>
      <c r="C36" s="7">
        <v>31</v>
      </c>
      <c r="D36" s="9" t="s">
        <v>435</v>
      </c>
      <c r="E36" s="12" t="s">
        <v>457</v>
      </c>
      <c r="F36" s="90">
        <v>34.5</v>
      </c>
      <c r="G36" s="83">
        <v>12.5</v>
      </c>
      <c r="H36" s="99" t="s">
        <v>127</v>
      </c>
      <c r="I36" s="10" t="s">
        <v>123</v>
      </c>
      <c r="J36" s="86" t="s">
        <v>114</v>
      </c>
      <c r="K36" s="10"/>
      <c r="L36" s="10" t="s">
        <v>459</v>
      </c>
      <c r="M36" s="83" t="s">
        <v>292</v>
      </c>
      <c r="N36" s="25"/>
    </row>
    <row r="37" spans="1:14" x14ac:dyDescent="0.3">
      <c r="A37" s="3" t="e">
        <f>VLOOKUP(E36,'[2]Listas Desplegables'!$H$3:$J$7,2,FALSE)</f>
        <v>#N/A</v>
      </c>
      <c r="B37" s="3" t="e">
        <f>VLOOKUP(E36,'[2]Listas Desplegables'!$H$3:$J$7,3,FALSE)</f>
        <v>#N/A</v>
      </c>
      <c r="C37" s="7">
        <v>32</v>
      </c>
      <c r="D37" s="9" t="s">
        <v>436</v>
      </c>
      <c r="E37" s="9" t="s">
        <v>457</v>
      </c>
      <c r="F37" s="83">
        <v>34.5</v>
      </c>
      <c r="G37" s="83">
        <v>16</v>
      </c>
      <c r="H37" s="99" t="s">
        <v>127</v>
      </c>
      <c r="I37" s="10" t="s">
        <v>123</v>
      </c>
      <c r="J37" s="86" t="s">
        <v>114</v>
      </c>
      <c r="K37" s="10"/>
      <c r="L37" s="10" t="s">
        <v>459</v>
      </c>
      <c r="M37" s="83" t="s">
        <v>462</v>
      </c>
      <c r="N37" s="25"/>
    </row>
    <row r="38" spans="1:14" x14ac:dyDescent="0.3">
      <c r="A38" s="3" t="e">
        <f>VLOOKUP(E37,'[2]Listas Desplegables'!$H$3:$J$7,2,FALSE)</f>
        <v>#N/A</v>
      </c>
      <c r="B38" s="3" t="e">
        <f>VLOOKUP(E37,'[2]Listas Desplegables'!$H$3:$J$7,3,FALSE)</f>
        <v>#N/A</v>
      </c>
      <c r="C38" s="7">
        <v>33</v>
      </c>
      <c r="D38" s="9" t="s">
        <v>437</v>
      </c>
      <c r="E38" s="12" t="s">
        <v>457</v>
      </c>
      <c r="F38" s="90">
        <v>34.5</v>
      </c>
      <c r="G38" s="83">
        <v>12.5</v>
      </c>
      <c r="H38" s="99" t="s">
        <v>127</v>
      </c>
      <c r="I38" s="10" t="s">
        <v>123</v>
      </c>
      <c r="J38" s="86" t="s">
        <v>114</v>
      </c>
      <c r="K38" s="10"/>
      <c r="L38" s="10" t="s">
        <v>459</v>
      </c>
      <c r="M38" s="86" t="s">
        <v>361</v>
      </c>
      <c r="N38" s="25"/>
    </row>
    <row r="39" spans="1:14" x14ac:dyDescent="0.3">
      <c r="A39" s="3" t="e">
        <f>VLOOKUP(E38,'[2]Listas Desplegables'!$H$3:$J$7,2,FALSE)</f>
        <v>#N/A</v>
      </c>
      <c r="B39" s="3" t="e">
        <f>VLOOKUP(E38,'[2]Listas Desplegables'!$H$3:$J$7,3,FALSE)</f>
        <v>#N/A</v>
      </c>
      <c r="C39" s="7">
        <v>34</v>
      </c>
      <c r="D39" s="9" t="s">
        <v>438</v>
      </c>
      <c r="E39" s="12" t="s">
        <v>457</v>
      </c>
      <c r="F39" s="90">
        <v>34.5</v>
      </c>
      <c r="G39" s="83">
        <v>12.5</v>
      </c>
      <c r="H39" s="99" t="s">
        <v>127</v>
      </c>
      <c r="I39" s="10" t="s">
        <v>123</v>
      </c>
      <c r="J39" s="86" t="s">
        <v>114</v>
      </c>
      <c r="K39" s="10"/>
      <c r="L39" s="10" t="s">
        <v>460</v>
      </c>
      <c r="M39" s="86" t="s">
        <v>372</v>
      </c>
      <c r="N39" s="25"/>
    </row>
    <row r="40" spans="1:14" x14ac:dyDescent="0.3">
      <c r="A40" s="3" t="e">
        <f>VLOOKUP(E39,'[2]Listas Desplegables'!$H$3:$J$7,2,FALSE)</f>
        <v>#N/A</v>
      </c>
      <c r="B40" s="3" t="e">
        <f>VLOOKUP(E39,'[2]Listas Desplegables'!$H$3:$J$7,3,FALSE)</f>
        <v>#N/A</v>
      </c>
      <c r="C40" s="7">
        <v>35</v>
      </c>
      <c r="D40" s="9" t="s">
        <v>439</v>
      </c>
      <c r="E40" s="12" t="s">
        <v>457</v>
      </c>
      <c r="F40" s="90">
        <v>34.5</v>
      </c>
      <c r="G40" s="83">
        <v>16</v>
      </c>
      <c r="H40" s="99" t="s">
        <v>127</v>
      </c>
      <c r="I40" s="10" t="s">
        <v>123</v>
      </c>
      <c r="J40" s="86" t="s">
        <v>114</v>
      </c>
      <c r="K40" s="10"/>
      <c r="L40" s="10" t="s">
        <v>459</v>
      </c>
      <c r="M40" s="86" t="s">
        <v>362</v>
      </c>
      <c r="N40" s="25"/>
    </row>
    <row r="41" spans="1:14" x14ac:dyDescent="0.3">
      <c r="A41" s="3" t="e">
        <f>VLOOKUP(E40,'[2]Listas Desplegables'!$H$3:$J$7,2,FALSE)</f>
        <v>#N/A</v>
      </c>
      <c r="B41" s="3" t="e">
        <f>VLOOKUP(E40,'[2]Listas Desplegables'!$H$3:$J$7,3,FALSE)</f>
        <v>#N/A</v>
      </c>
      <c r="C41" s="7">
        <v>36</v>
      </c>
      <c r="D41" s="9" t="s">
        <v>440</v>
      </c>
      <c r="E41" s="12" t="s">
        <v>457</v>
      </c>
      <c r="F41" s="90">
        <v>34.5</v>
      </c>
      <c r="G41" s="83">
        <v>12.5</v>
      </c>
      <c r="H41" s="99" t="s">
        <v>127</v>
      </c>
      <c r="I41" s="10" t="s">
        <v>123</v>
      </c>
      <c r="J41" s="86" t="s">
        <v>114</v>
      </c>
      <c r="K41" s="10"/>
      <c r="L41" s="10" t="s">
        <v>459</v>
      </c>
      <c r="M41" s="86" t="s">
        <v>373</v>
      </c>
      <c r="N41" s="25"/>
    </row>
    <row r="42" spans="1:14" x14ac:dyDescent="0.3">
      <c r="A42" s="3" t="e">
        <f>VLOOKUP(E41,'[2]Listas Desplegables'!$H$3:$J$7,2,FALSE)</f>
        <v>#N/A</v>
      </c>
      <c r="B42" s="3" t="e">
        <f>VLOOKUP(E41,'[2]Listas Desplegables'!$H$3:$J$7,3,FALSE)</f>
        <v>#N/A</v>
      </c>
      <c r="C42" s="7">
        <v>37</v>
      </c>
      <c r="D42" s="9" t="s">
        <v>441</v>
      </c>
      <c r="E42" s="12" t="s">
        <v>457</v>
      </c>
      <c r="F42" s="90">
        <v>34.5</v>
      </c>
      <c r="G42" s="83">
        <v>16</v>
      </c>
      <c r="H42" s="99" t="s">
        <v>127</v>
      </c>
      <c r="I42" s="10" t="s">
        <v>123</v>
      </c>
      <c r="J42" s="86" t="s">
        <v>114</v>
      </c>
      <c r="K42" s="10"/>
      <c r="L42" s="10" t="s">
        <v>459</v>
      </c>
      <c r="M42" s="86" t="s">
        <v>407</v>
      </c>
      <c r="N42" s="25"/>
    </row>
    <row r="43" spans="1:14" x14ac:dyDescent="0.3">
      <c r="A43" s="3" t="e">
        <f>VLOOKUP(E42,'[2]Listas Desplegables'!$H$3:$J$7,2,FALSE)</f>
        <v>#N/A</v>
      </c>
      <c r="B43" s="3" t="e">
        <f>VLOOKUP(E42,'[2]Listas Desplegables'!$H$3:$J$7,3,FALSE)</f>
        <v>#N/A</v>
      </c>
      <c r="C43" s="7">
        <v>38</v>
      </c>
      <c r="D43" s="9" t="s">
        <v>442</v>
      </c>
      <c r="E43" s="12" t="s">
        <v>457</v>
      </c>
      <c r="F43" s="90">
        <v>34.5</v>
      </c>
      <c r="G43" s="83">
        <v>16</v>
      </c>
      <c r="H43" s="99" t="s">
        <v>127</v>
      </c>
      <c r="I43" s="10" t="s">
        <v>123</v>
      </c>
      <c r="J43" s="86" t="s">
        <v>114</v>
      </c>
      <c r="K43" s="10"/>
      <c r="L43" s="10" t="s">
        <v>460</v>
      </c>
      <c r="M43" s="86" t="s">
        <v>297</v>
      </c>
      <c r="N43" s="25"/>
    </row>
    <row r="44" spans="1:14" x14ac:dyDescent="0.3">
      <c r="A44" s="3" t="e">
        <f>VLOOKUP(E43,'[2]Listas Desplegables'!$H$3:$J$7,2,FALSE)</f>
        <v>#N/A</v>
      </c>
      <c r="B44" s="3" t="e">
        <f>VLOOKUP(E43,'[2]Listas Desplegables'!$H$3:$J$7,3,FALSE)</f>
        <v>#N/A</v>
      </c>
      <c r="C44" s="7">
        <v>39</v>
      </c>
      <c r="D44" s="9" t="s">
        <v>443</v>
      </c>
      <c r="E44" s="12" t="s">
        <v>457</v>
      </c>
      <c r="F44" s="90">
        <v>34.5</v>
      </c>
      <c r="G44" s="83"/>
      <c r="H44" s="99" t="s">
        <v>127</v>
      </c>
      <c r="I44" s="10" t="s">
        <v>123</v>
      </c>
      <c r="J44" s="86" t="s">
        <v>114</v>
      </c>
      <c r="K44" s="10"/>
      <c r="L44" s="10" t="s">
        <v>460</v>
      </c>
      <c r="M44" s="86" t="s">
        <v>297</v>
      </c>
      <c r="N44" s="25" t="s">
        <v>564</v>
      </c>
    </row>
    <row r="45" spans="1:14" x14ac:dyDescent="0.3">
      <c r="A45" s="3" t="e">
        <f>VLOOKUP(E44,'[2]Listas Desplegables'!$H$3:$J$7,2,FALSE)</f>
        <v>#N/A</v>
      </c>
      <c r="B45" s="3" t="e">
        <f>VLOOKUP(E44,'[2]Listas Desplegables'!$H$3:$J$7,3,FALSE)</f>
        <v>#N/A</v>
      </c>
      <c r="C45" s="7">
        <v>40</v>
      </c>
      <c r="D45" s="9" t="s">
        <v>444</v>
      </c>
      <c r="E45" s="12" t="s">
        <v>457</v>
      </c>
      <c r="F45" s="90">
        <v>34.5</v>
      </c>
      <c r="G45" s="83">
        <v>31.5</v>
      </c>
      <c r="H45" s="99" t="s">
        <v>127</v>
      </c>
      <c r="I45" s="10" t="s">
        <v>123</v>
      </c>
      <c r="J45" s="86" t="s">
        <v>114</v>
      </c>
      <c r="K45" s="10"/>
      <c r="L45" s="10" t="s">
        <v>459</v>
      </c>
      <c r="M45" s="86" t="s">
        <v>407</v>
      </c>
      <c r="N45" s="25"/>
    </row>
    <row r="46" spans="1:14" x14ac:dyDescent="0.3">
      <c r="A46" s="3" t="e">
        <f>VLOOKUP(E45,'[2]Listas Desplegables'!$H$3:$J$7,2,FALSE)</f>
        <v>#N/A</v>
      </c>
      <c r="B46" s="3" t="e">
        <f>VLOOKUP(E45,'[2]Listas Desplegables'!$H$3:$J$7,3,FALSE)</f>
        <v>#N/A</v>
      </c>
      <c r="C46" s="7">
        <v>41</v>
      </c>
      <c r="D46" s="9" t="s">
        <v>445</v>
      </c>
      <c r="E46" s="12" t="s">
        <v>457</v>
      </c>
      <c r="F46" s="90">
        <v>34.5</v>
      </c>
      <c r="G46" s="83">
        <v>12.5</v>
      </c>
      <c r="H46" s="99" t="s">
        <v>127</v>
      </c>
      <c r="I46" s="10" t="s">
        <v>123</v>
      </c>
      <c r="J46" s="86" t="s">
        <v>114</v>
      </c>
      <c r="K46" s="10"/>
      <c r="L46" s="10" t="s">
        <v>459</v>
      </c>
      <c r="M46" s="86" t="s">
        <v>407</v>
      </c>
      <c r="N46" s="25"/>
    </row>
    <row r="47" spans="1:14" x14ac:dyDescent="0.3">
      <c r="A47" s="3" t="e">
        <f>VLOOKUP(E46,'[2]Listas Desplegables'!$H$3:$J$7,2,FALSE)</f>
        <v>#N/A</v>
      </c>
      <c r="B47" s="3" t="e">
        <f>VLOOKUP(E46,'[2]Listas Desplegables'!$H$3:$J$7,3,FALSE)</f>
        <v>#N/A</v>
      </c>
      <c r="C47" s="7">
        <v>42</v>
      </c>
      <c r="D47" s="9" t="s">
        <v>446</v>
      </c>
      <c r="E47" s="12" t="s">
        <v>457</v>
      </c>
      <c r="F47" s="90">
        <v>34.5</v>
      </c>
      <c r="G47" s="83">
        <v>16</v>
      </c>
      <c r="H47" s="99" t="s">
        <v>127</v>
      </c>
      <c r="I47" s="10" t="s">
        <v>123</v>
      </c>
      <c r="J47" s="86" t="s">
        <v>114</v>
      </c>
      <c r="K47" s="10"/>
      <c r="L47" s="10" t="s">
        <v>459</v>
      </c>
      <c r="M47" s="86" t="s">
        <v>407</v>
      </c>
      <c r="N47" s="25"/>
    </row>
    <row r="48" spans="1:14" x14ac:dyDescent="0.3">
      <c r="A48" s="3" t="e">
        <f>VLOOKUP(E47,'[2]Listas Desplegables'!$H$3:$J$7,2,FALSE)</f>
        <v>#N/A</v>
      </c>
      <c r="B48" s="3" t="e">
        <f>VLOOKUP(E47,'[2]Listas Desplegables'!$H$3:$J$7,3,FALSE)</f>
        <v>#N/A</v>
      </c>
      <c r="C48" s="7">
        <v>43</v>
      </c>
      <c r="D48" s="9" t="s">
        <v>447</v>
      </c>
      <c r="E48" s="12" t="s">
        <v>457</v>
      </c>
      <c r="F48" s="90">
        <v>34.5</v>
      </c>
      <c r="G48" s="83"/>
      <c r="H48" s="99" t="s">
        <v>127</v>
      </c>
      <c r="I48" s="10" t="s">
        <v>123</v>
      </c>
      <c r="J48" s="86" t="s">
        <v>114</v>
      </c>
      <c r="K48" s="10"/>
      <c r="L48" s="10" t="s">
        <v>459</v>
      </c>
      <c r="M48" s="86" t="s">
        <v>407</v>
      </c>
      <c r="N48" s="25" t="s">
        <v>564</v>
      </c>
    </row>
    <row r="49" spans="1:14" x14ac:dyDescent="0.3">
      <c r="A49" s="3" t="e">
        <f>VLOOKUP(E48,'[2]Listas Desplegables'!$H$3:$J$7,2,FALSE)</f>
        <v>#N/A</v>
      </c>
      <c r="B49" s="3" t="e">
        <f>VLOOKUP(E48,'[2]Listas Desplegables'!$H$3:$J$7,3,FALSE)</f>
        <v>#N/A</v>
      </c>
      <c r="C49" s="7">
        <v>44</v>
      </c>
      <c r="D49" s="9" t="s">
        <v>448</v>
      </c>
      <c r="E49" s="12" t="s">
        <v>457</v>
      </c>
      <c r="F49" s="90">
        <v>115</v>
      </c>
      <c r="G49" s="83">
        <v>31.5</v>
      </c>
      <c r="H49" s="99" t="s">
        <v>127</v>
      </c>
      <c r="I49" s="10" t="s">
        <v>123</v>
      </c>
      <c r="J49" s="86" t="s">
        <v>114</v>
      </c>
      <c r="K49" s="10"/>
      <c r="L49" s="10" t="s">
        <v>459</v>
      </c>
      <c r="M49" s="86" t="s">
        <v>461</v>
      </c>
      <c r="N49" s="25"/>
    </row>
    <row r="50" spans="1:14" x14ac:dyDescent="0.3">
      <c r="C50" s="7">
        <v>45</v>
      </c>
      <c r="D50" s="9" t="s">
        <v>448</v>
      </c>
      <c r="E50" s="12" t="s">
        <v>457</v>
      </c>
      <c r="F50" s="90">
        <v>34.5</v>
      </c>
      <c r="G50" s="83">
        <v>31.5</v>
      </c>
      <c r="H50" s="99" t="s">
        <v>127</v>
      </c>
      <c r="I50" s="10" t="s">
        <v>123</v>
      </c>
      <c r="J50" s="86" t="s">
        <v>114</v>
      </c>
      <c r="K50" s="10"/>
      <c r="L50" s="10" t="s">
        <v>459</v>
      </c>
      <c r="M50" s="86" t="s">
        <v>461</v>
      </c>
      <c r="N50" s="25"/>
    </row>
    <row r="51" spans="1:14" x14ac:dyDescent="0.3">
      <c r="A51" s="3" t="e">
        <f>VLOOKUP(E49,'[2]Listas Desplegables'!$H$3:$J$7,2,FALSE)</f>
        <v>#N/A</v>
      </c>
      <c r="B51" s="3" t="e">
        <f>VLOOKUP(E49,'[2]Listas Desplegables'!$H$3:$J$7,3,FALSE)</f>
        <v>#N/A</v>
      </c>
      <c r="C51" s="7">
        <v>46</v>
      </c>
      <c r="D51" s="9" t="s">
        <v>449</v>
      </c>
      <c r="E51" s="12" t="s">
        <v>457</v>
      </c>
      <c r="F51" s="90">
        <v>34.5</v>
      </c>
      <c r="G51" s="83">
        <v>12.5</v>
      </c>
      <c r="H51" s="99" t="s">
        <v>127</v>
      </c>
      <c r="I51" s="10" t="s">
        <v>123</v>
      </c>
      <c r="J51" s="86" t="s">
        <v>114</v>
      </c>
      <c r="K51" s="10"/>
      <c r="L51" s="10" t="s">
        <v>459</v>
      </c>
      <c r="M51" s="86" t="s">
        <v>461</v>
      </c>
      <c r="N51" s="25"/>
    </row>
    <row r="52" spans="1:14" x14ac:dyDescent="0.3">
      <c r="A52" s="3" t="e">
        <f>VLOOKUP(E51,'[2]Listas Desplegables'!$H$3:$J$7,2,FALSE)</f>
        <v>#N/A</v>
      </c>
      <c r="B52" s="3" t="e">
        <f>VLOOKUP(E51,'[2]Listas Desplegables'!$H$3:$J$7,3,FALSE)</f>
        <v>#N/A</v>
      </c>
      <c r="C52" s="7">
        <v>47</v>
      </c>
      <c r="D52" s="9" t="s">
        <v>450</v>
      </c>
      <c r="E52" s="12" t="s">
        <v>457</v>
      </c>
      <c r="F52" s="90">
        <v>34.5</v>
      </c>
      <c r="G52" s="83">
        <v>12.5</v>
      </c>
      <c r="H52" s="99" t="s">
        <v>127</v>
      </c>
      <c r="I52" s="10" t="s">
        <v>123</v>
      </c>
      <c r="J52" s="86" t="s">
        <v>114</v>
      </c>
      <c r="K52" s="10"/>
      <c r="L52" s="10" t="s">
        <v>459</v>
      </c>
      <c r="M52" s="86" t="s">
        <v>461</v>
      </c>
      <c r="N52" s="25"/>
    </row>
    <row r="53" spans="1:14" x14ac:dyDescent="0.3">
      <c r="A53" s="3" t="e">
        <f>VLOOKUP(E52,'[2]Listas Desplegables'!$H$3:$J$7,2,FALSE)</f>
        <v>#N/A</v>
      </c>
      <c r="B53" s="3" t="e">
        <f>VLOOKUP(E52,'[2]Listas Desplegables'!$H$3:$J$7,3,FALSE)</f>
        <v>#N/A</v>
      </c>
      <c r="C53" s="7">
        <v>48</v>
      </c>
      <c r="D53" s="9" t="s">
        <v>451</v>
      </c>
      <c r="E53" s="12" t="s">
        <v>457</v>
      </c>
      <c r="F53" s="90">
        <v>34.5</v>
      </c>
      <c r="G53" s="83">
        <v>25</v>
      </c>
      <c r="H53" s="99" t="s">
        <v>127</v>
      </c>
      <c r="I53" s="10" t="s">
        <v>123</v>
      </c>
      <c r="J53" s="86" t="s">
        <v>114</v>
      </c>
      <c r="K53" s="10"/>
      <c r="L53" s="10" t="s">
        <v>459</v>
      </c>
      <c r="M53" s="86" t="s">
        <v>461</v>
      </c>
      <c r="N53" s="25"/>
    </row>
    <row r="54" spans="1:14" x14ac:dyDescent="0.3">
      <c r="A54" s="3" t="e">
        <f>VLOOKUP(E53,'[2]Listas Desplegables'!$H$3:$J$7,2,FALSE)</f>
        <v>#N/A</v>
      </c>
      <c r="B54" s="3" t="e">
        <f>VLOOKUP(E53,'[2]Listas Desplegables'!$H$3:$J$7,3,FALSE)</f>
        <v>#N/A</v>
      </c>
      <c r="C54" s="7">
        <v>49</v>
      </c>
      <c r="D54" s="9" t="s">
        <v>452</v>
      </c>
      <c r="E54" s="12" t="s">
        <v>457</v>
      </c>
      <c r="F54" s="90">
        <v>115</v>
      </c>
      <c r="G54" s="83">
        <v>31.5</v>
      </c>
      <c r="H54" s="99" t="s">
        <v>127</v>
      </c>
      <c r="I54" s="10" t="s">
        <v>123</v>
      </c>
      <c r="J54" s="86" t="s">
        <v>114</v>
      </c>
      <c r="K54" s="10"/>
      <c r="L54" s="10" t="s">
        <v>459</v>
      </c>
      <c r="M54" s="86" t="s">
        <v>297</v>
      </c>
      <c r="N54" s="25"/>
    </row>
    <row r="55" spans="1:14" x14ac:dyDescent="0.3">
      <c r="C55" s="7">
        <v>50</v>
      </c>
      <c r="D55" s="9" t="s">
        <v>452</v>
      </c>
      <c r="E55" s="12" t="s">
        <v>457</v>
      </c>
      <c r="F55" s="90">
        <v>34.5</v>
      </c>
      <c r="G55" s="83">
        <v>25</v>
      </c>
      <c r="H55" s="99" t="s">
        <v>127</v>
      </c>
      <c r="I55" s="10" t="s">
        <v>123</v>
      </c>
      <c r="J55" s="86" t="s">
        <v>114</v>
      </c>
      <c r="K55" s="10"/>
      <c r="L55" s="10" t="s">
        <v>459</v>
      </c>
      <c r="M55" s="86" t="s">
        <v>297</v>
      </c>
      <c r="N55" s="25"/>
    </row>
    <row r="56" spans="1:14" x14ac:dyDescent="0.3">
      <c r="A56" s="3" t="e">
        <f>VLOOKUP(E54,'[2]Listas Desplegables'!$H$3:$J$7,2,FALSE)</f>
        <v>#N/A</v>
      </c>
      <c r="B56" s="3" t="e">
        <f>VLOOKUP(E54,'[2]Listas Desplegables'!$H$3:$J$7,3,FALSE)</f>
        <v>#N/A</v>
      </c>
      <c r="C56" s="7">
        <v>51</v>
      </c>
      <c r="D56" s="9" t="s">
        <v>453</v>
      </c>
      <c r="E56" s="12" t="s">
        <v>457</v>
      </c>
      <c r="F56" s="90">
        <v>34.5</v>
      </c>
      <c r="G56" s="83">
        <v>25</v>
      </c>
      <c r="H56" s="99" t="s">
        <v>127</v>
      </c>
      <c r="I56" s="10" t="s">
        <v>123</v>
      </c>
      <c r="J56" s="86" t="s">
        <v>114</v>
      </c>
      <c r="K56" s="10"/>
      <c r="L56" s="10" t="s">
        <v>459</v>
      </c>
      <c r="M56" s="86" t="s">
        <v>380</v>
      </c>
      <c r="N56" s="25"/>
    </row>
    <row r="57" spans="1:14" x14ac:dyDescent="0.3">
      <c r="A57" s="3" t="e">
        <f>VLOOKUP(#REF!,'[2]Listas Desplegables'!$H$3:$J$7,2,FALSE)</f>
        <v>#REF!</v>
      </c>
      <c r="B57" s="3" t="e">
        <f>VLOOKUP(#REF!,'[2]Listas Desplegables'!$H$3:$J$7,3,FALSE)</f>
        <v>#REF!</v>
      </c>
      <c r="C57" s="7">
        <v>52</v>
      </c>
      <c r="D57" s="9" t="s">
        <v>454</v>
      </c>
      <c r="E57" s="12" t="s">
        <v>457</v>
      </c>
      <c r="F57" s="90">
        <v>34.5</v>
      </c>
      <c r="G57" s="83">
        <v>25</v>
      </c>
      <c r="H57" s="99" t="s">
        <v>127</v>
      </c>
      <c r="I57" s="10" t="s">
        <v>123</v>
      </c>
      <c r="J57" s="86" t="s">
        <v>114</v>
      </c>
      <c r="K57" s="12"/>
      <c r="L57" s="10" t="s">
        <v>460</v>
      </c>
      <c r="M57" s="86" t="s">
        <v>369</v>
      </c>
      <c r="N57" s="25"/>
    </row>
    <row r="58" spans="1:14" x14ac:dyDescent="0.3">
      <c r="A58" s="3" t="e">
        <f>VLOOKUP(E56,'[2]Listas Desplegables'!$H$3:$J$7,2,FALSE)</f>
        <v>#N/A</v>
      </c>
      <c r="B58" s="3" t="e">
        <f>VLOOKUP(E56,'[2]Listas Desplegables'!$H$3:$J$7,3,FALSE)</f>
        <v>#N/A</v>
      </c>
      <c r="C58" s="7">
        <v>53</v>
      </c>
      <c r="D58" s="9" t="s">
        <v>455</v>
      </c>
      <c r="E58" s="12" t="s">
        <v>457</v>
      </c>
      <c r="F58" s="90">
        <v>34.5</v>
      </c>
      <c r="G58" s="83">
        <v>25</v>
      </c>
      <c r="H58" s="99" t="s">
        <v>127</v>
      </c>
      <c r="I58" s="10" t="s">
        <v>123</v>
      </c>
      <c r="J58" s="86" t="s">
        <v>114</v>
      </c>
      <c r="K58" s="12"/>
      <c r="L58" s="10" t="s">
        <v>459</v>
      </c>
      <c r="M58" s="86" t="s">
        <v>292</v>
      </c>
      <c r="N58" s="25"/>
    </row>
    <row r="59" spans="1:14" x14ac:dyDescent="0.3">
      <c r="A59" s="3" t="e">
        <f>VLOOKUP(E57,'[2]Listas Desplegables'!$H$3:$J$7,2,FALSE)</f>
        <v>#N/A</v>
      </c>
      <c r="B59" s="3" t="e">
        <f>VLOOKUP(E57,'[2]Listas Desplegables'!$H$3:$J$7,3,FALSE)</f>
        <v>#N/A</v>
      </c>
      <c r="C59" s="7">
        <v>54</v>
      </c>
      <c r="D59" s="9" t="s">
        <v>456</v>
      </c>
      <c r="E59" s="12" t="s">
        <v>457</v>
      </c>
      <c r="F59" s="90">
        <v>34.5</v>
      </c>
      <c r="G59" s="83">
        <v>16</v>
      </c>
      <c r="H59" s="99" t="s">
        <v>127</v>
      </c>
      <c r="I59" s="10" t="s">
        <v>123</v>
      </c>
      <c r="J59" s="86" t="s">
        <v>114</v>
      </c>
      <c r="K59" s="12"/>
      <c r="L59" s="10" t="s">
        <v>459</v>
      </c>
      <c r="M59" s="86" t="s">
        <v>464</v>
      </c>
      <c r="N59" s="25"/>
    </row>
    <row r="60" spans="1:14" x14ac:dyDescent="0.3">
      <c r="A60" s="3" t="e">
        <f>VLOOKUP(E58,'[2]Listas Desplegables'!$H$3:$J$7,2,FALSE)</f>
        <v>#N/A</v>
      </c>
      <c r="B60" s="3" t="e">
        <f>VLOOKUP(E58,'[2]Listas Desplegables'!$H$3:$J$7,3,FALSE)</f>
        <v>#N/A</v>
      </c>
      <c r="C60" s="7">
        <v>55</v>
      </c>
      <c r="D60" s="9" t="s">
        <v>623</v>
      </c>
      <c r="E60" s="12" t="s">
        <v>457</v>
      </c>
      <c r="F60" s="90">
        <v>34.5</v>
      </c>
      <c r="G60" s="83" t="s">
        <v>629</v>
      </c>
      <c r="H60" s="10" t="s">
        <v>127</v>
      </c>
      <c r="I60" s="10" t="s">
        <v>123</v>
      </c>
      <c r="J60" s="86" t="s">
        <v>114</v>
      </c>
      <c r="K60" s="12">
        <v>2023</v>
      </c>
      <c r="L60" s="10" t="s">
        <v>459</v>
      </c>
      <c r="M60" s="86" t="s">
        <v>368</v>
      </c>
      <c r="N60" s="25" t="s">
        <v>660</v>
      </c>
    </row>
    <row r="61" spans="1:14" x14ac:dyDescent="0.3">
      <c r="A61" s="3" t="e">
        <f>VLOOKUP(E59,'[2]Listas Desplegables'!$H$3:$J$7,2,FALSE)</f>
        <v>#N/A</v>
      </c>
      <c r="B61" s="3" t="e">
        <f>VLOOKUP(E59,'[2]Listas Desplegables'!$H$3:$J$7,3,FALSE)</f>
        <v>#N/A</v>
      </c>
      <c r="C61" s="7">
        <v>56</v>
      </c>
      <c r="D61" s="9" t="s">
        <v>624</v>
      </c>
      <c r="E61" s="12" t="s">
        <v>457</v>
      </c>
      <c r="F61" s="90">
        <v>34.5</v>
      </c>
      <c r="G61" s="83" t="s">
        <v>629</v>
      </c>
      <c r="H61" s="99" t="s">
        <v>127</v>
      </c>
      <c r="I61" s="10" t="s">
        <v>123</v>
      </c>
      <c r="J61" s="86" t="s">
        <v>89</v>
      </c>
      <c r="K61" s="12">
        <v>2026</v>
      </c>
      <c r="L61" s="10" t="s">
        <v>459</v>
      </c>
      <c r="M61" s="86" t="s">
        <v>373</v>
      </c>
      <c r="N61" s="25" t="s">
        <v>661</v>
      </c>
    </row>
    <row r="62" spans="1:14" x14ac:dyDescent="0.3">
      <c r="A62" s="3" t="e">
        <f>VLOOKUP(E62,'[2]Listas Desplegables'!$H$3:$J$7,2,FALSE)</f>
        <v>#N/A</v>
      </c>
      <c r="B62" s="3" t="e">
        <f>VLOOKUP(E62,'[2]Listas Desplegables'!$H$3:$J$7,3,FALSE)</f>
        <v>#N/A</v>
      </c>
      <c r="C62" s="7">
        <v>57</v>
      </c>
      <c r="D62" s="9" t="s">
        <v>630</v>
      </c>
      <c r="E62" s="12" t="s">
        <v>457</v>
      </c>
      <c r="F62" s="90">
        <v>34.5</v>
      </c>
      <c r="G62" s="83" t="s">
        <v>629</v>
      </c>
      <c r="H62" s="10" t="s">
        <v>631</v>
      </c>
      <c r="I62" s="10" t="s">
        <v>123</v>
      </c>
      <c r="J62" s="86" t="s">
        <v>89</v>
      </c>
      <c r="K62" s="12">
        <v>2024</v>
      </c>
      <c r="L62" s="10" t="s">
        <v>459</v>
      </c>
      <c r="M62" s="86" t="s">
        <v>291</v>
      </c>
      <c r="N62" s="25" t="s">
        <v>653</v>
      </c>
    </row>
    <row r="63" spans="1:14" x14ac:dyDescent="0.3">
      <c r="A63" s="3" t="e">
        <f>VLOOKUP(E63,'[2]Listas Desplegables'!$H$3:$J$7,2,FALSE)</f>
        <v>#N/A</v>
      </c>
      <c r="B63" s="3" t="e">
        <f>VLOOKUP(E63,'[2]Listas Desplegables'!$H$3:$J$7,3,FALSE)</f>
        <v>#N/A</v>
      </c>
      <c r="C63" s="7">
        <v>58</v>
      </c>
      <c r="D63" s="9" t="s">
        <v>679</v>
      </c>
      <c r="E63" s="12" t="s">
        <v>457</v>
      </c>
      <c r="F63" s="90">
        <v>115</v>
      </c>
      <c r="G63" s="83" t="s">
        <v>629</v>
      </c>
      <c r="H63" s="10" t="s">
        <v>631</v>
      </c>
      <c r="I63" s="10" t="s">
        <v>123</v>
      </c>
      <c r="J63" s="86" t="s">
        <v>89</v>
      </c>
      <c r="K63" s="12">
        <v>2029</v>
      </c>
      <c r="L63" s="10" t="s">
        <v>459</v>
      </c>
      <c r="M63" s="86" t="s">
        <v>644</v>
      </c>
      <c r="N63" s="25" t="s">
        <v>654</v>
      </c>
    </row>
    <row r="64" spans="1:14" x14ac:dyDescent="0.3">
      <c r="C64" s="7">
        <v>59</v>
      </c>
      <c r="D64" s="9" t="s">
        <v>680</v>
      </c>
      <c r="E64" s="12" t="s">
        <v>457</v>
      </c>
      <c r="F64" s="90">
        <v>34.5</v>
      </c>
      <c r="G64" s="83" t="s">
        <v>629</v>
      </c>
      <c r="H64" s="10" t="s">
        <v>631</v>
      </c>
      <c r="I64" s="10" t="s">
        <v>123</v>
      </c>
      <c r="J64" s="86" t="s">
        <v>89</v>
      </c>
      <c r="K64" s="12">
        <v>2029</v>
      </c>
      <c r="L64" s="10" t="s">
        <v>459</v>
      </c>
      <c r="M64" s="86" t="s">
        <v>644</v>
      </c>
      <c r="N64" s="25" t="s">
        <v>948</v>
      </c>
    </row>
    <row r="65" spans="1:14" x14ac:dyDescent="0.3">
      <c r="A65" s="3" t="e">
        <f>VLOOKUP(E65,'[2]Listas Desplegables'!$H$3:$J$7,2,FALSE)</f>
        <v>#N/A</v>
      </c>
      <c r="B65" s="3" t="e">
        <f>VLOOKUP(E65,'[2]Listas Desplegables'!$H$3:$J$7,3,FALSE)</f>
        <v>#N/A</v>
      </c>
      <c r="C65" s="7">
        <v>60</v>
      </c>
      <c r="D65" s="9" t="s">
        <v>681</v>
      </c>
      <c r="E65" s="12" t="s">
        <v>457</v>
      </c>
      <c r="F65" s="90">
        <v>115</v>
      </c>
      <c r="G65" s="83" t="s">
        <v>629</v>
      </c>
      <c r="H65" s="10" t="s">
        <v>631</v>
      </c>
      <c r="I65" s="10" t="s">
        <v>123</v>
      </c>
      <c r="J65" s="86" t="s">
        <v>89</v>
      </c>
      <c r="K65" s="12">
        <v>2026</v>
      </c>
      <c r="L65" s="10" t="s">
        <v>459</v>
      </c>
      <c r="M65" s="86" t="s">
        <v>461</v>
      </c>
      <c r="N65" s="25" t="s">
        <v>652</v>
      </c>
    </row>
    <row r="66" spans="1:14" x14ac:dyDescent="0.3">
      <c r="A66" s="3" t="e">
        <f>VLOOKUP(E66,'[2]Listas Desplegables'!$H$3:$J$7,2,FALSE)</f>
        <v>#N/A</v>
      </c>
      <c r="B66" s="3" t="e">
        <f>VLOOKUP(E66,'[2]Listas Desplegables'!$H$3:$J$7,3,FALSE)</f>
        <v>#N/A</v>
      </c>
      <c r="C66" s="7">
        <v>61</v>
      </c>
      <c r="D66" s="9" t="s">
        <v>682</v>
      </c>
      <c r="E66" s="12" t="s">
        <v>457</v>
      </c>
      <c r="F66" s="90">
        <v>34.5</v>
      </c>
      <c r="G66" s="83" t="s">
        <v>629</v>
      </c>
      <c r="H66" s="10" t="s">
        <v>631</v>
      </c>
      <c r="I66" s="10" t="s">
        <v>123</v>
      </c>
      <c r="J66" s="86" t="s">
        <v>89</v>
      </c>
      <c r="K66" s="12">
        <v>2026</v>
      </c>
      <c r="L66" s="10" t="s">
        <v>459</v>
      </c>
      <c r="M66" s="86" t="s">
        <v>461</v>
      </c>
      <c r="N66" s="25"/>
    </row>
    <row r="67" spans="1:14" x14ac:dyDescent="0.3">
      <c r="A67" s="3" t="e">
        <f>VLOOKUP(E67,'[2]Listas Desplegables'!$H$3:$J$7,2,FALSE)</f>
        <v>#N/A</v>
      </c>
      <c r="B67" s="3" t="e">
        <f>VLOOKUP(E67,'[2]Listas Desplegables'!$H$3:$J$7,3,FALSE)</f>
        <v>#N/A</v>
      </c>
      <c r="C67" s="7">
        <v>62</v>
      </c>
      <c r="D67" s="9" t="s">
        <v>683</v>
      </c>
      <c r="E67" s="12" t="s">
        <v>457</v>
      </c>
      <c r="F67" s="90">
        <v>34.5</v>
      </c>
      <c r="G67" s="83" t="s">
        <v>629</v>
      </c>
      <c r="H67" s="10" t="s">
        <v>631</v>
      </c>
      <c r="I67" s="10" t="s">
        <v>123</v>
      </c>
      <c r="J67" s="86" t="s">
        <v>114</v>
      </c>
      <c r="K67" s="12">
        <v>2023</v>
      </c>
      <c r="L67" s="10" t="s">
        <v>459</v>
      </c>
      <c r="M67" s="86" t="s">
        <v>461</v>
      </c>
      <c r="N67" s="25" t="s">
        <v>684</v>
      </c>
    </row>
    <row r="68" spans="1:14" x14ac:dyDescent="0.3">
      <c r="A68" s="3" t="e">
        <f>VLOOKUP(E68,'[2]Listas Desplegables'!$H$3:$J$7,2,FALSE)</f>
        <v>#N/A</v>
      </c>
      <c r="B68" s="3" t="e">
        <f>VLOOKUP(E68,'[2]Listas Desplegables'!$H$3:$J$7,3,FALSE)</f>
        <v>#N/A</v>
      </c>
      <c r="C68" s="7">
        <v>63</v>
      </c>
      <c r="D68" s="9" t="s">
        <v>685</v>
      </c>
      <c r="E68" s="12" t="s">
        <v>457</v>
      </c>
      <c r="F68" s="90">
        <v>34.5</v>
      </c>
      <c r="G68" s="83" t="s">
        <v>629</v>
      </c>
      <c r="H68" s="10" t="s">
        <v>631</v>
      </c>
      <c r="I68" s="10" t="s">
        <v>123</v>
      </c>
      <c r="J68" s="86" t="s">
        <v>114</v>
      </c>
      <c r="K68" s="12">
        <v>2023</v>
      </c>
      <c r="L68" s="10" t="s">
        <v>459</v>
      </c>
      <c r="M68" s="86" t="s">
        <v>461</v>
      </c>
      <c r="N68" s="25" t="s">
        <v>686</v>
      </c>
    </row>
    <row r="69" spans="1:14" x14ac:dyDescent="0.3">
      <c r="C69" s="7">
        <v>64</v>
      </c>
      <c r="D69" s="9" t="s">
        <v>814</v>
      </c>
      <c r="E69" s="12" t="s">
        <v>457</v>
      </c>
      <c r="F69" s="90">
        <v>34.5</v>
      </c>
      <c r="G69" s="83" t="s">
        <v>629</v>
      </c>
      <c r="H69" s="10" t="s">
        <v>631</v>
      </c>
      <c r="I69" s="10" t="s">
        <v>123</v>
      </c>
      <c r="J69" s="86" t="s">
        <v>89</v>
      </c>
      <c r="K69" s="130">
        <v>48213</v>
      </c>
      <c r="L69" s="10" t="s">
        <v>460</v>
      </c>
      <c r="M69" s="86" t="s">
        <v>817</v>
      </c>
      <c r="N69" s="25" t="s">
        <v>815</v>
      </c>
    </row>
    <row r="70" spans="1:14" x14ac:dyDescent="0.3">
      <c r="C70" s="7">
        <v>65</v>
      </c>
      <c r="D70" s="9" t="s">
        <v>825</v>
      </c>
      <c r="E70" s="12" t="s">
        <v>457</v>
      </c>
      <c r="F70" s="90">
        <v>34.5</v>
      </c>
      <c r="G70" s="83" t="s">
        <v>629</v>
      </c>
      <c r="H70" s="10" t="s">
        <v>631</v>
      </c>
      <c r="I70" s="10" t="s">
        <v>123</v>
      </c>
      <c r="J70" s="86" t="s">
        <v>89</v>
      </c>
      <c r="K70" s="130">
        <v>48213</v>
      </c>
      <c r="L70" s="10" t="s">
        <v>459</v>
      </c>
      <c r="M70" s="86" t="s">
        <v>291</v>
      </c>
      <c r="N70" s="25" t="s">
        <v>815</v>
      </c>
    </row>
    <row r="71" spans="1:14" x14ac:dyDescent="0.3">
      <c r="C71" s="7">
        <v>66</v>
      </c>
      <c r="D71" s="9" t="s">
        <v>830</v>
      </c>
      <c r="E71" s="12" t="s">
        <v>457</v>
      </c>
      <c r="F71" s="90">
        <v>34.5</v>
      </c>
      <c r="G71" s="83" t="s">
        <v>629</v>
      </c>
      <c r="H71" s="10" t="s">
        <v>631</v>
      </c>
      <c r="I71" s="10" t="s">
        <v>123</v>
      </c>
      <c r="J71" s="86" t="s">
        <v>89</v>
      </c>
      <c r="K71" s="130">
        <v>46752</v>
      </c>
      <c r="L71" s="10" t="s">
        <v>459</v>
      </c>
      <c r="M71" s="86" t="s">
        <v>461</v>
      </c>
      <c r="N71" s="25" t="s">
        <v>815</v>
      </c>
    </row>
    <row r="72" spans="1:14" x14ac:dyDescent="0.3">
      <c r="C72" s="7">
        <v>67</v>
      </c>
      <c r="D72" s="9" t="s">
        <v>831</v>
      </c>
      <c r="E72" s="12" t="s">
        <v>457</v>
      </c>
      <c r="F72" s="90">
        <v>34.5</v>
      </c>
      <c r="G72" s="83" t="s">
        <v>629</v>
      </c>
      <c r="H72" s="10" t="s">
        <v>631</v>
      </c>
      <c r="I72" s="10" t="s">
        <v>123</v>
      </c>
      <c r="J72" s="86" t="s">
        <v>89</v>
      </c>
      <c r="K72" s="130">
        <v>47483</v>
      </c>
      <c r="L72" s="10" t="s">
        <v>459</v>
      </c>
      <c r="M72" s="86" t="s">
        <v>461</v>
      </c>
      <c r="N72" s="25" t="s">
        <v>815</v>
      </c>
    </row>
    <row r="73" spans="1:14" x14ac:dyDescent="0.3">
      <c r="C73" s="7">
        <v>68</v>
      </c>
      <c r="D73" s="9" t="s">
        <v>835</v>
      </c>
      <c r="E73" s="12" t="s">
        <v>457</v>
      </c>
      <c r="F73" s="90">
        <v>34.5</v>
      </c>
      <c r="G73" s="83" t="s">
        <v>629</v>
      </c>
      <c r="H73" s="10" t="s">
        <v>631</v>
      </c>
      <c r="I73" s="10" t="s">
        <v>123</v>
      </c>
      <c r="J73" s="86" t="s">
        <v>89</v>
      </c>
      <c r="K73" s="130">
        <v>47483</v>
      </c>
      <c r="L73" s="10" t="s">
        <v>460</v>
      </c>
      <c r="M73" s="86" t="s">
        <v>836</v>
      </c>
      <c r="N73" s="25" t="s">
        <v>815</v>
      </c>
    </row>
    <row r="74" spans="1:14" x14ac:dyDescent="0.3">
      <c r="C74" s="7">
        <v>69</v>
      </c>
      <c r="D74" s="9" t="s">
        <v>843</v>
      </c>
      <c r="E74" s="12" t="s">
        <v>457</v>
      </c>
      <c r="F74" s="90">
        <v>34.5</v>
      </c>
      <c r="G74" s="83" t="s">
        <v>629</v>
      </c>
      <c r="H74" s="10" t="s">
        <v>631</v>
      </c>
      <c r="I74" s="10" t="s">
        <v>123</v>
      </c>
      <c r="J74" s="86" t="s">
        <v>89</v>
      </c>
      <c r="K74" s="130">
        <v>47483</v>
      </c>
      <c r="L74" s="10" t="s">
        <v>459</v>
      </c>
      <c r="M74" s="86" t="s">
        <v>461</v>
      </c>
      <c r="N74" s="25" t="s">
        <v>815</v>
      </c>
    </row>
    <row r="75" spans="1:14" x14ac:dyDescent="0.3">
      <c r="C75" s="7">
        <v>70</v>
      </c>
      <c r="D75" s="9" t="s">
        <v>847</v>
      </c>
      <c r="E75" s="12" t="s">
        <v>457</v>
      </c>
      <c r="F75" s="90">
        <v>34.5</v>
      </c>
      <c r="G75" s="83" t="s">
        <v>629</v>
      </c>
      <c r="H75" s="10" t="s">
        <v>631</v>
      </c>
      <c r="I75" s="10" t="s">
        <v>123</v>
      </c>
      <c r="J75" s="86" t="s">
        <v>89</v>
      </c>
      <c r="K75" s="130">
        <v>48579</v>
      </c>
      <c r="L75" s="10" t="s">
        <v>459</v>
      </c>
      <c r="M75" s="86" t="s">
        <v>461</v>
      </c>
      <c r="N75" s="25" t="s">
        <v>815</v>
      </c>
    </row>
    <row r="76" spans="1:14" x14ac:dyDescent="0.3">
      <c r="C76" s="7">
        <v>71</v>
      </c>
      <c r="D76" s="9" t="s">
        <v>851</v>
      </c>
      <c r="E76" s="12" t="s">
        <v>457</v>
      </c>
      <c r="F76" s="90">
        <v>34.5</v>
      </c>
      <c r="G76" s="83" t="s">
        <v>629</v>
      </c>
      <c r="H76" s="10" t="s">
        <v>631</v>
      </c>
      <c r="I76" s="10" t="s">
        <v>123</v>
      </c>
      <c r="J76" s="86" t="s">
        <v>89</v>
      </c>
      <c r="K76" s="130">
        <v>47483</v>
      </c>
      <c r="L76" s="10" t="s">
        <v>459</v>
      </c>
      <c r="M76" s="86" t="s">
        <v>852</v>
      </c>
      <c r="N76" s="25" t="s">
        <v>815</v>
      </c>
    </row>
    <row r="77" spans="1:14" x14ac:dyDescent="0.3">
      <c r="C77" s="7">
        <v>72</v>
      </c>
      <c r="D77" s="9" t="s">
        <v>858</v>
      </c>
      <c r="E77" s="12" t="s">
        <v>457</v>
      </c>
      <c r="F77" s="90">
        <v>115</v>
      </c>
      <c r="G77" s="83" t="s">
        <v>629</v>
      </c>
      <c r="H77" s="10" t="s">
        <v>631</v>
      </c>
      <c r="I77" s="10" t="s">
        <v>123</v>
      </c>
      <c r="J77" s="86" t="s">
        <v>89</v>
      </c>
      <c r="K77" s="130">
        <v>47118</v>
      </c>
      <c r="L77" s="10" t="s">
        <v>459</v>
      </c>
      <c r="M77" s="86" t="s">
        <v>461</v>
      </c>
      <c r="N77" s="25" t="s">
        <v>815</v>
      </c>
    </row>
    <row r="78" spans="1:14" x14ac:dyDescent="0.3">
      <c r="C78" s="7">
        <v>73</v>
      </c>
      <c r="D78" s="9" t="s">
        <v>865</v>
      </c>
      <c r="E78" s="12" t="s">
        <v>457</v>
      </c>
      <c r="F78" s="90">
        <v>34.5</v>
      </c>
      <c r="G78" s="83" t="s">
        <v>629</v>
      </c>
      <c r="H78" s="10" t="s">
        <v>631</v>
      </c>
      <c r="I78" s="10" t="s">
        <v>123</v>
      </c>
      <c r="J78" s="86" t="s">
        <v>89</v>
      </c>
      <c r="K78" s="130">
        <v>48944</v>
      </c>
      <c r="L78" s="10" t="s">
        <v>459</v>
      </c>
      <c r="M78" s="86" t="s">
        <v>357</v>
      </c>
      <c r="N78" s="25" t="s">
        <v>866</v>
      </c>
    </row>
    <row r="79" spans="1:14" x14ac:dyDescent="0.3">
      <c r="C79" s="7">
        <v>74</v>
      </c>
      <c r="D79" s="9" t="s">
        <v>867</v>
      </c>
      <c r="E79" s="12" t="s">
        <v>457</v>
      </c>
      <c r="F79" s="90">
        <v>34.5</v>
      </c>
      <c r="G79" s="83" t="s">
        <v>629</v>
      </c>
      <c r="H79" s="10" t="s">
        <v>631</v>
      </c>
      <c r="I79" s="10" t="s">
        <v>123</v>
      </c>
      <c r="J79" s="86" t="s">
        <v>89</v>
      </c>
      <c r="K79" s="130">
        <v>48944</v>
      </c>
      <c r="L79" s="10" t="s">
        <v>459</v>
      </c>
      <c r="M79" s="86" t="s">
        <v>878</v>
      </c>
      <c r="N79" s="25" t="s">
        <v>815</v>
      </c>
    </row>
    <row r="80" spans="1:14" x14ac:dyDescent="0.3">
      <c r="C80" s="7">
        <v>75</v>
      </c>
      <c r="D80" s="9" t="s">
        <v>877</v>
      </c>
      <c r="E80" s="12" t="s">
        <v>457</v>
      </c>
      <c r="F80" s="90">
        <v>34.5</v>
      </c>
      <c r="G80" s="83" t="s">
        <v>629</v>
      </c>
      <c r="H80" s="10" t="s">
        <v>631</v>
      </c>
      <c r="I80" s="10" t="s">
        <v>123</v>
      </c>
      <c r="J80" s="86" t="s">
        <v>89</v>
      </c>
      <c r="K80" s="12">
        <v>2030</v>
      </c>
      <c r="L80" s="10" t="s">
        <v>459</v>
      </c>
      <c r="M80" s="86" t="s">
        <v>461</v>
      </c>
      <c r="N80" s="25" t="s">
        <v>815</v>
      </c>
    </row>
    <row r="81" spans="1:14" x14ac:dyDescent="0.3">
      <c r="A81" s="3" t="e">
        <f>VLOOKUP(E81,'[2]Listas Desplegables'!$H$3:$J$7,2,FALSE)</f>
        <v>#N/A</v>
      </c>
      <c r="B81" s="3" t="e">
        <f>VLOOKUP(E81,'[2]Listas Desplegables'!$H$3:$J$7,3,FALSE)</f>
        <v>#N/A</v>
      </c>
      <c r="C81" s="7">
        <v>76</v>
      </c>
      <c r="D81" s="9" t="s">
        <v>879</v>
      </c>
      <c r="E81" s="12" t="s">
        <v>457</v>
      </c>
      <c r="F81" s="90">
        <v>34.5</v>
      </c>
      <c r="G81" s="83" t="s">
        <v>629</v>
      </c>
      <c r="H81" s="10" t="s">
        <v>631</v>
      </c>
      <c r="I81" s="10" t="s">
        <v>123</v>
      </c>
      <c r="J81" s="86" t="s">
        <v>89</v>
      </c>
      <c r="K81" s="12">
        <v>2034</v>
      </c>
      <c r="L81" s="10" t="s">
        <v>459</v>
      </c>
      <c r="M81" s="86" t="s">
        <v>362</v>
      </c>
      <c r="N81" s="25" t="s">
        <v>815</v>
      </c>
    </row>
    <row r="82" spans="1:14" x14ac:dyDescent="0.3">
      <c r="A82" s="3" t="e">
        <f>VLOOKUP(E82,'[2]Listas Desplegables'!$H$3:$J$7,2,FALSE)</f>
        <v>#N/A</v>
      </c>
      <c r="B82" s="3" t="e">
        <f>VLOOKUP(E82,'[2]Listas Desplegables'!$H$3:$J$7,3,FALSE)</f>
        <v>#N/A</v>
      </c>
      <c r="C82" s="7">
        <v>77</v>
      </c>
      <c r="D82" s="9" t="s">
        <v>886</v>
      </c>
      <c r="E82" s="12" t="s">
        <v>457</v>
      </c>
      <c r="F82" s="90">
        <v>34.5</v>
      </c>
      <c r="G82" s="83" t="s">
        <v>629</v>
      </c>
      <c r="H82" s="10" t="s">
        <v>631</v>
      </c>
      <c r="I82" s="10" t="s">
        <v>123</v>
      </c>
      <c r="J82" s="86" t="s">
        <v>89</v>
      </c>
      <c r="K82" s="12">
        <v>2030</v>
      </c>
      <c r="L82" s="10" t="s">
        <v>459</v>
      </c>
      <c r="M82" s="86" t="s">
        <v>362</v>
      </c>
      <c r="N82" s="25" t="s">
        <v>815</v>
      </c>
    </row>
    <row r="83" spans="1:14" x14ac:dyDescent="0.3">
      <c r="C83" s="7">
        <v>78</v>
      </c>
      <c r="D83" s="9" t="s">
        <v>887</v>
      </c>
      <c r="E83" s="12" t="s">
        <v>457</v>
      </c>
      <c r="F83" s="90">
        <v>34.5</v>
      </c>
      <c r="G83" s="83" t="s">
        <v>629</v>
      </c>
      <c r="H83" s="10" t="s">
        <v>631</v>
      </c>
      <c r="I83" s="10" t="s">
        <v>123</v>
      </c>
      <c r="J83" s="86" t="s">
        <v>89</v>
      </c>
      <c r="K83" s="12">
        <v>2029</v>
      </c>
      <c r="L83" s="10" t="s">
        <v>460</v>
      </c>
      <c r="M83" s="86" t="s">
        <v>297</v>
      </c>
      <c r="N83" s="25" t="s">
        <v>815</v>
      </c>
    </row>
    <row r="84" spans="1:14" x14ac:dyDescent="0.3">
      <c r="C84" s="7">
        <v>79</v>
      </c>
      <c r="D84" s="9" t="s">
        <v>894</v>
      </c>
      <c r="E84" s="12" t="s">
        <v>457</v>
      </c>
      <c r="F84" s="90">
        <v>34.5</v>
      </c>
      <c r="G84" s="83" t="s">
        <v>629</v>
      </c>
      <c r="H84" s="10" t="s">
        <v>631</v>
      </c>
      <c r="I84" s="10" t="s">
        <v>123</v>
      </c>
      <c r="J84" s="86" t="s">
        <v>89</v>
      </c>
      <c r="K84" s="12">
        <v>2031</v>
      </c>
      <c r="L84" s="10" t="s">
        <v>459</v>
      </c>
      <c r="M84" s="86" t="s">
        <v>291</v>
      </c>
      <c r="N84" s="25" t="s">
        <v>815</v>
      </c>
    </row>
    <row r="85" spans="1:14" x14ac:dyDescent="0.3">
      <c r="C85" s="7">
        <v>80</v>
      </c>
      <c r="D85" s="12"/>
      <c r="E85" s="12"/>
      <c r="F85" s="90"/>
      <c r="G85" s="90"/>
      <c r="H85" s="94"/>
      <c r="I85" s="94"/>
      <c r="J85" s="93"/>
      <c r="K85" s="12"/>
      <c r="L85" s="94"/>
      <c r="M85" s="93"/>
      <c r="N85" s="96"/>
    </row>
    <row r="86" spans="1:14" x14ac:dyDescent="0.3">
      <c r="C86" s="7">
        <v>81</v>
      </c>
      <c r="D86" s="12"/>
      <c r="E86" s="12"/>
      <c r="F86" s="90"/>
      <c r="G86" s="90"/>
      <c r="H86" s="94"/>
      <c r="I86" s="94"/>
      <c r="J86" s="93"/>
      <c r="K86" s="94"/>
      <c r="L86" s="94"/>
      <c r="M86" s="93"/>
      <c r="N86" s="96"/>
    </row>
    <row r="87" spans="1:14" x14ac:dyDescent="0.3">
      <c r="C87" s="7">
        <v>82</v>
      </c>
      <c r="D87" s="12"/>
      <c r="E87" s="12"/>
      <c r="F87" s="90"/>
      <c r="G87" s="90"/>
      <c r="H87" s="94"/>
      <c r="I87" s="94"/>
      <c r="J87" s="93"/>
      <c r="K87" s="94"/>
      <c r="L87" s="94"/>
      <c r="M87" s="93"/>
      <c r="N87" s="96"/>
    </row>
    <row r="88" spans="1:14" ht="15" thickBot="1" x14ac:dyDescent="0.35">
      <c r="A88" s="3" t="e">
        <f>VLOOKUP(E88,'[2]Listas Desplegables'!$H$3:$J$7,2,FALSE)</f>
        <v>#N/A</v>
      </c>
      <c r="B88" s="3" t="e">
        <f>VLOOKUP(E88,'[2]Listas Desplegables'!$H$3:$J$7,3,FALSE)</f>
        <v>#N/A</v>
      </c>
      <c r="C88" s="7">
        <v>83</v>
      </c>
      <c r="D88" s="14"/>
      <c r="E88" s="14"/>
      <c r="F88" s="14"/>
      <c r="G88" s="14"/>
      <c r="H88" s="15"/>
      <c r="I88" s="15"/>
      <c r="J88" s="15"/>
      <c r="K88" s="15"/>
      <c r="L88" s="15"/>
      <c r="M88" s="15"/>
      <c r="N88" s="26"/>
    </row>
  </sheetData>
  <mergeCells count="13">
    <mergeCell ref="N4:N5"/>
    <mergeCell ref="C3:N3"/>
    <mergeCell ref="C4:C5"/>
    <mergeCell ref="D4:D5"/>
    <mergeCell ref="E4:E5"/>
    <mergeCell ref="F4:F5"/>
    <mergeCell ref="G4:G5"/>
    <mergeCell ref="H4:H5"/>
    <mergeCell ref="I4:I5"/>
    <mergeCell ref="L4:L5"/>
    <mergeCell ref="M4:M5"/>
    <mergeCell ref="J4:J5"/>
    <mergeCell ref="K4:K5"/>
  </mergeCells>
  <dataValidations count="2">
    <dataValidation type="decimal" allowBlank="1" showInputMessage="1" showErrorMessage="1" sqref="F1:G3 F6:G59 G88:G1048576 F62:F1048576" xr:uid="{00000000-0002-0000-0400-000000000000}">
      <formula1>-1000000000</formula1>
      <formula2>100000000000</formula2>
    </dataValidation>
    <dataValidation type="date" operator="greaterThan" allowBlank="1" showInputMessage="1" showErrorMessage="1" sqref="K1:K3 K6:K59 K61:K1048576" xr:uid="{00000000-0002-0000-0400-000001000000}">
      <formula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2000000}">
          <x14:formula1>
            <xm:f>'Listas Desplegables'!$B$44:$B$46</xm:f>
          </x14:formula1>
          <xm:sqref>I1:I3 I6:I59 I61:I1048576</xm:sqref>
        </x14:dataValidation>
        <x14:dataValidation type="list" allowBlank="1" showInputMessage="1" showErrorMessage="1" xr:uid="{00000000-0002-0000-0400-000003000000}">
          <x14:formula1>
            <xm:f>'Listas Desplegables'!$B$48:$B$49</xm:f>
          </x14:formula1>
          <xm:sqref>J1:J3 J6:J59 J88:J1048576</xm:sqref>
        </x14:dataValidation>
        <x14:dataValidation type="list" allowBlank="1" showInputMessage="1" showErrorMessage="1" xr:uid="{00000000-0002-0000-0400-000004000000}">
          <x14:formula1>
            <xm:f>'Listas Desplegables'!$B$34:$B$42</xm:f>
          </x14:formula1>
          <xm:sqref>H1:H3 H6:H59 H61:H1048576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theme="9"/>
  </sheetPr>
  <dimension ref="A1:Q91"/>
  <sheetViews>
    <sheetView topLeftCell="A48" zoomScale="115" zoomScaleNormal="115" workbookViewId="0">
      <selection activeCell="D74" sqref="D74"/>
    </sheetView>
    <sheetView workbookViewId="1">
      <selection activeCell="I72" sqref="I72"/>
    </sheetView>
  </sheetViews>
  <sheetFormatPr baseColWidth="10" defaultColWidth="11.5546875" defaultRowHeight="14.4" x14ac:dyDescent="0.3"/>
  <cols>
    <col min="1" max="2" width="3" style="3" customWidth="1"/>
    <col min="3" max="3" width="6.6640625" style="2" customWidth="1"/>
    <col min="4" max="4" width="33" customWidth="1"/>
    <col min="5" max="5" width="18.88671875" customWidth="1"/>
    <col min="6" max="9" width="12.6640625" customWidth="1"/>
    <col min="10" max="10" width="12.6640625" style="55" customWidth="1"/>
    <col min="11" max="16" width="12.6640625" customWidth="1"/>
    <col min="17" max="17" width="158.44140625" bestFit="1" customWidth="1"/>
  </cols>
  <sheetData>
    <row r="1" spans="1:17" ht="15" thickBot="1" x14ac:dyDescent="0.35"/>
    <row r="2" spans="1:17" ht="15" thickBot="1" x14ac:dyDescent="0.35">
      <c r="A2" s="5"/>
      <c r="B2" s="5"/>
      <c r="C2" s="180" t="s">
        <v>944</v>
      </c>
      <c r="D2" s="181"/>
      <c r="E2" s="181"/>
      <c r="F2" s="181"/>
      <c r="G2" s="181"/>
      <c r="H2" s="181"/>
      <c r="I2" s="182"/>
    </row>
    <row r="3" spans="1:17" s="1" customFormat="1" ht="15" thickBot="1" x14ac:dyDescent="0.35">
      <c r="A3" s="5"/>
      <c r="B3" s="5"/>
      <c r="C3" s="169" t="s">
        <v>67</v>
      </c>
      <c r="D3" s="170"/>
      <c r="E3" s="170"/>
      <c r="F3" s="170"/>
      <c r="G3" s="170"/>
      <c r="H3" s="170"/>
      <c r="I3" s="170"/>
      <c r="J3" s="170"/>
      <c r="K3" s="170"/>
      <c r="L3" s="170"/>
      <c r="M3" s="170"/>
      <c r="N3" s="170"/>
      <c r="O3" s="170"/>
      <c r="P3" s="170"/>
      <c r="Q3" s="171"/>
    </row>
    <row r="4" spans="1:17" s="6" customFormat="1" ht="12" customHeight="1" thickBot="1" x14ac:dyDescent="0.35">
      <c r="A4" s="5"/>
      <c r="B4" s="5"/>
      <c r="C4" s="174" t="s">
        <v>3</v>
      </c>
      <c r="D4" s="172" t="str">
        <f>'Manual de Uso'!C115</f>
        <v>Nombre</v>
      </c>
      <c r="E4" s="172" t="str">
        <f>'Manual de Uso'!C116</f>
        <v>Subestación</v>
      </c>
      <c r="F4" s="172" t="str">
        <f>'Manual de Uso'!C117</f>
        <v>Nivel de tensión [kV]</v>
      </c>
      <c r="G4" s="172" t="str">
        <f>'Manual de Uso'!C118</f>
        <v>Tipo</v>
      </c>
      <c r="H4" s="172" t="str">
        <f>'Manual de Uso'!C119</f>
        <v>Atendida Subestación Nivel IV</v>
      </c>
      <c r="I4" s="172" t="str">
        <f>'Manual de Uso'!C120</f>
        <v>En Operación</v>
      </c>
      <c r="J4" s="178" t="str">
        <f>'Manual de Uso'!C121</f>
        <v>FPO</v>
      </c>
      <c r="K4" s="183" t="str">
        <f>'Manual de Uso'!C122</f>
        <v>Demanda Mínima</v>
      </c>
      <c r="L4" s="184"/>
      <c r="M4" s="183" t="str">
        <f>'Manual de Uso'!C123</f>
        <v>Demanda Media</v>
      </c>
      <c r="N4" s="184"/>
      <c r="O4" s="183" t="str">
        <f>'Manual de Uso'!C124</f>
        <v>Demanda Máxima</v>
      </c>
      <c r="P4" s="184"/>
      <c r="Q4" s="172" t="str">
        <f>'Manual de Uso'!C125</f>
        <v>Observaciones transportador</v>
      </c>
    </row>
    <row r="5" spans="1:17" s="6" customFormat="1" ht="24" customHeight="1" thickBot="1" x14ac:dyDescent="0.35">
      <c r="A5" s="5"/>
      <c r="B5" s="5"/>
      <c r="C5" s="175"/>
      <c r="D5" s="173"/>
      <c r="E5" s="173"/>
      <c r="F5" s="173"/>
      <c r="G5" s="173"/>
      <c r="H5" s="173"/>
      <c r="I5" s="173"/>
      <c r="J5" s="179"/>
      <c r="K5" s="77" t="s">
        <v>65</v>
      </c>
      <c r="L5" s="77" t="s">
        <v>66</v>
      </c>
      <c r="M5" s="77" t="s">
        <v>65</v>
      </c>
      <c r="N5" s="77" t="s">
        <v>66</v>
      </c>
      <c r="O5" s="77" t="s">
        <v>65</v>
      </c>
      <c r="P5" s="77" t="s">
        <v>66</v>
      </c>
      <c r="Q5" s="173"/>
    </row>
    <row r="6" spans="1:17" x14ac:dyDescent="0.3">
      <c r="A6" s="5" t="e">
        <f>VLOOKUP(#REF!,'[2]Listas Desplegables'!$H$3:$J$7,2,FALSE)</f>
        <v>#REF!</v>
      </c>
      <c r="B6" s="5" t="e">
        <f>VLOOKUP(#REF!,'[2]Listas Desplegables'!$H$3:$J$7,3,FALSE)</f>
        <v>#REF!</v>
      </c>
      <c r="C6" s="21">
        <v>1</v>
      </c>
      <c r="D6" s="9" t="s">
        <v>571</v>
      </c>
      <c r="E6" s="22" t="s">
        <v>523</v>
      </c>
      <c r="F6" s="22">
        <v>13.8</v>
      </c>
      <c r="G6" s="22" t="s">
        <v>211</v>
      </c>
      <c r="H6" s="22" t="s">
        <v>522</v>
      </c>
      <c r="I6" s="22" t="s">
        <v>114</v>
      </c>
      <c r="J6" s="58"/>
      <c r="K6" s="111">
        <v>0.99954308585779317</v>
      </c>
      <c r="L6" s="111">
        <v>0.37587346098287477</v>
      </c>
      <c r="M6" s="111">
        <v>1.916923076923077</v>
      </c>
      <c r="N6" s="111">
        <v>0.76675000000000004</v>
      </c>
      <c r="O6" s="111">
        <v>2.3296389891696756</v>
      </c>
      <c r="P6" s="111">
        <v>0.55194383109633571</v>
      </c>
      <c r="Q6" s="24" t="s">
        <v>699</v>
      </c>
    </row>
    <row r="7" spans="1:17" x14ac:dyDescent="0.3">
      <c r="A7" s="5" t="e">
        <f>VLOOKUP(#REF!,'[2]Listas Desplegables'!$H$3:$J$7,2,FALSE)</f>
        <v>#REF!</v>
      </c>
      <c r="B7" s="5" t="e">
        <f>VLOOKUP(#REF!,'[2]Listas Desplegables'!$H$3:$J$7,3,FALSE)</f>
        <v>#REF!</v>
      </c>
      <c r="C7" s="8">
        <v>2</v>
      </c>
      <c r="D7" s="9" t="s">
        <v>572</v>
      </c>
      <c r="E7" s="9" t="s">
        <v>475</v>
      </c>
      <c r="F7" s="9">
        <v>115</v>
      </c>
      <c r="G7" s="9" t="s">
        <v>211</v>
      </c>
      <c r="H7" s="9" t="s">
        <v>475</v>
      </c>
      <c r="I7" s="9" t="s">
        <v>114</v>
      </c>
      <c r="J7" s="59"/>
      <c r="K7" s="112">
        <f>+SUM(K8:K10)</f>
        <v>12.748323838913265</v>
      </c>
      <c r="L7" s="112">
        <f t="shared" ref="L7:P7" si="0">+SUM(L8:L10)</f>
        <v>5.2236837288565647</v>
      </c>
      <c r="M7" s="112">
        <f t="shared" si="0"/>
        <v>13.648549937388456</v>
      </c>
      <c r="N7" s="112">
        <f t="shared" si="0"/>
        <v>7.1839724937275102</v>
      </c>
      <c r="O7" s="112">
        <f t="shared" si="0"/>
        <v>16.046722112939907</v>
      </c>
      <c r="P7" s="112">
        <f t="shared" si="0"/>
        <v>7.6210763401640849</v>
      </c>
      <c r="Q7" s="25" t="s">
        <v>695</v>
      </c>
    </row>
    <row r="8" spans="1:17" x14ac:dyDescent="0.3">
      <c r="A8" s="5"/>
      <c r="B8" s="5"/>
      <c r="C8" s="8">
        <v>3</v>
      </c>
      <c r="D8" s="9" t="s">
        <v>692</v>
      </c>
      <c r="E8" s="9" t="s">
        <v>475</v>
      </c>
      <c r="F8" s="9">
        <v>13.8</v>
      </c>
      <c r="G8" s="9" t="s">
        <v>211</v>
      </c>
      <c r="H8" s="9" t="s">
        <v>475</v>
      </c>
      <c r="I8" s="9" t="s">
        <v>114</v>
      </c>
      <c r="J8" s="59"/>
      <c r="K8" s="112">
        <v>6.4427048197918557</v>
      </c>
      <c r="L8" s="112">
        <v>2.6399276298774494</v>
      </c>
      <c r="M8" s="112">
        <v>6.8976580431987502</v>
      </c>
      <c r="N8" s="112">
        <v>3.6306117412323173</v>
      </c>
      <c r="O8" s="112">
        <v>8.1096381928521453</v>
      </c>
      <c r="P8" s="112">
        <v>3.8515138059877212</v>
      </c>
      <c r="Q8" s="25" t="s">
        <v>697</v>
      </c>
    </row>
    <row r="9" spans="1:17" x14ac:dyDescent="0.3">
      <c r="A9" s="5"/>
      <c r="B9" s="5"/>
      <c r="C9" s="8">
        <v>4</v>
      </c>
      <c r="D9" s="9" t="s">
        <v>693</v>
      </c>
      <c r="E9" s="9" t="s">
        <v>475</v>
      </c>
      <c r="F9" s="9">
        <v>13.8</v>
      </c>
      <c r="G9" s="9" t="s">
        <v>211</v>
      </c>
      <c r="H9" s="9" t="s">
        <v>475</v>
      </c>
      <c r="I9" s="9" t="s">
        <v>114</v>
      </c>
      <c r="J9" s="59"/>
      <c r="K9" s="112">
        <v>6.2912093408055121</v>
      </c>
      <c r="L9" s="112">
        <v>2.5778516676901133</v>
      </c>
      <c r="M9" s="112">
        <v>6.7354646728105401</v>
      </c>
      <c r="N9" s="112">
        <v>3.5452405686990391</v>
      </c>
      <c r="O9" s="112">
        <v>7.9189459980680645</v>
      </c>
      <c r="P9" s="112">
        <v>3.760948283403454</v>
      </c>
      <c r="Q9" s="25" t="s">
        <v>696</v>
      </c>
    </row>
    <row r="10" spans="1:17" x14ac:dyDescent="0.3">
      <c r="A10" s="5"/>
      <c r="B10" s="5"/>
      <c r="C10" s="8">
        <v>5</v>
      </c>
      <c r="D10" s="9" t="s">
        <v>694</v>
      </c>
      <c r="E10" s="9" t="s">
        <v>475</v>
      </c>
      <c r="F10" s="9">
        <v>34.5</v>
      </c>
      <c r="G10" s="9" t="s">
        <v>211</v>
      </c>
      <c r="H10" s="9" t="s">
        <v>475</v>
      </c>
      <c r="I10" s="9" t="s">
        <v>114</v>
      </c>
      <c r="J10" s="59"/>
      <c r="K10" s="112">
        <v>1.4409678315896927E-2</v>
      </c>
      <c r="L10" s="112">
        <v>5.9044312890018796E-3</v>
      </c>
      <c r="M10" s="112">
        <v>1.5427221379166668E-2</v>
      </c>
      <c r="N10" s="112">
        <v>8.1201837961538455E-3</v>
      </c>
      <c r="O10" s="112">
        <v>1.8137922019697061E-2</v>
      </c>
      <c r="P10" s="112">
        <v>8.6142507729093688E-3</v>
      </c>
      <c r="Q10" s="25" t="s">
        <v>698</v>
      </c>
    </row>
    <row r="11" spans="1:17" x14ac:dyDescent="0.3">
      <c r="A11" s="5" t="e">
        <f>VLOOKUP(#REF!,'[2]Listas Desplegables'!$H$3:$J$7,2,FALSE)</f>
        <v>#REF!</v>
      </c>
      <c r="B11" s="5" t="e">
        <f>VLOOKUP(#REF!,'[2]Listas Desplegables'!$H$3:$J$7,3,FALSE)</f>
        <v>#REF!</v>
      </c>
      <c r="C11" s="8">
        <v>6</v>
      </c>
      <c r="D11" s="9" t="s">
        <v>573</v>
      </c>
      <c r="E11" s="9" t="s">
        <v>503</v>
      </c>
      <c r="F11" s="9">
        <v>13.8</v>
      </c>
      <c r="G11" s="9" t="s">
        <v>211</v>
      </c>
      <c r="H11" s="9" t="s">
        <v>479</v>
      </c>
      <c r="I11" s="9" t="s">
        <v>114</v>
      </c>
      <c r="J11" s="59"/>
      <c r="K11" s="112">
        <v>5.174426517223532</v>
      </c>
      <c r="L11" s="112">
        <v>0.2601224875284458</v>
      </c>
      <c r="M11" s="112">
        <v>6.5205999999999991</v>
      </c>
      <c r="N11" s="112">
        <v>0.37494211764705881</v>
      </c>
      <c r="O11" s="112">
        <v>8.2461406940908475</v>
      </c>
      <c r="P11" s="112">
        <v>0.36578967064984308</v>
      </c>
      <c r="Q11" s="25" t="s">
        <v>700</v>
      </c>
    </row>
    <row r="12" spans="1:17" x14ac:dyDescent="0.3">
      <c r="A12" s="5"/>
      <c r="B12" s="5"/>
      <c r="C12" s="8">
        <v>7</v>
      </c>
      <c r="D12" s="9" t="s">
        <v>574</v>
      </c>
      <c r="E12" s="9" t="s">
        <v>471</v>
      </c>
      <c r="F12" s="9">
        <v>115</v>
      </c>
      <c r="G12" s="9" t="s">
        <v>211</v>
      </c>
      <c r="H12" s="9" t="s">
        <v>471</v>
      </c>
      <c r="I12" s="9" t="s">
        <v>114</v>
      </c>
      <c r="J12" s="59"/>
      <c r="K12" s="112">
        <f>+SUM(K13:K14)</f>
        <v>1.8389737926359793</v>
      </c>
      <c r="L12" s="112">
        <f t="shared" ref="L12:P12" si="1">+SUM(L13:L14)</f>
        <v>0.3956552555950269</v>
      </c>
      <c r="M12" s="112">
        <f t="shared" si="1"/>
        <v>1.845820829431438</v>
      </c>
      <c r="N12" s="112">
        <f t="shared" si="1"/>
        <v>0.42228542976588657</v>
      </c>
      <c r="O12" s="112">
        <f t="shared" si="1"/>
        <v>2.5183193901225716</v>
      </c>
      <c r="P12" s="112">
        <f t="shared" si="1"/>
        <v>0.318533955168399</v>
      </c>
      <c r="Q12" s="25" t="s">
        <v>938</v>
      </c>
    </row>
    <row r="13" spans="1:17" x14ac:dyDescent="0.3">
      <c r="A13" s="5" t="e">
        <f>VLOOKUP(#REF!,'[2]Listas Desplegables'!$H$3:$J$7,2,FALSE)</f>
        <v>#REF!</v>
      </c>
      <c r="B13" s="5" t="e">
        <f>VLOOKUP(#REF!,'[2]Listas Desplegables'!$H$3:$J$7,3,FALSE)</f>
        <v>#REF!</v>
      </c>
      <c r="C13" s="8">
        <v>8</v>
      </c>
      <c r="D13" s="9" t="s">
        <v>701</v>
      </c>
      <c r="E13" s="9" t="s">
        <v>471</v>
      </c>
      <c r="F13" s="9">
        <v>13.8</v>
      </c>
      <c r="G13" s="9" t="s">
        <v>211</v>
      </c>
      <c r="H13" s="9" t="s">
        <v>471</v>
      </c>
      <c r="I13" s="9" t="s">
        <v>114</v>
      </c>
      <c r="J13" s="59"/>
      <c r="K13" s="112">
        <v>0.50558872708696212</v>
      </c>
      <c r="L13" s="112">
        <v>0.13326805539603406</v>
      </c>
      <c r="M13" s="112">
        <v>0.4796285217391304</v>
      </c>
      <c r="N13" s="112">
        <v>0.17643389130434781</v>
      </c>
      <c r="O13" s="112">
        <v>0.6103265643259066</v>
      </c>
      <c r="P13" s="112">
        <v>0.12826824157866865</v>
      </c>
      <c r="Q13" s="25" t="s">
        <v>702</v>
      </c>
    </row>
    <row r="14" spans="1:17" x14ac:dyDescent="0.3">
      <c r="A14" s="5" t="e">
        <f>VLOOKUP(#REF!,'[2]Listas Desplegables'!$H$3:$J$7,2,FALSE)</f>
        <v>#REF!</v>
      </c>
      <c r="B14" s="5" t="e">
        <f>VLOOKUP(#REF!,'[2]Listas Desplegables'!$H$3:$J$7,3,FALSE)</f>
        <v>#REF!</v>
      </c>
      <c r="C14" s="8">
        <v>9</v>
      </c>
      <c r="D14" s="9" t="s">
        <v>575</v>
      </c>
      <c r="E14" s="9" t="s">
        <v>471</v>
      </c>
      <c r="F14" s="9">
        <v>34.5</v>
      </c>
      <c r="G14" s="9" t="s">
        <v>0</v>
      </c>
      <c r="H14" s="9" t="s">
        <v>471</v>
      </c>
      <c r="I14" s="9" t="s">
        <v>114</v>
      </c>
      <c r="J14" s="59"/>
      <c r="K14" s="112">
        <v>1.3333850655490171</v>
      </c>
      <c r="L14" s="112">
        <v>0.26238720019899286</v>
      </c>
      <c r="M14" s="112">
        <v>1.3661923076923075</v>
      </c>
      <c r="N14" s="112">
        <v>0.24585153846153873</v>
      </c>
      <c r="O14" s="112">
        <v>1.907992825796665</v>
      </c>
      <c r="P14" s="112">
        <v>0.19026571358973032</v>
      </c>
      <c r="Q14" s="25" t="s">
        <v>703</v>
      </c>
    </row>
    <row r="15" spans="1:17" x14ac:dyDescent="0.3">
      <c r="A15" s="5" t="e">
        <f>VLOOKUP(#REF!,'[2]Listas Desplegables'!$H$3:$J$7,2,FALSE)</f>
        <v>#REF!</v>
      </c>
      <c r="B15" s="5" t="e">
        <f>VLOOKUP(#REF!,'[2]Listas Desplegables'!$H$3:$J$7,3,FALSE)</f>
        <v>#REF!</v>
      </c>
      <c r="C15" s="8">
        <v>10</v>
      </c>
      <c r="D15" s="9" t="s">
        <v>576</v>
      </c>
      <c r="E15" s="9" t="s">
        <v>480</v>
      </c>
      <c r="F15" s="9">
        <v>115</v>
      </c>
      <c r="G15" s="9" t="s">
        <v>211</v>
      </c>
      <c r="H15" s="9" t="s">
        <v>480</v>
      </c>
      <c r="I15" s="9" t="s">
        <v>114</v>
      </c>
      <c r="J15" s="59"/>
      <c r="K15" s="112">
        <f>+SUM(K16:K18)</f>
        <v>16.081963772007775</v>
      </c>
      <c r="L15" s="112">
        <f t="shared" ref="L15:P15" si="2">+SUM(L16:L18)</f>
        <v>7.6465041037362083</v>
      </c>
      <c r="M15" s="112">
        <f t="shared" si="2"/>
        <v>26.551363434472378</v>
      </c>
      <c r="N15" s="112">
        <f t="shared" si="2"/>
        <v>12.294235589989508</v>
      </c>
      <c r="O15" s="112">
        <f t="shared" si="2"/>
        <v>36.58671421405753</v>
      </c>
      <c r="P15" s="112">
        <f t="shared" si="2"/>
        <v>15.120417810188064</v>
      </c>
      <c r="Q15" s="25" t="s">
        <v>706</v>
      </c>
    </row>
    <row r="16" spans="1:17" x14ac:dyDescent="0.3">
      <c r="A16" s="5" t="e">
        <f>VLOOKUP(#REF!,'[2]Listas Desplegables'!$H$3:$J$7,2,FALSE)</f>
        <v>#REF!</v>
      </c>
      <c r="B16" s="5" t="e">
        <f>VLOOKUP(#REF!,'[2]Listas Desplegables'!$H$3:$J$7,3,FALSE)</f>
        <v>#REF!</v>
      </c>
      <c r="C16" s="8">
        <v>11</v>
      </c>
      <c r="D16" s="9" t="s">
        <v>704</v>
      </c>
      <c r="E16" s="9" t="s">
        <v>480</v>
      </c>
      <c r="F16" s="9">
        <v>13.8</v>
      </c>
      <c r="G16" s="9" t="s">
        <v>211</v>
      </c>
      <c r="H16" s="9" t="s">
        <v>480</v>
      </c>
      <c r="I16" s="9" t="s">
        <v>114</v>
      </c>
      <c r="J16" s="59"/>
      <c r="K16" s="112">
        <v>3.7929228580152676</v>
      </c>
      <c r="L16" s="112">
        <v>1.8172085883722449</v>
      </c>
      <c r="M16" s="112">
        <v>5.0236139950859018</v>
      </c>
      <c r="N16" s="112">
        <v>2.3890235328252531</v>
      </c>
      <c r="O16" s="112">
        <v>7.8729928250828181</v>
      </c>
      <c r="P16" s="112">
        <v>3.2360387314515009</v>
      </c>
      <c r="Q16" s="25" t="s">
        <v>707</v>
      </c>
    </row>
    <row r="17" spans="1:17" x14ac:dyDescent="0.3">
      <c r="A17" s="5"/>
      <c r="B17" s="5"/>
      <c r="C17" s="8">
        <v>12</v>
      </c>
      <c r="D17" s="9" t="s">
        <v>705</v>
      </c>
      <c r="E17" s="9" t="s">
        <v>480</v>
      </c>
      <c r="F17" s="9">
        <v>13.8</v>
      </c>
      <c r="G17" s="9" t="s">
        <v>211</v>
      </c>
      <c r="H17" s="9" t="s">
        <v>480</v>
      </c>
      <c r="I17" s="9" t="s">
        <v>114</v>
      </c>
      <c r="J17" s="59"/>
      <c r="K17" s="112">
        <v>11.188498558382525</v>
      </c>
      <c r="L17" s="112">
        <v>5.3604664350917739</v>
      </c>
      <c r="M17" s="112">
        <v>14.818834984505935</v>
      </c>
      <c r="N17" s="112">
        <v>7.0472264671747453</v>
      </c>
      <c r="O17" s="112">
        <v>23.224033857542931</v>
      </c>
      <c r="P17" s="112">
        <v>9.5457819832014597</v>
      </c>
      <c r="Q17" s="25" t="s">
        <v>708</v>
      </c>
    </row>
    <row r="18" spans="1:17" x14ac:dyDescent="0.3">
      <c r="A18" s="5"/>
      <c r="B18" s="5"/>
      <c r="C18" s="8">
        <v>13</v>
      </c>
      <c r="D18" s="9" t="s">
        <v>577</v>
      </c>
      <c r="E18" s="9" t="s">
        <v>480</v>
      </c>
      <c r="F18" s="9">
        <v>34.5</v>
      </c>
      <c r="G18" s="12" t="s">
        <v>0</v>
      </c>
      <c r="H18" s="9" t="s">
        <v>480</v>
      </c>
      <c r="I18" s="9" t="s">
        <v>114</v>
      </c>
      <c r="J18" s="59"/>
      <c r="K18" s="112">
        <v>1.1005423556099827</v>
      </c>
      <c r="L18" s="112">
        <v>0.46882908027218911</v>
      </c>
      <c r="M18" s="112">
        <v>6.7089144548805404</v>
      </c>
      <c r="N18" s="112">
        <v>2.8579855899895099</v>
      </c>
      <c r="O18" s="112">
        <v>5.4896875314317812</v>
      </c>
      <c r="P18" s="112">
        <v>2.3385970955351034</v>
      </c>
      <c r="Q18" s="25" t="s">
        <v>709</v>
      </c>
    </row>
    <row r="19" spans="1:17" x14ac:dyDescent="0.3">
      <c r="A19" s="5" t="e">
        <f>VLOOKUP(#REF!,'[2]Listas Desplegables'!$H$3:$J$7,2,FALSE)</f>
        <v>#REF!</v>
      </c>
      <c r="B19" s="5" t="e">
        <f>VLOOKUP(#REF!,'[2]Listas Desplegables'!$H$3:$J$7,3,FALSE)</f>
        <v>#REF!</v>
      </c>
      <c r="C19" s="8">
        <v>14</v>
      </c>
      <c r="D19" s="9" t="s">
        <v>578</v>
      </c>
      <c r="E19" s="9" t="s">
        <v>470</v>
      </c>
      <c r="F19" s="9">
        <v>34.5</v>
      </c>
      <c r="G19" s="12" t="s">
        <v>0</v>
      </c>
      <c r="H19" s="9" t="s">
        <v>470</v>
      </c>
      <c r="I19" s="9" t="s">
        <v>114</v>
      </c>
      <c r="J19" s="59"/>
      <c r="K19" s="112">
        <v>1.1712705839095658</v>
      </c>
      <c r="L19" s="112">
        <v>0.26647215003836278</v>
      </c>
      <c r="M19" s="112">
        <v>1.2436377340217923</v>
      </c>
      <c r="N19" s="112">
        <v>0.52754284615384628</v>
      </c>
      <c r="O19" s="112">
        <v>1.3606111192862578</v>
      </c>
      <c r="P19" s="112">
        <v>0.53902426751081589</v>
      </c>
      <c r="Q19" s="25" t="s">
        <v>710</v>
      </c>
    </row>
    <row r="20" spans="1:17" x14ac:dyDescent="0.3">
      <c r="A20" s="5" t="e">
        <f>VLOOKUP(#REF!,'[2]Listas Desplegables'!$H$3:$J$7,2,FALSE)</f>
        <v>#REF!</v>
      </c>
      <c r="B20" s="5" t="e">
        <f>VLOOKUP(#REF!,'[2]Listas Desplegables'!$H$3:$J$7,3,FALSE)</f>
        <v>#REF!</v>
      </c>
      <c r="C20" s="8">
        <v>15</v>
      </c>
      <c r="D20" s="9" t="s">
        <v>579</v>
      </c>
      <c r="E20" s="9" t="s">
        <v>615</v>
      </c>
      <c r="F20" s="9">
        <v>13.8</v>
      </c>
      <c r="G20" s="9" t="s">
        <v>211</v>
      </c>
      <c r="H20" s="9" t="s">
        <v>524</v>
      </c>
      <c r="I20" s="9" t="s">
        <v>114</v>
      </c>
      <c r="J20" s="59"/>
      <c r="K20" s="112">
        <v>0.10240856692841493</v>
      </c>
      <c r="L20" s="112">
        <v>6.2623054938075531E-2</v>
      </c>
      <c r="M20" s="112">
        <v>0.1645744680851064</v>
      </c>
      <c r="N20" s="112">
        <v>6.21224489795918E-2</v>
      </c>
      <c r="O20" s="112">
        <v>0.23300000000000001</v>
      </c>
      <c r="P20" s="112">
        <v>5.1388862944352028E-2</v>
      </c>
      <c r="Q20" s="25" t="s">
        <v>711</v>
      </c>
    </row>
    <row r="21" spans="1:17" x14ac:dyDescent="0.3">
      <c r="A21" s="5" t="e">
        <f>VLOOKUP(#REF!,'[2]Listas Desplegables'!$H$3:$J$7,2,FALSE)</f>
        <v>#REF!</v>
      </c>
      <c r="B21" s="5" t="e">
        <f>VLOOKUP(#REF!,'[2]Listas Desplegables'!$H$3:$J$7,3,FALSE)</f>
        <v>#REF!</v>
      </c>
      <c r="C21" s="8">
        <v>16</v>
      </c>
      <c r="D21" s="9" t="s">
        <v>580</v>
      </c>
      <c r="E21" s="9" t="s">
        <v>531</v>
      </c>
      <c r="F21" s="9">
        <v>13.8</v>
      </c>
      <c r="G21" s="9" t="s">
        <v>211</v>
      </c>
      <c r="H21" s="9" t="s">
        <v>477</v>
      </c>
      <c r="I21" s="9" t="s">
        <v>114</v>
      </c>
      <c r="J21" s="59"/>
      <c r="K21" s="112">
        <v>2.0605079545054097</v>
      </c>
      <c r="L21" s="112">
        <v>0.91900760908454837</v>
      </c>
      <c r="M21" s="112">
        <v>2.2052811538461539</v>
      </c>
      <c r="N21" s="112">
        <v>0.89784686274509806</v>
      </c>
      <c r="O21" s="112">
        <v>3.5549730703206444</v>
      </c>
      <c r="P21" s="112">
        <v>1.1839399494199325</v>
      </c>
      <c r="Q21" s="25" t="s">
        <v>712</v>
      </c>
    </row>
    <row r="22" spans="1:17" x14ac:dyDescent="0.3">
      <c r="A22" s="5" t="e">
        <f>VLOOKUP(#REF!,'[2]Listas Desplegables'!$H$3:$J$7,2,FALSE)</f>
        <v>#REF!</v>
      </c>
      <c r="B22" s="5" t="e">
        <f>VLOOKUP(#REF!,'[2]Listas Desplegables'!$H$3:$J$7,3,FALSE)</f>
        <v>#REF!</v>
      </c>
      <c r="C22" s="8">
        <v>17</v>
      </c>
      <c r="D22" s="9" t="s">
        <v>714</v>
      </c>
      <c r="E22" s="9" t="s">
        <v>473</v>
      </c>
      <c r="F22" s="9">
        <v>115</v>
      </c>
      <c r="G22" s="9" t="s">
        <v>211</v>
      </c>
      <c r="H22" s="9" t="s">
        <v>473</v>
      </c>
      <c r="I22" s="9" t="s">
        <v>114</v>
      </c>
      <c r="J22" s="59"/>
      <c r="K22" s="112">
        <v>1.679770723104056</v>
      </c>
      <c r="L22" s="112">
        <v>0.57393774608981307</v>
      </c>
      <c r="M22" s="112">
        <v>2.7260606060606061</v>
      </c>
      <c r="N22" s="112">
        <v>1.0112319999999999</v>
      </c>
      <c r="O22" s="112">
        <v>2.9836057332585102</v>
      </c>
      <c r="P22" s="112">
        <v>0.74395954064145375</v>
      </c>
      <c r="Q22" s="25" t="s">
        <v>713</v>
      </c>
    </row>
    <row r="23" spans="1:17" x14ac:dyDescent="0.3">
      <c r="A23" s="5" t="e">
        <f>VLOOKUP(#REF!,'[2]Listas Desplegables'!$H$3:$J$7,2,FALSE)</f>
        <v>#REF!</v>
      </c>
      <c r="B23" s="5" t="e">
        <f>VLOOKUP(#REF!,'[2]Listas Desplegables'!$H$3:$J$7,3,FALSE)</f>
        <v>#REF!</v>
      </c>
      <c r="C23" s="8">
        <v>18</v>
      </c>
      <c r="D23" s="9" t="s">
        <v>581</v>
      </c>
      <c r="E23" s="9" t="s">
        <v>517</v>
      </c>
      <c r="F23" s="9">
        <v>13.8</v>
      </c>
      <c r="G23" s="9" t="s">
        <v>211</v>
      </c>
      <c r="H23" s="9" t="s">
        <v>480</v>
      </c>
      <c r="I23" s="9" t="s">
        <v>114</v>
      </c>
      <c r="J23" s="59"/>
      <c r="K23" s="112">
        <v>0.97348497467642081</v>
      </c>
      <c r="L23" s="112">
        <v>0.44823774767455821</v>
      </c>
      <c r="M23" s="112">
        <v>1.4751923076923079</v>
      </c>
      <c r="N23" s="112">
        <v>0.90634615384615402</v>
      </c>
      <c r="O23" s="112">
        <v>1.8903770399549804</v>
      </c>
      <c r="P23" s="112">
        <v>0.82014427085221275</v>
      </c>
      <c r="Q23" s="25" t="s">
        <v>715</v>
      </c>
    </row>
    <row r="24" spans="1:17" x14ac:dyDescent="0.3">
      <c r="A24" s="5" t="e">
        <f>VLOOKUP(#REF!,'[2]Listas Desplegables'!$H$3:$J$7,2,FALSE)</f>
        <v>#REF!</v>
      </c>
      <c r="B24" s="5" t="e">
        <f>VLOOKUP(#REF!,'[2]Listas Desplegables'!$H$3:$J$7,3,FALSE)</f>
        <v>#REF!</v>
      </c>
      <c r="C24" s="8">
        <v>19</v>
      </c>
      <c r="D24" s="9" t="s">
        <v>582</v>
      </c>
      <c r="E24" s="9" t="s">
        <v>516</v>
      </c>
      <c r="F24" s="9">
        <v>13.8</v>
      </c>
      <c r="G24" s="9" t="s">
        <v>211</v>
      </c>
      <c r="H24" s="9" t="s">
        <v>480</v>
      </c>
      <c r="I24" s="9" t="s">
        <v>114</v>
      </c>
      <c r="J24" s="59"/>
      <c r="K24" s="112">
        <v>1.7274086738949124</v>
      </c>
      <c r="L24" s="112">
        <v>0.47224804392074843</v>
      </c>
      <c r="M24" s="112">
        <v>2.046730769230769</v>
      </c>
      <c r="N24" s="112">
        <v>0.87530769230769223</v>
      </c>
      <c r="O24" s="112">
        <v>2.9964437030859052</v>
      </c>
      <c r="P24" s="112">
        <v>1.0186084293477247</v>
      </c>
      <c r="Q24" s="25" t="s">
        <v>716</v>
      </c>
    </row>
    <row r="25" spans="1:17" x14ac:dyDescent="0.3">
      <c r="A25" s="5" t="e">
        <f>VLOOKUP(#REF!,'[2]Listas Desplegables'!$H$3:$J$7,2,FALSE)</f>
        <v>#REF!</v>
      </c>
      <c r="B25" s="5" t="e">
        <f>VLOOKUP(#REF!,'[2]Listas Desplegables'!$H$3:$J$7,3,FALSE)</f>
        <v>#REF!</v>
      </c>
      <c r="C25" s="8">
        <v>20</v>
      </c>
      <c r="D25" s="9" t="s">
        <v>583</v>
      </c>
      <c r="E25" s="9" t="s">
        <v>514</v>
      </c>
      <c r="F25" s="9">
        <v>13.8</v>
      </c>
      <c r="G25" s="9" t="s">
        <v>211</v>
      </c>
      <c r="H25" s="9" t="s">
        <v>473</v>
      </c>
      <c r="I25" s="9" t="s">
        <v>114</v>
      </c>
      <c r="J25" s="59"/>
      <c r="K25" s="112">
        <v>1.2651714841341548</v>
      </c>
      <c r="L25" s="112">
        <v>0.66569099228209128</v>
      </c>
      <c r="M25" s="112">
        <v>1.59202</v>
      </c>
      <c r="N25" s="112">
        <v>0.82294117647058818</v>
      </c>
      <c r="O25" s="112">
        <v>2.165</v>
      </c>
      <c r="P25" s="112">
        <v>0.78686564107338186</v>
      </c>
      <c r="Q25" s="116" t="s">
        <v>717</v>
      </c>
    </row>
    <row r="26" spans="1:17" x14ac:dyDescent="0.3">
      <c r="A26" s="5" t="e">
        <f>VLOOKUP(#REF!,'[2]Listas Desplegables'!$H$3:$J$7,2,FALSE)</f>
        <v>#REF!</v>
      </c>
      <c r="B26" s="5" t="e">
        <f>VLOOKUP(#REF!,'[2]Listas Desplegables'!$H$3:$J$7,3,FALSE)</f>
        <v>#REF!</v>
      </c>
      <c r="C26" s="8">
        <v>21</v>
      </c>
      <c r="D26" s="9" t="s">
        <v>584</v>
      </c>
      <c r="E26" s="9" t="s">
        <v>515</v>
      </c>
      <c r="F26" s="9">
        <v>13.8</v>
      </c>
      <c r="G26" s="9" t="s">
        <v>211</v>
      </c>
      <c r="H26" s="9" t="s">
        <v>480</v>
      </c>
      <c r="I26" s="9" t="s">
        <v>114</v>
      </c>
      <c r="J26" s="59"/>
      <c r="K26" s="112">
        <v>1.3287370256580586</v>
      </c>
      <c r="L26" s="112">
        <v>0.53874848939832265</v>
      </c>
      <c r="M26" s="112">
        <v>1.8622000000000001</v>
      </c>
      <c r="N26" s="112">
        <v>0.90737999999999996</v>
      </c>
      <c r="O26" s="112">
        <v>2.1482836502532594</v>
      </c>
      <c r="P26" s="112">
        <v>0.75874739077892106</v>
      </c>
      <c r="Q26" s="116" t="s">
        <v>718</v>
      </c>
    </row>
    <row r="27" spans="1:17" x14ac:dyDescent="0.3">
      <c r="A27" s="5" t="e">
        <f>VLOOKUP(#REF!,'[2]Listas Desplegables'!$H$3:$J$7,2,FALSE)</f>
        <v>#REF!</v>
      </c>
      <c r="B27" s="5" t="e">
        <f>VLOOKUP(#REF!,'[2]Listas Desplegables'!$H$3:$J$7,3,FALSE)</f>
        <v>#REF!</v>
      </c>
      <c r="C27" s="8">
        <v>22</v>
      </c>
      <c r="D27" s="9" t="s">
        <v>585</v>
      </c>
      <c r="E27" s="9" t="s">
        <v>501</v>
      </c>
      <c r="F27" s="9">
        <v>13.8</v>
      </c>
      <c r="G27" s="9" t="s">
        <v>211</v>
      </c>
      <c r="H27" s="9" t="s">
        <v>490</v>
      </c>
      <c r="I27" s="9" t="s">
        <v>114</v>
      </c>
      <c r="J27" s="59"/>
      <c r="K27" s="112">
        <v>5.4847551213206041</v>
      </c>
      <c r="L27" s="112">
        <v>2.0720961945031715</v>
      </c>
      <c r="M27" s="112">
        <v>7.6248837209302316</v>
      </c>
      <c r="N27" s="112">
        <v>3.1726190476190474</v>
      </c>
      <c r="O27" s="112">
        <v>10.144283263723148</v>
      </c>
      <c r="P27" s="112">
        <v>3.1900138588426179</v>
      </c>
      <c r="Q27" s="116" t="s">
        <v>719</v>
      </c>
    </row>
    <row r="28" spans="1:17" x14ac:dyDescent="0.3">
      <c r="A28" s="5" t="e">
        <f>VLOOKUP(#REF!,'[2]Listas Desplegables'!$H$3:$J$7,2,FALSE)</f>
        <v>#REF!</v>
      </c>
      <c r="B28" s="5" t="e">
        <f>VLOOKUP(#REF!,'[2]Listas Desplegables'!$H$3:$J$7,3,FALSE)</f>
        <v>#REF!</v>
      </c>
      <c r="C28" s="8">
        <v>23</v>
      </c>
      <c r="D28" s="9" t="s">
        <v>586</v>
      </c>
      <c r="E28" s="9" t="s">
        <v>509</v>
      </c>
      <c r="F28" s="9">
        <v>13.8</v>
      </c>
      <c r="G28" s="9" t="s">
        <v>211</v>
      </c>
      <c r="H28" s="9" t="s">
        <v>470</v>
      </c>
      <c r="I28" s="9" t="s">
        <v>114</v>
      </c>
      <c r="J28" s="59"/>
      <c r="K28" s="112">
        <v>1.4519245785372248</v>
      </c>
      <c r="L28" s="112">
        <v>0.57157362908194698</v>
      </c>
      <c r="M28" s="112">
        <v>1.5158409090909091</v>
      </c>
      <c r="N28" s="112">
        <v>0.54019230769230764</v>
      </c>
      <c r="O28" s="112">
        <v>2.2090781342942232</v>
      </c>
      <c r="P28" s="112">
        <v>0.60309786470896998</v>
      </c>
      <c r="Q28" s="116" t="s">
        <v>720</v>
      </c>
    </row>
    <row r="29" spans="1:17" x14ac:dyDescent="0.3">
      <c r="A29" s="5"/>
      <c r="B29" s="5"/>
      <c r="C29" s="8">
        <v>24</v>
      </c>
      <c r="D29" s="9" t="s">
        <v>587</v>
      </c>
      <c r="E29" s="9" t="s">
        <v>479</v>
      </c>
      <c r="F29" s="9">
        <v>115</v>
      </c>
      <c r="G29" s="9" t="s">
        <v>211</v>
      </c>
      <c r="H29" s="9" t="s">
        <v>479</v>
      </c>
      <c r="I29" s="9" t="s">
        <v>114</v>
      </c>
      <c r="J29" s="59"/>
      <c r="K29" s="112">
        <f>+K30+K31</f>
        <v>9.5217582019516769</v>
      </c>
      <c r="L29" s="112">
        <f t="shared" ref="L29:P29" si="3">+L30+L31</f>
        <v>5.4241136902112927</v>
      </c>
      <c r="M29" s="112">
        <f t="shared" si="3"/>
        <v>18.123792307692309</v>
      </c>
      <c r="N29" s="112">
        <f t="shared" si="3"/>
        <v>11.808502780312125</v>
      </c>
      <c r="O29" s="112">
        <f t="shared" si="3"/>
        <v>21.973412558917616</v>
      </c>
      <c r="P29" s="112">
        <f t="shared" si="3"/>
        <v>12.304057469227624</v>
      </c>
      <c r="Q29" s="25" t="s">
        <v>743</v>
      </c>
    </row>
    <row r="30" spans="1:17" x14ac:dyDescent="0.3">
      <c r="A30" s="5" t="e">
        <f>VLOOKUP(#REF!,'[2]Listas Desplegables'!$H$3:$J$7,2,FALSE)</f>
        <v>#REF!</v>
      </c>
      <c r="B30" s="5" t="e">
        <f>VLOOKUP(#REF!,'[2]Listas Desplegables'!$H$3:$J$7,3,FALSE)</f>
        <v>#REF!</v>
      </c>
      <c r="C30" s="8">
        <v>25</v>
      </c>
      <c r="D30" s="9" t="s">
        <v>740</v>
      </c>
      <c r="E30" s="9" t="s">
        <v>479</v>
      </c>
      <c r="F30" s="9">
        <v>13.8</v>
      </c>
      <c r="G30" s="9" t="s">
        <v>211</v>
      </c>
      <c r="H30" s="9" t="s">
        <v>479</v>
      </c>
      <c r="I30" s="9" t="s">
        <v>114</v>
      </c>
      <c r="J30" s="59"/>
      <c r="K30" s="112">
        <v>5.9510545001812796</v>
      </c>
      <c r="L30" s="112">
        <v>2.3916700801818465</v>
      </c>
      <c r="M30" s="112">
        <v>9.4292000000000016</v>
      </c>
      <c r="N30" s="112">
        <v>5.482244897959184</v>
      </c>
      <c r="O30" s="112">
        <v>11.41076191029965</v>
      </c>
      <c r="P30" s="112">
        <v>5.3678909486504827</v>
      </c>
      <c r="Q30" s="25" t="s">
        <v>741</v>
      </c>
    </row>
    <row r="31" spans="1:17" x14ac:dyDescent="0.3">
      <c r="A31" s="5" t="e">
        <f>VLOOKUP(#REF!,'[2]Listas Desplegables'!$H$3:$J$7,2,FALSE)</f>
        <v>#REF!</v>
      </c>
      <c r="B31" s="5" t="e">
        <f>VLOOKUP(#REF!,'[2]Listas Desplegables'!$H$3:$J$7,3,FALSE)</f>
        <v>#REF!</v>
      </c>
      <c r="C31" s="8">
        <v>26</v>
      </c>
      <c r="D31" s="9" t="s">
        <v>588</v>
      </c>
      <c r="E31" s="9" t="s">
        <v>479</v>
      </c>
      <c r="F31" s="9">
        <v>34.5</v>
      </c>
      <c r="G31" s="12" t="s">
        <v>0</v>
      </c>
      <c r="H31" s="9" t="s">
        <v>479</v>
      </c>
      <c r="I31" s="9" t="s">
        <v>114</v>
      </c>
      <c r="J31" s="59"/>
      <c r="K31" s="112">
        <v>3.5707037017703982</v>
      </c>
      <c r="L31" s="112">
        <v>3.0324436100294463</v>
      </c>
      <c r="M31" s="112">
        <v>8.6945923076923073</v>
      </c>
      <c r="N31" s="112">
        <v>6.326257882352941</v>
      </c>
      <c r="O31" s="112">
        <v>10.562650648617968</v>
      </c>
      <c r="P31" s="112">
        <v>6.9361665205771414</v>
      </c>
      <c r="Q31" s="25" t="s">
        <v>742</v>
      </c>
    </row>
    <row r="32" spans="1:17" x14ac:dyDescent="0.3">
      <c r="A32" s="5" t="e">
        <f>VLOOKUP(#REF!,'[2]Listas Desplegables'!$H$3:$J$7,2,FALSE)</f>
        <v>#REF!</v>
      </c>
      <c r="B32" s="5" t="e">
        <f>VLOOKUP(#REF!,'[2]Listas Desplegables'!$H$3:$J$7,3,FALSE)</f>
        <v>#REF!</v>
      </c>
      <c r="C32" s="8">
        <v>27</v>
      </c>
      <c r="D32" s="9" t="s">
        <v>589</v>
      </c>
      <c r="E32" s="12" t="s">
        <v>533</v>
      </c>
      <c r="F32" s="12">
        <v>13.8</v>
      </c>
      <c r="G32" s="9" t="s">
        <v>211</v>
      </c>
      <c r="H32" s="12" t="s">
        <v>477</v>
      </c>
      <c r="I32" s="9" t="s">
        <v>114</v>
      </c>
      <c r="J32" s="60"/>
      <c r="K32" s="113">
        <v>1.4332953706971223</v>
      </c>
      <c r="L32" s="113">
        <v>0.66778866344954724</v>
      </c>
      <c r="M32" s="113">
        <v>1.6011538461538459</v>
      </c>
      <c r="N32" s="113">
        <v>0.67130000000000001</v>
      </c>
      <c r="O32" s="113">
        <v>2.2165493190314529</v>
      </c>
      <c r="P32" s="113">
        <v>0.81609836347920917</v>
      </c>
      <c r="Q32" s="116" t="s">
        <v>721</v>
      </c>
    </row>
    <row r="33" spans="1:17" x14ac:dyDescent="0.3">
      <c r="A33" s="5" t="e">
        <f>VLOOKUP(#REF!,'[2]Listas Desplegables'!$H$3:$J$7,2,FALSE)</f>
        <v>#REF!</v>
      </c>
      <c r="B33" s="5" t="e">
        <f>VLOOKUP(#REF!,'[2]Listas Desplegables'!$H$3:$J$7,3,FALSE)</f>
        <v>#REF!</v>
      </c>
      <c r="C33" s="8">
        <v>28</v>
      </c>
      <c r="D33" s="9" t="s">
        <v>590</v>
      </c>
      <c r="E33" s="12" t="s">
        <v>510</v>
      </c>
      <c r="F33" s="12">
        <v>13.8</v>
      </c>
      <c r="G33" s="9" t="s">
        <v>211</v>
      </c>
      <c r="H33" s="12" t="s">
        <v>471</v>
      </c>
      <c r="I33" s="9" t="s">
        <v>114</v>
      </c>
      <c r="J33" s="60"/>
      <c r="K33" s="113">
        <v>0.23548410104011891</v>
      </c>
      <c r="L33" s="113">
        <v>6.5233232284956338E-2</v>
      </c>
      <c r="M33" s="113">
        <v>0.179576923076923</v>
      </c>
      <c r="N33" s="113">
        <v>7.6826923076923001E-2</v>
      </c>
      <c r="O33" s="113">
        <v>0.24136463595839533</v>
      </c>
      <c r="P33" s="113">
        <v>6.3200189465706685E-2</v>
      </c>
      <c r="Q33" s="116" t="s">
        <v>722</v>
      </c>
    </row>
    <row r="34" spans="1:17" x14ac:dyDescent="0.3">
      <c r="A34" s="5" t="e">
        <f>VLOOKUP(#REF!,'[2]Listas Desplegables'!$H$3:$J$7,2,FALSE)</f>
        <v>#REF!</v>
      </c>
      <c r="B34" s="5" t="e">
        <f>VLOOKUP(#REF!,'[2]Listas Desplegables'!$H$3:$J$7,3,FALSE)</f>
        <v>#REF!</v>
      </c>
      <c r="C34" s="8">
        <v>29</v>
      </c>
      <c r="D34" s="9" t="s">
        <v>591</v>
      </c>
      <c r="E34" s="12" t="s">
        <v>526</v>
      </c>
      <c r="F34" s="12">
        <v>13.8</v>
      </c>
      <c r="G34" s="9" t="s">
        <v>211</v>
      </c>
      <c r="H34" s="12" t="s">
        <v>524</v>
      </c>
      <c r="I34" s="9" t="s">
        <v>114</v>
      </c>
      <c r="J34" s="60"/>
      <c r="K34" s="113">
        <v>3.2966145644008203E-2</v>
      </c>
      <c r="L34" s="113">
        <v>1.1548821548821543E-2</v>
      </c>
      <c r="M34" s="113">
        <v>5.1583333333333301E-2</v>
      </c>
      <c r="N34" s="113">
        <v>3.8222222222222E-3</v>
      </c>
      <c r="O34" s="113">
        <v>9.1999999999999998E-2</v>
      </c>
      <c r="P34" s="113">
        <v>1.0119565217391263E-2</v>
      </c>
      <c r="Q34" s="116" t="s">
        <v>723</v>
      </c>
    </row>
    <row r="35" spans="1:17" x14ac:dyDescent="0.3">
      <c r="A35" s="5" t="e">
        <f>VLOOKUP(#REF!,'[2]Listas Desplegables'!$H$3:$J$7,2,FALSE)</f>
        <v>#REF!</v>
      </c>
      <c r="B35" s="5" t="e">
        <f>VLOOKUP(#REF!,'[2]Listas Desplegables'!$H$3:$J$7,3,FALSE)</f>
        <v>#REF!</v>
      </c>
      <c r="C35" s="8">
        <v>30</v>
      </c>
      <c r="D35" s="9" t="s">
        <v>592</v>
      </c>
      <c r="E35" s="12" t="s">
        <v>525</v>
      </c>
      <c r="F35" s="12">
        <v>13.8</v>
      </c>
      <c r="G35" s="9" t="s">
        <v>211</v>
      </c>
      <c r="H35" s="12" t="s">
        <v>524</v>
      </c>
      <c r="I35" s="9" t="s">
        <v>114</v>
      </c>
      <c r="J35" s="60"/>
      <c r="K35" s="113">
        <v>0.19505206897968771</v>
      </c>
      <c r="L35" s="113">
        <v>7.0878524158826034E-2</v>
      </c>
      <c r="M35" s="113">
        <v>0.23861798039215679</v>
      </c>
      <c r="N35" s="113">
        <v>8.3717058823529394E-2</v>
      </c>
      <c r="O35" s="113">
        <v>0.33761400000000003</v>
      </c>
      <c r="P35" s="113">
        <v>8.4484502150313889E-2</v>
      </c>
      <c r="Q35" s="116" t="s">
        <v>724</v>
      </c>
    </row>
    <row r="36" spans="1:17" x14ac:dyDescent="0.3">
      <c r="A36" s="5" t="e">
        <f>VLOOKUP(#REF!,'[2]Listas Desplegables'!$H$3:$J$7,2,FALSE)</f>
        <v>#REF!</v>
      </c>
      <c r="B36" s="5" t="e">
        <f>VLOOKUP(#REF!,'[2]Listas Desplegables'!$H$3:$J$7,3,FALSE)</f>
        <v>#REF!</v>
      </c>
      <c r="C36" s="8">
        <v>31</v>
      </c>
      <c r="D36" s="9" t="s">
        <v>593</v>
      </c>
      <c r="E36" s="12" t="s">
        <v>528</v>
      </c>
      <c r="F36" s="12">
        <v>13.8</v>
      </c>
      <c r="G36" s="9" t="s">
        <v>211</v>
      </c>
      <c r="H36" s="12" t="s">
        <v>524</v>
      </c>
      <c r="I36" s="9" t="s">
        <v>114</v>
      </c>
      <c r="J36" s="60"/>
      <c r="K36" s="113">
        <v>3.4482549268912886E-2</v>
      </c>
      <c r="L36" s="113">
        <v>2.6908244680851047E-2</v>
      </c>
      <c r="M36" s="113">
        <v>5.9760000000000001E-2</v>
      </c>
      <c r="N36" s="113">
        <v>2.7411764705882299E-2</v>
      </c>
      <c r="O36" s="113">
        <v>9.1999999999999998E-2</v>
      </c>
      <c r="P36" s="113">
        <v>2.728671255736333E-2</v>
      </c>
      <c r="Q36" s="116" t="s">
        <v>725</v>
      </c>
    </row>
    <row r="37" spans="1:17" x14ac:dyDescent="0.3">
      <c r="A37" s="5" t="e">
        <f>VLOOKUP(#REF!,'[2]Listas Desplegables'!$H$3:$J$7,2,FALSE)</f>
        <v>#REF!</v>
      </c>
      <c r="B37" s="5" t="e">
        <f>VLOOKUP(#REF!,'[2]Listas Desplegables'!$H$3:$J$7,3,FALSE)</f>
        <v>#REF!</v>
      </c>
      <c r="C37" s="8">
        <v>32</v>
      </c>
      <c r="D37" s="9" t="s">
        <v>939</v>
      </c>
      <c r="E37" s="12" t="s">
        <v>508</v>
      </c>
      <c r="F37" s="12">
        <v>13.8</v>
      </c>
      <c r="G37" s="9" t="s">
        <v>211</v>
      </c>
      <c r="H37" s="12" t="s">
        <v>470</v>
      </c>
      <c r="I37" s="9" t="s">
        <v>114</v>
      </c>
      <c r="J37" s="60"/>
      <c r="K37" s="113">
        <v>0.1293529181355268</v>
      </c>
      <c r="L37" s="113">
        <v>4.2613383627208512E-2</v>
      </c>
      <c r="M37" s="113">
        <v>9.4581395348837194E-2</v>
      </c>
      <c r="N37" s="113">
        <v>6.4079999999999998E-2</v>
      </c>
      <c r="O37" s="113">
        <v>0.17078566939032055</v>
      </c>
      <c r="P37" s="113">
        <v>4.8924731182795771E-2</v>
      </c>
      <c r="Q37" s="116" t="s">
        <v>726</v>
      </c>
    </row>
    <row r="38" spans="1:17" x14ac:dyDescent="0.3">
      <c r="A38" s="5" t="e">
        <f>VLOOKUP(#REF!,'[2]Listas Desplegables'!$H$3:$J$7,2,FALSE)</f>
        <v>#REF!</v>
      </c>
      <c r="B38" s="5" t="e">
        <f>VLOOKUP(#REF!,'[2]Listas Desplegables'!$H$3:$J$7,3,FALSE)</f>
        <v>#REF!</v>
      </c>
      <c r="C38" s="8">
        <v>33</v>
      </c>
      <c r="D38" s="9" t="s">
        <v>594</v>
      </c>
      <c r="E38" s="12" t="s">
        <v>616</v>
      </c>
      <c r="F38" s="12">
        <v>13.8</v>
      </c>
      <c r="G38" s="9" t="s">
        <v>211</v>
      </c>
      <c r="H38" s="12" t="s">
        <v>480</v>
      </c>
      <c r="I38" s="9" t="s">
        <v>114</v>
      </c>
      <c r="J38" s="60"/>
      <c r="K38" s="113">
        <v>0.64439545490075245</v>
      </c>
      <c r="L38" s="113">
        <v>0.24277735632513048</v>
      </c>
      <c r="M38" s="113">
        <v>1.0339061951219513</v>
      </c>
      <c r="N38" s="113">
        <v>0.34240843902439022</v>
      </c>
      <c r="O38" s="113">
        <v>1.6106743421052632</v>
      </c>
      <c r="P38" s="113">
        <v>0.24766545281893418</v>
      </c>
      <c r="Q38" s="116" t="s">
        <v>727</v>
      </c>
    </row>
    <row r="39" spans="1:17" x14ac:dyDescent="0.3">
      <c r="A39" s="5" t="e">
        <f>VLOOKUP(#REF!,'[2]Listas Desplegables'!$H$3:$J$7,2,FALSE)</f>
        <v>#REF!</v>
      </c>
      <c r="B39" s="5" t="e">
        <f>VLOOKUP(#REF!,'[2]Listas Desplegables'!$H$3:$J$7,3,FALSE)</f>
        <v>#REF!</v>
      </c>
      <c r="C39" s="8">
        <v>34</v>
      </c>
      <c r="D39" s="9" t="s">
        <v>744</v>
      </c>
      <c r="E39" s="12" t="s">
        <v>522</v>
      </c>
      <c r="F39" s="12">
        <v>13.8</v>
      </c>
      <c r="G39" s="9" t="s">
        <v>211</v>
      </c>
      <c r="H39" s="12" t="s">
        <v>522</v>
      </c>
      <c r="I39" s="9" t="s">
        <v>114</v>
      </c>
      <c r="J39" s="60"/>
      <c r="K39" s="113">
        <v>5.9694361468714474</v>
      </c>
      <c r="L39" s="113">
        <v>3.3244949059264002</v>
      </c>
      <c r="M39" s="113">
        <v>13.230196078431373</v>
      </c>
      <c r="N39" s="113">
        <v>7.0750980392156864</v>
      </c>
      <c r="O39" s="113">
        <v>15.80653810568611</v>
      </c>
      <c r="P39" s="113">
        <v>6.5226772925529053</v>
      </c>
      <c r="Q39" s="25" t="s">
        <v>745</v>
      </c>
    </row>
    <row r="40" spans="1:17" x14ac:dyDescent="0.3">
      <c r="A40" s="5" t="e">
        <f>VLOOKUP(#REF!,'[2]Listas Desplegables'!$H$3:$J$7,2,FALSE)</f>
        <v>#REF!</v>
      </c>
      <c r="B40" s="5" t="e">
        <f>VLOOKUP(#REF!,'[2]Listas Desplegables'!$H$3:$J$7,3,FALSE)</f>
        <v>#REF!</v>
      </c>
      <c r="C40" s="8">
        <v>35</v>
      </c>
      <c r="D40" s="9" t="s">
        <v>595</v>
      </c>
      <c r="E40" s="12" t="s">
        <v>617</v>
      </c>
      <c r="F40" s="12">
        <v>13.8</v>
      </c>
      <c r="G40" s="9" t="s">
        <v>211</v>
      </c>
      <c r="H40" s="12" t="s">
        <v>477</v>
      </c>
      <c r="I40" s="9" t="s">
        <v>114</v>
      </c>
      <c r="J40" s="60"/>
      <c r="K40" s="113">
        <v>1.5732957519629556</v>
      </c>
      <c r="L40" s="113">
        <v>0.65581046868031234</v>
      </c>
      <c r="M40" s="113">
        <v>1.6525000000000001</v>
      </c>
      <c r="N40" s="113">
        <v>0.64560000000000006</v>
      </c>
      <c r="O40" s="113">
        <v>2.1690275820414735</v>
      </c>
      <c r="P40" s="113">
        <v>0.62552088137330253</v>
      </c>
      <c r="Q40" s="116" t="s">
        <v>728</v>
      </c>
    </row>
    <row r="41" spans="1:17" x14ac:dyDescent="0.3">
      <c r="A41" s="5" t="e">
        <f>VLOOKUP(#REF!,'[2]Listas Desplegables'!$H$3:$J$7,2,FALSE)</f>
        <v>#REF!</v>
      </c>
      <c r="B41" s="5" t="e">
        <f>VLOOKUP(#REF!,'[2]Listas Desplegables'!$H$3:$J$7,3,FALSE)</f>
        <v>#REF!</v>
      </c>
      <c r="C41" s="8">
        <v>36</v>
      </c>
      <c r="D41" s="9" t="s">
        <v>596</v>
      </c>
      <c r="E41" s="12" t="s">
        <v>505</v>
      </c>
      <c r="F41" s="12">
        <v>13.8</v>
      </c>
      <c r="G41" s="12" t="s">
        <v>211</v>
      </c>
      <c r="H41" s="12" t="s">
        <v>480</v>
      </c>
      <c r="I41" s="9" t="s">
        <v>114</v>
      </c>
      <c r="J41" s="60"/>
      <c r="K41" s="113">
        <v>2.0756317813110416</v>
      </c>
      <c r="L41" s="113">
        <v>1.4346278089232882</v>
      </c>
      <c r="M41" s="113">
        <v>3.571521739</v>
      </c>
      <c r="N41" s="113">
        <v>2.5213043480000001</v>
      </c>
      <c r="O41" s="113">
        <v>4.66</v>
      </c>
      <c r="P41" s="113">
        <v>2.0515269868165871</v>
      </c>
      <c r="Q41" s="116" t="s">
        <v>729</v>
      </c>
    </row>
    <row r="42" spans="1:17" x14ac:dyDescent="0.3">
      <c r="A42" s="5" t="e">
        <f>VLOOKUP(#REF!,'[2]Listas Desplegables'!$H$3:$J$7,2,FALSE)</f>
        <v>#REF!</v>
      </c>
      <c r="B42" s="5" t="e">
        <f>VLOOKUP(#REF!,'[2]Listas Desplegables'!$H$3:$J$7,3,FALSE)</f>
        <v>#REF!</v>
      </c>
      <c r="C42" s="8">
        <v>37</v>
      </c>
      <c r="D42" s="9" t="s">
        <v>597</v>
      </c>
      <c r="E42" s="12" t="s">
        <v>507</v>
      </c>
      <c r="F42" s="12">
        <v>13.8</v>
      </c>
      <c r="G42" s="12" t="s">
        <v>211</v>
      </c>
      <c r="H42" s="12" t="s">
        <v>506</v>
      </c>
      <c r="I42" s="9" t="s">
        <v>114</v>
      </c>
      <c r="J42" s="60"/>
      <c r="K42" s="113">
        <v>2.4290953306955414</v>
      </c>
      <c r="L42" s="113">
        <v>1.5231683419916762</v>
      </c>
      <c r="M42" s="113">
        <v>4.7593750000000004</v>
      </c>
      <c r="N42" s="113">
        <v>1.6129166669999999</v>
      </c>
      <c r="O42" s="113">
        <v>5.9003248185104429</v>
      </c>
      <c r="P42" s="113">
        <v>1.1211298845532802</v>
      </c>
      <c r="Q42" s="116" t="s">
        <v>730</v>
      </c>
    </row>
    <row r="43" spans="1:17" x14ac:dyDescent="0.3">
      <c r="A43" s="5" t="e">
        <f>VLOOKUP(#REF!,'[2]Listas Desplegables'!$H$3:$J$7,2,FALSE)</f>
        <v>#REF!</v>
      </c>
      <c r="B43" s="5" t="e">
        <f>VLOOKUP(#REF!,'[2]Listas Desplegables'!$H$3:$J$7,3,FALSE)</f>
        <v>#REF!</v>
      </c>
      <c r="C43" s="8">
        <v>38</v>
      </c>
      <c r="D43" s="9" t="s">
        <v>598</v>
      </c>
      <c r="E43" s="12" t="s">
        <v>618</v>
      </c>
      <c r="F43" s="12">
        <v>13.8</v>
      </c>
      <c r="G43" s="9" t="s">
        <v>211</v>
      </c>
      <c r="H43" s="12" t="s">
        <v>480</v>
      </c>
      <c r="I43" s="9" t="s">
        <v>114</v>
      </c>
      <c r="J43" s="60"/>
      <c r="K43" s="113">
        <v>3.3873895207367122</v>
      </c>
      <c r="L43" s="113">
        <v>1.4661108492747439</v>
      </c>
      <c r="M43" s="113">
        <v>4.6013043480000002</v>
      </c>
      <c r="N43" s="113">
        <v>2.2906382980000002</v>
      </c>
      <c r="O43" s="113">
        <v>5.6660017953200645</v>
      </c>
      <c r="P43" s="113">
        <v>2.2115605259812288</v>
      </c>
      <c r="Q43" s="116" t="s">
        <v>731</v>
      </c>
    </row>
    <row r="44" spans="1:17" x14ac:dyDescent="0.3">
      <c r="A44" s="5" t="e">
        <f>VLOOKUP(#REF!,'[2]Listas Desplegables'!$H$3:$J$7,2,FALSE)</f>
        <v>#REF!</v>
      </c>
      <c r="B44" s="5" t="e">
        <f>VLOOKUP(#REF!,'[2]Listas Desplegables'!$H$3:$J$7,3,FALSE)</f>
        <v>#REF!</v>
      </c>
      <c r="C44" s="8">
        <v>39</v>
      </c>
      <c r="D44" s="9" t="s">
        <v>599</v>
      </c>
      <c r="E44" s="12" t="s">
        <v>511</v>
      </c>
      <c r="F44" s="12">
        <v>13.8</v>
      </c>
      <c r="G44" s="9" t="s">
        <v>211</v>
      </c>
      <c r="H44" s="12" t="s">
        <v>471</v>
      </c>
      <c r="I44" s="9" t="s">
        <v>114</v>
      </c>
      <c r="J44" s="60"/>
      <c r="K44" s="113">
        <v>2.3485465906003804</v>
      </c>
      <c r="L44" s="113">
        <v>1.0942747793485901</v>
      </c>
      <c r="M44" s="113">
        <v>1.9326923076923079</v>
      </c>
      <c r="N44" s="113">
        <v>1.10636</v>
      </c>
      <c r="O44" s="113">
        <v>2.5371222642068609</v>
      </c>
      <c r="P44" s="113">
        <v>1.1100211864406777</v>
      </c>
      <c r="Q44" s="116" t="s">
        <v>732</v>
      </c>
    </row>
    <row r="45" spans="1:17" x14ac:dyDescent="0.3">
      <c r="A45" s="5"/>
      <c r="B45" s="5"/>
      <c r="C45" s="8">
        <v>40</v>
      </c>
      <c r="D45" s="9" t="s">
        <v>600</v>
      </c>
      <c r="E45" s="12" t="s">
        <v>477</v>
      </c>
      <c r="F45" s="12">
        <v>115</v>
      </c>
      <c r="G45" s="9" t="s">
        <v>211</v>
      </c>
      <c r="H45" s="12" t="s">
        <v>477</v>
      </c>
      <c r="I45" s="9" t="s">
        <v>114</v>
      </c>
      <c r="J45" s="60"/>
      <c r="K45" s="113">
        <f>+K46+K47</f>
        <v>3.4170014720823167</v>
      </c>
      <c r="L45" s="113">
        <f t="shared" ref="L45:P45" si="4">+L46+L47</f>
        <v>1.5412396616400226</v>
      </c>
      <c r="M45" s="113">
        <f t="shared" si="4"/>
        <v>4.995680384615385</v>
      </c>
      <c r="N45" s="113">
        <f t="shared" si="4"/>
        <v>2.1192785548755166</v>
      </c>
      <c r="O45" s="113">
        <f t="shared" si="4"/>
        <v>6.1015072993755304</v>
      </c>
      <c r="P45" s="113">
        <f t="shared" si="4"/>
        <v>2.1959869174402638</v>
      </c>
      <c r="Q45" s="25" t="s">
        <v>747</v>
      </c>
    </row>
    <row r="46" spans="1:17" x14ac:dyDescent="0.3">
      <c r="A46" s="5" t="e">
        <f>VLOOKUP(#REF!,'[2]Listas Desplegables'!$H$3:$J$7,2,FALSE)</f>
        <v>#REF!</v>
      </c>
      <c r="B46" s="5" t="e">
        <f>VLOOKUP(#REF!,'[2]Listas Desplegables'!$H$3:$J$7,3,FALSE)</f>
        <v>#REF!</v>
      </c>
      <c r="C46" s="8">
        <v>41</v>
      </c>
      <c r="D46" s="9" t="s">
        <v>746</v>
      </c>
      <c r="E46" s="12" t="s">
        <v>477</v>
      </c>
      <c r="F46" s="12">
        <v>115</v>
      </c>
      <c r="G46" s="9" t="s">
        <v>211</v>
      </c>
      <c r="H46" s="12" t="s">
        <v>477</v>
      </c>
      <c r="I46" s="9" t="s">
        <v>114</v>
      </c>
      <c r="J46" s="60"/>
      <c r="K46" s="113">
        <v>3.3020830341681799</v>
      </c>
      <c r="L46" s="113">
        <v>1.4922846120874411</v>
      </c>
      <c r="M46" s="113">
        <v>4.0575000000000001</v>
      </c>
      <c r="N46" s="113">
        <v>1.7196153846153843</v>
      </c>
      <c r="O46" s="113">
        <v>5.172057270769101</v>
      </c>
      <c r="P46" s="113">
        <v>1.8000428632661809</v>
      </c>
      <c r="Q46" s="25" t="s">
        <v>750</v>
      </c>
    </row>
    <row r="47" spans="1:17" x14ac:dyDescent="0.3">
      <c r="A47" s="5" t="e">
        <f>VLOOKUP(#REF!,'[2]Listas Desplegables'!$H$3:$J$7,2,FALSE)</f>
        <v>#REF!</v>
      </c>
      <c r="B47" s="5" t="e">
        <f>VLOOKUP(#REF!,'[2]Listas Desplegables'!$H$3:$J$7,3,FALSE)</f>
        <v>#REF!</v>
      </c>
      <c r="C47" s="8">
        <v>42</v>
      </c>
      <c r="D47" s="9" t="s">
        <v>601</v>
      </c>
      <c r="E47" s="12" t="s">
        <v>477</v>
      </c>
      <c r="F47" s="12">
        <v>34.5</v>
      </c>
      <c r="G47" s="12" t="s">
        <v>0</v>
      </c>
      <c r="H47" s="12" t="s">
        <v>477</v>
      </c>
      <c r="I47" s="9" t="s">
        <v>114</v>
      </c>
      <c r="J47" s="60"/>
      <c r="K47" s="113">
        <v>0.11491843791413681</v>
      </c>
      <c r="L47" s="113">
        <v>4.8955049552581495E-2</v>
      </c>
      <c r="M47" s="113">
        <v>0.93818038461538467</v>
      </c>
      <c r="N47" s="113">
        <v>0.39966317026013226</v>
      </c>
      <c r="O47" s="113">
        <v>0.92945002860642889</v>
      </c>
      <c r="P47" s="113">
        <v>0.39594405417408296</v>
      </c>
      <c r="Q47" s="25" t="s">
        <v>751</v>
      </c>
    </row>
    <row r="48" spans="1:17" x14ac:dyDescent="0.3">
      <c r="A48" s="5" t="e">
        <f>VLOOKUP(#REF!,'[2]Listas Desplegables'!$H$3:$J$7,2,FALSE)</f>
        <v>#REF!</v>
      </c>
      <c r="B48" s="5" t="e">
        <f>VLOOKUP(#REF!,'[2]Listas Desplegables'!$H$3:$J$7,3,FALSE)</f>
        <v>#REF!</v>
      </c>
      <c r="C48" s="8">
        <v>43</v>
      </c>
      <c r="D48" s="9" t="s">
        <v>752</v>
      </c>
      <c r="E48" s="12" t="s">
        <v>485</v>
      </c>
      <c r="F48" s="12">
        <v>115</v>
      </c>
      <c r="G48" s="9" t="s">
        <v>211</v>
      </c>
      <c r="H48" s="12" t="s">
        <v>485</v>
      </c>
      <c r="I48" s="9" t="s">
        <v>114</v>
      </c>
      <c r="J48" s="60"/>
      <c r="K48" s="113">
        <v>2.6165107709614994</v>
      </c>
      <c r="L48" s="113">
        <v>1.4826227580123492</v>
      </c>
      <c r="M48" s="113">
        <v>3.9220833329999998</v>
      </c>
      <c r="N48" s="113">
        <v>2.052708333</v>
      </c>
      <c r="O48" s="113">
        <v>5.2265230743860087</v>
      </c>
      <c r="P48" s="113">
        <v>7.3281475408456336</v>
      </c>
      <c r="Q48" s="25" t="s">
        <v>753</v>
      </c>
    </row>
    <row r="49" spans="1:17" x14ac:dyDescent="0.3">
      <c r="A49" s="5" t="e">
        <f>VLOOKUP(#REF!,'[2]Listas Desplegables'!$H$3:$J$7,2,FALSE)</f>
        <v>#REF!</v>
      </c>
      <c r="B49" s="5" t="e">
        <f>VLOOKUP(#REF!,'[2]Listas Desplegables'!$H$3:$J$7,3,FALSE)</f>
        <v>#REF!</v>
      </c>
      <c r="C49" s="8">
        <v>44</v>
      </c>
      <c r="D49" s="9" t="s">
        <v>602</v>
      </c>
      <c r="E49" s="12" t="s">
        <v>519</v>
      </c>
      <c r="F49" s="12">
        <v>13.8</v>
      </c>
      <c r="G49" s="12" t="s">
        <v>211</v>
      </c>
      <c r="H49" s="12" t="s">
        <v>480</v>
      </c>
      <c r="I49" s="9" t="s">
        <v>114</v>
      </c>
      <c r="J49" s="60"/>
      <c r="K49" s="113">
        <v>0.98848231878213522</v>
      </c>
      <c r="L49" s="113">
        <v>0.36015893392016624</v>
      </c>
      <c r="M49" s="113">
        <v>1.4990196078431373</v>
      </c>
      <c r="N49" s="113">
        <v>0.6415294117647059</v>
      </c>
      <c r="O49" s="113">
        <v>1.9147736667002724</v>
      </c>
      <c r="P49" s="113">
        <v>0.54331216056087683</v>
      </c>
      <c r="Q49" s="116" t="s">
        <v>733</v>
      </c>
    </row>
    <row r="50" spans="1:17" x14ac:dyDescent="0.3">
      <c r="A50" s="5" t="e">
        <f>VLOOKUP(#REF!,'[2]Listas Desplegables'!$H$3:$J$7,2,FALSE)</f>
        <v>#REF!</v>
      </c>
      <c r="B50" s="5" t="e">
        <f>VLOOKUP(#REF!,'[2]Listas Desplegables'!$H$3:$J$7,3,FALSE)</f>
        <v>#REF!</v>
      </c>
      <c r="C50" s="8">
        <v>45</v>
      </c>
      <c r="D50" s="9" t="s">
        <v>603</v>
      </c>
      <c r="E50" s="12" t="s">
        <v>619</v>
      </c>
      <c r="F50" s="12">
        <v>13.8</v>
      </c>
      <c r="G50" s="9" t="s">
        <v>211</v>
      </c>
      <c r="H50" s="12" t="s">
        <v>490</v>
      </c>
      <c r="I50" s="9" t="s">
        <v>114</v>
      </c>
      <c r="J50" s="60"/>
      <c r="K50" s="113">
        <v>5.5137774232149974</v>
      </c>
      <c r="L50" s="113">
        <v>2.3724918320184876</v>
      </c>
      <c r="M50" s="113">
        <v>5.3461538461538458</v>
      </c>
      <c r="N50" s="113">
        <v>2.6230769230769231</v>
      </c>
      <c r="O50" s="113">
        <v>9.5876256880733948</v>
      </c>
      <c r="P50" s="113">
        <v>3.2154370866204478</v>
      </c>
      <c r="Q50" s="116" t="s">
        <v>734</v>
      </c>
    </row>
    <row r="51" spans="1:17" x14ac:dyDescent="0.3">
      <c r="A51" s="5" t="e">
        <f>VLOOKUP(#REF!,'[2]Listas Desplegables'!$H$3:$J$7,2,FALSE)</f>
        <v>#REF!</v>
      </c>
      <c r="B51" s="5" t="e">
        <f>VLOOKUP(#REF!,'[2]Listas Desplegables'!$H$3:$J$7,3,FALSE)</f>
        <v>#REF!</v>
      </c>
      <c r="C51" s="8">
        <v>46</v>
      </c>
      <c r="D51" s="9" t="s">
        <v>604</v>
      </c>
      <c r="E51" s="12" t="s">
        <v>620</v>
      </c>
      <c r="F51" s="12">
        <v>13.8</v>
      </c>
      <c r="G51" s="9" t="s">
        <v>211</v>
      </c>
      <c r="H51" s="12" t="s">
        <v>620</v>
      </c>
      <c r="I51" s="9" t="s">
        <v>114</v>
      </c>
      <c r="J51" s="60"/>
      <c r="K51" s="113">
        <v>0.33085935483870965</v>
      </c>
      <c r="L51" s="113">
        <v>0.18048</v>
      </c>
      <c r="M51" s="113">
        <v>0.42890322580645157</v>
      </c>
      <c r="N51" s="113">
        <v>0.2406451612903226</v>
      </c>
      <c r="O51" s="113">
        <v>0.59382580645161287</v>
      </c>
      <c r="P51" s="113">
        <v>0.21270967741935487</v>
      </c>
      <c r="Q51" s="116" t="s">
        <v>735</v>
      </c>
    </row>
    <row r="52" spans="1:17" x14ac:dyDescent="0.3">
      <c r="A52" s="5" t="e">
        <f>VLOOKUP(#REF!,'[2]Listas Desplegables'!$H$3:$J$7,2,FALSE)</f>
        <v>#REF!</v>
      </c>
      <c r="B52" s="5" t="e">
        <f>VLOOKUP(#REF!,'[2]Listas Desplegables'!$H$3:$J$7,3,FALSE)</f>
        <v>#REF!</v>
      </c>
      <c r="C52" s="8">
        <v>47</v>
      </c>
      <c r="D52" s="9" t="s">
        <v>605</v>
      </c>
      <c r="E52" s="12" t="s">
        <v>527</v>
      </c>
      <c r="F52" s="12">
        <v>13.8</v>
      </c>
      <c r="G52" s="12" t="s">
        <v>211</v>
      </c>
      <c r="H52" s="12" t="s">
        <v>524</v>
      </c>
      <c r="I52" s="9" t="s">
        <v>114</v>
      </c>
      <c r="J52" s="60"/>
      <c r="K52" s="113">
        <v>1.4086507975220692E-2</v>
      </c>
      <c r="L52" s="113">
        <v>6.9921612541992487E-3</v>
      </c>
      <c r="M52" s="113">
        <v>1.6920000000000001E-2</v>
      </c>
      <c r="N52" s="113">
        <v>5.2884615384614997E-3</v>
      </c>
      <c r="O52" s="113">
        <v>2.1663577386468961E-2</v>
      </c>
      <c r="P52" s="113">
        <v>4.5586149353358009E-3</v>
      </c>
      <c r="Q52" s="116" t="s">
        <v>736</v>
      </c>
    </row>
    <row r="53" spans="1:17" x14ac:dyDescent="0.3">
      <c r="A53" s="5" t="e">
        <f>VLOOKUP(#REF!,'[2]Listas Desplegables'!$H$3:$J$7,2,FALSE)</f>
        <v>#REF!</v>
      </c>
      <c r="B53" s="5" t="e">
        <f>VLOOKUP(#REF!,'[2]Listas Desplegables'!$H$3:$J$7,3,FALSE)</f>
        <v>#REF!</v>
      </c>
      <c r="C53" s="8">
        <v>48</v>
      </c>
      <c r="D53" s="9" t="s">
        <v>606</v>
      </c>
      <c r="E53" s="12" t="s">
        <v>490</v>
      </c>
      <c r="F53" s="12">
        <v>115</v>
      </c>
      <c r="G53" s="9" t="s">
        <v>211</v>
      </c>
      <c r="H53" s="12" t="s">
        <v>490</v>
      </c>
      <c r="I53" s="9" t="s">
        <v>114</v>
      </c>
      <c r="J53" s="60"/>
      <c r="K53" s="113">
        <f>+SUM(K54:K56)</f>
        <v>28.172303426490725</v>
      </c>
      <c r="L53" s="113">
        <f t="shared" ref="L53:P53" si="5">+SUM(L54:L56)</f>
        <v>9.4365370988095698</v>
      </c>
      <c r="M53" s="113">
        <f t="shared" si="5"/>
        <v>54.941095300048794</v>
      </c>
      <c r="N53" s="113">
        <f t="shared" si="5"/>
        <v>22.791946123321125</v>
      </c>
      <c r="O53" s="113">
        <f t="shared" si="5"/>
        <v>65.022072179378441</v>
      </c>
      <c r="P53" s="113">
        <f t="shared" si="5"/>
        <v>24.564174646971047</v>
      </c>
      <c r="Q53" s="25" t="s">
        <v>756</v>
      </c>
    </row>
    <row r="54" spans="1:17" x14ac:dyDescent="0.3">
      <c r="A54" s="5"/>
      <c r="B54" s="5"/>
      <c r="C54" s="8">
        <v>49</v>
      </c>
      <c r="D54" s="9" t="s">
        <v>754</v>
      </c>
      <c r="E54" s="12" t="s">
        <v>490</v>
      </c>
      <c r="F54" s="12">
        <v>115</v>
      </c>
      <c r="G54" s="9" t="s">
        <v>211</v>
      </c>
      <c r="H54" s="12" t="s">
        <v>490</v>
      </c>
      <c r="I54" s="9" t="s">
        <v>114</v>
      </c>
      <c r="J54" s="60"/>
      <c r="K54" s="113">
        <v>8.5585646258465413</v>
      </c>
      <c r="L54" s="113">
        <v>3.0299416348487633</v>
      </c>
      <c r="M54" s="113">
        <v>16.120516292626455</v>
      </c>
      <c r="N54" s="113">
        <v>6.8129006927297766</v>
      </c>
      <c r="O54" s="113">
        <v>20.598373943522059</v>
      </c>
      <c r="P54" s="113">
        <v>7.2541607060212847</v>
      </c>
      <c r="Q54" s="25" t="s">
        <v>757</v>
      </c>
    </row>
    <row r="55" spans="1:17" x14ac:dyDescent="0.3">
      <c r="A55" s="5"/>
      <c r="B55" s="5"/>
      <c r="C55" s="8">
        <v>50</v>
      </c>
      <c r="D55" s="9" t="s">
        <v>755</v>
      </c>
      <c r="E55" s="12" t="s">
        <v>490</v>
      </c>
      <c r="F55" s="12">
        <v>115</v>
      </c>
      <c r="G55" s="9" t="s">
        <v>211</v>
      </c>
      <c r="H55" s="12" t="s">
        <v>490</v>
      </c>
      <c r="I55" s="9" t="s">
        <v>114</v>
      </c>
      <c r="J55" s="60"/>
      <c r="K55" s="113">
        <v>13.057898266969277</v>
      </c>
      <c r="L55" s="113">
        <v>4.6228160155764808</v>
      </c>
      <c r="M55" s="113">
        <v>24.595252938142778</v>
      </c>
      <c r="N55" s="113">
        <v>10.394519179065094</v>
      </c>
      <c r="O55" s="113">
        <v>31.427170697200573</v>
      </c>
      <c r="P55" s="113">
        <v>11.067754542088609</v>
      </c>
      <c r="Q55" s="25" t="s">
        <v>758</v>
      </c>
    </row>
    <row r="56" spans="1:17" x14ac:dyDescent="0.3">
      <c r="A56" s="5" t="e">
        <f>VLOOKUP(#REF!,'[2]Listas Desplegables'!$H$3:$J$7,2,FALSE)</f>
        <v>#REF!</v>
      </c>
      <c r="B56" s="5" t="e">
        <f>VLOOKUP(#REF!,'[2]Listas Desplegables'!$H$3:$J$7,3,FALSE)</f>
        <v>#REF!</v>
      </c>
      <c r="C56" s="8">
        <v>51</v>
      </c>
      <c r="D56" s="9" t="s">
        <v>607</v>
      </c>
      <c r="E56" s="12" t="s">
        <v>490</v>
      </c>
      <c r="F56" s="12">
        <v>34.5</v>
      </c>
      <c r="G56" s="12" t="s">
        <v>0</v>
      </c>
      <c r="H56" s="12" t="s">
        <v>490</v>
      </c>
      <c r="I56" s="9" t="s">
        <v>114</v>
      </c>
      <c r="J56" s="60"/>
      <c r="K56" s="113">
        <v>6.5558405336749059</v>
      </c>
      <c r="L56" s="113">
        <v>1.783779448384327</v>
      </c>
      <c r="M56" s="113">
        <v>14.225326069279561</v>
      </c>
      <c r="N56" s="113">
        <v>5.5845262515262544</v>
      </c>
      <c r="O56" s="113">
        <v>12.996527538655817</v>
      </c>
      <c r="P56" s="113">
        <v>6.2422593988611519</v>
      </c>
      <c r="Q56" s="25" t="s">
        <v>759</v>
      </c>
    </row>
    <row r="57" spans="1:17" x14ac:dyDescent="0.3">
      <c r="A57" s="5" t="e">
        <f>VLOOKUP(#REF!,'[2]Listas Desplegables'!$H$3:$J$7,2,FALSE)</f>
        <v>#REF!</v>
      </c>
      <c r="B57" s="5" t="e">
        <f>VLOOKUP(#REF!,'[2]Listas Desplegables'!$H$3:$J$7,3,FALSE)</f>
        <v>#REF!</v>
      </c>
      <c r="C57" s="8">
        <v>52</v>
      </c>
      <c r="D57" s="9" t="s">
        <v>608</v>
      </c>
      <c r="E57" s="12" t="s">
        <v>513</v>
      </c>
      <c r="F57" s="12">
        <v>13.8</v>
      </c>
      <c r="G57" s="12" t="s">
        <v>211</v>
      </c>
      <c r="H57" s="12" t="s">
        <v>473</v>
      </c>
      <c r="I57" s="9" t="s">
        <v>114</v>
      </c>
      <c r="J57" s="60"/>
      <c r="K57" s="113">
        <v>0.90370660767052935</v>
      </c>
      <c r="L57" s="113">
        <v>0.31274007906720713</v>
      </c>
      <c r="M57" s="113">
        <v>0.97523404255319157</v>
      </c>
      <c r="N57" s="113">
        <v>0.37805769230769221</v>
      </c>
      <c r="O57" s="113">
        <v>1.2649999999999999</v>
      </c>
      <c r="P57" s="113">
        <v>0.30374240204173553</v>
      </c>
      <c r="Q57" s="116" t="s">
        <v>737</v>
      </c>
    </row>
    <row r="58" spans="1:17" x14ac:dyDescent="0.3">
      <c r="A58" s="5" t="e">
        <f>VLOOKUP(#REF!,'[2]Listas Desplegables'!$H$3:$J$7,2,FALSE)</f>
        <v>#REF!</v>
      </c>
      <c r="B58" s="5" t="e">
        <f>VLOOKUP(#REF!,'[2]Listas Desplegables'!$H$3:$J$7,3,FALSE)</f>
        <v>#REF!</v>
      </c>
      <c r="C58" s="8">
        <v>53</v>
      </c>
      <c r="D58" s="9" t="s">
        <v>609</v>
      </c>
      <c r="E58" s="12" t="s">
        <v>521</v>
      </c>
      <c r="F58" s="12">
        <v>13.8</v>
      </c>
      <c r="G58" s="9" t="s">
        <v>211</v>
      </c>
      <c r="H58" s="12" t="s">
        <v>480</v>
      </c>
      <c r="I58" s="9" t="s">
        <v>114</v>
      </c>
      <c r="J58" s="60"/>
      <c r="K58" s="113">
        <v>1.4499511347990566</v>
      </c>
      <c r="L58" s="113">
        <v>0.87247897154414855</v>
      </c>
      <c r="M58" s="113">
        <v>2.3363126190476189</v>
      </c>
      <c r="N58" s="113">
        <v>1.2974614285714283</v>
      </c>
      <c r="O58" s="113">
        <v>2.6894006768858931</v>
      </c>
      <c r="P58" s="113">
        <v>1.2022750010407868</v>
      </c>
      <c r="Q58" s="116" t="s">
        <v>738</v>
      </c>
    </row>
    <row r="59" spans="1:17" x14ac:dyDescent="0.3">
      <c r="A59" s="5" t="e">
        <f>VLOOKUP(#REF!,'[2]Listas Desplegables'!$H$3:$J$7,2,FALSE)</f>
        <v>#REF!</v>
      </c>
      <c r="B59" s="5" t="e">
        <f>VLOOKUP(#REF!,'[2]Listas Desplegables'!$H$3:$J$7,3,FALSE)</f>
        <v>#REF!</v>
      </c>
      <c r="C59" s="8">
        <v>54</v>
      </c>
      <c r="D59" s="9" t="s">
        <v>610</v>
      </c>
      <c r="E59" s="12" t="s">
        <v>487</v>
      </c>
      <c r="F59" s="12">
        <v>115</v>
      </c>
      <c r="G59" s="9" t="s">
        <v>211</v>
      </c>
      <c r="H59" s="12" t="s">
        <v>487</v>
      </c>
      <c r="I59" s="9" t="s">
        <v>114</v>
      </c>
      <c r="J59" s="60"/>
      <c r="K59" s="113">
        <f>+SUM(K60:K61)</f>
        <v>12.991490049724767</v>
      </c>
      <c r="L59" s="113">
        <f t="shared" ref="L59:P59" si="6">+SUM(L60:L61)</f>
        <v>5.4418800888261831</v>
      </c>
      <c r="M59" s="113">
        <f t="shared" si="6"/>
        <v>27.054384332134973</v>
      </c>
      <c r="N59" s="113">
        <f t="shared" si="6"/>
        <v>11.020202436475586</v>
      </c>
      <c r="O59" s="113">
        <f t="shared" si="6"/>
        <v>30.794682066688114</v>
      </c>
      <c r="P59" s="113">
        <f t="shared" si="6"/>
        <v>11.146746984832371</v>
      </c>
      <c r="Q59" s="25" t="s">
        <v>768</v>
      </c>
    </row>
    <row r="60" spans="1:17" x14ac:dyDescent="0.3">
      <c r="A60" s="5"/>
      <c r="B60" s="5"/>
      <c r="C60" s="8">
        <v>55</v>
      </c>
      <c r="D60" s="9" t="s">
        <v>764</v>
      </c>
      <c r="E60" s="12" t="s">
        <v>487</v>
      </c>
      <c r="F60" s="12">
        <v>138</v>
      </c>
      <c r="G60" s="9" t="s">
        <v>211</v>
      </c>
      <c r="H60" s="12" t="s">
        <v>487</v>
      </c>
      <c r="I60" s="9" t="s">
        <v>114</v>
      </c>
      <c r="J60" s="60"/>
      <c r="K60" s="113">
        <v>8.3472046842284922</v>
      </c>
      <c r="L60" s="113">
        <v>3.4964801415848386</v>
      </c>
      <c r="M60" s="113">
        <v>17.382800799735765</v>
      </c>
      <c r="N60" s="113">
        <v>7.0806262443193777</v>
      </c>
      <c r="O60" s="113">
        <v>19.785991707843543</v>
      </c>
      <c r="P60" s="113">
        <v>7.1619327952049483</v>
      </c>
      <c r="Q60" s="116" t="s">
        <v>767</v>
      </c>
    </row>
    <row r="61" spans="1:17" x14ac:dyDescent="0.3">
      <c r="A61" s="5"/>
      <c r="B61" s="5"/>
      <c r="C61" s="8">
        <v>56</v>
      </c>
      <c r="D61" s="9" t="s">
        <v>765</v>
      </c>
      <c r="E61" s="12" t="s">
        <v>487</v>
      </c>
      <c r="F61" s="12">
        <v>138</v>
      </c>
      <c r="G61" s="9" t="s">
        <v>211</v>
      </c>
      <c r="H61" s="12" t="s">
        <v>487</v>
      </c>
      <c r="I61" s="9" t="s">
        <v>114</v>
      </c>
      <c r="J61" s="60"/>
      <c r="K61" s="113">
        <v>4.6442853654962759</v>
      </c>
      <c r="L61" s="113">
        <v>1.9453999472413448</v>
      </c>
      <c r="M61" s="113">
        <v>9.6715835323992057</v>
      </c>
      <c r="N61" s="113">
        <v>3.9395761921562085</v>
      </c>
      <c r="O61" s="113">
        <v>11.008690358844571</v>
      </c>
      <c r="P61" s="113">
        <v>3.9848141896274223</v>
      </c>
      <c r="Q61" s="116" t="s">
        <v>766</v>
      </c>
    </row>
    <row r="62" spans="1:17" x14ac:dyDescent="0.3">
      <c r="A62" s="5"/>
      <c r="B62" s="5"/>
      <c r="C62" s="8">
        <v>57</v>
      </c>
      <c r="D62" s="9" t="s">
        <v>940</v>
      </c>
      <c r="E62" s="12" t="s">
        <v>506</v>
      </c>
      <c r="F62" s="12">
        <v>230</v>
      </c>
      <c r="G62" s="12" t="s">
        <v>211</v>
      </c>
      <c r="H62" s="12" t="s">
        <v>506</v>
      </c>
      <c r="I62" s="9" t="s">
        <v>114</v>
      </c>
      <c r="J62" s="60"/>
      <c r="K62" s="113">
        <f>+SUM(K63:K64)</f>
        <v>0.71528759232409078</v>
      </c>
      <c r="L62" s="113">
        <f t="shared" ref="L62:P62" si="7">+SUM(L63:L64)</f>
        <v>0.34886194301569096</v>
      </c>
      <c r="M62" s="113">
        <f t="shared" si="7"/>
        <v>1.5648773294907028</v>
      </c>
      <c r="N62" s="113">
        <f t="shared" si="7"/>
        <v>0.52627149234160597</v>
      </c>
      <c r="O62" s="113">
        <f t="shared" si="7"/>
        <v>2.16433757942159</v>
      </c>
      <c r="P62" s="113">
        <f t="shared" si="7"/>
        <v>0.28194635765223724</v>
      </c>
      <c r="Q62" s="10" t="s">
        <v>762</v>
      </c>
    </row>
    <row r="63" spans="1:17" x14ac:dyDescent="0.3">
      <c r="A63" s="5" t="e">
        <f>VLOOKUP(#REF!,'[2]Listas Desplegables'!$H$3:$J$7,2,FALSE)</f>
        <v>#REF!</v>
      </c>
      <c r="B63" s="5" t="e">
        <f>VLOOKUP(#REF!,'[2]Listas Desplegables'!$H$3:$J$7,3,FALSE)</f>
        <v>#REF!</v>
      </c>
      <c r="C63" s="8">
        <v>58</v>
      </c>
      <c r="D63" s="9" t="s">
        <v>611</v>
      </c>
      <c r="E63" s="12" t="s">
        <v>506</v>
      </c>
      <c r="F63" s="12">
        <v>13.8</v>
      </c>
      <c r="G63" s="12" t="s">
        <v>211</v>
      </c>
      <c r="H63" s="12" t="s">
        <v>506</v>
      </c>
      <c r="I63" s="9" t="s">
        <v>114</v>
      </c>
      <c r="J63" s="60"/>
      <c r="K63" s="113">
        <v>0.71528759232409078</v>
      </c>
      <c r="L63" s="113">
        <v>0.34886194301569096</v>
      </c>
      <c r="M63" s="113">
        <v>1.3119385047325531</v>
      </c>
      <c r="N63" s="113">
        <v>0.41852000420304614</v>
      </c>
      <c r="O63" s="113">
        <v>2.1266532584303897</v>
      </c>
      <c r="P63" s="113">
        <v>0.26589290413368177</v>
      </c>
      <c r="Q63" s="116" t="s">
        <v>739</v>
      </c>
    </row>
    <row r="64" spans="1:17" x14ac:dyDescent="0.3">
      <c r="A64" s="5" t="e">
        <f>VLOOKUP(#REF!,'[2]Listas Desplegables'!$H$3:$J$7,2,FALSE)</f>
        <v>#REF!</v>
      </c>
      <c r="B64" s="5" t="e">
        <f>VLOOKUP(#REF!,'[2]Listas Desplegables'!$H$3:$J$7,3,FALSE)</f>
        <v>#REF!</v>
      </c>
      <c r="C64" s="8">
        <v>59</v>
      </c>
      <c r="D64" s="9" t="s">
        <v>612</v>
      </c>
      <c r="E64" s="12" t="s">
        <v>506</v>
      </c>
      <c r="F64" s="12">
        <v>34.5</v>
      </c>
      <c r="G64" s="12" t="s">
        <v>0</v>
      </c>
      <c r="H64" s="12" t="s">
        <v>506</v>
      </c>
      <c r="I64" s="9" t="s">
        <v>114</v>
      </c>
      <c r="J64" s="60"/>
      <c r="K64" s="113">
        <v>0</v>
      </c>
      <c r="L64" s="113">
        <v>0</v>
      </c>
      <c r="M64" s="113">
        <v>0.25293882475814966</v>
      </c>
      <c r="N64" s="113">
        <v>0.10775148813855984</v>
      </c>
      <c r="O64" s="113">
        <v>3.7684320991200337E-2</v>
      </c>
      <c r="P64" s="113">
        <v>1.6053453518555489E-2</v>
      </c>
      <c r="Q64" s="116" t="s">
        <v>763</v>
      </c>
    </row>
    <row r="65" spans="1:17" x14ac:dyDescent="0.3">
      <c r="A65" s="5" t="e">
        <f>VLOOKUP(#REF!,'[2]Listas Desplegables'!$H$3:$J$7,2,FALSE)</f>
        <v>#REF!</v>
      </c>
      <c r="B65" s="5" t="e">
        <f>VLOOKUP(#REF!,'[2]Listas Desplegables'!$H$3:$J$7,3,FALSE)</f>
        <v>#REF!</v>
      </c>
      <c r="C65" s="8">
        <v>60</v>
      </c>
      <c r="D65" s="9" t="s">
        <v>613</v>
      </c>
      <c r="E65" s="12" t="s">
        <v>471</v>
      </c>
      <c r="F65" s="12">
        <v>115</v>
      </c>
      <c r="G65" s="12" t="s">
        <v>0</v>
      </c>
      <c r="H65" s="12" t="s">
        <v>471</v>
      </c>
      <c r="I65" s="9" t="s">
        <v>114</v>
      </c>
      <c r="J65" s="60"/>
      <c r="K65" s="113">
        <v>8.858960703205792</v>
      </c>
      <c r="L65" s="113">
        <v>3.4814871311883797</v>
      </c>
      <c r="M65" s="113">
        <v>5.6129360384615392</v>
      </c>
      <c r="N65" s="113">
        <v>2.2483525192307692</v>
      </c>
      <c r="O65" s="113">
        <v>7.2995194354887776</v>
      </c>
      <c r="P65" s="113">
        <v>2.880473275298657</v>
      </c>
      <c r="Q65" s="25" t="s">
        <v>760</v>
      </c>
    </row>
    <row r="66" spans="1:17" x14ac:dyDescent="0.3">
      <c r="A66" s="5" t="e">
        <f>VLOOKUP(#REF!,'[2]Listas Desplegables'!$H$3:$J$7,2,FALSE)</f>
        <v>#REF!</v>
      </c>
      <c r="B66" s="5" t="e">
        <f>VLOOKUP(#REF!,'[2]Listas Desplegables'!$H$3:$J$7,3,FALSE)</f>
        <v>#REF!</v>
      </c>
      <c r="C66" s="8">
        <v>61</v>
      </c>
      <c r="D66" s="9" t="s">
        <v>614</v>
      </c>
      <c r="E66" s="12" t="s">
        <v>477</v>
      </c>
      <c r="F66" s="12">
        <v>115</v>
      </c>
      <c r="G66" s="12" t="s">
        <v>0</v>
      </c>
      <c r="H66" s="12" t="s">
        <v>477</v>
      </c>
      <c r="I66" s="9" t="s">
        <v>114</v>
      </c>
      <c r="J66" s="60"/>
      <c r="K66" s="113">
        <v>4.1994233122171947</v>
      </c>
      <c r="L66" s="113">
        <v>2.539801552873107</v>
      </c>
      <c r="M66" s="113">
        <v>3.5334693877551016</v>
      </c>
      <c r="N66" s="113">
        <v>1.6140670384615383</v>
      </c>
      <c r="O66" s="113">
        <v>4.4935500299700299</v>
      </c>
      <c r="P66" s="113">
        <v>3.1714263669277929</v>
      </c>
      <c r="Q66" s="25" t="s">
        <v>761</v>
      </c>
    </row>
    <row r="67" spans="1:17" x14ac:dyDescent="0.3">
      <c r="A67" s="5"/>
      <c r="B67" s="5"/>
      <c r="C67" s="8">
        <v>63</v>
      </c>
      <c r="D67" s="9" t="s">
        <v>748</v>
      </c>
      <c r="E67" s="12" t="s">
        <v>534</v>
      </c>
      <c r="F67" s="12">
        <v>13.8</v>
      </c>
      <c r="G67" s="12" t="s">
        <v>211</v>
      </c>
      <c r="H67" s="12" t="s">
        <v>534</v>
      </c>
      <c r="I67" s="12" t="s">
        <v>89</v>
      </c>
      <c r="J67" s="60">
        <v>47483</v>
      </c>
      <c r="K67" s="113">
        <f>+K41*37%+K43*9%</f>
        <v>1.0728488159513896</v>
      </c>
      <c r="L67" s="113">
        <f t="shared" ref="L67:P67" si="8">+L41*37%+L43*9%</f>
        <v>0.66276226573634356</v>
      </c>
      <c r="M67" s="113">
        <f t="shared" si="8"/>
        <v>1.7355804347500001</v>
      </c>
      <c r="N67" s="113">
        <f t="shared" si="8"/>
        <v>1.13904005558</v>
      </c>
      <c r="O67" s="113">
        <f t="shared" si="8"/>
        <v>2.2341401615788059</v>
      </c>
      <c r="P67" s="113">
        <f t="shared" si="8"/>
        <v>0.95810543246044777</v>
      </c>
      <c r="Q67" s="25" t="s">
        <v>797</v>
      </c>
    </row>
    <row r="68" spans="1:17" x14ac:dyDescent="0.3">
      <c r="A68" s="5" t="e">
        <f>VLOOKUP(#REF!,'[2]Listas Desplegables'!$H$3:$J$7,2,FALSE)</f>
        <v>#REF!</v>
      </c>
      <c r="B68" s="5" t="e">
        <f>VLOOKUP(#REF!,'[2]Listas Desplegables'!$H$3:$J$7,3,FALSE)</f>
        <v>#REF!</v>
      </c>
      <c r="C68" s="8">
        <v>64</v>
      </c>
      <c r="D68" s="9" t="s">
        <v>687</v>
      </c>
      <c r="E68" s="12" t="s">
        <v>542</v>
      </c>
      <c r="F68" s="12">
        <v>34.5</v>
      </c>
      <c r="G68" s="12" t="s">
        <v>211</v>
      </c>
      <c r="H68" s="12" t="s">
        <v>542</v>
      </c>
      <c r="I68" s="12" t="s">
        <v>89</v>
      </c>
      <c r="J68" s="60">
        <v>46752</v>
      </c>
      <c r="K68" s="113">
        <f>+K18*40%</f>
        <v>0.4402169422439931</v>
      </c>
      <c r="L68" s="113">
        <f t="shared" ref="L68:P68" si="9">+L18*40%</f>
        <v>0.18753163210887566</v>
      </c>
      <c r="M68" s="113">
        <f t="shared" si="9"/>
        <v>2.6835657819522165</v>
      </c>
      <c r="N68" s="113">
        <f t="shared" si="9"/>
        <v>1.1431942359958041</v>
      </c>
      <c r="O68" s="113">
        <f t="shared" si="9"/>
        <v>2.1958750125727127</v>
      </c>
      <c r="P68" s="113">
        <f t="shared" si="9"/>
        <v>0.93543883821404139</v>
      </c>
      <c r="Q68" s="25" t="s">
        <v>769</v>
      </c>
    </row>
    <row r="69" spans="1:17" x14ac:dyDescent="0.3">
      <c r="A69" s="5"/>
      <c r="B69" s="5"/>
      <c r="C69" s="8">
        <v>65</v>
      </c>
      <c r="D69" s="9" t="s">
        <v>749</v>
      </c>
      <c r="E69" s="12" t="s">
        <v>542</v>
      </c>
      <c r="F69" s="12">
        <v>13.8</v>
      </c>
      <c r="G69" s="12" t="s">
        <v>211</v>
      </c>
      <c r="H69" s="12" t="s">
        <v>542</v>
      </c>
      <c r="I69" s="12" t="s">
        <v>89</v>
      </c>
      <c r="J69" s="60">
        <v>46752</v>
      </c>
      <c r="K69" s="113">
        <f>+K16*5%+K17*31%+K11*20%+K23*5%</f>
        <v>4.7416402481778741</v>
      </c>
      <c r="L69" s="113">
        <f t="shared" ref="L69:P69" si="10">+L16*5%+L17*31%+L11*20%+L23*5%</f>
        <v>1.8270414091864793</v>
      </c>
      <c r="M69" s="113">
        <f t="shared" si="10"/>
        <v>6.22289916033575</v>
      </c>
      <c r="N69" s="113">
        <f t="shared" si="10"/>
        <v>2.4243971126871533</v>
      </c>
      <c r="O69" s="113">
        <f t="shared" si="10"/>
        <v>9.3368471279083689</v>
      </c>
      <c r="P69" s="113">
        <f t="shared" si="10"/>
        <v>3.2351594990376071</v>
      </c>
      <c r="Q69" s="96" t="s">
        <v>770</v>
      </c>
    </row>
    <row r="70" spans="1:17" x14ac:dyDescent="0.3">
      <c r="A70" s="5"/>
      <c r="B70" s="5"/>
      <c r="C70" s="8">
        <v>66</v>
      </c>
      <c r="D70" s="9" t="s">
        <v>773</v>
      </c>
      <c r="E70" s="12" t="s">
        <v>628</v>
      </c>
      <c r="F70" s="12">
        <v>13.8</v>
      </c>
      <c r="G70" s="12" t="s">
        <v>211</v>
      </c>
      <c r="H70" s="12" t="s">
        <v>522</v>
      </c>
      <c r="I70" s="12" t="s">
        <v>89</v>
      </c>
      <c r="J70" s="60">
        <v>46387</v>
      </c>
      <c r="K70" s="113">
        <f t="shared" ref="K70:P70" si="11">+K6*8%+39%*K38</f>
        <v>0.33127767427991689</v>
      </c>
      <c r="L70" s="113">
        <f t="shared" si="11"/>
        <v>0.12475304584543087</v>
      </c>
      <c r="M70" s="113">
        <f t="shared" si="11"/>
        <v>0.55657726225140713</v>
      </c>
      <c r="N70" s="113">
        <f t="shared" si="11"/>
        <v>0.1948792912195122</v>
      </c>
      <c r="O70" s="113">
        <f t="shared" si="11"/>
        <v>0.81453411255462671</v>
      </c>
      <c r="P70" s="113">
        <f t="shared" si="11"/>
        <v>0.14074503308709119</v>
      </c>
      <c r="Q70" s="96" t="s">
        <v>771</v>
      </c>
    </row>
    <row r="71" spans="1:17" x14ac:dyDescent="0.3">
      <c r="A71" s="5"/>
      <c r="B71" s="5"/>
      <c r="C71" s="8">
        <v>67</v>
      </c>
      <c r="D71" s="9" t="s">
        <v>690</v>
      </c>
      <c r="E71" s="12" t="s">
        <v>635</v>
      </c>
      <c r="F71" s="12">
        <v>13.8</v>
      </c>
      <c r="G71" s="12" t="s">
        <v>211</v>
      </c>
      <c r="H71" s="12" t="s">
        <v>522</v>
      </c>
      <c r="I71" s="12" t="s">
        <v>89</v>
      </c>
      <c r="J71" s="60">
        <v>46387</v>
      </c>
      <c r="K71" s="113">
        <f>+K39*13%+K22*8%</f>
        <v>0.9104083569416126</v>
      </c>
      <c r="L71" s="113">
        <f t="shared" ref="L71:P71" si="12">+L39*13%+L22*8%</f>
        <v>0.47809935745761706</v>
      </c>
      <c r="M71" s="113">
        <f t="shared" si="12"/>
        <v>1.9380103386809271</v>
      </c>
      <c r="N71" s="113">
        <f t="shared" si="12"/>
        <v>1.0006613050980393</v>
      </c>
      <c r="O71" s="113">
        <f t="shared" si="12"/>
        <v>2.293538412399875</v>
      </c>
      <c r="P71" s="113">
        <f t="shared" si="12"/>
        <v>0.90746481128319401</v>
      </c>
      <c r="Q71" s="96" t="s">
        <v>911</v>
      </c>
    </row>
    <row r="72" spans="1:17" x14ac:dyDescent="0.3">
      <c r="A72" s="5"/>
      <c r="B72" s="5"/>
      <c r="C72" s="8">
        <v>68</v>
      </c>
      <c r="D72" s="9" t="s">
        <v>691</v>
      </c>
      <c r="E72" s="12" t="s">
        <v>621</v>
      </c>
      <c r="F72" s="12">
        <v>13.8</v>
      </c>
      <c r="G72" s="12" t="s">
        <v>211</v>
      </c>
      <c r="H72" s="12" t="s">
        <v>485</v>
      </c>
      <c r="I72" s="12" t="s">
        <v>114</v>
      </c>
      <c r="J72" s="60">
        <v>45291</v>
      </c>
      <c r="K72" s="113">
        <f>+K24*40%+K58*38%</f>
        <v>1.2419449007816064</v>
      </c>
      <c r="L72" s="113">
        <f t="shared" ref="L72:P72" si="13">+L24*40%+L58*38%</f>
        <v>0.52044122675507587</v>
      </c>
      <c r="M72" s="113">
        <f t="shared" si="13"/>
        <v>1.7064911029304028</v>
      </c>
      <c r="N72" s="113">
        <f t="shared" si="13"/>
        <v>0.84315841978021977</v>
      </c>
      <c r="O72" s="113">
        <f t="shared" si="13"/>
        <v>2.2205497384510018</v>
      </c>
      <c r="P72" s="113">
        <f t="shared" si="13"/>
        <v>0.86430787213458893</v>
      </c>
      <c r="Q72" s="96" t="s">
        <v>910</v>
      </c>
    </row>
    <row r="73" spans="1:17" x14ac:dyDescent="0.3">
      <c r="A73" s="5"/>
      <c r="B73" s="5"/>
      <c r="C73" s="8">
        <v>69</v>
      </c>
      <c r="D73" s="9" t="s">
        <v>688</v>
      </c>
      <c r="E73" s="12" t="s">
        <v>487</v>
      </c>
      <c r="F73" s="12">
        <v>34.5</v>
      </c>
      <c r="G73" s="12" t="s">
        <v>136</v>
      </c>
      <c r="H73" s="12" t="s">
        <v>487</v>
      </c>
      <c r="I73" s="12" t="s">
        <v>114</v>
      </c>
      <c r="J73" s="60">
        <v>44927</v>
      </c>
      <c r="K73" s="113">
        <f>(0.3129*K18)+(0.9096*K56)</f>
        <v>6.3075522525010577</v>
      </c>
      <c r="L73" s="113">
        <f t="shared" ref="L73:P73" si="14">(0.3129*L18)+(0.9096*L56)</f>
        <v>1.7692224054675516</v>
      </c>
      <c r="M73" s="113">
        <f t="shared" si="14"/>
        <v>15.038575925548809</v>
      </c>
      <c r="N73" s="113">
        <f t="shared" si="14"/>
        <v>5.9739487694959985</v>
      </c>
      <c r="O73" s="113">
        <f t="shared" si="14"/>
        <v>13.539364677746336</v>
      </c>
      <c r="P73" s="113">
        <f t="shared" si="14"/>
        <v>6.4097061803970377</v>
      </c>
      <c r="Q73" s="96" t="s">
        <v>772</v>
      </c>
    </row>
    <row r="74" spans="1:17" x14ac:dyDescent="0.3">
      <c r="A74" s="5"/>
      <c r="B74" s="5"/>
      <c r="C74" s="8">
        <v>70</v>
      </c>
      <c r="D74" s="9" t="s">
        <v>689</v>
      </c>
      <c r="E74" s="12" t="s">
        <v>487</v>
      </c>
      <c r="F74" s="12">
        <v>34.5</v>
      </c>
      <c r="G74" s="12" t="s">
        <v>0</v>
      </c>
      <c r="H74" s="12" t="s">
        <v>487</v>
      </c>
      <c r="I74" s="12" t="s">
        <v>114</v>
      </c>
      <c r="J74" s="60">
        <v>44927</v>
      </c>
      <c r="K74" s="113">
        <f>(0.8967*K31)</f>
        <v>3.2018500093775164</v>
      </c>
      <c r="L74" s="113">
        <f t="shared" ref="L74:P74" si="15">(0.8967*L31)</f>
        <v>2.7191921851134047</v>
      </c>
      <c r="M74" s="113">
        <f t="shared" si="15"/>
        <v>7.796440922307692</v>
      </c>
      <c r="N74" s="113">
        <f t="shared" si="15"/>
        <v>5.6727554431058822</v>
      </c>
      <c r="O74" s="113">
        <f t="shared" si="15"/>
        <v>9.4715288366157324</v>
      </c>
      <c r="P74" s="113">
        <f t="shared" si="15"/>
        <v>6.2196605190015228</v>
      </c>
      <c r="Q74" s="96" t="s">
        <v>920</v>
      </c>
    </row>
    <row r="75" spans="1:17" x14ac:dyDescent="0.3">
      <c r="A75" s="5"/>
      <c r="B75" s="5"/>
      <c r="C75" s="8">
        <v>73</v>
      </c>
      <c r="D75" s="9" t="s">
        <v>918</v>
      </c>
      <c r="E75" s="12" t="s">
        <v>810</v>
      </c>
      <c r="F75" s="12">
        <v>13.8</v>
      </c>
      <c r="G75" s="12" t="s">
        <v>0</v>
      </c>
      <c r="H75" s="12" t="s">
        <v>479</v>
      </c>
      <c r="I75" s="12" t="s">
        <v>89</v>
      </c>
      <c r="J75" s="60">
        <v>46752</v>
      </c>
      <c r="K75" s="113">
        <f>+K30*25%</f>
        <v>1.4877636250453199</v>
      </c>
      <c r="L75" s="113">
        <f t="shared" ref="L75:P75" si="16">+L30*25%</f>
        <v>0.59791752004546161</v>
      </c>
      <c r="M75" s="113">
        <f t="shared" si="16"/>
        <v>2.3573000000000004</v>
      </c>
      <c r="N75" s="113">
        <f t="shared" si="16"/>
        <v>1.370561224489796</v>
      </c>
      <c r="O75" s="113">
        <f t="shared" si="16"/>
        <v>2.8526904775749125</v>
      </c>
      <c r="P75" s="113">
        <f t="shared" si="16"/>
        <v>1.3419727371626207</v>
      </c>
      <c r="Q75" s="96" t="s">
        <v>919</v>
      </c>
    </row>
    <row r="76" spans="1:17" x14ac:dyDescent="0.3">
      <c r="A76" s="5"/>
      <c r="B76" s="5"/>
      <c r="C76" s="8">
        <v>74</v>
      </c>
      <c r="D76" s="12"/>
      <c r="E76" s="12"/>
      <c r="F76" s="12"/>
      <c r="G76" s="12"/>
      <c r="H76" s="12"/>
      <c r="I76" s="12"/>
      <c r="J76" s="60"/>
      <c r="K76" s="113"/>
      <c r="L76" s="113"/>
      <c r="M76" s="113"/>
      <c r="N76" s="113"/>
      <c r="O76" s="113"/>
      <c r="P76" s="113"/>
      <c r="Q76" s="96"/>
    </row>
    <row r="77" spans="1:17" x14ac:dyDescent="0.3">
      <c r="A77" s="5"/>
      <c r="B77" s="5"/>
      <c r="C77" s="8">
        <v>75</v>
      </c>
      <c r="D77" s="12"/>
      <c r="E77" s="12"/>
      <c r="F77" s="12"/>
      <c r="G77" s="12"/>
      <c r="H77" s="12"/>
      <c r="I77" s="12"/>
      <c r="J77" s="60"/>
      <c r="K77" s="113"/>
      <c r="L77" s="113"/>
      <c r="M77" s="113"/>
      <c r="N77" s="113"/>
      <c r="O77" s="113"/>
      <c r="P77" s="113"/>
      <c r="Q77" s="96"/>
    </row>
    <row r="78" spans="1:17" x14ac:dyDescent="0.3">
      <c r="A78" s="5"/>
      <c r="B78" s="5"/>
      <c r="C78" s="8">
        <v>76</v>
      </c>
      <c r="D78" s="12"/>
      <c r="E78" s="12"/>
      <c r="F78" s="12"/>
      <c r="G78" s="12"/>
      <c r="H78" s="12"/>
      <c r="I78" s="12"/>
      <c r="J78" s="60"/>
      <c r="K78" s="113"/>
      <c r="L78" s="113"/>
      <c r="M78" s="113"/>
      <c r="N78" s="113"/>
      <c r="O78" s="113"/>
      <c r="P78" s="113"/>
      <c r="Q78" s="96"/>
    </row>
    <row r="79" spans="1:17" x14ac:dyDescent="0.3">
      <c r="A79" s="5"/>
      <c r="B79" s="5"/>
      <c r="C79" s="8">
        <v>77</v>
      </c>
      <c r="D79" s="12"/>
      <c r="E79" s="12"/>
      <c r="F79" s="12"/>
      <c r="G79" s="12"/>
      <c r="H79" s="12"/>
      <c r="I79" s="12"/>
      <c r="J79" s="60"/>
      <c r="K79" s="113"/>
      <c r="L79" s="113"/>
      <c r="M79" s="113"/>
      <c r="N79" s="113"/>
      <c r="O79" s="113"/>
      <c r="P79" s="113"/>
      <c r="Q79" s="96"/>
    </row>
    <row r="80" spans="1:17" x14ac:dyDescent="0.3">
      <c r="A80" s="5"/>
      <c r="B80" s="5"/>
      <c r="C80" s="8">
        <v>78</v>
      </c>
      <c r="D80" s="12"/>
      <c r="E80" s="12"/>
      <c r="F80" s="12"/>
      <c r="G80" s="12"/>
      <c r="H80" s="12"/>
      <c r="I80" s="12"/>
      <c r="J80" s="60"/>
      <c r="K80" s="113"/>
      <c r="L80" s="113"/>
      <c r="M80" s="113"/>
      <c r="N80" s="113"/>
      <c r="O80" s="113"/>
      <c r="P80" s="113"/>
      <c r="Q80" s="96"/>
    </row>
    <row r="81" spans="1:17" x14ac:dyDescent="0.3">
      <c r="A81" s="5"/>
      <c r="B81" s="5"/>
      <c r="C81" s="8">
        <v>79</v>
      </c>
      <c r="D81" s="12"/>
      <c r="E81" s="12"/>
      <c r="F81" s="12"/>
      <c r="G81" s="12"/>
      <c r="H81" s="12"/>
      <c r="I81" s="12"/>
      <c r="J81" s="60"/>
      <c r="K81" s="113"/>
      <c r="L81" s="113"/>
      <c r="M81" s="113"/>
      <c r="N81" s="113"/>
      <c r="O81" s="113"/>
      <c r="P81" s="113"/>
      <c r="Q81" s="96"/>
    </row>
    <row r="82" spans="1:17" x14ac:dyDescent="0.3">
      <c r="A82" s="5"/>
      <c r="B82" s="5"/>
      <c r="C82" s="8">
        <v>80</v>
      </c>
      <c r="D82" s="12"/>
      <c r="E82" s="12"/>
      <c r="F82" s="12"/>
      <c r="G82" s="12"/>
      <c r="H82" s="12"/>
      <c r="I82" s="12"/>
      <c r="J82" s="60"/>
      <c r="K82" s="113"/>
      <c r="L82" s="113"/>
      <c r="M82" s="113"/>
      <c r="N82" s="113"/>
      <c r="O82" s="113"/>
      <c r="P82" s="113"/>
      <c r="Q82" s="96"/>
    </row>
    <row r="83" spans="1:17" x14ac:dyDescent="0.3">
      <c r="A83" s="5"/>
      <c r="B83" s="5"/>
      <c r="C83" s="8">
        <v>81</v>
      </c>
      <c r="D83" s="12"/>
      <c r="E83" s="12"/>
      <c r="F83" s="12"/>
      <c r="G83" s="12"/>
      <c r="H83" s="12"/>
      <c r="I83" s="12"/>
      <c r="J83" s="60"/>
      <c r="K83" s="113"/>
      <c r="L83" s="113"/>
      <c r="M83" s="113"/>
      <c r="N83" s="113"/>
      <c r="O83" s="113"/>
      <c r="P83" s="113"/>
      <c r="Q83" s="96"/>
    </row>
    <row r="84" spans="1:17" x14ac:dyDescent="0.3">
      <c r="A84" s="5"/>
      <c r="B84" s="5"/>
      <c r="C84" s="8">
        <v>82</v>
      </c>
      <c r="D84" s="12"/>
      <c r="E84" s="12"/>
      <c r="F84" s="12"/>
      <c r="G84" s="12"/>
      <c r="H84" s="12"/>
      <c r="I84" s="12"/>
      <c r="J84" s="60"/>
      <c r="K84" s="113"/>
      <c r="L84" s="113"/>
      <c r="M84" s="113"/>
      <c r="N84" s="113"/>
      <c r="O84" s="113"/>
      <c r="P84" s="113"/>
      <c r="Q84" s="96"/>
    </row>
    <row r="85" spans="1:17" ht="15" thickBot="1" x14ac:dyDescent="0.35">
      <c r="A85" s="5" t="e">
        <f>VLOOKUP(#REF!,'[2]Listas Desplegables'!$H$3:$J$7,2,FALSE)</f>
        <v>#REF!</v>
      </c>
      <c r="B85" s="5" t="e">
        <f>VLOOKUP(#REF!,'[2]Listas Desplegables'!$H$3:$J$7,3,FALSE)</f>
        <v>#REF!</v>
      </c>
      <c r="C85" s="8">
        <v>83</v>
      </c>
      <c r="D85" s="14"/>
      <c r="E85" s="14"/>
      <c r="F85" s="14"/>
      <c r="G85" s="14"/>
      <c r="H85" s="14"/>
      <c r="I85" s="14"/>
      <c r="J85" s="61"/>
      <c r="K85" s="14"/>
      <c r="L85" s="14"/>
      <c r="M85" s="14"/>
      <c r="N85" s="14"/>
      <c r="O85" s="14"/>
      <c r="P85" s="14"/>
      <c r="Q85" s="26"/>
    </row>
    <row r="86" spans="1:17" x14ac:dyDescent="0.3">
      <c r="A86" s="5"/>
      <c r="B86" s="5"/>
    </row>
    <row r="87" spans="1:17" x14ac:dyDescent="0.3">
      <c r="A87" s="5"/>
      <c r="B87" s="5"/>
      <c r="E87" s="55"/>
      <c r="G87" s="118"/>
    </row>
    <row r="88" spans="1:17" x14ac:dyDescent="0.3">
      <c r="A88" s="5"/>
      <c r="B88" s="5"/>
      <c r="E88" s="55"/>
      <c r="G88" s="118"/>
    </row>
    <row r="89" spans="1:17" x14ac:dyDescent="0.3">
      <c r="A89" s="5"/>
      <c r="B89" s="5"/>
      <c r="E89" s="55"/>
      <c r="F89" s="114"/>
      <c r="G89" s="118"/>
    </row>
    <row r="90" spans="1:17" x14ac:dyDescent="0.3">
      <c r="M90" s="114"/>
      <c r="N90" s="114"/>
      <c r="O90" s="114"/>
      <c r="P90" s="114"/>
    </row>
    <row r="91" spans="1:17" x14ac:dyDescent="0.3">
      <c r="K91" s="114"/>
      <c r="L91" s="114"/>
      <c r="M91" s="114"/>
      <c r="N91" s="114"/>
      <c r="O91" s="114"/>
      <c r="P91" s="114"/>
    </row>
  </sheetData>
  <mergeCells count="14">
    <mergeCell ref="C2:I2"/>
    <mergeCell ref="C3:Q3"/>
    <mergeCell ref="C4:C5"/>
    <mergeCell ref="D4:D5"/>
    <mergeCell ref="E4:E5"/>
    <mergeCell ref="F4:F5"/>
    <mergeCell ref="G4:G5"/>
    <mergeCell ref="H4:H5"/>
    <mergeCell ref="Q4:Q5"/>
    <mergeCell ref="K4:L4"/>
    <mergeCell ref="M4:N4"/>
    <mergeCell ref="O4:P4"/>
    <mergeCell ref="I4:I5"/>
    <mergeCell ref="J4:J5"/>
  </mergeCells>
  <phoneticPr fontId="28" type="noConversion"/>
  <dataValidations count="4">
    <dataValidation type="decimal" allowBlank="1" showInputMessage="1" showErrorMessage="1" sqref="F1 K1:P1 K91:P1048576 M88:P90 G87:G89 F6:F1048576 K6:P87" xr:uid="{00000000-0002-0000-0500-000000000000}">
      <formula1>-100000000</formula1>
      <formula2>100000000000</formula2>
    </dataValidation>
    <dataValidation type="date" operator="greaterThan" allowBlank="1" showInputMessage="1" showErrorMessage="1" sqref="J1 J91:J1048576 E87:E89 J6:J87" xr:uid="{00000000-0002-0000-0500-000001000000}">
      <formula1>1</formula1>
    </dataValidation>
    <dataValidation type="list" allowBlank="1" showInputMessage="1" showErrorMessage="1" sqref="I86:I87 D87:D89 I91:I1048576" xr:uid="{00000000-0002-0000-0500-000002000000}">
      <formula1>$B$89:$B$90</formula1>
    </dataValidation>
    <dataValidation type="list" allowBlank="1" showInputMessage="1" showErrorMessage="1" sqref="G86:G1048576" xr:uid="{00000000-0002-0000-0500-000003000000}">
      <formula1>$B$87:$B$88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4000000}">
          <x14:formula1>
            <xm:f>'C:\Users\aacosta\Downloads\[Circular_002_Anexo.xlsx]Listas Desplegables'!#REF!</xm:f>
          </x14:formula1>
          <xm:sqref>E86:E1048576 H86:H1048576</xm:sqref>
        </x14:dataValidation>
        <x14:dataValidation type="list" allowBlank="1" showInputMessage="1" showErrorMessage="1" xr:uid="{00000000-0002-0000-0500-000005000000}">
          <x14:formula1>
            <xm:f>'Listas Desplegables'!$B$53:$B$56</xm:f>
          </x14:formula1>
          <xm:sqref>G1 G6:G85</xm:sqref>
        </x14:dataValidation>
        <x14:dataValidation type="list" allowBlank="1" showInputMessage="1" showErrorMessage="1" xr:uid="{00000000-0002-0000-0500-000006000000}">
          <x14:formula1>
            <xm:f>'Listas Desplegables'!$B$58:$B$59</xm:f>
          </x14:formula1>
          <xm:sqref>I1 I6:I85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theme="9"/>
  </sheetPr>
  <dimension ref="A2:N57"/>
  <sheetViews>
    <sheetView workbookViewId="0"/>
    <sheetView workbookViewId="1">
      <selection activeCell="K14" sqref="K14"/>
    </sheetView>
  </sheetViews>
  <sheetFormatPr baseColWidth="10" defaultColWidth="11.5546875" defaultRowHeight="14.4" x14ac:dyDescent="0.3"/>
  <cols>
    <col min="1" max="2" width="3" style="3" customWidth="1"/>
    <col min="3" max="3" width="6.6640625" style="2" customWidth="1"/>
    <col min="4" max="4" width="35" bestFit="1" customWidth="1"/>
    <col min="5" max="5" width="14.5546875" customWidth="1"/>
    <col min="6" max="6" width="12.6640625" customWidth="1"/>
    <col min="10" max="11" width="14.88671875" customWidth="1"/>
    <col min="13" max="13" width="11.5546875" style="55"/>
    <col min="14" max="14" width="104.33203125" bestFit="1" customWidth="1"/>
  </cols>
  <sheetData>
    <row r="2" spans="1:14" ht="15" thickBot="1" x14ac:dyDescent="0.35"/>
    <row r="3" spans="1:14" s="1" customFormat="1" ht="15" thickBot="1" x14ac:dyDescent="0.35">
      <c r="A3" s="4"/>
      <c r="B3" s="4"/>
      <c r="C3" s="169" t="s">
        <v>53</v>
      </c>
      <c r="D3" s="170"/>
      <c r="E3" s="170"/>
      <c r="F3" s="170"/>
      <c r="G3" s="170"/>
      <c r="H3" s="170"/>
      <c r="I3" s="170"/>
      <c r="J3" s="170"/>
      <c r="K3" s="170"/>
      <c r="L3" s="170"/>
      <c r="M3" s="170"/>
      <c r="N3" s="171"/>
    </row>
    <row r="4" spans="1:14" s="6" customFormat="1" ht="12" customHeight="1" x14ac:dyDescent="0.3">
      <c r="A4" s="5"/>
      <c r="B4" s="5"/>
      <c r="C4" s="174" t="s">
        <v>3</v>
      </c>
      <c r="D4" s="172" t="str">
        <f>'Manual de Uso'!C126</f>
        <v>Nombre</v>
      </c>
      <c r="E4" s="172" t="str">
        <f>'Manual de Uso'!C127</f>
        <v>Subestación</v>
      </c>
      <c r="F4" s="172" t="str">
        <f>'Manual de Uso'!C128</f>
        <v>Nivel de tensión [kV]</v>
      </c>
      <c r="G4" s="172" t="str">
        <f>'Manual de Uso'!C129</f>
        <v>Capacidad [MVAr]</v>
      </c>
      <c r="H4" s="172" t="s">
        <v>245</v>
      </c>
      <c r="I4" s="172" t="str">
        <f>'Manual de Uso'!C131</f>
        <v>Número de pasos</v>
      </c>
      <c r="J4" s="172" t="str">
        <f>'Manual de Uso'!C132</f>
        <v>Tipo conexión</v>
      </c>
      <c r="K4" s="172" t="str">
        <f>'Manual de Uso'!C133</f>
        <v>Operabilidad</v>
      </c>
      <c r="L4" s="172" t="str">
        <f>'Manual de Uso'!C134</f>
        <v>En Operación</v>
      </c>
      <c r="M4" s="178" t="str">
        <f>'Manual de Uso'!C135</f>
        <v>FPO</v>
      </c>
      <c r="N4" s="172" t="str">
        <f>'Manual de Uso'!C136</f>
        <v>Observaciones transportador</v>
      </c>
    </row>
    <row r="5" spans="1:14" s="6" customFormat="1" ht="24" customHeight="1" thickBot="1" x14ac:dyDescent="0.35">
      <c r="A5" s="5"/>
      <c r="B5" s="5"/>
      <c r="C5" s="175"/>
      <c r="D5" s="173"/>
      <c r="E5" s="173"/>
      <c r="F5" s="173"/>
      <c r="G5" s="173"/>
      <c r="H5" s="173"/>
      <c r="I5" s="173"/>
      <c r="J5" s="173"/>
      <c r="K5" s="173"/>
      <c r="L5" s="173"/>
      <c r="M5" s="179"/>
      <c r="N5" s="173"/>
    </row>
    <row r="6" spans="1:14" x14ac:dyDescent="0.3">
      <c r="A6" s="3" t="e">
        <f>VLOOKUP(E6,'[2]Listas Desplegables'!$H$3:$J$7,2,FALSE)</f>
        <v>#N/A</v>
      </c>
      <c r="B6" s="3" t="e">
        <f>VLOOKUP(E6,'[2]Listas Desplegables'!$H$3:$J$7,3,FALSE)</f>
        <v>#N/A</v>
      </c>
      <c r="C6" s="21">
        <v>1</v>
      </c>
      <c r="D6" s="22" t="s">
        <v>383</v>
      </c>
      <c r="E6" s="22" t="s">
        <v>288</v>
      </c>
      <c r="F6" s="82">
        <v>115</v>
      </c>
      <c r="G6" s="87">
        <v>30</v>
      </c>
      <c r="H6" s="87" t="s">
        <v>247</v>
      </c>
      <c r="I6" s="87">
        <v>2</v>
      </c>
      <c r="J6" s="87" t="s">
        <v>140</v>
      </c>
      <c r="K6" s="87" t="s">
        <v>143</v>
      </c>
      <c r="L6" s="87" t="s">
        <v>114</v>
      </c>
      <c r="M6" s="105"/>
      <c r="N6" s="106"/>
    </row>
    <row r="7" spans="1:14" x14ac:dyDescent="0.3">
      <c r="A7" s="3" t="e">
        <f>VLOOKUP(E7,'[2]Listas Desplegables'!$H$3:$J$7,2,FALSE)</f>
        <v>#N/A</v>
      </c>
      <c r="B7" s="3" t="e">
        <f>VLOOKUP(E7,'[2]Listas Desplegables'!$H$3:$J$7,3,FALSE)</f>
        <v>#N/A</v>
      </c>
      <c r="C7" s="8">
        <v>2</v>
      </c>
      <c r="D7" s="9" t="s">
        <v>384</v>
      </c>
      <c r="E7" s="9" t="s">
        <v>295</v>
      </c>
      <c r="F7" s="83">
        <v>115</v>
      </c>
      <c r="G7" s="86">
        <v>5</v>
      </c>
      <c r="H7" s="86" t="s">
        <v>247</v>
      </c>
      <c r="I7" s="86">
        <v>1</v>
      </c>
      <c r="J7" s="86" t="s">
        <v>140</v>
      </c>
      <c r="K7" s="86" t="s">
        <v>143</v>
      </c>
      <c r="L7" s="86" t="s">
        <v>114</v>
      </c>
      <c r="M7" s="97"/>
      <c r="N7" s="107"/>
    </row>
    <row r="8" spans="1:14" x14ac:dyDescent="0.3">
      <c r="A8" s="3" t="e">
        <f>VLOOKUP(E8,'[2]Listas Desplegables'!$H$3:$J$7,2,FALSE)</f>
        <v>#N/A</v>
      </c>
      <c r="B8" s="3" t="e">
        <f>VLOOKUP(E8,'[2]Listas Desplegables'!$H$3:$J$7,3,FALSE)</f>
        <v>#N/A</v>
      </c>
      <c r="C8" s="8">
        <v>3</v>
      </c>
      <c r="D8" s="9" t="s">
        <v>385</v>
      </c>
      <c r="E8" s="9" t="s">
        <v>292</v>
      </c>
      <c r="F8" s="83">
        <v>115</v>
      </c>
      <c r="G8" s="86">
        <v>15</v>
      </c>
      <c r="H8" s="86" t="s">
        <v>247</v>
      </c>
      <c r="I8" s="86">
        <v>2</v>
      </c>
      <c r="J8" s="86" t="s">
        <v>140</v>
      </c>
      <c r="K8" s="86" t="s">
        <v>143</v>
      </c>
      <c r="L8" s="86" t="s">
        <v>114</v>
      </c>
      <c r="M8" s="97"/>
      <c r="N8" s="107"/>
    </row>
    <row r="9" spans="1:14" x14ac:dyDescent="0.3">
      <c r="A9" s="3" t="e">
        <f>VLOOKUP(E9,'[2]Listas Desplegables'!$H$3:$J$7,2,FALSE)</f>
        <v>#N/A</v>
      </c>
      <c r="B9" s="3" t="e">
        <f>VLOOKUP(E9,'[2]Listas Desplegables'!$H$3:$J$7,3,FALSE)</f>
        <v>#N/A</v>
      </c>
      <c r="C9" s="8">
        <v>4</v>
      </c>
      <c r="D9" s="9" t="s">
        <v>386</v>
      </c>
      <c r="E9" s="9" t="s">
        <v>287</v>
      </c>
      <c r="F9" s="83">
        <v>115</v>
      </c>
      <c r="G9" s="86">
        <v>5</v>
      </c>
      <c r="H9" s="86" t="s">
        <v>247</v>
      </c>
      <c r="I9" s="86">
        <v>1</v>
      </c>
      <c r="J9" s="86" t="s">
        <v>140</v>
      </c>
      <c r="K9" s="86" t="s">
        <v>143</v>
      </c>
      <c r="L9" s="86" t="s">
        <v>114</v>
      </c>
      <c r="M9" s="97">
        <v>45291</v>
      </c>
      <c r="N9" s="107" t="s">
        <v>805</v>
      </c>
    </row>
    <row r="10" spans="1:14" x14ac:dyDescent="0.3">
      <c r="A10" s="3" t="e">
        <f>VLOOKUP(E10,'[2]Listas Desplegables'!$H$3:$J$7,2,FALSE)</f>
        <v>#N/A</v>
      </c>
      <c r="B10" s="3" t="e">
        <f>VLOOKUP(E10,'[2]Listas Desplegables'!$H$3:$J$7,3,FALSE)</f>
        <v>#N/A</v>
      </c>
      <c r="C10" s="8">
        <v>5</v>
      </c>
      <c r="D10" s="9" t="s">
        <v>800</v>
      </c>
      <c r="E10" s="9" t="s">
        <v>293</v>
      </c>
      <c r="F10" s="83">
        <v>115</v>
      </c>
      <c r="G10" s="86">
        <v>80</v>
      </c>
      <c r="H10" s="86" t="s">
        <v>247</v>
      </c>
      <c r="I10" s="86">
        <v>15</v>
      </c>
      <c r="J10" s="86" t="s">
        <v>140</v>
      </c>
      <c r="K10" s="86" t="s">
        <v>143</v>
      </c>
      <c r="L10" s="86" t="s">
        <v>89</v>
      </c>
      <c r="M10" s="97">
        <v>47848</v>
      </c>
      <c r="N10" s="107" t="s">
        <v>805</v>
      </c>
    </row>
    <row r="11" spans="1:14" x14ac:dyDescent="0.3">
      <c r="A11" s="3" t="e">
        <f>VLOOKUP(E11,'[2]Listas Desplegables'!$H$3:$J$7,2,FALSE)</f>
        <v>#N/A</v>
      </c>
      <c r="B11" s="3" t="e">
        <f>VLOOKUP(E11,'[2]Listas Desplegables'!$H$3:$J$7,3,FALSE)</f>
        <v>#N/A</v>
      </c>
      <c r="C11" s="8">
        <v>6</v>
      </c>
      <c r="D11" s="9" t="s">
        <v>800</v>
      </c>
      <c r="E11" s="9" t="s">
        <v>296</v>
      </c>
      <c r="F11" s="83">
        <v>115</v>
      </c>
      <c r="G11" s="86">
        <v>80</v>
      </c>
      <c r="H11" s="86" t="s">
        <v>247</v>
      </c>
      <c r="I11" s="86">
        <v>15</v>
      </c>
      <c r="J11" s="86" t="s">
        <v>140</v>
      </c>
      <c r="K11" s="86" t="s">
        <v>143</v>
      </c>
      <c r="L11" s="86" t="s">
        <v>89</v>
      </c>
      <c r="M11" s="97">
        <v>48213</v>
      </c>
      <c r="N11" s="107" t="s">
        <v>805</v>
      </c>
    </row>
    <row r="12" spans="1:14" x14ac:dyDescent="0.3">
      <c r="A12" s="3" t="e">
        <f>VLOOKUP(E12,'[2]Listas Desplegables'!$H$3:$J$7,2,FALSE)</f>
        <v>#N/A</v>
      </c>
      <c r="B12" s="3" t="e">
        <f>VLOOKUP(E12,'[2]Listas Desplegables'!$H$3:$J$7,3,FALSE)</f>
        <v>#N/A</v>
      </c>
      <c r="C12" s="8">
        <v>7</v>
      </c>
      <c r="D12" s="9" t="s">
        <v>800</v>
      </c>
      <c r="E12" s="9" t="s">
        <v>291</v>
      </c>
      <c r="F12" s="83">
        <v>115</v>
      </c>
      <c r="G12" s="86">
        <v>80</v>
      </c>
      <c r="H12" s="86" t="s">
        <v>247</v>
      </c>
      <c r="I12" s="86">
        <v>15</v>
      </c>
      <c r="J12" s="86" t="s">
        <v>140</v>
      </c>
      <c r="K12" s="86" t="s">
        <v>143</v>
      </c>
      <c r="L12" s="86" t="s">
        <v>89</v>
      </c>
      <c r="M12" s="97">
        <v>48213</v>
      </c>
      <c r="N12" s="107" t="s">
        <v>805</v>
      </c>
    </row>
    <row r="13" spans="1:14" x14ac:dyDescent="0.3">
      <c r="A13" s="3" t="e">
        <f>VLOOKUP(E13,'[2]Listas Desplegables'!$H$3:$J$7,2,FALSE)</f>
        <v>#N/A</v>
      </c>
      <c r="B13" s="3" t="e">
        <f>VLOOKUP(E13,'[2]Listas Desplegables'!$H$3:$J$7,3,FALSE)</f>
        <v>#N/A</v>
      </c>
      <c r="C13" s="8">
        <v>8</v>
      </c>
      <c r="D13" s="9" t="s">
        <v>800</v>
      </c>
      <c r="E13" s="9" t="s">
        <v>289</v>
      </c>
      <c r="F13" s="83">
        <v>115</v>
      </c>
      <c r="G13" s="86">
        <v>80</v>
      </c>
      <c r="H13" s="86" t="s">
        <v>247</v>
      </c>
      <c r="I13" s="86">
        <v>15</v>
      </c>
      <c r="J13" s="86" t="s">
        <v>140</v>
      </c>
      <c r="K13" s="86" t="s">
        <v>143</v>
      </c>
      <c r="L13" s="86" t="s">
        <v>89</v>
      </c>
      <c r="M13" s="97">
        <v>48579</v>
      </c>
      <c r="N13" s="107" t="s">
        <v>805</v>
      </c>
    </row>
    <row r="14" spans="1:14" x14ac:dyDescent="0.3">
      <c r="A14" s="3" t="e">
        <f>VLOOKUP(E14,'[2]Listas Desplegables'!$H$3:$J$7,2,FALSE)</f>
        <v>#N/A</v>
      </c>
      <c r="B14" s="3" t="e">
        <f>VLOOKUP(E14,'[2]Listas Desplegables'!$H$3:$J$7,3,FALSE)</f>
        <v>#N/A</v>
      </c>
      <c r="C14" s="8">
        <v>9</v>
      </c>
      <c r="D14" s="9" t="s">
        <v>800</v>
      </c>
      <c r="E14" s="9" t="s">
        <v>294</v>
      </c>
      <c r="F14" s="83">
        <v>115</v>
      </c>
      <c r="G14" s="86">
        <v>80</v>
      </c>
      <c r="H14" s="86" t="s">
        <v>247</v>
      </c>
      <c r="I14" s="86">
        <v>15</v>
      </c>
      <c r="J14" s="86" t="s">
        <v>140</v>
      </c>
      <c r="K14" s="86" t="s">
        <v>143</v>
      </c>
      <c r="L14" s="86" t="s">
        <v>89</v>
      </c>
      <c r="M14" s="97">
        <v>48579</v>
      </c>
      <c r="N14" s="107" t="s">
        <v>805</v>
      </c>
    </row>
    <row r="15" spans="1:14" x14ac:dyDescent="0.3">
      <c r="A15" s="3" t="e">
        <f>VLOOKUP(E15,'[2]Listas Desplegables'!$H$3:$J$7,2,FALSE)</f>
        <v>#N/A</v>
      </c>
      <c r="B15" s="3" t="e">
        <f>VLOOKUP(E15,'[2]Listas Desplegables'!$H$3:$J$7,3,FALSE)</f>
        <v>#N/A</v>
      </c>
      <c r="C15" s="7">
        <v>10</v>
      </c>
      <c r="D15" s="9"/>
      <c r="E15" s="9"/>
      <c r="F15" s="9"/>
      <c r="G15" s="10"/>
      <c r="H15" s="10"/>
      <c r="I15" s="10"/>
      <c r="J15" s="10"/>
      <c r="K15" s="10"/>
      <c r="L15" s="10"/>
      <c r="M15" s="56"/>
      <c r="N15" s="25"/>
    </row>
    <row r="16" spans="1:14" x14ac:dyDescent="0.3">
      <c r="A16" s="3" t="e">
        <f>VLOOKUP(E16,'[2]Listas Desplegables'!$H$3:$J$7,2,FALSE)</f>
        <v>#N/A</v>
      </c>
      <c r="B16" s="3" t="e">
        <f>VLOOKUP(E16,'[2]Listas Desplegables'!$H$3:$J$7,3,FALSE)</f>
        <v>#N/A</v>
      </c>
      <c r="C16" s="8">
        <v>11</v>
      </c>
      <c r="D16" s="9"/>
      <c r="E16" s="9"/>
      <c r="F16" s="9"/>
      <c r="G16" s="10"/>
      <c r="H16" s="10"/>
      <c r="I16" s="10"/>
      <c r="J16" s="10"/>
      <c r="K16" s="10"/>
      <c r="L16" s="10"/>
      <c r="M16" s="56"/>
      <c r="N16" s="25"/>
    </row>
    <row r="17" spans="1:14" x14ac:dyDescent="0.3">
      <c r="A17" s="3" t="e">
        <f>VLOOKUP(E17,'[2]Listas Desplegables'!$H$3:$J$7,2,FALSE)</f>
        <v>#N/A</v>
      </c>
      <c r="B17" s="3" t="e">
        <f>VLOOKUP(E17,'[2]Listas Desplegables'!$H$3:$J$7,3,FALSE)</f>
        <v>#N/A</v>
      </c>
      <c r="C17" s="8">
        <v>12</v>
      </c>
      <c r="D17" s="9"/>
      <c r="E17" s="9"/>
      <c r="F17" s="9"/>
      <c r="G17" s="10"/>
      <c r="H17" s="10"/>
      <c r="I17" s="10"/>
      <c r="J17" s="10"/>
      <c r="K17" s="10"/>
      <c r="L17" s="10"/>
      <c r="M17" s="56"/>
      <c r="N17" s="25"/>
    </row>
    <row r="18" spans="1:14" x14ac:dyDescent="0.3">
      <c r="A18" s="3" t="e">
        <f>VLOOKUP(E18,'[2]Listas Desplegables'!$H$3:$J$7,2,FALSE)</f>
        <v>#N/A</v>
      </c>
      <c r="B18" s="3" t="e">
        <f>VLOOKUP(E18,'[2]Listas Desplegables'!$H$3:$J$7,3,FALSE)</f>
        <v>#N/A</v>
      </c>
      <c r="C18" s="8">
        <v>13</v>
      </c>
      <c r="D18" s="9"/>
      <c r="E18" s="9"/>
      <c r="F18" s="9"/>
      <c r="G18" s="10"/>
      <c r="H18" s="10"/>
      <c r="I18" s="10"/>
      <c r="J18" s="10"/>
      <c r="K18" s="10"/>
      <c r="L18" s="10"/>
      <c r="M18" s="56"/>
      <c r="N18" s="25"/>
    </row>
    <row r="19" spans="1:14" x14ac:dyDescent="0.3">
      <c r="A19" s="3" t="e">
        <f>VLOOKUP(E19,'[2]Listas Desplegables'!$H$3:$J$7,2,FALSE)</f>
        <v>#N/A</v>
      </c>
      <c r="B19" s="3" t="e">
        <f>VLOOKUP(E19,'[2]Listas Desplegables'!$H$3:$J$7,3,FALSE)</f>
        <v>#N/A</v>
      </c>
      <c r="C19" s="8">
        <v>14</v>
      </c>
      <c r="D19" s="9"/>
      <c r="E19" s="9"/>
      <c r="F19" s="9"/>
      <c r="G19" s="10"/>
      <c r="H19" s="10"/>
      <c r="I19" s="10"/>
      <c r="J19" s="10"/>
      <c r="K19" s="10"/>
      <c r="L19" s="10"/>
      <c r="M19" s="56"/>
      <c r="N19" s="25"/>
    </row>
    <row r="20" spans="1:14" x14ac:dyDescent="0.3">
      <c r="A20" s="3" t="e">
        <f>VLOOKUP(E20,'[2]Listas Desplegables'!$H$3:$J$7,2,FALSE)</f>
        <v>#N/A</v>
      </c>
      <c r="B20" s="3" t="e">
        <f>VLOOKUP(E20,'[2]Listas Desplegables'!$H$3:$J$7,3,FALSE)</f>
        <v>#N/A</v>
      </c>
      <c r="C20" s="8">
        <v>15</v>
      </c>
      <c r="D20" s="9"/>
      <c r="E20" s="9"/>
      <c r="F20" s="9"/>
      <c r="G20" s="10"/>
      <c r="H20" s="10"/>
      <c r="I20" s="10"/>
      <c r="J20" s="10"/>
      <c r="K20" s="10"/>
      <c r="L20" s="10"/>
      <c r="M20" s="56"/>
      <c r="N20" s="25"/>
    </row>
    <row r="21" spans="1:14" x14ac:dyDescent="0.3">
      <c r="A21" s="3" t="e">
        <f>VLOOKUP(E21,'[2]Listas Desplegables'!$H$3:$J$7,2,FALSE)</f>
        <v>#N/A</v>
      </c>
      <c r="B21" s="3" t="e">
        <f>VLOOKUP(E21,'[2]Listas Desplegables'!$H$3:$J$7,3,FALSE)</f>
        <v>#N/A</v>
      </c>
      <c r="C21" s="8">
        <v>16</v>
      </c>
      <c r="D21" s="9"/>
      <c r="E21" s="9"/>
      <c r="F21" s="9"/>
      <c r="G21" s="10"/>
      <c r="H21" s="10"/>
      <c r="I21" s="10"/>
      <c r="J21" s="10"/>
      <c r="K21" s="10"/>
      <c r="L21" s="10"/>
      <c r="M21" s="56"/>
      <c r="N21" s="25"/>
    </row>
    <row r="22" spans="1:14" x14ac:dyDescent="0.3">
      <c r="A22" s="3" t="e">
        <f>VLOOKUP(E22,'[2]Listas Desplegables'!$H$3:$J$7,2,FALSE)</f>
        <v>#N/A</v>
      </c>
      <c r="B22" s="3" t="e">
        <f>VLOOKUP(E22,'[2]Listas Desplegables'!$H$3:$J$7,3,FALSE)</f>
        <v>#N/A</v>
      </c>
      <c r="C22" s="8">
        <v>17</v>
      </c>
      <c r="D22" s="9"/>
      <c r="E22" s="9"/>
      <c r="F22" s="9"/>
      <c r="G22" s="10"/>
      <c r="H22" s="10"/>
      <c r="I22" s="10"/>
      <c r="J22" s="10"/>
      <c r="K22" s="10"/>
      <c r="L22" s="10"/>
      <c r="M22" s="56"/>
      <c r="N22" s="25"/>
    </row>
    <row r="23" spans="1:14" x14ac:dyDescent="0.3">
      <c r="A23" s="3" t="e">
        <f>VLOOKUP(E23,'[2]Listas Desplegables'!$H$3:$J$7,2,FALSE)</f>
        <v>#N/A</v>
      </c>
      <c r="B23" s="3" t="e">
        <f>VLOOKUP(E23,'[2]Listas Desplegables'!$H$3:$J$7,3,FALSE)</f>
        <v>#N/A</v>
      </c>
      <c r="C23" s="8">
        <v>18</v>
      </c>
      <c r="D23" s="9"/>
      <c r="E23" s="9"/>
      <c r="F23" s="9"/>
      <c r="G23" s="10"/>
      <c r="H23" s="10"/>
      <c r="I23" s="10"/>
      <c r="J23" s="10"/>
      <c r="K23" s="10"/>
      <c r="L23" s="10"/>
      <c r="M23" s="56"/>
      <c r="N23" s="25"/>
    </row>
    <row r="24" spans="1:14" x14ac:dyDescent="0.3">
      <c r="A24" s="3" t="e">
        <f>VLOOKUP(E24,'[2]Listas Desplegables'!$H$3:$J$7,2,FALSE)</f>
        <v>#N/A</v>
      </c>
      <c r="B24" s="3" t="e">
        <f>VLOOKUP(E24,'[2]Listas Desplegables'!$H$3:$J$7,3,FALSE)</f>
        <v>#N/A</v>
      </c>
      <c r="C24" s="7">
        <v>19</v>
      </c>
      <c r="D24" s="9"/>
      <c r="E24" s="9"/>
      <c r="F24" s="9"/>
      <c r="G24" s="10"/>
      <c r="H24" s="10"/>
      <c r="I24" s="10"/>
      <c r="J24" s="10"/>
      <c r="K24" s="10"/>
      <c r="L24" s="10"/>
      <c r="M24" s="56"/>
      <c r="N24" s="25"/>
    </row>
    <row r="25" spans="1:14" x14ac:dyDescent="0.3">
      <c r="A25" s="3" t="e">
        <f>VLOOKUP(E25,'[2]Listas Desplegables'!$H$3:$J$7,2,FALSE)</f>
        <v>#N/A</v>
      </c>
      <c r="B25" s="3" t="e">
        <f>VLOOKUP(E25,'[2]Listas Desplegables'!$H$3:$J$7,3,FALSE)</f>
        <v>#N/A</v>
      </c>
      <c r="C25" s="11">
        <v>20</v>
      </c>
      <c r="D25" s="12"/>
      <c r="E25" s="12"/>
      <c r="F25" s="12"/>
      <c r="G25" s="10"/>
      <c r="H25" s="10"/>
      <c r="I25" s="10"/>
      <c r="J25" s="10"/>
      <c r="K25" s="10"/>
      <c r="L25" s="10"/>
      <c r="M25" s="56"/>
      <c r="N25" s="25"/>
    </row>
    <row r="26" spans="1:14" x14ac:dyDescent="0.3">
      <c r="A26" s="3" t="e">
        <f>VLOOKUP(E26,'[2]Listas Desplegables'!$H$3:$J$7,2,FALSE)</f>
        <v>#N/A</v>
      </c>
      <c r="B26" s="3" t="e">
        <f>VLOOKUP(E26,'[2]Listas Desplegables'!$H$3:$J$7,3,FALSE)</f>
        <v>#N/A</v>
      </c>
      <c r="C26" s="7">
        <v>21</v>
      </c>
      <c r="D26" s="12"/>
      <c r="E26" s="12"/>
      <c r="F26" s="12"/>
      <c r="G26" s="10"/>
      <c r="H26" s="10"/>
      <c r="I26" s="10"/>
      <c r="J26" s="10"/>
      <c r="K26" s="10"/>
      <c r="L26" s="10"/>
      <c r="M26" s="56"/>
      <c r="N26" s="25"/>
    </row>
    <row r="27" spans="1:14" x14ac:dyDescent="0.3">
      <c r="A27" s="3" t="e">
        <f>VLOOKUP(E27,'[2]Listas Desplegables'!$H$3:$J$7,2,FALSE)</f>
        <v>#N/A</v>
      </c>
      <c r="B27" s="3" t="e">
        <f>VLOOKUP(E27,'[2]Listas Desplegables'!$H$3:$J$7,3,FALSE)</f>
        <v>#N/A</v>
      </c>
      <c r="C27" s="8">
        <v>22</v>
      </c>
      <c r="D27" s="12"/>
      <c r="E27" s="12"/>
      <c r="F27" s="12"/>
      <c r="G27" s="10"/>
      <c r="H27" s="10"/>
      <c r="I27" s="10"/>
      <c r="J27" s="10"/>
      <c r="K27" s="10"/>
      <c r="L27" s="10"/>
      <c r="M27" s="56"/>
      <c r="N27" s="25"/>
    </row>
    <row r="28" spans="1:14" x14ac:dyDescent="0.3">
      <c r="A28" s="3" t="e">
        <f>VLOOKUP(E28,'[2]Listas Desplegables'!$H$3:$J$7,2,FALSE)</f>
        <v>#N/A</v>
      </c>
      <c r="B28" s="3" t="e">
        <f>VLOOKUP(E28,'[2]Listas Desplegables'!$H$3:$J$7,3,FALSE)</f>
        <v>#N/A</v>
      </c>
      <c r="C28" s="8">
        <v>23</v>
      </c>
      <c r="D28" s="12"/>
      <c r="E28" s="12"/>
      <c r="F28" s="12"/>
      <c r="G28" s="10"/>
      <c r="H28" s="10"/>
      <c r="I28" s="10"/>
      <c r="J28" s="10"/>
      <c r="K28" s="10"/>
      <c r="L28" s="10"/>
      <c r="M28" s="56"/>
      <c r="N28" s="25"/>
    </row>
    <row r="29" spans="1:14" x14ac:dyDescent="0.3">
      <c r="A29" s="3" t="e">
        <f>VLOOKUP(E29,'[2]Listas Desplegables'!$H$3:$J$7,2,FALSE)</f>
        <v>#N/A</v>
      </c>
      <c r="B29" s="3" t="e">
        <f>VLOOKUP(E29,'[2]Listas Desplegables'!$H$3:$J$7,3,FALSE)</f>
        <v>#N/A</v>
      </c>
      <c r="C29" s="8">
        <v>24</v>
      </c>
      <c r="D29" s="12"/>
      <c r="E29" s="12"/>
      <c r="F29" s="12"/>
      <c r="G29" s="10"/>
      <c r="H29" s="10"/>
      <c r="I29" s="10"/>
      <c r="J29" s="10"/>
      <c r="K29" s="10"/>
      <c r="L29" s="10"/>
      <c r="M29" s="56"/>
      <c r="N29" s="25"/>
    </row>
    <row r="30" spans="1:14" x14ac:dyDescent="0.3">
      <c r="A30" s="3" t="e">
        <f>VLOOKUP(E30,'[2]Listas Desplegables'!$H$3:$J$7,2,FALSE)</f>
        <v>#N/A</v>
      </c>
      <c r="B30" s="3" t="e">
        <f>VLOOKUP(E30,'[2]Listas Desplegables'!$H$3:$J$7,3,FALSE)</f>
        <v>#N/A</v>
      </c>
      <c r="C30" s="8">
        <v>25</v>
      </c>
      <c r="D30" s="12"/>
      <c r="E30" s="12"/>
      <c r="F30" s="12"/>
      <c r="G30" s="10"/>
      <c r="H30" s="10"/>
      <c r="I30" s="10"/>
      <c r="J30" s="10"/>
      <c r="K30" s="10"/>
      <c r="L30" s="10"/>
      <c r="M30" s="56"/>
      <c r="N30" s="25"/>
    </row>
    <row r="31" spans="1:14" x14ac:dyDescent="0.3">
      <c r="A31" s="3" t="e">
        <f>VLOOKUP(E31,'[2]Listas Desplegables'!$H$3:$J$7,2,FALSE)</f>
        <v>#N/A</v>
      </c>
      <c r="B31" s="3" t="e">
        <f>VLOOKUP(E31,'[2]Listas Desplegables'!$H$3:$J$7,3,FALSE)</f>
        <v>#N/A</v>
      </c>
      <c r="C31" s="8">
        <v>26</v>
      </c>
      <c r="D31" s="12"/>
      <c r="E31" s="12"/>
      <c r="F31" s="12"/>
      <c r="G31" s="10"/>
      <c r="H31" s="10"/>
      <c r="I31" s="10"/>
      <c r="J31" s="10"/>
      <c r="K31" s="10"/>
      <c r="L31" s="10"/>
      <c r="M31" s="56"/>
      <c r="N31" s="25"/>
    </row>
    <row r="32" spans="1:14" x14ac:dyDescent="0.3">
      <c r="A32" s="3" t="e">
        <f>VLOOKUP(E32,'[2]Listas Desplegables'!$H$3:$J$7,2,FALSE)</f>
        <v>#N/A</v>
      </c>
      <c r="B32" s="3" t="e">
        <f>VLOOKUP(E32,'[2]Listas Desplegables'!$H$3:$J$7,3,FALSE)</f>
        <v>#N/A</v>
      </c>
      <c r="C32" s="8">
        <v>27</v>
      </c>
      <c r="D32" s="12"/>
      <c r="E32" s="12"/>
      <c r="F32" s="12"/>
      <c r="G32" s="10"/>
      <c r="H32" s="10"/>
      <c r="I32" s="10"/>
      <c r="J32" s="10"/>
      <c r="K32" s="10"/>
      <c r="L32" s="10"/>
      <c r="M32" s="56"/>
      <c r="N32" s="25"/>
    </row>
    <row r="33" spans="1:14" x14ac:dyDescent="0.3">
      <c r="A33" s="3" t="e">
        <f>VLOOKUP(E33,'[2]Listas Desplegables'!$H$3:$J$7,2,FALSE)</f>
        <v>#N/A</v>
      </c>
      <c r="B33" s="3" t="e">
        <f>VLOOKUP(E33,'[2]Listas Desplegables'!$H$3:$J$7,3,FALSE)</f>
        <v>#N/A</v>
      </c>
      <c r="C33" s="8">
        <v>28</v>
      </c>
      <c r="D33" s="12"/>
      <c r="E33" s="12"/>
      <c r="F33" s="12"/>
      <c r="G33" s="10"/>
      <c r="H33" s="10"/>
      <c r="I33" s="10"/>
      <c r="J33" s="10"/>
      <c r="K33" s="10"/>
      <c r="L33" s="10"/>
      <c r="M33" s="56"/>
      <c r="N33" s="25"/>
    </row>
    <row r="34" spans="1:14" x14ac:dyDescent="0.3">
      <c r="A34" s="3" t="e">
        <f>VLOOKUP(E34,'[2]Listas Desplegables'!$H$3:$J$7,2,FALSE)</f>
        <v>#N/A</v>
      </c>
      <c r="B34" s="3" t="e">
        <f>VLOOKUP(E34,'[2]Listas Desplegables'!$H$3:$J$7,3,FALSE)</f>
        <v>#N/A</v>
      </c>
      <c r="C34" s="8">
        <v>29</v>
      </c>
      <c r="D34" s="12"/>
      <c r="E34" s="12"/>
      <c r="F34" s="12"/>
      <c r="G34" s="10"/>
      <c r="H34" s="10"/>
      <c r="I34" s="10"/>
      <c r="J34" s="10"/>
      <c r="K34" s="10"/>
      <c r="L34" s="10"/>
      <c r="M34" s="56"/>
      <c r="N34" s="25"/>
    </row>
    <row r="35" spans="1:14" x14ac:dyDescent="0.3">
      <c r="A35" s="3" t="e">
        <f>VLOOKUP(E35,'[2]Listas Desplegables'!$H$3:$J$7,2,FALSE)</f>
        <v>#N/A</v>
      </c>
      <c r="B35" s="3" t="e">
        <f>VLOOKUP(E35,'[2]Listas Desplegables'!$H$3:$J$7,3,FALSE)</f>
        <v>#N/A</v>
      </c>
      <c r="C35" s="7">
        <v>30</v>
      </c>
      <c r="D35" s="12"/>
      <c r="E35" s="12"/>
      <c r="F35" s="12"/>
      <c r="G35" s="10"/>
      <c r="H35" s="10"/>
      <c r="I35" s="10"/>
      <c r="J35" s="10"/>
      <c r="K35" s="10"/>
      <c r="L35" s="10"/>
      <c r="M35" s="56"/>
      <c r="N35" s="25"/>
    </row>
    <row r="36" spans="1:14" x14ac:dyDescent="0.3">
      <c r="A36" s="3" t="e">
        <f>VLOOKUP(E36,'[2]Listas Desplegables'!$H$3:$J$7,2,FALSE)</f>
        <v>#N/A</v>
      </c>
      <c r="B36" s="3" t="e">
        <f>VLOOKUP(E36,'[2]Listas Desplegables'!$H$3:$J$7,3,FALSE)</f>
        <v>#N/A</v>
      </c>
      <c r="C36" s="8">
        <v>31</v>
      </c>
      <c r="D36" s="12"/>
      <c r="E36" s="12"/>
      <c r="F36" s="12"/>
      <c r="G36" s="10"/>
      <c r="H36" s="10"/>
      <c r="I36" s="10"/>
      <c r="J36" s="10"/>
      <c r="K36" s="10"/>
      <c r="L36" s="10"/>
      <c r="M36" s="56"/>
      <c r="N36" s="25"/>
    </row>
    <row r="37" spans="1:14" x14ac:dyDescent="0.3">
      <c r="A37" s="3" t="e">
        <f>VLOOKUP(E37,'[2]Listas Desplegables'!$H$3:$J$7,2,FALSE)</f>
        <v>#N/A</v>
      </c>
      <c r="B37" s="3" t="e">
        <f>VLOOKUP(E37,'[2]Listas Desplegables'!$H$3:$J$7,3,FALSE)</f>
        <v>#N/A</v>
      </c>
      <c r="C37" s="8">
        <v>32</v>
      </c>
      <c r="D37" s="12"/>
      <c r="E37" s="12"/>
      <c r="F37" s="12"/>
      <c r="G37" s="10"/>
      <c r="H37" s="10"/>
      <c r="I37" s="10"/>
      <c r="J37" s="10"/>
      <c r="K37" s="10"/>
      <c r="L37" s="10"/>
      <c r="M37" s="56"/>
      <c r="N37" s="25"/>
    </row>
    <row r="38" spans="1:14" x14ac:dyDescent="0.3">
      <c r="A38" s="3" t="e">
        <f>VLOOKUP(E38,'[2]Listas Desplegables'!$H$3:$J$7,2,FALSE)</f>
        <v>#N/A</v>
      </c>
      <c r="B38" s="3" t="e">
        <f>VLOOKUP(E38,'[2]Listas Desplegables'!$H$3:$J$7,3,FALSE)</f>
        <v>#N/A</v>
      </c>
      <c r="C38" s="8">
        <v>33</v>
      </c>
      <c r="D38" s="12"/>
      <c r="E38" s="12"/>
      <c r="F38" s="12"/>
      <c r="G38" s="10"/>
      <c r="H38" s="10"/>
      <c r="I38" s="10"/>
      <c r="J38" s="10"/>
      <c r="K38" s="10"/>
      <c r="L38" s="10"/>
      <c r="M38" s="56"/>
      <c r="N38" s="25"/>
    </row>
    <row r="39" spans="1:14" x14ac:dyDescent="0.3">
      <c r="A39" s="3" t="e">
        <f>VLOOKUP(E39,'[2]Listas Desplegables'!$H$3:$J$7,2,FALSE)</f>
        <v>#N/A</v>
      </c>
      <c r="B39" s="3" t="e">
        <f>VLOOKUP(E39,'[2]Listas Desplegables'!$H$3:$J$7,3,FALSE)</f>
        <v>#N/A</v>
      </c>
      <c r="C39" s="8">
        <v>34</v>
      </c>
      <c r="D39" s="12"/>
      <c r="E39" s="12"/>
      <c r="F39" s="12"/>
      <c r="G39" s="10"/>
      <c r="H39" s="10"/>
      <c r="I39" s="10"/>
      <c r="J39" s="10"/>
      <c r="K39" s="10"/>
      <c r="L39" s="10"/>
      <c r="M39" s="56"/>
      <c r="N39" s="25"/>
    </row>
    <row r="40" spans="1:14" x14ac:dyDescent="0.3">
      <c r="A40" s="3" t="e">
        <f>VLOOKUP(E40,'[2]Listas Desplegables'!$H$3:$J$7,2,FALSE)</f>
        <v>#N/A</v>
      </c>
      <c r="B40" s="3" t="e">
        <f>VLOOKUP(E40,'[2]Listas Desplegables'!$H$3:$J$7,3,FALSE)</f>
        <v>#N/A</v>
      </c>
      <c r="C40" s="8">
        <v>35</v>
      </c>
      <c r="D40" s="12"/>
      <c r="E40" s="12"/>
      <c r="F40" s="12"/>
      <c r="G40" s="10"/>
      <c r="H40" s="10"/>
      <c r="I40" s="10"/>
      <c r="J40" s="10"/>
      <c r="K40" s="10"/>
      <c r="L40" s="10"/>
      <c r="M40" s="56"/>
      <c r="N40" s="25"/>
    </row>
    <row r="41" spans="1:14" x14ac:dyDescent="0.3">
      <c r="A41" s="3" t="e">
        <f>VLOOKUP(E41,'[2]Listas Desplegables'!$H$3:$J$7,2,FALSE)</f>
        <v>#N/A</v>
      </c>
      <c r="B41" s="3" t="e">
        <f>VLOOKUP(E41,'[2]Listas Desplegables'!$H$3:$J$7,3,FALSE)</f>
        <v>#N/A</v>
      </c>
      <c r="C41" s="8">
        <v>36</v>
      </c>
      <c r="D41" s="12"/>
      <c r="E41" s="12"/>
      <c r="F41" s="12"/>
      <c r="G41" s="10"/>
      <c r="H41" s="10"/>
      <c r="I41" s="10"/>
      <c r="J41" s="10"/>
      <c r="K41" s="10"/>
      <c r="L41" s="10"/>
      <c r="M41" s="56"/>
      <c r="N41" s="25"/>
    </row>
    <row r="42" spans="1:14" x14ac:dyDescent="0.3">
      <c r="A42" s="3" t="e">
        <f>VLOOKUP(E42,'[2]Listas Desplegables'!$H$3:$J$7,2,FALSE)</f>
        <v>#N/A</v>
      </c>
      <c r="B42" s="3" t="e">
        <f>VLOOKUP(E42,'[2]Listas Desplegables'!$H$3:$J$7,3,FALSE)</f>
        <v>#N/A</v>
      </c>
      <c r="C42" s="8">
        <v>37</v>
      </c>
      <c r="D42" s="12"/>
      <c r="E42" s="12"/>
      <c r="F42" s="12"/>
      <c r="G42" s="10"/>
      <c r="H42" s="10"/>
      <c r="I42" s="10"/>
      <c r="J42" s="10"/>
      <c r="K42" s="10"/>
      <c r="L42" s="10"/>
      <c r="M42" s="56"/>
      <c r="N42" s="25"/>
    </row>
    <row r="43" spans="1:14" x14ac:dyDescent="0.3">
      <c r="A43" s="3" t="e">
        <f>VLOOKUP(E43,'[2]Listas Desplegables'!$H$3:$J$7,2,FALSE)</f>
        <v>#N/A</v>
      </c>
      <c r="B43" s="3" t="e">
        <f>VLOOKUP(E43,'[2]Listas Desplegables'!$H$3:$J$7,3,FALSE)</f>
        <v>#N/A</v>
      </c>
      <c r="C43" s="8">
        <v>38</v>
      </c>
      <c r="D43" s="12"/>
      <c r="E43" s="12"/>
      <c r="F43" s="12"/>
      <c r="G43" s="10"/>
      <c r="H43" s="10"/>
      <c r="I43" s="10"/>
      <c r="J43" s="10"/>
      <c r="K43" s="10"/>
      <c r="L43" s="10"/>
      <c r="M43" s="56"/>
      <c r="N43" s="25"/>
    </row>
    <row r="44" spans="1:14" x14ac:dyDescent="0.3">
      <c r="A44" s="3" t="e">
        <f>VLOOKUP(E44,'[2]Listas Desplegables'!$H$3:$J$7,2,FALSE)</f>
        <v>#N/A</v>
      </c>
      <c r="B44" s="3" t="e">
        <f>VLOOKUP(E44,'[2]Listas Desplegables'!$H$3:$J$7,3,FALSE)</f>
        <v>#N/A</v>
      </c>
      <c r="C44" s="7">
        <v>39</v>
      </c>
      <c r="D44" s="12"/>
      <c r="E44" s="12"/>
      <c r="F44" s="12"/>
      <c r="G44" s="10"/>
      <c r="H44" s="10"/>
      <c r="I44" s="10"/>
      <c r="J44" s="10"/>
      <c r="K44" s="10"/>
      <c r="L44" s="10"/>
      <c r="M44" s="56"/>
      <c r="N44" s="25"/>
    </row>
    <row r="45" spans="1:14" x14ac:dyDescent="0.3">
      <c r="A45" s="3" t="e">
        <f>VLOOKUP(E45,'[2]Listas Desplegables'!$H$3:$J$7,2,FALSE)</f>
        <v>#N/A</v>
      </c>
      <c r="B45" s="3" t="e">
        <f>VLOOKUP(E45,'[2]Listas Desplegables'!$H$3:$J$7,3,FALSE)</f>
        <v>#N/A</v>
      </c>
      <c r="C45" s="11">
        <v>40</v>
      </c>
      <c r="D45" s="12"/>
      <c r="E45" s="12"/>
      <c r="F45" s="12"/>
      <c r="G45" s="10"/>
      <c r="H45" s="10"/>
      <c r="I45" s="10"/>
      <c r="J45" s="10"/>
      <c r="K45" s="10"/>
      <c r="L45" s="10"/>
      <c r="M45" s="56"/>
      <c r="N45" s="25"/>
    </row>
    <row r="46" spans="1:14" x14ac:dyDescent="0.3">
      <c r="A46" s="3" t="e">
        <f>VLOOKUP(E46,'[2]Listas Desplegables'!$H$3:$J$7,2,FALSE)</f>
        <v>#N/A</v>
      </c>
      <c r="B46" s="3" t="e">
        <f>VLOOKUP(E46,'[2]Listas Desplegables'!$H$3:$J$7,3,FALSE)</f>
        <v>#N/A</v>
      </c>
      <c r="C46" s="7">
        <v>41</v>
      </c>
      <c r="D46" s="12"/>
      <c r="E46" s="12"/>
      <c r="F46" s="12"/>
      <c r="G46" s="10"/>
      <c r="H46" s="10"/>
      <c r="I46" s="10"/>
      <c r="J46" s="10"/>
      <c r="K46" s="10"/>
      <c r="L46" s="10"/>
      <c r="M46" s="56"/>
      <c r="N46" s="25"/>
    </row>
    <row r="47" spans="1:14" x14ac:dyDescent="0.3">
      <c r="A47" s="3" t="e">
        <f>VLOOKUP(E47,'[2]Listas Desplegables'!$H$3:$J$7,2,FALSE)</f>
        <v>#N/A</v>
      </c>
      <c r="B47" s="3" t="e">
        <f>VLOOKUP(E47,'[2]Listas Desplegables'!$H$3:$J$7,3,FALSE)</f>
        <v>#N/A</v>
      </c>
      <c r="C47" s="8">
        <v>42</v>
      </c>
      <c r="D47" s="12"/>
      <c r="E47" s="12"/>
      <c r="F47" s="12"/>
      <c r="G47" s="10"/>
      <c r="H47" s="10"/>
      <c r="I47" s="10"/>
      <c r="J47" s="10"/>
      <c r="K47" s="10"/>
      <c r="L47" s="10"/>
      <c r="M47" s="56"/>
      <c r="N47" s="25"/>
    </row>
    <row r="48" spans="1:14" x14ac:dyDescent="0.3">
      <c r="A48" s="3" t="e">
        <f>VLOOKUP(E48,'[2]Listas Desplegables'!$H$3:$J$7,2,FALSE)</f>
        <v>#N/A</v>
      </c>
      <c r="B48" s="3" t="e">
        <f>VLOOKUP(E48,'[2]Listas Desplegables'!$H$3:$J$7,3,FALSE)</f>
        <v>#N/A</v>
      </c>
      <c r="C48" s="8">
        <v>43</v>
      </c>
      <c r="D48" s="12"/>
      <c r="E48" s="12"/>
      <c r="F48" s="12"/>
      <c r="G48" s="10"/>
      <c r="H48" s="10"/>
      <c r="I48" s="10"/>
      <c r="J48" s="10"/>
      <c r="K48" s="10"/>
      <c r="L48" s="10"/>
      <c r="M48" s="56"/>
      <c r="N48" s="25"/>
    </row>
    <row r="49" spans="1:14" x14ac:dyDescent="0.3">
      <c r="A49" s="3" t="e">
        <f>VLOOKUP(E49,'[2]Listas Desplegables'!$H$3:$J$7,2,FALSE)</f>
        <v>#N/A</v>
      </c>
      <c r="B49" s="3" t="e">
        <f>VLOOKUP(E49,'[2]Listas Desplegables'!$H$3:$J$7,3,FALSE)</f>
        <v>#N/A</v>
      </c>
      <c r="C49" s="8">
        <v>44</v>
      </c>
      <c r="D49" s="12"/>
      <c r="E49" s="12"/>
      <c r="F49" s="12"/>
      <c r="G49" s="10"/>
      <c r="H49" s="10"/>
      <c r="I49" s="10"/>
      <c r="J49" s="10"/>
      <c r="K49" s="10"/>
      <c r="L49" s="10"/>
      <c r="M49" s="56"/>
      <c r="N49" s="25"/>
    </row>
    <row r="50" spans="1:14" x14ac:dyDescent="0.3">
      <c r="A50" s="3" t="e">
        <f>VLOOKUP(E50,'[2]Listas Desplegables'!$H$3:$J$7,2,FALSE)</f>
        <v>#N/A</v>
      </c>
      <c r="B50" s="3" t="e">
        <f>VLOOKUP(E50,'[2]Listas Desplegables'!$H$3:$J$7,3,FALSE)</f>
        <v>#N/A</v>
      </c>
      <c r="C50" s="8">
        <v>45</v>
      </c>
      <c r="D50" s="12"/>
      <c r="E50" s="12"/>
      <c r="F50" s="12"/>
      <c r="G50" s="10"/>
      <c r="H50" s="10"/>
      <c r="I50" s="10"/>
      <c r="J50" s="10"/>
      <c r="K50" s="10"/>
      <c r="L50" s="10"/>
      <c r="M50" s="56"/>
      <c r="N50" s="25"/>
    </row>
    <row r="51" spans="1:14" x14ac:dyDescent="0.3">
      <c r="A51" s="3" t="e">
        <f>VLOOKUP(E51,'[2]Listas Desplegables'!$H$3:$J$7,2,FALSE)</f>
        <v>#N/A</v>
      </c>
      <c r="B51" s="3" t="e">
        <f>VLOOKUP(E51,'[2]Listas Desplegables'!$H$3:$J$7,3,FALSE)</f>
        <v>#N/A</v>
      </c>
      <c r="C51" s="8">
        <v>46</v>
      </c>
      <c r="D51" s="12"/>
      <c r="E51" s="12"/>
      <c r="F51" s="12"/>
      <c r="G51" s="10"/>
      <c r="H51" s="10"/>
      <c r="I51" s="10"/>
      <c r="J51" s="10"/>
      <c r="K51" s="10"/>
      <c r="L51" s="10"/>
      <c r="M51" s="56"/>
      <c r="N51" s="25"/>
    </row>
    <row r="52" spans="1:14" x14ac:dyDescent="0.3">
      <c r="A52" s="3" t="e">
        <f>VLOOKUP(E52,'[2]Listas Desplegables'!$H$3:$J$7,2,FALSE)</f>
        <v>#N/A</v>
      </c>
      <c r="B52" s="3" t="e">
        <f>VLOOKUP(E52,'[2]Listas Desplegables'!$H$3:$J$7,3,FALSE)</f>
        <v>#N/A</v>
      </c>
      <c r="C52" s="8">
        <v>47</v>
      </c>
      <c r="D52" s="12"/>
      <c r="E52" s="12"/>
      <c r="F52" s="12"/>
      <c r="G52" s="10"/>
      <c r="H52" s="10"/>
      <c r="I52" s="10"/>
      <c r="J52" s="10"/>
      <c r="K52" s="10"/>
      <c r="L52" s="10"/>
      <c r="M52" s="56"/>
      <c r="N52" s="25"/>
    </row>
    <row r="53" spans="1:14" x14ac:dyDescent="0.3">
      <c r="A53" s="3" t="e">
        <f>VLOOKUP(E53,'[2]Listas Desplegables'!$H$3:$J$7,2,FALSE)</f>
        <v>#N/A</v>
      </c>
      <c r="B53" s="3" t="e">
        <f>VLOOKUP(E53,'[2]Listas Desplegables'!$H$3:$J$7,3,FALSE)</f>
        <v>#N/A</v>
      </c>
      <c r="C53" s="8">
        <v>48</v>
      </c>
      <c r="D53" s="12"/>
      <c r="E53" s="12"/>
      <c r="F53" s="12"/>
      <c r="G53" s="10"/>
      <c r="H53" s="10"/>
      <c r="I53" s="10"/>
      <c r="J53" s="10"/>
      <c r="K53" s="10"/>
      <c r="L53" s="10"/>
      <c r="M53" s="56"/>
      <c r="N53" s="25"/>
    </row>
    <row r="54" spans="1:14" x14ac:dyDescent="0.3">
      <c r="A54" s="3" t="e">
        <f>VLOOKUP(E54,'[2]Listas Desplegables'!$H$3:$J$7,2,FALSE)</f>
        <v>#N/A</v>
      </c>
      <c r="B54" s="3" t="e">
        <f>VLOOKUP(E54,'[2]Listas Desplegables'!$H$3:$J$7,3,FALSE)</f>
        <v>#N/A</v>
      </c>
      <c r="C54" s="8">
        <v>49</v>
      </c>
      <c r="D54" s="12"/>
      <c r="E54" s="12"/>
      <c r="F54" s="12"/>
      <c r="G54" s="10"/>
      <c r="H54" s="10"/>
      <c r="I54" s="10"/>
      <c r="J54" s="10"/>
      <c r="K54" s="10"/>
      <c r="L54" s="10"/>
      <c r="M54" s="56"/>
      <c r="N54" s="25"/>
    </row>
    <row r="55" spans="1:14" x14ac:dyDescent="0.3">
      <c r="A55" s="3" t="e">
        <f>VLOOKUP(E55,'[2]Listas Desplegables'!$H$3:$J$7,2,FALSE)</f>
        <v>#N/A</v>
      </c>
      <c r="B55" s="3" t="e">
        <f>VLOOKUP(E55,'[2]Listas Desplegables'!$H$3:$J$7,3,FALSE)</f>
        <v>#N/A</v>
      </c>
      <c r="C55" s="7">
        <v>50</v>
      </c>
      <c r="D55" s="12"/>
      <c r="E55" s="12"/>
      <c r="F55" s="12"/>
      <c r="G55" s="10"/>
      <c r="H55" s="10"/>
      <c r="I55" s="10"/>
      <c r="J55" s="10"/>
      <c r="K55" s="10"/>
      <c r="L55" s="10"/>
      <c r="M55" s="56"/>
      <c r="N55" s="25"/>
    </row>
    <row r="56" spans="1:14" x14ac:dyDescent="0.3">
      <c r="A56" s="3" t="e">
        <f>VLOOKUP(E56,'[2]Listas Desplegables'!$H$3:$J$7,2,FALSE)</f>
        <v>#N/A</v>
      </c>
      <c r="B56" s="3" t="e">
        <f>VLOOKUP(E56,'[2]Listas Desplegables'!$H$3:$J$7,3,FALSE)</f>
        <v>#N/A</v>
      </c>
      <c r="C56" s="8">
        <v>51</v>
      </c>
      <c r="D56" s="12"/>
      <c r="E56" s="12"/>
      <c r="F56" s="12"/>
      <c r="G56" s="10"/>
      <c r="H56" s="10"/>
      <c r="I56" s="10"/>
      <c r="J56" s="10"/>
      <c r="K56" s="10"/>
      <c r="L56" s="10"/>
      <c r="M56" s="56"/>
      <c r="N56" s="25"/>
    </row>
    <row r="57" spans="1:14" ht="15" thickBot="1" x14ac:dyDescent="0.35">
      <c r="A57" s="3" t="e">
        <f>VLOOKUP(E57,'[2]Listas Desplegables'!$H$3:$J$7,2,FALSE)</f>
        <v>#N/A</v>
      </c>
      <c r="B57" s="3" t="e">
        <f>VLOOKUP(E57,'[2]Listas Desplegables'!$H$3:$J$7,3,FALSE)</f>
        <v>#N/A</v>
      </c>
      <c r="C57" s="13" t="s">
        <v>4</v>
      </c>
      <c r="D57" s="14"/>
      <c r="E57" s="14"/>
      <c r="F57" s="14"/>
      <c r="G57" s="15"/>
      <c r="H57" s="15"/>
      <c r="I57" s="15"/>
      <c r="J57" s="15"/>
      <c r="K57" s="15"/>
      <c r="L57" s="15"/>
      <c r="M57" s="57"/>
      <c r="N57" s="26"/>
    </row>
  </sheetData>
  <mergeCells count="13">
    <mergeCell ref="M4:M5"/>
    <mergeCell ref="N4:N5"/>
    <mergeCell ref="L4:L5"/>
    <mergeCell ref="C3:N3"/>
    <mergeCell ref="C4:C5"/>
    <mergeCell ref="D4:D5"/>
    <mergeCell ref="E4:E5"/>
    <mergeCell ref="F4:F5"/>
    <mergeCell ref="G4:G5"/>
    <mergeCell ref="I4:I5"/>
    <mergeCell ref="J4:J5"/>
    <mergeCell ref="K4:K5"/>
    <mergeCell ref="H4:H5"/>
  </mergeCells>
  <dataValidations count="2">
    <dataValidation type="decimal" allowBlank="1" showInputMessage="1" showErrorMessage="1" sqref="H52:H1048576 F6:G1048576 I6:I1048576" xr:uid="{00000000-0002-0000-0600-000000000000}">
      <formula1>-1000000</formula1>
      <formula2>10000000</formula2>
    </dataValidation>
    <dataValidation type="date" operator="greaterThan" allowBlank="1" showInputMessage="1" showErrorMessage="1" sqref="M6:M1048576" xr:uid="{00000000-0002-0000-0600-000001000000}">
      <formula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600-000002000000}">
          <x14:formula1>
            <xm:f>'Listas Desplegables'!$B$63:$B$64</xm:f>
          </x14:formula1>
          <xm:sqref>J6:J1048576</xm:sqref>
        </x14:dataValidation>
        <x14:dataValidation type="list" allowBlank="1" showInputMessage="1" showErrorMessage="1" xr:uid="{00000000-0002-0000-0600-000003000000}">
          <x14:formula1>
            <xm:f>'Listas Desplegables'!$B$66:$B$67</xm:f>
          </x14:formula1>
          <xm:sqref>K6:K1048576</xm:sqref>
        </x14:dataValidation>
        <x14:dataValidation type="list" allowBlank="1" showInputMessage="1" showErrorMessage="1" xr:uid="{00000000-0002-0000-0600-000004000000}">
          <x14:formula1>
            <xm:f>'Listas Desplegables'!$B$69:$B$70</xm:f>
          </x14:formula1>
          <xm:sqref>L6:L1048576</xm:sqref>
        </x14:dataValidation>
        <x14:dataValidation type="list" allowBlank="1" showInputMessage="1" showErrorMessage="1" xr:uid="{00000000-0002-0000-0600-000005000000}">
          <x14:formula1>
            <xm:f>'Listas Desplegables'!$B$72:$B$73</xm:f>
          </x14:formula1>
          <xm:sqref>H6:H51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theme="9"/>
  </sheetPr>
  <dimension ref="A2:L57"/>
  <sheetViews>
    <sheetView workbookViewId="0"/>
    <sheetView workbookViewId="1"/>
  </sheetViews>
  <sheetFormatPr baseColWidth="10" defaultColWidth="11.5546875" defaultRowHeight="14.4" x14ac:dyDescent="0.3"/>
  <cols>
    <col min="1" max="2" width="3" style="3" customWidth="1"/>
    <col min="3" max="3" width="6.6640625" style="2" customWidth="1"/>
    <col min="4" max="4" width="33" customWidth="1"/>
    <col min="5" max="5" width="20.5546875" customWidth="1"/>
    <col min="6" max="8" width="12.6640625" customWidth="1"/>
    <col min="9" max="9" width="12.6640625" style="55" customWidth="1"/>
    <col min="10" max="10" width="12.6640625" customWidth="1"/>
    <col min="12" max="12" width="29.44140625" customWidth="1"/>
  </cols>
  <sheetData>
    <row r="2" spans="1:12" ht="15" thickBot="1" x14ac:dyDescent="0.35"/>
    <row r="3" spans="1:12" s="1" customFormat="1" ht="15" thickBot="1" x14ac:dyDescent="0.35">
      <c r="A3" s="4"/>
      <c r="B3" s="4"/>
      <c r="C3" s="169" t="s">
        <v>64</v>
      </c>
      <c r="D3" s="170"/>
      <c r="E3" s="170"/>
      <c r="F3" s="170"/>
      <c r="G3" s="170"/>
      <c r="H3" s="170"/>
      <c r="I3" s="170"/>
      <c r="J3" s="170"/>
      <c r="K3" s="170"/>
      <c r="L3" s="171"/>
    </row>
    <row r="4" spans="1:12" s="6" customFormat="1" ht="12" customHeight="1" x14ac:dyDescent="0.3">
      <c r="A4" s="5"/>
      <c r="B4" s="5"/>
      <c r="C4" s="174" t="s">
        <v>3</v>
      </c>
      <c r="D4" s="172" t="str">
        <f>'Manual de Uso'!C137</f>
        <v>Nombre</v>
      </c>
      <c r="E4" s="172" t="str">
        <f>'Manual de Uso'!C138</f>
        <v>Subestación</v>
      </c>
      <c r="F4" s="172" t="str">
        <f>'Manual de Uso'!C139</f>
        <v>Nivel de tensión [kV]</v>
      </c>
      <c r="G4" s="172" t="str">
        <f>'Manual de Uso'!C140</f>
        <v>Tecnología</v>
      </c>
      <c r="H4" s="172" t="str">
        <f>'Manual de Uso'!C141</f>
        <v>En Operación</v>
      </c>
      <c r="I4" s="178" t="str">
        <f>'Manual de Uso'!C142</f>
        <v>FPO</v>
      </c>
      <c r="J4" s="172" t="str">
        <f>'Manual de Uso'!C143</f>
        <v>Qmin [MVAr]</v>
      </c>
      <c r="K4" s="172" t="str">
        <f>'Manual de Uso'!C144</f>
        <v>Qmax [MVAr]</v>
      </c>
      <c r="L4" s="172" t="str">
        <f>'Manual de Uso'!C145</f>
        <v>Observaciones transportador</v>
      </c>
    </row>
    <row r="5" spans="1:12" s="6" customFormat="1" ht="24" customHeight="1" thickBot="1" x14ac:dyDescent="0.35">
      <c r="A5" s="5"/>
      <c r="B5" s="5"/>
      <c r="C5" s="175"/>
      <c r="D5" s="173"/>
      <c r="E5" s="173"/>
      <c r="F5" s="173"/>
      <c r="G5" s="173"/>
      <c r="H5" s="173"/>
      <c r="I5" s="179"/>
      <c r="J5" s="173"/>
      <c r="K5" s="173"/>
      <c r="L5" s="173"/>
    </row>
    <row r="6" spans="1:12" x14ac:dyDescent="0.3">
      <c r="A6" s="3" t="e">
        <f>VLOOKUP(#REF!,'[2]Listas Desplegables'!$H$3:$J$7,2,FALSE)</f>
        <v>#REF!</v>
      </c>
      <c r="B6" s="3" t="e">
        <f>VLOOKUP(#REF!,'[2]Listas Desplegables'!$H$3:$J$7,3,FALSE)</f>
        <v>#REF!</v>
      </c>
      <c r="C6" s="21">
        <v>1</v>
      </c>
      <c r="D6" s="22"/>
      <c r="E6" s="22"/>
      <c r="F6" s="22"/>
      <c r="G6" s="22"/>
      <c r="H6" s="23"/>
      <c r="I6" s="54"/>
      <c r="J6" s="23"/>
      <c r="K6" s="23"/>
      <c r="L6" s="24"/>
    </row>
    <row r="7" spans="1:12" x14ac:dyDescent="0.3">
      <c r="A7" s="3" t="e">
        <f>VLOOKUP(#REF!,'[2]Listas Desplegables'!$H$3:$J$7,2,FALSE)</f>
        <v>#REF!</v>
      </c>
      <c r="B7" s="3" t="e">
        <f>VLOOKUP(#REF!,'[2]Listas Desplegables'!$H$3:$J$7,3,FALSE)</f>
        <v>#REF!</v>
      </c>
      <c r="C7" s="8">
        <v>2</v>
      </c>
      <c r="D7" s="9"/>
      <c r="E7" s="9"/>
      <c r="F7" s="9"/>
      <c r="G7" s="9"/>
      <c r="H7" s="10"/>
      <c r="I7" s="56"/>
      <c r="J7" s="10"/>
      <c r="K7" s="10"/>
      <c r="L7" s="25"/>
    </row>
    <row r="8" spans="1:12" x14ac:dyDescent="0.3">
      <c r="A8" s="3" t="e">
        <f>VLOOKUP(#REF!,'[2]Listas Desplegables'!$H$3:$J$7,2,FALSE)</f>
        <v>#REF!</v>
      </c>
      <c r="B8" s="3" t="e">
        <f>VLOOKUP(#REF!,'[2]Listas Desplegables'!$H$3:$J$7,3,FALSE)</f>
        <v>#REF!</v>
      </c>
      <c r="C8" s="8">
        <v>3</v>
      </c>
      <c r="D8" s="9"/>
      <c r="E8" s="9"/>
      <c r="F8" s="9"/>
      <c r="G8" s="9"/>
      <c r="H8" s="10"/>
      <c r="I8" s="56"/>
      <c r="J8" s="10"/>
      <c r="K8" s="10"/>
      <c r="L8" s="25"/>
    </row>
    <row r="9" spans="1:12" x14ac:dyDescent="0.3">
      <c r="A9" s="3" t="e">
        <f>VLOOKUP(#REF!,'[2]Listas Desplegables'!$H$3:$J$7,2,FALSE)</f>
        <v>#REF!</v>
      </c>
      <c r="B9" s="3" t="e">
        <f>VLOOKUP(#REF!,'[2]Listas Desplegables'!$H$3:$J$7,3,FALSE)</f>
        <v>#REF!</v>
      </c>
      <c r="C9" s="8">
        <v>4</v>
      </c>
      <c r="D9" s="9"/>
      <c r="E9" s="9"/>
      <c r="F9" s="9"/>
      <c r="G9" s="9"/>
      <c r="H9" s="10"/>
      <c r="I9" s="56"/>
      <c r="J9" s="10"/>
      <c r="K9" s="10"/>
      <c r="L9" s="25"/>
    </row>
    <row r="10" spans="1:12" x14ac:dyDescent="0.3">
      <c r="A10" s="3" t="e">
        <f>VLOOKUP(#REF!,'[2]Listas Desplegables'!$H$3:$J$7,2,FALSE)</f>
        <v>#REF!</v>
      </c>
      <c r="B10" s="3" t="e">
        <f>VLOOKUP(#REF!,'[2]Listas Desplegables'!$H$3:$J$7,3,FALSE)</f>
        <v>#REF!</v>
      </c>
      <c r="C10" s="8">
        <v>5</v>
      </c>
      <c r="D10" s="9"/>
      <c r="E10" s="9"/>
      <c r="F10" s="9"/>
      <c r="G10" s="9"/>
      <c r="H10" s="10"/>
      <c r="I10" s="56"/>
      <c r="J10" s="10"/>
      <c r="K10" s="10"/>
      <c r="L10" s="25"/>
    </row>
    <row r="11" spans="1:12" x14ac:dyDescent="0.3">
      <c r="A11" s="3" t="e">
        <f>VLOOKUP(#REF!,'[2]Listas Desplegables'!$H$3:$J$7,2,FALSE)</f>
        <v>#REF!</v>
      </c>
      <c r="B11" s="3" t="e">
        <f>VLOOKUP(#REF!,'[2]Listas Desplegables'!$H$3:$J$7,3,FALSE)</f>
        <v>#REF!</v>
      </c>
      <c r="C11" s="8">
        <v>6</v>
      </c>
      <c r="D11" s="9"/>
      <c r="E11" s="9"/>
      <c r="F11" s="9"/>
      <c r="G11" s="9"/>
      <c r="H11" s="10"/>
      <c r="I11" s="56"/>
      <c r="J11" s="10"/>
      <c r="K11" s="10"/>
      <c r="L11" s="25"/>
    </row>
    <row r="12" spans="1:12" x14ac:dyDescent="0.3">
      <c r="A12" s="3" t="e">
        <f>VLOOKUP(#REF!,'[2]Listas Desplegables'!$H$3:$J$7,2,FALSE)</f>
        <v>#REF!</v>
      </c>
      <c r="B12" s="3" t="e">
        <f>VLOOKUP(#REF!,'[2]Listas Desplegables'!$H$3:$J$7,3,FALSE)</f>
        <v>#REF!</v>
      </c>
      <c r="C12" s="8">
        <v>7</v>
      </c>
      <c r="D12" s="9"/>
      <c r="E12" s="9"/>
      <c r="F12" s="9"/>
      <c r="G12" s="9"/>
      <c r="H12" s="10"/>
      <c r="I12" s="56"/>
      <c r="J12" s="10"/>
      <c r="K12" s="10"/>
      <c r="L12" s="25"/>
    </row>
    <row r="13" spans="1:12" x14ac:dyDescent="0.3">
      <c r="A13" s="3" t="e">
        <f>VLOOKUP(#REF!,'[2]Listas Desplegables'!$H$3:$J$7,2,FALSE)</f>
        <v>#REF!</v>
      </c>
      <c r="B13" s="3" t="e">
        <f>VLOOKUP(#REF!,'[2]Listas Desplegables'!$H$3:$J$7,3,FALSE)</f>
        <v>#REF!</v>
      </c>
      <c r="C13" s="8">
        <v>8</v>
      </c>
      <c r="D13" s="9"/>
      <c r="E13" s="9"/>
      <c r="F13" s="9"/>
      <c r="G13" s="9"/>
      <c r="H13" s="10"/>
      <c r="I13" s="56"/>
      <c r="J13" s="10"/>
      <c r="K13" s="10"/>
      <c r="L13" s="25"/>
    </row>
    <row r="14" spans="1:12" x14ac:dyDescent="0.3">
      <c r="A14" s="3" t="e">
        <f>VLOOKUP(#REF!,'[2]Listas Desplegables'!$H$3:$J$7,2,FALSE)</f>
        <v>#REF!</v>
      </c>
      <c r="B14" s="3" t="e">
        <f>VLOOKUP(#REF!,'[2]Listas Desplegables'!$H$3:$J$7,3,FALSE)</f>
        <v>#REF!</v>
      </c>
      <c r="C14" s="8">
        <v>9</v>
      </c>
      <c r="D14" s="9"/>
      <c r="E14" s="9"/>
      <c r="F14" s="9"/>
      <c r="G14" s="9"/>
      <c r="H14" s="10"/>
      <c r="I14" s="56"/>
      <c r="J14" s="10"/>
      <c r="K14" s="10"/>
      <c r="L14" s="25"/>
    </row>
    <row r="15" spans="1:12" x14ac:dyDescent="0.3">
      <c r="A15" s="3" t="e">
        <f>VLOOKUP(#REF!,'[2]Listas Desplegables'!$H$3:$J$7,2,FALSE)</f>
        <v>#REF!</v>
      </c>
      <c r="B15" s="3" t="e">
        <f>VLOOKUP(#REF!,'[2]Listas Desplegables'!$H$3:$J$7,3,FALSE)</f>
        <v>#REF!</v>
      </c>
      <c r="C15" s="7">
        <v>10</v>
      </c>
      <c r="D15" s="9"/>
      <c r="E15" s="9"/>
      <c r="F15" s="9"/>
      <c r="G15" s="9"/>
      <c r="H15" s="10"/>
      <c r="I15" s="56"/>
      <c r="J15" s="10"/>
      <c r="K15" s="10"/>
      <c r="L15" s="25"/>
    </row>
    <row r="16" spans="1:12" x14ac:dyDescent="0.3">
      <c r="A16" s="3" t="e">
        <f>VLOOKUP(#REF!,'[2]Listas Desplegables'!$H$3:$J$7,2,FALSE)</f>
        <v>#REF!</v>
      </c>
      <c r="B16" s="3" t="e">
        <f>VLOOKUP(#REF!,'[2]Listas Desplegables'!$H$3:$J$7,3,FALSE)</f>
        <v>#REF!</v>
      </c>
      <c r="C16" s="8">
        <v>11</v>
      </c>
      <c r="D16" s="9"/>
      <c r="E16" s="9"/>
      <c r="F16" s="9"/>
      <c r="G16" s="9"/>
      <c r="H16" s="10"/>
      <c r="I16" s="56"/>
      <c r="J16" s="10"/>
      <c r="K16" s="10"/>
      <c r="L16" s="25"/>
    </row>
    <row r="17" spans="1:12" x14ac:dyDescent="0.3">
      <c r="A17" s="3" t="e">
        <f>VLOOKUP(#REF!,'[2]Listas Desplegables'!$H$3:$J$7,2,FALSE)</f>
        <v>#REF!</v>
      </c>
      <c r="B17" s="3" t="e">
        <f>VLOOKUP(#REF!,'[2]Listas Desplegables'!$H$3:$J$7,3,FALSE)</f>
        <v>#REF!</v>
      </c>
      <c r="C17" s="8">
        <v>12</v>
      </c>
      <c r="D17" s="9"/>
      <c r="E17" s="9"/>
      <c r="F17" s="9"/>
      <c r="G17" s="9"/>
      <c r="H17" s="10"/>
      <c r="I17" s="56"/>
      <c r="J17" s="10"/>
      <c r="K17" s="10"/>
      <c r="L17" s="25"/>
    </row>
    <row r="18" spans="1:12" x14ac:dyDescent="0.3">
      <c r="A18" s="3" t="e">
        <f>VLOOKUP(#REF!,'[2]Listas Desplegables'!$H$3:$J$7,2,FALSE)</f>
        <v>#REF!</v>
      </c>
      <c r="B18" s="3" t="e">
        <f>VLOOKUP(#REF!,'[2]Listas Desplegables'!$H$3:$J$7,3,FALSE)</f>
        <v>#REF!</v>
      </c>
      <c r="C18" s="8">
        <v>13</v>
      </c>
      <c r="D18" s="9"/>
      <c r="E18" s="9"/>
      <c r="F18" s="9"/>
      <c r="G18" s="9"/>
      <c r="H18" s="10"/>
      <c r="I18" s="56"/>
      <c r="J18" s="10"/>
      <c r="K18" s="10"/>
      <c r="L18" s="25"/>
    </row>
    <row r="19" spans="1:12" x14ac:dyDescent="0.3">
      <c r="A19" s="3" t="e">
        <f>VLOOKUP(#REF!,'[2]Listas Desplegables'!$H$3:$J$7,2,FALSE)</f>
        <v>#REF!</v>
      </c>
      <c r="B19" s="3" t="e">
        <f>VLOOKUP(#REF!,'[2]Listas Desplegables'!$H$3:$J$7,3,FALSE)</f>
        <v>#REF!</v>
      </c>
      <c r="C19" s="8">
        <v>14</v>
      </c>
      <c r="D19" s="9"/>
      <c r="E19" s="9"/>
      <c r="F19" s="9"/>
      <c r="G19" s="9"/>
      <c r="H19" s="10"/>
      <c r="I19" s="56"/>
      <c r="J19" s="10"/>
      <c r="K19" s="10"/>
      <c r="L19" s="25"/>
    </row>
    <row r="20" spans="1:12" x14ac:dyDescent="0.3">
      <c r="A20" s="3" t="e">
        <f>VLOOKUP(#REF!,'[2]Listas Desplegables'!$H$3:$J$7,2,FALSE)</f>
        <v>#REF!</v>
      </c>
      <c r="B20" s="3" t="e">
        <f>VLOOKUP(#REF!,'[2]Listas Desplegables'!$H$3:$J$7,3,FALSE)</f>
        <v>#REF!</v>
      </c>
      <c r="C20" s="8">
        <v>15</v>
      </c>
      <c r="D20" s="9"/>
      <c r="E20" s="9"/>
      <c r="F20" s="9"/>
      <c r="G20" s="9"/>
      <c r="H20" s="10"/>
      <c r="I20" s="56"/>
      <c r="J20" s="10"/>
      <c r="K20" s="10"/>
      <c r="L20" s="25"/>
    </row>
    <row r="21" spans="1:12" x14ac:dyDescent="0.3">
      <c r="A21" s="3" t="e">
        <f>VLOOKUP(#REF!,'[2]Listas Desplegables'!$H$3:$J$7,2,FALSE)</f>
        <v>#REF!</v>
      </c>
      <c r="B21" s="3" t="e">
        <f>VLOOKUP(#REF!,'[2]Listas Desplegables'!$H$3:$J$7,3,FALSE)</f>
        <v>#REF!</v>
      </c>
      <c r="C21" s="8">
        <v>16</v>
      </c>
      <c r="D21" s="9"/>
      <c r="E21" s="9"/>
      <c r="F21" s="9"/>
      <c r="G21" s="9"/>
      <c r="H21" s="10"/>
      <c r="I21" s="56"/>
      <c r="J21" s="10"/>
      <c r="K21" s="10"/>
      <c r="L21" s="25"/>
    </row>
    <row r="22" spans="1:12" x14ac:dyDescent="0.3">
      <c r="A22" s="3" t="e">
        <f>VLOOKUP(#REF!,'[2]Listas Desplegables'!$H$3:$J$7,2,FALSE)</f>
        <v>#REF!</v>
      </c>
      <c r="B22" s="3" t="e">
        <f>VLOOKUP(#REF!,'[2]Listas Desplegables'!$H$3:$J$7,3,FALSE)</f>
        <v>#REF!</v>
      </c>
      <c r="C22" s="8">
        <v>17</v>
      </c>
      <c r="D22" s="9"/>
      <c r="E22" s="9"/>
      <c r="F22" s="9"/>
      <c r="G22" s="9"/>
      <c r="H22" s="10"/>
      <c r="I22" s="56"/>
      <c r="J22" s="10"/>
      <c r="K22" s="10"/>
      <c r="L22" s="25"/>
    </row>
    <row r="23" spans="1:12" x14ac:dyDescent="0.3">
      <c r="A23" s="3" t="e">
        <f>VLOOKUP(#REF!,'[2]Listas Desplegables'!$H$3:$J$7,2,FALSE)</f>
        <v>#REF!</v>
      </c>
      <c r="B23" s="3" t="e">
        <f>VLOOKUP(#REF!,'[2]Listas Desplegables'!$H$3:$J$7,3,FALSE)</f>
        <v>#REF!</v>
      </c>
      <c r="C23" s="8">
        <v>18</v>
      </c>
      <c r="D23" s="9"/>
      <c r="E23" s="9"/>
      <c r="F23" s="9"/>
      <c r="G23" s="9"/>
      <c r="H23" s="10"/>
      <c r="I23" s="56"/>
      <c r="J23" s="10"/>
      <c r="K23" s="10"/>
      <c r="L23" s="25"/>
    </row>
    <row r="24" spans="1:12" x14ac:dyDescent="0.3">
      <c r="A24" s="3" t="e">
        <f>VLOOKUP(#REF!,'[2]Listas Desplegables'!$H$3:$J$7,2,FALSE)</f>
        <v>#REF!</v>
      </c>
      <c r="B24" s="3" t="e">
        <f>VLOOKUP(#REF!,'[2]Listas Desplegables'!$H$3:$J$7,3,FALSE)</f>
        <v>#REF!</v>
      </c>
      <c r="C24" s="7">
        <v>19</v>
      </c>
      <c r="D24" s="9"/>
      <c r="E24" s="9"/>
      <c r="F24" s="9"/>
      <c r="G24" s="9"/>
      <c r="H24" s="10"/>
      <c r="I24" s="56"/>
      <c r="J24" s="10"/>
      <c r="K24" s="10"/>
      <c r="L24" s="25"/>
    </row>
    <row r="25" spans="1:12" x14ac:dyDescent="0.3">
      <c r="A25" s="3" t="e">
        <f>VLOOKUP(#REF!,'[2]Listas Desplegables'!$H$3:$J$7,2,FALSE)</f>
        <v>#REF!</v>
      </c>
      <c r="B25" s="3" t="e">
        <f>VLOOKUP(#REF!,'[2]Listas Desplegables'!$H$3:$J$7,3,FALSE)</f>
        <v>#REF!</v>
      </c>
      <c r="C25" s="11">
        <v>20</v>
      </c>
      <c r="D25" s="12"/>
      <c r="E25" s="12"/>
      <c r="F25" s="12"/>
      <c r="G25" s="9"/>
      <c r="H25" s="10"/>
      <c r="I25" s="56"/>
      <c r="J25" s="10"/>
      <c r="K25" s="10"/>
      <c r="L25" s="25"/>
    </row>
    <row r="26" spans="1:12" x14ac:dyDescent="0.3">
      <c r="A26" s="3" t="e">
        <f>VLOOKUP(#REF!,'[2]Listas Desplegables'!$H$3:$J$7,2,FALSE)</f>
        <v>#REF!</v>
      </c>
      <c r="B26" s="3" t="e">
        <f>VLOOKUP(#REF!,'[2]Listas Desplegables'!$H$3:$J$7,3,FALSE)</f>
        <v>#REF!</v>
      </c>
      <c r="C26" s="7">
        <v>21</v>
      </c>
      <c r="D26" s="12"/>
      <c r="E26" s="12"/>
      <c r="F26" s="12"/>
      <c r="G26" s="9"/>
      <c r="H26" s="10"/>
      <c r="I26" s="56"/>
      <c r="J26" s="10"/>
      <c r="K26" s="10"/>
      <c r="L26" s="25"/>
    </row>
    <row r="27" spans="1:12" x14ac:dyDescent="0.3">
      <c r="A27" s="3" t="e">
        <f>VLOOKUP(#REF!,'[2]Listas Desplegables'!$H$3:$J$7,2,FALSE)</f>
        <v>#REF!</v>
      </c>
      <c r="B27" s="3" t="e">
        <f>VLOOKUP(#REF!,'[2]Listas Desplegables'!$H$3:$J$7,3,FALSE)</f>
        <v>#REF!</v>
      </c>
      <c r="C27" s="8">
        <v>22</v>
      </c>
      <c r="D27" s="12"/>
      <c r="E27" s="12"/>
      <c r="F27" s="12"/>
      <c r="G27" s="9"/>
      <c r="H27" s="10"/>
      <c r="I27" s="56"/>
      <c r="J27" s="10"/>
      <c r="K27" s="10"/>
      <c r="L27" s="25"/>
    </row>
    <row r="28" spans="1:12" x14ac:dyDescent="0.3">
      <c r="A28" s="3" t="e">
        <f>VLOOKUP(#REF!,'[2]Listas Desplegables'!$H$3:$J$7,2,FALSE)</f>
        <v>#REF!</v>
      </c>
      <c r="B28" s="3" t="e">
        <f>VLOOKUP(#REF!,'[2]Listas Desplegables'!$H$3:$J$7,3,FALSE)</f>
        <v>#REF!</v>
      </c>
      <c r="C28" s="8">
        <v>23</v>
      </c>
      <c r="D28" s="12"/>
      <c r="E28" s="12"/>
      <c r="F28" s="12"/>
      <c r="G28" s="9"/>
      <c r="H28" s="10"/>
      <c r="I28" s="56"/>
      <c r="J28" s="10"/>
      <c r="K28" s="10"/>
      <c r="L28" s="25"/>
    </row>
    <row r="29" spans="1:12" x14ac:dyDescent="0.3">
      <c r="A29" s="3" t="e">
        <f>VLOOKUP(#REF!,'[2]Listas Desplegables'!$H$3:$J$7,2,FALSE)</f>
        <v>#REF!</v>
      </c>
      <c r="B29" s="3" t="e">
        <f>VLOOKUP(#REF!,'[2]Listas Desplegables'!$H$3:$J$7,3,FALSE)</f>
        <v>#REF!</v>
      </c>
      <c r="C29" s="8">
        <v>24</v>
      </c>
      <c r="D29" s="12"/>
      <c r="E29" s="12"/>
      <c r="F29" s="12"/>
      <c r="G29" s="9"/>
      <c r="H29" s="10"/>
      <c r="I29" s="56"/>
      <c r="J29" s="10"/>
      <c r="K29" s="10"/>
      <c r="L29" s="25"/>
    </row>
    <row r="30" spans="1:12" x14ac:dyDescent="0.3">
      <c r="A30" s="3" t="e">
        <f>VLOOKUP(#REF!,'[2]Listas Desplegables'!$H$3:$J$7,2,FALSE)</f>
        <v>#REF!</v>
      </c>
      <c r="B30" s="3" t="e">
        <f>VLOOKUP(#REF!,'[2]Listas Desplegables'!$H$3:$J$7,3,FALSE)</f>
        <v>#REF!</v>
      </c>
      <c r="C30" s="8">
        <v>25</v>
      </c>
      <c r="D30" s="12"/>
      <c r="E30" s="12"/>
      <c r="F30" s="12"/>
      <c r="G30" s="9"/>
      <c r="H30" s="10"/>
      <c r="I30" s="56"/>
      <c r="J30" s="10"/>
      <c r="K30" s="10"/>
      <c r="L30" s="25"/>
    </row>
    <row r="31" spans="1:12" x14ac:dyDescent="0.3">
      <c r="A31" s="3" t="e">
        <f>VLOOKUP(#REF!,'[2]Listas Desplegables'!$H$3:$J$7,2,FALSE)</f>
        <v>#REF!</v>
      </c>
      <c r="B31" s="3" t="e">
        <f>VLOOKUP(#REF!,'[2]Listas Desplegables'!$H$3:$J$7,3,FALSE)</f>
        <v>#REF!</v>
      </c>
      <c r="C31" s="8">
        <v>26</v>
      </c>
      <c r="D31" s="12"/>
      <c r="E31" s="12"/>
      <c r="F31" s="12"/>
      <c r="G31" s="9"/>
      <c r="H31" s="10"/>
      <c r="I31" s="56"/>
      <c r="J31" s="10"/>
      <c r="K31" s="10"/>
      <c r="L31" s="25"/>
    </row>
    <row r="32" spans="1:12" x14ac:dyDescent="0.3">
      <c r="A32" s="3" t="e">
        <f>VLOOKUP(#REF!,'[2]Listas Desplegables'!$H$3:$J$7,2,FALSE)</f>
        <v>#REF!</v>
      </c>
      <c r="B32" s="3" t="e">
        <f>VLOOKUP(#REF!,'[2]Listas Desplegables'!$H$3:$J$7,3,FALSE)</f>
        <v>#REF!</v>
      </c>
      <c r="C32" s="8">
        <v>27</v>
      </c>
      <c r="D32" s="12"/>
      <c r="E32" s="12"/>
      <c r="F32" s="12"/>
      <c r="G32" s="9"/>
      <c r="H32" s="10"/>
      <c r="I32" s="56"/>
      <c r="J32" s="10"/>
      <c r="K32" s="10"/>
      <c r="L32" s="25"/>
    </row>
    <row r="33" spans="1:12" x14ac:dyDescent="0.3">
      <c r="A33" s="3" t="e">
        <f>VLOOKUP(#REF!,'[2]Listas Desplegables'!$H$3:$J$7,2,FALSE)</f>
        <v>#REF!</v>
      </c>
      <c r="B33" s="3" t="e">
        <f>VLOOKUP(#REF!,'[2]Listas Desplegables'!$H$3:$J$7,3,FALSE)</f>
        <v>#REF!</v>
      </c>
      <c r="C33" s="8">
        <v>28</v>
      </c>
      <c r="D33" s="12"/>
      <c r="E33" s="12"/>
      <c r="F33" s="12"/>
      <c r="G33" s="9"/>
      <c r="H33" s="10"/>
      <c r="I33" s="56"/>
      <c r="J33" s="10"/>
      <c r="K33" s="10"/>
      <c r="L33" s="25"/>
    </row>
    <row r="34" spans="1:12" x14ac:dyDescent="0.3">
      <c r="A34" s="3" t="e">
        <f>VLOOKUP(#REF!,'[2]Listas Desplegables'!$H$3:$J$7,2,FALSE)</f>
        <v>#REF!</v>
      </c>
      <c r="B34" s="3" t="e">
        <f>VLOOKUP(#REF!,'[2]Listas Desplegables'!$H$3:$J$7,3,FALSE)</f>
        <v>#REF!</v>
      </c>
      <c r="C34" s="8">
        <v>29</v>
      </c>
      <c r="D34" s="12"/>
      <c r="E34" s="12"/>
      <c r="F34" s="12"/>
      <c r="G34" s="9"/>
      <c r="H34" s="10"/>
      <c r="I34" s="56"/>
      <c r="J34" s="10"/>
      <c r="K34" s="10"/>
      <c r="L34" s="25"/>
    </row>
    <row r="35" spans="1:12" x14ac:dyDescent="0.3">
      <c r="A35" s="3" t="e">
        <f>VLOOKUP(#REF!,'[2]Listas Desplegables'!$H$3:$J$7,2,FALSE)</f>
        <v>#REF!</v>
      </c>
      <c r="B35" s="3" t="e">
        <f>VLOOKUP(#REF!,'[2]Listas Desplegables'!$H$3:$J$7,3,FALSE)</f>
        <v>#REF!</v>
      </c>
      <c r="C35" s="7">
        <v>30</v>
      </c>
      <c r="D35" s="12"/>
      <c r="E35" s="12"/>
      <c r="F35" s="12"/>
      <c r="G35" s="9"/>
      <c r="H35" s="10"/>
      <c r="I35" s="56"/>
      <c r="J35" s="10"/>
      <c r="K35" s="10"/>
      <c r="L35" s="25"/>
    </row>
    <row r="36" spans="1:12" x14ac:dyDescent="0.3">
      <c r="A36" s="3" t="e">
        <f>VLOOKUP(#REF!,'[2]Listas Desplegables'!$H$3:$J$7,2,FALSE)</f>
        <v>#REF!</v>
      </c>
      <c r="B36" s="3" t="e">
        <f>VLOOKUP(#REF!,'[2]Listas Desplegables'!$H$3:$J$7,3,FALSE)</f>
        <v>#REF!</v>
      </c>
      <c r="C36" s="8">
        <v>31</v>
      </c>
      <c r="D36" s="12"/>
      <c r="E36" s="12"/>
      <c r="F36" s="12"/>
      <c r="G36" s="9"/>
      <c r="H36" s="10"/>
      <c r="I36" s="56"/>
      <c r="J36" s="10"/>
      <c r="K36" s="10"/>
      <c r="L36" s="25"/>
    </row>
    <row r="37" spans="1:12" x14ac:dyDescent="0.3">
      <c r="A37" s="3" t="e">
        <f>VLOOKUP(#REF!,'[2]Listas Desplegables'!$H$3:$J$7,2,FALSE)</f>
        <v>#REF!</v>
      </c>
      <c r="B37" s="3" t="e">
        <f>VLOOKUP(#REF!,'[2]Listas Desplegables'!$H$3:$J$7,3,FALSE)</f>
        <v>#REF!</v>
      </c>
      <c r="C37" s="8">
        <v>32</v>
      </c>
      <c r="D37" s="12"/>
      <c r="E37" s="12"/>
      <c r="F37" s="12"/>
      <c r="G37" s="9"/>
      <c r="H37" s="10"/>
      <c r="I37" s="56"/>
      <c r="J37" s="10"/>
      <c r="K37" s="10"/>
      <c r="L37" s="25"/>
    </row>
    <row r="38" spans="1:12" x14ac:dyDescent="0.3">
      <c r="A38" s="3" t="e">
        <f>VLOOKUP(#REF!,'[2]Listas Desplegables'!$H$3:$J$7,2,FALSE)</f>
        <v>#REF!</v>
      </c>
      <c r="B38" s="3" t="e">
        <f>VLOOKUP(#REF!,'[2]Listas Desplegables'!$H$3:$J$7,3,FALSE)</f>
        <v>#REF!</v>
      </c>
      <c r="C38" s="8">
        <v>33</v>
      </c>
      <c r="D38" s="12"/>
      <c r="E38" s="12"/>
      <c r="F38" s="12"/>
      <c r="G38" s="9"/>
      <c r="H38" s="10"/>
      <c r="I38" s="56"/>
      <c r="J38" s="10"/>
      <c r="K38" s="10"/>
      <c r="L38" s="25"/>
    </row>
    <row r="39" spans="1:12" x14ac:dyDescent="0.3">
      <c r="A39" s="3" t="e">
        <f>VLOOKUP(#REF!,'[2]Listas Desplegables'!$H$3:$J$7,2,FALSE)</f>
        <v>#REF!</v>
      </c>
      <c r="B39" s="3" t="e">
        <f>VLOOKUP(#REF!,'[2]Listas Desplegables'!$H$3:$J$7,3,FALSE)</f>
        <v>#REF!</v>
      </c>
      <c r="C39" s="8">
        <v>34</v>
      </c>
      <c r="D39" s="12"/>
      <c r="E39" s="12"/>
      <c r="F39" s="12"/>
      <c r="G39" s="9"/>
      <c r="H39" s="10"/>
      <c r="I39" s="56"/>
      <c r="J39" s="10"/>
      <c r="K39" s="10"/>
      <c r="L39" s="25"/>
    </row>
    <row r="40" spans="1:12" x14ac:dyDescent="0.3">
      <c r="A40" s="3" t="e">
        <f>VLOOKUP(#REF!,'[2]Listas Desplegables'!$H$3:$J$7,2,FALSE)</f>
        <v>#REF!</v>
      </c>
      <c r="B40" s="3" t="e">
        <f>VLOOKUP(#REF!,'[2]Listas Desplegables'!$H$3:$J$7,3,FALSE)</f>
        <v>#REF!</v>
      </c>
      <c r="C40" s="8">
        <v>35</v>
      </c>
      <c r="D40" s="12"/>
      <c r="E40" s="12"/>
      <c r="F40" s="12"/>
      <c r="G40" s="9"/>
      <c r="H40" s="10"/>
      <c r="I40" s="56"/>
      <c r="J40" s="10"/>
      <c r="K40" s="10"/>
      <c r="L40" s="25"/>
    </row>
    <row r="41" spans="1:12" x14ac:dyDescent="0.3">
      <c r="A41" s="3" t="e">
        <f>VLOOKUP(#REF!,'[2]Listas Desplegables'!$H$3:$J$7,2,FALSE)</f>
        <v>#REF!</v>
      </c>
      <c r="B41" s="3" t="e">
        <f>VLOOKUP(#REF!,'[2]Listas Desplegables'!$H$3:$J$7,3,FALSE)</f>
        <v>#REF!</v>
      </c>
      <c r="C41" s="8">
        <v>36</v>
      </c>
      <c r="D41" s="12"/>
      <c r="E41" s="12"/>
      <c r="F41" s="12"/>
      <c r="G41" s="9"/>
      <c r="H41" s="10"/>
      <c r="I41" s="56"/>
      <c r="J41" s="10"/>
      <c r="K41" s="10"/>
      <c r="L41" s="25"/>
    </row>
    <row r="42" spans="1:12" x14ac:dyDescent="0.3">
      <c r="A42" s="3" t="e">
        <f>VLOOKUP(#REF!,'[2]Listas Desplegables'!$H$3:$J$7,2,FALSE)</f>
        <v>#REF!</v>
      </c>
      <c r="B42" s="3" t="e">
        <f>VLOOKUP(#REF!,'[2]Listas Desplegables'!$H$3:$J$7,3,FALSE)</f>
        <v>#REF!</v>
      </c>
      <c r="C42" s="8">
        <v>37</v>
      </c>
      <c r="D42" s="12"/>
      <c r="E42" s="12"/>
      <c r="F42" s="12"/>
      <c r="G42" s="9"/>
      <c r="H42" s="10"/>
      <c r="I42" s="56"/>
      <c r="J42" s="10"/>
      <c r="K42" s="10"/>
      <c r="L42" s="25"/>
    </row>
    <row r="43" spans="1:12" x14ac:dyDescent="0.3">
      <c r="A43" s="3" t="e">
        <f>VLOOKUP(#REF!,'[2]Listas Desplegables'!$H$3:$J$7,2,FALSE)</f>
        <v>#REF!</v>
      </c>
      <c r="B43" s="3" t="e">
        <f>VLOOKUP(#REF!,'[2]Listas Desplegables'!$H$3:$J$7,3,FALSE)</f>
        <v>#REF!</v>
      </c>
      <c r="C43" s="8">
        <v>38</v>
      </c>
      <c r="D43" s="12"/>
      <c r="E43" s="12"/>
      <c r="F43" s="12"/>
      <c r="G43" s="9"/>
      <c r="H43" s="10"/>
      <c r="I43" s="56"/>
      <c r="J43" s="10"/>
      <c r="K43" s="10"/>
      <c r="L43" s="25"/>
    </row>
    <row r="44" spans="1:12" x14ac:dyDescent="0.3">
      <c r="A44" s="3" t="e">
        <f>VLOOKUP(#REF!,'[2]Listas Desplegables'!$H$3:$J$7,2,FALSE)</f>
        <v>#REF!</v>
      </c>
      <c r="B44" s="3" t="e">
        <f>VLOOKUP(#REF!,'[2]Listas Desplegables'!$H$3:$J$7,3,FALSE)</f>
        <v>#REF!</v>
      </c>
      <c r="C44" s="7">
        <v>39</v>
      </c>
      <c r="D44" s="12"/>
      <c r="E44" s="12"/>
      <c r="F44" s="12"/>
      <c r="G44" s="9"/>
      <c r="H44" s="10"/>
      <c r="I44" s="56"/>
      <c r="J44" s="10"/>
      <c r="K44" s="10"/>
      <c r="L44" s="25"/>
    </row>
    <row r="45" spans="1:12" x14ac:dyDescent="0.3">
      <c r="A45" s="3" t="e">
        <f>VLOOKUP(#REF!,'[2]Listas Desplegables'!$H$3:$J$7,2,FALSE)</f>
        <v>#REF!</v>
      </c>
      <c r="B45" s="3" t="e">
        <f>VLOOKUP(#REF!,'[2]Listas Desplegables'!$H$3:$J$7,3,FALSE)</f>
        <v>#REF!</v>
      </c>
      <c r="C45" s="11">
        <v>40</v>
      </c>
      <c r="D45" s="12"/>
      <c r="E45" s="12"/>
      <c r="F45" s="12"/>
      <c r="G45" s="9"/>
      <c r="H45" s="10"/>
      <c r="I45" s="56"/>
      <c r="J45" s="10"/>
      <c r="K45" s="10"/>
      <c r="L45" s="25"/>
    </row>
    <row r="46" spans="1:12" x14ac:dyDescent="0.3">
      <c r="A46" s="3" t="e">
        <f>VLOOKUP(#REF!,'[2]Listas Desplegables'!$H$3:$J$7,2,FALSE)</f>
        <v>#REF!</v>
      </c>
      <c r="B46" s="3" t="e">
        <f>VLOOKUP(#REF!,'[2]Listas Desplegables'!$H$3:$J$7,3,FALSE)</f>
        <v>#REF!</v>
      </c>
      <c r="C46" s="7">
        <v>41</v>
      </c>
      <c r="D46" s="12"/>
      <c r="E46" s="12"/>
      <c r="F46" s="12"/>
      <c r="G46" s="9"/>
      <c r="H46" s="10"/>
      <c r="I46" s="56"/>
      <c r="J46" s="10"/>
      <c r="K46" s="10"/>
      <c r="L46" s="25"/>
    </row>
    <row r="47" spans="1:12" x14ac:dyDescent="0.3">
      <c r="A47" s="3" t="e">
        <f>VLOOKUP(#REF!,'[2]Listas Desplegables'!$H$3:$J$7,2,FALSE)</f>
        <v>#REF!</v>
      </c>
      <c r="B47" s="3" t="e">
        <f>VLOOKUP(#REF!,'[2]Listas Desplegables'!$H$3:$J$7,3,FALSE)</f>
        <v>#REF!</v>
      </c>
      <c r="C47" s="8">
        <v>42</v>
      </c>
      <c r="D47" s="12"/>
      <c r="E47" s="12"/>
      <c r="F47" s="12"/>
      <c r="G47" s="9"/>
      <c r="H47" s="10"/>
      <c r="I47" s="56"/>
      <c r="J47" s="10"/>
      <c r="K47" s="10"/>
      <c r="L47" s="25"/>
    </row>
    <row r="48" spans="1:12" x14ac:dyDescent="0.3">
      <c r="A48" s="3" t="e">
        <f>VLOOKUP(#REF!,'[2]Listas Desplegables'!$H$3:$J$7,2,FALSE)</f>
        <v>#REF!</v>
      </c>
      <c r="B48" s="3" t="e">
        <f>VLOOKUP(#REF!,'[2]Listas Desplegables'!$H$3:$J$7,3,FALSE)</f>
        <v>#REF!</v>
      </c>
      <c r="C48" s="8">
        <v>43</v>
      </c>
      <c r="D48" s="12"/>
      <c r="E48" s="12"/>
      <c r="F48" s="12"/>
      <c r="G48" s="9"/>
      <c r="H48" s="10"/>
      <c r="I48" s="56"/>
      <c r="J48" s="10"/>
      <c r="K48" s="10"/>
      <c r="L48" s="25"/>
    </row>
    <row r="49" spans="1:12" x14ac:dyDescent="0.3">
      <c r="A49" s="3" t="e">
        <f>VLOOKUP(#REF!,'[2]Listas Desplegables'!$H$3:$J$7,2,FALSE)</f>
        <v>#REF!</v>
      </c>
      <c r="B49" s="3" t="e">
        <f>VLOOKUP(#REF!,'[2]Listas Desplegables'!$H$3:$J$7,3,FALSE)</f>
        <v>#REF!</v>
      </c>
      <c r="C49" s="8">
        <v>44</v>
      </c>
      <c r="D49" s="12"/>
      <c r="E49" s="12"/>
      <c r="F49" s="12"/>
      <c r="G49" s="9"/>
      <c r="H49" s="10"/>
      <c r="I49" s="56"/>
      <c r="J49" s="10"/>
      <c r="K49" s="10"/>
      <c r="L49" s="25"/>
    </row>
    <row r="50" spans="1:12" x14ac:dyDescent="0.3">
      <c r="A50" s="3" t="e">
        <f>VLOOKUP(#REF!,'[2]Listas Desplegables'!$H$3:$J$7,2,FALSE)</f>
        <v>#REF!</v>
      </c>
      <c r="B50" s="3" t="e">
        <f>VLOOKUP(#REF!,'[2]Listas Desplegables'!$H$3:$J$7,3,FALSE)</f>
        <v>#REF!</v>
      </c>
      <c r="C50" s="8">
        <v>45</v>
      </c>
      <c r="D50" s="12"/>
      <c r="E50" s="12"/>
      <c r="F50" s="12"/>
      <c r="G50" s="9"/>
      <c r="H50" s="10"/>
      <c r="I50" s="56"/>
      <c r="J50" s="10"/>
      <c r="K50" s="10"/>
      <c r="L50" s="25"/>
    </row>
    <row r="51" spans="1:12" x14ac:dyDescent="0.3">
      <c r="A51" s="3" t="e">
        <f>VLOOKUP(#REF!,'[2]Listas Desplegables'!$H$3:$J$7,2,FALSE)</f>
        <v>#REF!</v>
      </c>
      <c r="B51" s="3" t="e">
        <f>VLOOKUP(#REF!,'[2]Listas Desplegables'!$H$3:$J$7,3,FALSE)</f>
        <v>#REF!</v>
      </c>
      <c r="C51" s="8">
        <v>46</v>
      </c>
      <c r="D51" s="12"/>
      <c r="E51" s="12"/>
      <c r="F51" s="12"/>
      <c r="G51" s="9"/>
      <c r="H51" s="10"/>
      <c r="I51" s="56"/>
      <c r="J51" s="10"/>
      <c r="K51" s="10"/>
      <c r="L51" s="25"/>
    </row>
    <row r="52" spans="1:12" x14ac:dyDescent="0.3">
      <c r="A52" s="3" t="e">
        <f>VLOOKUP(#REF!,'[2]Listas Desplegables'!$H$3:$J$7,2,FALSE)</f>
        <v>#REF!</v>
      </c>
      <c r="B52" s="3" t="e">
        <f>VLOOKUP(#REF!,'[2]Listas Desplegables'!$H$3:$J$7,3,FALSE)</f>
        <v>#REF!</v>
      </c>
      <c r="C52" s="8">
        <v>47</v>
      </c>
      <c r="D52" s="12"/>
      <c r="E52" s="12"/>
      <c r="F52" s="12"/>
      <c r="G52" s="9"/>
      <c r="H52" s="10"/>
      <c r="I52" s="56"/>
      <c r="J52" s="10"/>
      <c r="K52" s="10"/>
      <c r="L52" s="25"/>
    </row>
    <row r="53" spans="1:12" x14ac:dyDescent="0.3">
      <c r="A53" s="3" t="e">
        <f>VLOOKUP(#REF!,'[2]Listas Desplegables'!$H$3:$J$7,2,FALSE)</f>
        <v>#REF!</v>
      </c>
      <c r="B53" s="3" t="e">
        <f>VLOOKUP(#REF!,'[2]Listas Desplegables'!$H$3:$J$7,3,FALSE)</f>
        <v>#REF!</v>
      </c>
      <c r="C53" s="8">
        <v>48</v>
      </c>
      <c r="D53" s="12"/>
      <c r="E53" s="12"/>
      <c r="F53" s="12"/>
      <c r="G53" s="9"/>
      <c r="H53" s="10"/>
      <c r="I53" s="56"/>
      <c r="J53" s="10"/>
      <c r="K53" s="10"/>
      <c r="L53" s="25"/>
    </row>
    <row r="54" spans="1:12" x14ac:dyDescent="0.3">
      <c r="A54" s="3" t="e">
        <f>VLOOKUP(#REF!,'[2]Listas Desplegables'!$H$3:$J$7,2,FALSE)</f>
        <v>#REF!</v>
      </c>
      <c r="B54" s="3" t="e">
        <f>VLOOKUP(#REF!,'[2]Listas Desplegables'!$H$3:$J$7,3,FALSE)</f>
        <v>#REF!</v>
      </c>
      <c r="C54" s="8">
        <v>49</v>
      </c>
      <c r="D54" s="12"/>
      <c r="E54" s="12"/>
      <c r="F54" s="12"/>
      <c r="G54" s="9"/>
      <c r="H54" s="10"/>
      <c r="I54" s="56"/>
      <c r="J54" s="10"/>
      <c r="K54" s="10"/>
      <c r="L54" s="25"/>
    </row>
    <row r="55" spans="1:12" x14ac:dyDescent="0.3">
      <c r="A55" s="3" t="e">
        <f>VLOOKUP(#REF!,'[2]Listas Desplegables'!$H$3:$J$7,2,FALSE)</f>
        <v>#REF!</v>
      </c>
      <c r="B55" s="3" t="e">
        <f>VLOOKUP(#REF!,'[2]Listas Desplegables'!$H$3:$J$7,3,FALSE)</f>
        <v>#REF!</v>
      </c>
      <c r="C55" s="7">
        <v>50</v>
      </c>
      <c r="D55" s="12"/>
      <c r="E55" s="12"/>
      <c r="F55" s="12"/>
      <c r="G55" s="9"/>
      <c r="H55" s="10"/>
      <c r="I55" s="56"/>
      <c r="J55" s="10"/>
      <c r="K55" s="10"/>
      <c r="L55" s="25"/>
    </row>
    <row r="56" spans="1:12" x14ac:dyDescent="0.3">
      <c r="A56" s="3" t="e">
        <f>VLOOKUP(#REF!,'[2]Listas Desplegables'!$H$3:$J$7,2,FALSE)</f>
        <v>#REF!</v>
      </c>
      <c r="B56" s="3" t="e">
        <f>VLOOKUP(#REF!,'[2]Listas Desplegables'!$H$3:$J$7,3,FALSE)</f>
        <v>#REF!</v>
      </c>
      <c r="C56" s="8">
        <v>51</v>
      </c>
      <c r="D56" s="12"/>
      <c r="E56" s="12"/>
      <c r="F56" s="12"/>
      <c r="G56" s="9"/>
      <c r="H56" s="10"/>
      <c r="I56" s="56"/>
      <c r="J56" s="10"/>
      <c r="K56" s="10"/>
      <c r="L56" s="25"/>
    </row>
    <row r="57" spans="1:12" ht="15" thickBot="1" x14ac:dyDescent="0.35">
      <c r="A57" s="3" t="e">
        <f>VLOOKUP(#REF!,'[2]Listas Desplegables'!$H$3:$J$7,2,FALSE)</f>
        <v>#REF!</v>
      </c>
      <c r="B57" s="3" t="e">
        <f>VLOOKUP(#REF!,'[2]Listas Desplegables'!$H$3:$J$7,3,FALSE)</f>
        <v>#REF!</v>
      </c>
      <c r="C57" s="13" t="s">
        <v>4</v>
      </c>
      <c r="D57" s="14"/>
      <c r="E57" s="14"/>
      <c r="F57" s="14"/>
      <c r="G57" s="14"/>
      <c r="H57" s="15"/>
      <c r="I57" s="57"/>
      <c r="J57" s="15"/>
      <c r="K57" s="15"/>
      <c r="L57" s="26"/>
    </row>
  </sheetData>
  <mergeCells count="11">
    <mergeCell ref="L4:L5"/>
    <mergeCell ref="C3:L3"/>
    <mergeCell ref="C4:C5"/>
    <mergeCell ref="D4:D5"/>
    <mergeCell ref="E4:E5"/>
    <mergeCell ref="F4:F5"/>
    <mergeCell ref="G4:G5"/>
    <mergeCell ref="J4:J5"/>
    <mergeCell ref="K4:K5"/>
    <mergeCell ref="H4:H5"/>
    <mergeCell ref="I4:I5"/>
  </mergeCells>
  <dataValidations count="4">
    <dataValidation type="decimal" allowBlank="1" showInputMessage="1" showErrorMessage="1" sqref="J6:K1048576 J1:K3 F1:F3 F6:F1048576" xr:uid="{00000000-0002-0000-0700-000000000000}">
      <formula1>-100000000</formula1>
      <formula2>100000</formula2>
    </dataValidation>
    <dataValidation type="date" operator="greaterThan" allowBlank="1" showInputMessage="1" showErrorMessage="1" sqref="I1:I3 I6:I1048576" xr:uid="{00000000-0002-0000-0700-000001000000}">
      <formula1>1</formula1>
    </dataValidation>
    <dataValidation type="list" allowBlank="1" showInputMessage="1" showErrorMessage="1" sqref="G58:G1048576" xr:uid="{00000000-0002-0000-0700-000002000000}">
      <formula1>$B$80:$B$82</formula1>
    </dataValidation>
    <dataValidation type="list" allowBlank="1" showInputMessage="1" showErrorMessage="1" sqref="G6:G57" xr:uid="{00000000-0002-0000-0700-000003000000}">
      <formula1>$B$81:$B$83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4000000}">
          <x14:formula1>
            <xm:f>'Listas Desplegables'!$B$77:$B$79</xm:f>
          </x14:formula1>
          <xm:sqref>G1:G3</xm:sqref>
        </x14:dataValidation>
        <x14:dataValidation type="list" allowBlank="1" showInputMessage="1" showErrorMessage="1" xr:uid="{00000000-0002-0000-0700-000005000000}">
          <x14:formula1>
            <xm:f>'Listas Desplegables'!$B$81:$B$82</xm:f>
          </x14:formula1>
          <xm:sqref>H6:H57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theme="9"/>
  </sheetPr>
  <dimension ref="A2:M57"/>
  <sheetViews>
    <sheetView workbookViewId="0"/>
    <sheetView workbookViewId="1"/>
  </sheetViews>
  <sheetFormatPr baseColWidth="10" defaultColWidth="11.5546875" defaultRowHeight="14.4" x14ac:dyDescent="0.3"/>
  <cols>
    <col min="1" max="2" width="3" style="3" customWidth="1"/>
    <col min="3" max="3" width="6.6640625" style="2" customWidth="1"/>
    <col min="4" max="4" width="33" customWidth="1"/>
    <col min="5" max="5" width="20.5546875" customWidth="1"/>
    <col min="6" max="11" width="12.6640625" customWidth="1"/>
    <col min="13" max="13" width="29.44140625" customWidth="1"/>
  </cols>
  <sheetData>
    <row r="2" spans="1:13" ht="15" thickBot="1" x14ac:dyDescent="0.35"/>
    <row r="3" spans="1:13" s="1" customFormat="1" ht="15" thickBot="1" x14ac:dyDescent="0.35">
      <c r="A3" s="4"/>
      <c r="B3" s="4"/>
      <c r="C3" s="169" t="s">
        <v>258</v>
      </c>
      <c r="D3" s="170"/>
      <c r="E3" s="170"/>
      <c r="F3" s="170"/>
      <c r="G3" s="170"/>
      <c r="H3" s="170"/>
      <c r="I3" s="170"/>
      <c r="J3" s="170"/>
      <c r="K3" s="170"/>
      <c r="L3" s="170"/>
      <c r="M3" s="171"/>
    </row>
    <row r="4" spans="1:13" s="6" customFormat="1" ht="12" customHeight="1" x14ac:dyDescent="0.3">
      <c r="A4" s="5"/>
      <c r="B4" s="5"/>
      <c r="C4" s="174" t="s">
        <v>3</v>
      </c>
      <c r="D4" s="172" t="str">
        <f>'Manual de Uso'!C146</f>
        <v>Nombre</v>
      </c>
      <c r="E4" s="172" t="str">
        <f>'Manual de Uso'!C147</f>
        <v>Línea Intervenida</v>
      </c>
      <c r="F4" s="172" t="str">
        <f>'Manual de Uso'!C148</f>
        <v>Nivel de tensión [kV]</v>
      </c>
      <c r="G4" s="172" t="str">
        <f>'Manual de Uso'!C149</f>
        <v>En Operación</v>
      </c>
      <c r="H4" s="172" t="str">
        <f>'Manual de Uso'!C150</f>
        <v>FPO</v>
      </c>
      <c r="I4" s="172" t="str">
        <f>'Manual de Uso'!C151</f>
        <v>Conectado al lado de</v>
      </c>
      <c r="J4" s="172" t="str">
        <f>'Manual de Uso'!C152</f>
        <v>Tensión máxima aporte [V]</v>
      </c>
      <c r="K4" s="172" t="str">
        <f>'Manual de Uso'!C153</f>
        <v>Corriente máxima aporte [A]</v>
      </c>
      <c r="L4" s="172" t="str">
        <f>'Manual de Uso'!C154</f>
        <v>Modelo (si disponible)</v>
      </c>
      <c r="M4" s="172" t="str">
        <f>'Manual de Uso'!C155</f>
        <v>Observaciones transportador</v>
      </c>
    </row>
    <row r="5" spans="1:13" s="6" customFormat="1" ht="24" customHeight="1" thickBot="1" x14ac:dyDescent="0.35">
      <c r="A5" s="5"/>
      <c r="B5" s="5"/>
      <c r="C5" s="175"/>
      <c r="D5" s="173"/>
      <c r="E5" s="173"/>
      <c r="F5" s="173"/>
      <c r="G5" s="173"/>
      <c r="H5" s="173"/>
      <c r="I5" s="173"/>
      <c r="J5" s="173"/>
      <c r="K5" s="173"/>
      <c r="L5" s="173"/>
      <c r="M5" s="173"/>
    </row>
    <row r="6" spans="1:13" x14ac:dyDescent="0.3">
      <c r="A6" s="3" t="e">
        <f>VLOOKUP(#REF!,'[2]Listas Desplegables'!$H$3:$J$7,2,FALSE)</f>
        <v>#REF!</v>
      </c>
      <c r="B6" s="3" t="e">
        <f>VLOOKUP(#REF!,'[2]Listas Desplegables'!$H$3:$J$7,3,FALSE)</f>
        <v>#REF!</v>
      </c>
      <c r="C6" s="21">
        <v>1</v>
      </c>
      <c r="D6" s="22"/>
      <c r="E6" s="22"/>
      <c r="F6" s="22"/>
      <c r="G6" s="22"/>
      <c r="H6" s="22"/>
      <c r="I6" s="22"/>
      <c r="J6" s="22"/>
      <c r="K6" s="23"/>
      <c r="L6" s="23"/>
      <c r="M6" s="24"/>
    </row>
    <row r="7" spans="1:13" x14ac:dyDescent="0.3">
      <c r="A7" s="3" t="e">
        <f>VLOOKUP(#REF!,'[2]Listas Desplegables'!$H$3:$J$7,2,FALSE)</f>
        <v>#REF!</v>
      </c>
      <c r="B7" s="3" t="e">
        <f>VLOOKUP(#REF!,'[2]Listas Desplegables'!$H$3:$J$7,3,FALSE)</f>
        <v>#REF!</v>
      </c>
      <c r="C7" s="8">
        <v>2</v>
      </c>
      <c r="D7" s="9"/>
      <c r="E7" s="9"/>
      <c r="F7" s="9"/>
      <c r="G7" s="9"/>
      <c r="H7" s="9"/>
      <c r="I7" s="9"/>
      <c r="J7" s="9"/>
      <c r="K7" s="10"/>
      <c r="L7" s="10"/>
      <c r="M7" s="25"/>
    </row>
    <row r="8" spans="1:13" x14ac:dyDescent="0.3">
      <c r="A8" s="3" t="e">
        <f>VLOOKUP(#REF!,'[2]Listas Desplegables'!$H$3:$J$7,2,FALSE)</f>
        <v>#REF!</v>
      </c>
      <c r="B8" s="3" t="e">
        <f>VLOOKUP(#REF!,'[2]Listas Desplegables'!$H$3:$J$7,3,FALSE)</f>
        <v>#REF!</v>
      </c>
      <c r="C8" s="8">
        <v>3</v>
      </c>
      <c r="D8" s="9"/>
      <c r="E8" s="9"/>
      <c r="F8" s="9"/>
      <c r="G8" s="9"/>
      <c r="H8" s="9"/>
      <c r="I8" s="9"/>
      <c r="J8" s="9"/>
      <c r="K8" s="10"/>
      <c r="L8" s="10"/>
      <c r="M8" s="25"/>
    </row>
    <row r="9" spans="1:13" x14ac:dyDescent="0.3">
      <c r="A9" s="3" t="e">
        <f>VLOOKUP(#REF!,'[2]Listas Desplegables'!$H$3:$J$7,2,FALSE)</f>
        <v>#REF!</v>
      </c>
      <c r="B9" s="3" t="e">
        <f>VLOOKUP(#REF!,'[2]Listas Desplegables'!$H$3:$J$7,3,FALSE)</f>
        <v>#REF!</v>
      </c>
      <c r="C9" s="8">
        <v>4</v>
      </c>
      <c r="D9" s="9"/>
      <c r="E9" s="9"/>
      <c r="F9" s="9"/>
      <c r="G9" s="9"/>
      <c r="H9" s="9"/>
      <c r="I9" s="9"/>
      <c r="J9" s="9"/>
      <c r="K9" s="10"/>
      <c r="L9" s="10"/>
      <c r="M9" s="25"/>
    </row>
    <row r="10" spans="1:13" x14ac:dyDescent="0.3">
      <c r="A10" s="3" t="e">
        <f>VLOOKUP(#REF!,'[2]Listas Desplegables'!$H$3:$J$7,2,FALSE)</f>
        <v>#REF!</v>
      </c>
      <c r="B10" s="3" t="e">
        <f>VLOOKUP(#REF!,'[2]Listas Desplegables'!$H$3:$J$7,3,FALSE)</f>
        <v>#REF!</v>
      </c>
      <c r="C10" s="8">
        <v>5</v>
      </c>
      <c r="D10" s="9"/>
      <c r="E10" s="9"/>
      <c r="F10" s="9"/>
      <c r="G10" s="9"/>
      <c r="H10" s="9"/>
      <c r="I10" s="9"/>
      <c r="J10" s="9"/>
      <c r="K10" s="10"/>
      <c r="L10" s="10"/>
      <c r="M10" s="25"/>
    </row>
    <row r="11" spans="1:13" x14ac:dyDescent="0.3">
      <c r="A11" s="3" t="e">
        <f>VLOOKUP(#REF!,'[2]Listas Desplegables'!$H$3:$J$7,2,FALSE)</f>
        <v>#REF!</v>
      </c>
      <c r="B11" s="3" t="e">
        <f>VLOOKUP(#REF!,'[2]Listas Desplegables'!$H$3:$J$7,3,FALSE)</f>
        <v>#REF!</v>
      </c>
      <c r="C11" s="8">
        <v>6</v>
      </c>
      <c r="D11" s="9"/>
      <c r="E11" s="9"/>
      <c r="F11" s="9"/>
      <c r="G11" s="9"/>
      <c r="H11" s="9"/>
      <c r="I11" s="9"/>
      <c r="J11" s="9"/>
      <c r="K11" s="10"/>
      <c r="L11" s="10"/>
      <c r="M11" s="25"/>
    </row>
    <row r="12" spans="1:13" x14ac:dyDescent="0.3">
      <c r="A12" s="3" t="e">
        <f>VLOOKUP(#REF!,'[2]Listas Desplegables'!$H$3:$J$7,2,FALSE)</f>
        <v>#REF!</v>
      </c>
      <c r="B12" s="3" t="e">
        <f>VLOOKUP(#REF!,'[2]Listas Desplegables'!$H$3:$J$7,3,FALSE)</f>
        <v>#REF!</v>
      </c>
      <c r="C12" s="8">
        <v>7</v>
      </c>
      <c r="D12" s="9"/>
      <c r="E12" s="9"/>
      <c r="F12" s="9"/>
      <c r="G12" s="9"/>
      <c r="H12" s="9"/>
      <c r="I12" s="9"/>
      <c r="J12" s="9"/>
      <c r="K12" s="10"/>
      <c r="L12" s="10"/>
      <c r="M12" s="25"/>
    </row>
    <row r="13" spans="1:13" x14ac:dyDescent="0.3">
      <c r="A13" s="3" t="e">
        <f>VLOOKUP(#REF!,'[2]Listas Desplegables'!$H$3:$J$7,2,FALSE)</f>
        <v>#REF!</v>
      </c>
      <c r="B13" s="3" t="e">
        <f>VLOOKUP(#REF!,'[2]Listas Desplegables'!$H$3:$J$7,3,FALSE)</f>
        <v>#REF!</v>
      </c>
      <c r="C13" s="8">
        <v>8</v>
      </c>
      <c r="D13" s="9"/>
      <c r="E13" s="9"/>
      <c r="F13" s="9"/>
      <c r="G13" s="9"/>
      <c r="H13" s="9"/>
      <c r="I13" s="9"/>
      <c r="J13" s="9"/>
      <c r="K13" s="10"/>
      <c r="L13" s="10"/>
      <c r="M13" s="25"/>
    </row>
    <row r="14" spans="1:13" x14ac:dyDescent="0.3">
      <c r="A14" s="3" t="e">
        <f>VLOOKUP(#REF!,'[2]Listas Desplegables'!$H$3:$J$7,2,FALSE)</f>
        <v>#REF!</v>
      </c>
      <c r="B14" s="3" t="e">
        <f>VLOOKUP(#REF!,'[2]Listas Desplegables'!$H$3:$J$7,3,FALSE)</f>
        <v>#REF!</v>
      </c>
      <c r="C14" s="8">
        <v>9</v>
      </c>
      <c r="D14" s="9"/>
      <c r="E14" s="9"/>
      <c r="F14" s="9"/>
      <c r="G14" s="9"/>
      <c r="H14" s="9"/>
      <c r="I14" s="9"/>
      <c r="J14" s="9"/>
      <c r="K14" s="10"/>
      <c r="L14" s="10"/>
      <c r="M14" s="25"/>
    </row>
    <row r="15" spans="1:13" x14ac:dyDescent="0.3">
      <c r="A15" s="3" t="e">
        <f>VLOOKUP(#REF!,'[2]Listas Desplegables'!$H$3:$J$7,2,FALSE)</f>
        <v>#REF!</v>
      </c>
      <c r="B15" s="3" t="e">
        <f>VLOOKUP(#REF!,'[2]Listas Desplegables'!$H$3:$J$7,3,FALSE)</f>
        <v>#REF!</v>
      </c>
      <c r="C15" s="7">
        <v>10</v>
      </c>
      <c r="D15" s="9"/>
      <c r="E15" s="9"/>
      <c r="F15" s="9"/>
      <c r="G15" s="9"/>
      <c r="H15" s="9"/>
      <c r="I15" s="9"/>
      <c r="J15" s="9"/>
      <c r="K15" s="10"/>
      <c r="L15" s="10"/>
      <c r="M15" s="25"/>
    </row>
    <row r="16" spans="1:13" x14ac:dyDescent="0.3">
      <c r="A16" s="3" t="e">
        <f>VLOOKUP(#REF!,'[2]Listas Desplegables'!$H$3:$J$7,2,FALSE)</f>
        <v>#REF!</v>
      </c>
      <c r="B16" s="3" t="e">
        <f>VLOOKUP(#REF!,'[2]Listas Desplegables'!$H$3:$J$7,3,FALSE)</f>
        <v>#REF!</v>
      </c>
      <c r="C16" s="8">
        <v>11</v>
      </c>
      <c r="D16" s="9"/>
      <c r="E16" s="9"/>
      <c r="F16" s="9"/>
      <c r="G16" s="9"/>
      <c r="H16" s="9"/>
      <c r="I16" s="9"/>
      <c r="J16" s="9"/>
      <c r="K16" s="10"/>
      <c r="L16" s="10"/>
      <c r="M16" s="25"/>
    </row>
    <row r="17" spans="1:13" x14ac:dyDescent="0.3">
      <c r="A17" s="3" t="e">
        <f>VLOOKUP(#REF!,'[2]Listas Desplegables'!$H$3:$J$7,2,FALSE)</f>
        <v>#REF!</v>
      </c>
      <c r="B17" s="3" t="e">
        <f>VLOOKUP(#REF!,'[2]Listas Desplegables'!$H$3:$J$7,3,FALSE)</f>
        <v>#REF!</v>
      </c>
      <c r="C17" s="8">
        <v>12</v>
      </c>
      <c r="D17" s="9"/>
      <c r="E17" s="9"/>
      <c r="F17" s="9"/>
      <c r="G17" s="9"/>
      <c r="H17" s="9"/>
      <c r="I17" s="9"/>
      <c r="J17" s="9"/>
      <c r="K17" s="10"/>
      <c r="L17" s="10"/>
      <c r="M17" s="25"/>
    </row>
    <row r="18" spans="1:13" x14ac:dyDescent="0.3">
      <c r="A18" s="3" t="e">
        <f>VLOOKUP(#REF!,'[2]Listas Desplegables'!$H$3:$J$7,2,FALSE)</f>
        <v>#REF!</v>
      </c>
      <c r="B18" s="3" t="e">
        <f>VLOOKUP(#REF!,'[2]Listas Desplegables'!$H$3:$J$7,3,FALSE)</f>
        <v>#REF!</v>
      </c>
      <c r="C18" s="8">
        <v>13</v>
      </c>
      <c r="D18" s="9"/>
      <c r="E18" s="9"/>
      <c r="F18" s="9"/>
      <c r="G18" s="9"/>
      <c r="H18" s="9"/>
      <c r="I18" s="9"/>
      <c r="J18" s="9"/>
      <c r="K18" s="10"/>
      <c r="L18" s="10"/>
      <c r="M18" s="25"/>
    </row>
    <row r="19" spans="1:13" x14ac:dyDescent="0.3">
      <c r="A19" s="3" t="e">
        <f>VLOOKUP(#REF!,'[2]Listas Desplegables'!$H$3:$J$7,2,FALSE)</f>
        <v>#REF!</v>
      </c>
      <c r="B19" s="3" t="e">
        <f>VLOOKUP(#REF!,'[2]Listas Desplegables'!$H$3:$J$7,3,FALSE)</f>
        <v>#REF!</v>
      </c>
      <c r="C19" s="8">
        <v>14</v>
      </c>
      <c r="D19" s="9"/>
      <c r="E19" s="9"/>
      <c r="F19" s="9"/>
      <c r="G19" s="9"/>
      <c r="H19" s="9"/>
      <c r="I19" s="9"/>
      <c r="J19" s="9"/>
      <c r="K19" s="10"/>
      <c r="L19" s="10"/>
      <c r="M19" s="25"/>
    </row>
    <row r="20" spans="1:13" x14ac:dyDescent="0.3">
      <c r="A20" s="3" t="e">
        <f>VLOOKUP(#REF!,'[2]Listas Desplegables'!$H$3:$J$7,2,FALSE)</f>
        <v>#REF!</v>
      </c>
      <c r="B20" s="3" t="e">
        <f>VLOOKUP(#REF!,'[2]Listas Desplegables'!$H$3:$J$7,3,FALSE)</f>
        <v>#REF!</v>
      </c>
      <c r="C20" s="8">
        <v>15</v>
      </c>
      <c r="D20" s="9"/>
      <c r="E20" s="9"/>
      <c r="F20" s="9"/>
      <c r="G20" s="9"/>
      <c r="H20" s="9"/>
      <c r="I20" s="9"/>
      <c r="J20" s="9"/>
      <c r="K20" s="10"/>
      <c r="L20" s="10"/>
      <c r="M20" s="25"/>
    </row>
    <row r="21" spans="1:13" x14ac:dyDescent="0.3">
      <c r="A21" s="3" t="e">
        <f>VLOOKUP(#REF!,'[2]Listas Desplegables'!$H$3:$J$7,2,FALSE)</f>
        <v>#REF!</v>
      </c>
      <c r="B21" s="3" t="e">
        <f>VLOOKUP(#REF!,'[2]Listas Desplegables'!$H$3:$J$7,3,FALSE)</f>
        <v>#REF!</v>
      </c>
      <c r="C21" s="8">
        <v>16</v>
      </c>
      <c r="D21" s="9"/>
      <c r="E21" s="9"/>
      <c r="F21" s="9"/>
      <c r="G21" s="9"/>
      <c r="H21" s="9"/>
      <c r="I21" s="9"/>
      <c r="J21" s="9"/>
      <c r="K21" s="10"/>
      <c r="L21" s="10"/>
      <c r="M21" s="25"/>
    </row>
    <row r="22" spans="1:13" x14ac:dyDescent="0.3">
      <c r="A22" s="3" t="e">
        <f>VLOOKUP(#REF!,'[2]Listas Desplegables'!$H$3:$J$7,2,FALSE)</f>
        <v>#REF!</v>
      </c>
      <c r="B22" s="3" t="e">
        <f>VLOOKUP(#REF!,'[2]Listas Desplegables'!$H$3:$J$7,3,FALSE)</f>
        <v>#REF!</v>
      </c>
      <c r="C22" s="8">
        <v>17</v>
      </c>
      <c r="D22" s="9"/>
      <c r="E22" s="9"/>
      <c r="F22" s="9"/>
      <c r="G22" s="9"/>
      <c r="H22" s="9"/>
      <c r="I22" s="9"/>
      <c r="J22" s="9"/>
      <c r="K22" s="10"/>
      <c r="L22" s="10"/>
      <c r="M22" s="25"/>
    </row>
    <row r="23" spans="1:13" x14ac:dyDescent="0.3">
      <c r="A23" s="3" t="e">
        <f>VLOOKUP(#REF!,'[2]Listas Desplegables'!$H$3:$J$7,2,FALSE)</f>
        <v>#REF!</v>
      </c>
      <c r="B23" s="3" t="e">
        <f>VLOOKUP(#REF!,'[2]Listas Desplegables'!$H$3:$J$7,3,FALSE)</f>
        <v>#REF!</v>
      </c>
      <c r="C23" s="8">
        <v>18</v>
      </c>
      <c r="D23" s="9"/>
      <c r="E23" s="9"/>
      <c r="F23" s="9"/>
      <c r="G23" s="9"/>
      <c r="H23" s="9"/>
      <c r="I23" s="9"/>
      <c r="J23" s="9"/>
      <c r="K23" s="10"/>
      <c r="L23" s="10"/>
      <c r="M23" s="25"/>
    </row>
    <row r="24" spans="1:13" x14ac:dyDescent="0.3">
      <c r="A24" s="3" t="e">
        <f>VLOOKUP(#REF!,'[2]Listas Desplegables'!$H$3:$J$7,2,FALSE)</f>
        <v>#REF!</v>
      </c>
      <c r="B24" s="3" t="e">
        <f>VLOOKUP(#REF!,'[2]Listas Desplegables'!$H$3:$J$7,3,FALSE)</f>
        <v>#REF!</v>
      </c>
      <c r="C24" s="7">
        <v>19</v>
      </c>
      <c r="D24" s="9"/>
      <c r="E24" s="9"/>
      <c r="F24" s="9"/>
      <c r="G24" s="9"/>
      <c r="H24" s="9"/>
      <c r="I24" s="9"/>
      <c r="J24" s="9"/>
      <c r="K24" s="10"/>
      <c r="L24" s="10"/>
      <c r="M24" s="25"/>
    </row>
    <row r="25" spans="1:13" x14ac:dyDescent="0.3">
      <c r="A25" s="3" t="e">
        <f>VLOOKUP(#REF!,'[2]Listas Desplegables'!$H$3:$J$7,2,FALSE)</f>
        <v>#REF!</v>
      </c>
      <c r="B25" s="3" t="e">
        <f>VLOOKUP(#REF!,'[2]Listas Desplegables'!$H$3:$J$7,3,FALSE)</f>
        <v>#REF!</v>
      </c>
      <c r="C25" s="11">
        <v>20</v>
      </c>
      <c r="D25" s="12"/>
      <c r="E25" s="12"/>
      <c r="F25" s="12"/>
      <c r="G25" s="12"/>
      <c r="H25" s="12"/>
      <c r="I25" s="12"/>
      <c r="J25" s="9"/>
      <c r="K25" s="10"/>
      <c r="L25" s="10"/>
      <c r="M25" s="25"/>
    </row>
    <row r="26" spans="1:13" x14ac:dyDescent="0.3">
      <c r="A26" s="3" t="e">
        <f>VLOOKUP(#REF!,'[2]Listas Desplegables'!$H$3:$J$7,2,FALSE)</f>
        <v>#REF!</v>
      </c>
      <c r="B26" s="3" t="e">
        <f>VLOOKUP(#REF!,'[2]Listas Desplegables'!$H$3:$J$7,3,FALSE)</f>
        <v>#REF!</v>
      </c>
      <c r="C26" s="7">
        <v>21</v>
      </c>
      <c r="D26" s="12"/>
      <c r="E26" s="12"/>
      <c r="F26" s="12"/>
      <c r="G26" s="12"/>
      <c r="H26" s="12"/>
      <c r="I26" s="12"/>
      <c r="J26" s="9"/>
      <c r="K26" s="10"/>
      <c r="L26" s="10"/>
      <c r="M26" s="25"/>
    </row>
    <row r="27" spans="1:13" x14ac:dyDescent="0.3">
      <c r="A27" s="3" t="e">
        <f>VLOOKUP(#REF!,'[2]Listas Desplegables'!$H$3:$J$7,2,FALSE)</f>
        <v>#REF!</v>
      </c>
      <c r="B27" s="3" t="e">
        <f>VLOOKUP(#REF!,'[2]Listas Desplegables'!$H$3:$J$7,3,FALSE)</f>
        <v>#REF!</v>
      </c>
      <c r="C27" s="8">
        <v>22</v>
      </c>
      <c r="D27" s="12"/>
      <c r="E27" s="12"/>
      <c r="F27" s="12"/>
      <c r="G27" s="12"/>
      <c r="H27" s="12"/>
      <c r="I27" s="12"/>
      <c r="J27" s="9"/>
      <c r="K27" s="10"/>
      <c r="L27" s="10"/>
      <c r="M27" s="25"/>
    </row>
    <row r="28" spans="1:13" x14ac:dyDescent="0.3">
      <c r="A28" s="3" t="e">
        <f>VLOOKUP(#REF!,'[2]Listas Desplegables'!$H$3:$J$7,2,FALSE)</f>
        <v>#REF!</v>
      </c>
      <c r="B28" s="3" t="e">
        <f>VLOOKUP(#REF!,'[2]Listas Desplegables'!$H$3:$J$7,3,FALSE)</f>
        <v>#REF!</v>
      </c>
      <c r="C28" s="8">
        <v>23</v>
      </c>
      <c r="D28" s="12"/>
      <c r="E28" s="12"/>
      <c r="F28" s="12"/>
      <c r="G28" s="12"/>
      <c r="H28" s="12"/>
      <c r="I28" s="12"/>
      <c r="J28" s="9"/>
      <c r="K28" s="10"/>
      <c r="L28" s="10"/>
      <c r="M28" s="25"/>
    </row>
    <row r="29" spans="1:13" x14ac:dyDescent="0.3">
      <c r="A29" s="3" t="e">
        <f>VLOOKUP(#REF!,'[2]Listas Desplegables'!$H$3:$J$7,2,FALSE)</f>
        <v>#REF!</v>
      </c>
      <c r="B29" s="3" t="e">
        <f>VLOOKUP(#REF!,'[2]Listas Desplegables'!$H$3:$J$7,3,FALSE)</f>
        <v>#REF!</v>
      </c>
      <c r="C29" s="8">
        <v>24</v>
      </c>
      <c r="D29" s="12"/>
      <c r="E29" s="12"/>
      <c r="F29" s="12"/>
      <c r="G29" s="12"/>
      <c r="H29" s="12"/>
      <c r="I29" s="12"/>
      <c r="J29" s="9"/>
      <c r="K29" s="10"/>
      <c r="L29" s="10"/>
      <c r="M29" s="25"/>
    </row>
    <row r="30" spans="1:13" x14ac:dyDescent="0.3">
      <c r="A30" s="3" t="e">
        <f>VLOOKUP(#REF!,'[2]Listas Desplegables'!$H$3:$J$7,2,FALSE)</f>
        <v>#REF!</v>
      </c>
      <c r="B30" s="3" t="e">
        <f>VLOOKUP(#REF!,'[2]Listas Desplegables'!$H$3:$J$7,3,FALSE)</f>
        <v>#REF!</v>
      </c>
      <c r="C30" s="8">
        <v>25</v>
      </c>
      <c r="D30" s="12"/>
      <c r="E30" s="12"/>
      <c r="F30" s="12"/>
      <c r="G30" s="12"/>
      <c r="H30" s="12"/>
      <c r="I30" s="12"/>
      <c r="J30" s="9"/>
      <c r="K30" s="10"/>
      <c r="L30" s="10"/>
      <c r="M30" s="25"/>
    </row>
    <row r="31" spans="1:13" x14ac:dyDescent="0.3">
      <c r="A31" s="3" t="e">
        <f>VLOOKUP(#REF!,'[2]Listas Desplegables'!$H$3:$J$7,2,FALSE)</f>
        <v>#REF!</v>
      </c>
      <c r="B31" s="3" t="e">
        <f>VLOOKUP(#REF!,'[2]Listas Desplegables'!$H$3:$J$7,3,FALSE)</f>
        <v>#REF!</v>
      </c>
      <c r="C31" s="8">
        <v>26</v>
      </c>
      <c r="D31" s="12"/>
      <c r="E31" s="12"/>
      <c r="F31" s="12"/>
      <c r="G31" s="12"/>
      <c r="H31" s="12"/>
      <c r="I31" s="12"/>
      <c r="J31" s="9"/>
      <c r="K31" s="10"/>
      <c r="L31" s="10"/>
      <c r="M31" s="25"/>
    </row>
    <row r="32" spans="1:13" x14ac:dyDescent="0.3">
      <c r="A32" s="3" t="e">
        <f>VLOOKUP(#REF!,'[2]Listas Desplegables'!$H$3:$J$7,2,FALSE)</f>
        <v>#REF!</v>
      </c>
      <c r="B32" s="3" t="e">
        <f>VLOOKUP(#REF!,'[2]Listas Desplegables'!$H$3:$J$7,3,FALSE)</f>
        <v>#REF!</v>
      </c>
      <c r="C32" s="8">
        <v>27</v>
      </c>
      <c r="D32" s="12"/>
      <c r="E32" s="12"/>
      <c r="F32" s="12"/>
      <c r="G32" s="12"/>
      <c r="H32" s="12"/>
      <c r="I32" s="12"/>
      <c r="J32" s="9"/>
      <c r="K32" s="10"/>
      <c r="L32" s="10"/>
      <c r="M32" s="25"/>
    </row>
    <row r="33" spans="1:13" x14ac:dyDescent="0.3">
      <c r="A33" s="3" t="e">
        <f>VLOOKUP(#REF!,'[2]Listas Desplegables'!$H$3:$J$7,2,FALSE)</f>
        <v>#REF!</v>
      </c>
      <c r="B33" s="3" t="e">
        <f>VLOOKUP(#REF!,'[2]Listas Desplegables'!$H$3:$J$7,3,FALSE)</f>
        <v>#REF!</v>
      </c>
      <c r="C33" s="8">
        <v>28</v>
      </c>
      <c r="D33" s="12"/>
      <c r="E33" s="12"/>
      <c r="F33" s="12"/>
      <c r="G33" s="12"/>
      <c r="H33" s="12"/>
      <c r="I33" s="12"/>
      <c r="J33" s="9"/>
      <c r="K33" s="10"/>
      <c r="L33" s="10"/>
      <c r="M33" s="25"/>
    </row>
    <row r="34" spans="1:13" x14ac:dyDescent="0.3">
      <c r="A34" s="3" t="e">
        <f>VLOOKUP(#REF!,'[2]Listas Desplegables'!$H$3:$J$7,2,FALSE)</f>
        <v>#REF!</v>
      </c>
      <c r="B34" s="3" t="e">
        <f>VLOOKUP(#REF!,'[2]Listas Desplegables'!$H$3:$J$7,3,FALSE)</f>
        <v>#REF!</v>
      </c>
      <c r="C34" s="8">
        <v>29</v>
      </c>
      <c r="D34" s="12"/>
      <c r="E34" s="12"/>
      <c r="F34" s="12"/>
      <c r="G34" s="12"/>
      <c r="H34" s="12"/>
      <c r="I34" s="12"/>
      <c r="J34" s="9"/>
      <c r="K34" s="10"/>
      <c r="L34" s="10"/>
      <c r="M34" s="25"/>
    </row>
    <row r="35" spans="1:13" x14ac:dyDescent="0.3">
      <c r="A35" s="3" t="e">
        <f>VLOOKUP(#REF!,'[2]Listas Desplegables'!$H$3:$J$7,2,FALSE)</f>
        <v>#REF!</v>
      </c>
      <c r="B35" s="3" t="e">
        <f>VLOOKUP(#REF!,'[2]Listas Desplegables'!$H$3:$J$7,3,FALSE)</f>
        <v>#REF!</v>
      </c>
      <c r="C35" s="7">
        <v>30</v>
      </c>
      <c r="D35" s="12"/>
      <c r="E35" s="12"/>
      <c r="F35" s="12"/>
      <c r="G35" s="12"/>
      <c r="H35" s="12"/>
      <c r="I35" s="12"/>
      <c r="J35" s="9"/>
      <c r="K35" s="10"/>
      <c r="L35" s="10"/>
      <c r="M35" s="25"/>
    </row>
    <row r="36" spans="1:13" x14ac:dyDescent="0.3">
      <c r="A36" s="3" t="e">
        <f>VLOOKUP(#REF!,'[2]Listas Desplegables'!$H$3:$J$7,2,FALSE)</f>
        <v>#REF!</v>
      </c>
      <c r="B36" s="3" t="e">
        <f>VLOOKUP(#REF!,'[2]Listas Desplegables'!$H$3:$J$7,3,FALSE)</f>
        <v>#REF!</v>
      </c>
      <c r="C36" s="8">
        <v>31</v>
      </c>
      <c r="D36" s="12"/>
      <c r="E36" s="12"/>
      <c r="F36" s="12"/>
      <c r="G36" s="12"/>
      <c r="H36" s="12"/>
      <c r="I36" s="12"/>
      <c r="J36" s="9"/>
      <c r="K36" s="10"/>
      <c r="L36" s="10"/>
      <c r="M36" s="25"/>
    </row>
    <row r="37" spans="1:13" x14ac:dyDescent="0.3">
      <c r="A37" s="3" t="e">
        <f>VLOOKUP(#REF!,'[2]Listas Desplegables'!$H$3:$J$7,2,FALSE)</f>
        <v>#REF!</v>
      </c>
      <c r="B37" s="3" t="e">
        <f>VLOOKUP(#REF!,'[2]Listas Desplegables'!$H$3:$J$7,3,FALSE)</f>
        <v>#REF!</v>
      </c>
      <c r="C37" s="8">
        <v>32</v>
      </c>
      <c r="D37" s="12"/>
      <c r="E37" s="12"/>
      <c r="F37" s="12"/>
      <c r="G37" s="12"/>
      <c r="H37" s="12"/>
      <c r="I37" s="12"/>
      <c r="J37" s="9"/>
      <c r="K37" s="10"/>
      <c r="L37" s="10"/>
      <c r="M37" s="25"/>
    </row>
    <row r="38" spans="1:13" x14ac:dyDescent="0.3">
      <c r="A38" s="3" t="e">
        <f>VLOOKUP(#REF!,'[2]Listas Desplegables'!$H$3:$J$7,2,FALSE)</f>
        <v>#REF!</v>
      </c>
      <c r="B38" s="3" t="e">
        <f>VLOOKUP(#REF!,'[2]Listas Desplegables'!$H$3:$J$7,3,FALSE)</f>
        <v>#REF!</v>
      </c>
      <c r="C38" s="8">
        <v>33</v>
      </c>
      <c r="D38" s="12"/>
      <c r="E38" s="12"/>
      <c r="F38" s="12"/>
      <c r="G38" s="12"/>
      <c r="H38" s="12"/>
      <c r="I38" s="12"/>
      <c r="J38" s="9"/>
      <c r="K38" s="10"/>
      <c r="L38" s="10"/>
      <c r="M38" s="25"/>
    </row>
    <row r="39" spans="1:13" x14ac:dyDescent="0.3">
      <c r="A39" s="3" t="e">
        <f>VLOOKUP(#REF!,'[2]Listas Desplegables'!$H$3:$J$7,2,FALSE)</f>
        <v>#REF!</v>
      </c>
      <c r="B39" s="3" t="e">
        <f>VLOOKUP(#REF!,'[2]Listas Desplegables'!$H$3:$J$7,3,FALSE)</f>
        <v>#REF!</v>
      </c>
      <c r="C39" s="8">
        <v>34</v>
      </c>
      <c r="D39" s="12"/>
      <c r="E39" s="12"/>
      <c r="F39" s="12"/>
      <c r="G39" s="12"/>
      <c r="H39" s="12"/>
      <c r="I39" s="12"/>
      <c r="J39" s="9"/>
      <c r="K39" s="10"/>
      <c r="L39" s="10"/>
      <c r="M39" s="25"/>
    </row>
    <row r="40" spans="1:13" x14ac:dyDescent="0.3">
      <c r="A40" s="3" t="e">
        <f>VLOOKUP(#REF!,'[2]Listas Desplegables'!$H$3:$J$7,2,FALSE)</f>
        <v>#REF!</v>
      </c>
      <c r="B40" s="3" t="e">
        <f>VLOOKUP(#REF!,'[2]Listas Desplegables'!$H$3:$J$7,3,FALSE)</f>
        <v>#REF!</v>
      </c>
      <c r="C40" s="8">
        <v>35</v>
      </c>
      <c r="D40" s="12"/>
      <c r="E40" s="12"/>
      <c r="F40" s="12"/>
      <c r="G40" s="12"/>
      <c r="H40" s="12"/>
      <c r="I40" s="12"/>
      <c r="J40" s="9"/>
      <c r="K40" s="10"/>
      <c r="L40" s="10"/>
      <c r="M40" s="25"/>
    </row>
    <row r="41" spans="1:13" x14ac:dyDescent="0.3">
      <c r="A41" s="3" t="e">
        <f>VLOOKUP(#REF!,'[2]Listas Desplegables'!$H$3:$J$7,2,FALSE)</f>
        <v>#REF!</v>
      </c>
      <c r="B41" s="3" t="e">
        <f>VLOOKUP(#REF!,'[2]Listas Desplegables'!$H$3:$J$7,3,FALSE)</f>
        <v>#REF!</v>
      </c>
      <c r="C41" s="8">
        <v>36</v>
      </c>
      <c r="D41" s="12"/>
      <c r="E41" s="12"/>
      <c r="F41" s="12"/>
      <c r="G41" s="12"/>
      <c r="H41" s="12"/>
      <c r="I41" s="12"/>
      <c r="J41" s="9"/>
      <c r="K41" s="10"/>
      <c r="L41" s="10"/>
      <c r="M41" s="25"/>
    </row>
    <row r="42" spans="1:13" x14ac:dyDescent="0.3">
      <c r="A42" s="3" t="e">
        <f>VLOOKUP(#REF!,'[2]Listas Desplegables'!$H$3:$J$7,2,FALSE)</f>
        <v>#REF!</v>
      </c>
      <c r="B42" s="3" t="e">
        <f>VLOOKUP(#REF!,'[2]Listas Desplegables'!$H$3:$J$7,3,FALSE)</f>
        <v>#REF!</v>
      </c>
      <c r="C42" s="8">
        <v>37</v>
      </c>
      <c r="D42" s="12"/>
      <c r="E42" s="12"/>
      <c r="F42" s="12"/>
      <c r="G42" s="12"/>
      <c r="H42" s="12"/>
      <c r="I42" s="12"/>
      <c r="J42" s="9"/>
      <c r="K42" s="10"/>
      <c r="L42" s="10"/>
      <c r="M42" s="25"/>
    </row>
    <row r="43" spans="1:13" x14ac:dyDescent="0.3">
      <c r="A43" s="3" t="e">
        <f>VLOOKUP(#REF!,'[2]Listas Desplegables'!$H$3:$J$7,2,FALSE)</f>
        <v>#REF!</v>
      </c>
      <c r="B43" s="3" t="e">
        <f>VLOOKUP(#REF!,'[2]Listas Desplegables'!$H$3:$J$7,3,FALSE)</f>
        <v>#REF!</v>
      </c>
      <c r="C43" s="8">
        <v>38</v>
      </c>
      <c r="D43" s="12"/>
      <c r="E43" s="12"/>
      <c r="F43" s="12"/>
      <c r="G43" s="12"/>
      <c r="H43" s="12"/>
      <c r="I43" s="12"/>
      <c r="J43" s="9"/>
      <c r="K43" s="10"/>
      <c r="L43" s="10"/>
      <c r="M43" s="25"/>
    </row>
    <row r="44" spans="1:13" x14ac:dyDescent="0.3">
      <c r="A44" s="3" t="e">
        <f>VLOOKUP(#REF!,'[2]Listas Desplegables'!$H$3:$J$7,2,FALSE)</f>
        <v>#REF!</v>
      </c>
      <c r="B44" s="3" t="e">
        <f>VLOOKUP(#REF!,'[2]Listas Desplegables'!$H$3:$J$7,3,FALSE)</f>
        <v>#REF!</v>
      </c>
      <c r="C44" s="7">
        <v>39</v>
      </c>
      <c r="D44" s="12"/>
      <c r="E44" s="12"/>
      <c r="F44" s="12"/>
      <c r="G44" s="12"/>
      <c r="H44" s="12"/>
      <c r="I44" s="12"/>
      <c r="J44" s="9"/>
      <c r="K44" s="10"/>
      <c r="L44" s="10"/>
      <c r="M44" s="25"/>
    </row>
    <row r="45" spans="1:13" x14ac:dyDescent="0.3">
      <c r="A45" s="3" t="e">
        <f>VLOOKUP(#REF!,'[2]Listas Desplegables'!$H$3:$J$7,2,FALSE)</f>
        <v>#REF!</v>
      </c>
      <c r="B45" s="3" t="e">
        <f>VLOOKUP(#REF!,'[2]Listas Desplegables'!$H$3:$J$7,3,FALSE)</f>
        <v>#REF!</v>
      </c>
      <c r="C45" s="11">
        <v>40</v>
      </c>
      <c r="D45" s="12"/>
      <c r="E45" s="12"/>
      <c r="F45" s="12"/>
      <c r="G45" s="12"/>
      <c r="H45" s="12"/>
      <c r="I45" s="12"/>
      <c r="J45" s="9"/>
      <c r="K45" s="10"/>
      <c r="L45" s="10"/>
      <c r="M45" s="25"/>
    </row>
    <row r="46" spans="1:13" x14ac:dyDescent="0.3">
      <c r="A46" s="3" t="e">
        <f>VLOOKUP(#REF!,'[2]Listas Desplegables'!$H$3:$J$7,2,FALSE)</f>
        <v>#REF!</v>
      </c>
      <c r="B46" s="3" t="e">
        <f>VLOOKUP(#REF!,'[2]Listas Desplegables'!$H$3:$J$7,3,FALSE)</f>
        <v>#REF!</v>
      </c>
      <c r="C46" s="7">
        <v>41</v>
      </c>
      <c r="D46" s="12"/>
      <c r="E46" s="12"/>
      <c r="F46" s="12"/>
      <c r="G46" s="12"/>
      <c r="H46" s="12"/>
      <c r="I46" s="12"/>
      <c r="J46" s="9"/>
      <c r="K46" s="10"/>
      <c r="L46" s="10"/>
      <c r="M46" s="25"/>
    </row>
    <row r="47" spans="1:13" x14ac:dyDescent="0.3">
      <c r="A47" s="3" t="e">
        <f>VLOOKUP(#REF!,'[2]Listas Desplegables'!$H$3:$J$7,2,FALSE)</f>
        <v>#REF!</v>
      </c>
      <c r="B47" s="3" t="e">
        <f>VLOOKUP(#REF!,'[2]Listas Desplegables'!$H$3:$J$7,3,FALSE)</f>
        <v>#REF!</v>
      </c>
      <c r="C47" s="8">
        <v>42</v>
      </c>
      <c r="D47" s="12"/>
      <c r="E47" s="12"/>
      <c r="F47" s="12"/>
      <c r="G47" s="12"/>
      <c r="H47" s="12"/>
      <c r="I47" s="12"/>
      <c r="J47" s="9"/>
      <c r="K47" s="10"/>
      <c r="L47" s="10"/>
      <c r="M47" s="25"/>
    </row>
    <row r="48" spans="1:13" x14ac:dyDescent="0.3">
      <c r="A48" s="3" t="e">
        <f>VLOOKUP(#REF!,'[2]Listas Desplegables'!$H$3:$J$7,2,FALSE)</f>
        <v>#REF!</v>
      </c>
      <c r="B48" s="3" t="e">
        <f>VLOOKUP(#REF!,'[2]Listas Desplegables'!$H$3:$J$7,3,FALSE)</f>
        <v>#REF!</v>
      </c>
      <c r="C48" s="8">
        <v>43</v>
      </c>
      <c r="D48" s="12"/>
      <c r="E48" s="12"/>
      <c r="F48" s="12"/>
      <c r="G48" s="12"/>
      <c r="H48" s="12"/>
      <c r="I48" s="12"/>
      <c r="J48" s="9"/>
      <c r="K48" s="10"/>
      <c r="L48" s="10"/>
      <c r="M48" s="25"/>
    </row>
    <row r="49" spans="1:13" x14ac:dyDescent="0.3">
      <c r="A49" s="3" t="e">
        <f>VLOOKUP(#REF!,'[2]Listas Desplegables'!$H$3:$J$7,2,FALSE)</f>
        <v>#REF!</v>
      </c>
      <c r="B49" s="3" t="e">
        <f>VLOOKUP(#REF!,'[2]Listas Desplegables'!$H$3:$J$7,3,FALSE)</f>
        <v>#REF!</v>
      </c>
      <c r="C49" s="8">
        <v>44</v>
      </c>
      <c r="D49" s="12"/>
      <c r="E49" s="12"/>
      <c r="F49" s="12"/>
      <c r="G49" s="12"/>
      <c r="H49" s="12"/>
      <c r="I49" s="12"/>
      <c r="J49" s="9"/>
      <c r="K49" s="10"/>
      <c r="L49" s="10"/>
      <c r="M49" s="25"/>
    </row>
    <row r="50" spans="1:13" x14ac:dyDescent="0.3">
      <c r="A50" s="3" t="e">
        <f>VLOOKUP(#REF!,'[2]Listas Desplegables'!$H$3:$J$7,2,FALSE)</f>
        <v>#REF!</v>
      </c>
      <c r="B50" s="3" t="e">
        <f>VLOOKUP(#REF!,'[2]Listas Desplegables'!$H$3:$J$7,3,FALSE)</f>
        <v>#REF!</v>
      </c>
      <c r="C50" s="8">
        <v>45</v>
      </c>
      <c r="D50" s="12"/>
      <c r="E50" s="12"/>
      <c r="F50" s="12"/>
      <c r="G50" s="12"/>
      <c r="H50" s="12"/>
      <c r="I50" s="12"/>
      <c r="J50" s="9"/>
      <c r="K50" s="10"/>
      <c r="L50" s="10"/>
      <c r="M50" s="25"/>
    </row>
    <row r="51" spans="1:13" x14ac:dyDescent="0.3">
      <c r="A51" s="3" t="e">
        <f>VLOOKUP(#REF!,'[2]Listas Desplegables'!$H$3:$J$7,2,FALSE)</f>
        <v>#REF!</v>
      </c>
      <c r="B51" s="3" t="e">
        <f>VLOOKUP(#REF!,'[2]Listas Desplegables'!$H$3:$J$7,3,FALSE)</f>
        <v>#REF!</v>
      </c>
      <c r="C51" s="8">
        <v>46</v>
      </c>
      <c r="D51" s="12"/>
      <c r="E51" s="12"/>
      <c r="F51" s="12"/>
      <c r="G51" s="12"/>
      <c r="H51" s="12"/>
      <c r="I51" s="12"/>
      <c r="J51" s="9"/>
      <c r="K51" s="10"/>
      <c r="L51" s="10"/>
      <c r="M51" s="25"/>
    </row>
    <row r="52" spans="1:13" x14ac:dyDescent="0.3">
      <c r="A52" s="3" t="e">
        <f>VLOOKUP(#REF!,'[2]Listas Desplegables'!$H$3:$J$7,2,FALSE)</f>
        <v>#REF!</v>
      </c>
      <c r="B52" s="3" t="e">
        <f>VLOOKUP(#REF!,'[2]Listas Desplegables'!$H$3:$J$7,3,FALSE)</f>
        <v>#REF!</v>
      </c>
      <c r="C52" s="8">
        <v>47</v>
      </c>
      <c r="D52" s="12"/>
      <c r="E52" s="12"/>
      <c r="F52" s="12"/>
      <c r="G52" s="12"/>
      <c r="H52" s="12"/>
      <c r="I52" s="12"/>
      <c r="J52" s="9"/>
      <c r="K52" s="10"/>
      <c r="L52" s="10"/>
      <c r="M52" s="25"/>
    </row>
    <row r="53" spans="1:13" x14ac:dyDescent="0.3">
      <c r="A53" s="3" t="e">
        <f>VLOOKUP(#REF!,'[2]Listas Desplegables'!$H$3:$J$7,2,FALSE)</f>
        <v>#REF!</v>
      </c>
      <c r="B53" s="3" t="e">
        <f>VLOOKUP(#REF!,'[2]Listas Desplegables'!$H$3:$J$7,3,FALSE)</f>
        <v>#REF!</v>
      </c>
      <c r="C53" s="8">
        <v>48</v>
      </c>
      <c r="D53" s="12"/>
      <c r="E53" s="12"/>
      <c r="F53" s="12"/>
      <c r="G53" s="12"/>
      <c r="H53" s="12"/>
      <c r="I53" s="12"/>
      <c r="J53" s="9"/>
      <c r="K53" s="10"/>
      <c r="L53" s="10"/>
      <c r="M53" s="25"/>
    </row>
    <row r="54" spans="1:13" x14ac:dyDescent="0.3">
      <c r="A54" s="3" t="e">
        <f>VLOOKUP(#REF!,'[2]Listas Desplegables'!$H$3:$J$7,2,FALSE)</f>
        <v>#REF!</v>
      </c>
      <c r="B54" s="3" t="e">
        <f>VLOOKUP(#REF!,'[2]Listas Desplegables'!$H$3:$J$7,3,FALSE)</f>
        <v>#REF!</v>
      </c>
      <c r="C54" s="8">
        <v>49</v>
      </c>
      <c r="D54" s="12"/>
      <c r="E54" s="12"/>
      <c r="F54" s="12"/>
      <c r="G54" s="12"/>
      <c r="H54" s="12"/>
      <c r="I54" s="12"/>
      <c r="J54" s="9"/>
      <c r="K54" s="10"/>
      <c r="L54" s="10"/>
      <c r="M54" s="25"/>
    </row>
    <row r="55" spans="1:13" x14ac:dyDescent="0.3">
      <c r="A55" s="3" t="e">
        <f>VLOOKUP(#REF!,'[2]Listas Desplegables'!$H$3:$J$7,2,FALSE)</f>
        <v>#REF!</v>
      </c>
      <c r="B55" s="3" t="e">
        <f>VLOOKUP(#REF!,'[2]Listas Desplegables'!$H$3:$J$7,3,FALSE)</f>
        <v>#REF!</v>
      </c>
      <c r="C55" s="7">
        <v>50</v>
      </c>
      <c r="D55" s="12"/>
      <c r="E55" s="12"/>
      <c r="F55" s="12"/>
      <c r="G55" s="12"/>
      <c r="H55" s="12"/>
      <c r="I55" s="12"/>
      <c r="J55" s="9"/>
      <c r="K55" s="10"/>
      <c r="L55" s="10"/>
      <c r="M55" s="25"/>
    </row>
    <row r="56" spans="1:13" x14ac:dyDescent="0.3">
      <c r="A56" s="3" t="e">
        <f>VLOOKUP(#REF!,'[2]Listas Desplegables'!$H$3:$J$7,2,FALSE)</f>
        <v>#REF!</v>
      </c>
      <c r="B56" s="3" t="e">
        <f>VLOOKUP(#REF!,'[2]Listas Desplegables'!$H$3:$J$7,3,FALSE)</f>
        <v>#REF!</v>
      </c>
      <c r="C56" s="8">
        <v>51</v>
      </c>
      <c r="D56" s="12"/>
      <c r="E56" s="12"/>
      <c r="F56" s="12"/>
      <c r="G56" s="12"/>
      <c r="H56" s="12"/>
      <c r="I56" s="12"/>
      <c r="J56" s="9"/>
      <c r="K56" s="10"/>
      <c r="L56" s="10"/>
      <c r="M56" s="25"/>
    </row>
    <row r="57" spans="1:13" ht="15" thickBot="1" x14ac:dyDescent="0.35">
      <c r="A57" s="3" t="e">
        <f>VLOOKUP(#REF!,'[2]Listas Desplegables'!$H$3:$J$7,2,FALSE)</f>
        <v>#REF!</v>
      </c>
      <c r="B57" s="3" t="e">
        <f>VLOOKUP(#REF!,'[2]Listas Desplegables'!$H$3:$J$7,3,FALSE)</f>
        <v>#REF!</v>
      </c>
      <c r="C57" s="13" t="s">
        <v>4</v>
      </c>
      <c r="D57" s="14"/>
      <c r="E57" s="14"/>
      <c r="F57" s="14"/>
      <c r="G57" s="14"/>
      <c r="H57" s="14"/>
      <c r="I57" s="14"/>
      <c r="J57" s="14"/>
      <c r="K57" s="15"/>
      <c r="L57" s="15"/>
      <c r="M57" s="26"/>
    </row>
  </sheetData>
  <mergeCells count="12">
    <mergeCell ref="C3:M3"/>
    <mergeCell ref="C4:C5"/>
    <mergeCell ref="D4:D5"/>
    <mergeCell ref="E4:E5"/>
    <mergeCell ref="F4:F5"/>
    <mergeCell ref="J4:J5"/>
    <mergeCell ref="K4:K5"/>
    <mergeCell ref="L4:L5"/>
    <mergeCell ref="M4:M5"/>
    <mergeCell ref="I4:I5"/>
    <mergeCell ref="G4:G5"/>
    <mergeCell ref="H4:H5"/>
  </mergeCells>
  <dataValidations count="3">
    <dataValidation type="date" operator="greaterThan" allowBlank="1" showInputMessage="1" showErrorMessage="1" sqref="H6:H1048576" xr:uid="{00000000-0002-0000-0800-000000000000}">
      <formula1>36526</formula1>
    </dataValidation>
    <dataValidation type="decimal" allowBlank="1" showInputMessage="1" showErrorMessage="1" sqref="J6:K1048576" xr:uid="{00000000-0002-0000-0800-000001000000}">
      <formula1>-1000000000</formula1>
      <formula2>10000000000000</formula2>
    </dataValidation>
    <dataValidation type="decimal" allowBlank="1" showInputMessage="1" showErrorMessage="1" sqref="F6:F1048576" xr:uid="{00000000-0002-0000-0800-000002000000}">
      <formula1>-10000000</formula1>
      <formula2>1000000000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3000000}">
          <x14:formula1>
            <xm:f>'C:\Users\aacosta\Downloads\[Circular_002_Anexo.xlsx]Listas Desplegables'!#REF!</xm:f>
          </x14:formula1>
          <xm:sqref>I58:I1048576</xm:sqref>
        </x14:dataValidation>
        <x14:dataValidation type="list" allowBlank="1" showInputMessage="1" showErrorMessage="1" xr:uid="{00000000-0002-0000-0800-000004000000}">
          <x14:formula1>
            <xm:f>'Listas Desplegables'!$B$86:$B$87</xm:f>
          </x14:formula1>
          <xm:sqref>G6:G1048576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theme="9"/>
  </sheetPr>
  <dimension ref="A1:F10"/>
  <sheetViews>
    <sheetView workbookViewId="0"/>
    <sheetView workbookViewId="1"/>
  </sheetViews>
  <sheetFormatPr baseColWidth="10" defaultColWidth="8.88671875" defaultRowHeight="14.4" x14ac:dyDescent="0.3"/>
  <cols>
    <col min="1" max="1" width="8.88671875" style="72"/>
    <col min="2" max="2" width="51.6640625" style="76" customWidth="1"/>
    <col min="3" max="3" width="27.44140625" style="72" customWidth="1"/>
    <col min="4" max="4" width="13" style="72" customWidth="1"/>
    <col min="5" max="5" width="42.33203125" style="72" customWidth="1"/>
    <col min="6" max="6" width="50.33203125" style="72" customWidth="1"/>
    <col min="7" max="16384" width="8.88671875" style="72"/>
  </cols>
  <sheetData>
    <row r="1" spans="1:6" ht="28.8" x14ac:dyDescent="0.3">
      <c r="A1" s="71" t="s">
        <v>217</v>
      </c>
      <c r="B1" s="71" t="s">
        <v>218</v>
      </c>
      <c r="C1" s="71" t="s">
        <v>219</v>
      </c>
      <c r="D1" s="71" t="s">
        <v>220</v>
      </c>
      <c r="E1" s="71" t="s">
        <v>221</v>
      </c>
      <c r="F1" s="71" t="s">
        <v>222</v>
      </c>
    </row>
    <row r="2" spans="1:6" ht="28.8" x14ac:dyDescent="0.3">
      <c r="A2" s="73">
        <v>1</v>
      </c>
      <c r="B2" s="74" t="s">
        <v>223</v>
      </c>
      <c r="C2" s="75" t="s">
        <v>224</v>
      </c>
      <c r="D2" s="75" t="s">
        <v>565</v>
      </c>
      <c r="E2" s="109" t="s">
        <v>566</v>
      </c>
      <c r="F2" s="9"/>
    </row>
    <row r="3" spans="1:6" ht="57.6" x14ac:dyDescent="0.3">
      <c r="A3" s="73">
        <v>2</v>
      </c>
      <c r="B3" s="109" t="s">
        <v>225</v>
      </c>
      <c r="C3" s="75" t="s">
        <v>224</v>
      </c>
      <c r="D3" s="75" t="s">
        <v>565</v>
      </c>
      <c r="E3" s="109" t="s">
        <v>569</v>
      </c>
      <c r="F3" s="9"/>
    </row>
    <row r="4" spans="1:6" ht="57.6" x14ac:dyDescent="0.3">
      <c r="A4" s="73">
        <v>3</v>
      </c>
      <c r="B4" s="109" t="s">
        <v>226</v>
      </c>
      <c r="C4" s="75" t="s">
        <v>224</v>
      </c>
      <c r="D4" s="75" t="s">
        <v>565</v>
      </c>
      <c r="E4" s="109" t="s">
        <v>569</v>
      </c>
      <c r="F4" s="9"/>
    </row>
    <row r="5" spans="1:6" ht="57.6" x14ac:dyDescent="0.3">
      <c r="A5" s="73">
        <v>4</v>
      </c>
      <c r="B5" s="109" t="s">
        <v>227</v>
      </c>
      <c r="C5" s="75" t="s">
        <v>224</v>
      </c>
      <c r="D5" s="75" t="s">
        <v>565</v>
      </c>
      <c r="E5" s="109" t="s">
        <v>569</v>
      </c>
      <c r="F5" s="9"/>
    </row>
    <row r="6" spans="1:6" ht="28.8" x14ac:dyDescent="0.3">
      <c r="A6" s="73">
        <v>5</v>
      </c>
      <c r="B6" s="74" t="s">
        <v>244</v>
      </c>
      <c r="C6" s="75" t="s">
        <v>224</v>
      </c>
      <c r="D6" s="75" t="s">
        <v>565</v>
      </c>
      <c r="E6" s="109" t="s">
        <v>567</v>
      </c>
      <c r="F6" s="9"/>
    </row>
    <row r="7" spans="1:6" ht="41.4" customHeight="1" x14ac:dyDescent="0.3">
      <c r="A7" s="73">
        <v>6</v>
      </c>
      <c r="B7" s="74" t="s">
        <v>228</v>
      </c>
      <c r="C7" s="75" t="s">
        <v>224</v>
      </c>
      <c r="D7" s="75" t="s">
        <v>89</v>
      </c>
      <c r="E7" s="9"/>
      <c r="F7" s="75" t="s">
        <v>570</v>
      </c>
    </row>
    <row r="8" spans="1:6" ht="28.8" x14ac:dyDescent="0.3">
      <c r="A8" s="73">
        <v>7</v>
      </c>
      <c r="B8" s="74" t="s">
        <v>229</v>
      </c>
      <c r="C8" s="75" t="s">
        <v>224</v>
      </c>
      <c r="D8" s="75" t="s">
        <v>565</v>
      </c>
      <c r="E8" s="109" t="s">
        <v>567</v>
      </c>
      <c r="F8" s="9"/>
    </row>
    <row r="9" spans="1:6" x14ac:dyDescent="0.3">
      <c r="A9" s="73">
        <v>8</v>
      </c>
      <c r="B9" s="74" t="s">
        <v>230</v>
      </c>
      <c r="C9" s="75" t="s">
        <v>224</v>
      </c>
      <c r="D9" s="83" t="s">
        <v>89</v>
      </c>
      <c r="E9" s="9"/>
      <c r="F9" s="75" t="s">
        <v>570</v>
      </c>
    </row>
    <row r="10" spans="1:6" ht="28.8" x14ac:dyDescent="0.3">
      <c r="A10" s="73">
        <v>9</v>
      </c>
      <c r="B10" s="74" t="s">
        <v>231</v>
      </c>
      <c r="C10" s="75" t="s">
        <v>232</v>
      </c>
      <c r="D10" s="75" t="s">
        <v>565</v>
      </c>
      <c r="E10" s="109" t="s">
        <v>568</v>
      </c>
      <c r="F10" s="9"/>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B2:S87"/>
  <sheetViews>
    <sheetView workbookViewId="0"/>
    <sheetView workbookViewId="1"/>
  </sheetViews>
  <sheetFormatPr baseColWidth="10" defaultColWidth="11.5546875" defaultRowHeight="14.4" x14ac:dyDescent="0.3"/>
  <cols>
    <col min="1" max="1" width="3.6640625" customWidth="1"/>
    <col min="2" max="2" width="49.109375" bestFit="1" customWidth="1"/>
    <col min="3" max="3" width="4.88671875" customWidth="1"/>
    <col min="5" max="5" width="20.33203125" style="3" bestFit="1" customWidth="1"/>
    <col min="6" max="7" width="11.44140625" style="3"/>
    <col min="8" max="8" width="32.5546875" style="3" bestFit="1" customWidth="1"/>
    <col min="9" max="9" width="12.44140625" style="3" bestFit="1" customWidth="1"/>
    <col min="10" max="10" width="22.109375" style="3" bestFit="1" customWidth="1"/>
    <col min="11" max="19" width="11.44140625" style="3"/>
  </cols>
  <sheetData>
    <row r="2" spans="2:10" x14ac:dyDescent="0.3">
      <c r="B2" s="51" t="s">
        <v>117</v>
      </c>
    </row>
    <row r="3" spans="2:10" x14ac:dyDescent="0.3">
      <c r="B3" s="52" t="s">
        <v>108</v>
      </c>
      <c r="E3" s="46" t="s">
        <v>87</v>
      </c>
      <c r="F3" s="3">
        <v>0</v>
      </c>
      <c r="G3" s="3">
        <v>100</v>
      </c>
    </row>
    <row r="4" spans="2:10" x14ac:dyDescent="0.3">
      <c r="B4" s="50" t="s">
        <v>105</v>
      </c>
      <c r="E4" s="3" t="s">
        <v>88</v>
      </c>
      <c r="F4" s="3">
        <v>0</v>
      </c>
      <c r="G4" s="3">
        <v>1000</v>
      </c>
    </row>
    <row r="5" spans="2:10" x14ac:dyDescent="0.3">
      <c r="B5" s="49" t="s">
        <v>106</v>
      </c>
      <c r="E5" s="3" t="s">
        <v>90</v>
      </c>
      <c r="F5" s="3">
        <v>0</v>
      </c>
      <c r="G5" s="3">
        <v>1000</v>
      </c>
    </row>
    <row r="6" spans="2:10" s="3" customFormat="1" x14ac:dyDescent="0.3">
      <c r="B6" s="49" t="s">
        <v>107</v>
      </c>
      <c r="C6"/>
      <c r="D6"/>
    </row>
    <row r="7" spans="2:10" s="3" customFormat="1" x14ac:dyDescent="0.3">
      <c r="B7" s="53" t="s">
        <v>118</v>
      </c>
      <c r="C7"/>
      <c r="D7"/>
      <c r="E7" s="3" t="s">
        <v>91</v>
      </c>
    </row>
    <row r="8" spans="2:10" s="3" customFormat="1" x14ac:dyDescent="0.3">
      <c r="B8" s="48" t="s">
        <v>109</v>
      </c>
      <c r="C8"/>
      <c r="D8"/>
      <c r="E8" s="3" t="s">
        <v>92</v>
      </c>
      <c r="F8" s="3" t="s">
        <v>93</v>
      </c>
      <c r="G8" s="3" t="s">
        <v>94</v>
      </c>
      <c r="H8" s="3" t="s">
        <v>95</v>
      </c>
      <c r="I8" s="3" t="s">
        <v>96</v>
      </c>
      <c r="J8" s="3" t="s">
        <v>97</v>
      </c>
    </row>
    <row r="9" spans="2:10" s="3" customFormat="1" x14ac:dyDescent="0.3">
      <c r="B9" s="48" t="s">
        <v>110</v>
      </c>
      <c r="C9"/>
      <c r="D9"/>
      <c r="E9" s="3" t="s">
        <v>98</v>
      </c>
      <c r="F9" s="3" t="s">
        <v>99</v>
      </c>
      <c r="G9" s="3" t="s">
        <v>100</v>
      </c>
      <c r="H9" s="3" t="s">
        <v>101</v>
      </c>
      <c r="I9" s="3" t="s">
        <v>102</v>
      </c>
      <c r="J9" s="3" t="s">
        <v>103</v>
      </c>
    </row>
    <row r="10" spans="2:10" s="3" customFormat="1" x14ac:dyDescent="0.3">
      <c r="B10" s="53" t="s">
        <v>22</v>
      </c>
      <c r="C10"/>
      <c r="D10"/>
      <c r="H10" s="3" t="s">
        <v>104</v>
      </c>
    </row>
    <row r="11" spans="2:10" s="3" customFormat="1" x14ac:dyDescent="0.3">
      <c r="B11" s="48" t="s">
        <v>114</v>
      </c>
      <c r="C11"/>
      <c r="D11"/>
    </row>
    <row r="12" spans="2:10" s="3" customFormat="1" x14ac:dyDescent="0.3">
      <c r="B12" s="48" t="s">
        <v>89</v>
      </c>
      <c r="C12"/>
      <c r="D12"/>
    </row>
    <row r="13" spans="2:10" s="3" customFormat="1" x14ac:dyDescent="0.3">
      <c r="C13"/>
      <c r="D13"/>
    </row>
    <row r="14" spans="2:10" x14ac:dyDescent="0.3">
      <c r="B14" s="51" t="s">
        <v>119</v>
      </c>
    </row>
    <row r="15" spans="2:10" x14ac:dyDescent="0.3">
      <c r="B15" s="52" t="s">
        <v>22</v>
      </c>
    </row>
    <row r="16" spans="2:10" x14ac:dyDescent="0.3">
      <c r="B16" s="48" t="s">
        <v>114</v>
      </c>
    </row>
    <row r="17" spans="2:2" x14ac:dyDescent="0.3">
      <c r="B17" s="48" t="s">
        <v>89</v>
      </c>
    </row>
    <row r="18" spans="2:2" x14ac:dyDescent="0.3">
      <c r="B18" s="52" t="s">
        <v>120</v>
      </c>
    </row>
    <row r="19" spans="2:2" x14ac:dyDescent="0.3">
      <c r="B19" s="48" t="s">
        <v>105</v>
      </c>
    </row>
    <row r="20" spans="2:2" x14ac:dyDescent="0.3">
      <c r="B20" s="48" t="s">
        <v>106</v>
      </c>
    </row>
    <row r="21" spans="2:2" x14ac:dyDescent="0.3">
      <c r="B21" s="48" t="s">
        <v>107</v>
      </c>
    </row>
    <row r="23" spans="2:2" x14ac:dyDescent="0.3">
      <c r="B23" s="51" t="s">
        <v>121</v>
      </c>
    </row>
    <row r="24" spans="2:2" x14ac:dyDescent="0.3">
      <c r="B24" s="52" t="s">
        <v>22</v>
      </c>
    </row>
    <row r="25" spans="2:2" x14ac:dyDescent="0.3">
      <c r="B25" s="48" t="s">
        <v>114</v>
      </c>
    </row>
    <row r="26" spans="2:2" x14ac:dyDescent="0.3">
      <c r="B26" s="48" t="s">
        <v>89</v>
      </c>
    </row>
    <row r="27" spans="2:2" x14ac:dyDescent="0.3">
      <c r="B27" s="52" t="s">
        <v>120</v>
      </c>
    </row>
    <row r="28" spans="2:2" x14ac:dyDescent="0.3">
      <c r="B28" s="48" t="s">
        <v>105</v>
      </c>
    </row>
    <row r="29" spans="2:2" x14ac:dyDescent="0.3">
      <c r="B29" s="48" t="s">
        <v>106</v>
      </c>
    </row>
    <row r="30" spans="2:2" x14ac:dyDescent="0.3">
      <c r="B30" s="48" t="s">
        <v>107</v>
      </c>
    </row>
    <row r="32" spans="2:2" x14ac:dyDescent="0.3">
      <c r="B32" s="51" t="s">
        <v>122</v>
      </c>
    </row>
    <row r="33" spans="2:2" x14ac:dyDescent="0.3">
      <c r="B33" s="52" t="s">
        <v>55</v>
      </c>
    </row>
    <row r="34" spans="2:2" x14ac:dyDescent="0.3">
      <c r="B34" s="48" t="s">
        <v>127</v>
      </c>
    </row>
    <row r="35" spans="2:2" x14ac:dyDescent="0.3">
      <c r="B35" s="48" t="s">
        <v>126</v>
      </c>
    </row>
    <row r="36" spans="2:2" x14ac:dyDescent="0.3">
      <c r="B36" s="48" t="s">
        <v>128</v>
      </c>
    </row>
    <row r="37" spans="2:2" x14ac:dyDescent="0.3">
      <c r="B37" s="48" t="s">
        <v>130</v>
      </c>
    </row>
    <row r="38" spans="2:2" x14ac:dyDescent="0.3">
      <c r="B38" s="48" t="s">
        <v>129</v>
      </c>
    </row>
    <row r="39" spans="2:2" x14ac:dyDescent="0.3">
      <c r="B39" s="48" t="s">
        <v>131</v>
      </c>
    </row>
    <row r="40" spans="2:2" x14ac:dyDescent="0.3">
      <c r="B40" s="48" t="s">
        <v>132</v>
      </c>
    </row>
    <row r="41" spans="2:2" x14ac:dyDescent="0.3">
      <c r="B41" s="48" t="s">
        <v>133</v>
      </c>
    </row>
    <row r="42" spans="2:2" x14ac:dyDescent="0.3">
      <c r="B42" s="48" t="s">
        <v>134</v>
      </c>
    </row>
    <row r="43" spans="2:2" x14ac:dyDescent="0.3">
      <c r="B43" s="52" t="s">
        <v>56</v>
      </c>
    </row>
    <row r="44" spans="2:2" x14ac:dyDescent="0.3">
      <c r="B44" s="48" t="s">
        <v>123</v>
      </c>
    </row>
    <row r="45" spans="2:2" x14ac:dyDescent="0.3">
      <c r="B45" s="48" t="s">
        <v>124</v>
      </c>
    </row>
    <row r="46" spans="2:2" x14ac:dyDescent="0.3">
      <c r="B46" s="48" t="s">
        <v>125</v>
      </c>
    </row>
    <row r="47" spans="2:2" x14ac:dyDescent="0.3">
      <c r="B47" s="52" t="s">
        <v>22</v>
      </c>
    </row>
    <row r="48" spans="2:2" x14ac:dyDescent="0.3">
      <c r="B48" s="48" t="s">
        <v>114</v>
      </c>
    </row>
    <row r="49" spans="2:2" x14ac:dyDescent="0.3">
      <c r="B49" s="48" t="s">
        <v>89</v>
      </c>
    </row>
    <row r="51" spans="2:2" x14ac:dyDescent="0.3">
      <c r="B51" s="51" t="s">
        <v>135</v>
      </c>
    </row>
    <row r="52" spans="2:2" x14ac:dyDescent="0.3">
      <c r="B52" s="52" t="s">
        <v>56</v>
      </c>
    </row>
    <row r="53" spans="2:2" x14ac:dyDescent="0.3">
      <c r="B53" s="48" t="s">
        <v>0</v>
      </c>
    </row>
    <row r="54" spans="2:2" x14ac:dyDescent="0.3">
      <c r="B54" s="48" t="s">
        <v>136</v>
      </c>
    </row>
    <row r="55" spans="2:2" x14ac:dyDescent="0.3">
      <c r="B55" s="48" t="s">
        <v>211</v>
      </c>
    </row>
    <row r="56" spans="2:2" x14ac:dyDescent="0.3">
      <c r="B56" s="48" t="s">
        <v>212</v>
      </c>
    </row>
    <row r="57" spans="2:2" x14ac:dyDescent="0.3">
      <c r="B57" s="52" t="s">
        <v>22</v>
      </c>
    </row>
    <row r="58" spans="2:2" x14ac:dyDescent="0.3">
      <c r="B58" s="48" t="s">
        <v>114</v>
      </c>
    </row>
    <row r="59" spans="2:2" x14ac:dyDescent="0.3">
      <c r="B59" s="48" t="s">
        <v>89</v>
      </c>
    </row>
    <row r="61" spans="2:2" x14ac:dyDescent="0.3">
      <c r="B61" s="51" t="s">
        <v>137</v>
      </c>
    </row>
    <row r="62" spans="2:2" x14ac:dyDescent="0.3">
      <c r="B62" s="52" t="s">
        <v>138</v>
      </c>
    </row>
    <row r="63" spans="2:2" x14ac:dyDescent="0.3">
      <c r="B63" s="48" t="s">
        <v>139</v>
      </c>
    </row>
    <row r="64" spans="2:2" x14ac:dyDescent="0.3">
      <c r="B64" s="48" t="s">
        <v>140</v>
      </c>
    </row>
    <row r="65" spans="2:2" x14ac:dyDescent="0.3">
      <c r="B65" s="52" t="s">
        <v>142</v>
      </c>
    </row>
    <row r="66" spans="2:2" x14ac:dyDescent="0.3">
      <c r="B66" s="48" t="s">
        <v>143</v>
      </c>
    </row>
    <row r="67" spans="2:2" x14ac:dyDescent="0.3">
      <c r="B67" s="48" t="s">
        <v>144</v>
      </c>
    </row>
    <row r="68" spans="2:2" x14ac:dyDescent="0.3">
      <c r="B68" s="52" t="s">
        <v>145</v>
      </c>
    </row>
    <row r="69" spans="2:2" x14ac:dyDescent="0.3">
      <c r="B69" s="48" t="s">
        <v>114</v>
      </c>
    </row>
    <row r="70" spans="2:2" x14ac:dyDescent="0.3">
      <c r="B70" s="48" t="s">
        <v>89</v>
      </c>
    </row>
    <row r="71" spans="2:2" x14ac:dyDescent="0.3">
      <c r="B71" s="52" t="s">
        <v>245</v>
      </c>
    </row>
    <row r="72" spans="2:2" x14ac:dyDescent="0.3">
      <c r="B72" s="48" t="s">
        <v>247</v>
      </c>
    </row>
    <row r="73" spans="2:2" x14ac:dyDescent="0.3">
      <c r="B73" s="48" t="s">
        <v>248</v>
      </c>
    </row>
    <row r="75" spans="2:2" x14ac:dyDescent="0.3">
      <c r="B75" s="51" t="s">
        <v>146</v>
      </c>
    </row>
    <row r="76" spans="2:2" x14ac:dyDescent="0.3">
      <c r="B76" s="52" t="s">
        <v>149</v>
      </c>
    </row>
    <row r="77" spans="2:2" x14ac:dyDescent="0.3">
      <c r="B77" s="48" t="s">
        <v>147</v>
      </c>
    </row>
    <row r="78" spans="2:2" x14ac:dyDescent="0.3">
      <c r="B78" s="48" t="s">
        <v>148</v>
      </c>
    </row>
    <row r="79" spans="2:2" x14ac:dyDescent="0.3">
      <c r="B79" s="48" t="s">
        <v>213</v>
      </c>
    </row>
    <row r="80" spans="2:2" x14ac:dyDescent="0.3">
      <c r="B80" s="52" t="s">
        <v>145</v>
      </c>
    </row>
    <row r="81" spans="2:2" x14ac:dyDescent="0.3">
      <c r="B81" s="48" t="s">
        <v>114</v>
      </c>
    </row>
    <row r="82" spans="2:2" x14ac:dyDescent="0.3">
      <c r="B82" s="48" t="s">
        <v>89</v>
      </c>
    </row>
    <row r="84" spans="2:2" x14ac:dyDescent="0.3">
      <c r="B84" s="51" t="s">
        <v>150</v>
      </c>
    </row>
    <row r="85" spans="2:2" x14ac:dyDescent="0.3">
      <c r="B85" s="52" t="s">
        <v>145</v>
      </c>
    </row>
    <row r="86" spans="2:2" x14ac:dyDescent="0.3">
      <c r="B86" s="48" t="s">
        <v>151</v>
      </c>
    </row>
    <row r="87" spans="2:2" x14ac:dyDescent="0.3">
      <c r="B87" s="48" t="s">
        <v>89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370DC1EECED31F47AEED08A4C205DCD9" ma:contentTypeVersion="13" ma:contentTypeDescription="Crear nuevo documento." ma:contentTypeScope="" ma:versionID="b08942b1e5e6450419c0753a341d41da">
  <xsd:schema xmlns:xsd="http://www.w3.org/2001/XMLSchema" xmlns:xs="http://www.w3.org/2001/XMLSchema" xmlns:p="http://schemas.microsoft.com/office/2006/metadata/properties" xmlns:ns2="08ff1eb0-f50f-4c52-816c-ecd0975233b4" xmlns:ns3="38b6f7c4-0de2-4301-8b20-40388a9cfa8f" targetNamespace="http://schemas.microsoft.com/office/2006/metadata/properties" ma:root="true" ma:fieldsID="50d3c79734d49f42dba6e412e45c685b" ns2:_="" ns3:_="">
    <xsd:import namespace="08ff1eb0-f50f-4c52-816c-ecd0975233b4"/>
    <xsd:import namespace="38b6f7c4-0de2-4301-8b20-40388a9cfa8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ff1eb0-f50f-4c52-816c-ecd0975233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8b6f7c4-0de2-4301-8b20-40388a9cfa8f"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4D51D7-8444-49FF-A149-43BBFAF3CCE3}">
  <ds:schemaRefs>
    <ds:schemaRef ds:uri="08ff1eb0-f50f-4c52-816c-ecd0975233b4"/>
    <ds:schemaRef ds:uri="http://purl.org/dc/terms/"/>
    <ds:schemaRef ds:uri="http://schemas.microsoft.com/office/2006/documentManagement/types"/>
    <ds:schemaRef ds:uri="http://schemas.openxmlformats.org/package/2006/metadata/core-properties"/>
    <ds:schemaRef ds:uri="http://purl.org/dc/elements/1.1/"/>
    <ds:schemaRef ds:uri="http://purl.org/dc/dcmitype/"/>
    <ds:schemaRef ds:uri="http://schemas.microsoft.com/office/2006/metadata/properties"/>
    <ds:schemaRef ds:uri="http://schemas.microsoft.com/office/infopath/2007/PartnerControls"/>
    <ds:schemaRef ds:uri="38b6f7c4-0de2-4301-8b20-40388a9cfa8f"/>
    <ds:schemaRef ds:uri="http://www.w3.org/XML/1998/namespace"/>
  </ds:schemaRefs>
</ds:datastoreItem>
</file>

<file path=customXml/itemProps2.xml><?xml version="1.0" encoding="utf-8"?>
<ds:datastoreItem xmlns:ds="http://schemas.openxmlformats.org/officeDocument/2006/customXml" ds:itemID="{9496A26A-F7EB-49B9-B42D-E810C6ABB2A2}">
  <ds:schemaRefs>
    <ds:schemaRef ds:uri="http://schemas.microsoft.com/DataMashup"/>
  </ds:schemaRefs>
</ds:datastoreItem>
</file>

<file path=customXml/itemProps3.xml><?xml version="1.0" encoding="utf-8"?>
<ds:datastoreItem xmlns:ds="http://schemas.openxmlformats.org/officeDocument/2006/customXml" ds:itemID="{410933B5-78C6-4E2B-8D1E-ABD865A1C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ff1eb0-f50f-4c52-816c-ecd0975233b4"/>
    <ds:schemaRef ds:uri="38b6f7c4-0de2-4301-8b20-40388a9cfa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A700925-C166-4F2A-A26D-E7D764943927}">
  <ds:schemaRefs>
    <ds:schemaRef ds:uri="http://schemas.microsoft.com/sharepoint/v3/contenttype/forms"/>
  </ds:schemaRefs>
</ds:datastoreItem>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9</vt:i4>
      </vt:variant>
    </vt:vector>
  </HeadingPairs>
  <TitlesOfParts>
    <vt:vector size="20" baseType="lpstr">
      <vt:lpstr>Manual de Uso</vt:lpstr>
      <vt:lpstr>1. Líneas</vt:lpstr>
      <vt:lpstr>2. Tr3</vt:lpstr>
      <vt:lpstr>3. Tr2</vt:lpstr>
      <vt:lpstr>4. Subestaciones</vt:lpstr>
      <vt:lpstr>5. Demanda</vt:lpstr>
      <vt:lpstr>6. Compensacion</vt:lpstr>
      <vt:lpstr>7. Compensacion dinamica</vt:lpstr>
      <vt:lpstr>8. DFACTS</vt:lpstr>
      <vt:lpstr>9. Formato espacio físico</vt:lpstr>
      <vt:lpstr>Listas Desplegables</vt:lpstr>
      <vt:lpstr>Biomasa</vt:lpstr>
      <vt:lpstr>Eólica</vt:lpstr>
      <vt:lpstr>Geotérmica</vt:lpstr>
      <vt:lpstr>Hidráulico</vt:lpstr>
      <vt:lpstr>Recurso</vt:lpstr>
      <vt:lpstr>Solar</vt:lpstr>
      <vt:lpstr>Térmica</vt:lpstr>
      <vt:lpstr>'Listas Desplegables'!TGenerador</vt:lpstr>
      <vt:lpstr>TProyecto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Andrés Torres</dc:creator>
  <cp:lastModifiedBy>WILSON DAVID LIZARAZO CARDENAS</cp:lastModifiedBy>
  <dcterms:created xsi:type="dcterms:W3CDTF">2021-11-10T19:20:41Z</dcterms:created>
  <dcterms:modified xsi:type="dcterms:W3CDTF">2025-03-26T19:34:05Z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0x010100370DC1EECED31F47AEED08A4C205DCD9</vt:lpwstr>
  </property>
  <property fmtid="{D5CDD505-2E9C-101B-9397-08002B2CF9AE}" pid="3" name="MSIP_Label_666bb131-2344-48ed-84db-fe1e84a9fae2_Enabled">
    <vt:lpwstr>true</vt:lpwstr>
  </property>
  <property fmtid="{D5CDD505-2E9C-101B-9397-08002B2CF9AE}" pid="4" name="MSIP_Label_666bb131-2344-48ed-84db-fe1e84a9fae2_SetDate">
    <vt:lpwstr>2022-12-01T22:31:03Z</vt:lpwstr>
  </property>
  <property fmtid="{D5CDD505-2E9C-101B-9397-08002B2CF9AE}" pid="5" name="MSIP_Label_666bb131-2344-48ed-84db-fe1e84a9fae2_Method">
    <vt:lpwstr>Standard</vt:lpwstr>
  </property>
  <property fmtid="{D5CDD505-2E9C-101B-9397-08002B2CF9AE}" pid="6" name="MSIP_Label_666bb131-2344-48ed-84db-fe1e84a9fae2_Name">
    <vt:lpwstr>666bb131-2344-48ed-84db-fe1e84a9fae2</vt:lpwstr>
  </property>
  <property fmtid="{D5CDD505-2E9C-101B-9397-08002B2CF9AE}" pid="7" name="MSIP_Label_666bb131-2344-48ed-84db-fe1e84a9fae2_SiteId">
    <vt:lpwstr>bf1ce8b5-5d39-4bc5-ad6e-07b3e4d7d67a</vt:lpwstr>
  </property>
  <property fmtid="{D5CDD505-2E9C-101B-9397-08002B2CF9AE}" pid="8" name="MSIP_Label_666bb131-2344-48ed-84db-fe1e84a9fae2_ActionId">
    <vt:lpwstr>98b0f378-2735-4c79-b39a-d7731b95d598</vt:lpwstr>
  </property>
  <property fmtid="{D5CDD505-2E9C-101B-9397-08002B2CF9AE}" pid="9" name="MSIP_Label_666bb131-2344-48ed-84db-fe1e84a9fae2_ContentBits">
    <vt:lpwstr>0</vt:lpwstr>
  </property>
</Properties>
</file>