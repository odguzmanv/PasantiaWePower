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<sst xmlns="http://schemas.openxmlformats.org/spreadsheetml/2006/main" count="1257" uniqueCount="179">
  <si>
    <t xml:space="preserve">SE</t>
  </si>
  <si>
    <t xml:space="preserve">Subestación</t>
  </si>
  <si>
    <t xml:space="preserve">HV_kV</t>
  </si>
  <si>
    <t xml:space="preserve">LV_kV</t>
  </si>
  <si>
    <t xml:space="preserve">Capacidad_MVA</t>
  </si>
  <si>
    <t xml:space="preserve">SE NT3</t>
  </si>
  <si>
    <t xml:space="preserve">Resta</t>
  </si>
  <si>
    <t xml:space="preserve">Demanda_MW</t>
  </si>
  <si>
    <t xml:space="preserve">Departamento</t>
  </si>
  <si>
    <t xml:space="preserve">Dda + trafo</t>
  </si>
  <si>
    <t xml:space="preserve">Municipio</t>
  </si>
  <si>
    <t xml:space="preserve">Comentario</t>
  </si>
  <si>
    <t xml:space="preserve">SAN LAZARO</t>
  </si>
  <si>
    <t xml:space="preserve">BOYACA </t>
  </si>
  <si>
    <t xml:space="preserve">Tunja</t>
  </si>
  <si>
    <t xml:space="preserve">PUENTE DE BOYACA</t>
  </si>
  <si>
    <t xml:space="preserve">SAMACA</t>
  </si>
  <si>
    <t xml:space="preserve">Samaca</t>
  </si>
  <si>
    <t xml:space="preserve">RAMIRIQUI</t>
  </si>
  <si>
    <t xml:space="preserve">HUNZA</t>
  </si>
  <si>
    <t xml:space="preserve">VENTAQUEMADA</t>
  </si>
  <si>
    <t xml:space="preserve">DONATO</t>
  </si>
  <si>
    <t xml:space="preserve">TUNJA</t>
  </si>
  <si>
    <t xml:space="preserve">DONATO - RESTA</t>
  </si>
  <si>
    <t xml:space="preserve">ARCABUCO</t>
  </si>
  <si>
    <t xml:space="preserve">COMBITA</t>
  </si>
  <si>
    <t xml:space="preserve">PATRIOTAS</t>
  </si>
  <si>
    <t xml:space="preserve">MUISCAS</t>
  </si>
  <si>
    <t xml:space="preserve">No declara su propia demanda</t>
  </si>
  <si>
    <t xml:space="preserve">MUISCAS - RESTA</t>
  </si>
  <si>
    <t xml:space="preserve">EL MUELLE</t>
  </si>
  <si>
    <t xml:space="preserve">GACHANTIVA</t>
  </si>
  <si>
    <t xml:space="preserve">SACHICA</t>
  </si>
  <si>
    <t xml:space="preserve">SANTA SOFIA</t>
  </si>
  <si>
    <t xml:space="preserve">SUTAMARCHAN</t>
  </si>
  <si>
    <t xml:space="preserve">VILLA DE LEYVA</t>
  </si>
  <si>
    <t xml:space="preserve">ALTO RICAURTE</t>
  </si>
  <si>
    <t xml:space="preserve">ALTO RICAURTE - RESTA</t>
  </si>
  <si>
    <t xml:space="preserve">PAZ DE RIO</t>
  </si>
  <si>
    <t xml:space="preserve">SOCHA</t>
  </si>
  <si>
    <t xml:space="preserve">TASCO</t>
  </si>
  <si>
    <t xml:space="preserve">HUCHE</t>
  </si>
  <si>
    <t xml:space="preserve">MINASPAZDELRIOS.A</t>
  </si>
  <si>
    <t xml:space="preserve">Aparece solo como demanda</t>
  </si>
  <si>
    <t xml:space="preserve">LONDONMININ1.25MVA(15398)</t>
  </si>
  <si>
    <t xml:space="preserve">ANDINADECOQUESYCARBONESLTDA1.6MVA(15398)</t>
  </si>
  <si>
    <t xml:space="preserve">MINAELUVO2.5MVA(15398)</t>
  </si>
  <si>
    <t xml:space="preserve">CHINAVITA</t>
  </si>
  <si>
    <t xml:space="preserve">LA FRONTERA</t>
  </si>
  <si>
    <t xml:space="preserve">APOSENTOS</t>
  </si>
  <si>
    <t xml:space="preserve">PUENTE SIZA</t>
  </si>
  <si>
    <t xml:space="preserve">BOYACA</t>
  </si>
  <si>
    <t xml:space="preserve">PAEZ</t>
  </si>
  <si>
    <t xml:space="preserve">MIRAFLORES</t>
  </si>
  <si>
    <t xml:space="preserve">ZETAQUIRA</t>
  </si>
  <si>
    <t xml:space="preserve">TIBANA</t>
  </si>
  <si>
    <t xml:space="preserve">UMBITA</t>
  </si>
  <si>
    <t xml:space="preserve">RANCHO GRANDE</t>
  </si>
  <si>
    <t xml:space="preserve">JENESANO</t>
  </si>
  <si>
    <t xml:space="preserve">RANCHOGRANDE</t>
  </si>
  <si>
    <t xml:space="preserve">ECOPETROL1.5MVA(15063)</t>
  </si>
  <si>
    <t xml:space="preserve">ECOPETROL0.8MVA(15063)</t>
  </si>
  <si>
    <t xml:space="preserve">ECOGAS112.5A(15063)</t>
  </si>
  <si>
    <t xml:space="preserve">JENESANOOLD</t>
  </si>
  <si>
    <t xml:space="preserve">MARANTA</t>
  </si>
  <si>
    <t xml:space="preserve">Duitama</t>
  </si>
  <si>
    <t xml:space="preserve">Higueras</t>
  </si>
  <si>
    <t xml:space="preserve">Santa Teresa</t>
  </si>
  <si>
    <t xml:space="preserve">IRAKA</t>
  </si>
  <si>
    <t xml:space="preserve">BELEN</t>
  </si>
  <si>
    <t xml:space="preserve">SANTA TERESA</t>
  </si>
  <si>
    <t xml:space="preserve">TIBASOSA</t>
  </si>
  <si>
    <t xml:space="preserve">SANTA TERESA - RESTA</t>
  </si>
  <si>
    <t xml:space="preserve">BORBUR</t>
  </si>
  <si>
    <t xml:space="preserve">Pertenece a Chiquinquira tr3</t>
  </si>
  <si>
    <t xml:space="preserve">BRICEÑO</t>
  </si>
  <si>
    <t xml:space="preserve">BRICENO</t>
  </si>
  <si>
    <t xml:space="preserve">BUENAVISTA</t>
  </si>
  <si>
    <t xml:space="preserve">CANTINO</t>
  </si>
  <si>
    <t xml:space="preserve">GARAVITO</t>
  </si>
  <si>
    <t xml:space="preserve">GUANARES</t>
  </si>
  <si>
    <t xml:space="preserve">MUZO</t>
  </si>
  <si>
    <t xml:space="preserve">NARIÑO</t>
  </si>
  <si>
    <t xml:space="preserve">NARINO</t>
  </si>
  <si>
    <t xml:space="preserve">PAUNA</t>
  </si>
  <si>
    <t xml:space="preserve">PAUNITA</t>
  </si>
  <si>
    <t xml:space="preserve">PIEDRA GORDA</t>
  </si>
  <si>
    <t xml:space="preserve">SABOYA</t>
  </si>
  <si>
    <t xml:space="preserve">JERICO</t>
  </si>
  <si>
    <t xml:space="preserve">Pertenece a Boavita tr3</t>
  </si>
  <si>
    <t xml:space="preserve">SOCOTA</t>
  </si>
  <si>
    <t xml:space="preserve">TAPIAS</t>
  </si>
  <si>
    <t xml:space="preserve">Jerico</t>
  </si>
  <si>
    <t xml:space="preserve">CHITA</t>
  </si>
  <si>
    <t xml:space="preserve">CUSAGUI</t>
  </si>
  <si>
    <t xml:space="preserve">La Uvita</t>
  </si>
  <si>
    <t xml:space="preserve">GUACAMAYAS</t>
  </si>
  <si>
    <t xml:space="preserve">SOATA</t>
  </si>
  <si>
    <t xml:space="preserve">TIPACOQUE</t>
  </si>
  <si>
    <t xml:space="preserve">CHITARAQUE</t>
  </si>
  <si>
    <t xml:space="preserve">Pertenece a Barbosa</t>
  </si>
  <si>
    <t xml:space="preserve">MONIQUIRA</t>
  </si>
  <si>
    <t xml:space="preserve">SAN JOSE DE PARE</t>
  </si>
  <si>
    <t xml:space="preserve">SANTANA</t>
  </si>
  <si>
    <t xml:space="preserve">TOGUI</t>
  </si>
  <si>
    <t xml:space="preserve">Barbosa no aparece en tr3 o SE</t>
  </si>
  <si>
    <t xml:space="preserve">ALMEIDA</t>
  </si>
  <si>
    <t xml:space="preserve">Pertenece a Guateque tr3</t>
  </si>
  <si>
    <t xml:space="preserve">SUTATENZA</t>
  </si>
  <si>
    <t xml:space="preserve">TENZA</t>
  </si>
  <si>
    <t xml:space="preserve">GARAGOA</t>
  </si>
  <si>
    <t xml:space="preserve">CHIVOR</t>
  </si>
  <si>
    <t xml:space="preserve">MACANAL</t>
  </si>
  <si>
    <t xml:space="preserve">TUNDAMA</t>
  </si>
  <si>
    <t xml:space="preserve">CIUDADELA</t>
  </si>
  <si>
    <t xml:space="preserve">CIUDADELA ARTESANAL</t>
  </si>
  <si>
    <t xml:space="preserve">HIGUERAS</t>
  </si>
  <si>
    <t xml:space="preserve">DUITAMA</t>
  </si>
  <si>
    <t xml:space="preserve">Iraca</t>
  </si>
  <si>
    <t xml:space="preserve">Chorrito1Mva(14711)</t>
  </si>
  <si>
    <t xml:space="preserve">Ayalas1.25Mva(14791)</t>
  </si>
  <si>
    <t xml:space="preserve">Holanda1Mva(14791)</t>
  </si>
  <si>
    <t xml:space="preserve">Drpantanodevargas1.25Mva(14791)</t>
  </si>
  <si>
    <t xml:space="preserve">Sika0.5Mva(14791)</t>
  </si>
  <si>
    <t xml:space="preserve">Polloseldorado1Mva(14791)</t>
  </si>
  <si>
    <t xml:space="preserve">Laminadosandino6.5Mva(14791)</t>
  </si>
  <si>
    <t xml:space="preserve">Acerosboyaca4Mva(15601)</t>
  </si>
  <si>
    <t xml:space="preserve">Socofam5Mva(14819)</t>
  </si>
  <si>
    <t xml:space="preserve">HIGUERAS - RESTA</t>
  </si>
  <si>
    <t xml:space="preserve">LABRANZA GRANDE</t>
  </si>
  <si>
    <t xml:space="preserve">Pertenece a Toquilla tr3</t>
  </si>
  <si>
    <t xml:space="preserve">PISBA</t>
  </si>
  <si>
    <t xml:space="preserve">PAYA</t>
  </si>
  <si>
    <t xml:space="preserve">AQUITANIA</t>
  </si>
  <si>
    <t xml:space="preserve">CORINTO</t>
  </si>
  <si>
    <t xml:space="preserve">voy a dejarle la  demanda de pajarito porque nueva se corinto tiene 0 y en tr2 aparece nombre pajarito se corinto no nuevasubestacioncorinto</t>
  </si>
  <si>
    <t xml:space="preserve">OTANCHE</t>
  </si>
  <si>
    <t xml:space="preserve">Pertenece a San Pablo tr3</t>
  </si>
  <si>
    <t xml:space="preserve">SANTA BARBARA</t>
  </si>
  <si>
    <t xml:space="preserve">SAN MARTIN</t>
  </si>
  <si>
    <t xml:space="preserve">LA PERLA</t>
  </si>
  <si>
    <t xml:space="preserve">Puerto Boyacá</t>
  </si>
  <si>
    <t xml:space="preserve">Pertenece a Puerto Boyacá tr3</t>
  </si>
  <si>
    <t xml:space="preserve">PUERTO SERVIEZ</t>
  </si>
  <si>
    <t xml:space="preserve">VELAZQUEZ</t>
  </si>
  <si>
    <t xml:space="preserve">OKAL</t>
  </si>
  <si>
    <t xml:space="preserve">Peurto Boyaca</t>
  </si>
  <si>
    <t xml:space="preserve">DIQUE RIO BAMBA</t>
  </si>
  <si>
    <t xml:space="preserve">SAN LUIS DE GACENO</t>
  </si>
  <si>
    <t xml:space="preserve">Pertenece a Santa Maria tr3</t>
  </si>
  <si>
    <t xml:space="preserve">FIRAVITOBA</t>
  </si>
  <si>
    <t xml:space="preserve">SIRATA</t>
  </si>
  <si>
    <t xml:space="preserve">Sogamoso</t>
  </si>
  <si>
    <t xml:space="preserve">RIO CHIQUITO</t>
  </si>
  <si>
    <t xml:space="preserve">LLANO DE ALARCON</t>
  </si>
  <si>
    <t xml:space="preserve">LA RAMADA</t>
  </si>
  <si>
    <t xml:space="preserve">SOGAMOSO</t>
  </si>
  <si>
    <t xml:space="preserve">Drcuche1Mva(14102)Iraka</t>
  </si>
  <si>
    <t xml:space="preserve">Drvueltas0.8Mva(14102)Iraka</t>
  </si>
  <si>
    <t xml:space="preserve">Drusochicamochaestacion1Mva(14102)Iraka</t>
  </si>
  <si>
    <t xml:space="preserve">Ministerio1Mva(14102)Iraka</t>
  </si>
  <si>
    <t xml:space="preserve">Monquira0.8Mva(14102)Iraka</t>
  </si>
  <si>
    <t xml:space="preserve">LA RAMADA - RESTA</t>
  </si>
  <si>
    <t xml:space="preserve">TOPAGA</t>
  </si>
  <si>
    <t xml:space="preserve">SAN ANTONIO</t>
  </si>
  <si>
    <t xml:space="preserve">SAN ANTONIO_15 MVA</t>
  </si>
  <si>
    <t xml:space="preserve">GRAPASYP.ELCABALLO(14822)</t>
  </si>
  <si>
    <t xml:space="preserve">CEMENTOSDELORIENTE(14822)</t>
  </si>
  <si>
    <t xml:space="preserve">SUDAMINSA(14822)</t>
  </si>
  <si>
    <t xml:space="preserve">INDUMIL(14822)</t>
  </si>
  <si>
    <t xml:space="preserve">CEMENTOSNACIONALES(14822)</t>
  </si>
  <si>
    <t xml:space="preserve">CEMENTOSSAS(14822)</t>
  </si>
  <si>
    <t xml:space="preserve">RIO DE PIEDRAS</t>
  </si>
  <si>
    <t xml:space="preserve">Pertenece a Paipa tr3</t>
  </si>
  <si>
    <t xml:space="preserve">EL ARENAL</t>
  </si>
  <si>
    <t xml:space="preserve">Paipa</t>
  </si>
  <si>
    <t xml:space="preserve">EL CASTILLO</t>
  </si>
  <si>
    <t xml:space="preserve">No aparece en demanda</t>
  </si>
  <si>
    <t xml:space="preserve">CORRALES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</si>
</sst>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73" activeCellId="0" sqref="A1:A274"/>
    </sheetView>
  </sheetViews>
  <sheetFormatPr defaultColWidth="8.4765625" defaultRowHeight="13.8" zeroHeight="false" outlineLevelRow="0" outlineLevelCol="0"/>
  <cols>
    <col collapsed="false" customWidth="true" hidden="false" outlineLevel="0" max="1" min="1" style="1" width="20.76"/>
    <col collapsed="false" customWidth="true" hidden="false" outlineLevel="0" max="7" min="7" style="0" width="10.2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3.8" hidden="false" customHeight="false" outlineLevel="0" collapsed="false">
      <c r="A2" s="4" t="s">
        <v>12</v>
      </c>
      <c r="B2" s="5" t="s">
        <v>12</v>
      </c>
      <c r="C2" s="5" t="n">
        <v>34.5</v>
      </c>
      <c r="D2" s="5" t="n">
        <v>13.8</v>
      </c>
      <c r="E2" s="5" t="n">
        <v>15</v>
      </c>
      <c r="F2" s="5" t="s">
        <v>12</v>
      </c>
      <c r="G2" s="5" t="n">
        <v>4.088</v>
      </c>
      <c r="H2" s="5" t="n">
        <f aca="false">SUM(G2:G2)</f>
        <v>4.088</v>
      </c>
      <c r="I2" s="5" t="s">
        <v>13</v>
      </c>
      <c r="J2" s="5"/>
      <c r="K2" s="5" t="s">
        <v>14</v>
      </c>
      <c r="L2" s="6"/>
    </row>
    <row r="3" customFormat="false" ht="13.8" hidden="false" customHeight="false" outlineLevel="0" collapsed="false">
      <c r="A3" s="4"/>
      <c r="B3" s="7" t="s">
        <v>12</v>
      </c>
      <c r="C3" s="7"/>
      <c r="D3" s="7"/>
      <c r="E3" s="7"/>
      <c r="F3" s="7" t="s">
        <v>12</v>
      </c>
      <c r="G3" s="8" t="n">
        <f aca="false">H2</f>
        <v>4.088</v>
      </c>
      <c r="H3" s="7"/>
      <c r="I3" s="7" t="s">
        <v>13</v>
      </c>
      <c r="J3" s="8" t="n">
        <f aca="false">G3+SUM(E2:E2)</f>
        <v>19.088</v>
      </c>
      <c r="K3" s="7" t="s">
        <v>14</v>
      </c>
      <c r="L3" s="9"/>
    </row>
    <row r="4" customFormat="false" ht="13.8" hidden="false" customHeight="false" outlineLevel="0" collapsed="false">
      <c r="A4" s="4" t="s">
        <v>15</v>
      </c>
      <c r="B4" s="5" t="s">
        <v>15</v>
      </c>
      <c r="C4" s="5" t="n">
        <v>34.5</v>
      </c>
      <c r="D4" s="5" t="n">
        <v>13.8</v>
      </c>
      <c r="E4" s="5" t="n">
        <v>1</v>
      </c>
      <c r="F4" s="5" t="s">
        <v>15</v>
      </c>
      <c r="G4" s="5" t="n">
        <v>0.438262323287671</v>
      </c>
      <c r="H4" s="5" t="n">
        <f aca="false">SUM(G4:G4)</f>
        <v>0.438262323287671</v>
      </c>
      <c r="I4" s="5" t="s">
        <v>13</v>
      </c>
      <c r="J4" s="5"/>
      <c r="K4" s="5" t="s">
        <v>15</v>
      </c>
      <c r="L4" s="6"/>
    </row>
    <row r="5" customFormat="false" ht="13.8" hidden="false" customHeight="false" outlineLevel="0" collapsed="false">
      <c r="A5" s="4"/>
      <c r="B5" s="7" t="s">
        <v>15</v>
      </c>
      <c r="C5" s="7"/>
      <c r="D5" s="7"/>
      <c r="E5" s="7"/>
      <c r="F5" s="7" t="s">
        <v>15</v>
      </c>
      <c r="G5" s="8" t="n">
        <f aca="false">H4</f>
        <v>0.438262323287671</v>
      </c>
      <c r="H5" s="7"/>
      <c r="I5" s="7" t="s">
        <v>13</v>
      </c>
      <c r="J5" s="8" t="n">
        <f aca="false">G5+SUM(E4:E4)</f>
        <v>1.43826232328767</v>
      </c>
      <c r="K5" s="7" t="s">
        <v>15</v>
      </c>
      <c r="L5" s="9"/>
    </row>
    <row r="6" customFormat="false" ht="13.8" hidden="false" customHeight="false" outlineLevel="0" collapsed="false">
      <c r="A6" s="4" t="s">
        <v>16</v>
      </c>
      <c r="B6" s="5" t="s">
        <v>16</v>
      </c>
      <c r="C6" s="5" t="n">
        <v>34.5</v>
      </c>
      <c r="D6" s="5" t="n">
        <v>13.8</v>
      </c>
      <c r="E6" s="5" t="n">
        <v>12.5</v>
      </c>
      <c r="F6" s="5" t="s">
        <v>16</v>
      </c>
      <c r="G6" s="5" t="n">
        <v>2.713</v>
      </c>
      <c r="H6" s="5" t="n">
        <f aca="false">SUM(G6:G6)</f>
        <v>2.713</v>
      </c>
      <c r="I6" s="5" t="s">
        <v>13</v>
      </c>
      <c r="J6" s="5"/>
      <c r="K6" s="5" t="s">
        <v>17</v>
      </c>
      <c r="L6" s="6"/>
    </row>
    <row r="7" customFormat="false" ht="13.8" hidden="false" customHeight="false" outlineLevel="0" collapsed="false">
      <c r="A7" s="4"/>
      <c r="B7" s="7" t="s">
        <v>16</v>
      </c>
      <c r="C7" s="7"/>
      <c r="D7" s="7"/>
      <c r="E7" s="7"/>
      <c r="F7" s="7" t="s">
        <v>16</v>
      </c>
      <c r="G7" s="8" t="n">
        <f aca="false">H6</f>
        <v>2.713</v>
      </c>
      <c r="H7" s="7"/>
      <c r="I7" s="7" t="s">
        <v>13</v>
      </c>
      <c r="J7" s="8" t="n">
        <f aca="false">G7+SUM(E6:E6)</f>
        <v>15.213</v>
      </c>
      <c r="K7" s="7" t="s">
        <v>17</v>
      </c>
      <c r="L7" s="9"/>
    </row>
    <row r="8" customFormat="false" ht="13.8" hidden="false" customHeight="false" outlineLevel="0" collapsed="false">
      <c r="A8" s="4" t="s">
        <v>18</v>
      </c>
      <c r="B8" s="5" t="s">
        <v>18</v>
      </c>
      <c r="C8" s="5" t="n">
        <v>34.5</v>
      </c>
      <c r="D8" s="5" t="n">
        <v>13.8</v>
      </c>
      <c r="E8" s="5" t="n">
        <v>1.6</v>
      </c>
      <c r="F8" s="5" t="s">
        <v>18</v>
      </c>
      <c r="G8" s="5" t="n">
        <v>1.0748474630137</v>
      </c>
      <c r="H8" s="5" t="n">
        <f aca="false">SUM(G8:G8)</f>
        <v>1.0748474630137</v>
      </c>
      <c r="I8" s="5" t="s">
        <v>13</v>
      </c>
      <c r="J8" s="5"/>
      <c r="K8" s="5" t="s">
        <v>18</v>
      </c>
      <c r="L8" s="6"/>
    </row>
    <row r="9" customFormat="false" ht="13.8" hidden="false" customHeight="false" outlineLevel="0" collapsed="false">
      <c r="A9" s="4"/>
      <c r="B9" s="7" t="s">
        <v>18</v>
      </c>
      <c r="C9" s="7"/>
      <c r="D9" s="7"/>
      <c r="E9" s="7"/>
      <c r="F9" s="7" t="s">
        <v>18</v>
      </c>
      <c r="G9" s="8" t="n">
        <f aca="false">H8</f>
        <v>1.0748474630137</v>
      </c>
      <c r="H9" s="7"/>
      <c r="I9" s="7" t="s">
        <v>13</v>
      </c>
      <c r="J9" s="8" t="n">
        <f aca="false">G9+SUM(E8:E8)</f>
        <v>2.6748474630137</v>
      </c>
      <c r="K9" s="7" t="s">
        <v>18</v>
      </c>
      <c r="L9" s="9"/>
    </row>
    <row r="10" customFormat="false" ht="13.8" hidden="false" customHeight="false" outlineLevel="0" collapsed="false">
      <c r="A10" s="4" t="s">
        <v>19</v>
      </c>
      <c r="B10" s="5" t="s">
        <v>19</v>
      </c>
      <c r="C10" s="5" t="n">
        <v>34.5</v>
      </c>
      <c r="D10" s="5" t="n">
        <v>13.8</v>
      </c>
      <c r="E10" s="5" t="n">
        <v>12.5</v>
      </c>
      <c r="F10" s="5" t="s">
        <v>19</v>
      </c>
      <c r="G10" s="5" t="n">
        <v>4.036</v>
      </c>
      <c r="H10" s="0" t="n">
        <f aca="false">SUM(G10:G10)</f>
        <v>4.036</v>
      </c>
      <c r="I10" s="5" t="s">
        <v>13</v>
      </c>
      <c r="J10" s="5"/>
      <c r="K10" s="5" t="s">
        <v>14</v>
      </c>
      <c r="L10" s="6"/>
    </row>
    <row r="11" customFormat="false" ht="13.8" hidden="false" customHeight="false" outlineLevel="0" collapsed="false">
      <c r="A11" s="4"/>
      <c r="B11" s="7" t="s">
        <v>19</v>
      </c>
      <c r="C11" s="7"/>
      <c r="D11" s="7"/>
      <c r="E11" s="7"/>
      <c r="F11" s="7" t="s">
        <v>19</v>
      </c>
      <c r="G11" s="8" t="n">
        <f aca="false">H10</f>
        <v>4.036</v>
      </c>
      <c r="H11" s="7"/>
      <c r="I11" s="7" t="s">
        <v>13</v>
      </c>
      <c r="J11" s="8" t="n">
        <f aca="false">G11+SUM(E10:E10)</f>
        <v>16.536</v>
      </c>
      <c r="K11" s="7" t="s">
        <v>14</v>
      </c>
      <c r="L11" s="9"/>
    </row>
    <row r="12" customFormat="false" ht="13.8" hidden="false" customHeight="false" outlineLevel="0" collapsed="false">
      <c r="A12" s="4" t="s">
        <v>20</v>
      </c>
      <c r="B12" s="5" t="s">
        <v>20</v>
      </c>
      <c r="C12" s="5" t="n">
        <v>34.5</v>
      </c>
      <c r="D12" s="5" t="n">
        <v>13.8</v>
      </c>
      <c r="E12" s="5" t="n">
        <v>1.5</v>
      </c>
      <c r="F12" s="5" t="s">
        <v>20</v>
      </c>
      <c r="G12" s="5" t="n">
        <v>0.986537391780823</v>
      </c>
      <c r="H12" s="5" t="n">
        <f aca="false">SUM(G12:G12)</f>
        <v>0.986537391780823</v>
      </c>
      <c r="I12" s="5" t="s">
        <v>13</v>
      </c>
      <c r="J12" s="5"/>
      <c r="K12" s="5" t="s">
        <v>20</v>
      </c>
      <c r="L12" s="6"/>
    </row>
    <row r="13" customFormat="false" ht="13.8" hidden="false" customHeight="false" outlineLevel="0" collapsed="false">
      <c r="A13" s="4"/>
      <c r="B13" s="7" t="s">
        <v>20</v>
      </c>
      <c r="C13" s="7"/>
      <c r="D13" s="7"/>
      <c r="E13" s="7"/>
      <c r="F13" s="7" t="s">
        <v>20</v>
      </c>
      <c r="G13" s="8" t="n">
        <f aca="false">H12</f>
        <v>0.986537391780823</v>
      </c>
      <c r="H13" s="7"/>
      <c r="I13" s="7" t="s">
        <v>13</v>
      </c>
      <c r="J13" s="8" t="n">
        <f aca="false">G13+SUM(E12:E12)</f>
        <v>2.48653739178082</v>
      </c>
      <c r="K13" s="7" t="s">
        <v>20</v>
      </c>
      <c r="L13" s="9"/>
    </row>
    <row r="14" customFormat="false" ht="13.8" hidden="false" customHeight="false" outlineLevel="0" collapsed="false">
      <c r="A14" s="4" t="s">
        <v>21</v>
      </c>
      <c r="B14" s="5" t="s">
        <v>21</v>
      </c>
      <c r="C14" s="5" t="n">
        <v>34.5</v>
      </c>
      <c r="D14" s="5" t="n">
        <v>13.8</v>
      </c>
      <c r="E14" s="5" t="n">
        <v>15</v>
      </c>
      <c r="F14" s="5" t="s">
        <v>12</v>
      </c>
      <c r="G14" s="5" t="n">
        <f aca="false">H2</f>
        <v>4.088</v>
      </c>
      <c r="H14" s="5"/>
      <c r="I14" s="5" t="s">
        <v>13</v>
      </c>
      <c r="J14" s="5"/>
      <c r="K14" s="5" t="s">
        <v>22</v>
      </c>
      <c r="L14" s="6"/>
    </row>
    <row r="15" customFormat="false" ht="13.8" hidden="false" customHeight="false" outlineLevel="0" collapsed="false">
      <c r="A15" s="4"/>
      <c r="B15" s="0" t="s">
        <v>21</v>
      </c>
      <c r="C15" s="0" t="n">
        <v>34.5</v>
      </c>
      <c r="D15" s="0" t="n">
        <v>13.8</v>
      </c>
      <c r="E15" s="0" t="n">
        <v>1</v>
      </c>
      <c r="F15" s="0" t="s">
        <v>15</v>
      </c>
      <c r="G15" s="0" t="n">
        <f aca="false">H4</f>
        <v>0.438262323287671</v>
      </c>
      <c r="I15" s="0" t="s">
        <v>13</v>
      </c>
      <c r="K15" s="0" t="s">
        <v>22</v>
      </c>
      <c r="L15" s="10"/>
    </row>
    <row r="16" customFormat="false" ht="13.8" hidden="false" customHeight="false" outlineLevel="0" collapsed="false">
      <c r="A16" s="4"/>
      <c r="B16" s="0" t="s">
        <v>21</v>
      </c>
      <c r="C16" s="0" t="n">
        <v>34.5</v>
      </c>
      <c r="D16" s="0" t="n">
        <v>13.8</v>
      </c>
      <c r="E16" s="0" t="n">
        <v>12.5</v>
      </c>
      <c r="F16" s="0" t="s">
        <v>16</v>
      </c>
      <c r="G16" s="0" t="n">
        <f aca="false">H6</f>
        <v>2.713</v>
      </c>
      <c r="I16" s="0" t="s">
        <v>13</v>
      </c>
      <c r="K16" s="0" t="s">
        <v>22</v>
      </c>
      <c r="L16" s="10"/>
    </row>
    <row r="17" customFormat="false" ht="13.8" hidden="false" customHeight="false" outlineLevel="0" collapsed="false">
      <c r="A17" s="4"/>
      <c r="B17" s="0" t="s">
        <v>21</v>
      </c>
      <c r="C17" s="0" t="n">
        <v>34.5</v>
      </c>
      <c r="D17" s="0" t="n">
        <v>13.8</v>
      </c>
      <c r="E17" s="0" t="n">
        <v>1.6</v>
      </c>
      <c r="F17" s="0" t="s">
        <v>18</v>
      </c>
      <c r="G17" s="0" t="n">
        <f aca="false">H8</f>
        <v>1.0748474630137</v>
      </c>
      <c r="I17" s="0" t="s">
        <v>13</v>
      </c>
      <c r="K17" s="0" t="s">
        <v>22</v>
      </c>
      <c r="L17" s="10"/>
    </row>
    <row r="18" customFormat="false" ht="13.8" hidden="false" customHeight="false" outlineLevel="0" collapsed="false">
      <c r="A18" s="4"/>
      <c r="B18" s="0" t="s">
        <v>21</v>
      </c>
      <c r="C18" s="0" t="n">
        <v>34.5</v>
      </c>
      <c r="D18" s="0" t="n">
        <v>13.8</v>
      </c>
      <c r="E18" s="0" t="n">
        <v>12.5</v>
      </c>
      <c r="F18" s="0" t="s">
        <v>19</v>
      </c>
      <c r="G18" s="0" t="n">
        <f aca="false">H10</f>
        <v>4.036</v>
      </c>
      <c r="I18" s="0" t="s">
        <v>13</v>
      </c>
      <c r="K18" s="0" t="s">
        <v>22</v>
      </c>
      <c r="L18" s="10"/>
    </row>
    <row r="19" customFormat="false" ht="13.8" hidden="false" customHeight="false" outlineLevel="0" collapsed="false">
      <c r="A19" s="4"/>
      <c r="B19" s="0" t="s">
        <v>21</v>
      </c>
      <c r="C19" s="0" t="n">
        <v>34.5</v>
      </c>
      <c r="D19" s="0" t="n">
        <v>13.8</v>
      </c>
      <c r="E19" s="0" t="n">
        <v>1.5</v>
      </c>
      <c r="F19" s="0" t="s">
        <v>20</v>
      </c>
      <c r="G19" s="0" t="n">
        <f aca="false">H12</f>
        <v>0.986537391780823</v>
      </c>
      <c r="H19" s="0" t="n">
        <f aca="false">SUM(G14:G19)</f>
        <v>13.3366471780822</v>
      </c>
      <c r="I19" s="0" t="s">
        <v>13</v>
      </c>
      <c r="K19" s="0" t="s">
        <v>22</v>
      </c>
      <c r="L19" s="10"/>
    </row>
    <row r="20" customFormat="false" ht="13.8" hidden="false" customHeight="false" outlineLevel="0" collapsed="false">
      <c r="A20" s="4"/>
      <c r="B20" s="0" t="s">
        <v>21</v>
      </c>
      <c r="C20" s="0" t="n">
        <v>115</v>
      </c>
      <c r="D20" s="0" t="n">
        <v>34.5</v>
      </c>
      <c r="E20" s="0" t="n">
        <v>40</v>
      </c>
      <c r="F20" s="0" t="s">
        <v>21</v>
      </c>
      <c r="G20" s="0" t="n">
        <v>4.849</v>
      </c>
      <c r="I20" s="0" t="s">
        <v>13</v>
      </c>
      <c r="K20" s="0" t="s">
        <v>22</v>
      </c>
      <c r="L20" s="10"/>
    </row>
    <row r="21" customFormat="false" ht="13.8" hidden="false" customHeight="false" outlineLevel="0" collapsed="false">
      <c r="A21" s="4"/>
      <c r="B21" s="0" t="s">
        <v>21</v>
      </c>
      <c r="C21" s="0" t="n">
        <v>115</v>
      </c>
      <c r="D21" s="0" t="n">
        <v>13.8</v>
      </c>
      <c r="E21" s="0" t="n">
        <v>12.5</v>
      </c>
      <c r="F21" s="0" t="s">
        <v>21</v>
      </c>
      <c r="G21" s="0" t="n">
        <v>5.335</v>
      </c>
      <c r="I21" s="0" t="s">
        <v>13</v>
      </c>
      <c r="K21" s="0" t="s">
        <v>22</v>
      </c>
      <c r="L21" s="10"/>
    </row>
    <row r="22" customFormat="false" ht="13.8" hidden="false" customHeight="false" outlineLevel="0" collapsed="false">
      <c r="A22" s="4"/>
      <c r="B22" s="0" t="s">
        <v>21</v>
      </c>
      <c r="C22" s="0" t="n">
        <v>115</v>
      </c>
      <c r="D22" s="0" t="n">
        <v>13.8</v>
      </c>
      <c r="E22" s="0" t="n">
        <v>15</v>
      </c>
      <c r="F22" s="0" t="s">
        <v>21</v>
      </c>
      <c r="G22" s="0" t="n">
        <v>0.0433652777777778</v>
      </c>
      <c r="I22" s="0" t="s">
        <v>13</v>
      </c>
      <c r="K22" s="0" t="s">
        <v>22</v>
      </c>
      <c r="L22" s="10"/>
    </row>
    <row r="23" customFormat="false" ht="13.8" hidden="false" customHeight="false" outlineLevel="0" collapsed="false">
      <c r="A23" s="4"/>
      <c r="B23" s="0" t="s">
        <v>21</v>
      </c>
      <c r="F23" s="0" t="s">
        <v>21</v>
      </c>
      <c r="G23" s="0" t="n">
        <v>0.109098611111111</v>
      </c>
      <c r="I23" s="0" t="s">
        <v>13</v>
      </c>
      <c r="K23" s="0" t="s">
        <v>22</v>
      </c>
      <c r="L23" s="10"/>
    </row>
    <row r="24" customFormat="false" ht="13.8" hidden="false" customHeight="false" outlineLevel="0" collapsed="false">
      <c r="A24" s="4"/>
      <c r="B24" s="0" t="s">
        <v>21</v>
      </c>
      <c r="F24" s="0" t="s">
        <v>21</v>
      </c>
      <c r="G24" s="0" t="n">
        <v>7.95319444444444E-005</v>
      </c>
      <c r="H24" s="0" t="n">
        <f aca="false">SUM(G20:G24)</f>
        <v>10.3365434208333</v>
      </c>
      <c r="I24" s="0" t="s">
        <v>13</v>
      </c>
      <c r="K24" s="0" t="s">
        <v>22</v>
      </c>
      <c r="L24" s="10"/>
    </row>
    <row r="25" customFormat="false" ht="13.8" hidden="false" customHeight="false" outlineLevel="0" collapsed="false">
      <c r="A25" s="4"/>
      <c r="B25" s="7" t="s">
        <v>21</v>
      </c>
      <c r="C25" s="7"/>
      <c r="D25" s="7"/>
      <c r="E25" s="7"/>
      <c r="F25" s="7" t="s">
        <v>23</v>
      </c>
      <c r="G25" s="8" t="n">
        <f aca="false">H24-H19</f>
        <v>-3.00010375724886</v>
      </c>
      <c r="H25" s="7"/>
      <c r="I25" s="7" t="s">
        <v>13</v>
      </c>
      <c r="J25" s="8" t="n">
        <f aca="false">G25+SUM(E20:E24)</f>
        <v>64.4998962427511</v>
      </c>
      <c r="K25" s="7" t="s">
        <v>22</v>
      </c>
      <c r="L25" s="9"/>
    </row>
    <row r="26" customFormat="false" ht="13.8" hidden="false" customHeight="false" outlineLevel="0" collapsed="false">
      <c r="A26" s="4" t="s">
        <v>24</v>
      </c>
      <c r="B26" s="5" t="s">
        <v>24</v>
      </c>
      <c r="C26" s="5" t="n">
        <v>34.5</v>
      </c>
      <c r="D26" s="5" t="n">
        <v>13.8</v>
      </c>
      <c r="E26" s="5" t="n">
        <v>1</v>
      </c>
      <c r="F26" s="5" t="s">
        <v>24</v>
      </c>
      <c r="G26" s="5" t="n">
        <v>0.612593753424659</v>
      </c>
      <c r="H26" s="5" t="n">
        <f aca="false">SUM(G26:G26)</f>
        <v>0.612593753424659</v>
      </c>
      <c r="I26" s="5" t="s">
        <v>13</v>
      </c>
      <c r="J26" s="5"/>
      <c r="K26" s="5" t="s">
        <v>24</v>
      </c>
      <c r="L26" s="6"/>
    </row>
    <row r="27" customFormat="false" ht="13.8" hidden="false" customHeight="false" outlineLevel="0" collapsed="false">
      <c r="A27" s="4"/>
      <c r="B27" s="7" t="s">
        <v>24</v>
      </c>
      <c r="C27" s="7"/>
      <c r="D27" s="7"/>
      <c r="E27" s="7"/>
      <c r="F27" s="7" t="s">
        <v>24</v>
      </c>
      <c r="G27" s="8" t="n">
        <f aca="false">H26</f>
        <v>0.612593753424659</v>
      </c>
      <c r="H27" s="7"/>
      <c r="I27" s="7" t="s">
        <v>13</v>
      </c>
      <c r="J27" s="8" t="n">
        <f aca="false">G27+SUM(E26:E26)</f>
        <v>1.61259375342466</v>
      </c>
      <c r="K27" s="7" t="s">
        <v>24</v>
      </c>
      <c r="L27" s="9"/>
    </row>
    <row r="28" customFormat="false" ht="13.8" hidden="false" customHeight="false" outlineLevel="0" collapsed="false">
      <c r="A28" s="4" t="s">
        <v>25</v>
      </c>
      <c r="B28" s="5" t="s">
        <v>25</v>
      </c>
      <c r="C28" s="5" t="n">
        <v>34.5</v>
      </c>
      <c r="D28" s="5" t="n">
        <v>13.8</v>
      </c>
      <c r="E28" s="5" t="n">
        <v>2</v>
      </c>
      <c r="F28" s="5" t="s">
        <v>25</v>
      </c>
      <c r="G28" s="5" t="n">
        <v>0.724884756164386</v>
      </c>
      <c r="H28" s="5" t="n">
        <f aca="false">SUM(G28:G28)</f>
        <v>0.724884756164386</v>
      </c>
      <c r="I28" s="5" t="s">
        <v>13</v>
      </c>
      <c r="J28" s="5"/>
      <c r="K28" s="5" t="s">
        <v>25</v>
      </c>
      <c r="L28" s="6"/>
    </row>
    <row r="29" customFormat="false" ht="13.8" hidden="false" customHeight="false" outlineLevel="0" collapsed="false">
      <c r="A29" s="4"/>
      <c r="B29" s="7" t="s">
        <v>25</v>
      </c>
      <c r="C29" s="7"/>
      <c r="D29" s="7"/>
      <c r="E29" s="7"/>
      <c r="F29" s="7" t="s">
        <v>25</v>
      </c>
      <c r="G29" s="8" t="n">
        <f aca="false">H28</f>
        <v>0.724884756164386</v>
      </c>
      <c r="H29" s="7"/>
      <c r="I29" s="7" t="s">
        <v>13</v>
      </c>
      <c r="J29" s="8" t="n">
        <f aca="false">G29+SUM(E28:E28)</f>
        <v>2.72488475616439</v>
      </c>
      <c r="K29" s="7" t="s">
        <v>25</v>
      </c>
      <c r="L29" s="9"/>
    </row>
    <row r="30" customFormat="false" ht="13.8" hidden="false" customHeight="false" outlineLevel="0" collapsed="false">
      <c r="A30" s="4" t="s">
        <v>26</v>
      </c>
      <c r="B30" s="5" t="s">
        <v>26</v>
      </c>
      <c r="C30" s="5" t="n">
        <v>34.5</v>
      </c>
      <c r="D30" s="5" t="n">
        <v>13.8</v>
      </c>
      <c r="E30" s="5" t="n">
        <v>15</v>
      </c>
      <c r="F30" s="5" t="s">
        <v>26</v>
      </c>
      <c r="G30" s="5" t="n">
        <v>5.776</v>
      </c>
      <c r="H30" s="5" t="n">
        <f aca="false">SUM(G30:G30)</f>
        <v>5.776</v>
      </c>
      <c r="I30" s="5" t="s">
        <v>13</v>
      </c>
      <c r="J30" s="5"/>
      <c r="K30" s="5" t="s">
        <v>14</v>
      </c>
      <c r="L30" s="6"/>
    </row>
    <row r="31" customFormat="false" ht="13.8" hidden="false" customHeight="false" outlineLevel="0" collapsed="false">
      <c r="A31" s="4"/>
      <c r="B31" s="7" t="s">
        <v>26</v>
      </c>
      <c r="C31" s="7"/>
      <c r="D31" s="7"/>
      <c r="E31" s="7"/>
      <c r="F31" s="7" t="s">
        <v>26</v>
      </c>
      <c r="G31" s="8" t="n">
        <f aca="false">H30</f>
        <v>5.776</v>
      </c>
      <c r="H31" s="7"/>
      <c r="I31" s="7" t="s">
        <v>13</v>
      </c>
      <c r="J31" s="8" t="n">
        <f aca="false">G31+SUM(E30:E30)</f>
        <v>20.776</v>
      </c>
      <c r="K31" s="7" t="s">
        <v>14</v>
      </c>
      <c r="L31" s="9"/>
    </row>
    <row r="32" customFormat="false" ht="13.8" hidden="false" customHeight="false" outlineLevel="0" collapsed="false">
      <c r="A32" s="4" t="s">
        <v>27</v>
      </c>
      <c r="B32" s="5" t="s">
        <v>27</v>
      </c>
      <c r="C32" s="5" t="n">
        <v>34.5</v>
      </c>
      <c r="D32" s="5" t="n">
        <v>13.8</v>
      </c>
      <c r="E32" s="5" t="n">
        <v>1</v>
      </c>
      <c r="F32" s="5" t="s">
        <v>24</v>
      </c>
      <c r="G32" s="5" t="n">
        <f aca="false">H26</f>
        <v>0.612593753424659</v>
      </c>
      <c r="H32" s="5"/>
      <c r="I32" s="5" t="s">
        <v>13</v>
      </c>
      <c r="J32" s="5"/>
      <c r="K32" s="5" t="s">
        <v>22</v>
      </c>
      <c r="L32" s="6"/>
    </row>
    <row r="33" customFormat="false" ht="13.8" hidden="false" customHeight="false" outlineLevel="0" collapsed="false">
      <c r="A33" s="4"/>
      <c r="B33" s="0" t="s">
        <v>27</v>
      </c>
      <c r="C33" s="0" t="n">
        <v>34.5</v>
      </c>
      <c r="D33" s="0" t="n">
        <v>13.8</v>
      </c>
      <c r="E33" s="0" t="n">
        <v>2</v>
      </c>
      <c r="F33" s="0" t="s">
        <v>25</v>
      </c>
      <c r="G33" s="0" t="n">
        <f aca="false">H28</f>
        <v>0.724884756164386</v>
      </c>
      <c r="I33" s="0" t="s">
        <v>13</v>
      </c>
      <c r="K33" s="0" t="s">
        <v>22</v>
      </c>
      <c r="L33" s="10"/>
    </row>
    <row r="34" customFormat="false" ht="13.8" hidden="false" customHeight="false" outlineLevel="0" collapsed="false">
      <c r="A34" s="4"/>
      <c r="B34" s="0" t="s">
        <v>27</v>
      </c>
      <c r="C34" s="0" t="n">
        <v>34.5</v>
      </c>
      <c r="D34" s="0" t="n">
        <v>13.8</v>
      </c>
      <c r="E34" s="0" t="n">
        <v>15</v>
      </c>
      <c r="F34" s="0" t="s">
        <v>26</v>
      </c>
      <c r="G34" s="0" t="n">
        <f aca="false">H30</f>
        <v>5.776</v>
      </c>
      <c r="H34" s="0" t="n">
        <f aca="false">SUM(G32:G34)</f>
        <v>7.11347850958904</v>
      </c>
      <c r="I34" s="0" t="s">
        <v>13</v>
      </c>
      <c r="K34" s="0" t="s">
        <v>22</v>
      </c>
      <c r="L34" s="10"/>
    </row>
    <row r="35" customFormat="false" ht="13.8" hidden="false" customHeight="false" outlineLevel="0" collapsed="false">
      <c r="A35" s="4"/>
      <c r="B35" s="0" t="s">
        <v>27</v>
      </c>
      <c r="C35" s="0" t="n">
        <v>115</v>
      </c>
      <c r="D35" s="0" t="n">
        <v>34.5</v>
      </c>
      <c r="E35" s="0" t="n">
        <v>40</v>
      </c>
      <c r="F35" s="0" t="s">
        <v>27</v>
      </c>
      <c r="H35" s="0" t="n">
        <f aca="false">SUM(G35:G35)</f>
        <v>0</v>
      </c>
      <c r="I35" s="0" t="s">
        <v>13</v>
      </c>
      <c r="K35" s="0" t="s">
        <v>22</v>
      </c>
      <c r="L35" s="10" t="s">
        <v>28</v>
      </c>
    </row>
    <row r="36" customFormat="false" ht="13.8" hidden="false" customHeight="false" outlineLevel="0" collapsed="false">
      <c r="A36" s="4"/>
      <c r="B36" s="7" t="s">
        <v>27</v>
      </c>
      <c r="C36" s="7"/>
      <c r="D36" s="7"/>
      <c r="E36" s="7"/>
      <c r="F36" s="7" t="s">
        <v>29</v>
      </c>
      <c r="G36" s="8" t="n">
        <f aca="false">H35-H34</f>
        <v>-7.11347850958904</v>
      </c>
      <c r="H36" s="7"/>
      <c r="I36" s="7" t="s">
        <v>13</v>
      </c>
      <c r="J36" s="8" t="n">
        <f aca="false">G36+SUM(E35:E35)</f>
        <v>32.886521490411</v>
      </c>
      <c r="K36" s="7" t="s">
        <v>22</v>
      </c>
      <c r="L36" s="9"/>
    </row>
    <row r="37" customFormat="false" ht="13.8" hidden="false" customHeight="false" outlineLevel="0" collapsed="false">
      <c r="A37" s="4" t="s">
        <v>30</v>
      </c>
      <c r="B37" s="5" t="s">
        <v>30</v>
      </c>
      <c r="C37" s="5" t="n">
        <v>34.5</v>
      </c>
      <c r="D37" s="5" t="n">
        <v>13.8</v>
      </c>
      <c r="E37" s="5" t="n">
        <v>1.6</v>
      </c>
      <c r="F37" s="5" t="s">
        <v>30</v>
      </c>
      <c r="G37" s="5" t="n">
        <v>0.527429307125403</v>
      </c>
      <c r="H37" s="5" t="n">
        <f aca="false">SUM(G37:G37)</f>
        <v>0.527429307125403</v>
      </c>
      <c r="I37" s="5" t="s">
        <v>13</v>
      </c>
      <c r="J37" s="5"/>
      <c r="K37" s="5" t="s">
        <v>30</v>
      </c>
      <c r="L37" s="6"/>
    </row>
    <row r="38" customFormat="false" ht="13.8" hidden="false" customHeight="false" outlineLevel="0" collapsed="false">
      <c r="A38" s="4"/>
      <c r="B38" s="7" t="s">
        <v>30</v>
      </c>
      <c r="C38" s="7"/>
      <c r="D38" s="7"/>
      <c r="E38" s="7"/>
      <c r="F38" s="7" t="s">
        <v>30</v>
      </c>
      <c r="G38" s="8" t="n">
        <f aca="false">H37</f>
        <v>0.527429307125403</v>
      </c>
      <c r="H38" s="7"/>
      <c r="I38" s="7" t="s">
        <v>13</v>
      </c>
      <c r="J38" s="8" t="n">
        <f aca="false">G38+SUM(E37:E37)</f>
        <v>2.1274293071254</v>
      </c>
      <c r="K38" s="7" t="s">
        <v>30</v>
      </c>
      <c r="L38" s="9"/>
    </row>
    <row r="39" customFormat="false" ht="13.8" hidden="false" customHeight="false" outlineLevel="0" collapsed="false">
      <c r="A39" s="4" t="s">
        <v>31</v>
      </c>
      <c r="B39" s="5" t="s">
        <v>31</v>
      </c>
      <c r="C39" s="5" t="n">
        <v>34.5</v>
      </c>
      <c r="D39" s="5" t="n">
        <v>13.8</v>
      </c>
      <c r="E39" s="5" t="n">
        <v>1</v>
      </c>
      <c r="F39" s="5" t="s">
        <v>31</v>
      </c>
      <c r="G39" s="5" t="n">
        <v>0.0174662586061679</v>
      </c>
      <c r="H39" s="5" t="n">
        <f aca="false">SUM(G39:G39)</f>
        <v>0.0174662586061679</v>
      </c>
      <c r="I39" s="5" t="s">
        <v>13</v>
      </c>
      <c r="J39" s="5"/>
      <c r="K39" s="5" t="s">
        <v>31</v>
      </c>
      <c r="L39" s="6"/>
    </row>
    <row r="40" customFormat="false" ht="13.8" hidden="false" customHeight="false" outlineLevel="0" collapsed="false">
      <c r="A40" s="4"/>
      <c r="B40" s="7" t="s">
        <v>31</v>
      </c>
      <c r="C40" s="7"/>
      <c r="D40" s="7"/>
      <c r="E40" s="7"/>
      <c r="F40" s="7" t="s">
        <v>31</v>
      </c>
      <c r="G40" s="8" t="n">
        <f aca="false">H39</f>
        <v>0.0174662586061679</v>
      </c>
      <c r="H40" s="7"/>
      <c r="I40" s="7" t="s">
        <v>13</v>
      </c>
      <c r="J40" s="8" t="n">
        <f aca="false">G40+SUM(E39:E39)</f>
        <v>1.01746625860617</v>
      </c>
      <c r="K40" s="7" t="s">
        <v>31</v>
      </c>
      <c r="L40" s="9"/>
    </row>
    <row r="41" customFormat="false" ht="13.8" hidden="false" customHeight="false" outlineLevel="0" collapsed="false">
      <c r="A41" s="4" t="s">
        <v>32</v>
      </c>
      <c r="B41" s="5" t="s">
        <v>32</v>
      </c>
      <c r="C41" s="5" t="n">
        <v>34.5</v>
      </c>
      <c r="D41" s="5" t="n">
        <v>13.8</v>
      </c>
      <c r="E41" s="5" t="n">
        <v>1</v>
      </c>
      <c r="F41" s="5" t="s">
        <v>32</v>
      </c>
      <c r="G41" s="5" t="n">
        <v>0.424511518675911</v>
      </c>
      <c r="H41" s="5" t="n">
        <f aca="false">SUM(G41:G41)</f>
        <v>0.424511518675911</v>
      </c>
      <c r="I41" s="5" t="s">
        <v>13</v>
      </c>
      <c r="J41" s="5"/>
      <c r="K41" s="5" t="s">
        <v>32</v>
      </c>
      <c r="L41" s="6"/>
    </row>
    <row r="42" customFormat="false" ht="13.8" hidden="false" customHeight="false" outlineLevel="0" collapsed="false">
      <c r="A42" s="4"/>
      <c r="B42" s="7" t="s">
        <v>32</v>
      </c>
      <c r="C42" s="7"/>
      <c r="D42" s="7"/>
      <c r="E42" s="7"/>
      <c r="F42" s="7" t="s">
        <v>32</v>
      </c>
      <c r="G42" s="8" t="n">
        <f aca="false">H41</f>
        <v>0.424511518675911</v>
      </c>
      <c r="H42" s="7"/>
      <c r="I42" s="7" t="s">
        <v>13</v>
      </c>
      <c r="J42" s="8" t="n">
        <f aca="false">G42+SUM(E41:E41)</f>
        <v>1.42451151867591</v>
      </c>
      <c r="K42" s="7" t="s">
        <v>32</v>
      </c>
      <c r="L42" s="9"/>
    </row>
    <row r="43" customFormat="false" ht="13.8" hidden="false" customHeight="false" outlineLevel="0" collapsed="false">
      <c r="A43" s="4" t="s">
        <v>33</v>
      </c>
      <c r="B43" s="5" t="s">
        <v>33</v>
      </c>
      <c r="C43" s="5" t="n">
        <v>34.5</v>
      </c>
      <c r="D43" s="5" t="n">
        <v>13.8</v>
      </c>
      <c r="E43" s="5" t="n">
        <v>0.5</v>
      </c>
      <c r="F43" s="5" t="s">
        <v>33</v>
      </c>
      <c r="G43" s="5" t="n">
        <v>0.0775605006008578</v>
      </c>
      <c r="H43" s="5" t="n">
        <f aca="false">SUM(G43:G43)</f>
        <v>0.0775605006008578</v>
      </c>
      <c r="I43" s="5" t="s">
        <v>13</v>
      </c>
      <c r="J43" s="5"/>
      <c r="K43" s="5" t="s">
        <v>33</v>
      </c>
      <c r="L43" s="6"/>
    </row>
    <row r="44" customFormat="false" ht="13.8" hidden="false" customHeight="false" outlineLevel="0" collapsed="false">
      <c r="A44" s="4"/>
      <c r="B44" s="7" t="s">
        <v>33</v>
      </c>
      <c r="C44" s="7"/>
      <c r="D44" s="7"/>
      <c r="E44" s="7"/>
      <c r="F44" s="7" t="s">
        <v>33</v>
      </c>
      <c r="G44" s="8" t="n">
        <f aca="false">H43</f>
        <v>0.0775605006008578</v>
      </c>
      <c r="H44" s="7"/>
      <c r="I44" s="7" t="s">
        <v>13</v>
      </c>
      <c r="J44" s="8" t="n">
        <f aca="false">G44+SUM(E43:E43)</f>
        <v>0.577560500600858</v>
      </c>
      <c r="K44" s="7" t="s">
        <v>33</v>
      </c>
      <c r="L44" s="9"/>
    </row>
    <row r="45" customFormat="false" ht="13.8" hidden="false" customHeight="false" outlineLevel="0" collapsed="false">
      <c r="A45" s="4" t="s">
        <v>34</v>
      </c>
      <c r="B45" s="5" t="s">
        <v>34</v>
      </c>
      <c r="C45" s="5" t="n">
        <v>34.5</v>
      </c>
      <c r="D45" s="5" t="n">
        <v>13.8</v>
      </c>
      <c r="E45" s="5" t="n">
        <v>1.6</v>
      </c>
      <c r="F45" s="5" t="s">
        <v>34</v>
      </c>
      <c r="G45" s="5" t="n">
        <v>0.0506632073361669</v>
      </c>
      <c r="H45" s="5" t="n">
        <f aca="false">SUM(G45:G45)</f>
        <v>0.0506632073361669</v>
      </c>
      <c r="I45" s="5" t="s">
        <v>13</v>
      </c>
      <c r="J45" s="5"/>
      <c r="K45" s="5" t="s">
        <v>34</v>
      </c>
      <c r="L45" s="6"/>
    </row>
    <row r="46" customFormat="false" ht="13.8" hidden="false" customHeight="false" outlineLevel="0" collapsed="false">
      <c r="A46" s="4"/>
      <c r="B46" s="7" t="s">
        <v>34</v>
      </c>
      <c r="C46" s="7"/>
      <c r="D46" s="7"/>
      <c r="E46" s="7"/>
      <c r="F46" s="7" t="s">
        <v>34</v>
      </c>
      <c r="G46" s="8" t="n">
        <f aca="false">H45</f>
        <v>0.0506632073361669</v>
      </c>
      <c r="H46" s="7"/>
      <c r="I46" s="7" t="s">
        <v>13</v>
      </c>
      <c r="J46" s="8" t="n">
        <f aca="false">G46+SUM(E45:E45)</f>
        <v>1.65066320733617</v>
      </c>
      <c r="K46" s="7" t="s">
        <v>34</v>
      </c>
      <c r="L46" s="9"/>
    </row>
    <row r="47" customFormat="false" ht="13.8" hidden="false" customHeight="false" outlineLevel="0" collapsed="false">
      <c r="A47" s="4" t="s">
        <v>35</v>
      </c>
      <c r="B47" s="5" t="s">
        <v>35</v>
      </c>
      <c r="C47" s="5" t="n">
        <v>34.5</v>
      </c>
      <c r="D47" s="5" t="n">
        <v>13.8</v>
      </c>
      <c r="E47" s="5" t="n">
        <v>6.25</v>
      </c>
      <c r="F47" s="5" t="s">
        <v>35</v>
      </c>
      <c r="G47" s="5" t="n">
        <v>2.859</v>
      </c>
      <c r="H47" s="5" t="n">
        <f aca="false">SUM(G47:G47)</f>
        <v>2.859</v>
      </c>
      <c r="I47" s="5" t="s">
        <v>13</v>
      </c>
      <c r="J47" s="5"/>
      <c r="K47" s="5" t="s">
        <v>35</v>
      </c>
      <c r="L47" s="6"/>
    </row>
    <row r="48" customFormat="false" ht="13.8" hidden="false" customHeight="false" outlineLevel="0" collapsed="false">
      <c r="A48" s="4"/>
      <c r="B48" s="7" t="s">
        <v>35</v>
      </c>
      <c r="C48" s="7"/>
      <c r="D48" s="7"/>
      <c r="E48" s="7"/>
      <c r="F48" s="7" t="s">
        <v>35</v>
      </c>
      <c r="G48" s="8" t="n">
        <f aca="false">H47</f>
        <v>2.859</v>
      </c>
      <c r="H48" s="7"/>
      <c r="I48" s="7" t="s">
        <v>13</v>
      </c>
      <c r="J48" s="8" t="n">
        <f aca="false">G48+SUM(E47:E47)</f>
        <v>9.109</v>
      </c>
      <c r="K48" s="7" t="s">
        <v>35</v>
      </c>
      <c r="L48" s="9"/>
    </row>
    <row r="49" customFormat="false" ht="13.8" hidden="false" customHeight="false" outlineLevel="0" collapsed="false">
      <c r="A49" s="4" t="s">
        <v>36</v>
      </c>
      <c r="B49" s="5" t="s">
        <v>36</v>
      </c>
      <c r="C49" s="5" t="n">
        <v>34.5</v>
      </c>
      <c r="D49" s="5" t="n">
        <v>13.8</v>
      </c>
      <c r="E49" s="5" t="n">
        <v>1.6</v>
      </c>
      <c r="F49" s="5" t="s">
        <v>30</v>
      </c>
      <c r="G49" s="5" t="n">
        <f aca="false">H37</f>
        <v>0.527429307125403</v>
      </c>
      <c r="H49" s="5"/>
      <c r="I49" s="5" t="s">
        <v>13</v>
      </c>
      <c r="J49" s="5"/>
      <c r="K49" s="5" t="s">
        <v>36</v>
      </c>
      <c r="L49" s="6"/>
    </row>
    <row r="50" customFormat="false" ht="13.8" hidden="false" customHeight="false" outlineLevel="0" collapsed="false">
      <c r="A50" s="4"/>
      <c r="B50" s="0" t="s">
        <v>36</v>
      </c>
      <c r="C50" s="0" t="n">
        <v>34.5</v>
      </c>
      <c r="D50" s="0" t="n">
        <v>13.8</v>
      </c>
      <c r="E50" s="0" t="n">
        <v>1</v>
      </c>
      <c r="F50" s="0" t="s">
        <v>31</v>
      </c>
      <c r="G50" s="0" t="n">
        <f aca="false">H39</f>
        <v>0.0174662586061679</v>
      </c>
      <c r="I50" s="0" t="s">
        <v>13</v>
      </c>
      <c r="K50" s="0" t="s">
        <v>36</v>
      </c>
      <c r="L50" s="10"/>
    </row>
    <row r="51" customFormat="false" ht="13.8" hidden="false" customHeight="false" outlineLevel="0" collapsed="false">
      <c r="A51" s="4"/>
      <c r="B51" s="0" t="s">
        <v>36</v>
      </c>
      <c r="C51" s="0" t="n">
        <v>34.5</v>
      </c>
      <c r="D51" s="0" t="n">
        <v>13.8</v>
      </c>
      <c r="E51" s="0" t="n">
        <v>1</v>
      </c>
      <c r="F51" s="0" t="s">
        <v>32</v>
      </c>
      <c r="G51" s="0" t="n">
        <f aca="false">H41</f>
        <v>0.424511518675911</v>
      </c>
      <c r="I51" s="0" t="s">
        <v>13</v>
      </c>
      <c r="K51" s="0" t="s">
        <v>36</v>
      </c>
      <c r="L51" s="10"/>
    </row>
    <row r="52" customFormat="false" ht="13.8" hidden="false" customHeight="false" outlineLevel="0" collapsed="false">
      <c r="A52" s="4"/>
      <c r="B52" s="0" t="s">
        <v>36</v>
      </c>
      <c r="C52" s="0" t="n">
        <v>34.5</v>
      </c>
      <c r="D52" s="0" t="n">
        <v>13.8</v>
      </c>
      <c r="E52" s="0" t="n">
        <v>0.5</v>
      </c>
      <c r="F52" s="0" t="s">
        <v>33</v>
      </c>
      <c r="G52" s="0" t="n">
        <f aca="false">H43</f>
        <v>0.0775605006008578</v>
      </c>
      <c r="I52" s="0" t="s">
        <v>13</v>
      </c>
      <c r="K52" s="0" t="s">
        <v>36</v>
      </c>
      <c r="L52" s="10"/>
    </row>
    <row r="53" customFormat="false" ht="13.8" hidden="false" customHeight="false" outlineLevel="0" collapsed="false">
      <c r="A53" s="4"/>
      <c r="B53" s="0" t="s">
        <v>36</v>
      </c>
      <c r="C53" s="0" t="n">
        <v>34.5</v>
      </c>
      <c r="D53" s="0" t="n">
        <v>13.8</v>
      </c>
      <c r="E53" s="0" t="n">
        <v>1.6</v>
      </c>
      <c r="F53" s="0" t="s">
        <v>34</v>
      </c>
      <c r="G53" s="0" t="n">
        <f aca="false">H45</f>
        <v>0.0506632073361669</v>
      </c>
      <c r="I53" s="0" t="s">
        <v>13</v>
      </c>
      <c r="K53" s="0" t="s">
        <v>36</v>
      </c>
      <c r="L53" s="10"/>
    </row>
    <row r="54" customFormat="false" ht="13.8" hidden="false" customHeight="false" outlineLevel="0" collapsed="false">
      <c r="A54" s="4"/>
      <c r="B54" s="0" t="s">
        <v>36</v>
      </c>
      <c r="C54" s="0" t="n">
        <v>34.5</v>
      </c>
      <c r="D54" s="0" t="n">
        <v>13.8</v>
      </c>
      <c r="E54" s="0" t="n">
        <v>6.25</v>
      </c>
      <c r="F54" s="0" t="s">
        <v>35</v>
      </c>
      <c r="G54" s="0" t="n">
        <f aca="false">H47</f>
        <v>2.859</v>
      </c>
      <c r="H54" s="0" t="n">
        <f aca="false">SUM(G49:G54)</f>
        <v>3.95663079234451</v>
      </c>
      <c r="I54" s="0" t="s">
        <v>13</v>
      </c>
      <c r="K54" s="0" t="s">
        <v>36</v>
      </c>
      <c r="L54" s="10"/>
    </row>
    <row r="55" customFormat="false" ht="13.8" hidden="false" customHeight="false" outlineLevel="0" collapsed="false">
      <c r="A55" s="4"/>
      <c r="B55" s="0" t="s">
        <v>36</v>
      </c>
      <c r="C55" s="0" t="n">
        <v>115</v>
      </c>
      <c r="D55" s="0" t="n">
        <v>34.5</v>
      </c>
      <c r="E55" s="0" t="n">
        <v>40</v>
      </c>
      <c r="F55" s="0" t="s">
        <v>36</v>
      </c>
      <c r="H55" s="0" t="n">
        <f aca="false">SUM(G55:G55)</f>
        <v>0</v>
      </c>
      <c r="I55" s="0" t="s">
        <v>13</v>
      </c>
      <c r="K55" s="0" t="s">
        <v>36</v>
      </c>
      <c r="L55" s="10" t="s">
        <v>28</v>
      </c>
    </row>
    <row r="56" customFormat="false" ht="13.8" hidden="false" customHeight="false" outlineLevel="0" collapsed="false">
      <c r="A56" s="4"/>
      <c r="B56" s="7" t="s">
        <v>36</v>
      </c>
      <c r="C56" s="7"/>
      <c r="D56" s="7"/>
      <c r="E56" s="7"/>
      <c r="F56" s="7" t="s">
        <v>37</v>
      </c>
      <c r="G56" s="8" t="n">
        <f aca="false">H55-H54</f>
        <v>-3.95663079234451</v>
      </c>
      <c r="H56" s="7"/>
      <c r="I56" s="7" t="s">
        <v>13</v>
      </c>
      <c r="J56" s="8" t="n">
        <f aca="false">G56+SUM(E55:E55)</f>
        <v>36.0433692076555</v>
      </c>
      <c r="K56" s="7" t="s">
        <v>36</v>
      </c>
      <c r="L56" s="9"/>
    </row>
    <row r="57" customFormat="false" ht="13.8" hidden="false" customHeight="false" outlineLevel="0" collapsed="false">
      <c r="A57" s="4" t="s">
        <v>38</v>
      </c>
      <c r="B57" s="5" t="s">
        <v>38</v>
      </c>
      <c r="C57" s="5" t="n">
        <v>34.5</v>
      </c>
      <c r="D57" s="5" t="n">
        <v>13.8</v>
      </c>
      <c r="E57" s="5" t="n">
        <v>1.5</v>
      </c>
      <c r="F57" s="5" t="s">
        <v>38</v>
      </c>
      <c r="G57" s="5" t="n">
        <v>1.029</v>
      </c>
      <c r="H57" s="5" t="n">
        <f aca="false">SUM(G57:G57)</f>
        <v>1.029</v>
      </c>
      <c r="I57" s="5" t="s">
        <v>13</v>
      </c>
      <c r="J57" s="5"/>
      <c r="K57" s="5" t="s">
        <v>38</v>
      </c>
      <c r="L57" s="6"/>
    </row>
    <row r="58" customFormat="false" ht="13.8" hidden="false" customHeight="false" outlineLevel="0" collapsed="false">
      <c r="A58" s="4"/>
      <c r="B58" s="7" t="s">
        <v>38</v>
      </c>
      <c r="C58" s="7"/>
      <c r="D58" s="7"/>
      <c r="E58" s="7"/>
      <c r="F58" s="7" t="s">
        <v>38</v>
      </c>
      <c r="G58" s="8" t="n">
        <f aca="false">H57</f>
        <v>1.029</v>
      </c>
      <c r="H58" s="7"/>
      <c r="I58" s="7" t="s">
        <v>13</v>
      </c>
      <c r="J58" s="8" t="n">
        <f aca="false">G58+SUM(E57:E57)</f>
        <v>2.529</v>
      </c>
      <c r="K58" s="7" t="s">
        <v>38</v>
      </c>
      <c r="L58" s="9"/>
    </row>
    <row r="59" customFormat="false" ht="13.8" hidden="false" customHeight="false" outlineLevel="0" collapsed="false">
      <c r="A59" s="4" t="s">
        <v>39</v>
      </c>
      <c r="B59" s="5" t="s">
        <v>39</v>
      </c>
      <c r="C59" s="5" t="n">
        <v>34.5</v>
      </c>
      <c r="D59" s="5" t="n">
        <v>13.8</v>
      </c>
      <c r="E59" s="5" t="n">
        <v>3</v>
      </c>
      <c r="F59" s="5" t="s">
        <v>39</v>
      </c>
      <c r="G59" s="5" t="n">
        <v>1.715</v>
      </c>
      <c r="H59" s="5" t="n">
        <f aca="false">SUM(G59:G59)</f>
        <v>1.715</v>
      </c>
      <c r="I59" s="5" t="s">
        <v>13</v>
      </c>
      <c r="J59" s="5"/>
      <c r="K59" s="5" t="s">
        <v>39</v>
      </c>
      <c r="L59" s="6"/>
    </row>
    <row r="60" customFormat="false" ht="13.8" hidden="false" customHeight="false" outlineLevel="0" collapsed="false">
      <c r="A60" s="4"/>
      <c r="B60" s="7" t="s">
        <v>39</v>
      </c>
      <c r="C60" s="7"/>
      <c r="D60" s="7"/>
      <c r="E60" s="7"/>
      <c r="F60" s="7" t="s">
        <v>39</v>
      </c>
      <c r="G60" s="8" t="n">
        <f aca="false">H59</f>
        <v>1.715</v>
      </c>
      <c r="H60" s="7"/>
      <c r="I60" s="7" t="s">
        <v>13</v>
      </c>
      <c r="J60" s="8" t="n">
        <f aca="false">G60+SUM(E59:E59)</f>
        <v>4.715</v>
      </c>
      <c r="K60" s="7" t="s">
        <v>39</v>
      </c>
      <c r="L60" s="9"/>
    </row>
    <row r="61" customFormat="false" ht="13.8" hidden="false" customHeight="false" outlineLevel="0" collapsed="false">
      <c r="A61" s="4" t="s">
        <v>40</v>
      </c>
      <c r="B61" s="5" t="s">
        <v>40</v>
      </c>
      <c r="C61" s="5" t="n">
        <v>34.5</v>
      </c>
      <c r="D61" s="5" t="n">
        <v>13.8</v>
      </c>
      <c r="E61" s="5" t="n">
        <v>1.6</v>
      </c>
      <c r="F61" s="5" t="s">
        <v>40</v>
      </c>
      <c r="G61" s="5" t="n">
        <v>0.636512153424658</v>
      </c>
      <c r="H61" s="5" t="n">
        <f aca="false">SUM(G61:G61)</f>
        <v>0.636512153424658</v>
      </c>
      <c r="I61" s="5" t="s">
        <v>13</v>
      </c>
      <c r="J61" s="5"/>
      <c r="K61" s="5" t="s">
        <v>40</v>
      </c>
      <c r="L61" s="6"/>
    </row>
    <row r="62" customFormat="false" ht="13.8" hidden="false" customHeight="false" outlineLevel="0" collapsed="false">
      <c r="A62" s="4"/>
      <c r="B62" s="7" t="s">
        <v>40</v>
      </c>
      <c r="C62" s="7"/>
      <c r="D62" s="7"/>
      <c r="E62" s="7"/>
      <c r="F62" s="7" t="s">
        <v>40</v>
      </c>
      <c r="G62" s="8" t="n">
        <f aca="false">H61</f>
        <v>0.636512153424658</v>
      </c>
      <c r="H62" s="7"/>
      <c r="I62" s="7" t="s">
        <v>13</v>
      </c>
      <c r="J62" s="8" t="n">
        <f aca="false">G62+SUM(E61:E61)</f>
        <v>2.23651215342466</v>
      </c>
      <c r="K62" s="7" t="s">
        <v>40</v>
      </c>
      <c r="L62" s="9"/>
    </row>
    <row r="63" customFormat="false" ht="13.8" hidden="false" customHeight="false" outlineLevel="0" collapsed="false">
      <c r="A63" s="4" t="s">
        <v>41</v>
      </c>
      <c r="B63" s="5" t="s">
        <v>41</v>
      </c>
      <c r="C63" s="5" t="n">
        <v>34.5</v>
      </c>
      <c r="D63" s="5" t="n">
        <v>13.8</v>
      </c>
      <c r="E63" s="5" t="n">
        <v>1.5</v>
      </c>
      <c r="F63" s="5" t="s">
        <v>38</v>
      </c>
      <c r="G63" s="5" t="n">
        <f aca="false">G58</f>
        <v>1.029</v>
      </c>
      <c r="H63" s="5"/>
      <c r="I63" s="5" t="s">
        <v>13</v>
      </c>
      <c r="J63" s="5"/>
      <c r="K63" s="5" t="s">
        <v>38</v>
      </c>
      <c r="L63" s="6"/>
    </row>
    <row r="64" customFormat="false" ht="13.8" hidden="false" customHeight="false" outlineLevel="0" collapsed="false">
      <c r="A64" s="4"/>
      <c r="B64" s="0" t="s">
        <v>41</v>
      </c>
      <c r="C64" s="0" t="n">
        <v>34.5</v>
      </c>
      <c r="D64" s="0" t="n">
        <v>13.8</v>
      </c>
      <c r="E64" s="0" t="n">
        <v>3</v>
      </c>
      <c r="F64" s="0" t="s">
        <v>39</v>
      </c>
      <c r="G64" s="0" t="n">
        <f aca="false">G60</f>
        <v>1.715</v>
      </c>
      <c r="I64" s="0" t="s">
        <v>13</v>
      </c>
      <c r="K64" s="0" t="s">
        <v>39</v>
      </c>
      <c r="L64" s="10"/>
    </row>
    <row r="65" customFormat="false" ht="13.8" hidden="false" customHeight="false" outlineLevel="0" collapsed="false">
      <c r="A65" s="4"/>
      <c r="B65" s="0" t="s">
        <v>41</v>
      </c>
      <c r="C65" s="0" t="n">
        <v>34.5</v>
      </c>
      <c r="D65" s="0" t="n">
        <v>13.8</v>
      </c>
      <c r="E65" s="0" t="n">
        <v>1.6</v>
      </c>
      <c r="F65" s="0" t="s">
        <v>40</v>
      </c>
      <c r="G65" s="0" t="n">
        <f aca="false">G62</f>
        <v>0.636512153424658</v>
      </c>
      <c r="I65" s="0" t="s">
        <v>13</v>
      </c>
      <c r="K65" s="0" t="s">
        <v>40</v>
      </c>
      <c r="L65" s="10"/>
    </row>
    <row r="66" customFormat="false" ht="13.8" hidden="false" customHeight="false" outlineLevel="0" collapsed="false">
      <c r="A66" s="4"/>
      <c r="B66" s="0" t="s">
        <v>41</v>
      </c>
      <c r="F66" s="0" t="s">
        <v>42</v>
      </c>
      <c r="G66" s="0" t="n">
        <v>0.499431944444444</v>
      </c>
      <c r="L66" s="10" t="s">
        <v>43</v>
      </c>
    </row>
    <row r="67" customFormat="false" ht="13.8" hidden="false" customHeight="false" outlineLevel="0" collapsed="false">
      <c r="A67" s="4"/>
      <c r="B67" s="0" t="s">
        <v>41</v>
      </c>
      <c r="F67" s="0" t="s">
        <v>44</v>
      </c>
      <c r="G67" s="0" t="n">
        <v>0.2</v>
      </c>
      <c r="L67" s="10" t="s">
        <v>43</v>
      </c>
    </row>
    <row r="68" customFormat="false" ht="13.8" hidden="false" customHeight="false" outlineLevel="0" collapsed="false">
      <c r="A68" s="4"/>
      <c r="B68" s="0" t="s">
        <v>41</v>
      </c>
      <c r="F68" s="0" t="s">
        <v>45</v>
      </c>
      <c r="G68" s="0" t="n">
        <v>0.5</v>
      </c>
      <c r="L68" s="10" t="s">
        <v>43</v>
      </c>
    </row>
    <row r="69" customFormat="false" ht="13.8" hidden="false" customHeight="false" outlineLevel="0" collapsed="false">
      <c r="A69" s="4"/>
      <c r="B69" s="0" t="s">
        <v>41</v>
      </c>
      <c r="F69" s="0" t="s">
        <v>46</v>
      </c>
      <c r="G69" s="0" t="n">
        <v>1</v>
      </c>
      <c r="H69" s="0" t="n">
        <f aca="false">SUM(G63:G69)</f>
        <v>5.5799440978691</v>
      </c>
      <c r="L69" s="10" t="s">
        <v>43</v>
      </c>
    </row>
    <row r="70" customFormat="false" ht="13.8" hidden="false" customHeight="false" outlineLevel="0" collapsed="false">
      <c r="A70" s="4"/>
      <c r="B70" s="0" t="s">
        <v>41</v>
      </c>
      <c r="C70" s="0" t="n">
        <v>115</v>
      </c>
      <c r="D70" s="0" t="n">
        <v>34.5</v>
      </c>
      <c r="E70" s="0" t="n">
        <v>40</v>
      </c>
      <c r="F70" s="0" t="s">
        <v>41</v>
      </c>
      <c r="H70" s="0" t="n">
        <f aca="false">SUM(G70:G70)</f>
        <v>0</v>
      </c>
      <c r="I70" s="0" t="s">
        <v>13</v>
      </c>
      <c r="K70" s="0" t="s">
        <v>40</v>
      </c>
      <c r="L70" s="10" t="s">
        <v>28</v>
      </c>
    </row>
    <row r="71" customFormat="false" ht="13.8" hidden="false" customHeight="false" outlineLevel="0" collapsed="false">
      <c r="A71" s="4"/>
      <c r="B71" s="7" t="s">
        <v>41</v>
      </c>
      <c r="C71" s="7"/>
      <c r="D71" s="7"/>
      <c r="E71" s="7"/>
      <c r="F71" s="7" t="s">
        <v>41</v>
      </c>
      <c r="G71" s="8" t="n">
        <f aca="false">H70-H69</f>
        <v>-5.5799440978691</v>
      </c>
      <c r="H71" s="7"/>
      <c r="I71" s="7" t="s">
        <v>13</v>
      </c>
      <c r="J71" s="8" t="n">
        <f aca="false">G71+SUM(E70:E70)</f>
        <v>34.4200559021309</v>
      </c>
      <c r="K71" s="7" t="s">
        <v>40</v>
      </c>
      <c r="L71" s="9"/>
    </row>
    <row r="72" customFormat="false" ht="13.8" hidden="false" customHeight="false" outlineLevel="0" collapsed="false">
      <c r="A72" s="4" t="s">
        <v>47</v>
      </c>
      <c r="B72" s="5" t="s">
        <v>47</v>
      </c>
      <c r="C72" s="5" t="n">
        <v>34.5</v>
      </c>
      <c r="D72" s="5" t="n">
        <v>13.8</v>
      </c>
      <c r="E72" s="5" t="n">
        <v>1.5</v>
      </c>
      <c r="F72" s="5" t="s">
        <v>47</v>
      </c>
      <c r="G72" s="5" t="n">
        <v>0.286416197260274</v>
      </c>
      <c r="H72" s="5" t="n">
        <f aca="false">SUM(G72:G72)</f>
        <v>0.286416197260274</v>
      </c>
      <c r="I72" s="5" t="s">
        <v>13</v>
      </c>
      <c r="J72" s="5"/>
      <c r="K72" s="5" t="s">
        <v>47</v>
      </c>
      <c r="L72" s="6"/>
    </row>
    <row r="73" customFormat="false" ht="13.8" hidden="false" customHeight="false" outlineLevel="0" collapsed="false">
      <c r="A73" s="4"/>
      <c r="B73" s="7" t="s">
        <v>47</v>
      </c>
      <c r="C73" s="7"/>
      <c r="D73" s="7"/>
      <c r="E73" s="7"/>
      <c r="F73" s="7" t="s">
        <v>47</v>
      </c>
      <c r="G73" s="8" t="n">
        <f aca="false">H72</f>
        <v>0.286416197260274</v>
      </c>
      <c r="H73" s="7"/>
      <c r="I73" s="7" t="s">
        <v>13</v>
      </c>
      <c r="J73" s="8" t="n">
        <f aca="false">G73+SUM(E72:E72)</f>
        <v>1.78641619726027</v>
      </c>
      <c r="K73" s="7" t="s">
        <v>47</v>
      </c>
      <c r="L73" s="9"/>
    </row>
    <row r="74" customFormat="false" ht="13.8" hidden="false" customHeight="false" outlineLevel="0" collapsed="false">
      <c r="A74" s="4" t="s">
        <v>48</v>
      </c>
      <c r="B74" s="5" t="s">
        <v>48</v>
      </c>
      <c r="C74" s="5" t="n">
        <v>34.5</v>
      </c>
      <c r="D74" s="5" t="n">
        <v>13.8</v>
      </c>
      <c r="E74" s="5" t="n">
        <v>1.5</v>
      </c>
      <c r="F74" s="5" t="s">
        <v>48</v>
      </c>
      <c r="G74" s="5" t="n">
        <v>0.0759393041095891</v>
      </c>
      <c r="H74" s="5" t="n">
        <f aca="false">SUM(G74:G74)</f>
        <v>0.0759393041095891</v>
      </c>
      <c r="I74" s="5" t="s">
        <v>13</v>
      </c>
      <c r="J74" s="5"/>
      <c r="K74" s="5" t="s">
        <v>48</v>
      </c>
      <c r="L74" s="6"/>
    </row>
    <row r="75" customFormat="false" ht="13.8" hidden="false" customHeight="false" outlineLevel="0" collapsed="false">
      <c r="A75" s="4"/>
      <c r="B75" s="7" t="s">
        <v>48</v>
      </c>
      <c r="C75" s="7"/>
      <c r="D75" s="7"/>
      <c r="E75" s="7"/>
      <c r="F75" s="7" t="s">
        <v>48</v>
      </c>
      <c r="G75" s="8" t="n">
        <f aca="false">H74</f>
        <v>0.0759393041095891</v>
      </c>
      <c r="H75" s="7"/>
      <c r="I75" s="7" t="s">
        <v>13</v>
      </c>
      <c r="J75" s="8" t="n">
        <f aca="false">G75+SUM(E74:E74)</f>
        <v>1.57593930410959</v>
      </c>
      <c r="K75" s="7" t="s">
        <v>48</v>
      </c>
      <c r="L75" s="9"/>
    </row>
    <row r="76" customFormat="false" ht="13.8" hidden="false" customHeight="false" outlineLevel="0" collapsed="false">
      <c r="A76" s="4" t="s">
        <v>49</v>
      </c>
      <c r="B76" s="5" t="s">
        <v>49</v>
      </c>
      <c r="C76" s="5" t="n">
        <v>34.5</v>
      </c>
      <c r="D76" s="5" t="n">
        <v>13.8</v>
      </c>
      <c r="E76" s="5" t="n">
        <v>1.6</v>
      </c>
      <c r="F76" s="5" t="s">
        <v>49</v>
      </c>
      <c r="G76" s="5" t="n">
        <v>0.661</v>
      </c>
      <c r="H76" s="5" t="n">
        <f aca="false">SUM(G76:G76)</f>
        <v>0.661</v>
      </c>
      <c r="I76" s="5" t="s">
        <v>13</v>
      </c>
      <c r="J76" s="5"/>
      <c r="K76" s="5" t="s">
        <v>49</v>
      </c>
      <c r="L76" s="6"/>
    </row>
    <row r="77" customFormat="false" ht="13.8" hidden="false" customHeight="false" outlineLevel="0" collapsed="false">
      <c r="A77" s="4"/>
      <c r="B77" s="7" t="s">
        <v>49</v>
      </c>
      <c r="C77" s="7"/>
      <c r="D77" s="7"/>
      <c r="E77" s="7"/>
      <c r="F77" s="7" t="s">
        <v>49</v>
      </c>
      <c r="G77" s="8" t="n">
        <f aca="false">H76</f>
        <v>0.661</v>
      </c>
      <c r="H77" s="7"/>
      <c r="I77" s="7" t="s">
        <v>13</v>
      </c>
      <c r="J77" s="8" t="n">
        <f aca="false">G77+SUM(E76:E76)</f>
        <v>2.261</v>
      </c>
      <c r="K77" s="7" t="s">
        <v>49</v>
      </c>
      <c r="L77" s="9"/>
    </row>
    <row r="78" customFormat="false" ht="13.8" hidden="false" customHeight="false" outlineLevel="0" collapsed="false">
      <c r="A78" s="4" t="s">
        <v>50</v>
      </c>
      <c r="B78" s="5" t="s">
        <v>50</v>
      </c>
      <c r="C78" s="5" t="n">
        <v>34.5</v>
      </c>
      <c r="D78" s="5" t="n">
        <v>13.8</v>
      </c>
      <c r="E78" s="5" t="n">
        <v>0.6</v>
      </c>
      <c r="F78" s="5" t="s">
        <v>50</v>
      </c>
      <c r="G78" s="5" t="n">
        <v>0.168963189041096</v>
      </c>
      <c r="H78" s="5" t="n">
        <f aca="false">SUM(G78:G78)</f>
        <v>0.168963189041096</v>
      </c>
      <c r="I78" s="5" t="s">
        <v>13</v>
      </c>
      <c r="J78" s="5"/>
      <c r="K78" s="5" t="s">
        <v>50</v>
      </c>
      <c r="L78" s="6"/>
    </row>
    <row r="79" customFormat="false" ht="13.8" hidden="false" customHeight="false" outlineLevel="0" collapsed="false">
      <c r="A79" s="4"/>
      <c r="B79" s="7" t="s">
        <v>50</v>
      </c>
      <c r="C79" s="7"/>
      <c r="D79" s="7"/>
      <c r="E79" s="7"/>
      <c r="F79" s="7" t="s">
        <v>50</v>
      </c>
      <c r="G79" s="8" t="n">
        <f aca="false">H78</f>
        <v>0.168963189041096</v>
      </c>
      <c r="H79" s="7"/>
      <c r="I79" s="7" t="s">
        <v>13</v>
      </c>
      <c r="J79" s="8" t="n">
        <f aca="false">G79+SUM(E78:E78)</f>
        <v>0.768963189041096</v>
      </c>
      <c r="K79" s="7" t="s">
        <v>50</v>
      </c>
      <c r="L79" s="9"/>
    </row>
    <row r="80" customFormat="false" ht="13.8" hidden="false" customHeight="false" outlineLevel="0" collapsed="false">
      <c r="A80" s="4" t="s">
        <v>51</v>
      </c>
      <c r="B80" s="5" t="s">
        <v>51</v>
      </c>
      <c r="C80" s="5" t="n">
        <v>34.5</v>
      </c>
      <c r="D80" s="5" t="n">
        <v>13.8</v>
      </c>
      <c r="E80" s="5" t="n">
        <v>0.5</v>
      </c>
      <c r="F80" s="5" t="s">
        <v>51</v>
      </c>
      <c r="G80" s="5" t="n">
        <v>0.284994706849315</v>
      </c>
      <c r="H80" s="5" t="n">
        <f aca="false">SUM(G80:G80)</f>
        <v>0.284994706849315</v>
      </c>
      <c r="I80" s="5" t="s">
        <v>13</v>
      </c>
      <c r="J80" s="5"/>
      <c r="K80" s="5" t="s">
        <v>51</v>
      </c>
      <c r="L80" s="6"/>
    </row>
    <row r="81" customFormat="false" ht="13.8" hidden="false" customHeight="false" outlineLevel="0" collapsed="false">
      <c r="A81" s="4"/>
      <c r="B81" s="7" t="s">
        <v>51</v>
      </c>
      <c r="C81" s="7"/>
      <c r="D81" s="7"/>
      <c r="E81" s="7"/>
      <c r="F81" s="7" t="s">
        <v>51</v>
      </c>
      <c r="G81" s="8" t="n">
        <f aca="false">H80</f>
        <v>0.284994706849315</v>
      </c>
      <c r="H81" s="7"/>
      <c r="I81" s="7" t="s">
        <v>13</v>
      </c>
      <c r="J81" s="8" t="n">
        <f aca="false">G81+SUM(E80:E80)</f>
        <v>0.784994706849315</v>
      </c>
      <c r="K81" s="7" t="s">
        <v>51</v>
      </c>
      <c r="L81" s="9"/>
    </row>
    <row r="82" customFormat="false" ht="13.8" hidden="false" customHeight="false" outlineLevel="0" collapsed="false">
      <c r="A82" s="4" t="s">
        <v>52</v>
      </c>
      <c r="B82" s="5" t="s">
        <v>52</v>
      </c>
      <c r="C82" s="5" t="n">
        <v>34.5</v>
      </c>
      <c r="D82" s="5" t="n">
        <v>13.8</v>
      </c>
      <c r="E82" s="5" t="n">
        <v>1</v>
      </c>
      <c r="F82" s="5" t="s">
        <v>52</v>
      </c>
      <c r="G82" s="5" t="n">
        <v>0.516611315068492</v>
      </c>
      <c r="H82" s="5" t="n">
        <f aca="false">SUM(G82:G82)</f>
        <v>0.516611315068492</v>
      </c>
      <c r="I82" s="5" t="s">
        <v>13</v>
      </c>
      <c r="J82" s="5"/>
      <c r="K82" s="5" t="s">
        <v>52</v>
      </c>
      <c r="L82" s="6"/>
    </row>
    <row r="83" customFormat="false" ht="13.8" hidden="false" customHeight="false" outlineLevel="0" collapsed="false">
      <c r="A83" s="4"/>
      <c r="B83" s="7" t="s">
        <v>52</v>
      </c>
      <c r="C83" s="7"/>
      <c r="D83" s="7"/>
      <c r="E83" s="7"/>
      <c r="F83" s="7" t="s">
        <v>52</v>
      </c>
      <c r="G83" s="8" t="n">
        <f aca="false">H82</f>
        <v>0.516611315068492</v>
      </c>
      <c r="H83" s="7"/>
      <c r="I83" s="7" t="s">
        <v>13</v>
      </c>
      <c r="J83" s="8" t="n">
        <f aca="false">G83+SUM(E82:E82)</f>
        <v>1.51661131506849</v>
      </c>
      <c r="K83" s="7" t="s">
        <v>52</v>
      </c>
      <c r="L83" s="9"/>
    </row>
    <row r="84" customFormat="false" ht="13.8" hidden="false" customHeight="false" outlineLevel="0" collapsed="false">
      <c r="A84" s="4" t="s">
        <v>53</v>
      </c>
      <c r="B84" s="5" t="s">
        <v>53</v>
      </c>
      <c r="C84" s="5" t="n">
        <v>34.5</v>
      </c>
      <c r="D84" s="5" t="n">
        <v>13.8</v>
      </c>
      <c r="E84" s="5" t="n">
        <v>3</v>
      </c>
      <c r="F84" s="5" t="s">
        <v>53</v>
      </c>
      <c r="G84" s="5" t="n">
        <v>0.858876150391571</v>
      </c>
      <c r="H84" s="5" t="n">
        <f aca="false">SUM(G84:G84)</f>
        <v>0.858876150391571</v>
      </c>
      <c r="I84" s="5" t="s">
        <v>13</v>
      </c>
      <c r="J84" s="5"/>
      <c r="K84" s="5" t="s">
        <v>53</v>
      </c>
      <c r="L84" s="6"/>
    </row>
    <row r="85" customFormat="false" ht="13.8" hidden="false" customHeight="false" outlineLevel="0" collapsed="false">
      <c r="A85" s="4"/>
      <c r="B85" s="7" t="s">
        <v>53</v>
      </c>
      <c r="C85" s="7"/>
      <c r="D85" s="7"/>
      <c r="E85" s="7"/>
      <c r="F85" s="7" t="s">
        <v>53</v>
      </c>
      <c r="G85" s="8" t="n">
        <f aca="false">H84</f>
        <v>0.858876150391571</v>
      </c>
      <c r="H85" s="7"/>
      <c r="I85" s="7" t="s">
        <v>13</v>
      </c>
      <c r="J85" s="8" t="n">
        <f aca="false">G85+SUM(E84:E84)</f>
        <v>3.85887615039157</v>
      </c>
      <c r="K85" s="7" t="s">
        <v>53</v>
      </c>
      <c r="L85" s="9"/>
    </row>
    <row r="86" customFormat="false" ht="13.8" hidden="false" customHeight="false" outlineLevel="0" collapsed="false">
      <c r="A86" s="4" t="s">
        <v>54</v>
      </c>
      <c r="B86" s="5" t="s">
        <v>54</v>
      </c>
      <c r="C86" s="5" t="n">
        <v>34.5</v>
      </c>
      <c r="D86" s="5" t="n">
        <v>13.8</v>
      </c>
      <c r="E86" s="5" t="n">
        <v>0.5</v>
      </c>
      <c r="F86" s="5" t="s">
        <v>54</v>
      </c>
      <c r="G86" s="5" t="n">
        <v>0.310175638356164</v>
      </c>
      <c r="H86" s="5" t="n">
        <f aca="false">SUM(G86:G86)</f>
        <v>0.310175638356164</v>
      </c>
      <c r="I86" s="5" t="s">
        <v>13</v>
      </c>
      <c r="J86" s="5"/>
      <c r="K86" s="5" t="s">
        <v>54</v>
      </c>
      <c r="L86" s="6"/>
    </row>
    <row r="87" customFormat="false" ht="13.8" hidden="false" customHeight="false" outlineLevel="0" collapsed="false">
      <c r="A87" s="4"/>
      <c r="B87" s="7" t="s">
        <v>54</v>
      </c>
      <c r="C87" s="7"/>
      <c r="D87" s="7"/>
      <c r="E87" s="7"/>
      <c r="F87" s="7" t="s">
        <v>54</v>
      </c>
      <c r="G87" s="8" t="n">
        <f aca="false">H86</f>
        <v>0.310175638356164</v>
      </c>
      <c r="H87" s="7"/>
      <c r="I87" s="7" t="s">
        <v>13</v>
      </c>
      <c r="J87" s="8" t="n">
        <f aca="false">G87+SUM(E86:E86)</f>
        <v>0.810175638356164</v>
      </c>
      <c r="K87" s="7" t="s">
        <v>54</v>
      </c>
      <c r="L87" s="9"/>
    </row>
    <row r="88" customFormat="false" ht="13.8" hidden="false" customHeight="false" outlineLevel="0" collapsed="false">
      <c r="A88" s="4" t="s">
        <v>55</v>
      </c>
      <c r="B88" s="5" t="s">
        <v>55</v>
      </c>
      <c r="C88" s="5" t="n">
        <v>34.5</v>
      </c>
      <c r="D88" s="5" t="n">
        <v>13.8</v>
      </c>
      <c r="E88" s="5" t="n">
        <v>1.6</v>
      </c>
      <c r="F88" s="5" t="s">
        <v>55</v>
      </c>
      <c r="G88" s="5" t="n">
        <v>0.534133443276118</v>
      </c>
      <c r="H88" s="5" t="n">
        <f aca="false">SUM(G88:G88)</f>
        <v>0.534133443276118</v>
      </c>
      <c r="I88" s="5" t="s">
        <v>13</v>
      </c>
      <c r="J88" s="5"/>
      <c r="K88" s="5" t="s">
        <v>55</v>
      </c>
      <c r="L88" s="6"/>
    </row>
    <row r="89" customFormat="false" ht="13.8" hidden="false" customHeight="false" outlineLevel="0" collapsed="false">
      <c r="A89" s="4"/>
      <c r="B89" s="7" t="s">
        <v>55</v>
      </c>
      <c r="C89" s="7"/>
      <c r="D89" s="7"/>
      <c r="E89" s="7"/>
      <c r="F89" s="7" t="s">
        <v>55</v>
      </c>
      <c r="G89" s="8" t="n">
        <f aca="false">H88</f>
        <v>0.534133443276118</v>
      </c>
      <c r="H89" s="7"/>
      <c r="I89" s="7" t="s">
        <v>13</v>
      </c>
      <c r="J89" s="8" t="n">
        <f aca="false">G89+SUM(E88:E88)</f>
        <v>2.13413344327612</v>
      </c>
      <c r="K89" s="7" t="s">
        <v>55</v>
      </c>
      <c r="L89" s="9"/>
    </row>
    <row r="90" customFormat="false" ht="13.8" hidden="false" customHeight="false" outlineLevel="0" collapsed="false">
      <c r="A90" s="4" t="s">
        <v>56</v>
      </c>
      <c r="B90" s="5" t="s">
        <v>56</v>
      </c>
      <c r="C90" s="5" t="n">
        <v>34.5</v>
      </c>
      <c r="D90" s="5" t="n">
        <v>13.8</v>
      </c>
      <c r="E90" s="5" t="n">
        <v>2</v>
      </c>
      <c r="F90" s="5" t="s">
        <v>56</v>
      </c>
      <c r="G90" s="5" t="n">
        <v>0.307246361621873</v>
      </c>
      <c r="H90" s="5" t="n">
        <f aca="false">SUM(G90:G90)</f>
        <v>0.307246361621873</v>
      </c>
      <c r="I90" s="5" t="s">
        <v>13</v>
      </c>
      <c r="J90" s="5"/>
      <c r="K90" s="5" t="s">
        <v>56</v>
      </c>
      <c r="L90" s="6"/>
    </row>
    <row r="91" customFormat="false" ht="13.8" hidden="false" customHeight="false" outlineLevel="0" collapsed="false">
      <c r="A91" s="4"/>
      <c r="B91" s="7" t="s">
        <v>56</v>
      </c>
      <c r="C91" s="7"/>
      <c r="D91" s="7"/>
      <c r="E91" s="7"/>
      <c r="F91" s="7" t="s">
        <v>56</v>
      </c>
      <c r="G91" s="8" t="n">
        <f aca="false">H90</f>
        <v>0.307246361621873</v>
      </c>
      <c r="H91" s="7"/>
      <c r="I91" s="7" t="s">
        <v>13</v>
      </c>
      <c r="J91" s="8" t="n">
        <f aca="false">G91+SUM(E90:E90)</f>
        <v>2.30724636162187</v>
      </c>
      <c r="K91" s="7" t="s">
        <v>56</v>
      </c>
      <c r="L91" s="9"/>
    </row>
    <row r="92" customFormat="false" ht="13.8" hidden="false" customHeight="false" outlineLevel="0" collapsed="false">
      <c r="A92" s="11" t="s">
        <v>57</v>
      </c>
      <c r="B92" s="0" t="s">
        <v>57</v>
      </c>
      <c r="C92" s="0" t="n">
        <v>34.5</v>
      </c>
      <c r="D92" s="0" t="n">
        <v>13.8</v>
      </c>
      <c r="E92" s="0" t="n">
        <v>0.5</v>
      </c>
      <c r="F92" s="0" t="s">
        <v>57</v>
      </c>
      <c r="G92" s="0" t="n">
        <v>0.151841457534246</v>
      </c>
      <c r="H92" s="0" t="n">
        <f aca="false">SUM(G92:G92)</f>
        <v>0.151841457534246</v>
      </c>
      <c r="I92" s="0" t="s">
        <v>13</v>
      </c>
      <c r="K92" s="0" t="s">
        <v>57</v>
      </c>
    </row>
    <row r="93" customFormat="false" ht="13.8" hidden="false" customHeight="false" outlineLevel="0" collapsed="false">
      <c r="A93" s="11"/>
      <c r="B93" s="0" t="s">
        <v>57</v>
      </c>
      <c r="F93" s="0" t="s">
        <v>57</v>
      </c>
      <c r="G93" s="12" t="n">
        <f aca="false">H92</f>
        <v>0.151841457534246</v>
      </c>
      <c r="I93" s="0" t="s">
        <v>13</v>
      </c>
      <c r="J93" s="12" t="n">
        <f aca="false">G93+SUM(E92:E92)</f>
        <v>0.651841457534246</v>
      </c>
      <c r="K93" s="0" t="s">
        <v>57</v>
      </c>
    </row>
    <row r="94" customFormat="false" ht="13.8" hidden="false" customHeight="false" outlineLevel="0" collapsed="false">
      <c r="A94" s="4" t="s">
        <v>58</v>
      </c>
      <c r="B94" s="5" t="s">
        <v>58</v>
      </c>
      <c r="C94" s="5" t="n">
        <v>34.5</v>
      </c>
      <c r="D94" s="5" t="n">
        <v>13.8</v>
      </c>
      <c r="E94" s="5" t="n">
        <v>1.5</v>
      </c>
      <c r="F94" s="5" t="s">
        <v>47</v>
      </c>
      <c r="G94" s="5" t="n">
        <f aca="false">G73</f>
        <v>0.286416197260274</v>
      </c>
      <c r="H94" s="5"/>
      <c r="I94" s="5" t="s">
        <v>13</v>
      </c>
      <c r="J94" s="5"/>
      <c r="K94" s="5" t="s">
        <v>47</v>
      </c>
      <c r="L94" s="6"/>
    </row>
    <row r="95" customFormat="false" ht="13.8" hidden="false" customHeight="false" outlineLevel="0" collapsed="false">
      <c r="A95" s="4"/>
      <c r="B95" s="0" t="s">
        <v>58</v>
      </c>
      <c r="C95" s="0" t="n">
        <v>34.5</v>
      </c>
      <c r="D95" s="0" t="n">
        <v>13.8</v>
      </c>
      <c r="E95" s="0" t="n">
        <v>1.5</v>
      </c>
      <c r="F95" s="0" t="s">
        <v>48</v>
      </c>
      <c r="G95" s="0" t="n">
        <f aca="false">G75</f>
        <v>0.0759393041095891</v>
      </c>
      <c r="I95" s="0" t="s">
        <v>13</v>
      </c>
      <c r="K95" s="0" t="s">
        <v>48</v>
      </c>
      <c r="L95" s="10"/>
    </row>
    <row r="96" customFormat="false" ht="13.8" hidden="false" customHeight="false" outlineLevel="0" collapsed="false">
      <c r="A96" s="4"/>
      <c r="B96" s="0" t="s">
        <v>58</v>
      </c>
      <c r="C96" s="0" t="n">
        <v>34.5</v>
      </c>
      <c r="D96" s="0" t="n">
        <v>13.8</v>
      </c>
      <c r="E96" s="0" t="n">
        <v>1.6</v>
      </c>
      <c r="F96" s="0" t="s">
        <v>49</v>
      </c>
      <c r="G96" s="0" t="n">
        <f aca="false">G77</f>
        <v>0.661</v>
      </c>
      <c r="I96" s="0" t="s">
        <v>13</v>
      </c>
      <c r="K96" s="0" t="s">
        <v>49</v>
      </c>
      <c r="L96" s="10"/>
    </row>
    <row r="97" customFormat="false" ht="13.8" hidden="false" customHeight="false" outlineLevel="0" collapsed="false">
      <c r="A97" s="4"/>
      <c r="B97" s="0" t="s">
        <v>58</v>
      </c>
      <c r="C97" s="0" t="n">
        <v>34.5</v>
      </c>
      <c r="D97" s="0" t="n">
        <v>13.8</v>
      </c>
      <c r="E97" s="0" t="n">
        <v>0.6</v>
      </c>
      <c r="F97" s="0" t="s">
        <v>50</v>
      </c>
      <c r="G97" s="0" t="n">
        <f aca="false">G79</f>
        <v>0.168963189041096</v>
      </c>
      <c r="I97" s="0" t="s">
        <v>13</v>
      </c>
      <c r="K97" s="0" t="s">
        <v>50</v>
      </c>
      <c r="L97" s="10"/>
    </row>
    <row r="98" customFormat="false" ht="13.8" hidden="false" customHeight="false" outlineLevel="0" collapsed="false">
      <c r="A98" s="4"/>
      <c r="B98" s="0" t="s">
        <v>58</v>
      </c>
      <c r="C98" s="0" t="n">
        <v>34.5</v>
      </c>
      <c r="D98" s="0" t="n">
        <v>13.8</v>
      </c>
      <c r="E98" s="0" t="n">
        <v>0.5</v>
      </c>
      <c r="F98" s="0" t="s">
        <v>51</v>
      </c>
      <c r="G98" s="0" t="n">
        <f aca="false">G81</f>
        <v>0.284994706849315</v>
      </c>
      <c r="I98" s="0" t="s">
        <v>13</v>
      </c>
      <c r="K98" s="0" t="s">
        <v>51</v>
      </c>
      <c r="L98" s="10"/>
    </row>
    <row r="99" customFormat="false" ht="13.8" hidden="false" customHeight="false" outlineLevel="0" collapsed="false">
      <c r="A99" s="4"/>
      <c r="B99" s="0" t="s">
        <v>58</v>
      </c>
      <c r="C99" s="0" t="n">
        <v>34.5</v>
      </c>
      <c r="D99" s="0" t="n">
        <v>13.8</v>
      </c>
      <c r="E99" s="0" t="n">
        <v>1</v>
      </c>
      <c r="F99" s="0" t="s">
        <v>52</v>
      </c>
      <c r="G99" s="0" t="n">
        <f aca="false">G83</f>
        <v>0.516611315068492</v>
      </c>
      <c r="I99" s="0" t="s">
        <v>13</v>
      </c>
      <c r="K99" s="0" t="s">
        <v>52</v>
      </c>
      <c r="L99" s="10"/>
    </row>
    <row r="100" customFormat="false" ht="13.8" hidden="false" customHeight="false" outlineLevel="0" collapsed="false">
      <c r="A100" s="4"/>
      <c r="B100" s="0" t="s">
        <v>58</v>
      </c>
      <c r="C100" s="0" t="n">
        <v>34.5</v>
      </c>
      <c r="D100" s="0" t="n">
        <v>13.8</v>
      </c>
      <c r="E100" s="0" t="n">
        <v>3</v>
      </c>
      <c r="F100" s="0" t="s">
        <v>53</v>
      </c>
      <c r="G100" s="0" t="n">
        <f aca="false">G85</f>
        <v>0.858876150391571</v>
      </c>
      <c r="I100" s="0" t="s">
        <v>13</v>
      </c>
      <c r="K100" s="0" t="s">
        <v>53</v>
      </c>
      <c r="L100" s="10"/>
    </row>
    <row r="101" customFormat="false" ht="13.8" hidden="false" customHeight="false" outlineLevel="0" collapsed="false">
      <c r="A101" s="4"/>
      <c r="B101" s="0" t="s">
        <v>58</v>
      </c>
      <c r="C101" s="0" t="n">
        <v>34.5</v>
      </c>
      <c r="D101" s="0" t="n">
        <v>13.8</v>
      </c>
      <c r="E101" s="0" t="n">
        <v>0.5</v>
      </c>
      <c r="F101" s="0" t="s">
        <v>54</v>
      </c>
      <c r="G101" s="0" t="n">
        <f aca="false">G87</f>
        <v>0.310175638356164</v>
      </c>
      <c r="I101" s="0" t="s">
        <v>13</v>
      </c>
      <c r="K101" s="0" t="s">
        <v>54</v>
      </c>
      <c r="L101" s="10"/>
    </row>
    <row r="102" customFormat="false" ht="13.8" hidden="false" customHeight="false" outlineLevel="0" collapsed="false">
      <c r="A102" s="4"/>
      <c r="B102" s="0" t="s">
        <v>58</v>
      </c>
      <c r="C102" s="0" t="n">
        <v>34.5</v>
      </c>
      <c r="D102" s="0" t="n">
        <v>13.8</v>
      </c>
      <c r="E102" s="0" t="n">
        <v>1.6</v>
      </c>
      <c r="F102" s="0" t="s">
        <v>55</v>
      </c>
      <c r="G102" s="0" t="n">
        <f aca="false">G89</f>
        <v>0.534133443276118</v>
      </c>
      <c r="I102" s="0" t="s">
        <v>13</v>
      </c>
      <c r="K102" s="0" t="s">
        <v>55</v>
      </c>
      <c r="L102" s="10"/>
    </row>
    <row r="103" customFormat="false" ht="13.8" hidden="false" customHeight="false" outlineLevel="0" collapsed="false">
      <c r="A103" s="4"/>
      <c r="B103" s="0" t="s">
        <v>58</v>
      </c>
      <c r="C103" s="0" t="n">
        <v>34.5</v>
      </c>
      <c r="D103" s="0" t="n">
        <v>13.8</v>
      </c>
      <c r="E103" s="0" t="n">
        <v>2</v>
      </c>
      <c r="F103" s="0" t="s">
        <v>56</v>
      </c>
      <c r="G103" s="0" t="n">
        <f aca="false">G91</f>
        <v>0.307246361621873</v>
      </c>
      <c r="I103" s="0" t="s">
        <v>13</v>
      </c>
      <c r="K103" s="0" t="s">
        <v>56</v>
      </c>
      <c r="L103" s="10"/>
    </row>
    <row r="104" customFormat="false" ht="13.8" hidden="false" customHeight="false" outlineLevel="0" collapsed="false">
      <c r="A104" s="4"/>
      <c r="B104" s="0" t="s">
        <v>58</v>
      </c>
      <c r="F104" s="0" t="s">
        <v>59</v>
      </c>
      <c r="G104" s="0" t="n">
        <f aca="false">G93</f>
        <v>0.151841457534246</v>
      </c>
      <c r="I104" s="0" t="s">
        <v>13</v>
      </c>
      <c r="K104" s="0" t="s">
        <v>57</v>
      </c>
      <c r="L104" s="10"/>
    </row>
    <row r="105" customFormat="false" ht="13.8" hidden="false" customHeight="false" outlineLevel="0" collapsed="false">
      <c r="A105" s="4"/>
      <c r="B105" s="0" t="s">
        <v>58</v>
      </c>
      <c r="F105" s="0" t="s">
        <v>60</v>
      </c>
      <c r="G105" s="0" t="n">
        <v>0.8</v>
      </c>
      <c r="L105" s="10" t="s">
        <v>43</v>
      </c>
    </row>
    <row r="106" customFormat="false" ht="13.8" hidden="false" customHeight="false" outlineLevel="0" collapsed="false">
      <c r="A106" s="4"/>
      <c r="B106" s="0" t="s">
        <v>58</v>
      </c>
      <c r="F106" s="0" t="s">
        <v>61</v>
      </c>
      <c r="G106" s="0" t="n">
        <v>0.5</v>
      </c>
      <c r="L106" s="10" t="s">
        <v>43</v>
      </c>
    </row>
    <row r="107" customFormat="false" ht="13.8" hidden="false" customHeight="false" outlineLevel="0" collapsed="false">
      <c r="A107" s="4"/>
      <c r="B107" s="0" t="s">
        <v>58</v>
      </c>
      <c r="F107" s="0" t="s">
        <v>62</v>
      </c>
      <c r="G107" s="0" t="n">
        <v>0.0001</v>
      </c>
      <c r="H107" s="0" t="n">
        <f aca="false">SUM(G94:G107)</f>
        <v>5.45629776350874</v>
      </c>
      <c r="L107" s="10" t="s">
        <v>43</v>
      </c>
    </row>
    <row r="108" customFormat="false" ht="13.8" hidden="false" customHeight="false" outlineLevel="0" collapsed="false">
      <c r="A108" s="4"/>
      <c r="B108" s="0" t="s">
        <v>58</v>
      </c>
      <c r="C108" s="0" t="n">
        <v>115</v>
      </c>
      <c r="D108" s="0" t="n">
        <v>34.5</v>
      </c>
      <c r="E108" s="0" t="n">
        <v>25</v>
      </c>
      <c r="F108" s="0" t="s">
        <v>58</v>
      </c>
      <c r="G108" s="0" t="n">
        <v>0.664054883980988</v>
      </c>
      <c r="H108" s="0" t="n">
        <f aca="false">SUM(G108:G109)</f>
        <v>0.664054883980988</v>
      </c>
      <c r="I108" s="0" t="s">
        <v>13</v>
      </c>
      <c r="K108" s="0" t="s">
        <v>58</v>
      </c>
      <c r="L108" s="10" t="s">
        <v>63</v>
      </c>
    </row>
    <row r="109" customFormat="false" ht="13.8" hidden="false" customHeight="false" outlineLevel="0" collapsed="false">
      <c r="A109" s="4"/>
      <c r="B109" s="0" t="s">
        <v>58</v>
      </c>
      <c r="C109" s="0" t="n">
        <v>34.5</v>
      </c>
      <c r="D109" s="0" t="n">
        <v>13.8</v>
      </c>
      <c r="E109" s="0" t="n">
        <v>3</v>
      </c>
      <c r="F109" s="0" t="s">
        <v>58</v>
      </c>
      <c r="I109" s="0" t="s">
        <v>13</v>
      </c>
      <c r="K109" s="0" t="s">
        <v>58</v>
      </c>
      <c r="L109" s="10"/>
    </row>
    <row r="110" customFormat="false" ht="13.8" hidden="false" customHeight="false" outlineLevel="0" collapsed="false">
      <c r="A110" s="4"/>
      <c r="B110" s="7" t="s">
        <v>58</v>
      </c>
      <c r="C110" s="7"/>
      <c r="D110" s="7"/>
      <c r="E110" s="7"/>
      <c r="F110" s="7" t="s">
        <v>58</v>
      </c>
      <c r="G110" s="8" t="n">
        <f aca="false">H108-H107</f>
        <v>-4.79224287952775</v>
      </c>
      <c r="H110" s="7"/>
      <c r="I110" s="7" t="s">
        <v>13</v>
      </c>
      <c r="J110" s="8" t="n">
        <f aca="false">G110+SUM(E108:E109)</f>
        <v>23.2077571204723</v>
      </c>
      <c r="K110" s="7" t="s">
        <v>58</v>
      </c>
      <c r="L110" s="9"/>
    </row>
    <row r="111" customFormat="false" ht="13.8" hidden="false" customHeight="false" outlineLevel="0" collapsed="false">
      <c r="A111" s="4" t="s">
        <v>64</v>
      </c>
      <c r="B111" s="5" t="s">
        <v>64</v>
      </c>
      <c r="C111" s="5" t="n">
        <v>34.5</v>
      </c>
      <c r="D111" s="5" t="n">
        <v>13.8</v>
      </c>
      <c r="E111" s="5" t="n">
        <v>15</v>
      </c>
      <c r="F111" s="5" t="s">
        <v>64</v>
      </c>
      <c r="G111" s="5" t="n">
        <v>4.58</v>
      </c>
      <c r="H111" s="5"/>
      <c r="I111" s="5" t="s">
        <v>13</v>
      </c>
      <c r="J111" s="5"/>
      <c r="K111" s="5" t="s">
        <v>65</v>
      </c>
      <c r="L111" s="6" t="s">
        <v>66</v>
      </c>
    </row>
    <row r="112" customFormat="false" ht="13.8" hidden="false" customHeight="false" outlineLevel="0" collapsed="false">
      <c r="A112" s="4"/>
      <c r="B112" s="0" t="s">
        <v>64</v>
      </c>
      <c r="F112" s="0" t="s">
        <v>64</v>
      </c>
      <c r="G112" s="0" t="n">
        <v>4.858922</v>
      </c>
      <c r="H112" s="0" t="n">
        <f aca="false">SUM(G111:G112)</f>
        <v>9.438922</v>
      </c>
      <c r="I112" s="0" t="s">
        <v>13</v>
      </c>
      <c r="K112" s="0" t="s">
        <v>65</v>
      </c>
      <c r="L112" s="10" t="s">
        <v>67</v>
      </c>
    </row>
    <row r="113" customFormat="false" ht="13.8" hidden="false" customHeight="false" outlineLevel="0" collapsed="false">
      <c r="A113" s="4"/>
      <c r="B113" s="7" t="s">
        <v>64</v>
      </c>
      <c r="C113" s="7"/>
      <c r="D113" s="7"/>
      <c r="E113" s="7"/>
      <c r="F113" s="7" t="s">
        <v>64</v>
      </c>
      <c r="G113" s="8" t="n">
        <f aca="false">H112</f>
        <v>9.438922</v>
      </c>
      <c r="H113" s="7"/>
      <c r="I113" s="7" t="s">
        <v>13</v>
      </c>
      <c r="J113" s="8" t="n">
        <f aca="false">G113+SUM(E111:E112)</f>
        <v>24.438922</v>
      </c>
      <c r="K113" s="7" t="s">
        <v>65</v>
      </c>
      <c r="L113" s="9"/>
    </row>
    <row r="114" customFormat="false" ht="13.8" hidden="false" customHeight="false" outlineLevel="0" collapsed="false">
      <c r="A114" s="13" t="s">
        <v>68</v>
      </c>
      <c r="B114" s="5" t="s">
        <v>68</v>
      </c>
      <c r="C114" s="5" t="n">
        <v>34.5</v>
      </c>
      <c r="D114" s="5" t="n">
        <v>13.8</v>
      </c>
      <c r="E114" s="5" t="n">
        <v>12.5</v>
      </c>
      <c r="F114" s="5" t="s">
        <v>68</v>
      </c>
      <c r="G114" s="5" t="n">
        <v>4.7698064</v>
      </c>
      <c r="H114" s="5" t="n">
        <f aca="false">SUM(G114:G114)</f>
        <v>4.7698064</v>
      </c>
      <c r="I114" s="5" t="s">
        <v>13</v>
      </c>
      <c r="J114" s="5"/>
      <c r="K114" s="5" t="s">
        <v>65</v>
      </c>
      <c r="L114" s="6"/>
    </row>
    <row r="115" customFormat="false" ht="13.8" hidden="false" customHeight="false" outlineLevel="0" collapsed="false">
      <c r="A115" s="13"/>
      <c r="B115" s="7" t="s">
        <v>68</v>
      </c>
      <c r="C115" s="7"/>
      <c r="D115" s="7"/>
      <c r="E115" s="7"/>
      <c r="F115" s="7" t="s">
        <v>68</v>
      </c>
      <c r="G115" s="8" t="n">
        <f aca="false">H114</f>
        <v>4.7698064</v>
      </c>
      <c r="H115" s="7"/>
      <c r="I115" s="7" t="s">
        <v>13</v>
      </c>
      <c r="J115" s="8" t="n">
        <f aca="false">G115+SUM(E114:E114)</f>
        <v>17.2698064</v>
      </c>
      <c r="K115" s="7" t="s">
        <v>65</v>
      </c>
      <c r="L115" s="9"/>
    </row>
    <row r="116" customFormat="false" ht="13.8" hidden="false" customHeight="false" outlineLevel="0" collapsed="false">
      <c r="A116" s="4" t="s">
        <v>69</v>
      </c>
      <c r="B116" s="5" t="s">
        <v>69</v>
      </c>
      <c r="C116" s="5" t="n">
        <v>34.5</v>
      </c>
      <c r="D116" s="5" t="n">
        <v>13.8</v>
      </c>
      <c r="E116" s="5" t="n">
        <v>3</v>
      </c>
      <c r="F116" s="5" t="s">
        <v>69</v>
      </c>
      <c r="G116" s="5" t="n">
        <v>0</v>
      </c>
      <c r="H116" s="5"/>
      <c r="I116" s="5" t="s">
        <v>13</v>
      </c>
      <c r="J116" s="5"/>
      <c r="K116" s="5" t="s">
        <v>69</v>
      </c>
      <c r="L116" s="6" t="s">
        <v>66</v>
      </c>
    </row>
    <row r="117" customFormat="false" ht="13.8" hidden="false" customHeight="false" outlineLevel="0" collapsed="false">
      <c r="A117" s="4"/>
      <c r="B117" s="0" t="s">
        <v>69</v>
      </c>
      <c r="F117" s="0" t="s">
        <v>69</v>
      </c>
      <c r="G117" s="0" t="n">
        <v>1.0163422</v>
      </c>
      <c r="H117" s="0" t="n">
        <f aca="false">SUM(G116:G117)</f>
        <v>1.0163422</v>
      </c>
      <c r="I117" s="0" t="s">
        <v>13</v>
      </c>
      <c r="K117" s="0" t="s">
        <v>69</v>
      </c>
      <c r="L117" s="10" t="s">
        <v>67</v>
      </c>
    </row>
    <row r="118" customFormat="false" ht="13.8" hidden="false" customHeight="false" outlineLevel="0" collapsed="false">
      <c r="A118" s="4"/>
      <c r="B118" s="7" t="s">
        <v>69</v>
      </c>
      <c r="C118" s="7"/>
      <c r="D118" s="7"/>
      <c r="E118" s="7"/>
      <c r="F118" s="7" t="s">
        <v>69</v>
      </c>
      <c r="G118" s="8" t="n">
        <f aca="false">H117</f>
        <v>1.0163422</v>
      </c>
      <c r="H118" s="7"/>
      <c r="I118" s="7" t="s">
        <v>13</v>
      </c>
      <c r="J118" s="8" t="n">
        <f aca="false">G118+SUM(E116:E117)</f>
        <v>4.0163422</v>
      </c>
      <c r="K118" s="7" t="s">
        <v>69</v>
      </c>
      <c r="L118" s="9"/>
    </row>
    <row r="119" customFormat="false" ht="13.8" hidden="false" customHeight="false" outlineLevel="0" collapsed="false">
      <c r="A119" s="4" t="s">
        <v>70</v>
      </c>
      <c r="B119" s="5" t="s">
        <v>70</v>
      </c>
      <c r="C119" s="5" t="n">
        <v>34.5</v>
      </c>
      <c r="D119" s="5" t="n">
        <v>13.8</v>
      </c>
      <c r="E119" s="5" t="n">
        <v>15</v>
      </c>
      <c r="F119" s="5" t="s">
        <v>64</v>
      </c>
      <c r="G119" s="5" t="n">
        <f aca="false">G112</f>
        <v>4.858922</v>
      </c>
      <c r="H119" s="5"/>
      <c r="I119" s="5" t="s">
        <v>13</v>
      </c>
      <c r="J119" s="5"/>
      <c r="K119" s="5" t="s">
        <v>71</v>
      </c>
      <c r="L119" s="6"/>
    </row>
    <row r="120" customFormat="false" ht="13.8" hidden="false" customHeight="false" outlineLevel="0" collapsed="false">
      <c r="A120" s="4"/>
      <c r="B120" s="0" t="s">
        <v>70</v>
      </c>
      <c r="C120" s="0" t="n">
        <v>34.5</v>
      </c>
      <c r="D120" s="0" t="n">
        <v>13.8</v>
      </c>
      <c r="E120" s="0" t="n">
        <v>12.5</v>
      </c>
      <c r="F120" s="0" t="s">
        <v>68</v>
      </c>
      <c r="G120" s="0" t="n">
        <f aca="false">H114</f>
        <v>4.7698064</v>
      </c>
      <c r="I120" s="0" t="s">
        <v>13</v>
      </c>
      <c r="K120" s="0" t="s">
        <v>71</v>
      </c>
      <c r="L120" s="10"/>
    </row>
    <row r="121" customFormat="false" ht="13.8" hidden="false" customHeight="false" outlineLevel="0" collapsed="false">
      <c r="A121" s="4"/>
      <c r="B121" s="0" t="s">
        <v>70</v>
      </c>
      <c r="C121" s="0" t="n">
        <v>34.5</v>
      </c>
      <c r="D121" s="0" t="n">
        <v>13.8</v>
      </c>
      <c r="E121" s="0" t="n">
        <v>3</v>
      </c>
      <c r="F121" s="0" t="s">
        <v>69</v>
      </c>
      <c r="G121" s="0" t="n">
        <f aca="false">G117</f>
        <v>1.0163422</v>
      </c>
      <c r="H121" s="0" t="n">
        <f aca="false">SUM(G119:G121)</f>
        <v>10.6450706</v>
      </c>
      <c r="I121" s="0" t="s">
        <v>13</v>
      </c>
      <c r="K121" s="0" t="s">
        <v>71</v>
      </c>
      <c r="L121" s="10"/>
    </row>
    <row r="122" customFormat="false" ht="13.8" hidden="false" customHeight="false" outlineLevel="0" collapsed="false">
      <c r="A122" s="4"/>
      <c r="B122" s="0" t="s">
        <v>70</v>
      </c>
      <c r="C122" s="0" t="n">
        <v>115</v>
      </c>
      <c r="D122" s="0" t="n">
        <v>34.5</v>
      </c>
      <c r="E122" s="0" t="n">
        <v>25</v>
      </c>
      <c r="F122" s="0" t="s">
        <v>70</v>
      </c>
      <c r="H122" s="0" t="n">
        <f aca="false">SUM(G122:G122)</f>
        <v>0</v>
      </c>
      <c r="I122" s="0" t="s">
        <v>13</v>
      </c>
      <c r="K122" s="0" t="s">
        <v>71</v>
      </c>
      <c r="L122" s="10" t="s">
        <v>28</v>
      </c>
    </row>
    <row r="123" customFormat="false" ht="13.8" hidden="false" customHeight="false" outlineLevel="0" collapsed="false">
      <c r="A123" s="4"/>
      <c r="B123" s="7" t="s">
        <v>70</v>
      </c>
      <c r="C123" s="7"/>
      <c r="D123" s="7"/>
      <c r="E123" s="7"/>
      <c r="F123" s="7" t="s">
        <v>72</v>
      </c>
      <c r="G123" s="8" t="n">
        <f aca="false">H122-H121</f>
        <v>-10.6450706</v>
      </c>
      <c r="H123" s="7"/>
      <c r="I123" s="7" t="s">
        <v>13</v>
      </c>
      <c r="J123" s="8" t="n">
        <f aca="false">G123+SUM(E122:E122)</f>
        <v>14.3549294</v>
      </c>
      <c r="K123" s="7" t="s">
        <v>71</v>
      </c>
      <c r="L123" s="9"/>
    </row>
    <row r="124" customFormat="false" ht="13.8" hidden="false" customHeight="false" outlineLevel="0" collapsed="false">
      <c r="A124" s="4" t="s">
        <v>73</v>
      </c>
      <c r="B124" s="5" t="s">
        <v>73</v>
      </c>
      <c r="C124" s="5" t="n">
        <v>34.5</v>
      </c>
      <c r="D124" s="5" t="n">
        <v>13.8</v>
      </c>
      <c r="E124" s="5" t="n">
        <v>0.5</v>
      </c>
      <c r="F124" s="5" t="s">
        <v>73</v>
      </c>
      <c r="G124" s="5" t="n">
        <v>0.127</v>
      </c>
      <c r="H124" s="5" t="n">
        <v>0.127</v>
      </c>
      <c r="I124" s="5" t="s">
        <v>13</v>
      </c>
      <c r="J124" s="5"/>
      <c r="K124" s="5" t="s">
        <v>73</v>
      </c>
      <c r="L124" s="6" t="s">
        <v>74</v>
      </c>
    </row>
    <row r="125" customFormat="false" ht="13.8" hidden="false" customHeight="false" outlineLevel="0" collapsed="false">
      <c r="A125" s="4"/>
      <c r="B125" s="7" t="s">
        <v>73</v>
      </c>
      <c r="C125" s="7"/>
      <c r="D125" s="7"/>
      <c r="E125" s="7"/>
      <c r="F125" s="7" t="s">
        <v>73</v>
      </c>
      <c r="G125" s="8" t="n">
        <v>0.127</v>
      </c>
      <c r="H125" s="7"/>
      <c r="I125" s="7" t="s">
        <v>13</v>
      </c>
      <c r="J125" s="8" t="n">
        <v>0.627</v>
      </c>
      <c r="K125" s="7" t="s">
        <v>73</v>
      </c>
      <c r="L125" s="9"/>
    </row>
    <row r="126" customFormat="false" ht="13.8" hidden="false" customHeight="false" outlineLevel="0" collapsed="false">
      <c r="A126" s="13" t="s">
        <v>75</v>
      </c>
      <c r="B126" s="5" t="s">
        <v>75</v>
      </c>
      <c r="C126" s="5" t="n">
        <v>34.5</v>
      </c>
      <c r="D126" s="5" t="n">
        <v>13.8</v>
      </c>
      <c r="E126" s="5" t="n">
        <v>0.5</v>
      </c>
      <c r="F126" s="5" t="s">
        <v>75</v>
      </c>
      <c r="G126" s="5" t="n">
        <v>0.2369</v>
      </c>
      <c r="H126" s="5" t="n">
        <f aca="false">SUM(G126:G126)</f>
        <v>0.2369</v>
      </c>
      <c r="I126" s="5" t="s">
        <v>13</v>
      </c>
      <c r="J126" s="5"/>
      <c r="K126" s="5" t="s">
        <v>76</v>
      </c>
      <c r="L126" s="6" t="s">
        <v>74</v>
      </c>
    </row>
    <row r="127" customFormat="false" ht="13.8" hidden="false" customHeight="false" outlineLevel="0" collapsed="false">
      <c r="A127" s="13"/>
      <c r="B127" s="7" t="s">
        <v>75</v>
      </c>
      <c r="C127" s="7"/>
      <c r="D127" s="7"/>
      <c r="E127" s="7"/>
      <c r="F127" s="7" t="s">
        <v>75</v>
      </c>
      <c r="G127" s="8" t="n">
        <f aca="false">H126</f>
        <v>0.2369</v>
      </c>
      <c r="H127" s="7"/>
      <c r="I127" s="7" t="s">
        <v>13</v>
      </c>
      <c r="J127" s="8" t="n">
        <f aca="false">G127+SUM(E126:E126)</f>
        <v>0.7369</v>
      </c>
      <c r="K127" s="7" t="s">
        <v>76</v>
      </c>
      <c r="L127" s="9"/>
    </row>
    <row r="128" customFormat="false" ht="13.8" hidden="false" customHeight="false" outlineLevel="0" collapsed="false">
      <c r="A128" s="4" t="s">
        <v>77</v>
      </c>
      <c r="B128" s="5" t="s">
        <v>77</v>
      </c>
      <c r="C128" s="5" t="n">
        <v>34.5</v>
      </c>
      <c r="D128" s="5" t="n">
        <v>13.8</v>
      </c>
      <c r="E128" s="5" t="n">
        <v>1</v>
      </c>
      <c r="F128" s="5" t="s">
        <v>77</v>
      </c>
      <c r="G128" s="5" t="n">
        <v>0.287</v>
      </c>
      <c r="H128" s="5" t="n">
        <f aca="false">SUM(G128:G128)</f>
        <v>0.287</v>
      </c>
      <c r="I128" s="5" t="s">
        <v>13</v>
      </c>
      <c r="J128" s="5"/>
      <c r="K128" s="5" t="s">
        <v>77</v>
      </c>
      <c r="L128" s="6" t="s">
        <v>74</v>
      </c>
    </row>
    <row r="129" customFormat="false" ht="13.8" hidden="false" customHeight="false" outlineLevel="0" collapsed="false">
      <c r="A129" s="4"/>
      <c r="B129" s="7" t="s">
        <v>77</v>
      </c>
      <c r="C129" s="7"/>
      <c r="D129" s="7"/>
      <c r="E129" s="7"/>
      <c r="F129" s="7" t="s">
        <v>77</v>
      </c>
      <c r="G129" s="8" t="n">
        <f aca="false">H128</f>
        <v>0.287</v>
      </c>
      <c r="H129" s="7"/>
      <c r="I129" s="7" t="s">
        <v>13</v>
      </c>
      <c r="J129" s="8" t="n">
        <f aca="false">G129+SUM(E128:E128)</f>
        <v>1.287</v>
      </c>
      <c r="K129" s="7" t="s">
        <v>77</v>
      </c>
      <c r="L129" s="9"/>
    </row>
    <row r="130" customFormat="false" ht="13.8" hidden="false" customHeight="false" outlineLevel="0" collapsed="false">
      <c r="A130" s="4" t="s">
        <v>78</v>
      </c>
      <c r="B130" s="5" t="s">
        <v>78</v>
      </c>
      <c r="C130" s="5" t="n">
        <v>34.5</v>
      </c>
      <c r="D130" s="5" t="n">
        <v>13.8</v>
      </c>
      <c r="E130" s="5" t="n">
        <v>1.6</v>
      </c>
      <c r="F130" s="5" t="s">
        <v>78</v>
      </c>
      <c r="G130" s="5" t="n">
        <v>0.209</v>
      </c>
      <c r="H130" s="5" t="n">
        <f aca="false">SUM(G130:G130)</f>
        <v>0.209</v>
      </c>
      <c r="I130" s="5" t="s">
        <v>13</v>
      </c>
      <c r="J130" s="5"/>
      <c r="K130" s="5" t="s">
        <v>78</v>
      </c>
      <c r="L130" s="6" t="s">
        <v>74</v>
      </c>
    </row>
    <row r="131" customFormat="false" ht="13.8" hidden="false" customHeight="false" outlineLevel="0" collapsed="false">
      <c r="A131" s="4"/>
      <c r="B131" s="7" t="s">
        <v>78</v>
      </c>
      <c r="C131" s="7"/>
      <c r="D131" s="7"/>
      <c r="E131" s="7"/>
      <c r="F131" s="7" t="s">
        <v>78</v>
      </c>
      <c r="G131" s="8" t="n">
        <f aca="false">H130</f>
        <v>0.209</v>
      </c>
      <c r="H131" s="7"/>
      <c r="I131" s="7" t="s">
        <v>13</v>
      </c>
      <c r="J131" s="8" t="n">
        <f aca="false">G131+SUM(E130:E130)</f>
        <v>1.809</v>
      </c>
      <c r="K131" s="7" t="s">
        <v>78</v>
      </c>
      <c r="L131" s="9"/>
    </row>
    <row r="132" customFormat="false" ht="13.8" hidden="false" customHeight="false" outlineLevel="0" collapsed="false">
      <c r="A132" s="4" t="s">
        <v>79</v>
      </c>
      <c r="B132" s="5" t="s">
        <v>79</v>
      </c>
      <c r="C132" s="5" t="n">
        <v>34.5</v>
      </c>
      <c r="D132" s="5" t="n">
        <v>13.8</v>
      </c>
      <c r="E132" s="5" t="n">
        <v>0.5</v>
      </c>
      <c r="F132" s="5" t="s">
        <v>79</v>
      </c>
      <c r="G132" s="5" t="n">
        <v>0.044</v>
      </c>
      <c r="H132" s="5" t="n">
        <f aca="false">SUM(G132:G132)</f>
        <v>0.044</v>
      </c>
      <c r="I132" s="5" t="s">
        <v>13</v>
      </c>
      <c r="J132" s="5"/>
      <c r="K132" s="5" t="s">
        <v>79</v>
      </c>
      <c r="L132" s="6" t="s">
        <v>74</v>
      </c>
    </row>
    <row r="133" customFormat="false" ht="13.8" hidden="false" customHeight="false" outlineLevel="0" collapsed="false">
      <c r="A133" s="4"/>
      <c r="B133" s="7" t="s">
        <v>79</v>
      </c>
      <c r="C133" s="7"/>
      <c r="D133" s="7"/>
      <c r="E133" s="7"/>
      <c r="F133" s="7" t="s">
        <v>79</v>
      </c>
      <c r="G133" s="8" t="n">
        <f aca="false">H132</f>
        <v>0.044</v>
      </c>
      <c r="H133" s="7"/>
      <c r="I133" s="7" t="s">
        <v>13</v>
      </c>
      <c r="J133" s="8" t="n">
        <f aca="false">G133+SUM(E132:E132)</f>
        <v>0.544</v>
      </c>
      <c r="K133" s="7" t="s">
        <v>79</v>
      </c>
      <c r="L133" s="9"/>
    </row>
    <row r="134" customFormat="false" ht="13.8" hidden="false" customHeight="false" outlineLevel="0" collapsed="false">
      <c r="A134" s="4" t="s">
        <v>80</v>
      </c>
      <c r="B134" s="5" t="s">
        <v>80</v>
      </c>
      <c r="C134" s="5" t="n">
        <v>34.5</v>
      </c>
      <c r="D134" s="5" t="n">
        <v>13.8</v>
      </c>
      <c r="E134" s="5" t="n">
        <v>1.5</v>
      </c>
      <c r="F134" s="5" t="s">
        <v>80</v>
      </c>
      <c r="G134" s="5" t="n">
        <v>0.125079287671233</v>
      </c>
      <c r="H134" s="5" t="n">
        <f aca="false">SUM(G134:G134)</f>
        <v>0.125079287671233</v>
      </c>
      <c r="I134" s="5" t="s">
        <v>13</v>
      </c>
      <c r="J134" s="5"/>
      <c r="K134" s="5" t="s">
        <v>80</v>
      </c>
      <c r="L134" s="6" t="s">
        <v>74</v>
      </c>
    </row>
    <row r="135" customFormat="false" ht="13.8" hidden="false" customHeight="false" outlineLevel="0" collapsed="false">
      <c r="A135" s="4"/>
      <c r="B135" s="7" t="s">
        <v>80</v>
      </c>
      <c r="C135" s="7"/>
      <c r="D135" s="7"/>
      <c r="E135" s="7"/>
      <c r="F135" s="7" t="s">
        <v>80</v>
      </c>
      <c r="G135" s="8" t="n">
        <f aca="false">H134</f>
        <v>0.125079287671233</v>
      </c>
      <c r="H135" s="7"/>
      <c r="I135" s="7" t="s">
        <v>13</v>
      </c>
      <c r="J135" s="8" t="n">
        <f aca="false">G135+SUM(E134:E134)</f>
        <v>1.62507928767123</v>
      </c>
      <c r="K135" s="7" t="s">
        <v>80</v>
      </c>
      <c r="L135" s="9"/>
    </row>
    <row r="136" customFormat="false" ht="13.8" hidden="false" customHeight="false" outlineLevel="0" collapsed="false">
      <c r="A136" s="4" t="s">
        <v>81</v>
      </c>
      <c r="B136" s="5" t="s">
        <v>81</v>
      </c>
      <c r="C136" s="5" t="n">
        <v>34.5</v>
      </c>
      <c r="D136" s="5" t="n">
        <v>13.8</v>
      </c>
      <c r="E136" s="5" t="n">
        <v>3</v>
      </c>
      <c r="F136" s="5" t="s">
        <v>81</v>
      </c>
      <c r="G136" s="5" t="n">
        <v>0.707926415068492</v>
      </c>
      <c r="H136" s="5" t="n">
        <f aca="false">SUM(G136:G136)</f>
        <v>0.707926415068492</v>
      </c>
      <c r="I136" s="5" t="s">
        <v>13</v>
      </c>
      <c r="J136" s="5"/>
      <c r="K136" s="5" t="s">
        <v>81</v>
      </c>
      <c r="L136" s="6" t="s">
        <v>74</v>
      </c>
    </row>
    <row r="137" customFormat="false" ht="13.8" hidden="false" customHeight="false" outlineLevel="0" collapsed="false">
      <c r="A137" s="4"/>
      <c r="B137" s="7" t="s">
        <v>81</v>
      </c>
      <c r="C137" s="7"/>
      <c r="D137" s="7"/>
      <c r="E137" s="7"/>
      <c r="F137" s="7" t="s">
        <v>81</v>
      </c>
      <c r="G137" s="8" t="n">
        <f aca="false">H136</f>
        <v>0.707926415068492</v>
      </c>
      <c r="H137" s="7"/>
      <c r="I137" s="7" t="s">
        <v>13</v>
      </c>
      <c r="J137" s="8" t="n">
        <f aca="false">G137+SUM(E136:E136)</f>
        <v>3.70792641506849</v>
      </c>
      <c r="K137" s="7" t="s">
        <v>81</v>
      </c>
      <c r="L137" s="9"/>
    </row>
    <row r="138" customFormat="false" ht="13.8" hidden="false" customHeight="false" outlineLevel="0" collapsed="false">
      <c r="A138" s="4" t="s">
        <v>82</v>
      </c>
      <c r="B138" s="5" t="s">
        <v>82</v>
      </c>
      <c r="C138" s="5" t="n">
        <v>34.5</v>
      </c>
      <c r="D138" s="5" t="n">
        <v>13.8</v>
      </c>
      <c r="E138" s="5" t="n">
        <v>1</v>
      </c>
      <c r="F138" s="5" t="s">
        <v>82</v>
      </c>
      <c r="G138" s="5" t="n">
        <v>0.200281956164383</v>
      </c>
      <c r="H138" s="5" t="n">
        <f aca="false">SUM(G138:G138)</f>
        <v>0.200281956164383</v>
      </c>
      <c r="I138" s="5" t="s">
        <v>13</v>
      </c>
      <c r="J138" s="5"/>
      <c r="K138" s="5" t="s">
        <v>83</v>
      </c>
      <c r="L138" s="6" t="s">
        <v>74</v>
      </c>
    </row>
    <row r="139" customFormat="false" ht="13.8" hidden="false" customHeight="false" outlineLevel="0" collapsed="false">
      <c r="A139" s="4"/>
      <c r="B139" s="7" t="s">
        <v>82</v>
      </c>
      <c r="C139" s="7"/>
      <c r="D139" s="7"/>
      <c r="E139" s="7"/>
      <c r="F139" s="7" t="s">
        <v>82</v>
      </c>
      <c r="G139" s="8" t="n">
        <f aca="false">H138</f>
        <v>0.200281956164383</v>
      </c>
      <c r="H139" s="7"/>
      <c r="I139" s="7" t="s">
        <v>13</v>
      </c>
      <c r="J139" s="8" t="n">
        <f aca="false">G139+SUM(E138:E138)</f>
        <v>1.20028195616438</v>
      </c>
      <c r="K139" s="7" t="s">
        <v>83</v>
      </c>
      <c r="L139" s="9"/>
    </row>
    <row r="140" customFormat="false" ht="13.8" hidden="false" customHeight="false" outlineLevel="0" collapsed="false">
      <c r="A140" s="4" t="s">
        <v>84</v>
      </c>
      <c r="B140" s="5" t="s">
        <v>84</v>
      </c>
      <c r="C140" s="5" t="n">
        <v>34.5</v>
      </c>
      <c r="D140" s="5" t="n">
        <v>13.8</v>
      </c>
      <c r="E140" s="5" t="n">
        <v>1</v>
      </c>
      <c r="F140" s="5" t="s">
        <v>84</v>
      </c>
      <c r="G140" s="5" t="n">
        <v>0.0318</v>
      </c>
      <c r="H140" s="5" t="n">
        <f aca="false">SUM(G140:G140)</f>
        <v>0.0318</v>
      </c>
      <c r="I140" s="5" t="s">
        <v>13</v>
      </c>
      <c r="J140" s="5"/>
      <c r="K140" s="5" t="s">
        <v>84</v>
      </c>
      <c r="L140" s="6" t="s">
        <v>74</v>
      </c>
    </row>
    <row r="141" customFormat="false" ht="13.8" hidden="false" customHeight="false" outlineLevel="0" collapsed="false">
      <c r="A141" s="4"/>
      <c r="B141" s="7" t="s">
        <v>84</v>
      </c>
      <c r="C141" s="7"/>
      <c r="D141" s="7"/>
      <c r="E141" s="7"/>
      <c r="F141" s="7" t="s">
        <v>84</v>
      </c>
      <c r="G141" s="8" t="n">
        <f aca="false">H140</f>
        <v>0.0318</v>
      </c>
      <c r="H141" s="7"/>
      <c r="I141" s="7" t="s">
        <v>13</v>
      </c>
      <c r="J141" s="8" t="n">
        <f aca="false">G141+SUM(E140:E140)</f>
        <v>1.0318</v>
      </c>
      <c r="K141" s="7" t="s">
        <v>84</v>
      </c>
      <c r="L141" s="9"/>
    </row>
    <row r="142" customFormat="false" ht="13.8" hidden="false" customHeight="false" outlineLevel="0" collapsed="false">
      <c r="A142" s="4" t="s">
        <v>85</v>
      </c>
      <c r="B142" s="5" t="s">
        <v>85</v>
      </c>
      <c r="C142" s="5" t="n">
        <v>34.5</v>
      </c>
      <c r="D142" s="5" t="n">
        <v>13.8</v>
      </c>
      <c r="E142" s="5" t="n">
        <v>0.5</v>
      </c>
      <c r="F142" s="5" t="s">
        <v>85</v>
      </c>
      <c r="G142" s="5" t="n">
        <v>0.10378741369863</v>
      </c>
      <c r="H142" s="5" t="n">
        <f aca="false">SUM(G142:G142)</f>
        <v>0.10378741369863</v>
      </c>
      <c r="I142" s="5" t="s">
        <v>13</v>
      </c>
      <c r="J142" s="5"/>
      <c r="K142" s="5" t="s">
        <v>85</v>
      </c>
      <c r="L142" s="6" t="s">
        <v>74</v>
      </c>
    </row>
    <row r="143" customFormat="false" ht="13.8" hidden="false" customHeight="false" outlineLevel="0" collapsed="false">
      <c r="A143" s="4"/>
      <c r="B143" s="7" t="s">
        <v>85</v>
      </c>
      <c r="C143" s="7"/>
      <c r="D143" s="7"/>
      <c r="E143" s="7"/>
      <c r="F143" s="7" t="s">
        <v>85</v>
      </c>
      <c r="G143" s="8" t="n">
        <f aca="false">H142</f>
        <v>0.10378741369863</v>
      </c>
      <c r="H143" s="7"/>
      <c r="I143" s="7" t="s">
        <v>13</v>
      </c>
      <c r="J143" s="8" t="n">
        <f aca="false">G143+SUM(E142:E142)</f>
        <v>0.60378741369863</v>
      </c>
      <c r="K143" s="7" t="s">
        <v>85</v>
      </c>
      <c r="L143" s="9"/>
    </row>
    <row r="144" customFormat="false" ht="13.8" hidden="false" customHeight="false" outlineLevel="0" collapsed="false">
      <c r="A144" s="4" t="s">
        <v>86</v>
      </c>
      <c r="B144" s="5" t="s">
        <v>86</v>
      </c>
      <c r="C144" s="5" t="n">
        <v>34.5</v>
      </c>
      <c r="D144" s="5" t="n">
        <v>13.8</v>
      </c>
      <c r="E144" s="5" t="n">
        <v>0.5</v>
      </c>
      <c r="F144" s="5" t="s">
        <v>86</v>
      </c>
      <c r="G144" s="5" t="n">
        <v>0.2369</v>
      </c>
      <c r="H144" s="5" t="n">
        <f aca="false">SUM(G144:G144)</f>
        <v>0.2369</v>
      </c>
      <c r="I144" s="5" t="s">
        <v>13</v>
      </c>
      <c r="J144" s="5"/>
      <c r="K144" s="5" t="s">
        <v>86</v>
      </c>
      <c r="L144" s="6" t="s">
        <v>74</v>
      </c>
    </row>
    <row r="145" customFormat="false" ht="13.8" hidden="false" customHeight="false" outlineLevel="0" collapsed="false">
      <c r="A145" s="4"/>
      <c r="B145" s="7" t="s">
        <v>86</v>
      </c>
      <c r="C145" s="7"/>
      <c r="D145" s="7"/>
      <c r="E145" s="7"/>
      <c r="F145" s="7" t="s">
        <v>86</v>
      </c>
      <c r="G145" s="8" t="n">
        <f aca="false">H144</f>
        <v>0.2369</v>
      </c>
      <c r="H145" s="7"/>
      <c r="I145" s="7" t="s">
        <v>13</v>
      </c>
      <c r="J145" s="8" t="n">
        <f aca="false">G145+SUM(E144:E144)</f>
        <v>0.7369</v>
      </c>
      <c r="K145" s="7" t="s">
        <v>86</v>
      </c>
      <c r="L145" s="9"/>
    </row>
    <row r="146" customFormat="false" ht="13.8" hidden="false" customHeight="false" outlineLevel="0" collapsed="false">
      <c r="A146" s="4" t="s">
        <v>87</v>
      </c>
      <c r="B146" s="5" t="s">
        <v>87</v>
      </c>
      <c r="C146" s="5" t="n">
        <v>34.5</v>
      </c>
      <c r="D146" s="5" t="n">
        <v>13.8</v>
      </c>
      <c r="E146" s="5" t="n">
        <v>1.5</v>
      </c>
      <c r="F146" s="5" t="s">
        <v>87</v>
      </c>
      <c r="G146" s="5" t="n">
        <v>0.367</v>
      </c>
      <c r="H146" s="5" t="n">
        <f aca="false">SUM(G146:G146)</f>
        <v>0.367</v>
      </c>
      <c r="I146" s="5" t="s">
        <v>13</v>
      </c>
      <c r="J146" s="5"/>
      <c r="K146" s="5" t="s">
        <v>87</v>
      </c>
      <c r="L146" s="6" t="s">
        <v>74</v>
      </c>
    </row>
    <row r="147" customFormat="false" ht="13.8" hidden="false" customHeight="false" outlineLevel="0" collapsed="false">
      <c r="A147" s="4"/>
      <c r="B147" s="7" t="s">
        <v>87</v>
      </c>
      <c r="C147" s="7"/>
      <c r="D147" s="7"/>
      <c r="E147" s="7"/>
      <c r="F147" s="7" t="s">
        <v>87</v>
      </c>
      <c r="G147" s="8" t="n">
        <f aca="false">H146</f>
        <v>0.367</v>
      </c>
      <c r="H147" s="7"/>
      <c r="I147" s="7" t="s">
        <v>13</v>
      </c>
      <c r="J147" s="8" t="n">
        <f aca="false">G147+SUM(E146:E146)</f>
        <v>1.867</v>
      </c>
      <c r="K147" s="7" t="s">
        <v>87</v>
      </c>
      <c r="L147" s="9"/>
    </row>
    <row r="148" customFormat="false" ht="13.8" hidden="false" customHeight="false" outlineLevel="0" collapsed="false">
      <c r="A148" s="4" t="s">
        <v>88</v>
      </c>
      <c r="B148" s="5" t="s">
        <v>88</v>
      </c>
      <c r="C148" s="5" t="n">
        <v>34.5</v>
      </c>
      <c r="D148" s="5" t="n">
        <v>13.8</v>
      </c>
      <c r="E148" s="5" t="n">
        <v>1</v>
      </c>
      <c r="F148" s="5" t="s">
        <v>88</v>
      </c>
      <c r="G148" s="5" t="n">
        <v>0.199</v>
      </c>
      <c r="H148" s="5" t="n">
        <f aca="false">SUM(G148:G148)</f>
        <v>0.199</v>
      </c>
      <c r="I148" s="5" t="s">
        <v>13</v>
      </c>
      <c r="J148" s="5"/>
      <c r="K148" s="5" t="s">
        <v>88</v>
      </c>
      <c r="L148" s="6" t="s">
        <v>89</v>
      </c>
    </row>
    <row r="149" customFormat="false" ht="13.8" hidden="false" customHeight="false" outlineLevel="0" collapsed="false">
      <c r="A149" s="4"/>
      <c r="B149" s="7" t="s">
        <v>88</v>
      </c>
      <c r="C149" s="7"/>
      <c r="D149" s="7"/>
      <c r="E149" s="7"/>
      <c r="F149" s="7" t="s">
        <v>88</v>
      </c>
      <c r="G149" s="8" t="n">
        <f aca="false">H148</f>
        <v>0.199</v>
      </c>
      <c r="H149" s="7"/>
      <c r="I149" s="7" t="s">
        <v>13</v>
      </c>
      <c r="J149" s="8" t="n">
        <f aca="false">G149+SUM(E148:E148)</f>
        <v>1.199</v>
      </c>
      <c r="K149" s="7" t="s">
        <v>88</v>
      </c>
      <c r="L149" s="9"/>
    </row>
    <row r="150" customFormat="false" ht="13.8" hidden="false" customHeight="false" outlineLevel="0" collapsed="false">
      <c r="A150" s="4" t="s">
        <v>90</v>
      </c>
      <c r="B150" s="5" t="s">
        <v>90</v>
      </c>
      <c r="C150" s="5" t="n">
        <v>34.5</v>
      </c>
      <c r="D150" s="5" t="n">
        <v>13.8</v>
      </c>
      <c r="E150" s="5" t="n">
        <v>3</v>
      </c>
      <c r="F150" s="5" t="s">
        <v>90</v>
      </c>
      <c r="G150" s="5" t="n">
        <v>2.07522441052324</v>
      </c>
      <c r="H150" s="5" t="n">
        <f aca="false">SUM(G150:G150)</f>
        <v>2.07522441052324</v>
      </c>
      <c r="I150" s="5" t="s">
        <v>13</v>
      </c>
      <c r="J150" s="5"/>
      <c r="K150" s="5" t="s">
        <v>90</v>
      </c>
      <c r="L150" s="6" t="s">
        <v>89</v>
      </c>
    </row>
    <row r="151" customFormat="false" ht="13.8" hidden="false" customHeight="false" outlineLevel="0" collapsed="false">
      <c r="A151" s="4"/>
      <c r="B151" s="7" t="s">
        <v>90</v>
      </c>
      <c r="C151" s="7"/>
      <c r="D151" s="7"/>
      <c r="E151" s="7"/>
      <c r="F151" s="7" t="s">
        <v>90</v>
      </c>
      <c r="G151" s="8" t="n">
        <f aca="false">H150</f>
        <v>2.07522441052324</v>
      </c>
      <c r="H151" s="7"/>
      <c r="I151" s="7" t="s">
        <v>13</v>
      </c>
      <c r="J151" s="8" t="n">
        <f aca="false">G151+SUM(E150:E150)</f>
        <v>5.07522441052324</v>
      </c>
      <c r="K151" s="7" t="s">
        <v>90</v>
      </c>
      <c r="L151" s="9"/>
    </row>
    <row r="152" customFormat="false" ht="13.8" hidden="false" customHeight="false" outlineLevel="0" collapsed="false">
      <c r="A152" s="4" t="s">
        <v>91</v>
      </c>
      <c r="B152" s="5" t="s">
        <v>91</v>
      </c>
      <c r="C152" s="5" t="n">
        <v>34.5</v>
      </c>
      <c r="D152" s="5" t="n">
        <v>13.8</v>
      </c>
      <c r="E152" s="5" t="n">
        <v>0.25</v>
      </c>
      <c r="F152" s="5" t="s">
        <v>91</v>
      </c>
      <c r="G152" s="5" t="n">
        <v>0.169</v>
      </c>
      <c r="H152" s="5" t="n">
        <f aca="false">SUM(G152:G152)</f>
        <v>0.169</v>
      </c>
      <c r="I152" s="5" t="s">
        <v>13</v>
      </c>
      <c r="J152" s="5"/>
      <c r="K152" s="5" t="s">
        <v>92</v>
      </c>
      <c r="L152" s="6" t="s">
        <v>89</v>
      </c>
    </row>
    <row r="153" customFormat="false" ht="13.8" hidden="false" customHeight="false" outlineLevel="0" collapsed="false">
      <c r="A153" s="4"/>
      <c r="B153" s="7" t="s">
        <v>91</v>
      </c>
      <c r="C153" s="7"/>
      <c r="D153" s="7"/>
      <c r="E153" s="7"/>
      <c r="F153" s="7" t="s">
        <v>91</v>
      </c>
      <c r="G153" s="8" t="n">
        <f aca="false">H152</f>
        <v>0.169</v>
      </c>
      <c r="H153" s="7"/>
      <c r="I153" s="7" t="s">
        <v>13</v>
      </c>
      <c r="J153" s="8" t="n">
        <f aca="false">G153+SUM(E152:E152)</f>
        <v>0.419</v>
      </c>
      <c r="K153" s="7" t="s">
        <v>92</v>
      </c>
      <c r="L153" s="9"/>
    </row>
    <row r="154" customFormat="false" ht="13.8" hidden="false" customHeight="false" outlineLevel="0" collapsed="false">
      <c r="A154" s="4" t="s">
        <v>93</v>
      </c>
      <c r="B154" s="5" t="s">
        <v>93</v>
      </c>
      <c r="C154" s="5" t="n">
        <v>34.5</v>
      </c>
      <c r="D154" s="5" t="n">
        <v>13.8</v>
      </c>
      <c r="E154" s="5" t="n">
        <v>0.5</v>
      </c>
      <c r="F154" s="5" t="s">
        <v>93</v>
      </c>
      <c r="G154" s="5" t="n">
        <v>0.418</v>
      </c>
      <c r="H154" s="5" t="n">
        <f aca="false">SUM(G154:G154)</f>
        <v>0.418</v>
      </c>
      <c r="I154" s="5" t="s">
        <v>13</v>
      </c>
      <c r="J154" s="5"/>
      <c r="K154" s="5" t="s">
        <v>93</v>
      </c>
      <c r="L154" s="6" t="s">
        <v>89</v>
      </c>
    </row>
    <row r="155" customFormat="false" ht="13.8" hidden="false" customHeight="false" outlineLevel="0" collapsed="false">
      <c r="A155" s="4"/>
      <c r="B155" s="7" t="s">
        <v>93</v>
      </c>
      <c r="C155" s="7"/>
      <c r="D155" s="7"/>
      <c r="E155" s="7"/>
      <c r="F155" s="7" t="s">
        <v>93</v>
      </c>
      <c r="G155" s="8" t="n">
        <f aca="false">H154</f>
        <v>0.418</v>
      </c>
      <c r="H155" s="7"/>
      <c r="I155" s="7" t="s">
        <v>13</v>
      </c>
      <c r="J155" s="8" t="n">
        <f aca="false">G155+SUM(E154:E154)</f>
        <v>0.918</v>
      </c>
      <c r="K155" s="7" t="s">
        <v>93</v>
      </c>
      <c r="L155" s="9"/>
    </row>
    <row r="156" customFormat="false" ht="13.8" hidden="false" customHeight="false" outlineLevel="0" collapsed="false">
      <c r="A156" s="4" t="s">
        <v>94</v>
      </c>
      <c r="B156" s="5" t="s">
        <v>94</v>
      </c>
      <c r="C156" s="5" t="n">
        <v>34.5</v>
      </c>
      <c r="D156" s="5" t="n">
        <v>13.8</v>
      </c>
      <c r="E156" s="5" t="n">
        <v>0.5</v>
      </c>
      <c r="F156" s="5" t="s">
        <v>94</v>
      </c>
      <c r="G156" s="5" t="n">
        <v>0.065</v>
      </c>
      <c r="H156" s="5" t="n">
        <f aca="false">SUM(G156:G156)</f>
        <v>0.065</v>
      </c>
      <c r="I156" s="5" t="s">
        <v>13</v>
      </c>
      <c r="J156" s="5"/>
      <c r="K156" s="5" t="s">
        <v>95</v>
      </c>
      <c r="L156" s="6" t="s">
        <v>89</v>
      </c>
    </row>
    <row r="157" customFormat="false" ht="13.8" hidden="false" customHeight="false" outlineLevel="0" collapsed="false">
      <c r="A157" s="4"/>
      <c r="B157" s="7" t="s">
        <v>94</v>
      </c>
      <c r="C157" s="7"/>
      <c r="D157" s="7"/>
      <c r="E157" s="7"/>
      <c r="F157" s="7" t="s">
        <v>94</v>
      </c>
      <c r="G157" s="8" t="n">
        <f aca="false">H156</f>
        <v>0.065</v>
      </c>
      <c r="H157" s="7"/>
      <c r="I157" s="7" t="s">
        <v>13</v>
      </c>
      <c r="J157" s="8" t="n">
        <f aca="false">G157+SUM(E156:E156)</f>
        <v>0.565</v>
      </c>
      <c r="K157" s="7" t="s">
        <v>95</v>
      </c>
      <c r="L157" s="9"/>
    </row>
    <row r="158" customFormat="false" ht="13.8" hidden="false" customHeight="false" outlineLevel="0" collapsed="false">
      <c r="A158" s="4" t="s">
        <v>96</v>
      </c>
      <c r="B158" s="5" t="s">
        <v>96</v>
      </c>
      <c r="C158" s="5" t="n">
        <v>34.5</v>
      </c>
      <c r="D158" s="5" t="n">
        <v>13.8</v>
      </c>
      <c r="E158" s="5" t="n">
        <v>1.6</v>
      </c>
      <c r="F158" s="5" t="s">
        <v>96</v>
      </c>
      <c r="G158" s="5" t="n">
        <v>0.955</v>
      </c>
      <c r="H158" s="5" t="n">
        <f aca="false">SUM(G158:G158)</f>
        <v>0.955</v>
      </c>
      <c r="I158" s="5" t="s">
        <v>13</v>
      </c>
      <c r="J158" s="5"/>
      <c r="K158" s="5" t="s">
        <v>96</v>
      </c>
      <c r="L158" s="6" t="s">
        <v>89</v>
      </c>
    </row>
    <row r="159" customFormat="false" ht="13.8" hidden="false" customHeight="false" outlineLevel="0" collapsed="false">
      <c r="A159" s="4"/>
      <c r="B159" s="7" t="s">
        <v>96</v>
      </c>
      <c r="C159" s="7"/>
      <c r="D159" s="7"/>
      <c r="E159" s="7"/>
      <c r="F159" s="7" t="s">
        <v>96</v>
      </c>
      <c r="G159" s="8" t="n">
        <f aca="false">H158</f>
        <v>0.955</v>
      </c>
      <c r="H159" s="7"/>
      <c r="I159" s="7" t="s">
        <v>13</v>
      </c>
      <c r="J159" s="8" t="n">
        <f aca="false">G159+SUM(E158:E158)</f>
        <v>2.555</v>
      </c>
      <c r="K159" s="7" t="s">
        <v>96</v>
      </c>
      <c r="L159" s="9"/>
    </row>
    <row r="160" customFormat="false" ht="13.8" hidden="false" customHeight="false" outlineLevel="0" collapsed="false">
      <c r="A160" s="4" t="s">
        <v>97</v>
      </c>
      <c r="B160" s="5" t="s">
        <v>97</v>
      </c>
      <c r="C160" s="5" t="n">
        <v>34.5</v>
      </c>
      <c r="D160" s="5" t="n">
        <v>13.8</v>
      </c>
      <c r="E160" s="5" t="n">
        <v>2</v>
      </c>
      <c r="F160" s="5" t="s">
        <v>97</v>
      </c>
      <c r="G160" s="5" t="n">
        <v>0.812</v>
      </c>
      <c r="H160" s="5" t="n">
        <f aca="false">SUM(G160:G160)</f>
        <v>0.812</v>
      </c>
      <c r="I160" s="5" t="s">
        <v>13</v>
      </c>
      <c r="J160" s="5"/>
      <c r="K160" s="5" t="s">
        <v>97</v>
      </c>
      <c r="L160" s="6" t="s">
        <v>89</v>
      </c>
    </row>
    <row r="161" customFormat="false" ht="13.8" hidden="false" customHeight="false" outlineLevel="0" collapsed="false">
      <c r="A161" s="4"/>
      <c r="B161" s="7" t="s">
        <v>97</v>
      </c>
      <c r="C161" s="7"/>
      <c r="D161" s="7"/>
      <c r="E161" s="7"/>
      <c r="F161" s="7" t="s">
        <v>97</v>
      </c>
      <c r="G161" s="8" t="n">
        <f aca="false">H160</f>
        <v>0.812</v>
      </c>
      <c r="H161" s="7"/>
      <c r="I161" s="7" t="s">
        <v>13</v>
      </c>
      <c r="J161" s="8" t="n">
        <f aca="false">G161+SUM(E160:E160)</f>
        <v>2.812</v>
      </c>
      <c r="K161" s="7" t="s">
        <v>97</v>
      </c>
      <c r="L161" s="9"/>
    </row>
    <row r="162" customFormat="false" ht="13.8" hidden="false" customHeight="false" outlineLevel="0" collapsed="false">
      <c r="A162" s="4" t="s">
        <v>98</v>
      </c>
      <c r="B162" s="5" t="s">
        <v>98</v>
      </c>
      <c r="C162" s="5" t="n">
        <v>34.5</v>
      </c>
      <c r="D162" s="5" t="n">
        <v>13.8</v>
      </c>
      <c r="E162" s="5" t="n">
        <v>0.5</v>
      </c>
      <c r="F162" s="5" t="s">
        <v>98</v>
      </c>
      <c r="G162" s="5" t="n">
        <v>0.280777767837173</v>
      </c>
      <c r="H162" s="5" t="n">
        <f aca="false">SUM(G162:G162)</f>
        <v>0.280777767837173</v>
      </c>
      <c r="I162" s="5" t="s">
        <v>13</v>
      </c>
      <c r="J162" s="5"/>
      <c r="K162" s="5" t="s">
        <v>98</v>
      </c>
      <c r="L162" s="6" t="s">
        <v>89</v>
      </c>
    </row>
    <row r="163" customFormat="false" ht="13.8" hidden="false" customHeight="false" outlineLevel="0" collapsed="false">
      <c r="A163" s="4"/>
      <c r="B163" s="7" t="s">
        <v>98</v>
      </c>
      <c r="C163" s="7"/>
      <c r="D163" s="7"/>
      <c r="E163" s="7"/>
      <c r="F163" s="7" t="s">
        <v>98</v>
      </c>
      <c r="G163" s="8" t="n">
        <f aca="false">H162</f>
        <v>0.280777767837173</v>
      </c>
      <c r="H163" s="7"/>
      <c r="I163" s="7" t="s">
        <v>13</v>
      </c>
      <c r="J163" s="8" t="n">
        <f aca="false">G163+SUM(E162:E162)</f>
        <v>0.780777767837173</v>
      </c>
      <c r="K163" s="7" t="s">
        <v>98</v>
      </c>
      <c r="L163" s="9"/>
    </row>
    <row r="164" customFormat="false" ht="13.8" hidden="false" customHeight="false" outlineLevel="0" collapsed="false">
      <c r="A164" s="4" t="s">
        <v>99</v>
      </c>
      <c r="B164" s="5" t="s">
        <v>99</v>
      </c>
      <c r="C164" s="5" t="n">
        <v>34.5</v>
      </c>
      <c r="D164" s="5" t="n">
        <v>13.8</v>
      </c>
      <c r="E164" s="5" t="n">
        <v>1</v>
      </c>
      <c r="F164" s="5" t="s">
        <v>99</v>
      </c>
      <c r="G164" s="5" t="n">
        <v>0.414</v>
      </c>
      <c r="H164" s="5" t="n">
        <f aca="false">SUM(G164:G164)</f>
        <v>0.414</v>
      </c>
      <c r="I164" s="5" t="s">
        <v>13</v>
      </c>
      <c r="J164" s="5"/>
      <c r="K164" s="5" t="s">
        <v>99</v>
      </c>
      <c r="L164" s="6" t="s">
        <v>100</v>
      </c>
    </row>
    <row r="165" customFormat="false" ht="13.8" hidden="false" customHeight="false" outlineLevel="0" collapsed="false">
      <c r="A165" s="4"/>
      <c r="B165" s="7" t="s">
        <v>99</v>
      </c>
      <c r="C165" s="7"/>
      <c r="D165" s="7"/>
      <c r="E165" s="7"/>
      <c r="F165" s="7" t="s">
        <v>99</v>
      </c>
      <c r="G165" s="8" t="n">
        <f aca="false">H164</f>
        <v>0.414</v>
      </c>
      <c r="H165" s="7"/>
      <c r="I165" s="7" t="s">
        <v>13</v>
      </c>
      <c r="J165" s="8" t="n">
        <f aca="false">G165+SUM(E164:E164)</f>
        <v>1.414</v>
      </c>
      <c r="K165" s="7" t="s">
        <v>99</v>
      </c>
      <c r="L165" s="9"/>
    </row>
    <row r="166" customFormat="false" ht="13.8" hidden="false" customHeight="false" outlineLevel="0" collapsed="false">
      <c r="A166" s="4" t="s">
        <v>101</v>
      </c>
      <c r="B166" s="5" t="s">
        <v>101</v>
      </c>
      <c r="C166" s="5" t="n">
        <v>34.5</v>
      </c>
      <c r="D166" s="5" t="n">
        <v>13.8</v>
      </c>
      <c r="E166" s="5" t="n">
        <v>6.25</v>
      </c>
      <c r="F166" s="5" t="s">
        <v>101</v>
      </c>
      <c r="G166" s="5" t="n">
        <v>3.2483999729156</v>
      </c>
      <c r="H166" s="5" t="n">
        <f aca="false">SUM(G166:G166)</f>
        <v>3.2483999729156</v>
      </c>
      <c r="I166" s="5" t="s">
        <v>13</v>
      </c>
      <c r="J166" s="5"/>
      <c r="K166" s="5" t="s">
        <v>101</v>
      </c>
      <c r="L166" s="6" t="s">
        <v>100</v>
      </c>
    </row>
    <row r="167" customFormat="false" ht="13.8" hidden="false" customHeight="false" outlineLevel="0" collapsed="false">
      <c r="A167" s="4"/>
      <c r="B167" s="7" t="s">
        <v>101</v>
      </c>
      <c r="C167" s="7"/>
      <c r="D167" s="7"/>
      <c r="E167" s="7"/>
      <c r="F167" s="7" t="s">
        <v>101</v>
      </c>
      <c r="G167" s="8" t="n">
        <f aca="false">H166</f>
        <v>3.2483999729156</v>
      </c>
      <c r="H167" s="7"/>
      <c r="I167" s="7" t="s">
        <v>13</v>
      </c>
      <c r="J167" s="8" t="n">
        <f aca="false">G167+SUM(E166:E166)</f>
        <v>9.4983999729156</v>
      </c>
      <c r="K167" s="7" t="s">
        <v>101</v>
      </c>
      <c r="L167" s="9"/>
    </row>
    <row r="168" customFormat="false" ht="13.8" hidden="false" customHeight="false" outlineLevel="0" collapsed="false">
      <c r="A168" s="4" t="s">
        <v>102</v>
      </c>
      <c r="B168" s="5" t="s">
        <v>102</v>
      </c>
      <c r="C168" s="5" t="n">
        <v>34.5</v>
      </c>
      <c r="D168" s="5" t="n">
        <v>13.8</v>
      </c>
      <c r="E168" s="5" t="n">
        <v>1</v>
      </c>
      <c r="F168" s="5" t="s">
        <v>102</v>
      </c>
      <c r="G168" s="5" t="n">
        <v>0.271854247252748</v>
      </c>
      <c r="H168" s="5" t="n">
        <f aca="false">SUM(G168:G168)</f>
        <v>0.271854247252748</v>
      </c>
      <c r="I168" s="5" t="s">
        <v>13</v>
      </c>
      <c r="J168" s="5"/>
      <c r="K168" s="5" t="s">
        <v>102</v>
      </c>
      <c r="L168" s="6" t="s">
        <v>100</v>
      </c>
    </row>
    <row r="169" customFormat="false" ht="13.8" hidden="false" customHeight="false" outlineLevel="0" collapsed="false">
      <c r="A169" s="4"/>
      <c r="B169" s="7" t="s">
        <v>102</v>
      </c>
      <c r="C169" s="7"/>
      <c r="D169" s="7"/>
      <c r="E169" s="7"/>
      <c r="F169" s="7" t="s">
        <v>102</v>
      </c>
      <c r="G169" s="8" t="n">
        <f aca="false">H168</f>
        <v>0.271854247252748</v>
      </c>
      <c r="H169" s="7"/>
      <c r="I169" s="7" t="s">
        <v>13</v>
      </c>
      <c r="J169" s="8" t="n">
        <f aca="false">G169+SUM(E168:E168)</f>
        <v>1.27185424725275</v>
      </c>
      <c r="K169" s="7" t="s">
        <v>102</v>
      </c>
      <c r="L169" s="9"/>
    </row>
    <row r="170" customFormat="false" ht="13.8" hidden="false" customHeight="false" outlineLevel="0" collapsed="false">
      <c r="A170" s="4" t="s">
        <v>103</v>
      </c>
      <c r="B170" s="5" t="s">
        <v>103</v>
      </c>
      <c r="C170" s="5" t="n">
        <v>34.5</v>
      </c>
      <c r="D170" s="5" t="n">
        <v>13.8</v>
      </c>
      <c r="E170" s="5" t="n">
        <v>1.5</v>
      </c>
      <c r="F170" s="5" t="s">
        <v>103</v>
      </c>
      <c r="G170" s="5" t="n">
        <v>0.74</v>
      </c>
      <c r="H170" s="5" t="n">
        <f aca="false">SUM(G170:G170)</f>
        <v>0.74</v>
      </c>
      <c r="I170" s="5" t="s">
        <v>13</v>
      </c>
      <c r="J170" s="5"/>
      <c r="K170" s="5" t="s">
        <v>103</v>
      </c>
      <c r="L170" s="6" t="s">
        <v>100</v>
      </c>
    </row>
    <row r="171" customFormat="false" ht="13.8" hidden="false" customHeight="false" outlineLevel="0" collapsed="false">
      <c r="A171" s="4"/>
      <c r="B171" s="7" t="s">
        <v>103</v>
      </c>
      <c r="C171" s="7"/>
      <c r="D171" s="7"/>
      <c r="E171" s="7"/>
      <c r="F171" s="7" t="s">
        <v>103</v>
      </c>
      <c r="G171" s="8" t="n">
        <f aca="false">H170</f>
        <v>0.74</v>
      </c>
      <c r="H171" s="7"/>
      <c r="I171" s="7" t="s">
        <v>13</v>
      </c>
      <c r="J171" s="8" t="n">
        <f aca="false">G171+SUM(E170:E170)</f>
        <v>2.24</v>
      </c>
      <c r="K171" s="7" t="s">
        <v>103</v>
      </c>
      <c r="L171" s="9"/>
    </row>
    <row r="172" customFormat="false" ht="13.8" hidden="false" customHeight="false" outlineLevel="0" collapsed="false">
      <c r="A172" s="4" t="s">
        <v>104</v>
      </c>
      <c r="B172" s="5" t="s">
        <v>104</v>
      </c>
      <c r="C172" s="5" t="n">
        <v>34.5</v>
      </c>
      <c r="D172" s="5" t="n">
        <v>13.8</v>
      </c>
      <c r="E172" s="5" t="n">
        <v>1.5</v>
      </c>
      <c r="F172" s="5" t="s">
        <v>104</v>
      </c>
      <c r="G172" s="5" t="n">
        <v>0.231</v>
      </c>
      <c r="H172" s="5" t="n">
        <f aca="false">SUM(G172:G172)</f>
        <v>0.231</v>
      </c>
      <c r="I172" s="5" t="s">
        <v>13</v>
      </c>
      <c r="J172" s="5"/>
      <c r="K172" s="5" t="s">
        <v>104</v>
      </c>
      <c r="L172" s="6" t="s">
        <v>100</v>
      </c>
    </row>
    <row r="173" customFormat="false" ht="13.8" hidden="false" customHeight="false" outlineLevel="0" collapsed="false">
      <c r="A173" s="4"/>
      <c r="B173" s="7" t="s">
        <v>104</v>
      </c>
      <c r="C173" s="7"/>
      <c r="D173" s="7"/>
      <c r="E173" s="7"/>
      <c r="F173" s="7" t="s">
        <v>104</v>
      </c>
      <c r="G173" s="8" t="n">
        <f aca="false">H172</f>
        <v>0.231</v>
      </c>
      <c r="H173" s="7"/>
      <c r="I173" s="7" t="s">
        <v>13</v>
      </c>
      <c r="J173" s="8" t="n">
        <f aca="false">G173+SUM(E172:E172)</f>
        <v>1.731</v>
      </c>
      <c r="K173" s="7" t="s">
        <v>104</v>
      </c>
      <c r="L173" s="9" t="s">
        <v>105</v>
      </c>
    </row>
    <row r="174" customFormat="false" ht="13.8" hidden="false" customHeight="false" outlineLevel="0" collapsed="false">
      <c r="A174" s="4" t="s">
        <v>106</v>
      </c>
      <c r="B174" s="5" t="s">
        <v>106</v>
      </c>
      <c r="C174" s="5" t="n">
        <v>34.5</v>
      </c>
      <c r="D174" s="5" t="n">
        <v>13.8</v>
      </c>
      <c r="E174" s="5" t="n">
        <v>0.5</v>
      </c>
      <c r="F174" s="5" t="s">
        <v>106</v>
      </c>
      <c r="G174" s="5" t="n">
        <v>0.229451309589041</v>
      </c>
      <c r="H174" s="5" t="n">
        <f aca="false">SUM(G174:G174)</f>
        <v>0.229451309589041</v>
      </c>
      <c r="I174" s="5" t="s">
        <v>13</v>
      </c>
      <c r="J174" s="5"/>
      <c r="K174" s="5" t="s">
        <v>106</v>
      </c>
      <c r="L174" s="6" t="s">
        <v>107</v>
      </c>
    </row>
    <row r="175" customFormat="false" ht="13.8" hidden="false" customHeight="false" outlineLevel="0" collapsed="false">
      <c r="A175" s="4"/>
      <c r="B175" s="7" t="s">
        <v>106</v>
      </c>
      <c r="C175" s="7"/>
      <c r="D175" s="7"/>
      <c r="E175" s="7"/>
      <c r="F175" s="7" t="s">
        <v>106</v>
      </c>
      <c r="G175" s="8" t="n">
        <f aca="false">H174</f>
        <v>0.229451309589041</v>
      </c>
      <c r="H175" s="7"/>
      <c r="I175" s="7" t="s">
        <v>13</v>
      </c>
      <c r="J175" s="8" t="n">
        <f aca="false">G175+SUM(E174:E174)</f>
        <v>0.729451309589041</v>
      </c>
      <c r="K175" s="7" t="s">
        <v>106</v>
      </c>
      <c r="L175" s="9"/>
    </row>
    <row r="176" customFormat="false" ht="13.8" hidden="false" customHeight="false" outlineLevel="0" collapsed="false">
      <c r="A176" s="4" t="s">
        <v>108</v>
      </c>
      <c r="B176" s="5" t="s">
        <v>108</v>
      </c>
      <c r="C176" s="5" t="n">
        <v>34.5</v>
      </c>
      <c r="D176" s="5" t="n">
        <v>13.8</v>
      </c>
      <c r="E176" s="5" t="n">
        <v>1.6</v>
      </c>
      <c r="F176" s="5" t="s">
        <v>108</v>
      </c>
      <c r="G176" s="5" t="n">
        <v>0.144580635616438</v>
      </c>
      <c r="H176" s="5" t="n">
        <f aca="false">SUM(G176:G176)</f>
        <v>0.144580635616438</v>
      </c>
      <c r="I176" s="5" t="s">
        <v>13</v>
      </c>
      <c r="J176" s="5"/>
      <c r="K176" s="5" t="s">
        <v>108</v>
      </c>
      <c r="L176" s="6" t="s">
        <v>107</v>
      </c>
    </row>
    <row r="177" customFormat="false" ht="13.8" hidden="false" customHeight="false" outlineLevel="0" collapsed="false">
      <c r="A177" s="4"/>
      <c r="B177" s="7" t="s">
        <v>108</v>
      </c>
      <c r="C177" s="7"/>
      <c r="D177" s="7"/>
      <c r="E177" s="7"/>
      <c r="F177" s="7" t="s">
        <v>108</v>
      </c>
      <c r="G177" s="8" t="n">
        <f aca="false">H176</f>
        <v>0.144580635616438</v>
      </c>
      <c r="H177" s="7"/>
      <c r="I177" s="7" t="s">
        <v>13</v>
      </c>
      <c r="J177" s="8" t="n">
        <f aca="false">G177+SUM(E176:E176)</f>
        <v>1.74458063561644</v>
      </c>
      <c r="K177" s="7" t="s">
        <v>108</v>
      </c>
      <c r="L177" s="9"/>
    </row>
    <row r="178" customFormat="false" ht="13.8" hidden="false" customHeight="false" outlineLevel="0" collapsed="false">
      <c r="A178" s="4" t="s">
        <v>109</v>
      </c>
      <c r="B178" s="5" t="s">
        <v>109</v>
      </c>
      <c r="C178" s="5" t="n">
        <v>34.5</v>
      </c>
      <c r="D178" s="5" t="n">
        <v>13.8</v>
      </c>
      <c r="E178" s="5" t="n">
        <v>1.6</v>
      </c>
      <c r="F178" s="5" t="s">
        <v>109</v>
      </c>
      <c r="G178" s="5" t="n">
        <v>0.485573375342466</v>
      </c>
      <c r="H178" s="5" t="n">
        <f aca="false">SUM(G178:G178)</f>
        <v>0.485573375342466</v>
      </c>
      <c r="I178" s="5" t="s">
        <v>13</v>
      </c>
      <c r="J178" s="5"/>
      <c r="K178" s="5" t="s">
        <v>109</v>
      </c>
      <c r="L178" s="6" t="s">
        <v>107</v>
      </c>
    </row>
    <row r="179" customFormat="false" ht="13.8" hidden="false" customHeight="false" outlineLevel="0" collapsed="false">
      <c r="A179" s="4"/>
      <c r="B179" s="7" t="s">
        <v>109</v>
      </c>
      <c r="C179" s="7"/>
      <c r="D179" s="7"/>
      <c r="E179" s="7"/>
      <c r="F179" s="7" t="s">
        <v>109</v>
      </c>
      <c r="G179" s="8" t="n">
        <f aca="false">H178</f>
        <v>0.485573375342466</v>
      </c>
      <c r="H179" s="7"/>
      <c r="I179" s="7" t="s">
        <v>13</v>
      </c>
      <c r="J179" s="8" t="n">
        <f aca="false">G179+SUM(E178:E178)</f>
        <v>2.08557337534247</v>
      </c>
      <c r="K179" s="7" t="s">
        <v>109</v>
      </c>
      <c r="L179" s="9"/>
    </row>
    <row r="180" customFormat="false" ht="13.8" hidden="false" customHeight="false" outlineLevel="0" collapsed="false">
      <c r="A180" s="4" t="s">
        <v>110</v>
      </c>
      <c r="B180" s="5" t="s">
        <v>110</v>
      </c>
      <c r="C180" s="5" t="n">
        <v>34.5</v>
      </c>
      <c r="D180" s="5" t="n">
        <v>13.8</v>
      </c>
      <c r="E180" s="5" t="n">
        <v>3</v>
      </c>
      <c r="F180" s="5" t="s">
        <v>110</v>
      </c>
      <c r="G180" s="5" t="n">
        <v>0.5003513078027</v>
      </c>
      <c r="H180" s="5" t="n">
        <f aca="false">SUM(G180:G180)</f>
        <v>0.5003513078027</v>
      </c>
      <c r="I180" s="5" t="s">
        <v>13</v>
      </c>
      <c r="J180" s="5"/>
      <c r="K180" s="5" t="s">
        <v>110</v>
      </c>
      <c r="L180" s="6" t="s">
        <v>107</v>
      </c>
    </row>
    <row r="181" customFormat="false" ht="13.8" hidden="false" customHeight="false" outlineLevel="0" collapsed="false">
      <c r="A181" s="4"/>
      <c r="B181" s="7" t="s">
        <v>110</v>
      </c>
      <c r="C181" s="7"/>
      <c r="D181" s="7"/>
      <c r="E181" s="7"/>
      <c r="F181" s="7" t="s">
        <v>110</v>
      </c>
      <c r="G181" s="8" t="n">
        <f aca="false">H180</f>
        <v>0.5003513078027</v>
      </c>
      <c r="H181" s="7"/>
      <c r="I181" s="7" t="s">
        <v>13</v>
      </c>
      <c r="J181" s="8" t="n">
        <f aca="false">G181+SUM(E180:E180)</f>
        <v>3.5003513078027</v>
      </c>
      <c r="K181" s="7" t="s">
        <v>110</v>
      </c>
      <c r="L181" s="9"/>
    </row>
    <row r="182" customFormat="false" ht="13.8" hidden="false" customHeight="false" outlineLevel="0" collapsed="false">
      <c r="A182" s="4" t="s">
        <v>111</v>
      </c>
      <c r="B182" s="5" t="s">
        <v>111</v>
      </c>
      <c r="C182" s="5" t="n">
        <v>34.5</v>
      </c>
      <c r="D182" s="5" t="n">
        <v>13.8</v>
      </c>
      <c r="E182" s="5" t="n">
        <v>2</v>
      </c>
      <c r="F182" s="5" t="s">
        <v>111</v>
      </c>
      <c r="G182" s="5" t="n">
        <v>0.184088515068493</v>
      </c>
      <c r="H182" s="5" t="n">
        <f aca="false">SUM(G182:G182)</f>
        <v>0.184088515068493</v>
      </c>
      <c r="I182" s="5" t="s">
        <v>13</v>
      </c>
      <c r="J182" s="5"/>
      <c r="K182" s="5" t="s">
        <v>111</v>
      </c>
      <c r="L182" s="6" t="s">
        <v>107</v>
      </c>
    </row>
    <row r="183" customFormat="false" ht="13.8" hidden="false" customHeight="false" outlineLevel="0" collapsed="false">
      <c r="A183" s="4"/>
      <c r="B183" s="7" t="s">
        <v>111</v>
      </c>
      <c r="C183" s="7"/>
      <c r="D183" s="7"/>
      <c r="E183" s="7"/>
      <c r="F183" s="7" t="s">
        <v>111</v>
      </c>
      <c r="G183" s="8" t="n">
        <f aca="false">H182</f>
        <v>0.184088515068493</v>
      </c>
      <c r="H183" s="7"/>
      <c r="I183" s="7" t="s">
        <v>13</v>
      </c>
      <c r="J183" s="8" t="n">
        <f aca="false">G183+SUM(E182:E182)</f>
        <v>2.18408851506849</v>
      </c>
      <c r="K183" s="7" t="s">
        <v>111</v>
      </c>
      <c r="L183" s="9"/>
    </row>
    <row r="184" customFormat="false" ht="13.8" hidden="false" customHeight="false" outlineLevel="0" collapsed="false">
      <c r="A184" s="4" t="s">
        <v>112</v>
      </c>
      <c r="B184" s="5" t="s">
        <v>112</v>
      </c>
      <c r="C184" s="5" t="n">
        <v>34.5</v>
      </c>
      <c r="D184" s="5" t="n">
        <v>13.8</v>
      </c>
      <c r="E184" s="5" t="n">
        <v>1</v>
      </c>
      <c r="F184" s="5" t="s">
        <v>112</v>
      </c>
      <c r="G184" s="5" t="n">
        <v>0.306082997260274</v>
      </c>
      <c r="H184" s="5" t="n">
        <v>0.59391</v>
      </c>
      <c r="I184" s="5" t="s">
        <v>13</v>
      </c>
      <c r="J184" s="5"/>
      <c r="K184" s="5" t="s">
        <v>112</v>
      </c>
      <c r="L184" s="6" t="s">
        <v>107</v>
      </c>
    </row>
    <row r="185" customFormat="false" ht="13.8" hidden="false" customHeight="false" outlineLevel="0" collapsed="false">
      <c r="A185" s="4"/>
      <c r="B185" s="7" t="s">
        <v>112</v>
      </c>
      <c r="C185" s="7"/>
      <c r="D185" s="7"/>
      <c r="E185" s="7"/>
      <c r="F185" s="7" t="s">
        <v>112</v>
      </c>
      <c r="G185" s="8" t="n">
        <v>0.59391</v>
      </c>
      <c r="H185" s="7"/>
      <c r="I185" s="7" t="s">
        <v>13</v>
      </c>
      <c r="J185" s="8" t="n">
        <v>1.59391</v>
      </c>
      <c r="K185" s="7" t="s">
        <v>112</v>
      </c>
      <c r="L185" s="9"/>
    </row>
    <row r="186" customFormat="false" ht="13.8" hidden="false" customHeight="false" outlineLevel="0" collapsed="false">
      <c r="A186" s="4" t="s">
        <v>113</v>
      </c>
      <c r="B186" s="5" t="s">
        <v>113</v>
      </c>
      <c r="C186" s="5" t="n">
        <v>34.5</v>
      </c>
      <c r="D186" s="5" t="n">
        <v>13.8</v>
      </c>
      <c r="E186" s="5" t="n">
        <v>15</v>
      </c>
      <c r="F186" s="5" t="s">
        <v>113</v>
      </c>
      <c r="G186" s="5" t="n">
        <v>1.38</v>
      </c>
      <c r="H186" s="5" t="n">
        <f aca="false">SUM(G186:G186)</f>
        <v>1.38</v>
      </c>
      <c r="I186" s="5" t="s">
        <v>13</v>
      </c>
      <c r="J186" s="5"/>
      <c r="K186" s="5" t="s">
        <v>65</v>
      </c>
      <c r="L186" s="6"/>
    </row>
    <row r="187" customFormat="false" ht="13.8" hidden="false" customHeight="false" outlineLevel="0" collapsed="false">
      <c r="A187" s="4"/>
      <c r="B187" s="7" t="s">
        <v>113</v>
      </c>
      <c r="C187" s="7"/>
      <c r="D187" s="7"/>
      <c r="E187" s="7"/>
      <c r="F187" s="7" t="s">
        <v>113</v>
      </c>
      <c r="G187" s="8" t="n">
        <f aca="false">H186</f>
        <v>1.38</v>
      </c>
      <c r="H187" s="7"/>
      <c r="I187" s="7" t="s">
        <v>13</v>
      </c>
      <c r="J187" s="8" t="n">
        <f aca="false">G187+SUM(E186:E186)</f>
        <v>16.38</v>
      </c>
      <c r="K187" s="7" t="s">
        <v>65</v>
      </c>
      <c r="L187" s="9"/>
    </row>
    <row r="188" customFormat="false" ht="13.8" hidden="false" customHeight="false" outlineLevel="0" collapsed="false">
      <c r="A188" s="4" t="s">
        <v>114</v>
      </c>
      <c r="B188" s="5" t="s">
        <v>114</v>
      </c>
      <c r="C188" s="5" t="n">
        <v>34.5</v>
      </c>
      <c r="D188" s="5" t="n">
        <v>13.8</v>
      </c>
      <c r="E188" s="5" t="n">
        <v>15</v>
      </c>
      <c r="F188" s="5" t="s">
        <v>114</v>
      </c>
      <c r="G188" s="5" t="n">
        <v>1.272</v>
      </c>
      <c r="H188" s="5" t="n">
        <f aca="false">SUM(G188:G188)</f>
        <v>1.272</v>
      </c>
      <c r="I188" s="5" t="s">
        <v>13</v>
      </c>
      <c r="J188" s="5"/>
      <c r="K188" s="5" t="s">
        <v>65</v>
      </c>
      <c r="L188" s="6"/>
    </row>
    <row r="189" customFormat="false" ht="13.8" hidden="false" customHeight="false" outlineLevel="0" collapsed="false">
      <c r="A189" s="4"/>
      <c r="B189" s="7" t="s">
        <v>114</v>
      </c>
      <c r="C189" s="7"/>
      <c r="D189" s="7"/>
      <c r="E189" s="7"/>
      <c r="F189" s="7" t="s">
        <v>114</v>
      </c>
      <c r="G189" s="8" t="n">
        <f aca="false">H188</f>
        <v>1.272</v>
      </c>
      <c r="H189" s="7"/>
      <c r="I189" s="7" t="s">
        <v>13</v>
      </c>
      <c r="J189" s="8" t="n">
        <f aca="false">G189+SUM(E188:E188)</f>
        <v>16.272</v>
      </c>
      <c r="K189" s="7" t="s">
        <v>65</v>
      </c>
      <c r="L189" s="9"/>
    </row>
    <row r="190" customFormat="false" ht="13.8" hidden="false" customHeight="false" outlineLevel="0" collapsed="false">
      <c r="A190" s="4" t="s">
        <v>115</v>
      </c>
      <c r="B190" s="5" t="s">
        <v>115</v>
      </c>
      <c r="C190" s="5" t="n">
        <v>34.5</v>
      </c>
      <c r="D190" s="5" t="n">
        <v>13.8</v>
      </c>
      <c r="E190" s="5" t="n">
        <v>0.5</v>
      </c>
      <c r="F190" s="5" t="s">
        <v>115</v>
      </c>
      <c r="G190" s="5" t="n">
        <v>0.00474506301369862</v>
      </c>
      <c r="H190" s="5" t="n">
        <f aca="false">SUM(G190:G190)</f>
        <v>0.00474506301369862</v>
      </c>
      <c r="I190" s="5" t="s">
        <v>13</v>
      </c>
      <c r="J190" s="5"/>
      <c r="K190" s="5" t="s">
        <v>65</v>
      </c>
      <c r="L190" s="6"/>
    </row>
    <row r="191" customFormat="false" ht="13.8" hidden="false" customHeight="false" outlineLevel="0" collapsed="false">
      <c r="A191" s="4"/>
      <c r="B191" s="7" t="s">
        <v>115</v>
      </c>
      <c r="C191" s="7"/>
      <c r="D191" s="7"/>
      <c r="E191" s="7"/>
      <c r="F191" s="7" t="s">
        <v>115</v>
      </c>
      <c r="G191" s="8" t="n">
        <f aca="false">H190</f>
        <v>0.00474506301369862</v>
      </c>
      <c r="H191" s="7"/>
      <c r="I191" s="7" t="s">
        <v>13</v>
      </c>
      <c r="J191" s="8" t="n">
        <f aca="false">G191+SUM(E190:E190)</f>
        <v>0.504745063013699</v>
      </c>
      <c r="K191" s="7" t="s">
        <v>65</v>
      </c>
      <c r="L191" s="9"/>
    </row>
    <row r="192" customFormat="false" ht="13.8" hidden="false" customHeight="false" outlineLevel="0" collapsed="false">
      <c r="A192" s="4" t="s">
        <v>116</v>
      </c>
      <c r="B192" s="5" t="s">
        <v>116</v>
      </c>
      <c r="C192" s="5" t="n">
        <v>34.5</v>
      </c>
      <c r="D192" s="5" t="n">
        <v>13.8</v>
      </c>
      <c r="E192" s="5" t="n">
        <v>3</v>
      </c>
      <c r="F192" s="5" t="s">
        <v>69</v>
      </c>
      <c r="G192" s="5" t="n">
        <f aca="false">G116</f>
        <v>0</v>
      </c>
      <c r="H192" s="5"/>
      <c r="I192" s="5" t="s">
        <v>13</v>
      </c>
      <c r="J192" s="5"/>
      <c r="K192" s="5" t="s">
        <v>117</v>
      </c>
      <c r="L192" s="6"/>
    </row>
    <row r="193" customFormat="false" ht="13.8" hidden="false" customHeight="false" outlineLevel="0" collapsed="false">
      <c r="A193" s="4"/>
      <c r="B193" s="0" t="s">
        <v>116</v>
      </c>
      <c r="C193" s="0" t="n">
        <v>34.5</v>
      </c>
      <c r="D193" s="0" t="n">
        <v>13.8</v>
      </c>
      <c r="E193" s="0" t="n">
        <v>15</v>
      </c>
      <c r="F193" s="0" t="s">
        <v>64</v>
      </c>
      <c r="G193" s="0" t="n">
        <f aca="false">G111</f>
        <v>4.58</v>
      </c>
      <c r="I193" s="0" t="s">
        <v>13</v>
      </c>
      <c r="K193" s="0" t="s">
        <v>117</v>
      </c>
      <c r="L193" s="10"/>
    </row>
    <row r="194" customFormat="false" ht="13.8" hidden="false" customHeight="false" outlineLevel="0" collapsed="false">
      <c r="A194" s="4"/>
      <c r="B194" s="0" t="s">
        <v>116</v>
      </c>
      <c r="C194" s="0" t="n">
        <v>34.5</v>
      </c>
      <c r="D194" s="0" t="n">
        <v>13.8</v>
      </c>
      <c r="E194" s="0" t="n">
        <v>15</v>
      </c>
      <c r="F194" s="0" t="s">
        <v>113</v>
      </c>
      <c r="G194" s="0" t="n">
        <f aca="false">H186</f>
        <v>1.38</v>
      </c>
      <c r="I194" s="0" t="s">
        <v>13</v>
      </c>
      <c r="K194" s="0" t="s">
        <v>117</v>
      </c>
      <c r="L194" s="10"/>
    </row>
    <row r="195" customFormat="false" ht="13.8" hidden="false" customHeight="false" outlineLevel="0" collapsed="false">
      <c r="A195" s="4"/>
      <c r="B195" s="0" t="s">
        <v>116</v>
      </c>
      <c r="C195" s="0" t="n">
        <v>34.5</v>
      </c>
      <c r="D195" s="0" t="n">
        <v>13.8</v>
      </c>
      <c r="E195" s="0" t="n">
        <v>15</v>
      </c>
      <c r="F195" s="0" t="s">
        <v>114</v>
      </c>
      <c r="G195" s="0" t="n">
        <f aca="false">H188</f>
        <v>1.272</v>
      </c>
      <c r="I195" s="0" t="s">
        <v>13</v>
      </c>
      <c r="K195" s="0" t="s">
        <v>117</v>
      </c>
      <c r="L195" s="10"/>
    </row>
    <row r="196" customFormat="false" ht="13.8" hidden="false" customHeight="false" outlineLevel="0" collapsed="false">
      <c r="A196" s="4"/>
      <c r="B196" s="0" t="s">
        <v>116</v>
      </c>
      <c r="C196" s="0" t="n">
        <v>34.5</v>
      </c>
      <c r="D196" s="0" t="n">
        <v>13.8</v>
      </c>
      <c r="E196" s="0" t="n">
        <v>0.5</v>
      </c>
      <c r="F196" s="0" t="s">
        <v>115</v>
      </c>
      <c r="G196" s="0" t="n">
        <f aca="false">H190</f>
        <v>0.00474506301369862</v>
      </c>
      <c r="I196" s="0" t="s">
        <v>13</v>
      </c>
      <c r="K196" s="0" t="s">
        <v>117</v>
      </c>
      <c r="L196" s="10"/>
    </row>
    <row r="197" customFormat="false" ht="13.8" hidden="false" customHeight="false" outlineLevel="0" collapsed="false">
      <c r="A197" s="4"/>
      <c r="B197" s="0" t="s">
        <v>116</v>
      </c>
      <c r="F197" s="0" t="s">
        <v>118</v>
      </c>
      <c r="G197" s="0" t="n">
        <v>0</v>
      </c>
      <c r="I197" s="0" t="s">
        <v>13</v>
      </c>
      <c r="K197" s="0" t="s">
        <v>117</v>
      </c>
      <c r="L197" s="10" t="s">
        <v>43</v>
      </c>
    </row>
    <row r="198" customFormat="false" ht="13.8" hidden="false" customHeight="false" outlineLevel="0" collapsed="false">
      <c r="A198" s="4"/>
      <c r="B198" s="0" t="s">
        <v>116</v>
      </c>
      <c r="F198" s="0" t="s">
        <v>119</v>
      </c>
      <c r="G198" s="0" t="n">
        <v>0.002</v>
      </c>
      <c r="I198" s="0" t="s">
        <v>13</v>
      </c>
      <c r="K198" s="0" t="s">
        <v>117</v>
      </c>
      <c r="L198" s="10" t="s">
        <v>43</v>
      </c>
    </row>
    <row r="199" customFormat="false" ht="13.8" hidden="false" customHeight="false" outlineLevel="0" collapsed="false">
      <c r="A199" s="4"/>
      <c r="B199" s="0" t="s">
        <v>116</v>
      </c>
      <c r="F199" s="0" t="s">
        <v>120</v>
      </c>
      <c r="G199" s="0" t="n">
        <v>0.0260097222222222</v>
      </c>
      <c r="I199" s="0" t="s">
        <v>13</v>
      </c>
      <c r="K199" s="0" t="s">
        <v>117</v>
      </c>
      <c r="L199" s="10" t="s">
        <v>43</v>
      </c>
    </row>
    <row r="200" customFormat="false" ht="13.8" hidden="false" customHeight="false" outlineLevel="0" collapsed="false">
      <c r="A200" s="4"/>
      <c r="B200" s="0" t="s">
        <v>116</v>
      </c>
      <c r="F200" s="0" t="s">
        <v>121</v>
      </c>
      <c r="G200" s="0" t="n">
        <v>0.0119916666666667</v>
      </c>
      <c r="I200" s="0" t="s">
        <v>13</v>
      </c>
      <c r="K200" s="0" t="s">
        <v>117</v>
      </c>
      <c r="L200" s="10" t="s">
        <v>43</v>
      </c>
    </row>
    <row r="201" customFormat="false" ht="13.8" hidden="false" customHeight="false" outlineLevel="0" collapsed="false">
      <c r="A201" s="4"/>
      <c r="B201" s="0" t="s">
        <v>116</v>
      </c>
      <c r="F201" s="0" t="s">
        <v>122</v>
      </c>
      <c r="G201" s="0" t="n">
        <v>0.0151166666666667</v>
      </c>
      <c r="I201" s="0" t="s">
        <v>13</v>
      </c>
      <c r="K201" s="0" t="s">
        <v>117</v>
      </c>
      <c r="L201" s="10" t="s">
        <v>43</v>
      </c>
    </row>
    <row r="202" customFormat="false" ht="13.8" hidden="false" customHeight="false" outlineLevel="0" collapsed="false">
      <c r="A202" s="4"/>
      <c r="B202" s="0" t="s">
        <v>116</v>
      </c>
      <c r="F202" s="0" t="s">
        <v>123</v>
      </c>
      <c r="G202" s="0" t="n">
        <v>0.11255</v>
      </c>
      <c r="I202" s="0" t="s">
        <v>13</v>
      </c>
      <c r="K202" s="0" t="s">
        <v>117</v>
      </c>
      <c r="L202" s="10" t="s">
        <v>43</v>
      </c>
    </row>
    <row r="203" customFormat="false" ht="13.8" hidden="false" customHeight="false" outlineLevel="0" collapsed="false">
      <c r="A203" s="4"/>
      <c r="B203" s="0" t="s">
        <v>116</v>
      </c>
      <c r="F203" s="0" t="s">
        <v>124</v>
      </c>
      <c r="G203" s="0" t="n">
        <v>0.712968055555556</v>
      </c>
      <c r="I203" s="0" t="s">
        <v>13</v>
      </c>
      <c r="K203" s="0" t="s">
        <v>117</v>
      </c>
      <c r="L203" s="10" t="s">
        <v>43</v>
      </c>
    </row>
    <row r="204" customFormat="false" ht="13.8" hidden="false" customHeight="false" outlineLevel="0" collapsed="false">
      <c r="A204" s="4"/>
      <c r="B204" s="0" t="s">
        <v>116</v>
      </c>
      <c r="F204" s="0" t="s">
        <v>125</v>
      </c>
      <c r="G204" s="0" t="n">
        <v>0.001</v>
      </c>
      <c r="I204" s="0" t="s">
        <v>13</v>
      </c>
      <c r="K204" s="0" t="s">
        <v>117</v>
      </c>
      <c r="L204" s="10" t="s">
        <v>43</v>
      </c>
    </row>
    <row r="205" customFormat="false" ht="13.8" hidden="false" customHeight="false" outlineLevel="0" collapsed="false">
      <c r="A205" s="4"/>
      <c r="B205" s="0" t="s">
        <v>116</v>
      </c>
      <c r="F205" s="0" t="s">
        <v>126</v>
      </c>
      <c r="G205" s="0" t="n">
        <v>0.001</v>
      </c>
      <c r="I205" s="0" t="s">
        <v>13</v>
      </c>
      <c r="K205" s="0" t="s">
        <v>117</v>
      </c>
      <c r="L205" s="10" t="s">
        <v>43</v>
      </c>
    </row>
    <row r="206" customFormat="false" ht="13.8" hidden="false" customHeight="false" outlineLevel="0" collapsed="false">
      <c r="A206" s="4"/>
      <c r="B206" s="0" t="s">
        <v>116</v>
      </c>
      <c r="F206" s="0" t="s">
        <v>127</v>
      </c>
      <c r="G206" s="0" t="n">
        <v>0.001</v>
      </c>
      <c r="H206" s="0" t="n">
        <f aca="false">SUM(G192:G206)</f>
        <v>8.12038117412481</v>
      </c>
      <c r="I206" s="0" t="s">
        <v>13</v>
      </c>
      <c r="K206" s="0" t="s">
        <v>117</v>
      </c>
      <c r="L206" s="10" t="s">
        <v>43</v>
      </c>
    </row>
    <row r="207" customFormat="false" ht="13.8" hidden="false" customHeight="false" outlineLevel="0" collapsed="false">
      <c r="A207" s="4"/>
      <c r="B207" s="0" t="s">
        <v>116</v>
      </c>
      <c r="C207" s="0" t="n">
        <v>34.5</v>
      </c>
      <c r="D207" s="0" t="n">
        <v>13.8</v>
      </c>
      <c r="E207" s="0" t="n">
        <v>20</v>
      </c>
      <c r="F207" s="0" t="s">
        <v>116</v>
      </c>
      <c r="G207" s="0" t="n">
        <v>0</v>
      </c>
      <c r="H207" s="0" t="n">
        <f aca="false">SUM(G207:G207)</f>
        <v>0</v>
      </c>
      <c r="I207" s="0" t="s">
        <v>13</v>
      </c>
      <c r="K207" s="0" t="s">
        <v>117</v>
      </c>
      <c r="L207" s="10"/>
    </row>
    <row r="208" customFormat="false" ht="13.8" hidden="false" customHeight="false" outlineLevel="0" collapsed="false">
      <c r="A208" s="4"/>
      <c r="B208" s="7" t="s">
        <v>116</v>
      </c>
      <c r="C208" s="7"/>
      <c r="D208" s="7"/>
      <c r="E208" s="7"/>
      <c r="F208" s="7" t="s">
        <v>128</v>
      </c>
      <c r="G208" s="8" t="n">
        <f aca="false">H207-H206</f>
        <v>-8.12038117412481</v>
      </c>
      <c r="H208" s="7"/>
      <c r="I208" s="7" t="s">
        <v>13</v>
      </c>
      <c r="J208" s="8" t="n">
        <f aca="false">G208+SUM(E207:E207)</f>
        <v>11.8796188258752</v>
      </c>
      <c r="K208" s="7" t="s">
        <v>117</v>
      </c>
      <c r="L208" s="9"/>
    </row>
    <row r="209" customFormat="false" ht="13.8" hidden="false" customHeight="false" outlineLevel="0" collapsed="false">
      <c r="A209" s="4" t="s">
        <v>129</v>
      </c>
      <c r="B209" s="5" t="s">
        <v>129</v>
      </c>
      <c r="C209" s="5" t="n">
        <v>34.5</v>
      </c>
      <c r="D209" s="5" t="n">
        <v>13.8</v>
      </c>
      <c r="E209" s="5" t="n">
        <v>0.3</v>
      </c>
      <c r="F209" s="5" t="s">
        <v>129</v>
      </c>
      <c r="G209" s="5" t="n">
        <v>0.158040246575343</v>
      </c>
      <c r="H209" s="5" t="n">
        <f aca="false">SUM(G209:G209)</f>
        <v>0.158040246575343</v>
      </c>
      <c r="I209" s="5" t="s">
        <v>13</v>
      </c>
      <c r="J209" s="5"/>
      <c r="K209" s="5" t="s">
        <v>129</v>
      </c>
      <c r="L209" s="6" t="s">
        <v>130</v>
      </c>
    </row>
    <row r="210" customFormat="false" ht="13.8" hidden="false" customHeight="false" outlineLevel="0" collapsed="false">
      <c r="A210" s="4"/>
      <c r="B210" s="7" t="s">
        <v>129</v>
      </c>
      <c r="C210" s="7"/>
      <c r="D210" s="7"/>
      <c r="E210" s="7"/>
      <c r="F210" s="7" t="s">
        <v>129</v>
      </c>
      <c r="G210" s="8" t="n">
        <f aca="false">H209</f>
        <v>0.158040246575343</v>
      </c>
      <c r="H210" s="7"/>
      <c r="I210" s="7" t="s">
        <v>13</v>
      </c>
      <c r="J210" s="8" t="n">
        <f aca="false">G210+SUM(E209:E209)</f>
        <v>0.458040246575343</v>
      </c>
      <c r="K210" s="7" t="s">
        <v>129</v>
      </c>
      <c r="L210" s="9"/>
    </row>
    <row r="211" customFormat="false" ht="13.8" hidden="false" customHeight="false" outlineLevel="0" collapsed="false">
      <c r="A211" s="4" t="s">
        <v>131</v>
      </c>
      <c r="B211" s="5" t="s">
        <v>131</v>
      </c>
      <c r="C211" s="5" t="n">
        <v>34.5</v>
      </c>
      <c r="D211" s="5" t="n">
        <v>13.8</v>
      </c>
      <c r="E211" s="5" t="n">
        <v>0.3</v>
      </c>
      <c r="F211" s="5" t="s">
        <v>131</v>
      </c>
      <c r="G211" s="5" t="n">
        <v>0.0583320328767124</v>
      </c>
      <c r="H211" s="5" t="n">
        <f aca="false">SUM(G211:G211)</f>
        <v>0.0583320328767124</v>
      </c>
      <c r="I211" s="5" t="s">
        <v>13</v>
      </c>
      <c r="J211" s="5"/>
      <c r="K211" s="5" t="s">
        <v>131</v>
      </c>
      <c r="L211" s="6" t="s">
        <v>130</v>
      </c>
    </row>
    <row r="212" customFormat="false" ht="13.8" hidden="false" customHeight="false" outlineLevel="0" collapsed="false">
      <c r="A212" s="4"/>
      <c r="B212" s="7" t="s">
        <v>131</v>
      </c>
      <c r="C212" s="7"/>
      <c r="D212" s="7"/>
      <c r="E212" s="7"/>
      <c r="F212" s="7" t="s">
        <v>131</v>
      </c>
      <c r="G212" s="8" t="n">
        <f aca="false">H211</f>
        <v>0.0583320328767124</v>
      </c>
      <c r="H212" s="7"/>
      <c r="I212" s="7" t="s">
        <v>13</v>
      </c>
      <c r="J212" s="8" t="n">
        <f aca="false">G212+SUM(E211:E211)</f>
        <v>0.358332032876712</v>
      </c>
      <c r="K212" s="7" t="s">
        <v>131</v>
      </c>
      <c r="L212" s="9"/>
    </row>
    <row r="213" customFormat="false" ht="13.8" hidden="false" customHeight="false" outlineLevel="0" collapsed="false">
      <c r="A213" s="4" t="s">
        <v>132</v>
      </c>
      <c r="B213" s="5" t="s">
        <v>132</v>
      </c>
      <c r="C213" s="5" t="n">
        <v>34.5</v>
      </c>
      <c r="D213" s="5" t="n">
        <v>13.8</v>
      </c>
      <c r="E213" s="5" t="n">
        <v>0.5</v>
      </c>
      <c r="F213" s="5" t="s">
        <v>132</v>
      </c>
      <c r="G213" s="5" t="n">
        <v>0.0682330520547946</v>
      </c>
      <c r="H213" s="5" t="n">
        <f aca="false">SUM(G213:G213)</f>
        <v>0.0682330520547946</v>
      </c>
      <c r="I213" s="5" t="s">
        <v>13</v>
      </c>
      <c r="J213" s="5"/>
      <c r="K213" s="5" t="s">
        <v>132</v>
      </c>
      <c r="L213" s="6" t="s">
        <v>130</v>
      </c>
    </row>
    <row r="214" customFormat="false" ht="13.8" hidden="false" customHeight="false" outlineLevel="0" collapsed="false">
      <c r="A214" s="4"/>
      <c r="B214" s="7" t="s">
        <v>132</v>
      </c>
      <c r="C214" s="7"/>
      <c r="D214" s="7"/>
      <c r="E214" s="7"/>
      <c r="F214" s="7" t="s">
        <v>132</v>
      </c>
      <c r="G214" s="8" t="n">
        <f aca="false">H213</f>
        <v>0.0682330520547946</v>
      </c>
      <c r="H214" s="7"/>
      <c r="I214" s="7" t="s">
        <v>13</v>
      </c>
      <c r="J214" s="8" t="n">
        <f aca="false">G214+SUM(E213:E213)</f>
        <v>0.568233052054795</v>
      </c>
      <c r="K214" s="7" t="s">
        <v>132</v>
      </c>
      <c r="L214" s="9"/>
    </row>
    <row r="215" customFormat="false" ht="13.8" hidden="false" customHeight="false" outlineLevel="0" collapsed="false">
      <c r="A215" s="4" t="s">
        <v>133</v>
      </c>
      <c r="B215" s="5" t="s">
        <v>133</v>
      </c>
      <c r="C215" s="5" t="n">
        <v>34.5</v>
      </c>
      <c r="D215" s="5" t="n">
        <v>13.8</v>
      </c>
      <c r="E215" s="5" t="n">
        <v>5</v>
      </c>
      <c r="F215" s="5" t="s">
        <v>133</v>
      </c>
      <c r="G215" s="5" t="n">
        <v>0</v>
      </c>
      <c r="H215" s="5" t="n">
        <f aca="false">SUM(G215:G215)</f>
        <v>0</v>
      </c>
      <c r="I215" s="5" t="s">
        <v>13</v>
      </c>
      <c r="J215" s="5"/>
      <c r="K215" s="5" t="s">
        <v>133</v>
      </c>
      <c r="L215" s="6"/>
    </row>
    <row r="216" customFormat="false" ht="13.8" hidden="false" customHeight="false" outlineLevel="0" collapsed="false">
      <c r="A216" s="4"/>
      <c r="B216" s="7" t="s">
        <v>133</v>
      </c>
      <c r="C216" s="7"/>
      <c r="D216" s="7"/>
      <c r="E216" s="7"/>
      <c r="F216" s="7" t="s">
        <v>133</v>
      </c>
      <c r="G216" s="8" t="n">
        <f aca="false">H215</f>
        <v>0</v>
      </c>
      <c r="H216" s="7"/>
      <c r="I216" s="7" t="s">
        <v>13</v>
      </c>
      <c r="J216" s="8" t="n">
        <f aca="false">G216+SUM(E215:E215)</f>
        <v>5</v>
      </c>
      <c r="K216" s="7" t="s">
        <v>133</v>
      </c>
      <c r="L216" s="9"/>
    </row>
    <row r="217" customFormat="false" ht="13.8" hidden="false" customHeight="false" outlineLevel="0" collapsed="false">
      <c r="A217" s="4" t="s">
        <v>134</v>
      </c>
      <c r="B217" s="5" t="s">
        <v>134</v>
      </c>
      <c r="C217" s="5" t="n">
        <v>34.5</v>
      </c>
      <c r="D217" s="5" t="n">
        <v>13.8</v>
      </c>
      <c r="E217" s="5" t="n">
        <v>3</v>
      </c>
      <c r="F217" s="5" t="s">
        <v>134</v>
      </c>
      <c r="G217" s="5" t="n">
        <v>0.2</v>
      </c>
      <c r="H217" s="5" t="n">
        <f aca="false">SUM(G217:G217)</f>
        <v>0.2</v>
      </c>
      <c r="I217" s="5"/>
      <c r="J217" s="5"/>
      <c r="K217" s="5"/>
      <c r="L217" s="6" t="s">
        <v>135</v>
      </c>
    </row>
    <row r="218" customFormat="false" ht="13.8" hidden="false" customHeight="false" outlineLevel="0" collapsed="false">
      <c r="A218" s="4"/>
      <c r="B218" s="7" t="s">
        <v>134</v>
      </c>
      <c r="C218" s="7"/>
      <c r="D218" s="7"/>
      <c r="E218" s="7"/>
      <c r="F218" s="7" t="s">
        <v>134</v>
      </c>
      <c r="G218" s="8" t="n">
        <f aca="false">H217</f>
        <v>0.2</v>
      </c>
      <c r="H218" s="7"/>
      <c r="I218" s="7"/>
      <c r="J218" s="8" t="n">
        <f aca="false">G218+SUM(E217:E217)</f>
        <v>3.2</v>
      </c>
      <c r="K218" s="7"/>
      <c r="L218" s="9"/>
    </row>
    <row r="219" customFormat="false" ht="13.8" hidden="false" customHeight="false" outlineLevel="0" collapsed="false">
      <c r="A219" s="4" t="s">
        <v>136</v>
      </c>
      <c r="B219" s="5" t="s">
        <v>136</v>
      </c>
      <c r="C219" s="5" t="n">
        <v>34.5</v>
      </c>
      <c r="D219" s="5" t="n">
        <v>13.8</v>
      </c>
      <c r="E219" s="5" t="n">
        <v>1</v>
      </c>
      <c r="F219" s="5" t="s">
        <v>136</v>
      </c>
      <c r="G219" s="5" t="n">
        <v>0.266387847714518</v>
      </c>
      <c r="H219" s="5" t="n">
        <f aca="false">SUM(G219:G219)</f>
        <v>0.266387847714518</v>
      </c>
      <c r="I219" s="5" t="s">
        <v>13</v>
      </c>
      <c r="J219" s="5"/>
      <c r="K219" s="5" t="s">
        <v>136</v>
      </c>
      <c r="L219" s="6" t="s">
        <v>137</v>
      </c>
    </row>
    <row r="220" customFormat="false" ht="13.8" hidden="false" customHeight="false" outlineLevel="0" collapsed="false">
      <c r="A220" s="4"/>
      <c r="B220" s="7" t="s">
        <v>136</v>
      </c>
      <c r="C220" s="7"/>
      <c r="D220" s="7"/>
      <c r="E220" s="7"/>
      <c r="F220" s="7" t="s">
        <v>136</v>
      </c>
      <c r="G220" s="8" t="n">
        <f aca="false">H219</f>
        <v>0.266387847714518</v>
      </c>
      <c r="H220" s="7"/>
      <c r="I220" s="7" t="s">
        <v>13</v>
      </c>
      <c r="J220" s="8" t="n">
        <f aca="false">G220+SUM(E219:E219)</f>
        <v>1.26638784771452</v>
      </c>
      <c r="K220" s="7" t="s">
        <v>136</v>
      </c>
      <c r="L220" s="9"/>
    </row>
    <row r="221" customFormat="false" ht="13.8" hidden="false" customHeight="false" outlineLevel="0" collapsed="false">
      <c r="A221" s="4" t="s">
        <v>138</v>
      </c>
      <c r="B221" s="5" t="s">
        <v>138</v>
      </c>
      <c r="C221" s="5" t="n">
        <v>34.5</v>
      </c>
      <c r="D221" s="5" t="n">
        <v>13.8</v>
      </c>
      <c r="E221" s="5" t="n">
        <v>1.6</v>
      </c>
      <c r="F221" s="5" t="s">
        <v>138</v>
      </c>
      <c r="G221" s="5" t="n">
        <v>0.365746191780822</v>
      </c>
      <c r="H221" s="5" t="n">
        <f aca="false">SUM(G221:G221)</f>
        <v>0.365746191780822</v>
      </c>
      <c r="I221" s="5" t="s">
        <v>13</v>
      </c>
      <c r="J221" s="5"/>
      <c r="K221" s="5" t="s">
        <v>138</v>
      </c>
      <c r="L221" s="6" t="s">
        <v>137</v>
      </c>
    </row>
    <row r="222" customFormat="false" ht="13.8" hidden="false" customHeight="false" outlineLevel="0" collapsed="false">
      <c r="A222" s="4"/>
      <c r="B222" s="7" t="s">
        <v>138</v>
      </c>
      <c r="C222" s="7"/>
      <c r="D222" s="7"/>
      <c r="E222" s="7"/>
      <c r="F222" s="7" t="s">
        <v>138</v>
      </c>
      <c r="G222" s="8" t="n">
        <f aca="false">H221</f>
        <v>0.365746191780822</v>
      </c>
      <c r="H222" s="7"/>
      <c r="I222" s="7" t="s">
        <v>13</v>
      </c>
      <c r="J222" s="8" t="n">
        <f aca="false">G222+SUM(E221:E221)</f>
        <v>1.96574619178082</v>
      </c>
      <c r="K222" s="7" t="s">
        <v>138</v>
      </c>
      <c r="L222" s="9"/>
    </row>
    <row r="223" customFormat="false" ht="13.8" hidden="false" customHeight="false" outlineLevel="0" collapsed="false">
      <c r="A223" s="4" t="s">
        <v>139</v>
      </c>
      <c r="B223" s="5" t="s">
        <v>139</v>
      </c>
      <c r="C223" s="5" t="n">
        <v>34.5</v>
      </c>
      <c r="D223" s="5" t="n">
        <v>13.8</v>
      </c>
      <c r="E223" s="5" t="n">
        <v>1</v>
      </c>
      <c r="F223" s="5" t="s">
        <v>139</v>
      </c>
      <c r="G223" s="5" t="n">
        <v>0.0789069369863013</v>
      </c>
      <c r="H223" s="5" t="n">
        <f aca="false">SUM(G223:G223)</f>
        <v>0.0789069369863013</v>
      </c>
      <c r="I223" s="5" t="s">
        <v>13</v>
      </c>
      <c r="J223" s="5"/>
      <c r="K223" s="5" t="s">
        <v>139</v>
      </c>
      <c r="L223" s="6" t="s">
        <v>137</v>
      </c>
    </row>
    <row r="224" customFormat="false" ht="13.8" hidden="false" customHeight="false" outlineLevel="0" collapsed="false">
      <c r="A224" s="4"/>
      <c r="B224" s="7" t="s">
        <v>139</v>
      </c>
      <c r="C224" s="7"/>
      <c r="D224" s="7"/>
      <c r="E224" s="7"/>
      <c r="F224" s="7" t="s">
        <v>139</v>
      </c>
      <c r="G224" s="8" t="n">
        <f aca="false">H223</f>
        <v>0.0789069369863013</v>
      </c>
      <c r="H224" s="7"/>
      <c r="I224" s="7" t="s">
        <v>13</v>
      </c>
      <c r="J224" s="8" t="n">
        <f aca="false">G224+SUM(E223:E223)</f>
        <v>1.0789069369863</v>
      </c>
      <c r="K224" s="7" t="s">
        <v>139</v>
      </c>
      <c r="L224" s="9"/>
    </row>
    <row r="225" customFormat="false" ht="13.8" hidden="false" customHeight="false" outlineLevel="0" collapsed="false">
      <c r="A225" s="4" t="s">
        <v>140</v>
      </c>
      <c r="B225" s="5" t="s">
        <v>140</v>
      </c>
      <c r="C225" s="5" t="n">
        <v>34.5</v>
      </c>
      <c r="D225" s="5" t="n">
        <v>13.8</v>
      </c>
      <c r="E225" s="5" t="n">
        <v>1.5</v>
      </c>
      <c r="F225" s="5" t="s">
        <v>140</v>
      </c>
      <c r="G225" s="5" t="n">
        <v>0.343</v>
      </c>
      <c r="H225" s="5" t="n">
        <f aca="false">SUM(G225:G225)</f>
        <v>0.343</v>
      </c>
      <c r="I225" s="5" t="s">
        <v>13</v>
      </c>
      <c r="J225" s="5"/>
      <c r="K225" s="5" t="s">
        <v>141</v>
      </c>
      <c r="L225" s="6" t="s">
        <v>142</v>
      </c>
    </row>
    <row r="226" customFormat="false" ht="13.8" hidden="false" customHeight="false" outlineLevel="0" collapsed="false">
      <c r="A226" s="4"/>
      <c r="B226" s="7" t="s">
        <v>140</v>
      </c>
      <c r="C226" s="7"/>
      <c r="D226" s="7"/>
      <c r="E226" s="7"/>
      <c r="F226" s="7" t="s">
        <v>140</v>
      </c>
      <c r="G226" s="8" t="n">
        <f aca="false">H225</f>
        <v>0.343</v>
      </c>
      <c r="H226" s="7"/>
      <c r="I226" s="7" t="s">
        <v>13</v>
      </c>
      <c r="J226" s="8" t="n">
        <f aca="false">G226+SUM(E225:E225)</f>
        <v>1.843</v>
      </c>
      <c r="K226" s="7" t="s">
        <v>141</v>
      </c>
      <c r="L226" s="9"/>
    </row>
    <row r="227" customFormat="false" ht="13.8" hidden="false" customHeight="false" outlineLevel="0" collapsed="false">
      <c r="A227" s="4" t="s">
        <v>143</v>
      </c>
      <c r="B227" s="5" t="s">
        <v>143</v>
      </c>
      <c r="C227" s="5" t="n">
        <v>34.5</v>
      </c>
      <c r="D227" s="5" t="n">
        <v>13.8</v>
      </c>
      <c r="E227" s="5" t="n">
        <v>1.5</v>
      </c>
      <c r="F227" s="5" t="s">
        <v>143</v>
      </c>
      <c r="G227" s="5" t="n">
        <v>0.361283588327625</v>
      </c>
      <c r="H227" s="5" t="n">
        <f aca="false">SUM(G227:G227)</f>
        <v>0.361283588327625</v>
      </c>
      <c r="I227" s="5" t="s">
        <v>13</v>
      </c>
      <c r="J227" s="5"/>
      <c r="K227" s="5" t="s">
        <v>141</v>
      </c>
      <c r="L227" s="6" t="s">
        <v>142</v>
      </c>
    </row>
    <row r="228" customFormat="false" ht="13.8" hidden="false" customHeight="false" outlineLevel="0" collapsed="false">
      <c r="A228" s="4"/>
      <c r="B228" s="7" t="s">
        <v>143</v>
      </c>
      <c r="C228" s="7"/>
      <c r="D228" s="7"/>
      <c r="E228" s="7"/>
      <c r="F228" s="7" t="s">
        <v>143</v>
      </c>
      <c r="G228" s="8" t="n">
        <f aca="false">H227</f>
        <v>0.361283588327625</v>
      </c>
      <c r="H228" s="7"/>
      <c r="I228" s="7" t="s">
        <v>13</v>
      </c>
      <c r="J228" s="8" t="n">
        <f aca="false">G228+SUM(E227:E227)</f>
        <v>1.86128358832763</v>
      </c>
      <c r="K228" s="7" t="s">
        <v>141</v>
      </c>
      <c r="L228" s="9"/>
    </row>
    <row r="229" customFormat="false" ht="13.8" hidden="false" customHeight="false" outlineLevel="0" collapsed="false">
      <c r="A229" s="4" t="s">
        <v>144</v>
      </c>
      <c r="B229" s="5" t="s">
        <v>144</v>
      </c>
      <c r="C229" s="5" t="n">
        <v>34.5</v>
      </c>
      <c r="D229" s="5" t="n">
        <v>13.8</v>
      </c>
      <c r="E229" s="5" t="n">
        <v>3</v>
      </c>
      <c r="F229" s="5" t="s">
        <v>144</v>
      </c>
      <c r="G229" s="5" t="n">
        <v>0.348523934246576</v>
      </c>
      <c r="H229" s="5" t="n">
        <f aca="false">SUM(G229:G229)</f>
        <v>0.348523934246576</v>
      </c>
      <c r="I229" s="5" t="s">
        <v>13</v>
      </c>
      <c r="J229" s="5"/>
      <c r="K229" s="5" t="s">
        <v>141</v>
      </c>
      <c r="L229" s="6" t="s">
        <v>142</v>
      </c>
    </row>
    <row r="230" customFormat="false" ht="13.8" hidden="false" customHeight="false" outlineLevel="0" collapsed="false">
      <c r="A230" s="4"/>
      <c r="B230" s="7" t="s">
        <v>144</v>
      </c>
      <c r="C230" s="7"/>
      <c r="D230" s="7"/>
      <c r="E230" s="7"/>
      <c r="F230" s="7" t="s">
        <v>144</v>
      </c>
      <c r="G230" s="8" t="n">
        <f aca="false">H229</f>
        <v>0.348523934246576</v>
      </c>
      <c r="H230" s="7"/>
      <c r="I230" s="7" t="s">
        <v>13</v>
      </c>
      <c r="J230" s="7" t="n">
        <f aca="false">G230+SUM(E229:E229)</f>
        <v>3.34852393424658</v>
      </c>
      <c r="K230" s="7" t="s">
        <v>141</v>
      </c>
      <c r="L230" s="9"/>
    </row>
    <row r="231" customFormat="false" ht="13.8" hidden="false" customHeight="false" outlineLevel="0" collapsed="false">
      <c r="A231" s="4" t="s">
        <v>145</v>
      </c>
      <c r="B231" s="5" t="s">
        <v>145</v>
      </c>
      <c r="C231" s="5" t="n">
        <v>34.5</v>
      </c>
      <c r="D231" s="5" t="n">
        <v>13.8</v>
      </c>
      <c r="E231" s="5" t="n">
        <v>5</v>
      </c>
      <c r="F231" s="5" t="s">
        <v>145</v>
      </c>
      <c r="G231" s="5" t="n">
        <v>0.0740408703703703</v>
      </c>
      <c r="H231" s="5" t="n">
        <f aca="false">SUM(G231:G231)</f>
        <v>0.0740408703703703</v>
      </c>
      <c r="I231" s="5" t="s">
        <v>13</v>
      </c>
      <c r="J231" s="5"/>
      <c r="K231" s="5" t="s">
        <v>146</v>
      </c>
      <c r="L231" s="6" t="s">
        <v>142</v>
      </c>
    </row>
    <row r="232" customFormat="false" ht="13.8" hidden="false" customHeight="false" outlineLevel="0" collapsed="false">
      <c r="A232" s="4"/>
      <c r="B232" s="7" t="s">
        <v>145</v>
      </c>
      <c r="C232" s="7"/>
      <c r="D232" s="7"/>
      <c r="E232" s="7"/>
      <c r="F232" s="7" t="s">
        <v>145</v>
      </c>
      <c r="G232" s="8" t="n">
        <f aca="false">H231</f>
        <v>0.0740408703703703</v>
      </c>
      <c r="H232" s="7"/>
      <c r="I232" s="7" t="s">
        <v>13</v>
      </c>
      <c r="J232" s="8" t="n">
        <f aca="false">G232+SUM(E231:E231)</f>
        <v>5.07404087037037</v>
      </c>
      <c r="K232" s="7" t="s">
        <v>146</v>
      </c>
      <c r="L232" s="9"/>
    </row>
    <row r="233" customFormat="false" ht="13.8" hidden="false" customHeight="false" outlineLevel="0" collapsed="false">
      <c r="A233" s="4" t="s">
        <v>147</v>
      </c>
      <c r="B233" s="5" t="s">
        <v>147</v>
      </c>
      <c r="C233" s="5" t="n">
        <v>34.5</v>
      </c>
      <c r="D233" s="5" t="n">
        <v>13.8</v>
      </c>
      <c r="E233" s="5" t="n">
        <v>0.5</v>
      </c>
      <c r="F233" s="5" t="s">
        <v>147</v>
      </c>
      <c r="G233" s="5" t="n">
        <v>0.0740408703703703</v>
      </c>
      <c r="H233" s="5" t="n">
        <f aca="false">SUM(G233:G233)</f>
        <v>0.0740408703703703</v>
      </c>
      <c r="I233" s="5" t="s">
        <v>13</v>
      </c>
      <c r="J233" s="5"/>
      <c r="K233" s="5" t="s">
        <v>141</v>
      </c>
      <c r="L233" s="6"/>
    </row>
    <row r="234" customFormat="false" ht="13.8" hidden="false" customHeight="false" outlineLevel="0" collapsed="false">
      <c r="A234" s="4"/>
      <c r="B234" s="7" t="s">
        <v>147</v>
      </c>
      <c r="C234" s="7"/>
      <c r="D234" s="7"/>
      <c r="E234" s="7"/>
      <c r="F234" s="7" t="s">
        <v>147</v>
      </c>
      <c r="G234" s="8" t="n">
        <f aca="false">H233</f>
        <v>0.0740408703703703</v>
      </c>
      <c r="H234" s="7"/>
      <c r="I234" s="7" t="s">
        <v>13</v>
      </c>
      <c r="J234" s="8" t="n">
        <f aca="false">G234+SUM(E233:E233)</f>
        <v>0.57404087037037</v>
      </c>
      <c r="K234" s="7" t="s">
        <v>141</v>
      </c>
      <c r="L234" s="9"/>
    </row>
    <row r="235" customFormat="false" ht="13.8" hidden="false" customHeight="false" outlineLevel="0" collapsed="false">
      <c r="A235" s="4" t="s">
        <v>148</v>
      </c>
      <c r="B235" s="5" t="s">
        <v>148</v>
      </c>
      <c r="C235" s="5" t="n">
        <v>34.5</v>
      </c>
      <c r="D235" s="5" t="n">
        <v>13.8</v>
      </c>
      <c r="E235" s="5" t="n">
        <v>1</v>
      </c>
      <c r="F235" s="5" t="s">
        <v>148</v>
      </c>
      <c r="G235" s="5" t="n">
        <v>0.937523720547946</v>
      </c>
      <c r="H235" s="5" t="n">
        <f aca="false">SUM(G235:G235)</f>
        <v>0.937523720547946</v>
      </c>
      <c r="I235" s="5" t="s">
        <v>13</v>
      </c>
      <c r="J235" s="5"/>
      <c r="K235" s="5" t="s">
        <v>148</v>
      </c>
      <c r="L235" s="6" t="s">
        <v>149</v>
      </c>
    </row>
    <row r="236" customFormat="false" ht="13.8" hidden="false" customHeight="false" outlineLevel="0" collapsed="false">
      <c r="A236" s="4"/>
      <c r="B236" s="7" t="s">
        <v>148</v>
      </c>
      <c r="C236" s="7"/>
      <c r="D236" s="7"/>
      <c r="E236" s="7"/>
      <c r="F236" s="7" t="s">
        <v>148</v>
      </c>
      <c r="G236" s="8" t="n">
        <f aca="false">H235</f>
        <v>0.937523720547946</v>
      </c>
      <c r="H236" s="7"/>
      <c r="I236" s="7" t="s">
        <v>13</v>
      </c>
      <c r="J236" s="8" t="n">
        <f aca="false">G236+SUM(E235:E235)</f>
        <v>1.93752372054795</v>
      </c>
      <c r="K236" s="7" t="s">
        <v>148</v>
      </c>
      <c r="L236" s="9"/>
    </row>
    <row r="237" customFormat="false" ht="13.8" hidden="false" customHeight="false" outlineLevel="0" collapsed="false">
      <c r="A237" s="13" t="s">
        <v>150</v>
      </c>
      <c r="B237" s="5" t="s">
        <v>150</v>
      </c>
      <c r="C237" s="5" t="n">
        <v>34.5</v>
      </c>
      <c r="D237" s="5" t="n">
        <v>13.8</v>
      </c>
      <c r="E237" s="5" t="n">
        <v>3</v>
      </c>
      <c r="F237" s="5" t="s">
        <v>150</v>
      </c>
      <c r="G237" s="5" t="n">
        <v>1.617</v>
      </c>
      <c r="H237" s="5" t="n">
        <f aca="false">SUM(G237:G237)</f>
        <v>1.617</v>
      </c>
      <c r="I237" s="5" t="s">
        <v>13</v>
      </c>
      <c r="J237" s="5"/>
      <c r="K237" s="5" t="s">
        <v>150</v>
      </c>
      <c r="L237" s="6"/>
    </row>
    <row r="238" customFormat="false" ht="13.8" hidden="false" customHeight="false" outlineLevel="0" collapsed="false">
      <c r="A238" s="13"/>
      <c r="B238" s="7" t="s">
        <v>150</v>
      </c>
      <c r="C238" s="7"/>
      <c r="D238" s="7"/>
      <c r="E238" s="7"/>
      <c r="F238" s="7" t="s">
        <v>150</v>
      </c>
      <c r="G238" s="8" t="n">
        <f aca="false">H237</f>
        <v>1.617</v>
      </c>
      <c r="H238" s="7"/>
      <c r="I238" s="7" t="s">
        <v>13</v>
      </c>
      <c r="J238" s="8" t="n">
        <f aca="false">G238+SUM(E237:E237)</f>
        <v>4.617</v>
      </c>
      <c r="K238" s="7" t="s">
        <v>150</v>
      </c>
      <c r="L238" s="9"/>
    </row>
    <row r="239" customFormat="false" ht="13.8" hidden="false" customHeight="false" outlineLevel="0" collapsed="false">
      <c r="A239" s="4" t="s">
        <v>151</v>
      </c>
      <c r="B239" s="5" t="s">
        <v>151</v>
      </c>
      <c r="C239" s="5" t="n">
        <v>34.5</v>
      </c>
      <c r="D239" s="5" t="n">
        <v>13.8</v>
      </c>
      <c r="E239" s="5" t="n">
        <v>15</v>
      </c>
      <c r="F239" s="5" t="s">
        <v>151</v>
      </c>
      <c r="G239" s="5" t="n">
        <v>4.508</v>
      </c>
      <c r="H239" s="5" t="n">
        <f aca="false">SUM(G239:G239)</f>
        <v>4.508</v>
      </c>
      <c r="I239" s="5" t="s">
        <v>13</v>
      </c>
      <c r="J239" s="5"/>
      <c r="K239" s="5" t="s">
        <v>152</v>
      </c>
      <c r="L239" s="6"/>
    </row>
    <row r="240" customFormat="false" ht="13.8" hidden="false" customHeight="false" outlineLevel="0" collapsed="false">
      <c r="A240" s="4"/>
      <c r="B240" s="7" t="s">
        <v>151</v>
      </c>
      <c r="C240" s="7"/>
      <c r="D240" s="7"/>
      <c r="E240" s="7"/>
      <c r="F240" s="7" t="s">
        <v>151</v>
      </c>
      <c r="G240" s="8" t="n">
        <f aca="false">H239</f>
        <v>4.508</v>
      </c>
      <c r="H240" s="7"/>
      <c r="I240" s="7" t="s">
        <v>13</v>
      </c>
      <c r="J240" s="8" t="n">
        <f aca="false">G240+SUM(E239:E239)</f>
        <v>19.508</v>
      </c>
      <c r="K240" s="7" t="s">
        <v>152</v>
      </c>
      <c r="L240" s="9"/>
    </row>
    <row r="241" customFormat="false" ht="13.8" hidden="false" customHeight="false" outlineLevel="0" collapsed="false">
      <c r="A241" s="4" t="s">
        <v>153</v>
      </c>
      <c r="B241" s="5" t="s">
        <v>153</v>
      </c>
      <c r="C241" s="5" t="n">
        <v>34.5</v>
      </c>
      <c r="D241" s="5" t="n">
        <v>13.8</v>
      </c>
      <c r="E241" s="5" t="n">
        <v>15</v>
      </c>
      <c r="F241" s="5" t="s">
        <v>153</v>
      </c>
      <c r="G241" s="5" t="n">
        <v>3.419</v>
      </c>
      <c r="H241" s="5" t="n">
        <f aca="false">SUM(G241:G241)</f>
        <v>3.419</v>
      </c>
      <c r="I241" s="5" t="s">
        <v>13</v>
      </c>
      <c r="J241" s="5"/>
      <c r="K241" s="5" t="s">
        <v>152</v>
      </c>
      <c r="L241" s="6"/>
    </row>
    <row r="242" customFormat="false" ht="13.8" hidden="false" customHeight="false" outlineLevel="0" collapsed="false">
      <c r="A242" s="4"/>
      <c r="B242" s="7" t="s">
        <v>153</v>
      </c>
      <c r="C242" s="7"/>
      <c r="D242" s="7"/>
      <c r="E242" s="7"/>
      <c r="F242" s="7" t="s">
        <v>153</v>
      </c>
      <c r="G242" s="8" t="n">
        <f aca="false">H241</f>
        <v>3.419</v>
      </c>
      <c r="H242" s="7"/>
      <c r="I242" s="7" t="s">
        <v>13</v>
      </c>
      <c r="J242" s="8" t="n">
        <f aca="false">G242+SUM(E241:E241)</f>
        <v>18.419</v>
      </c>
      <c r="K242" s="7" t="s">
        <v>152</v>
      </c>
      <c r="L242" s="9"/>
    </row>
    <row r="243" customFormat="false" ht="13.8" hidden="false" customHeight="false" outlineLevel="0" collapsed="false">
      <c r="A243" s="4" t="s">
        <v>154</v>
      </c>
      <c r="B243" s="5" t="s">
        <v>154</v>
      </c>
      <c r="C243" s="5" t="n">
        <v>34.5</v>
      </c>
      <c r="D243" s="5" t="n">
        <v>13.8</v>
      </c>
      <c r="E243" s="5" t="n">
        <v>5</v>
      </c>
      <c r="F243" s="5" t="s">
        <v>154</v>
      </c>
      <c r="G243" s="5" t="n">
        <v>1.568</v>
      </c>
      <c r="H243" s="5" t="n">
        <f aca="false">SUM(G243:G243)</f>
        <v>1.568</v>
      </c>
      <c r="I243" s="5" t="s">
        <v>13</v>
      </c>
      <c r="J243" s="5"/>
      <c r="K243" s="5" t="s">
        <v>154</v>
      </c>
      <c r="L243" s="6"/>
    </row>
    <row r="244" customFormat="false" ht="13.8" hidden="false" customHeight="false" outlineLevel="0" collapsed="false">
      <c r="A244" s="4"/>
      <c r="B244" s="7" t="s">
        <v>154</v>
      </c>
      <c r="C244" s="7"/>
      <c r="D244" s="7"/>
      <c r="E244" s="7"/>
      <c r="F244" s="7" t="s">
        <v>154</v>
      </c>
      <c r="G244" s="8" t="n">
        <f aca="false">H243</f>
        <v>1.568</v>
      </c>
      <c r="H244" s="7"/>
      <c r="I244" s="7" t="s">
        <v>13</v>
      </c>
      <c r="J244" s="8" t="n">
        <f aca="false">G244+SUM(E243:E243)</f>
        <v>6.568</v>
      </c>
      <c r="K244" s="7" t="s">
        <v>154</v>
      </c>
      <c r="L244" s="9"/>
    </row>
    <row r="245" customFormat="false" ht="13.8" hidden="false" customHeight="false" outlineLevel="0" collapsed="false">
      <c r="A245" s="4" t="s">
        <v>155</v>
      </c>
      <c r="B245" s="5" t="s">
        <v>155</v>
      </c>
      <c r="C245" s="5" t="n">
        <v>34.5</v>
      </c>
      <c r="D245" s="5" t="n">
        <v>13.8</v>
      </c>
      <c r="E245" s="5" t="n">
        <v>3</v>
      </c>
      <c r="F245" s="5" t="s">
        <v>150</v>
      </c>
      <c r="G245" s="5" t="n">
        <f aca="false">H237</f>
        <v>1.617</v>
      </c>
      <c r="H245" s="5"/>
      <c r="I245" s="5" t="s">
        <v>13</v>
      </c>
      <c r="J245" s="5"/>
      <c r="K245" s="5" t="s">
        <v>156</v>
      </c>
      <c r="L245" s="6"/>
    </row>
    <row r="246" customFormat="false" ht="13.8" hidden="false" customHeight="false" outlineLevel="0" collapsed="false">
      <c r="A246" s="4"/>
      <c r="B246" s="0" t="s">
        <v>155</v>
      </c>
      <c r="C246" s="0" t="n">
        <v>34.5</v>
      </c>
      <c r="D246" s="0" t="n">
        <v>13.8</v>
      </c>
      <c r="E246" s="0" t="n">
        <v>15</v>
      </c>
      <c r="F246" s="0" t="s">
        <v>151</v>
      </c>
      <c r="G246" s="0" t="n">
        <f aca="false">H239</f>
        <v>4.508</v>
      </c>
      <c r="I246" s="0" t="s">
        <v>13</v>
      </c>
      <c r="K246" s="0" t="s">
        <v>156</v>
      </c>
      <c r="L246" s="10"/>
    </row>
    <row r="247" customFormat="false" ht="13.8" hidden="false" customHeight="false" outlineLevel="0" collapsed="false">
      <c r="A247" s="4"/>
      <c r="B247" s="0" t="s">
        <v>155</v>
      </c>
      <c r="C247" s="0" t="n">
        <v>34.5</v>
      </c>
      <c r="D247" s="0" t="n">
        <v>13.8</v>
      </c>
      <c r="E247" s="0" t="n">
        <v>15</v>
      </c>
      <c r="F247" s="0" t="s">
        <v>153</v>
      </c>
      <c r="G247" s="0" t="n">
        <f aca="false">H241</f>
        <v>3.419</v>
      </c>
      <c r="I247" s="0" t="s">
        <v>13</v>
      </c>
      <c r="K247" s="0" t="s">
        <v>156</v>
      </c>
      <c r="L247" s="10"/>
    </row>
    <row r="248" customFormat="false" ht="13.8" hidden="false" customHeight="false" outlineLevel="0" collapsed="false">
      <c r="A248" s="4"/>
      <c r="B248" s="0" t="s">
        <v>155</v>
      </c>
      <c r="C248" s="0" t="n">
        <v>34.5</v>
      </c>
      <c r="D248" s="0" t="n">
        <v>13.8</v>
      </c>
      <c r="E248" s="0" t="n">
        <v>5</v>
      </c>
      <c r="F248" s="0" t="s">
        <v>154</v>
      </c>
      <c r="G248" s="0" t="n">
        <f aca="false">H243</f>
        <v>1.568</v>
      </c>
      <c r="I248" s="0" t="s">
        <v>13</v>
      </c>
      <c r="K248" s="0" t="s">
        <v>156</v>
      </c>
      <c r="L248" s="10"/>
    </row>
    <row r="249" customFormat="false" ht="13.8" hidden="false" customHeight="false" outlineLevel="0" collapsed="false">
      <c r="A249" s="4"/>
      <c r="B249" s="0" t="s">
        <v>155</v>
      </c>
      <c r="F249" s="0" t="s">
        <v>157</v>
      </c>
      <c r="G249" s="0" t="n">
        <v>0.0257125</v>
      </c>
      <c r="I249" s="0" t="s">
        <v>13</v>
      </c>
      <c r="K249" s="0" t="s">
        <v>156</v>
      </c>
      <c r="L249" s="10" t="s">
        <v>43</v>
      </c>
    </row>
    <row r="250" customFormat="false" ht="13.8" hidden="false" customHeight="false" outlineLevel="0" collapsed="false">
      <c r="A250" s="4"/>
      <c r="B250" s="0" t="s">
        <v>155</v>
      </c>
      <c r="F250" s="0" t="s">
        <v>158</v>
      </c>
      <c r="G250" s="0" t="n">
        <v>0.0130166666666667</v>
      </c>
      <c r="I250" s="0" t="s">
        <v>13</v>
      </c>
      <c r="K250" s="0" t="s">
        <v>156</v>
      </c>
      <c r="L250" s="10" t="s">
        <v>43</v>
      </c>
    </row>
    <row r="251" customFormat="false" ht="13.8" hidden="false" customHeight="false" outlineLevel="0" collapsed="false">
      <c r="A251" s="4"/>
      <c r="B251" s="0" t="s">
        <v>155</v>
      </c>
      <c r="F251" s="0" t="s">
        <v>159</v>
      </c>
      <c r="G251" s="0" t="n">
        <v>0.0257125</v>
      </c>
      <c r="I251" s="0" t="s">
        <v>13</v>
      </c>
      <c r="K251" s="0" t="s">
        <v>156</v>
      </c>
      <c r="L251" s="10" t="s">
        <v>43</v>
      </c>
    </row>
    <row r="252" customFormat="false" ht="13.8" hidden="false" customHeight="false" outlineLevel="0" collapsed="false">
      <c r="A252" s="4"/>
      <c r="B252" s="0" t="s">
        <v>155</v>
      </c>
      <c r="F252" s="0" t="s">
        <v>160</v>
      </c>
      <c r="G252" s="0" t="n">
        <v>0.0318013888888889</v>
      </c>
      <c r="I252" s="0" t="s">
        <v>13</v>
      </c>
      <c r="K252" s="0" t="s">
        <v>156</v>
      </c>
      <c r="L252" s="10" t="s">
        <v>43</v>
      </c>
    </row>
    <row r="253" customFormat="false" ht="13.8" hidden="false" customHeight="false" outlineLevel="0" collapsed="false">
      <c r="A253" s="4"/>
      <c r="B253" s="0" t="s">
        <v>155</v>
      </c>
      <c r="F253" s="0" t="s">
        <v>161</v>
      </c>
      <c r="G253" s="0" t="n">
        <v>0.267694444444444</v>
      </c>
      <c r="H253" s="0" t="n">
        <f aca="false">SUM(G245:G253)</f>
        <v>11.4759375</v>
      </c>
      <c r="I253" s="0" t="s">
        <v>13</v>
      </c>
      <c r="K253" s="0" t="s">
        <v>156</v>
      </c>
      <c r="L253" s="10" t="s">
        <v>43</v>
      </c>
    </row>
    <row r="254" customFormat="false" ht="13.8" hidden="false" customHeight="false" outlineLevel="0" collapsed="false">
      <c r="A254" s="4"/>
      <c r="B254" s="0" t="s">
        <v>155</v>
      </c>
      <c r="C254" s="0" t="n">
        <v>34.5</v>
      </c>
      <c r="D254" s="0" t="n">
        <v>13.8</v>
      </c>
      <c r="E254" s="0" t="n">
        <v>20</v>
      </c>
      <c r="F254" s="0" t="s">
        <v>155</v>
      </c>
      <c r="G254" s="0" t="n">
        <v>7.165</v>
      </c>
      <c r="H254" s="0" t="n">
        <f aca="false">SUM(G254:G254)</f>
        <v>7.165</v>
      </c>
      <c r="I254" s="0" t="s">
        <v>13</v>
      </c>
      <c r="K254" s="0" t="s">
        <v>156</v>
      </c>
      <c r="L254" s="10"/>
    </row>
    <row r="255" customFormat="false" ht="13.8" hidden="false" customHeight="false" outlineLevel="0" collapsed="false">
      <c r="A255" s="4"/>
      <c r="B255" s="7" t="s">
        <v>155</v>
      </c>
      <c r="C255" s="7"/>
      <c r="D255" s="7"/>
      <c r="E255" s="7"/>
      <c r="F255" s="7" t="s">
        <v>162</v>
      </c>
      <c r="G255" s="8" t="n">
        <f aca="false">H254-H253</f>
        <v>-4.3109375</v>
      </c>
      <c r="H255" s="7"/>
      <c r="I255" s="7" t="s">
        <v>13</v>
      </c>
      <c r="J255" s="8" t="n">
        <f aca="false">G255+SUM(E254:E254)</f>
        <v>15.6890625</v>
      </c>
      <c r="K255" s="7" t="s">
        <v>156</v>
      </c>
      <c r="L255" s="9"/>
    </row>
    <row r="256" customFormat="false" ht="13.8" hidden="false" customHeight="false" outlineLevel="0" collapsed="false">
      <c r="A256" s="4" t="s">
        <v>163</v>
      </c>
      <c r="B256" s="5" t="s">
        <v>163</v>
      </c>
      <c r="C256" s="5" t="n">
        <v>34.5</v>
      </c>
      <c r="D256" s="5" t="n">
        <v>13.8</v>
      </c>
      <c r="E256" s="5" t="n">
        <v>3</v>
      </c>
      <c r="F256" s="5" t="s">
        <v>163</v>
      </c>
      <c r="G256" s="5" t="n">
        <v>1.521</v>
      </c>
      <c r="H256" s="5" t="n">
        <f aca="false">SUM(G256:G256)</f>
        <v>1.521</v>
      </c>
      <c r="I256" s="5" t="s">
        <v>13</v>
      </c>
      <c r="J256" s="5"/>
      <c r="K256" s="5" t="s">
        <v>163</v>
      </c>
      <c r="L256" s="6"/>
    </row>
    <row r="257" customFormat="false" ht="13.8" hidden="false" customHeight="false" outlineLevel="0" collapsed="false">
      <c r="A257" s="4"/>
      <c r="B257" s="7" t="s">
        <v>163</v>
      </c>
      <c r="C257" s="7"/>
      <c r="D257" s="7"/>
      <c r="E257" s="7"/>
      <c r="F257" s="7" t="s">
        <v>163</v>
      </c>
      <c r="G257" s="8" t="n">
        <f aca="false">H256</f>
        <v>1.521</v>
      </c>
      <c r="H257" s="7"/>
      <c r="I257" s="7" t="s">
        <v>13</v>
      </c>
      <c r="J257" s="8" t="n">
        <f aca="false">G257+SUM(E256:E256)</f>
        <v>4.521</v>
      </c>
      <c r="K257" s="7" t="s">
        <v>163</v>
      </c>
      <c r="L257" s="9"/>
    </row>
    <row r="258" customFormat="false" ht="13.8" hidden="false" customHeight="false" outlineLevel="0" collapsed="false">
      <c r="A258" s="4" t="s">
        <v>164</v>
      </c>
      <c r="B258" s="5" t="s">
        <v>165</v>
      </c>
      <c r="C258" s="5" t="n">
        <v>34.5</v>
      </c>
      <c r="D258" s="5" t="n">
        <v>13.8</v>
      </c>
      <c r="E258" s="5" t="n">
        <v>3</v>
      </c>
      <c r="F258" s="5" t="s">
        <v>163</v>
      </c>
      <c r="G258" s="5" t="n">
        <f aca="false">G257</f>
        <v>1.521</v>
      </c>
      <c r="H258" s="5"/>
      <c r="I258" s="5" t="s">
        <v>13</v>
      </c>
      <c r="J258" s="5"/>
      <c r="K258" s="5" t="s">
        <v>163</v>
      </c>
      <c r="L258" s="6"/>
    </row>
    <row r="259" customFormat="false" ht="13.8" hidden="false" customHeight="false" outlineLevel="0" collapsed="false">
      <c r="A259" s="4"/>
      <c r="B259" s="0" t="s">
        <v>165</v>
      </c>
      <c r="F259" s="0" t="s">
        <v>166</v>
      </c>
      <c r="G259" s="0" t="n">
        <v>0.531113888888889</v>
      </c>
      <c r="L259" s="10" t="s">
        <v>43</v>
      </c>
    </row>
    <row r="260" customFormat="false" ht="13.8" hidden="false" customHeight="false" outlineLevel="0" collapsed="false">
      <c r="A260" s="4"/>
      <c r="B260" s="0" t="s">
        <v>165</v>
      </c>
      <c r="F260" s="0" t="s">
        <v>167</v>
      </c>
      <c r="G260" s="0" t="n">
        <v>1.78705833333333</v>
      </c>
      <c r="L260" s="10" t="s">
        <v>43</v>
      </c>
    </row>
    <row r="261" customFormat="false" ht="13.8" hidden="false" customHeight="false" outlineLevel="0" collapsed="false">
      <c r="A261" s="4"/>
      <c r="B261" s="0" t="s">
        <v>165</v>
      </c>
      <c r="F261" s="0" t="s">
        <v>168</v>
      </c>
      <c r="G261" s="0" t="n">
        <v>0.002</v>
      </c>
      <c r="L261" s="10" t="s">
        <v>43</v>
      </c>
    </row>
    <row r="262" customFormat="false" ht="13.8" hidden="false" customHeight="false" outlineLevel="0" collapsed="false">
      <c r="A262" s="4"/>
      <c r="B262" s="0" t="s">
        <v>165</v>
      </c>
      <c r="F262" s="0" t="s">
        <v>169</v>
      </c>
      <c r="G262" s="0" t="n">
        <v>0.002</v>
      </c>
      <c r="L262" s="10" t="s">
        <v>43</v>
      </c>
    </row>
    <row r="263" customFormat="false" ht="13.8" hidden="false" customHeight="false" outlineLevel="0" collapsed="false">
      <c r="A263" s="4"/>
      <c r="B263" s="0" t="s">
        <v>165</v>
      </c>
      <c r="F263" s="0" t="s">
        <v>170</v>
      </c>
      <c r="G263" s="0" t="n">
        <v>0.276766666666667</v>
      </c>
      <c r="L263" s="10" t="s">
        <v>43</v>
      </c>
    </row>
    <row r="264" customFormat="false" ht="13.8" hidden="false" customHeight="false" outlineLevel="0" collapsed="false">
      <c r="A264" s="4"/>
      <c r="B264" s="0" t="s">
        <v>165</v>
      </c>
      <c r="F264" s="0" t="s">
        <v>171</v>
      </c>
      <c r="G264" s="0" t="n">
        <v>0.001</v>
      </c>
      <c r="H264" s="0" t="n">
        <f aca="false">SUM(G258:G264)</f>
        <v>4.12093888888889</v>
      </c>
      <c r="L264" s="10" t="s">
        <v>43</v>
      </c>
    </row>
    <row r="265" customFormat="false" ht="13.8" hidden="false" customHeight="false" outlineLevel="0" collapsed="false">
      <c r="A265" s="4"/>
      <c r="B265" s="0" t="s">
        <v>165</v>
      </c>
      <c r="C265" s="0" t="n">
        <v>34.5</v>
      </c>
      <c r="D265" s="0" t="n">
        <v>13.8</v>
      </c>
      <c r="E265" s="0" t="n">
        <v>15</v>
      </c>
      <c r="F265" s="0" t="s">
        <v>165</v>
      </c>
      <c r="G265" s="0" t="n">
        <v>2.369</v>
      </c>
      <c r="H265" s="0" t="n">
        <f aca="false">SUM(G265:G265)</f>
        <v>2.369</v>
      </c>
      <c r="I265" s="0" t="s">
        <v>13</v>
      </c>
      <c r="K265" s="0" t="s">
        <v>156</v>
      </c>
      <c r="L265" s="10"/>
    </row>
    <row r="266" customFormat="false" ht="13.8" hidden="false" customHeight="false" outlineLevel="0" collapsed="false">
      <c r="A266" s="4"/>
      <c r="B266" s="7" t="s">
        <v>165</v>
      </c>
      <c r="C266" s="7"/>
      <c r="D266" s="7"/>
      <c r="E266" s="7"/>
      <c r="F266" s="7" t="s">
        <v>165</v>
      </c>
      <c r="G266" s="8" t="n">
        <f aca="false">H265-H264</f>
        <v>-1.75193888888889</v>
      </c>
      <c r="H266" s="7"/>
      <c r="I266" s="7" t="s">
        <v>13</v>
      </c>
      <c r="J266" s="8" t="n">
        <f aca="false">G266+SUM(E265:E265)</f>
        <v>13.2480611111111</v>
      </c>
      <c r="K266" s="7" t="s">
        <v>156</v>
      </c>
      <c r="L266" s="9"/>
    </row>
    <row r="267" customFormat="false" ht="13.8" hidden="false" customHeight="false" outlineLevel="0" collapsed="false">
      <c r="A267" s="4" t="s">
        <v>172</v>
      </c>
      <c r="B267" s="5" t="s">
        <v>172</v>
      </c>
      <c r="C267" s="5" t="n">
        <v>34.5</v>
      </c>
      <c r="D267" s="5" t="n">
        <v>13.8</v>
      </c>
      <c r="E267" s="5" t="n">
        <v>6.25</v>
      </c>
      <c r="F267" s="5" t="s">
        <v>172</v>
      </c>
      <c r="G267" s="5" t="n">
        <v>1.54</v>
      </c>
      <c r="H267" s="5" t="n">
        <f aca="false">SUM(G267:G267)</f>
        <v>1.54</v>
      </c>
      <c r="I267" s="5" t="s">
        <v>13</v>
      </c>
      <c r="J267" s="5"/>
      <c r="K267" s="5" t="s">
        <v>14</v>
      </c>
      <c r="L267" s="6" t="s">
        <v>173</v>
      </c>
    </row>
    <row r="268" customFormat="false" ht="13.8" hidden="false" customHeight="false" outlineLevel="0" collapsed="false">
      <c r="A268" s="4"/>
      <c r="B268" s="7" t="s">
        <v>172</v>
      </c>
      <c r="C268" s="7"/>
      <c r="D268" s="7"/>
      <c r="E268" s="7"/>
      <c r="F268" s="7" t="s">
        <v>172</v>
      </c>
      <c r="G268" s="8" t="n">
        <f aca="false">H267</f>
        <v>1.54</v>
      </c>
      <c r="H268" s="7"/>
      <c r="I268" s="7" t="s">
        <v>13</v>
      </c>
      <c r="J268" s="8" t="n">
        <f aca="false">G268+SUM(E267:E267)</f>
        <v>7.79</v>
      </c>
      <c r="K268" s="7" t="s">
        <v>14</v>
      </c>
      <c r="L268" s="9"/>
    </row>
    <row r="269" customFormat="false" ht="13.8" hidden="false" customHeight="false" outlineLevel="0" collapsed="false">
      <c r="A269" s="4" t="s">
        <v>174</v>
      </c>
      <c r="B269" s="5" t="s">
        <v>174</v>
      </c>
      <c r="C269" s="5" t="n">
        <v>34.5</v>
      </c>
      <c r="D269" s="5" t="n">
        <v>13.8</v>
      </c>
      <c r="E269" s="5" t="n">
        <v>15</v>
      </c>
      <c r="F269" s="5" t="s">
        <v>174</v>
      </c>
      <c r="G269" s="5" t="n">
        <v>1.022</v>
      </c>
      <c r="H269" s="5" t="n">
        <f aca="false">SUM(G269:G269)</f>
        <v>1.022</v>
      </c>
      <c r="I269" s="5" t="s">
        <v>13</v>
      </c>
      <c r="J269" s="5"/>
      <c r="K269" s="5" t="s">
        <v>175</v>
      </c>
      <c r="L269" s="6" t="s">
        <v>173</v>
      </c>
    </row>
    <row r="270" customFormat="false" ht="13.8" hidden="false" customHeight="false" outlineLevel="0" collapsed="false">
      <c r="A270" s="4"/>
      <c r="B270" s="7" t="s">
        <v>174</v>
      </c>
      <c r="C270" s="7"/>
      <c r="D270" s="7"/>
      <c r="E270" s="7"/>
      <c r="F270" s="7" t="s">
        <v>174</v>
      </c>
      <c r="G270" s="8" t="n">
        <f aca="false">H269</f>
        <v>1.022</v>
      </c>
      <c r="H270" s="7"/>
      <c r="I270" s="7" t="s">
        <v>13</v>
      </c>
      <c r="J270" s="8" t="n">
        <f aca="false">G270+SUM(E269:E269)</f>
        <v>16.022</v>
      </c>
      <c r="K270" s="7" t="s">
        <v>175</v>
      </c>
      <c r="L270" s="9"/>
    </row>
    <row r="271" customFormat="false" ht="13.8" hidden="false" customHeight="false" outlineLevel="0" collapsed="false">
      <c r="A271" s="4" t="s">
        <v>176</v>
      </c>
      <c r="B271" s="5" t="s">
        <v>176</v>
      </c>
      <c r="C271" s="5" t="n">
        <v>34.5</v>
      </c>
      <c r="D271" s="5" t="n">
        <v>13.8</v>
      </c>
      <c r="E271" s="5" t="n">
        <v>0.5</v>
      </c>
      <c r="F271" s="5" t="s">
        <v>176</v>
      </c>
      <c r="G271" s="5"/>
      <c r="H271" s="5" t="n">
        <f aca="false">SUM(G271:G271)</f>
        <v>0</v>
      </c>
      <c r="I271" s="5" t="s">
        <v>13</v>
      </c>
      <c r="J271" s="5"/>
      <c r="K271" s="5" t="s">
        <v>141</v>
      </c>
      <c r="L271" s="6" t="s">
        <v>177</v>
      </c>
    </row>
    <row r="272" customFormat="false" ht="13.8" hidden="false" customHeight="false" outlineLevel="0" collapsed="false">
      <c r="A272" s="4"/>
      <c r="B272" s="7" t="s">
        <v>176</v>
      </c>
      <c r="C272" s="7"/>
      <c r="D272" s="7"/>
      <c r="E272" s="7"/>
      <c r="F272" s="7" t="s">
        <v>176</v>
      </c>
      <c r="G272" s="8" t="n">
        <f aca="false">H271</f>
        <v>0</v>
      </c>
      <c r="H272" s="7"/>
      <c r="I272" s="7" t="s">
        <v>13</v>
      </c>
      <c r="J272" s="8" t="n">
        <f aca="false">G272+SUM(E271:E271)</f>
        <v>0.5</v>
      </c>
      <c r="K272" s="7" t="s">
        <v>141</v>
      </c>
      <c r="L272" s="9"/>
    </row>
    <row r="273" customFormat="false" ht="13.8" hidden="false" customHeight="false" outlineLevel="0" collapsed="false">
      <c r="A273" s="4" t="s">
        <v>178</v>
      </c>
      <c r="B273" s="5" t="s">
        <v>178</v>
      </c>
      <c r="C273" s="5" t="n">
        <v>34.5</v>
      </c>
      <c r="D273" s="5" t="n">
        <v>13.8</v>
      </c>
      <c r="E273" s="5" t="n">
        <v>10</v>
      </c>
      <c r="F273" s="5" t="s">
        <v>178</v>
      </c>
      <c r="G273" s="5"/>
      <c r="H273" s="5" t="n">
        <f aca="false">SUM(G273:G273)</f>
        <v>0</v>
      </c>
      <c r="I273" s="5" t="s">
        <v>13</v>
      </c>
      <c r="J273" s="5"/>
      <c r="K273" s="5" t="s">
        <v>178</v>
      </c>
      <c r="L273" s="6" t="s">
        <v>177</v>
      </c>
    </row>
    <row r="274" customFormat="false" ht="13.8" hidden="false" customHeight="false" outlineLevel="0" collapsed="false">
      <c r="A274" s="4"/>
      <c r="B274" s="7" t="s">
        <v>178</v>
      </c>
      <c r="C274" s="7"/>
      <c r="D274" s="7"/>
      <c r="E274" s="7"/>
      <c r="F274" s="7" t="s">
        <v>178</v>
      </c>
      <c r="G274" s="8" t="n">
        <f aca="false">H273</f>
        <v>0</v>
      </c>
      <c r="H274" s="7"/>
      <c r="I274" s="7" t="s">
        <v>13</v>
      </c>
      <c r="J274" s="8" t="n">
        <f aca="false">G274+SUM(E273:E273)</f>
        <v>10</v>
      </c>
      <c r="K274" s="7" t="s">
        <v>178</v>
      </c>
      <c r="L274" s="9"/>
    </row>
    <row r="275" customFormat="false" ht="13.8" hidden="false" customHeight="false" outlineLevel="0" collapsed="false">
      <c r="A275" s="0"/>
    </row>
    <row r="276" customFormat="false" ht="13.8" hidden="false" customHeight="false" outlineLevel="0" collapsed="false">
      <c r="A276" s="0"/>
    </row>
  </sheetData>
  <mergeCells count="97">
    <mergeCell ref="A2:A3"/>
    <mergeCell ref="A4:A5"/>
    <mergeCell ref="A6:A7"/>
    <mergeCell ref="A8:A9"/>
    <mergeCell ref="A10:A11"/>
    <mergeCell ref="A12:A13"/>
    <mergeCell ref="A14:A25"/>
    <mergeCell ref="A26:A27"/>
    <mergeCell ref="A28:A29"/>
    <mergeCell ref="A30:A31"/>
    <mergeCell ref="A32:A36"/>
    <mergeCell ref="A37:A38"/>
    <mergeCell ref="A39:A40"/>
    <mergeCell ref="A41:A42"/>
    <mergeCell ref="A43:A44"/>
    <mergeCell ref="A45:A46"/>
    <mergeCell ref="A47:A48"/>
    <mergeCell ref="A49:A56"/>
    <mergeCell ref="A57:A58"/>
    <mergeCell ref="A59:A60"/>
    <mergeCell ref="A61:A62"/>
    <mergeCell ref="A63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4:A110"/>
    <mergeCell ref="A111:A113"/>
    <mergeCell ref="A114:A115"/>
    <mergeCell ref="A116:A118"/>
    <mergeCell ref="A119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55"/>
    <mergeCell ref="A256:A257"/>
    <mergeCell ref="A258:A266"/>
    <mergeCell ref="A267:A268"/>
    <mergeCell ref="A269:A270"/>
    <mergeCell ref="A271:A272"/>
    <mergeCell ref="A273:A2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2026-04-09T20:20:03Z</dcterms:created>
  <dc:creator>openpyxl</dc:creator>
  <dc:description/>
  <dc:language>en-GB</dc:language>
  <cp:lastModifiedBy/>
  <dcterms:modified xsi:type="dcterms:W3CDTF">2026-04-15T13:30:26Z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