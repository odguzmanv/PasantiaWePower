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<sst xmlns="http://schemas.openxmlformats.org/spreadsheetml/2006/main" count="899" uniqueCount="123">
  <si>
    <t xml:space="preserve">SE</t>
  </si>
  <si>
    <t xml:space="preserve">Subestación</t>
  </si>
  <si>
    <t xml:space="preserve">HV_kV</t>
  </si>
  <si>
    <t xml:space="preserve">LV_kV</t>
  </si>
  <si>
    <t xml:space="preserve">Capacidad_MVA</t>
  </si>
  <si>
    <t xml:space="preserve">SE NT3</t>
  </si>
  <si>
    <t xml:space="preserve">Resta</t>
  </si>
  <si>
    <t xml:space="preserve">Demanda_MW</t>
  </si>
  <si>
    <t xml:space="preserve">Departamento</t>
  </si>
  <si>
    <t xml:space="preserve">Dda + trafo</t>
  </si>
  <si>
    <t xml:space="preserve">Municipio</t>
  </si>
  <si>
    <t xml:space="preserve">Comentario</t>
  </si>
  <si>
    <t xml:space="preserve">ARROYO DE PIEDRA</t>
  </si>
  <si>
    <t xml:space="preserve">ATLANTICO</t>
  </si>
  <si>
    <t xml:space="preserve">LURUACO</t>
  </si>
  <si>
    <t xml:space="preserve">Pertenece a Sabanalarga que solo aparece en subestaciones</t>
  </si>
  <si>
    <t xml:space="preserve">CAMPO ALEGRE</t>
  </si>
  <si>
    <t xml:space="preserve">MAGDALENA</t>
  </si>
  <si>
    <t xml:space="preserve">EL PIQON</t>
  </si>
  <si>
    <t xml:space="preserve">Pertenece a Salamina tr3</t>
  </si>
  <si>
    <t xml:space="preserve">CARACOLÍ </t>
  </si>
  <si>
    <t xml:space="preserve">SOLEDAD</t>
  </si>
  <si>
    <t xml:space="preserve">CENTRO</t>
  </si>
  <si>
    <t xml:space="preserve">BARRANQUILLA</t>
  </si>
  <si>
    <t xml:space="preserve">CORDIALIDAD</t>
  </si>
  <si>
    <t xml:space="preserve">HATO NUEVO</t>
  </si>
  <si>
    <t xml:space="preserve">LA GUAJIRA</t>
  </si>
  <si>
    <t xml:space="preserve">HATONUEVO</t>
  </si>
  <si>
    <t xml:space="preserve">BARRANCAS</t>
  </si>
  <si>
    <t xml:space="preserve">CUESTECITAS</t>
  </si>
  <si>
    <t xml:space="preserve">ALBANIA</t>
  </si>
  <si>
    <t xml:space="preserve">Puerto bolivar (Cerrejon)</t>
  </si>
  <si>
    <t xml:space="preserve">La mina (Cerrejon)</t>
  </si>
  <si>
    <t xml:space="preserve">CUESTECITAS - RESTA</t>
  </si>
  <si>
    <t xml:space="preserve">EL RIO</t>
  </si>
  <si>
    <t xml:space="preserve">Riverport</t>
  </si>
  <si>
    <t xml:space="preserve">Dejaré Magdalena como carga de la union dado que no hay notas del operador acerca de la doble alimentación la union y el rio</t>
  </si>
  <si>
    <t xml:space="preserve">FONSECA</t>
  </si>
  <si>
    <t xml:space="preserve">Pertenece a San Juan tr3</t>
  </si>
  <si>
    <t xml:space="preserve">JUAN DE ACOSTA</t>
  </si>
  <si>
    <t xml:space="preserve">Pertenece a Baranoa tr3</t>
  </si>
  <si>
    <t xml:space="preserve">LA RETIRADA</t>
  </si>
  <si>
    <t xml:space="preserve">PIVIJAY</t>
  </si>
  <si>
    <t xml:space="preserve">MAGDALENA </t>
  </si>
  <si>
    <t xml:space="preserve">LA UNION (ATLANTICO)</t>
  </si>
  <si>
    <t xml:space="preserve">PUERTA DE ORO</t>
  </si>
  <si>
    <t xml:space="preserve">PUERTO COLOMBIA</t>
  </si>
  <si>
    <t xml:space="preserve">LAS FLORES</t>
  </si>
  <si>
    <t xml:space="preserve">Riomar</t>
  </si>
  <si>
    <t xml:space="preserve">Aparece solo como demanda</t>
  </si>
  <si>
    <t xml:space="preserve">Las Flores ( CARTON COLOMBIA )</t>
  </si>
  <si>
    <t xml:space="preserve">Monomeros</t>
  </si>
  <si>
    <t xml:space="preserve">Tecnoglass 34,5kV</t>
  </si>
  <si>
    <t xml:space="preserve">LAS FLORES - RESTA</t>
  </si>
  <si>
    <t xml:space="preserve">LIBERTADOR</t>
  </si>
  <si>
    <t xml:space="preserve">SANTA MARTA</t>
  </si>
  <si>
    <t xml:space="preserve">MAICAO</t>
  </si>
  <si>
    <t xml:space="preserve">MANATI</t>
  </si>
  <si>
    <t xml:space="preserve">Carga asociada Boquitas linea 5124</t>
  </si>
  <si>
    <t xml:space="preserve">MANZANARES</t>
  </si>
  <si>
    <t xml:space="preserve">NORTE</t>
  </si>
  <si>
    <t xml:space="preserve">NUEVA BARRANQUILLA</t>
  </si>
  <si>
    <t xml:space="preserve">No aparece en la lista de subestaciones</t>
  </si>
  <si>
    <t xml:space="preserve">OASIS</t>
  </si>
  <si>
    <t xml:space="preserve">PLATO</t>
  </si>
  <si>
    <t xml:space="preserve">PONEDERA</t>
  </si>
  <si>
    <t xml:space="preserve">REAL DEL OBISPO</t>
  </si>
  <si>
    <t xml:space="preserve">TENERIFE </t>
  </si>
  <si>
    <t xml:space="preserve">Pertenece a Zambrano que no aparece en ningun lugar</t>
  </si>
  <si>
    <t xml:space="preserve">REMOLINO</t>
  </si>
  <si>
    <t xml:space="preserve">ROTINET</t>
  </si>
  <si>
    <t xml:space="preserve">REPELON</t>
  </si>
  <si>
    <t xml:space="preserve">INAT</t>
  </si>
  <si>
    <t xml:space="preserve">SABANAGRANDE</t>
  </si>
  <si>
    <t xml:space="preserve">Pertenece a Malambo tr3</t>
  </si>
  <si>
    <t xml:space="preserve">BONDA</t>
  </si>
  <si>
    <t xml:space="preserve">Cargas asociadas LN 540</t>
  </si>
  <si>
    <t xml:space="preserve">LN587</t>
  </si>
  <si>
    <t xml:space="preserve">SANTA MARTA - RESTA</t>
  </si>
  <si>
    <t xml:space="preserve">SANTA VERONICA</t>
  </si>
  <si>
    <t xml:space="preserve">SILENCIO</t>
  </si>
  <si>
    <t xml:space="preserve">TERMOGUAJIRA</t>
  </si>
  <si>
    <t xml:space="preserve">DIBULLA</t>
  </si>
  <si>
    <t xml:space="preserve">VEINTE DE JULIO</t>
  </si>
  <si>
    <t xml:space="preserve">ZAWADY</t>
  </si>
  <si>
    <t xml:space="preserve">ZONA BANANERA</t>
  </si>
  <si>
    <t xml:space="preserve">Pertenece a Río Córdoba tr3</t>
  </si>
  <si>
    <t xml:space="preserve">CAMARONES</t>
  </si>
  <si>
    <t xml:space="preserve">RIOHACHA</t>
  </si>
  <si>
    <t xml:space="preserve">BALLENAS</t>
  </si>
  <si>
    <t xml:space="preserve">MANAURE</t>
  </si>
  <si>
    <t xml:space="preserve">URIBIA</t>
  </si>
  <si>
    <t xml:space="preserve">Una demanda no está en operación</t>
  </si>
  <si>
    <t xml:space="preserve">H</t>
  </si>
  <si>
    <t xml:space="preserve">RIOHACHA - RESTA</t>
  </si>
  <si>
    <t xml:space="preserve">ESTADIO</t>
  </si>
  <si>
    <t xml:space="preserve">No está en operación</t>
  </si>
  <si>
    <t xml:space="preserve">MEGUA</t>
  </si>
  <si>
    <t xml:space="preserve">BARANOA</t>
  </si>
  <si>
    <t xml:space="preserve">TEBSA</t>
  </si>
  <si>
    <t xml:space="preserve">Triple A</t>
  </si>
  <si>
    <t xml:space="preserve">CAMPO DE LA CRUZ</t>
  </si>
  <si>
    <t xml:space="preserve">AEROPUERTO</t>
  </si>
  <si>
    <t xml:space="preserve">Aeropuerto - Río Córdoba</t>
  </si>
  <si>
    <t xml:space="preserve">Carga asociada LN 537</t>
  </si>
  <si>
    <t xml:space="preserve">GAIRA</t>
  </si>
  <si>
    <t xml:space="preserve">Dejaré Puerto Nuevo en Rio Cordoba en vez de en Gaira por falta de comentarios del operador</t>
  </si>
  <si>
    <t xml:space="preserve">GAIRA - RESTA</t>
  </si>
  <si>
    <t xml:space="preserve">VILLANUEVA</t>
  </si>
  <si>
    <t xml:space="preserve">ARACATACA</t>
  </si>
  <si>
    <t xml:space="preserve">GUACAMAYAL</t>
  </si>
  <si>
    <t xml:space="preserve">EL RETEN</t>
  </si>
  <si>
    <t xml:space="preserve">FUNDACIÓN</t>
  </si>
  <si>
    <t xml:space="preserve">Linea 519 coolechera</t>
  </si>
  <si>
    <t xml:space="preserve">FUNDACIÓN - RESTA</t>
  </si>
  <si>
    <t xml:space="preserve">TEBSA II</t>
  </si>
  <si>
    <t xml:space="preserve">TERMOFLORES</t>
  </si>
  <si>
    <t xml:space="preserve">Barranquilla</t>
  </si>
  <si>
    <t xml:space="preserve">No declara demanda</t>
  </si>
  <si>
    <t xml:space="preserve">GALAPA</t>
  </si>
  <si>
    <t xml:space="preserve">PALERMO</t>
  </si>
  <si>
    <t xml:space="preserve">SITIONUEVO</t>
  </si>
  <si>
    <t xml:space="preserve">BURECHE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</si>
</sst>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4765625" defaultRowHeight="13.8" zeroHeight="false" outlineLevelRow="0" outlineLevelCol="0"/>
  <cols>
    <col collapsed="false" customWidth="true" hidden="false" outlineLevel="0" max="1" min="1" style="1" width="12.0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3.8" hidden="false" customHeight="false" outlineLevel="0" collapsed="false">
      <c r="A2" s="4" t="s">
        <v>12</v>
      </c>
      <c r="B2" s="5" t="s">
        <v>12</v>
      </c>
      <c r="C2" s="5" t="n">
        <v>34.5</v>
      </c>
      <c r="D2" s="5" t="n">
        <v>13.8</v>
      </c>
      <c r="E2" s="5" t="n">
        <v>12.5</v>
      </c>
      <c r="F2" s="5" t="s">
        <v>12</v>
      </c>
      <c r="G2" s="5" t="n">
        <v>5.15</v>
      </c>
      <c r="H2" s="5" t="n">
        <f aca="false">SUM(G2:G2)</f>
        <v>5.15</v>
      </c>
      <c r="I2" s="5" t="s">
        <v>13</v>
      </c>
      <c r="J2" s="5"/>
      <c r="K2" s="5" t="s">
        <v>14</v>
      </c>
      <c r="L2" s="6" t="s">
        <v>15</v>
      </c>
    </row>
    <row r="3" customFormat="false" ht="13.8" hidden="false" customHeight="false" outlineLevel="0" collapsed="false">
      <c r="A3" s="4"/>
      <c r="B3" s="7" t="s">
        <v>12</v>
      </c>
      <c r="C3" s="7"/>
      <c r="D3" s="7"/>
      <c r="E3" s="7"/>
      <c r="F3" s="7" t="s">
        <v>12</v>
      </c>
      <c r="G3" s="8" t="n">
        <f aca="false">H2</f>
        <v>5.15</v>
      </c>
      <c r="H3" s="7"/>
      <c r="I3" s="7" t="s">
        <v>13</v>
      </c>
      <c r="J3" s="8" t="n">
        <f aca="false">G3+SUM(E2:E2)</f>
        <v>17.65</v>
      </c>
      <c r="K3" s="7" t="s">
        <v>14</v>
      </c>
      <c r="L3" s="9"/>
    </row>
    <row r="4" customFormat="false" ht="13.8" hidden="false" customHeight="false" outlineLevel="0" collapsed="false">
      <c r="A4" s="4" t="s">
        <v>16</v>
      </c>
      <c r="B4" s="5" t="s">
        <v>16</v>
      </c>
      <c r="C4" s="5" t="n">
        <v>34.5</v>
      </c>
      <c r="D4" s="5" t="n">
        <v>13.8</v>
      </c>
      <c r="E4" s="5" t="n">
        <v>10</v>
      </c>
      <c r="F4" s="5" t="s">
        <v>16</v>
      </c>
      <c r="G4" s="5" t="n">
        <v>2.01</v>
      </c>
      <c r="H4" s="5" t="n">
        <f aca="false">SUM(G4:G4)</f>
        <v>2.01</v>
      </c>
      <c r="I4" s="5" t="s">
        <v>17</v>
      </c>
      <c r="J4" s="5"/>
      <c r="K4" s="5" t="s">
        <v>18</v>
      </c>
      <c r="L4" s="6" t="s">
        <v>19</v>
      </c>
    </row>
    <row r="5" customFormat="false" ht="13.8" hidden="false" customHeight="false" outlineLevel="0" collapsed="false">
      <c r="A5" s="4"/>
      <c r="B5" s="7" t="s">
        <v>16</v>
      </c>
      <c r="C5" s="7"/>
      <c r="D5" s="7"/>
      <c r="E5" s="7"/>
      <c r="F5" s="7" t="s">
        <v>16</v>
      </c>
      <c r="G5" s="8" t="n">
        <f aca="false">H4</f>
        <v>2.01</v>
      </c>
      <c r="H5" s="7"/>
      <c r="I5" s="7" t="s">
        <v>17</v>
      </c>
      <c r="J5" s="8" t="n">
        <f aca="false">G5+SUM(E4:E4)</f>
        <v>12.01</v>
      </c>
      <c r="K5" s="7" t="s">
        <v>18</v>
      </c>
      <c r="L5" s="9"/>
    </row>
    <row r="6" customFormat="false" ht="13.8" hidden="false" customHeight="false" outlineLevel="0" collapsed="false">
      <c r="A6" s="4" t="s">
        <v>20</v>
      </c>
      <c r="B6" s="5" t="s">
        <v>20</v>
      </c>
      <c r="C6" s="5" t="n">
        <v>110</v>
      </c>
      <c r="D6" s="5" t="n">
        <v>13.8</v>
      </c>
      <c r="E6" s="5" t="n">
        <v>30</v>
      </c>
      <c r="F6" s="5" t="s">
        <v>20</v>
      </c>
      <c r="G6" s="5" t="n">
        <v>20.13</v>
      </c>
      <c r="H6" s="5"/>
      <c r="I6" s="5" t="s">
        <v>13</v>
      </c>
      <c r="J6" s="5"/>
      <c r="K6" s="5" t="s">
        <v>21</v>
      </c>
      <c r="L6" s="6"/>
    </row>
    <row r="7" customFormat="false" ht="13.8" hidden="false" customHeight="false" outlineLevel="0" collapsed="false">
      <c r="A7" s="4"/>
      <c r="B7" s="0" t="s">
        <v>20</v>
      </c>
      <c r="C7" s="0" t="n">
        <v>110</v>
      </c>
      <c r="D7" s="0" t="n">
        <v>13.8</v>
      </c>
      <c r="E7" s="0" t="n">
        <v>30</v>
      </c>
      <c r="F7" s="0" t="s">
        <v>20</v>
      </c>
      <c r="G7" s="0" t="n">
        <v>13.18</v>
      </c>
      <c r="H7" s="0" t="n">
        <f aca="false">SUM(G6:G7)</f>
        <v>33.31</v>
      </c>
      <c r="I7" s="0" t="s">
        <v>13</v>
      </c>
      <c r="K7" s="0" t="s">
        <v>21</v>
      </c>
      <c r="L7" s="10"/>
    </row>
    <row r="8" customFormat="false" ht="13.8" hidden="false" customHeight="false" outlineLevel="0" collapsed="false">
      <c r="A8" s="4"/>
      <c r="B8" s="7" t="s">
        <v>20</v>
      </c>
      <c r="C8" s="7"/>
      <c r="D8" s="7"/>
      <c r="E8" s="7"/>
      <c r="F8" s="7" t="s">
        <v>20</v>
      </c>
      <c r="G8" s="8" t="n">
        <f aca="false">H7</f>
        <v>33.31</v>
      </c>
      <c r="H8" s="7"/>
      <c r="I8" s="7" t="s">
        <v>13</v>
      </c>
      <c r="J8" s="8" t="n">
        <f aca="false">G8+SUM(E6:E7)</f>
        <v>93.31</v>
      </c>
      <c r="K8" s="7" t="s">
        <v>21</v>
      </c>
      <c r="L8" s="9"/>
    </row>
    <row r="9" customFormat="false" ht="13.8" hidden="false" customHeight="false" outlineLevel="0" collapsed="false">
      <c r="A9" s="4" t="s">
        <v>22</v>
      </c>
      <c r="B9" s="5" t="s">
        <v>22</v>
      </c>
      <c r="C9" s="5" t="n">
        <v>110</v>
      </c>
      <c r="D9" s="5" t="n">
        <v>13.8</v>
      </c>
      <c r="E9" s="5" t="n">
        <v>50</v>
      </c>
      <c r="F9" s="5" t="s">
        <v>22</v>
      </c>
      <c r="G9" s="5" t="n">
        <v>32.526</v>
      </c>
      <c r="H9" s="5"/>
      <c r="I9" s="5" t="s">
        <v>13</v>
      </c>
      <c r="J9" s="5"/>
      <c r="K9" s="5" t="s">
        <v>23</v>
      </c>
      <c r="L9" s="6"/>
    </row>
    <row r="10" customFormat="false" ht="13.8" hidden="false" customHeight="false" outlineLevel="0" collapsed="false">
      <c r="A10" s="4"/>
      <c r="B10" s="0" t="s">
        <v>22</v>
      </c>
      <c r="C10" s="0" t="n">
        <v>110</v>
      </c>
      <c r="D10" s="0" t="n">
        <v>13.8</v>
      </c>
      <c r="E10" s="0" t="n">
        <v>50</v>
      </c>
      <c r="F10" s="0" t="s">
        <v>22</v>
      </c>
      <c r="G10" s="0" t="n">
        <v>32.718</v>
      </c>
      <c r="H10" s="0" t="n">
        <f aca="false">SUM(G9:G10)</f>
        <v>65.244</v>
      </c>
      <c r="I10" s="0" t="s">
        <v>13</v>
      </c>
      <c r="K10" s="0" t="s">
        <v>23</v>
      </c>
      <c r="L10" s="10"/>
    </row>
    <row r="11" customFormat="false" ht="13.8" hidden="false" customHeight="false" outlineLevel="0" collapsed="false">
      <c r="A11" s="4"/>
      <c r="B11" s="7" t="s">
        <v>22</v>
      </c>
      <c r="C11" s="7"/>
      <c r="D11" s="7"/>
      <c r="E11" s="7"/>
      <c r="F11" s="7" t="s">
        <v>22</v>
      </c>
      <c r="G11" s="8" t="n">
        <f aca="false">H10</f>
        <v>65.244</v>
      </c>
      <c r="H11" s="7"/>
      <c r="I11" s="7" t="s">
        <v>13</v>
      </c>
      <c r="J11" s="8" t="n">
        <f aca="false">G11+SUM(E9:E10)</f>
        <v>165.244</v>
      </c>
      <c r="K11" s="7" t="s">
        <v>23</v>
      </c>
      <c r="L11" s="9"/>
    </row>
    <row r="12" customFormat="false" ht="13.8" hidden="false" customHeight="false" outlineLevel="0" collapsed="false">
      <c r="A12" s="4" t="s">
        <v>24</v>
      </c>
      <c r="B12" s="5" t="s">
        <v>24</v>
      </c>
      <c r="C12" s="5" t="n">
        <v>110</v>
      </c>
      <c r="D12" s="5" t="n">
        <v>13.8</v>
      </c>
      <c r="E12" s="5" t="n">
        <v>60</v>
      </c>
      <c r="F12" s="5" t="s">
        <v>24</v>
      </c>
      <c r="G12" s="5" t="n">
        <v>38.11675</v>
      </c>
      <c r="H12" s="5"/>
      <c r="I12" s="5" t="s">
        <v>13</v>
      </c>
      <c r="J12" s="5"/>
      <c r="K12" s="5" t="s">
        <v>23</v>
      </c>
      <c r="L12" s="6"/>
    </row>
    <row r="13" customFormat="false" ht="13.8" hidden="false" customHeight="false" outlineLevel="0" collapsed="false">
      <c r="A13" s="4"/>
      <c r="B13" s="0" t="s">
        <v>24</v>
      </c>
      <c r="C13" s="0" t="n">
        <v>110</v>
      </c>
      <c r="D13" s="0" t="n">
        <v>13.8</v>
      </c>
      <c r="E13" s="0" t="n">
        <v>50</v>
      </c>
      <c r="F13" s="0" t="s">
        <v>24</v>
      </c>
      <c r="G13" s="0" t="n">
        <v>36.4665</v>
      </c>
      <c r="H13" s="0" t="n">
        <f aca="false">SUM(G12:G13)</f>
        <v>74.58325</v>
      </c>
      <c r="I13" s="0" t="s">
        <v>13</v>
      </c>
      <c r="K13" s="0" t="s">
        <v>23</v>
      </c>
      <c r="L13" s="10"/>
    </row>
    <row r="14" customFormat="false" ht="13.8" hidden="false" customHeight="false" outlineLevel="0" collapsed="false">
      <c r="A14" s="4"/>
      <c r="B14" s="7" t="s">
        <v>24</v>
      </c>
      <c r="C14" s="7"/>
      <c r="D14" s="7"/>
      <c r="E14" s="7"/>
      <c r="F14" s="7" t="s">
        <v>24</v>
      </c>
      <c r="G14" s="8" t="n">
        <f aca="false">H13</f>
        <v>74.58325</v>
      </c>
      <c r="H14" s="7"/>
      <c r="I14" s="7" t="s">
        <v>13</v>
      </c>
      <c r="J14" s="8" t="n">
        <f aca="false">G14+SUM(E12:E13)</f>
        <v>184.58325</v>
      </c>
      <c r="K14" s="7" t="s">
        <v>23</v>
      </c>
      <c r="L14" s="9"/>
    </row>
    <row r="15" customFormat="false" ht="13.8" hidden="false" customHeight="false" outlineLevel="0" collapsed="false">
      <c r="A15" s="4" t="s">
        <v>25</v>
      </c>
      <c r="B15" s="5" t="s">
        <v>25</v>
      </c>
      <c r="C15" s="5" t="n">
        <v>34.5</v>
      </c>
      <c r="D15" s="5" t="n">
        <v>13.8</v>
      </c>
      <c r="E15" s="5" t="n">
        <v>6.5</v>
      </c>
      <c r="F15" s="5" t="s">
        <v>25</v>
      </c>
      <c r="G15" s="5" t="n">
        <v>4.834</v>
      </c>
      <c r="H15" s="5"/>
      <c r="I15" s="5" t="s">
        <v>26</v>
      </c>
      <c r="J15" s="5"/>
      <c r="K15" s="5" t="s">
        <v>27</v>
      </c>
      <c r="L15" s="6"/>
    </row>
    <row r="16" customFormat="false" ht="13.8" hidden="false" customHeight="false" outlineLevel="0" collapsed="false">
      <c r="A16" s="4"/>
      <c r="B16" s="0" t="s">
        <v>25</v>
      </c>
      <c r="C16" s="0" t="n">
        <v>34.5</v>
      </c>
      <c r="D16" s="0" t="n">
        <v>13.8</v>
      </c>
      <c r="E16" s="0" t="n">
        <v>6.5</v>
      </c>
      <c r="F16" s="0" t="s">
        <v>25</v>
      </c>
      <c r="H16" s="0" t="n">
        <f aca="false">SUM(G15:G16)</f>
        <v>4.834</v>
      </c>
      <c r="I16" s="0" t="s">
        <v>26</v>
      </c>
      <c r="K16" s="0" t="s">
        <v>27</v>
      </c>
      <c r="L16" s="10"/>
    </row>
    <row r="17" customFormat="false" ht="13.8" hidden="false" customHeight="false" outlineLevel="0" collapsed="false">
      <c r="A17" s="4"/>
      <c r="B17" s="7" t="s">
        <v>25</v>
      </c>
      <c r="C17" s="7"/>
      <c r="D17" s="7"/>
      <c r="E17" s="7"/>
      <c r="F17" s="7" t="s">
        <v>25</v>
      </c>
      <c r="G17" s="8" t="n">
        <f aca="false">H16</f>
        <v>4.834</v>
      </c>
      <c r="H17" s="7"/>
      <c r="I17" s="7" t="s">
        <v>26</v>
      </c>
      <c r="J17" s="8" t="n">
        <f aca="false">G17+SUM(E15:E16)</f>
        <v>17.834</v>
      </c>
      <c r="K17" s="7" t="s">
        <v>27</v>
      </c>
      <c r="L17" s="9"/>
    </row>
    <row r="18" customFormat="false" ht="13.8" hidden="false" customHeight="false" outlineLevel="0" collapsed="false">
      <c r="A18" s="4" t="s">
        <v>28</v>
      </c>
      <c r="B18" s="5" t="s">
        <v>28</v>
      </c>
      <c r="C18" s="5" t="n">
        <v>34.5</v>
      </c>
      <c r="D18" s="5" t="n">
        <v>13.8</v>
      </c>
      <c r="E18" s="5" t="n">
        <v>8</v>
      </c>
      <c r="F18" s="5" t="s">
        <v>28</v>
      </c>
      <c r="G18" s="5" t="n">
        <v>4.026</v>
      </c>
      <c r="H18" s="5"/>
      <c r="I18" s="5" t="s">
        <v>26</v>
      </c>
      <c r="J18" s="5"/>
      <c r="K18" s="5" t="s">
        <v>28</v>
      </c>
      <c r="L18" s="6"/>
    </row>
    <row r="19" customFormat="false" ht="13.8" hidden="false" customHeight="false" outlineLevel="0" collapsed="false">
      <c r="A19" s="4"/>
      <c r="B19" s="0" t="s">
        <v>28</v>
      </c>
      <c r="C19" s="0" t="n">
        <v>34.5</v>
      </c>
      <c r="D19" s="0" t="n">
        <v>13.8</v>
      </c>
      <c r="E19" s="0" t="n">
        <v>4</v>
      </c>
      <c r="F19" s="0" t="s">
        <v>28</v>
      </c>
      <c r="G19" s="0" t="n">
        <v>3.138</v>
      </c>
      <c r="H19" s="0" t="n">
        <f aca="false">SUM(G18:G19)</f>
        <v>7.164</v>
      </c>
      <c r="I19" s="0" t="s">
        <v>26</v>
      </c>
      <c r="K19" s="0" t="s">
        <v>28</v>
      </c>
      <c r="L19" s="10"/>
    </row>
    <row r="20" customFormat="false" ht="13.8" hidden="false" customHeight="false" outlineLevel="0" collapsed="false">
      <c r="A20" s="4"/>
      <c r="B20" s="7" t="s">
        <v>28</v>
      </c>
      <c r="C20" s="7"/>
      <c r="D20" s="7"/>
      <c r="E20" s="7"/>
      <c r="F20" s="7" t="s">
        <v>28</v>
      </c>
      <c r="G20" s="8" t="n">
        <f aca="false">H19</f>
        <v>7.164</v>
      </c>
      <c r="H20" s="7"/>
      <c r="I20" s="7" t="s">
        <v>26</v>
      </c>
      <c r="J20" s="8" t="n">
        <f aca="false">G20+SUM(E18:E19)</f>
        <v>19.164</v>
      </c>
      <c r="K20" s="7" t="s">
        <v>28</v>
      </c>
      <c r="L20" s="9"/>
    </row>
    <row r="21" customFormat="false" ht="13.8" hidden="false" customHeight="false" outlineLevel="0" collapsed="false">
      <c r="A21" s="4" t="s">
        <v>29</v>
      </c>
      <c r="B21" s="5" t="s">
        <v>29</v>
      </c>
      <c r="C21" s="5" t="n">
        <v>34.5</v>
      </c>
      <c r="D21" s="5" t="n">
        <v>13.8</v>
      </c>
      <c r="E21" s="5" t="n">
        <v>6.5</v>
      </c>
      <c r="F21" s="5" t="s">
        <v>25</v>
      </c>
      <c r="G21" s="5" t="n">
        <f aca="false">G17</f>
        <v>4.834</v>
      </c>
      <c r="H21" s="5"/>
      <c r="I21" s="5" t="s">
        <v>26</v>
      </c>
      <c r="J21" s="5"/>
      <c r="K21" s="5" t="s">
        <v>30</v>
      </c>
      <c r="L21" s="6"/>
    </row>
    <row r="22" customFormat="false" ht="13.8" hidden="false" customHeight="false" outlineLevel="0" collapsed="false">
      <c r="A22" s="4"/>
      <c r="B22" s="0" t="s">
        <v>29</v>
      </c>
      <c r="C22" s="0" t="n">
        <v>34.5</v>
      </c>
      <c r="D22" s="0" t="n">
        <v>13.8</v>
      </c>
      <c r="E22" s="0" t="n">
        <v>4</v>
      </c>
      <c r="F22" s="0" t="s">
        <v>28</v>
      </c>
      <c r="G22" s="0" t="n">
        <f aca="false">G20</f>
        <v>7.164</v>
      </c>
      <c r="H22" s="0" t="n">
        <f aca="false">SUM(G21:G22)</f>
        <v>11.998</v>
      </c>
      <c r="I22" s="0" t="s">
        <v>26</v>
      </c>
      <c r="K22" s="0" t="s">
        <v>30</v>
      </c>
      <c r="L22" s="10"/>
    </row>
    <row r="23" customFormat="false" ht="13.8" hidden="false" customHeight="false" outlineLevel="0" collapsed="false">
      <c r="A23" s="4"/>
      <c r="B23" s="0" t="s">
        <v>29</v>
      </c>
      <c r="C23" s="0" t="n">
        <v>34.5</v>
      </c>
      <c r="D23" s="0" t="n">
        <v>13.8</v>
      </c>
      <c r="E23" s="0" t="n">
        <v>12.5</v>
      </c>
      <c r="F23" s="0" t="s">
        <v>29</v>
      </c>
      <c r="G23" s="0" t="n">
        <v>7.938</v>
      </c>
      <c r="I23" s="0" t="s">
        <v>26</v>
      </c>
      <c r="K23" s="0" t="s">
        <v>30</v>
      </c>
      <c r="L23" s="10"/>
    </row>
    <row r="24" customFormat="false" ht="13.8" hidden="false" customHeight="false" outlineLevel="0" collapsed="false">
      <c r="A24" s="4"/>
      <c r="B24" s="0" t="s">
        <v>29</v>
      </c>
      <c r="F24" s="0" t="s">
        <v>29</v>
      </c>
      <c r="G24" s="0" t="n">
        <v>4</v>
      </c>
      <c r="I24" s="0" t="s">
        <v>26</v>
      </c>
      <c r="K24" s="0" t="s">
        <v>30</v>
      </c>
      <c r="L24" s="10" t="s">
        <v>31</v>
      </c>
    </row>
    <row r="25" customFormat="false" ht="13.8" hidden="false" customHeight="false" outlineLevel="0" collapsed="false">
      <c r="A25" s="4"/>
      <c r="B25" s="0" t="s">
        <v>29</v>
      </c>
      <c r="F25" s="0" t="s">
        <v>29</v>
      </c>
      <c r="G25" s="0" t="n">
        <v>26</v>
      </c>
      <c r="H25" s="0" t="n">
        <f aca="false">SUM(G23:G25)</f>
        <v>37.938</v>
      </c>
      <c r="I25" s="0" t="s">
        <v>26</v>
      </c>
      <c r="K25" s="0" t="s">
        <v>30</v>
      </c>
      <c r="L25" s="10" t="s">
        <v>32</v>
      </c>
    </row>
    <row r="26" customFormat="false" ht="13.8" hidden="false" customHeight="false" outlineLevel="0" collapsed="false">
      <c r="A26" s="4"/>
      <c r="B26" s="7" t="s">
        <v>29</v>
      </c>
      <c r="C26" s="7"/>
      <c r="D26" s="7"/>
      <c r="E26" s="7"/>
      <c r="F26" s="7" t="s">
        <v>33</v>
      </c>
      <c r="G26" s="8" t="n">
        <f aca="false">H25-H22</f>
        <v>25.94</v>
      </c>
      <c r="H26" s="7"/>
      <c r="I26" s="7" t="s">
        <v>26</v>
      </c>
      <c r="J26" s="8" t="n">
        <f aca="false">G26+SUM(E23:E25)</f>
        <v>38.44</v>
      </c>
      <c r="K26" s="7" t="s">
        <v>30</v>
      </c>
      <c r="L26" s="9"/>
    </row>
    <row r="27" customFormat="false" ht="13.8" hidden="false" customHeight="false" outlineLevel="0" collapsed="false">
      <c r="A27" s="4" t="s">
        <v>34</v>
      </c>
      <c r="B27" s="5" t="s">
        <v>34</v>
      </c>
      <c r="C27" s="5" t="n">
        <v>110</v>
      </c>
      <c r="D27" s="5" t="n">
        <v>34.5</v>
      </c>
      <c r="E27" s="5" t="n">
        <v>125</v>
      </c>
      <c r="F27" s="5" t="s">
        <v>34</v>
      </c>
      <c r="G27" s="5" t="n">
        <v>20.6885</v>
      </c>
      <c r="H27" s="5"/>
      <c r="I27" s="5" t="s">
        <v>13</v>
      </c>
      <c r="J27" s="5"/>
      <c r="K27" s="5" t="s">
        <v>23</v>
      </c>
      <c r="L27" s="6"/>
    </row>
    <row r="28" customFormat="false" ht="13.8" hidden="false" customHeight="false" outlineLevel="0" collapsed="false">
      <c r="A28" s="4"/>
      <c r="B28" s="0" t="s">
        <v>34</v>
      </c>
      <c r="C28" s="0" t="n">
        <v>34.5</v>
      </c>
      <c r="D28" s="0" t="n">
        <v>13.8</v>
      </c>
      <c r="E28" s="0" t="n">
        <v>33</v>
      </c>
      <c r="F28" s="0" t="s">
        <v>34</v>
      </c>
      <c r="G28" s="0" t="n">
        <v>18.6645</v>
      </c>
      <c r="I28" s="0" t="s">
        <v>13</v>
      </c>
      <c r="K28" s="0" t="s">
        <v>23</v>
      </c>
      <c r="L28" s="10"/>
    </row>
    <row r="29" customFormat="false" ht="13.8" hidden="false" customHeight="false" outlineLevel="0" collapsed="false">
      <c r="A29" s="4"/>
      <c r="B29" s="0" t="s">
        <v>34</v>
      </c>
      <c r="C29" s="0" t="n">
        <v>34.5</v>
      </c>
      <c r="D29" s="0" t="n">
        <v>13.8</v>
      </c>
      <c r="E29" s="0" t="n">
        <v>33</v>
      </c>
      <c r="F29" s="0" t="s">
        <v>34</v>
      </c>
      <c r="G29" s="0" t="n">
        <v>20.309</v>
      </c>
      <c r="I29" s="0" t="s">
        <v>13</v>
      </c>
      <c r="K29" s="0" t="s">
        <v>23</v>
      </c>
      <c r="L29" s="10"/>
    </row>
    <row r="30" customFormat="false" ht="13.8" hidden="false" customHeight="false" outlineLevel="0" collapsed="false">
      <c r="A30" s="4"/>
      <c r="B30" s="0" t="s">
        <v>34</v>
      </c>
      <c r="F30" s="0" t="s">
        <v>34</v>
      </c>
      <c r="G30" s="0" t="n">
        <v>1.505472</v>
      </c>
      <c r="H30" s="0" t="n">
        <f aca="false">SUM(G27:G30)</f>
        <v>61.167472</v>
      </c>
      <c r="I30" s="0" t="s">
        <v>13</v>
      </c>
      <c r="K30" s="0" t="s">
        <v>23</v>
      </c>
      <c r="L30" s="10" t="s">
        <v>35</v>
      </c>
    </row>
    <row r="31" customFormat="false" ht="13.8" hidden="false" customHeight="false" outlineLevel="0" collapsed="false">
      <c r="A31" s="4"/>
      <c r="B31" s="7" t="s">
        <v>34</v>
      </c>
      <c r="C31" s="7"/>
      <c r="D31" s="7"/>
      <c r="E31" s="7"/>
      <c r="F31" s="7" t="s">
        <v>34</v>
      </c>
      <c r="G31" s="8" t="n">
        <f aca="false">H30</f>
        <v>61.167472</v>
      </c>
      <c r="H31" s="7"/>
      <c r="I31" s="7" t="s">
        <v>13</v>
      </c>
      <c r="J31" s="8" t="n">
        <f aca="false">G31+SUM(E27:E30)</f>
        <v>252.167472</v>
      </c>
      <c r="K31" s="7" t="s">
        <v>23</v>
      </c>
      <c r="L31" s="9" t="s">
        <v>36</v>
      </c>
    </row>
    <row r="32" customFormat="false" ht="13.8" hidden="false" customHeight="false" outlineLevel="0" collapsed="false">
      <c r="A32" s="4" t="s">
        <v>37</v>
      </c>
      <c r="B32" s="5" t="s">
        <v>37</v>
      </c>
      <c r="C32" s="5" t="n">
        <v>34.5</v>
      </c>
      <c r="D32" s="5" t="n">
        <v>13.8</v>
      </c>
      <c r="E32" s="5" t="n">
        <v>13.3</v>
      </c>
      <c r="F32" s="5" t="s">
        <v>37</v>
      </c>
      <c r="G32" s="5" t="n">
        <v>8.735</v>
      </c>
      <c r="H32" s="5"/>
      <c r="I32" s="5" t="s">
        <v>26</v>
      </c>
      <c r="J32" s="5"/>
      <c r="K32" s="5" t="s">
        <v>37</v>
      </c>
      <c r="L32" s="6" t="s">
        <v>38</v>
      </c>
    </row>
    <row r="33" customFormat="false" ht="13.8" hidden="false" customHeight="false" outlineLevel="0" collapsed="false">
      <c r="A33" s="4"/>
      <c r="B33" s="0" t="s">
        <v>37</v>
      </c>
      <c r="C33" s="0" t="n">
        <v>34.5</v>
      </c>
      <c r="D33" s="0" t="n">
        <v>13.8</v>
      </c>
      <c r="E33" s="0" t="n">
        <v>13.3</v>
      </c>
      <c r="F33" s="0" t="s">
        <v>37</v>
      </c>
      <c r="G33" s="0" t="n">
        <v>7.551</v>
      </c>
      <c r="H33" s="0" t="n">
        <f aca="false">SUM(G32:G33)</f>
        <v>16.286</v>
      </c>
      <c r="I33" s="0" t="s">
        <v>26</v>
      </c>
      <c r="K33" s="0" t="s">
        <v>37</v>
      </c>
      <c r="L33" s="10"/>
    </row>
    <row r="34" customFormat="false" ht="13.8" hidden="false" customHeight="false" outlineLevel="0" collapsed="false">
      <c r="A34" s="4"/>
      <c r="B34" s="7" t="s">
        <v>37</v>
      </c>
      <c r="C34" s="7"/>
      <c r="D34" s="7"/>
      <c r="E34" s="7"/>
      <c r="F34" s="7" t="s">
        <v>37</v>
      </c>
      <c r="G34" s="8" t="n">
        <f aca="false">H33</f>
        <v>16.286</v>
      </c>
      <c r="H34" s="7"/>
      <c r="I34" s="7" t="s">
        <v>26</v>
      </c>
      <c r="J34" s="8" t="n">
        <f aca="false">G34+SUM(E32:E33)</f>
        <v>42.886</v>
      </c>
      <c r="K34" s="7" t="s">
        <v>37</v>
      </c>
      <c r="L34" s="9"/>
    </row>
    <row r="35" customFormat="false" ht="13.8" hidden="false" customHeight="false" outlineLevel="0" collapsed="false">
      <c r="A35" s="4" t="s">
        <v>39</v>
      </c>
      <c r="B35" s="5" t="s">
        <v>39</v>
      </c>
      <c r="C35" s="5" t="n">
        <v>34.5</v>
      </c>
      <c r="D35" s="5" t="n">
        <v>13.8</v>
      </c>
      <c r="E35" s="5" t="n">
        <v>9.3</v>
      </c>
      <c r="F35" s="5" t="s">
        <v>39</v>
      </c>
      <c r="G35" s="5" t="n">
        <v>5.21</v>
      </c>
      <c r="H35" s="5" t="n">
        <f aca="false">SUM(G35:G35)</f>
        <v>5.21</v>
      </c>
      <c r="I35" s="5" t="s">
        <v>13</v>
      </c>
      <c r="J35" s="5"/>
      <c r="K35" s="5" t="s">
        <v>39</v>
      </c>
      <c r="L35" s="6" t="s">
        <v>40</v>
      </c>
    </row>
    <row r="36" customFormat="false" ht="13.8" hidden="false" customHeight="false" outlineLevel="0" collapsed="false">
      <c r="A36" s="4"/>
      <c r="B36" s="7" t="s">
        <v>39</v>
      </c>
      <c r="C36" s="7"/>
      <c r="D36" s="7"/>
      <c r="E36" s="7"/>
      <c r="F36" s="7" t="s">
        <v>39</v>
      </c>
      <c r="G36" s="8" t="n">
        <f aca="false">H35</f>
        <v>5.21</v>
      </c>
      <c r="H36" s="7"/>
      <c r="I36" s="7" t="s">
        <v>13</v>
      </c>
      <c r="J36" s="8" t="n">
        <f aca="false">G36+SUM(E35:E35)</f>
        <v>14.51</v>
      </c>
      <c r="K36" s="7" t="s">
        <v>39</v>
      </c>
      <c r="L36" s="9"/>
    </row>
    <row r="37" customFormat="false" ht="13.8" hidden="false" customHeight="false" outlineLevel="0" collapsed="false">
      <c r="A37" s="4" t="s">
        <v>41</v>
      </c>
      <c r="B37" s="5" t="s">
        <v>41</v>
      </c>
      <c r="C37" s="5" t="n">
        <v>34.5</v>
      </c>
      <c r="D37" s="5" t="n">
        <v>13.8</v>
      </c>
      <c r="E37" s="5" t="n">
        <v>1</v>
      </c>
      <c r="F37" s="5" t="s">
        <v>41</v>
      </c>
      <c r="G37" s="5" t="n">
        <v>0.2</v>
      </c>
      <c r="H37" s="5" t="n">
        <f aca="false">SUM(G37:G37)</f>
        <v>0.2</v>
      </c>
      <c r="I37" s="5" t="s">
        <v>17</v>
      </c>
      <c r="J37" s="5"/>
      <c r="K37" s="5" t="s">
        <v>42</v>
      </c>
      <c r="L37" s="6" t="s">
        <v>19</v>
      </c>
    </row>
    <row r="38" customFormat="false" ht="13.8" hidden="false" customHeight="false" outlineLevel="0" collapsed="false">
      <c r="A38" s="4"/>
      <c r="B38" s="7" t="s">
        <v>41</v>
      </c>
      <c r="C38" s="7"/>
      <c r="D38" s="7"/>
      <c r="E38" s="7"/>
      <c r="F38" s="7" t="s">
        <v>41</v>
      </c>
      <c r="G38" s="7" t="n">
        <f aca="false">H37</f>
        <v>0.2</v>
      </c>
      <c r="H38" s="7"/>
      <c r="I38" s="7" t="s">
        <v>17</v>
      </c>
      <c r="J38" s="7" t="n">
        <f aca="false">G38+SUM(E37:E37)</f>
        <v>1.2</v>
      </c>
      <c r="K38" s="7" t="s">
        <v>42</v>
      </c>
      <c r="L38" s="9"/>
    </row>
    <row r="39" customFormat="false" ht="13.8" hidden="false" customHeight="false" outlineLevel="0" collapsed="false">
      <c r="A39" s="4" t="s">
        <v>43</v>
      </c>
      <c r="B39" s="5" t="s">
        <v>43</v>
      </c>
      <c r="C39" s="5" t="n">
        <v>110</v>
      </c>
      <c r="D39" s="5" t="n">
        <v>13.8</v>
      </c>
      <c r="E39" s="5" t="n">
        <v>50</v>
      </c>
      <c r="F39" s="5" t="s">
        <v>43</v>
      </c>
      <c r="G39" s="5" t="n">
        <v>24.9366</v>
      </c>
      <c r="H39" s="5"/>
      <c r="I39" s="5" t="s">
        <v>13</v>
      </c>
      <c r="J39" s="5"/>
      <c r="K39" s="5" t="s">
        <v>23</v>
      </c>
      <c r="L39" s="6"/>
    </row>
    <row r="40" customFormat="false" ht="13.8" hidden="false" customHeight="false" outlineLevel="0" collapsed="false">
      <c r="A40" s="4"/>
      <c r="B40" s="0" t="s">
        <v>43</v>
      </c>
      <c r="C40" s="0" t="n">
        <v>110</v>
      </c>
      <c r="D40" s="0" t="n">
        <v>13.8</v>
      </c>
      <c r="E40" s="0" t="n">
        <v>50</v>
      </c>
      <c r="F40" s="0" t="s">
        <v>43</v>
      </c>
      <c r="H40" s="0" t="n">
        <f aca="false">SUM(G39:G40)</f>
        <v>24.9366</v>
      </c>
      <c r="I40" s="0" t="s">
        <v>13</v>
      </c>
      <c r="K40" s="0" t="s">
        <v>23</v>
      </c>
      <c r="L40" s="10"/>
    </row>
    <row r="41" customFormat="false" ht="13.8" hidden="false" customHeight="false" outlineLevel="0" collapsed="false">
      <c r="A41" s="4"/>
      <c r="B41" s="7" t="s">
        <v>43</v>
      </c>
      <c r="C41" s="7"/>
      <c r="D41" s="7"/>
      <c r="E41" s="7"/>
      <c r="F41" s="7" t="s">
        <v>43</v>
      </c>
      <c r="G41" s="8" t="n">
        <f aca="false">H40</f>
        <v>24.9366</v>
      </c>
      <c r="H41" s="7"/>
      <c r="I41" s="7" t="s">
        <v>13</v>
      </c>
      <c r="J41" s="8" t="n">
        <f aca="false">G41+SUM(E39:E40)</f>
        <v>124.9366</v>
      </c>
      <c r="K41" s="7" t="s">
        <v>23</v>
      </c>
      <c r="L41" s="9"/>
    </row>
    <row r="42" customFormat="false" ht="13.8" hidden="false" customHeight="false" outlineLevel="0" collapsed="false">
      <c r="A42" s="4" t="s">
        <v>44</v>
      </c>
      <c r="B42" s="5" t="s">
        <v>44</v>
      </c>
      <c r="C42" s="5" t="n">
        <v>110</v>
      </c>
      <c r="D42" s="5" t="n">
        <v>13.8</v>
      </c>
      <c r="E42" s="5" t="n">
        <v>50</v>
      </c>
      <c r="F42" s="5" t="s">
        <v>43</v>
      </c>
      <c r="G42" s="5" t="n">
        <v>24.9366</v>
      </c>
      <c r="H42" s="5" t="n">
        <f aca="false">G42</f>
        <v>24.9366</v>
      </c>
      <c r="I42" s="5" t="s">
        <v>13</v>
      </c>
      <c r="J42" s="5"/>
      <c r="K42" s="5" t="s">
        <v>23</v>
      </c>
      <c r="L42" s="6"/>
    </row>
    <row r="43" customFormat="false" ht="13.8" hidden="false" customHeight="false" outlineLevel="0" collapsed="false">
      <c r="A43" s="4"/>
      <c r="B43" s="0" t="s">
        <v>44</v>
      </c>
      <c r="F43" s="0" t="s">
        <v>44</v>
      </c>
      <c r="G43" s="0" t="n">
        <v>26.92</v>
      </c>
      <c r="I43" s="0" t="s">
        <v>13</v>
      </c>
      <c r="K43" s="0" t="s">
        <v>23</v>
      </c>
      <c r="L43" s="10"/>
    </row>
    <row r="44" customFormat="false" ht="13.8" hidden="false" customHeight="false" outlineLevel="0" collapsed="false">
      <c r="A44" s="4"/>
      <c r="B44" s="0" t="s">
        <v>44</v>
      </c>
      <c r="F44" s="0" t="s">
        <v>44</v>
      </c>
      <c r="G44" s="0" t="n">
        <v>26.32</v>
      </c>
      <c r="I44" s="0" t="s">
        <v>13</v>
      </c>
      <c r="K44" s="0" t="s">
        <v>23</v>
      </c>
      <c r="L44" s="10"/>
    </row>
    <row r="45" customFormat="false" ht="13.8" hidden="false" customHeight="false" outlineLevel="0" collapsed="false">
      <c r="A45" s="4"/>
      <c r="B45" s="0" t="s">
        <v>44</v>
      </c>
      <c r="C45" s="0" t="n">
        <v>110</v>
      </c>
      <c r="D45" s="0" t="n">
        <v>34.5</v>
      </c>
      <c r="E45" s="0" t="n">
        <v>125</v>
      </c>
      <c r="F45" s="0" t="s">
        <v>44</v>
      </c>
      <c r="G45" s="0" t="n">
        <v>16.46</v>
      </c>
      <c r="H45" s="0" t="n">
        <f aca="false">SUM(G43:G45)</f>
        <v>69.7</v>
      </c>
      <c r="I45" s="0" t="s">
        <v>13</v>
      </c>
      <c r="K45" s="0" t="s">
        <v>23</v>
      </c>
      <c r="L45" s="10"/>
    </row>
    <row r="46" customFormat="false" ht="13.8" hidden="false" customHeight="false" outlineLevel="0" collapsed="false">
      <c r="A46" s="4"/>
      <c r="B46" s="7" t="s">
        <v>44</v>
      </c>
      <c r="C46" s="7"/>
      <c r="D46" s="7"/>
      <c r="E46" s="7"/>
      <c r="F46" s="7" t="s">
        <v>44</v>
      </c>
      <c r="G46" s="8" t="n">
        <f aca="false">H45-H42</f>
        <v>44.7634</v>
      </c>
      <c r="H46" s="7"/>
      <c r="I46" s="7" t="s">
        <v>13</v>
      </c>
      <c r="J46" s="8" t="n">
        <f aca="false">G46+SUM(E45:E45)</f>
        <v>169.7634</v>
      </c>
      <c r="K46" s="7" t="s">
        <v>23</v>
      </c>
      <c r="L46" s="9"/>
    </row>
    <row r="47" customFormat="false" ht="13.8" hidden="false" customHeight="false" outlineLevel="0" collapsed="false">
      <c r="A47" s="4" t="s">
        <v>45</v>
      </c>
      <c r="B47" s="5" t="s">
        <v>45</v>
      </c>
      <c r="C47" s="5" t="n">
        <v>34.5</v>
      </c>
      <c r="D47" s="5" t="n">
        <v>13.8</v>
      </c>
      <c r="E47" s="5" t="n">
        <v>30</v>
      </c>
      <c r="F47" s="5" t="s">
        <v>45</v>
      </c>
      <c r="G47" s="5" t="n">
        <v>17.17824</v>
      </c>
      <c r="H47" s="5" t="n">
        <f aca="false">SUM(G47:G47)</f>
        <v>17.17824</v>
      </c>
      <c r="I47" s="5" t="s">
        <v>13</v>
      </c>
      <c r="J47" s="5"/>
      <c r="K47" s="5" t="s">
        <v>46</v>
      </c>
      <c r="L47" s="6"/>
    </row>
    <row r="48" customFormat="false" ht="13.8" hidden="false" customHeight="false" outlineLevel="0" collapsed="false">
      <c r="A48" s="4"/>
      <c r="B48" s="7" t="s">
        <v>45</v>
      </c>
      <c r="C48" s="7"/>
      <c r="D48" s="7"/>
      <c r="E48" s="7"/>
      <c r="F48" s="7" t="s">
        <v>45</v>
      </c>
      <c r="G48" s="8" t="n">
        <f aca="false">H47</f>
        <v>17.17824</v>
      </c>
      <c r="H48" s="7"/>
      <c r="I48" s="7" t="s">
        <v>13</v>
      </c>
      <c r="J48" s="8" t="n">
        <f aca="false">G48+SUM(E47:E47)</f>
        <v>47.17824</v>
      </c>
      <c r="K48" s="7" t="s">
        <v>46</v>
      </c>
      <c r="L48" s="9"/>
    </row>
    <row r="49" customFormat="false" ht="13.8" hidden="false" customHeight="false" outlineLevel="0" collapsed="false">
      <c r="A49" s="4" t="s">
        <v>47</v>
      </c>
      <c r="B49" s="5" t="s">
        <v>47</v>
      </c>
      <c r="C49" s="5" t="n">
        <v>34.5</v>
      </c>
      <c r="D49" s="5" t="n">
        <v>13.8</v>
      </c>
      <c r="E49" s="5" t="n">
        <v>30</v>
      </c>
      <c r="F49" s="5" t="s">
        <v>45</v>
      </c>
      <c r="G49" s="5" t="n">
        <f aca="false">G48</f>
        <v>17.17824</v>
      </c>
      <c r="H49" s="5"/>
      <c r="I49" s="5" t="s">
        <v>13</v>
      </c>
      <c r="J49" s="5"/>
      <c r="K49" s="5" t="s">
        <v>23</v>
      </c>
      <c r="L49" s="6"/>
    </row>
    <row r="50" customFormat="false" ht="13.8" hidden="false" customHeight="false" outlineLevel="0" collapsed="false">
      <c r="A50" s="4"/>
      <c r="B50" s="0" t="s">
        <v>47</v>
      </c>
      <c r="F50" s="0" t="s">
        <v>48</v>
      </c>
      <c r="G50" s="0" t="n">
        <v>59.8716136</v>
      </c>
      <c r="H50" s="0" t="n">
        <f aca="false">SUM(G49:G50)</f>
        <v>77.0498536</v>
      </c>
      <c r="I50" s="0" t="s">
        <v>13</v>
      </c>
      <c r="K50" s="0" t="s">
        <v>23</v>
      </c>
      <c r="L50" s="10" t="s">
        <v>49</v>
      </c>
    </row>
    <row r="51" customFormat="false" ht="13.8" hidden="false" customHeight="false" outlineLevel="0" collapsed="false">
      <c r="A51" s="4"/>
      <c r="B51" s="0" t="s">
        <v>47</v>
      </c>
      <c r="C51" s="0" t="n">
        <v>110</v>
      </c>
      <c r="D51" s="0" t="n">
        <v>34.5</v>
      </c>
      <c r="E51" s="0" t="n">
        <v>50</v>
      </c>
      <c r="F51" s="0" t="s">
        <v>47</v>
      </c>
      <c r="G51" s="0" t="n">
        <v>16.041</v>
      </c>
      <c r="I51" s="0" t="s">
        <v>13</v>
      </c>
      <c r="K51" s="0" t="s">
        <v>23</v>
      </c>
      <c r="L51" s="10"/>
    </row>
    <row r="52" customFormat="false" ht="13.8" hidden="false" customHeight="false" outlineLevel="0" collapsed="false">
      <c r="A52" s="4"/>
      <c r="B52" s="0" t="s">
        <v>47</v>
      </c>
      <c r="C52" s="0" t="n">
        <v>110</v>
      </c>
      <c r="D52" s="0" t="n">
        <v>34.5</v>
      </c>
      <c r="E52" s="0" t="n">
        <v>50</v>
      </c>
      <c r="F52" s="0" t="s">
        <v>47</v>
      </c>
      <c r="G52" s="0" t="n">
        <v>15.504</v>
      </c>
      <c r="I52" s="0" t="s">
        <v>13</v>
      </c>
      <c r="K52" s="0" t="s">
        <v>23</v>
      </c>
      <c r="L52" s="10"/>
    </row>
    <row r="53" customFormat="false" ht="13.8" hidden="false" customHeight="false" outlineLevel="0" collapsed="false">
      <c r="A53" s="4"/>
      <c r="B53" s="0" t="s">
        <v>47</v>
      </c>
      <c r="C53" s="0" t="n">
        <v>34.5</v>
      </c>
      <c r="D53" s="0" t="n">
        <v>13.8</v>
      </c>
      <c r="E53" s="0" t="n">
        <v>28</v>
      </c>
      <c r="F53" s="0" t="s">
        <v>47</v>
      </c>
      <c r="G53" s="0" t="n">
        <v>4.7702</v>
      </c>
      <c r="I53" s="0" t="s">
        <v>13</v>
      </c>
      <c r="K53" s="0" t="s">
        <v>23</v>
      </c>
      <c r="L53" s="10" t="s">
        <v>50</v>
      </c>
    </row>
    <row r="54" customFormat="false" ht="13.8" hidden="false" customHeight="false" outlineLevel="0" collapsed="false">
      <c r="A54" s="4"/>
      <c r="B54" s="0" t="s">
        <v>47</v>
      </c>
      <c r="F54" s="0" t="s">
        <v>47</v>
      </c>
      <c r="G54" s="0" t="n">
        <v>5</v>
      </c>
      <c r="I54" s="0" t="s">
        <v>13</v>
      </c>
      <c r="K54" s="0" t="s">
        <v>23</v>
      </c>
      <c r="L54" s="10" t="s">
        <v>51</v>
      </c>
    </row>
    <row r="55" customFormat="false" ht="13.8" hidden="false" customHeight="false" outlineLevel="0" collapsed="false">
      <c r="A55" s="4"/>
      <c r="B55" s="0" t="s">
        <v>47</v>
      </c>
      <c r="F55" s="0" t="s">
        <v>47</v>
      </c>
      <c r="G55" s="0" t="n">
        <v>4.29</v>
      </c>
      <c r="H55" s="0" t="n">
        <f aca="false">SUM(G51:G55)</f>
        <v>45.6052</v>
      </c>
      <c r="I55" s="0" t="s">
        <v>13</v>
      </c>
      <c r="K55" s="0" t="s">
        <v>23</v>
      </c>
      <c r="L55" s="10" t="s">
        <v>52</v>
      </c>
    </row>
    <row r="56" customFormat="false" ht="13.8" hidden="false" customHeight="false" outlineLevel="0" collapsed="false">
      <c r="A56" s="4"/>
      <c r="B56" s="7" t="s">
        <v>47</v>
      </c>
      <c r="C56" s="7"/>
      <c r="D56" s="7"/>
      <c r="E56" s="7"/>
      <c r="F56" s="7" t="s">
        <v>53</v>
      </c>
      <c r="G56" s="8" t="n">
        <f aca="false">H55-H50</f>
        <v>-31.4446536</v>
      </c>
      <c r="H56" s="7"/>
      <c r="I56" s="7" t="s">
        <v>13</v>
      </c>
      <c r="J56" s="8" t="n">
        <f aca="false">G56+SUM(E51:E55)</f>
        <v>96.5553464</v>
      </c>
      <c r="K56" s="7" t="s">
        <v>23</v>
      </c>
      <c r="L56" s="9"/>
    </row>
    <row r="57" customFormat="false" ht="13.8" hidden="false" customHeight="false" outlineLevel="0" collapsed="false">
      <c r="A57" s="4" t="s">
        <v>54</v>
      </c>
      <c r="B57" s="5" t="s">
        <v>54</v>
      </c>
      <c r="C57" s="5" t="n">
        <v>110</v>
      </c>
      <c r="D57" s="5" t="n">
        <v>13.8</v>
      </c>
      <c r="E57" s="5" t="n">
        <v>30</v>
      </c>
      <c r="F57" s="5" t="s">
        <v>54</v>
      </c>
      <c r="G57" s="5" t="n">
        <v>19.751</v>
      </c>
      <c r="H57" s="5"/>
      <c r="I57" s="5" t="s">
        <v>17</v>
      </c>
      <c r="J57" s="5"/>
      <c r="K57" s="5" t="s">
        <v>55</v>
      </c>
      <c r="L57" s="6"/>
    </row>
    <row r="58" customFormat="false" ht="13.8" hidden="false" customHeight="false" outlineLevel="0" collapsed="false">
      <c r="A58" s="4"/>
      <c r="B58" s="0" t="s">
        <v>54</v>
      </c>
      <c r="C58" s="0" t="n">
        <v>110</v>
      </c>
      <c r="D58" s="0" t="n">
        <v>13.8</v>
      </c>
      <c r="E58" s="0" t="n">
        <v>50</v>
      </c>
      <c r="F58" s="0" t="s">
        <v>54</v>
      </c>
      <c r="G58" s="0" t="n">
        <v>38.82</v>
      </c>
      <c r="H58" s="0" t="n">
        <f aca="false">SUM(G57:G58)</f>
        <v>58.571</v>
      </c>
      <c r="I58" s="0" t="s">
        <v>17</v>
      </c>
      <c r="K58" s="0" t="s">
        <v>55</v>
      </c>
      <c r="L58" s="10"/>
    </row>
    <row r="59" customFormat="false" ht="13.8" hidden="false" customHeight="false" outlineLevel="0" collapsed="false">
      <c r="A59" s="4"/>
      <c r="B59" s="7" t="s">
        <v>54</v>
      </c>
      <c r="C59" s="7"/>
      <c r="D59" s="7"/>
      <c r="E59" s="7"/>
      <c r="F59" s="7" t="s">
        <v>54</v>
      </c>
      <c r="G59" s="8" t="n">
        <f aca="false">H58</f>
        <v>58.571</v>
      </c>
      <c r="H59" s="7"/>
      <c r="I59" s="7" t="s">
        <v>17</v>
      </c>
      <c r="J59" s="8" t="n">
        <f aca="false">G59+SUM(E57:E58)</f>
        <v>138.571</v>
      </c>
      <c r="K59" s="7" t="s">
        <v>55</v>
      </c>
      <c r="L59" s="9"/>
    </row>
    <row r="60" customFormat="false" ht="13.8" hidden="false" customHeight="false" outlineLevel="0" collapsed="false">
      <c r="A60" s="4" t="s">
        <v>56</v>
      </c>
      <c r="B60" s="5" t="s">
        <v>56</v>
      </c>
      <c r="C60" s="5" t="n">
        <v>110</v>
      </c>
      <c r="D60" s="5" t="n">
        <v>13.8</v>
      </c>
      <c r="E60" s="5" t="n">
        <v>25</v>
      </c>
      <c r="F60" s="5" t="s">
        <v>56</v>
      </c>
      <c r="G60" s="5" t="n">
        <v>17.019</v>
      </c>
      <c r="H60" s="5"/>
      <c r="I60" s="5" t="s">
        <v>26</v>
      </c>
      <c r="J60" s="5"/>
      <c r="K60" s="5" t="s">
        <v>56</v>
      </c>
      <c r="L60" s="6"/>
    </row>
    <row r="61" customFormat="false" ht="13.8" hidden="false" customHeight="false" outlineLevel="0" collapsed="false">
      <c r="A61" s="4"/>
      <c r="B61" s="0" t="s">
        <v>56</v>
      </c>
      <c r="C61" s="0" t="n">
        <v>110</v>
      </c>
      <c r="D61" s="0" t="n">
        <v>13.8</v>
      </c>
      <c r="E61" s="0" t="n">
        <v>30</v>
      </c>
      <c r="F61" s="0" t="s">
        <v>56</v>
      </c>
      <c r="G61" s="0" t="n">
        <v>21.01</v>
      </c>
      <c r="H61" s="0" t="n">
        <f aca="false">SUM(G60:G61)</f>
        <v>38.029</v>
      </c>
      <c r="I61" s="0" t="s">
        <v>26</v>
      </c>
      <c r="K61" s="0" t="s">
        <v>56</v>
      </c>
      <c r="L61" s="10"/>
    </row>
    <row r="62" customFormat="false" ht="13.8" hidden="false" customHeight="false" outlineLevel="0" collapsed="false">
      <c r="A62" s="4"/>
      <c r="B62" s="7" t="s">
        <v>56</v>
      </c>
      <c r="C62" s="7"/>
      <c r="D62" s="7"/>
      <c r="E62" s="7"/>
      <c r="F62" s="7" t="s">
        <v>56</v>
      </c>
      <c r="G62" s="8" t="n">
        <f aca="false">H61</f>
        <v>38.029</v>
      </c>
      <c r="H62" s="7"/>
      <c r="I62" s="7" t="s">
        <v>26</v>
      </c>
      <c r="J62" s="8" t="n">
        <f aca="false">G62+SUM(E60:E61)</f>
        <v>93.029</v>
      </c>
      <c r="K62" s="7" t="s">
        <v>56</v>
      </c>
      <c r="L62" s="9"/>
    </row>
    <row r="63" customFormat="false" ht="13.8" hidden="false" customHeight="false" outlineLevel="0" collapsed="false">
      <c r="A63" s="4" t="s">
        <v>57</v>
      </c>
      <c r="B63" s="5" t="s">
        <v>57</v>
      </c>
      <c r="C63" s="5" t="n">
        <v>34.5</v>
      </c>
      <c r="D63" s="5" t="n">
        <v>13.8</v>
      </c>
      <c r="E63" s="5" t="n">
        <v>4.3</v>
      </c>
      <c r="F63" s="5" t="s">
        <v>57</v>
      </c>
      <c r="G63" s="5" t="n">
        <v>2.38</v>
      </c>
      <c r="H63" s="5"/>
      <c r="I63" s="5" t="s">
        <v>13</v>
      </c>
      <c r="J63" s="5"/>
      <c r="K63" s="5" t="s">
        <v>57</v>
      </c>
      <c r="L63" s="6"/>
    </row>
    <row r="64" customFormat="false" ht="13.8" hidden="false" customHeight="false" outlineLevel="0" collapsed="false">
      <c r="A64" s="4"/>
      <c r="B64" s="0" t="s">
        <v>57</v>
      </c>
      <c r="F64" s="0" t="s">
        <v>57</v>
      </c>
      <c r="G64" s="0" t="n">
        <v>0.6</v>
      </c>
      <c r="H64" s="0" t="n">
        <f aca="false">SUM(G63:G64)</f>
        <v>2.98</v>
      </c>
      <c r="I64" s="0" t="s">
        <v>13</v>
      </c>
      <c r="K64" s="0" t="s">
        <v>57</v>
      </c>
      <c r="L64" s="10" t="s">
        <v>58</v>
      </c>
    </row>
    <row r="65" customFormat="false" ht="13.8" hidden="false" customHeight="false" outlineLevel="0" collapsed="false">
      <c r="A65" s="4"/>
      <c r="B65" s="7" t="s">
        <v>57</v>
      </c>
      <c r="C65" s="7"/>
      <c r="D65" s="7"/>
      <c r="E65" s="7"/>
      <c r="F65" s="7" t="s">
        <v>57</v>
      </c>
      <c r="G65" s="8" t="n">
        <f aca="false">H64</f>
        <v>2.98</v>
      </c>
      <c r="H65" s="7"/>
      <c r="I65" s="7" t="s">
        <v>13</v>
      </c>
      <c r="J65" s="8" t="n">
        <f aca="false">G65+SUM(E63:E64)</f>
        <v>7.28</v>
      </c>
      <c r="K65" s="7" t="s">
        <v>57</v>
      </c>
      <c r="L65" s="9"/>
    </row>
    <row r="66" customFormat="false" ht="13.8" hidden="false" customHeight="false" outlineLevel="0" collapsed="false">
      <c r="A66" s="4" t="s">
        <v>59</v>
      </c>
      <c r="B66" s="5" t="s">
        <v>59</v>
      </c>
      <c r="C66" s="5" t="n">
        <v>110</v>
      </c>
      <c r="D66" s="5" t="n">
        <v>13.8</v>
      </c>
      <c r="E66" s="5" t="n">
        <v>30</v>
      </c>
      <c r="F66" s="5" t="s">
        <v>59</v>
      </c>
      <c r="G66" s="5" t="n">
        <v>18.925</v>
      </c>
      <c r="H66" s="5"/>
      <c r="I66" s="5" t="s">
        <v>17</v>
      </c>
      <c r="J66" s="5"/>
      <c r="K66" s="5" t="s">
        <v>55</v>
      </c>
      <c r="L66" s="6"/>
    </row>
    <row r="67" customFormat="false" ht="13.8" hidden="false" customHeight="false" outlineLevel="0" collapsed="false">
      <c r="A67" s="4"/>
      <c r="B67" s="0" t="s">
        <v>59</v>
      </c>
      <c r="C67" s="0" t="n">
        <v>110</v>
      </c>
      <c r="D67" s="0" t="n">
        <v>13.8</v>
      </c>
      <c r="E67" s="0" t="n">
        <v>30</v>
      </c>
      <c r="F67" s="0" t="s">
        <v>59</v>
      </c>
      <c r="G67" s="0" t="n">
        <v>16.685</v>
      </c>
      <c r="I67" s="0" t="s">
        <v>17</v>
      </c>
      <c r="K67" s="0" t="s">
        <v>55</v>
      </c>
      <c r="L67" s="10"/>
    </row>
    <row r="68" customFormat="false" ht="13.8" hidden="false" customHeight="false" outlineLevel="0" collapsed="false">
      <c r="A68" s="4"/>
      <c r="B68" s="0" t="s">
        <v>59</v>
      </c>
      <c r="C68" s="0" t="n">
        <v>110</v>
      </c>
      <c r="D68" s="0" t="n">
        <v>13.8</v>
      </c>
      <c r="E68" s="0" t="n">
        <v>30</v>
      </c>
      <c r="F68" s="0" t="s">
        <v>59</v>
      </c>
      <c r="G68" s="0" t="n">
        <v>12.272</v>
      </c>
      <c r="H68" s="0" t="n">
        <f aca="false">SUM(G66:G68)</f>
        <v>47.882</v>
      </c>
      <c r="I68" s="0" t="s">
        <v>17</v>
      </c>
      <c r="K68" s="0" t="s">
        <v>55</v>
      </c>
      <c r="L68" s="10"/>
    </row>
    <row r="69" customFormat="false" ht="13.8" hidden="false" customHeight="false" outlineLevel="0" collapsed="false">
      <c r="A69" s="4"/>
      <c r="B69" s="7" t="s">
        <v>59</v>
      </c>
      <c r="C69" s="7"/>
      <c r="D69" s="7"/>
      <c r="E69" s="7"/>
      <c r="F69" s="7" t="s">
        <v>59</v>
      </c>
      <c r="G69" s="8" t="n">
        <f aca="false">H68</f>
        <v>47.882</v>
      </c>
      <c r="H69" s="7"/>
      <c r="I69" s="7" t="s">
        <v>17</v>
      </c>
      <c r="J69" s="8" t="n">
        <f aca="false">G69+SUM(E66:E68)</f>
        <v>137.882</v>
      </c>
      <c r="K69" s="7" t="s">
        <v>55</v>
      </c>
      <c r="L69" s="9"/>
    </row>
    <row r="70" customFormat="false" ht="13.8" hidden="false" customHeight="false" outlineLevel="0" collapsed="false">
      <c r="A70" s="4" t="s">
        <v>60</v>
      </c>
      <c r="B70" s="5" t="s">
        <v>60</v>
      </c>
      <c r="C70" s="5" t="n">
        <v>110</v>
      </c>
      <c r="D70" s="5" t="n">
        <v>13.8</v>
      </c>
      <c r="E70" s="5" t="n">
        <v>30</v>
      </c>
      <c r="F70" s="5" t="s">
        <v>60</v>
      </c>
      <c r="G70" s="5" t="n">
        <v>18.8625</v>
      </c>
      <c r="H70" s="5"/>
      <c r="I70" s="5" t="s">
        <v>13</v>
      </c>
      <c r="J70" s="5"/>
      <c r="K70" s="5" t="s">
        <v>23</v>
      </c>
      <c r="L70" s="6"/>
    </row>
    <row r="71" customFormat="false" ht="13.8" hidden="false" customHeight="false" outlineLevel="0" collapsed="false">
      <c r="A71" s="4"/>
      <c r="B71" s="0" t="s">
        <v>60</v>
      </c>
      <c r="C71" s="0" t="n">
        <v>110</v>
      </c>
      <c r="D71" s="0" t="n">
        <v>13.8</v>
      </c>
      <c r="E71" s="0" t="n">
        <v>30</v>
      </c>
      <c r="F71" s="0" t="s">
        <v>60</v>
      </c>
      <c r="G71" s="0" t="n">
        <v>10.90775</v>
      </c>
      <c r="H71" s="0" t="n">
        <f aca="false">SUM(G70:G71)</f>
        <v>29.77025</v>
      </c>
      <c r="I71" s="0" t="s">
        <v>13</v>
      </c>
      <c r="K71" s="0" t="s">
        <v>23</v>
      </c>
      <c r="L71" s="10"/>
    </row>
    <row r="72" customFormat="false" ht="13.8" hidden="false" customHeight="false" outlineLevel="0" collapsed="false">
      <c r="A72" s="4"/>
      <c r="B72" s="7" t="s">
        <v>60</v>
      </c>
      <c r="C72" s="7"/>
      <c r="D72" s="7"/>
      <c r="E72" s="7"/>
      <c r="F72" s="7" t="s">
        <v>60</v>
      </c>
      <c r="G72" s="8" t="n">
        <f aca="false">H71</f>
        <v>29.77025</v>
      </c>
      <c r="H72" s="7"/>
      <c r="I72" s="7" t="s">
        <v>13</v>
      </c>
      <c r="J72" s="8" t="n">
        <f aca="false">G72+SUM(E70:E71)</f>
        <v>89.77025</v>
      </c>
      <c r="K72" s="7" t="s">
        <v>23</v>
      </c>
      <c r="L72" s="9"/>
    </row>
    <row r="73" customFormat="false" ht="13.8" hidden="false" customHeight="false" outlineLevel="0" collapsed="false">
      <c r="A73" s="4" t="s">
        <v>61</v>
      </c>
      <c r="B73" s="5" t="s">
        <v>61</v>
      </c>
      <c r="C73" s="5" t="n">
        <v>110</v>
      </c>
      <c r="D73" s="5" t="n">
        <v>13.8</v>
      </c>
      <c r="E73" s="5" t="n">
        <v>45</v>
      </c>
      <c r="F73" s="5" t="s">
        <v>61</v>
      </c>
      <c r="G73" s="5" t="n">
        <v>17.7897682</v>
      </c>
      <c r="H73" s="5"/>
      <c r="I73" s="5"/>
      <c r="J73" s="5"/>
      <c r="K73" s="5"/>
      <c r="L73" s="6" t="s">
        <v>62</v>
      </c>
    </row>
    <row r="74" customFormat="false" ht="13.8" hidden="false" customHeight="false" outlineLevel="0" collapsed="false">
      <c r="A74" s="4"/>
      <c r="B74" s="0" t="s">
        <v>61</v>
      </c>
      <c r="F74" s="0" t="s">
        <v>61</v>
      </c>
      <c r="G74" s="0" t="n">
        <v>14.973</v>
      </c>
      <c r="H74" s="0" t="n">
        <f aca="false">SUM(G73:G74)</f>
        <v>32.7627682</v>
      </c>
      <c r="L74" s="10"/>
    </row>
    <row r="75" customFormat="false" ht="13.8" hidden="false" customHeight="false" outlineLevel="0" collapsed="false">
      <c r="A75" s="4"/>
      <c r="B75" s="7" t="s">
        <v>61</v>
      </c>
      <c r="C75" s="7"/>
      <c r="D75" s="7"/>
      <c r="E75" s="7"/>
      <c r="F75" s="7" t="s">
        <v>61</v>
      </c>
      <c r="G75" s="8" t="n">
        <f aca="false">H74</f>
        <v>32.7627682</v>
      </c>
      <c r="H75" s="7"/>
      <c r="I75" s="7"/>
      <c r="J75" s="8" t="n">
        <f aca="false">G75+SUM(E73:E74)</f>
        <v>77.7627682</v>
      </c>
      <c r="K75" s="7"/>
      <c r="L75" s="9"/>
    </row>
    <row r="76" customFormat="false" ht="13.8" hidden="false" customHeight="false" outlineLevel="0" collapsed="false">
      <c r="A76" s="4" t="s">
        <v>63</v>
      </c>
      <c r="B76" s="5" t="s">
        <v>63</v>
      </c>
      <c r="C76" s="5" t="n">
        <v>110</v>
      </c>
      <c r="D76" s="5" t="n">
        <v>13.8</v>
      </c>
      <c r="E76" s="5" t="n">
        <v>50</v>
      </c>
      <c r="F76" s="5" t="s">
        <v>63</v>
      </c>
      <c r="G76" s="5" t="n">
        <v>40.29</v>
      </c>
      <c r="H76" s="5"/>
      <c r="I76" s="5" t="s">
        <v>13</v>
      </c>
      <c r="J76" s="5"/>
      <c r="K76" s="5" t="s">
        <v>23</v>
      </c>
      <c r="L76" s="6"/>
    </row>
    <row r="77" customFormat="false" ht="13.8" hidden="false" customHeight="false" outlineLevel="0" collapsed="false">
      <c r="A77" s="4"/>
      <c r="B77" s="0" t="s">
        <v>63</v>
      </c>
      <c r="C77" s="0" t="n">
        <v>110</v>
      </c>
      <c r="D77" s="0" t="n">
        <v>13.8</v>
      </c>
      <c r="E77" s="0" t="n">
        <v>50</v>
      </c>
      <c r="F77" s="0" t="s">
        <v>63</v>
      </c>
      <c r="G77" s="0" t="n">
        <v>40.314</v>
      </c>
      <c r="H77" s="0" t="n">
        <f aca="false">SUM(G76:G77)</f>
        <v>80.604</v>
      </c>
      <c r="I77" s="0" t="s">
        <v>13</v>
      </c>
      <c r="K77" s="0" t="s">
        <v>23</v>
      </c>
      <c r="L77" s="10"/>
    </row>
    <row r="78" customFormat="false" ht="13.8" hidden="false" customHeight="false" outlineLevel="0" collapsed="false">
      <c r="A78" s="4"/>
      <c r="B78" s="7" t="s">
        <v>63</v>
      </c>
      <c r="C78" s="7"/>
      <c r="D78" s="7"/>
      <c r="E78" s="7"/>
      <c r="F78" s="7" t="s">
        <v>63</v>
      </c>
      <c r="G78" s="8" t="n">
        <f aca="false">H77</f>
        <v>80.604</v>
      </c>
      <c r="H78" s="7"/>
      <c r="I78" s="7" t="s">
        <v>13</v>
      </c>
      <c r="J78" s="8" t="n">
        <f aca="false">G78+SUM(E76:E77)</f>
        <v>180.604</v>
      </c>
      <c r="K78" s="7" t="s">
        <v>23</v>
      </c>
      <c r="L78" s="9"/>
    </row>
    <row r="79" customFormat="false" ht="13.8" hidden="false" customHeight="false" outlineLevel="0" collapsed="false">
      <c r="A79" s="4" t="s">
        <v>42</v>
      </c>
      <c r="B79" s="5" t="s">
        <v>42</v>
      </c>
      <c r="C79" s="5" t="n">
        <v>34.5</v>
      </c>
      <c r="D79" s="5" t="n">
        <v>13.8</v>
      </c>
      <c r="E79" s="5" t="n">
        <v>8</v>
      </c>
      <c r="F79" s="5" t="s">
        <v>42</v>
      </c>
      <c r="G79" s="5" t="n">
        <v>5.87</v>
      </c>
      <c r="H79" s="5"/>
      <c r="I79" s="5" t="s">
        <v>17</v>
      </c>
      <c r="J79" s="5"/>
      <c r="K79" s="5" t="s">
        <v>42</v>
      </c>
      <c r="L79" s="6" t="s">
        <v>19</v>
      </c>
    </row>
    <row r="80" customFormat="false" ht="13.8" hidden="false" customHeight="false" outlineLevel="0" collapsed="false">
      <c r="A80" s="4"/>
      <c r="B80" s="0" t="s">
        <v>42</v>
      </c>
      <c r="C80" s="0" t="n">
        <v>34.5</v>
      </c>
      <c r="D80" s="0" t="n">
        <v>13.8</v>
      </c>
      <c r="E80" s="0" t="n">
        <v>8</v>
      </c>
      <c r="F80" s="0" t="s">
        <v>42</v>
      </c>
      <c r="H80" s="0" t="n">
        <f aca="false">SUM(G79:G80)</f>
        <v>5.87</v>
      </c>
      <c r="I80" s="0" t="s">
        <v>17</v>
      </c>
      <c r="K80" s="0" t="s">
        <v>42</v>
      </c>
      <c r="L80" s="10"/>
    </row>
    <row r="81" customFormat="false" ht="13.8" hidden="false" customHeight="false" outlineLevel="0" collapsed="false">
      <c r="A81" s="4"/>
      <c r="B81" s="7" t="s">
        <v>42</v>
      </c>
      <c r="C81" s="7"/>
      <c r="D81" s="7"/>
      <c r="E81" s="7"/>
      <c r="F81" s="7" t="s">
        <v>42</v>
      </c>
      <c r="G81" s="8" t="n">
        <f aca="false">H80</f>
        <v>5.87</v>
      </c>
      <c r="H81" s="7"/>
      <c r="I81" s="7" t="s">
        <v>17</v>
      </c>
      <c r="J81" s="8" t="n">
        <f aca="false">G81+SUM(E79:E80)</f>
        <v>21.87</v>
      </c>
      <c r="K81" s="7" t="s">
        <v>42</v>
      </c>
      <c r="L81" s="9"/>
    </row>
    <row r="82" customFormat="false" ht="13.8" hidden="false" customHeight="false" outlineLevel="0" collapsed="false">
      <c r="A82" s="4" t="s">
        <v>64</v>
      </c>
      <c r="B82" s="5" t="s">
        <v>64</v>
      </c>
      <c r="C82" s="5" t="n">
        <v>34.5</v>
      </c>
      <c r="D82" s="5" t="n">
        <v>13.8</v>
      </c>
      <c r="E82" s="5" t="n">
        <v>12.5</v>
      </c>
      <c r="F82" s="5" t="s">
        <v>64</v>
      </c>
      <c r="G82" s="5" t="n">
        <v>5.659</v>
      </c>
      <c r="H82" s="5"/>
      <c r="I82" s="5" t="s">
        <v>17</v>
      </c>
      <c r="J82" s="5"/>
      <c r="K82" s="5" t="s">
        <v>64</v>
      </c>
      <c r="L82" s="6"/>
    </row>
    <row r="83" customFormat="false" ht="13.8" hidden="false" customHeight="false" outlineLevel="0" collapsed="false">
      <c r="A83" s="4"/>
      <c r="B83" s="0" t="s">
        <v>64</v>
      </c>
      <c r="C83" s="0" t="n">
        <v>34.5</v>
      </c>
      <c r="D83" s="0" t="n">
        <v>13.8</v>
      </c>
      <c r="E83" s="0" t="n">
        <v>12.5</v>
      </c>
      <c r="F83" s="0" t="s">
        <v>64</v>
      </c>
      <c r="G83" s="0" t="n">
        <v>5.224</v>
      </c>
      <c r="H83" s="0" t="n">
        <f aca="false">SUM(G82:G83)</f>
        <v>10.883</v>
      </c>
      <c r="I83" s="0" t="s">
        <v>17</v>
      </c>
      <c r="K83" s="0" t="s">
        <v>64</v>
      </c>
      <c r="L83" s="10"/>
    </row>
    <row r="84" customFormat="false" ht="13.8" hidden="false" customHeight="false" outlineLevel="0" collapsed="false">
      <c r="A84" s="4"/>
      <c r="B84" s="7" t="s">
        <v>64</v>
      </c>
      <c r="C84" s="7"/>
      <c r="D84" s="7"/>
      <c r="E84" s="7"/>
      <c r="F84" s="7" t="s">
        <v>64</v>
      </c>
      <c r="G84" s="8" t="n">
        <f aca="false">H83</f>
        <v>10.883</v>
      </c>
      <c r="H84" s="7"/>
      <c r="I84" s="7" t="s">
        <v>17</v>
      </c>
      <c r="J84" s="8" t="n">
        <f aca="false">G84+SUM(E82:E83)</f>
        <v>35.883</v>
      </c>
      <c r="K84" s="7" t="s">
        <v>64</v>
      </c>
      <c r="L84" s="9"/>
    </row>
    <row r="85" customFormat="false" ht="13.8" hidden="false" customHeight="false" outlineLevel="0" collapsed="false">
      <c r="A85" s="4" t="s">
        <v>65</v>
      </c>
      <c r="B85" s="5" t="s">
        <v>65</v>
      </c>
      <c r="C85" s="5" t="n">
        <v>34.5</v>
      </c>
      <c r="D85" s="5" t="n">
        <v>13.8</v>
      </c>
      <c r="E85" s="5" t="n">
        <v>8</v>
      </c>
      <c r="F85" s="5" t="s">
        <v>65</v>
      </c>
      <c r="G85" s="5" t="n">
        <v>5.03</v>
      </c>
      <c r="H85" s="5"/>
      <c r="I85" s="5" t="s">
        <v>13</v>
      </c>
      <c r="J85" s="5"/>
      <c r="K85" s="5" t="s">
        <v>65</v>
      </c>
      <c r="L85" s="6"/>
    </row>
    <row r="86" customFormat="false" ht="13.8" hidden="false" customHeight="false" outlineLevel="0" collapsed="false">
      <c r="A86" s="4"/>
      <c r="B86" s="0" t="s">
        <v>65</v>
      </c>
      <c r="C86" s="0" t="n">
        <v>34.5</v>
      </c>
      <c r="D86" s="0" t="n">
        <v>13.8</v>
      </c>
      <c r="E86" s="0" t="n">
        <v>12.5</v>
      </c>
      <c r="F86" s="0" t="s">
        <v>65</v>
      </c>
      <c r="H86" s="0" t="n">
        <f aca="false">SUM(G85:G86)</f>
        <v>5.03</v>
      </c>
      <c r="I86" s="0" t="s">
        <v>13</v>
      </c>
      <c r="K86" s="0" t="s">
        <v>65</v>
      </c>
      <c r="L86" s="10"/>
    </row>
    <row r="87" customFormat="false" ht="13.8" hidden="false" customHeight="false" outlineLevel="0" collapsed="false">
      <c r="A87" s="4"/>
      <c r="B87" s="7" t="s">
        <v>65</v>
      </c>
      <c r="C87" s="7"/>
      <c r="D87" s="7"/>
      <c r="E87" s="7"/>
      <c r="F87" s="7" t="s">
        <v>65</v>
      </c>
      <c r="G87" s="8" t="n">
        <f aca="false">H86</f>
        <v>5.03</v>
      </c>
      <c r="H87" s="7"/>
      <c r="I87" s="7" t="s">
        <v>13</v>
      </c>
      <c r="J87" s="8" t="n">
        <f aca="false">G87+SUM(E85:E86)</f>
        <v>25.53</v>
      </c>
      <c r="K87" s="7" t="s">
        <v>65</v>
      </c>
      <c r="L87" s="9"/>
    </row>
    <row r="88" customFormat="false" ht="13.8" hidden="false" customHeight="false" outlineLevel="0" collapsed="false">
      <c r="A88" s="4" t="s">
        <v>66</v>
      </c>
      <c r="B88" s="5" t="s">
        <v>66</v>
      </c>
      <c r="C88" s="5" t="n">
        <v>34.5</v>
      </c>
      <c r="D88" s="5" t="n">
        <v>13.8</v>
      </c>
      <c r="E88" s="5" t="n">
        <v>10</v>
      </c>
      <c r="F88" s="5" t="s">
        <v>66</v>
      </c>
      <c r="G88" s="5" t="n">
        <v>5.6534836</v>
      </c>
      <c r="H88" s="5" t="n">
        <f aca="false">SUM(G88:G88)</f>
        <v>5.6534836</v>
      </c>
      <c r="I88" s="5" t="s">
        <v>17</v>
      </c>
      <c r="J88" s="5"/>
      <c r="K88" s="5" t="s">
        <v>67</v>
      </c>
      <c r="L88" s="6" t="s">
        <v>68</v>
      </c>
    </row>
    <row r="89" customFormat="false" ht="13.8" hidden="false" customHeight="false" outlineLevel="0" collapsed="false">
      <c r="A89" s="4"/>
      <c r="B89" s="7" t="s">
        <v>66</v>
      </c>
      <c r="C89" s="7"/>
      <c r="D89" s="7"/>
      <c r="E89" s="7"/>
      <c r="F89" s="7" t="s">
        <v>66</v>
      </c>
      <c r="G89" s="8" t="n">
        <f aca="false">H88</f>
        <v>5.6534836</v>
      </c>
      <c r="H89" s="7"/>
      <c r="I89" s="7" t="s">
        <v>17</v>
      </c>
      <c r="J89" s="8" t="n">
        <f aca="false">G89+SUM(E88:E88)</f>
        <v>15.6534836</v>
      </c>
      <c r="K89" s="7" t="s">
        <v>67</v>
      </c>
      <c r="L89" s="9"/>
    </row>
    <row r="90" customFormat="false" ht="13.8" hidden="false" customHeight="false" outlineLevel="0" collapsed="false">
      <c r="A90" s="4" t="s">
        <v>69</v>
      </c>
      <c r="B90" s="5" t="s">
        <v>69</v>
      </c>
      <c r="C90" s="5" t="n">
        <v>34.5</v>
      </c>
      <c r="D90" s="5" t="n">
        <v>13.8</v>
      </c>
      <c r="E90" s="5" t="n">
        <v>6.5</v>
      </c>
      <c r="F90" s="5" t="s">
        <v>69</v>
      </c>
      <c r="G90" s="5" t="n">
        <v>3.78</v>
      </c>
      <c r="H90" s="5" t="n">
        <f aca="false">SUM(G90:G90)</f>
        <v>3.78</v>
      </c>
      <c r="I90" s="5" t="s">
        <v>17</v>
      </c>
      <c r="J90" s="5"/>
      <c r="K90" s="5" t="s">
        <v>69</v>
      </c>
      <c r="L90" s="6" t="s">
        <v>19</v>
      </c>
    </row>
    <row r="91" customFormat="false" ht="13.8" hidden="false" customHeight="false" outlineLevel="0" collapsed="false">
      <c r="A91" s="4"/>
      <c r="B91" s="7" t="s">
        <v>69</v>
      </c>
      <c r="C91" s="7"/>
      <c r="D91" s="7"/>
      <c r="E91" s="7"/>
      <c r="F91" s="7" t="s">
        <v>69</v>
      </c>
      <c r="G91" s="8" t="n">
        <f aca="false">H90</f>
        <v>3.78</v>
      </c>
      <c r="H91" s="7"/>
      <c r="I91" s="7" t="s">
        <v>17</v>
      </c>
      <c r="J91" s="8" t="n">
        <f aca="false">G91+SUM(E90:E90)</f>
        <v>10.28</v>
      </c>
      <c r="K91" s="7" t="s">
        <v>69</v>
      </c>
      <c r="L91" s="9"/>
    </row>
    <row r="92" customFormat="false" ht="13.8" hidden="false" customHeight="false" outlineLevel="0" collapsed="false">
      <c r="A92" s="4" t="s">
        <v>70</v>
      </c>
      <c r="B92" s="5" t="s">
        <v>70</v>
      </c>
      <c r="C92" s="5" t="n">
        <v>34.5</v>
      </c>
      <c r="D92" s="5" t="n">
        <v>13.8</v>
      </c>
      <c r="E92" s="5" t="n">
        <v>5</v>
      </c>
      <c r="F92" s="5" t="s">
        <v>70</v>
      </c>
      <c r="G92" s="5" t="n">
        <v>2.62</v>
      </c>
      <c r="H92" s="5"/>
      <c r="I92" s="5" t="s">
        <v>13</v>
      </c>
      <c r="J92" s="5"/>
      <c r="K92" s="5" t="s">
        <v>71</v>
      </c>
      <c r="L92" s="6" t="s">
        <v>15</v>
      </c>
    </row>
    <row r="93" customFormat="false" ht="13.8" hidden="false" customHeight="false" outlineLevel="0" collapsed="false">
      <c r="A93" s="4"/>
      <c r="B93" s="0" t="s">
        <v>70</v>
      </c>
      <c r="F93" s="0" t="s">
        <v>70</v>
      </c>
      <c r="G93" s="0" t="n">
        <v>1.07</v>
      </c>
      <c r="H93" s="0" t="n">
        <f aca="false">SUM(G92:G93)</f>
        <v>3.69</v>
      </c>
      <c r="I93" s="0" t="s">
        <v>13</v>
      </c>
      <c r="K93" s="0" t="s">
        <v>71</v>
      </c>
      <c r="L93" s="10" t="s">
        <v>72</v>
      </c>
    </row>
    <row r="94" customFormat="false" ht="13.8" hidden="false" customHeight="false" outlineLevel="0" collapsed="false">
      <c r="A94" s="4"/>
      <c r="B94" s="7" t="s">
        <v>70</v>
      </c>
      <c r="C94" s="7"/>
      <c r="D94" s="7"/>
      <c r="E94" s="7"/>
      <c r="F94" s="7" t="s">
        <v>70</v>
      </c>
      <c r="G94" s="8" t="n">
        <f aca="false">H93</f>
        <v>3.69</v>
      </c>
      <c r="H94" s="7"/>
      <c r="I94" s="7" t="s">
        <v>13</v>
      </c>
      <c r="J94" s="8" t="n">
        <f aca="false">G94+SUM(E92:E93)</f>
        <v>8.69</v>
      </c>
      <c r="K94" s="7" t="s">
        <v>71</v>
      </c>
      <c r="L94" s="9"/>
    </row>
    <row r="95" customFormat="false" ht="13.8" hidden="false" customHeight="false" outlineLevel="0" collapsed="false">
      <c r="A95" s="4" t="s">
        <v>73</v>
      </c>
      <c r="B95" s="5" t="s">
        <v>73</v>
      </c>
      <c r="C95" s="5" t="n">
        <v>34.5</v>
      </c>
      <c r="D95" s="5" t="n">
        <v>13.8</v>
      </c>
      <c r="E95" s="5" t="n">
        <v>30</v>
      </c>
      <c r="F95" s="5" t="s">
        <v>73</v>
      </c>
      <c r="G95" s="5" t="n">
        <v>10.29072</v>
      </c>
      <c r="H95" s="5" t="n">
        <f aca="false">SUM(G95:G95)</f>
        <v>10.29072</v>
      </c>
      <c r="I95" s="5" t="s">
        <v>13</v>
      </c>
      <c r="J95" s="5"/>
      <c r="K95" s="5" t="s">
        <v>73</v>
      </c>
      <c r="L95" s="6" t="s">
        <v>74</v>
      </c>
    </row>
    <row r="96" customFormat="false" ht="13.8" hidden="false" customHeight="false" outlineLevel="0" collapsed="false">
      <c r="A96" s="4"/>
      <c r="B96" s="7" t="s">
        <v>73</v>
      </c>
      <c r="C96" s="7"/>
      <c r="D96" s="7"/>
      <c r="E96" s="7"/>
      <c r="F96" s="7" t="s">
        <v>73</v>
      </c>
      <c r="G96" s="8" t="n">
        <f aca="false">H95</f>
        <v>10.29072</v>
      </c>
      <c r="H96" s="7"/>
      <c r="I96" s="7" t="s">
        <v>13</v>
      </c>
      <c r="J96" s="8" t="n">
        <f aca="false">G96+SUM(E95:E95)</f>
        <v>40.29072</v>
      </c>
      <c r="K96" s="7" t="s">
        <v>73</v>
      </c>
      <c r="L96" s="9"/>
    </row>
    <row r="97" customFormat="false" ht="13.8" hidden="false" customHeight="false" outlineLevel="0" collapsed="false">
      <c r="A97" s="4" t="s">
        <v>75</v>
      </c>
      <c r="B97" s="5" t="s">
        <v>75</v>
      </c>
      <c r="C97" s="5" t="n">
        <v>34.5</v>
      </c>
      <c r="D97" s="5" t="n">
        <v>13.8</v>
      </c>
      <c r="E97" s="5" t="n">
        <v>12.5</v>
      </c>
      <c r="F97" s="5" t="s">
        <v>75</v>
      </c>
      <c r="G97" s="5" t="n">
        <v>16.821</v>
      </c>
      <c r="H97" s="5"/>
      <c r="I97" s="5" t="s">
        <v>17</v>
      </c>
      <c r="J97" s="5"/>
      <c r="K97" s="5" t="s">
        <v>55</v>
      </c>
      <c r="L97" s="6"/>
    </row>
    <row r="98" customFormat="false" ht="13.8" hidden="false" customHeight="false" outlineLevel="0" collapsed="false">
      <c r="A98" s="4"/>
      <c r="B98" s="0" t="s">
        <v>75</v>
      </c>
      <c r="C98" s="0" t="n">
        <v>34.5</v>
      </c>
      <c r="D98" s="0" t="n">
        <v>13.8</v>
      </c>
      <c r="E98" s="0" t="n">
        <v>12.5</v>
      </c>
      <c r="F98" s="0" t="s">
        <v>75</v>
      </c>
      <c r="H98" s="0" t="n">
        <f aca="false">SUM(G97:G98)</f>
        <v>16.821</v>
      </c>
      <c r="I98" s="0" t="s">
        <v>17</v>
      </c>
      <c r="K98" s="0" t="s">
        <v>55</v>
      </c>
      <c r="L98" s="10"/>
    </row>
    <row r="99" customFormat="false" ht="13.8" hidden="false" customHeight="false" outlineLevel="0" collapsed="false">
      <c r="A99" s="4"/>
      <c r="B99" s="7" t="s">
        <v>75</v>
      </c>
      <c r="C99" s="7"/>
      <c r="D99" s="7"/>
      <c r="E99" s="7"/>
      <c r="F99" s="7" t="s">
        <v>75</v>
      </c>
      <c r="G99" s="8" t="n">
        <f aca="false">H98</f>
        <v>16.821</v>
      </c>
      <c r="H99" s="7"/>
      <c r="I99" s="7" t="s">
        <v>17</v>
      </c>
      <c r="J99" s="8" t="n">
        <f aca="false">G99+SUM(E97:E98)</f>
        <v>41.821</v>
      </c>
      <c r="K99" s="7" t="s">
        <v>55</v>
      </c>
      <c r="L99" s="9"/>
    </row>
    <row r="100" customFormat="false" ht="13.8" hidden="false" customHeight="false" outlineLevel="0" collapsed="false">
      <c r="A100" s="4" t="s">
        <v>55</v>
      </c>
      <c r="B100" s="5" t="s">
        <v>55</v>
      </c>
      <c r="C100" s="5" t="n">
        <v>34.5</v>
      </c>
      <c r="D100" s="5" t="n">
        <v>13.8</v>
      </c>
      <c r="E100" s="5" t="n">
        <v>12.5</v>
      </c>
      <c r="F100" s="5" t="s">
        <v>75</v>
      </c>
      <c r="G100" s="5" t="n">
        <f aca="false">G99</f>
        <v>16.821</v>
      </c>
      <c r="H100" s="5" t="n">
        <f aca="false">SUM(G100:G100)</f>
        <v>16.821</v>
      </c>
      <c r="I100" s="5"/>
      <c r="J100" s="5"/>
      <c r="K100" s="5"/>
      <c r="L100" s="6"/>
    </row>
    <row r="101" customFormat="false" ht="13.8" hidden="false" customHeight="false" outlineLevel="0" collapsed="false">
      <c r="A101" s="4"/>
      <c r="B101" s="0" t="s">
        <v>55</v>
      </c>
      <c r="C101" s="0" t="n">
        <v>34.5</v>
      </c>
      <c r="D101" s="0" t="n">
        <v>13.8</v>
      </c>
      <c r="E101" s="0" t="n">
        <v>35</v>
      </c>
      <c r="F101" s="0" t="s">
        <v>55</v>
      </c>
      <c r="G101" s="0" t="n">
        <v>3.68836</v>
      </c>
      <c r="L101" s="10" t="s">
        <v>76</v>
      </c>
    </row>
    <row r="102" customFormat="false" ht="13.8" hidden="false" customHeight="false" outlineLevel="0" collapsed="false">
      <c r="A102" s="4"/>
      <c r="B102" s="0" t="s">
        <v>55</v>
      </c>
      <c r="C102" s="0" t="n">
        <v>34.5</v>
      </c>
      <c r="D102" s="0" t="n">
        <v>13.8</v>
      </c>
      <c r="E102" s="0" t="n">
        <v>35</v>
      </c>
      <c r="F102" s="0" t="s">
        <v>55</v>
      </c>
      <c r="G102" s="0" t="n">
        <v>5.504</v>
      </c>
      <c r="L102" s="10" t="s">
        <v>77</v>
      </c>
    </row>
    <row r="103" customFormat="false" ht="13.8" hidden="false" customHeight="false" outlineLevel="0" collapsed="false">
      <c r="A103" s="4"/>
      <c r="B103" s="0" t="s">
        <v>55</v>
      </c>
      <c r="F103" s="0" t="s">
        <v>55</v>
      </c>
      <c r="G103" s="0" t="n">
        <v>18.315</v>
      </c>
      <c r="L103" s="10"/>
    </row>
    <row r="104" customFormat="false" ht="13.8" hidden="false" customHeight="false" outlineLevel="0" collapsed="false">
      <c r="A104" s="4"/>
      <c r="B104" s="0" t="s">
        <v>55</v>
      </c>
      <c r="F104" s="0" t="s">
        <v>55</v>
      </c>
      <c r="G104" s="0" t="n">
        <v>18.311</v>
      </c>
      <c r="H104" s="0" t="n">
        <f aca="false">SUM(G101:G104)</f>
        <v>45.81836</v>
      </c>
      <c r="L104" s="10"/>
    </row>
    <row r="105" customFormat="false" ht="13.8" hidden="false" customHeight="false" outlineLevel="0" collapsed="false">
      <c r="A105" s="4"/>
      <c r="B105" s="7" t="s">
        <v>55</v>
      </c>
      <c r="C105" s="7"/>
      <c r="D105" s="7"/>
      <c r="E105" s="7"/>
      <c r="F105" s="7" t="s">
        <v>78</v>
      </c>
      <c r="G105" s="8" t="n">
        <f aca="false">H104-H100</f>
        <v>28.99736</v>
      </c>
      <c r="H105" s="7"/>
      <c r="I105" s="7"/>
      <c r="J105" s="8" t="n">
        <f aca="false">G105+SUM(E101:E104)</f>
        <v>98.99736</v>
      </c>
      <c r="K105" s="7"/>
      <c r="L105" s="9"/>
    </row>
    <row r="106" customFormat="false" ht="13.8" hidden="false" customHeight="false" outlineLevel="0" collapsed="false">
      <c r="A106" s="4" t="s">
        <v>79</v>
      </c>
      <c r="B106" s="5" t="s">
        <v>79</v>
      </c>
      <c r="C106" s="5" t="n">
        <v>34.5</v>
      </c>
      <c r="D106" s="5" t="n">
        <v>13.8</v>
      </c>
      <c r="E106" s="5" t="n">
        <v>5</v>
      </c>
      <c r="F106" s="5" t="s">
        <v>79</v>
      </c>
      <c r="G106" s="5" t="n">
        <v>1.28</v>
      </c>
      <c r="H106" s="5"/>
      <c r="I106" s="5" t="s">
        <v>13</v>
      </c>
      <c r="J106" s="5"/>
      <c r="K106" s="5" t="s">
        <v>79</v>
      </c>
      <c r="L106" s="6" t="s">
        <v>40</v>
      </c>
    </row>
    <row r="107" customFormat="false" ht="13.8" hidden="false" customHeight="false" outlineLevel="0" collapsed="false">
      <c r="A107" s="4"/>
      <c r="B107" s="0" t="s">
        <v>79</v>
      </c>
      <c r="C107" s="0" t="n">
        <v>34.5</v>
      </c>
      <c r="D107" s="0" t="n">
        <v>13.8</v>
      </c>
      <c r="E107" s="0" t="n">
        <v>4</v>
      </c>
      <c r="F107" s="0" t="s">
        <v>79</v>
      </c>
      <c r="G107" s="0" t="n">
        <v>0.79</v>
      </c>
      <c r="H107" s="0" t="n">
        <f aca="false">SUM(G106:G107)</f>
        <v>2.07</v>
      </c>
      <c r="I107" s="0" t="s">
        <v>13</v>
      </c>
      <c r="K107" s="0" t="s">
        <v>79</v>
      </c>
      <c r="L107" s="10"/>
    </row>
    <row r="108" customFormat="false" ht="13.8" hidden="false" customHeight="false" outlineLevel="0" collapsed="false">
      <c r="A108" s="4"/>
      <c r="B108" s="7" t="s">
        <v>79</v>
      </c>
      <c r="C108" s="7"/>
      <c r="D108" s="7"/>
      <c r="E108" s="7"/>
      <c r="F108" s="7" t="s">
        <v>79</v>
      </c>
      <c r="G108" s="8" t="n">
        <f aca="false">H107</f>
        <v>2.07</v>
      </c>
      <c r="H108" s="7"/>
      <c r="I108" s="7" t="s">
        <v>13</v>
      </c>
      <c r="J108" s="8" t="n">
        <f aca="false">G108+SUM(E106:E107)</f>
        <v>11.07</v>
      </c>
      <c r="K108" s="7" t="s">
        <v>79</v>
      </c>
      <c r="L108" s="9"/>
    </row>
    <row r="109" customFormat="false" ht="13.8" hidden="false" customHeight="false" outlineLevel="0" collapsed="false">
      <c r="A109" s="4" t="s">
        <v>80</v>
      </c>
      <c r="B109" s="5" t="s">
        <v>80</v>
      </c>
      <c r="C109" s="5" t="n">
        <v>110</v>
      </c>
      <c r="D109" s="5" t="n">
        <v>13.8</v>
      </c>
      <c r="E109" s="5" t="n">
        <v>70</v>
      </c>
      <c r="F109" s="5" t="s">
        <v>80</v>
      </c>
      <c r="G109" s="5" t="n">
        <v>27.991</v>
      </c>
      <c r="H109" s="5"/>
      <c r="I109" s="5" t="s">
        <v>13</v>
      </c>
      <c r="J109" s="5"/>
      <c r="K109" s="5" t="s">
        <v>23</v>
      </c>
      <c r="L109" s="6"/>
    </row>
    <row r="110" customFormat="false" ht="13.8" hidden="false" customHeight="false" outlineLevel="0" collapsed="false">
      <c r="A110" s="4"/>
      <c r="B110" s="0" t="s">
        <v>80</v>
      </c>
      <c r="C110" s="0" t="n">
        <v>110</v>
      </c>
      <c r="D110" s="0" t="n">
        <v>34.5</v>
      </c>
      <c r="E110" s="0" t="n">
        <v>70</v>
      </c>
      <c r="F110" s="0" t="s">
        <v>80</v>
      </c>
      <c r="G110" s="0" t="n">
        <v>27.7035</v>
      </c>
      <c r="I110" s="0" t="s">
        <v>13</v>
      </c>
      <c r="K110" s="0" t="s">
        <v>23</v>
      </c>
      <c r="L110" s="10"/>
    </row>
    <row r="111" customFormat="false" ht="13.8" hidden="false" customHeight="false" outlineLevel="0" collapsed="false">
      <c r="A111" s="4"/>
      <c r="B111" s="0" t="s">
        <v>80</v>
      </c>
      <c r="C111" s="0" t="n">
        <v>34.5</v>
      </c>
      <c r="D111" s="0" t="n">
        <v>13.8</v>
      </c>
      <c r="E111" s="0" t="n">
        <v>33</v>
      </c>
      <c r="F111" s="0" t="s">
        <v>80</v>
      </c>
      <c r="G111" s="0" t="n">
        <v>3.795</v>
      </c>
      <c r="H111" s="0" t="n">
        <f aca="false">SUM(G109:G111)</f>
        <v>59.4895</v>
      </c>
      <c r="I111" s="0" t="s">
        <v>13</v>
      </c>
      <c r="K111" s="0" t="s">
        <v>23</v>
      </c>
      <c r="L111" s="10"/>
    </row>
    <row r="112" customFormat="false" ht="13.8" hidden="false" customHeight="false" outlineLevel="0" collapsed="false">
      <c r="A112" s="4"/>
      <c r="B112" s="7" t="s">
        <v>80</v>
      </c>
      <c r="C112" s="7"/>
      <c r="D112" s="7"/>
      <c r="E112" s="7"/>
      <c r="F112" s="7" t="s">
        <v>80</v>
      </c>
      <c r="G112" s="8" t="n">
        <f aca="false">H111</f>
        <v>59.4895</v>
      </c>
      <c r="H112" s="7"/>
      <c r="I112" s="7" t="s">
        <v>13</v>
      </c>
      <c r="J112" s="8" t="n">
        <f aca="false">G112+SUM(E109:E111)</f>
        <v>232.4895</v>
      </c>
      <c r="K112" s="7" t="s">
        <v>23</v>
      </c>
      <c r="L112" s="9"/>
    </row>
    <row r="113" customFormat="false" ht="13.8" hidden="false" customHeight="false" outlineLevel="0" collapsed="false">
      <c r="A113" s="4" t="s">
        <v>81</v>
      </c>
      <c r="B113" s="5" t="s">
        <v>81</v>
      </c>
      <c r="C113" s="5" t="n">
        <v>110</v>
      </c>
      <c r="D113" s="5" t="n">
        <v>13.8</v>
      </c>
      <c r="E113" s="5" t="n">
        <v>7.8</v>
      </c>
      <c r="F113" s="5" t="s">
        <v>81</v>
      </c>
      <c r="G113" s="5" t="n">
        <v>5.223738</v>
      </c>
      <c r="H113" s="5" t="n">
        <f aca="false">SUM(G113:G113)</f>
        <v>5.223738</v>
      </c>
      <c r="I113" s="5" t="s">
        <v>26</v>
      </c>
      <c r="J113" s="5"/>
      <c r="K113" s="5" t="s">
        <v>82</v>
      </c>
      <c r="L113" s="6"/>
    </row>
    <row r="114" customFormat="false" ht="13.8" hidden="false" customHeight="false" outlineLevel="0" collapsed="false">
      <c r="A114" s="4"/>
      <c r="B114" s="7" t="s">
        <v>81</v>
      </c>
      <c r="C114" s="7"/>
      <c r="D114" s="7"/>
      <c r="E114" s="7"/>
      <c r="F114" s="7" t="s">
        <v>81</v>
      </c>
      <c r="G114" s="8" t="n">
        <f aca="false">H113</f>
        <v>5.223738</v>
      </c>
      <c r="H114" s="7"/>
      <c r="I114" s="7" t="s">
        <v>26</v>
      </c>
      <c r="J114" s="8" t="n">
        <f aca="false">G114+SUM(E113:E113)</f>
        <v>13.023738</v>
      </c>
      <c r="K114" s="7" t="s">
        <v>82</v>
      </c>
      <c r="L114" s="9"/>
    </row>
    <row r="115" customFormat="false" ht="13.8" hidden="false" customHeight="false" outlineLevel="0" collapsed="false">
      <c r="A115" s="4" t="s">
        <v>83</v>
      </c>
      <c r="B115" s="5" t="s">
        <v>83</v>
      </c>
      <c r="C115" s="5" t="n">
        <v>110</v>
      </c>
      <c r="D115" s="5" t="n">
        <v>13.8</v>
      </c>
      <c r="E115" s="5" t="n">
        <v>50</v>
      </c>
      <c r="F115" s="5" t="s">
        <v>83</v>
      </c>
      <c r="G115" s="5" t="n">
        <v>31.9585</v>
      </c>
      <c r="H115" s="5"/>
      <c r="I115" s="5" t="s">
        <v>13</v>
      </c>
      <c r="J115" s="5"/>
      <c r="K115" s="5" t="s">
        <v>21</v>
      </c>
      <c r="L115" s="6"/>
    </row>
    <row r="116" customFormat="false" ht="13.8" hidden="false" customHeight="false" outlineLevel="0" collapsed="false">
      <c r="A116" s="4"/>
      <c r="B116" s="0" t="s">
        <v>83</v>
      </c>
      <c r="C116" s="0" t="n">
        <v>110</v>
      </c>
      <c r="D116" s="0" t="n">
        <v>13.8</v>
      </c>
      <c r="E116" s="0" t="n">
        <v>50</v>
      </c>
      <c r="F116" s="0" t="s">
        <v>83</v>
      </c>
      <c r="G116" s="0" t="n">
        <v>35.8843125</v>
      </c>
      <c r="I116" s="0" t="s">
        <v>13</v>
      </c>
      <c r="K116" s="0" t="s">
        <v>21</v>
      </c>
      <c r="L116" s="10"/>
    </row>
    <row r="117" customFormat="false" ht="13.8" hidden="false" customHeight="false" outlineLevel="0" collapsed="false">
      <c r="A117" s="4"/>
      <c r="B117" s="0" t="s">
        <v>83</v>
      </c>
      <c r="C117" s="0" t="n">
        <v>110</v>
      </c>
      <c r="D117" s="0" t="n">
        <v>13.8</v>
      </c>
      <c r="E117" s="0" t="n">
        <v>50</v>
      </c>
      <c r="F117" s="0" t="s">
        <v>83</v>
      </c>
      <c r="G117" s="0" t="n">
        <v>29.973</v>
      </c>
      <c r="H117" s="0" t="n">
        <f aca="false">SUM(G115:G117)</f>
        <v>97.8158125</v>
      </c>
      <c r="I117" s="0" t="s">
        <v>13</v>
      </c>
      <c r="K117" s="0" t="s">
        <v>21</v>
      </c>
      <c r="L117" s="10"/>
    </row>
    <row r="118" customFormat="false" ht="13.8" hidden="false" customHeight="false" outlineLevel="0" collapsed="false">
      <c r="A118" s="4"/>
      <c r="B118" s="7" t="s">
        <v>83</v>
      </c>
      <c r="C118" s="7"/>
      <c r="D118" s="7"/>
      <c r="E118" s="7"/>
      <c r="F118" s="7" t="s">
        <v>83</v>
      </c>
      <c r="G118" s="8" t="n">
        <f aca="false">H117</f>
        <v>97.8158125</v>
      </c>
      <c r="H118" s="7"/>
      <c r="I118" s="7" t="s">
        <v>13</v>
      </c>
      <c r="J118" s="8" t="n">
        <f aca="false">G118+SUM(E115:E117)</f>
        <v>247.8158125</v>
      </c>
      <c r="K118" s="7" t="s">
        <v>21</v>
      </c>
      <c r="L118" s="9"/>
    </row>
    <row r="119" customFormat="false" ht="13.8" hidden="false" customHeight="false" outlineLevel="0" collapsed="false">
      <c r="A119" s="4" t="s">
        <v>84</v>
      </c>
      <c r="B119" s="5" t="s">
        <v>84</v>
      </c>
      <c r="C119" s="5" t="n">
        <v>34.5</v>
      </c>
      <c r="D119" s="5" t="n">
        <v>13.8</v>
      </c>
      <c r="E119" s="5" t="n">
        <v>12.5</v>
      </c>
      <c r="F119" s="5" t="s">
        <v>84</v>
      </c>
      <c r="G119" s="5" t="n">
        <v>2.92</v>
      </c>
      <c r="H119" s="5"/>
      <c r="I119" s="5" t="s">
        <v>17</v>
      </c>
      <c r="J119" s="5"/>
      <c r="K119" s="5" t="s">
        <v>85</v>
      </c>
      <c r="L119" s="6" t="s">
        <v>86</v>
      </c>
    </row>
    <row r="120" customFormat="false" ht="13.8" hidden="false" customHeight="false" outlineLevel="0" collapsed="false">
      <c r="A120" s="4"/>
      <c r="B120" s="0" t="s">
        <v>84</v>
      </c>
      <c r="C120" s="0" t="n">
        <v>34.5</v>
      </c>
      <c r="D120" s="0" t="n">
        <v>13.8</v>
      </c>
      <c r="E120" s="0" t="n">
        <v>12.5</v>
      </c>
      <c r="F120" s="0" t="s">
        <v>84</v>
      </c>
      <c r="G120" s="0" t="n">
        <v>9.84216</v>
      </c>
      <c r="H120" s="0" t="n">
        <f aca="false">SUM(G119:G120)</f>
        <v>12.76216</v>
      </c>
      <c r="I120" s="0" t="s">
        <v>17</v>
      </c>
      <c r="K120" s="0" t="s">
        <v>85</v>
      </c>
      <c r="L120" s="10"/>
    </row>
    <row r="121" customFormat="false" ht="13.8" hidden="false" customHeight="false" outlineLevel="0" collapsed="false">
      <c r="A121" s="4"/>
      <c r="B121" s="7" t="s">
        <v>84</v>
      </c>
      <c r="C121" s="7"/>
      <c r="D121" s="7"/>
      <c r="E121" s="7"/>
      <c r="F121" s="7" t="s">
        <v>84</v>
      </c>
      <c r="G121" s="8" t="n">
        <f aca="false">H120</f>
        <v>12.76216</v>
      </c>
      <c r="H121" s="7"/>
      <c r="I121" s="7" t="s">
        <v>17</v>
      </c>
      <c r="J121" s="8" t="n">
        <f aca="false">G121+SUM(E119:E120)</f>
        <v>37.76216</v>
      </c>
      <c r="K121" s="7" t="s">
        <v>85</v>
      </c>
      <c r="L121" s="9"/>
    </row>
    <row r="122" customFormat="false" ht="13.8" hidden="false" customHeight="false" outlineLevel="0" collapsed="false">
      <c r="A122" s="4" t="s">
        <v>87</v>
      </c>
      <c r="B122" s="5" t="s">
        <v>87</v>
      </c>
      <c r="C122" s="5" t="n">
        <v>34.5</v>
      </c>
      <c r="D122" s="5" t="n">
        <v>13.8</v>
      </c>
      <c r="E122" s="5" t="n">
        <v>4</v>
      </c>
      <c r="F122" s="5" t="s">
        <v>87</v>
      </c>
      <c r="G122" s="5" t="n">
        <v>3.2</v>
      </c>
      <c r="H122" s="5"/>
      <c r="I122" s="5" t="s">
        <v>26</v>
      </c>
      <c r="J122" s="5"/>
      <c r="K122" s="5" t="s">
        <v>88</v>
      </c>
      <c r="L122" s="6"/>
    </row>
    <row r="123" customFormat="false" ht="13.8" hidden="false" customHeight="false" outlineLevel="0" collapsed="false">
      <c r="A123" s="4"/>
      <c r="B123" s="0" t="s">
        <v>87</v>
      </c>
      <c r="C123" s="0" t="n">
        <v>34.5</v>
      </c>
      <c r="D123" s="0" t="n">
        <v>13.8</v>
      </c>
      <c r="E123" s="0" t="n">
        <v>6.5</v>
      </c>
      <c r="F123" s="0" t="s">
        <v>87</v>
      </c>
      <c r="H123" s="0" t="n">
        <f aca="false">SUM(G122:G123)</f>
        <v>3.2</v>
      </c>
      <c r="I123" s="0" t="s">
        <v>26</v>
      </c>
      <c r="K123" s="0" t="s">
        <v>88</v>
      </c>
      <c r="L123" s="10"/>
    </row>
    <row r="124" customFormat="false" ht="13.8" hidden="false" customHeight="false" outlineLevel="0" collapsed="false">
      <c r="A124" s="4"/>
      <c r="B124" s="7" t="s">
        <v>87</v>
      </c>
      <c r="C124" s="7"/>
      <c r="D124" s="7"/>
      <c r="E124" s="7"/>
      <c r="F124" s="7" t="s">
        <v>87</v>
      </c>
      <c r="G124" s="8" t="n">
        <f aca="false">H123</f>
        <v>3.2</v>
      </c>
      <c r="H124" s="7"/>
      <c r="I124" s="7" t="s">
        <v>26</v>
      </c>
      <c r="J124" s="8" t="n">
        <f aca="false">G124+SUM(E122:E123)</f>
        <v>13.7</v>
      </c>
      <c r="K124" s="7" t="s">
        <v>88</v>
      </c>
      <c r="L124" s="9"/>
    </row>
    <row r="125" customFormat="false" ht="13.8" hidden="false" customHeight="false" outlineLevel="0" collapsed="false">
      <c r="A125" s="4" t="s">
        <v>89</v>
      </c>
      <c r="B125" s="5" t="s">
        <v>89</v>
      </c>
      <c r="C125" s="5" t="n">
        <v>34.5</v>
      </c>
      <c r="D125" s="5" t="n">
        <v>13.8</v>
      </c>
      <c r="E125" s="5" t="n">
        <v>1</v>
      </c>
      <c r="F125" s="5" t="s">
        <v>89</v>
      </c>
      <c r="G125" s="5" t="n">
        <v>0.141</v>
      </c>
      <c r="H125" s="5" t="n">
        <f aca="false">SUM(G125:G125)</f>
        <v>0.141</v>
      </c>
      <c r="I125" s="5" t="s">
        <v>26</v>
      </c>
      <c r="J125" s="5"/>
      <c r="K125" s="5" t="s">
        <v>90</v>
      </c>
      <c r="L125" s="6"/>
    </row>
    <row r="126" customFormat="false" ht="13.8" hidden="false" customHeight="false" outlineLevel="0" collapsed="false">
      <c r="A126" s="4"/>
      <c r="B126" s="7" t="s">
        <v>89</v>
      </c>
      <c r="C126" s="7"/>
      <c r="D126" s="7"/>
      <c r="E126" s="7"/>
      <c r="F126" s="7" t="s">
        <v>89</v>
      </c>
      <c r="G126" s="8" t="n">
        <f aca="false">H125</f>
        <v>0.141</v>
      </c>
      <c r="H126" s="7"/>
      <c r="I126" s="7" t="s">
        <v>26</v>
      </c>
      <c r="J126" s="8" t="n">
        <f aca="false">G126+SUM(E125:E125)</f>
        <v>1.141</v>
      </c>
      <c r="K126" s="7" t="s">
        <v>90</v>
      </c>
      <c r="L126" s="9"/>
    </row>
    <row r="127" customFormat="false" ht="13.8" hidden="false" customHeight="false" outlineLevel="0" collapsed="false">
      <c r="A127" s="4" t="s">
        <v>90</v>
      </c>
      <c r="B127" s="5" t="s">
        <v>90</v>
      </c>
      <c r="C127" s="5" t="n">
        <v>34.5</v>
      </c>
      <c r="D127" s="5" t="n">
        <v>13.8</v>
      </c>
      <c r="E127" s="5" t="n">
        <v>8</v>
      </c>
      <c r="F127" s="5" t="s">
        <v>90</v>
      </c>
      <c r="G127" s="5" t="n">
        <v>2.531</v>
      </c>
      <c r="H127" s="5" t="n">
        <f aca="false">SUM(G127:G127)</f>
        <v>2.531</v>
      </c>
      <c r="I127" s="5" t="s">
        <v>26</v>
      </c>
      <c r="J127" s="5"/>
      <c r="K127" s="5" t="s">
        <v>90</v>
      </c>
      <c r="L127" s="6"/>
    </row>
    <row r="128" customFormat="false" ht="13.8" hidden="false" customHeight="false" outlineLevel="0" collapsed="false">
      <c r="A128" s="4"/>
      <c r="B128" s="7" t="s">
        <v>90</v>
      </c>
      <c r="C128" s="7"/>
      <c r="D128" s="7"/>
      <c r="E128" s="7"/>
      <c r="F128" s="7" t="s">
        <v>90</v>
      </c>
      <c r="G128" s="8" t="n">
        <f aca="false">H127</f>
        <v>2.531</v>
      </c>
      <c r="H128" s="7"/>
      <c r="I128" s="7" t="s">
        <v>26</v>
      </c>
      <c r="J128" s="8" t="n">
        <f aca="false">G128+SUM(E127:E127)</f>
        <v>10.531</v>
      </c>
      <c r="K128" s="7" t="s">
        <v>90</v>
      </c>
      <c r="L128" s="9"/>
    </row>
    <row r="129" customFormat="false" ht="13.8" hidden="false" customHeight="false" outlineLevel="0" collapsed="false">
      <c r="A129" s="4" t="s">
        <v>91</v>
      </c>
      <c r="B129" s="5" t="s">
        <v>91</v>
      </c>
      <c r="C129" s="5" t="n">
        <v>30</v>
      </c>
      <c r="D129" s="5" t="n">
        <v>13.8</v>
      </c>
      <c r="E129" s="5" t="n">
        <v>6.5</v>
      </c>
      <c r="F129" s="5" t="s">
        <v>91</v>
      </c>
      <c r="G129" s="5" t="n">
        <v>5.941</v>
      </c>
      <c r="H129" s="5"/>
      <c r="I129" s="5" t="s">
        <v>26</v>
      </c>
      <c r="J129" s="5"/>
      <c r="K129" s="5" t="s">
        <v>91</v>
      </c>
      <c r="L129" s="6"/>
    </row>
    <row r="130" customFormat="false" ht="13.8" hidden="false" customHeight="false" outlineLevel="0" collapsed="false">
      <c r="A130" s="4"/>
      <c r="B130" s="0" t="s">
        <v>91</v>
      </c>
      <c r="C130" s="0" t="n">
        <v>30</v>
      </c>
      <c r="D130" s="0" t="n">
        <v>13.8</v>
      </c>
      <c r="E130" s="0" t="n">
        <v>6.5</v>
      </c>
      <c r="F130" s="0" t="s">
        <v>91</v>
      </c>
      <c r="I130" s="0" t="s">
        <v>26</v>
      </c>
      <c r="K130" s="0" t="s">
        <v>91</v>
      </c>
      <c r="L130" s="10" t="s">
        <v>92</v>
      </c>
    </row>
    <row r="131" customFormat="false" ht="13.8" hidden="false" customHeight="false" outlineLevel="0" collapsed="false">
      <c r="A131" s="4"/>
      <c r="B131" s="0" t="s">
        <v>91</v>
      </c>
      <c r="C131" s="0" t="n">
        <v>110</v>
      </c>
      <c r="D131" s="0" t="n">
        <v>34.5</v>
      </c>
      <c r="E131" s="0" t="n">
        <v>30</v>
      </c>
      <c r="F131" s="0" t="s">
        <v>91</v>
      </c>
      <c r="I131" s="0" t="s">
        <v>26</v>
      </c>
      <c r="K131" s="0" t="s">
        <v>91</v>
      </c>
      <c r="L131" s="10"/>
    </row>
    <row r="132" customFormat="false" ht="13.8" hidden="false" customHeight="false" outlineLevel="0" collapsed="false">
      <c r="A132" s="4"/>
      <c r="B132" s="0" t="s">
        <v>91</v>
      </c>
      <c r="C132" s="0" t="n">
        <v>110</v>
      </c>
      <c r="D132" s="0" t="n">
        <v>34.5</v>
      </c>
      <c r="E132" s="0" t="n">
        <v>30</v>
      </c>
      <c r="F132" s="0" t="s">
        <v>91</v>
      </c>
      <c r="H132" s="0" t="n">
        <f aca="false">SUM(G129:G132)</f>
        <v>5.941</v>
      </c>
      <c r="I132" s="0" t="s">
        <v>26</v>
      </c>
      <c r="K132" s="0" t="s">
        <v>91</v>
      </c>
      <c r="L132" s="10"/>
    </row>
    <row r="133" customFormat="false" ht="13.8" hidden="false" customHeight="false" outlineLevel="0" collapsed="false">
      <c r="A133" s="4"/>
      <c r="B133" s="7" t="s">
        <v>91</v>
      </c>
      <c r="C133" s="7"/>
      <c r="D133" s="7"/>
      <c r="E133" s="7"/>
      <c r="F133" s="7" t="s">
        <v>91</v>
      </c>
      <c r="G133" s="8" t="n">
        <f aca="false">H132</f>
        <v>5.941</v>
      </c>
      <c r="H133" s="7"/>
      <c r="I133" s="7" t="s">
        <v>26</v>
      </c>
      <c r="J133" s="8" t="n">
        <f aca="false">G133+SUM(E129:E132)</f>
        <v>78.941</v>
      </c>
      <c r="K133" s="7" t="s">
        <v>91</v>
      </c>
      <c r="L133" s="9"/>
    </row>
    <row r="134" customFormat="false" ht="13.8" hidden="false" customHeight="false" outlineLevel="0" collapsed="false">
      <c r="A134" s="4" t="s">
        <v>88</v>
      </c>
      <c r="B134" s="5" t="s">
        <v>88</v>
      </c>
      <c r="C134" s="5" t="n">
        <v>34.5</v>
      </c>
      <c r="D134" s="5" t="n">
        <v>13.8</v>
      </c>
      <c r="E134" s="5" t="n">
        <v>6.5</v>
      </c>
      <c r="F134" s="5" t="s">
        <v>87</v>
      </c>
      <c r="G134" s="5" t="n">
        <f aca="false">G124</f>
        <v>3.2</v>
      </c>
      <c r="H134" s="5"/>
      <c r="I134" s="5" t="s">
        <v>26</v>
      </c>
      <c r="J134" s="5"/>
      <c r="K134" s="5" t="s">
        <v>88</v>
      </c>
      <c r="L134" s="6"/>
    </row>
    <row r="135" customFormat="false" ht="13.8" hidden="false" customHeight="false" outlineLevel="0" collapsed="false">
      <c r="A135" s="4"/>
      <c r="B135" s="0" t="s">
        <v>88</v>
      </c>
      <c r="C135" s="0" t="n">
        <v>34.5</v>
      </c>
      <c r="D135" s="0" t="n">
        <v>13.8</v>
      </c>
      <c r="E135" s="0" t="n">
        <v>1</v>
      </c>
      <c r="F135" s="0" t="s">
        <v>89</v>
      </c>
      <c r="G135" s="0" t="n">
        <f aca="false">G126</f>
        <v>0.141</v>
      </c>
      <c r="I135" s="0" t="s">
        <v>26</v>
      </c>
      <c r="K135" s="0" t="s">
        <v>88</v>
      </c>
      <c r="L135" s="10"/>
    </row>
    <row r="136" customFormat="false" ht="13.8" hidden="false" customHeight="false" outlineLevel="0" collapsed="false">
      <c r="A136" s="4"/>
      <c r="B136" s="0" t="s">
        <v>88</v>
      </c>
      <c r="C136" s="0" t="n">
        <v>34.5</v>
      </c>
      <c r="D136" s="0" t="n">
        <v>13.8</v>
      </c>
      <c r="E136" s="0" t="n">
        <v>8</v>
      </c>
      <c r="F136" s="0" t="s">
        <v>90</v>
      </c>
      <c r="G136" s="0" t="n">
        <f aca="false">H127</f>
        <v>2.531</v>
      </c>
      <c r="I136" s="0" t="s">
        <v>26</v>
      </c>
      <c r="K136" s="0" t="s">
        <v>88</v>
      </c>
      <c r="L136" s="10"/>
    </row>
    <row r="137" customFormat="false" ht="13.8" hidden="false" customHeight="false" outlineLevel="0" collapsed="false">
      <c r="A137" s="4"/>
      <c r="B137" s="0" t="s">
        <v>88</v>
      </c>
      <c r="C137" s="0" t="n">
        <v>110</v>
      </c>
      <c r="D137" s="0" t="n">
        <v>34.5</v>
      </c>
      <c r="E137" s="0" t="n">
        <v>30</v>
      </c>
      <c r="F137" s="0" t="s">
        <v>91</v>
      </c>
      <c r="G137" s="0" t="n">
        <f aca="false">G133</f>
        <v>5.941</v>
      </c>
      <c r="H137" s="0" t="n">
        <f aca="false">SUM(G134:G137)</f>
        <v>11.813</v>
      </c>
      <c r="I137" s="0" t="s">
        <v>26</v>
      </c>
      <c r="K137" s="0" t="s">
        <v>88</v>
      </c>
      <c r="L137" s="10"/>
    </row>
    <row r="138" customFormat="false" ht="13.8" hidden="false" customHeight="false" outlineLevel="0" collapsed="false">
      <c r="A138" s="4"/>
      <c r="B138" s="0" t="s">
        <v>88</v>
      </c>
      <c r="C138" s="0" t="n">
        <v>110</v>
      </c>
      <c r="D138" s="0" t="n">
        <v>13.8</v>
      </c>
      <c r="E138" s="0" t="n">
        <v>30</v>
      </c>
      <c r="F138" s="0" t="s">
        <v>88</v>
      </c>
      <c r="G138" s="0" t="n">
        <v>21.738</v>
      </c>
      <c r="I138" s="0" t="s">
        <v>26</v>
      </c>
      <c r="K138" s="0" t="s">
        <v>88</v>
      </c>
      <c r="L138" s="10" t="s">
        <v>93</v>
      </c>
    </row>
    <row r="139" customFormat="false" ht="13.8" hidden="false" customHeight="false" outlineLevel="0" collapsed="false">
      <c r="A139" s="4"/>
      <c r="B139" s="0" t="s">
        <v>88</v>
      </c>
      <c r="C139" s="0" t="n">
        <v>110</v>
      </c>
      <c r="D139" s="0" t="n">
        <v>13.8</v>
      </c>
      <c r="E139" s="0" t="n">
        <v>50</v>
      </c>
      <c r="F139" s="0" t="s">
        <v>88</v>
      </c>
      <c r="G139" s="0" t="n">
        <v>22.354</v>
      </c>
      <c r="I139" s="0" t="s">
        <v>26</v>
      </c>
      <c r="K139" s="0" t="s">
        <v>88</v>
      </c>
      <c r="L139" s="10"/>
    </row>
    <row r="140" customFormat="false" ht="13.8" hidden="false" customHeight="false" outlineLevel="0" collapsed="false">
      <c r="A140" s="4"/>
      <c r="B140" s="0" t="s">
        <v>88</v>
      </c>
      <c r="F140" s="0" t="s">
        <v>88</v>
      </c>
      <c r="G140" s="0" t="n">
        <v>10.729</v>
      </c>
      <c r="H140" s="0" t="n">
        <f aca="false">SUM(G138:G140)</f>
        <v>54.821</v>
      </c>
      <c r="I140" s="0" t="s">
        <v>26</v>
      </c>
      <c r="K140" s="0" t="s">
        <v>88</v>
      </c>
      <c r="L140" s="10"/>
    </row>
    <row r="141" customFormat="false" ht="13.8" hidden="false" customHeight="false" outlineLevel="0" collapsed="false">
      <c r="A141" s="4"/>
      <c r="B141" s="7" t="s">
        <v>88</v>
      </c>
      <c r="C141" s="7"/>
      <c r="D141" s="7"/>
      <c r="E141" s="7"/>
      <c r="F141" s="7" t="s">
        <v>94</v>
      </c>
      <c r="G141" s="8" t="n">
        <f aca="false">H140-H137</f>
        <v>43.008</v>
      </c>
      <c r="H141" s="7"/>
      <c r="I141" s="7" t="s">
        <v>26</v>
      </c>
      <c r="J141" s="8" t="n">
        <f aca="false">G141+SUM(E138:E140)</f>
        <v>123.008</v>
      </c>
      <c r="K141" s="7" t="s">
        <v>88</v>
      </c>
      <c r="L141" s="9" t="s">
        <v>92</v>
      </c>
    </row>
    <row r="142" customFormat="false" ht="13.8" hidden="false" customHeight="false" outlineLevel="0" collapsed="false">
      <c r="A142" s="4" t="s">
        <v>95</v>
      </c>
      <c r="B142" s="5" t="s">
        <v>95</v>
      </c>
      <c r="C142" s="5" t="n">
        <v>110</v>
      </c>
      <c r="D142" s="5" t="n">
        <v>13.8</v>
      </c>
      <c r="E142" s="5" t="n">
        <v>50</v>
      </c>
      <c r="F142" s="5" t="s">
        <v>95</v>
      </c>
      <c r="G142" s="5"/>
      <c r="H142" s="5"/>
      <c r="I142" s="5" t="s">
        <v>13</v>
      </c>
      <c r="J142" s="5"/>
      <c r="K142" s="5" t="s">
        <v>23</v>
      </c>
      <c r="L142" s="6" t="s">
        <v>96</v>
      </c>
    </row>
    <row r="143" customFormat="false" ht="13.8" hidden="false" customHeight="false" outlineLevel="0" collapsed="false">
      <c r="A143" s="4"/>
      <c r="B143" s="0" t="s">
        <v>95</v>
      </c>
      <c r="C143" s="0" t="n">
        <v>110</v>
      </c>
      <c r="D143" s="0" t="n">
        <v>13.8</v>
      </c>
      <c r="E143" s="0" t="n">
        <v>50</v>
      </c>
      <c r="F143" s="0" t="s">
        <v>95</v>
      </c>
      <c r="H143" s="0" t="n">
        <f aca="false">SUM(G142:G143)</f>
        <v>0</v>
      </c>
      <c r="I143" s="0" t="s">
        <v>13</v>
      </c>
      <c r="K143" s="0" t="s">
        <v>23</v>
      </c>
      <c r="L143" s="10"/>
    </row>
    <row r="144" customFormat="false" ht="13.8" hidden="false" customHeight="false" outlineLevel="0" collapsed="false">
      <c r="A144" s="4"/>
      <c r="B144" s="7" t="s">
        <v>95</v>
      </c>
      <c r="C144" s="7"/>
      <c r="D144" s="7"/>
      <c r="E144" s="7"/>
      <c r="F144" s="7" t="s">
        <v>95</v>
      </c>
      <c r="G144" s="8" t="n">
        <f aca="false">H143</f>
        <v>0</v>
      </c>
      <c r="H144" s="7"/>
      <c r="I144" s="7" t="s">
        <v>13</v>
      </c>
      <c r="J144" s="8" t="n">
        <f aca="false">G144+SUM(E142:E143)</f>
        <v>100</v>
      </c>
      <c r="K144" s="7" t="s">
        <v>23</v>
      </c>
      <c r="L144" s="9"/>
    </row>
    <row r="145" customFormat="false" ht="13.8" hidden="false" customHeight="false" outlineLevel="0" collapsed="false">
      <c r="A145" s="4" t="s">
        <v>97</v>
      </c>
      <c r="B145" s="5" t="s">
        <v>97</v>
      </c>
      <c r="C145" s="5" t="n">
        <v>34.5</v>
      </c>
      <c r="D145" s="5" t="n">
        <v>13.8</v>
      </c>
      <c r="E145" s="5" t="n">
        <v>20</v>
      </c>
      <c r="F145" s="5" t="s">
        <v>97</v>
      </c>
      <c r="G145" s="5"/>
      <c r="H145" s="5" t="n">
        <f aca="false">SUM(G145:G145)</f>
        <v>0</v>
      </c>
      <c r="I145" s="5" t="s">
        <v>13</v>
      </c>
      <c r="J145" s="5"/>
      <c r="K145" s="5" t="s">
        <v>98</v>
      </c>
      <c r="L145" s="6" t="s">
        <v>40</v>
      </c>
    </row>
    <row r="146" customFormat="false" ht="13.8" hidden="false" customHeight="false" outlineLevel="0" collapsed="false">
      <c r="A146" s="4"/>
      <c r="B146" s="7" t="s">
        <v>97</v>
      </c>
      <c r="C146" s="7"/>
      <c r="D146" s="7"/>
      <c r="E146" s="7"/>
      <c r="F146" s="7" t="s">
        <v>97</v>
      </c>
      <c r="G146" s="8" t="n">
        <f aca="false">H145</f>
        <v>0</v>
      </c>
      <c r="H146" s="7"/>
      <c r="I146" s="7" t="s">
        <v>13</v>
      </c>
      <c r="J146" s="8" t="n">
        <f aca="false">G146+SUM(E145:E145)</f>
        <v>20</v>
      </c>
      <c r="K146" s="7" t="s">
        <v>98</v>
      </c>
      <c r="L146" s="9" t="s">
        <v>96</v>
      </c>
    </row>
    <row r="147" customFormat="false" ht="13.8" hidden="false" customHeight="false" outlineLevel="0" collapsed="false">
      <c r="A147" s="4" t="s">
        <v>99</v>
      </c>
      <c r="B147" s="5" t="s">
        <v>99</v>
      </c>
      <c r="C147" s="5" t="n">
        <v>110</v>
      </c>
      <c r="D147" s="5" t="n">
        <v>13.8</v>
      </c>
      <c r="E147" s="5" t="n">
        <v>15</v>
      </c>
      <c r="F147" s="5" t="s">
        <v>99</v>
      </c>
      <c r="G147" s="5" t="n">
        <v>15.24375</v>
      </c>
      <c r="H147" s="5"/>
      <c r="I147" s="5" t="s">
        <v>13</v>
      </c>
      <c r="J147" s="5"/>
      <c r="K147" s="5" t="s">
        <v>21</v>
      </c>
      <c r="L147" s="6" t="s">
        <v>100</v>
      </c>
    </row>
    <row r="148" customFormat="false" ht="13.8" hidden="false" customHeight="false" outlineLevel="0" collapsed="false">
      <c r="A148" s="4"/>
      <c r="B148" s="0" t="s">
        <v>99</v>
      </c>
      <c r="C148" s="0" t="n">
        <v>220</v>
      </c>
      <c r="D148" s="0" t="n">
        <v>13.8</v>
      </c>
      <c r="E148" s="0" t="n">
        <v>120</v>
      </c>
      <c r="F148" s="0" t="s">
        <v>99</v>
      </c>
      <c r="I148" s="0" t="s">
        <v>13</v>
      </c>
      <c r="K148" s="0" t="s">
        <v>21</v>
      </c>
      <c r="L148" s="10"/>
    </row>
    <row r="149" customFormat="false" ht="13.8" hidden="false" customHeight="false" outlineLevel="0" collapsed="false">
      <c r="A149" s="4"/>
      <c r="B149" s="0" t="s">
        <v>99</v>
      </c>
      <c r="C149" s="0" t="n">
        <v>220</v>
      </c>
      <c r="D149" s="0" t="n">
        <v>13.8</v>
      </c>
      <c r="E149" s="0" t="n">
        <v>120</v>
      </c>
      <c r="F149" s="0" t="s">
        <v>99</v>
      </c>
      <c r="I149" s="0" t="s">
        <v>13</v>
      </c>
      <c r="K149" s="0" t="s">
        <v>21</v>
      </c>
      <c r="L149" s="10"/>
    </row>
    <row r="150" customFormat="false" ht="13.8" hidden="false" customHeight="false" outlineLevel="0" collapsed="false">
      <c r="A150" s="4"/>
      <c r="B150" s="0" t="s">
        <v>99</v>
      </c>
      <c r="C150" s="0" t="n">
        <v>220</v>
      </c>
      <c r="D150" s="0" t="n">
        <v>13.8</v>
      </c>
      <c r="E150" s="0" t="n">
        <v>120</v>
      </c>
      <c r="F150" s="0" t="s">
        <v>99</v>
      </c>
      <c r="I150" s="0" t="s">
        <v>13</v>
      </c>
      <c r="K150" s="0" t="s">
        <v>21</v>
      </c>
      <c r="L150" s="10"/>
    </row>
    <row r="151" customFormat="false" ht="13.8" hidden="false" customHeight="false" outlineLevel="0" collapsed="false">
      <c r="A151" s="4"/>
      <c r="B151" s="0" t="s">
        <v>99</v>
      </c>
      <c r="C151" s="0" t="n">
        <v>220</v>
      </c>
      <c r="D151" s="0" t="n">
        <v>18</v>
      </c>
      <c r="E151" s="0" t="n">
        <v>215</v>
      </c>
      <c r="F151" s="0" t="s">
        <v>99</v>
      </c>
      <c r="I151" s="0" t="s">
        <v>13</v>
      </c>
      <c r="K151" s="0" t="s">
        <v>21</v>
      </c>
      <c r="L151" s="10"/>
    </row>
    <row r="152" customFormat="false" ht="13.8" hidden="false" customHeight="false" outlineLevel="0" collapsed="false">
      <c r="A152" s="4"/>
      <c r="B152" s="0" t="s">
        <v>99</v>
      </c>
      <c r="C152" s="0" t="n">
        <v>110</v>
      </c>
      <c r="D152" s="0" t="n">
        <v>13.8</v>
      </c>
      <c r="E152" s="0" t="n">
        <v>120</v>
      </c>
      <c r="F152" s="0" t="s">
        <v>99</v>
      </c>
      <c r="I152" s="0" t="s">
        <v>13</v>
      </c>
      <c r="K152" s="0" t="s">
        <v>21</v>
      </c>
      <c r="L152" s="10"/>
    </row>
    <row r="153" customFormat="false" ht="13.8" hidden="false" customHeight="false" outlineLevel="0" collapsed="false">
      <c r="A153" s="4"/>
      <c r="B153" s="0" t="s">
        <v>99</v>
      </c>
      <c r="C153" s="0" t="n">
        <v>110</v>
      </c>
      <c r="D153" s="0" t="n">
        <v>13.8</v>
      </c>
      <c r="E153" s="0" t="n">
        <v>120</v>
      </c>
      <c r="F153" s="0" t="s">
        <v>99</v>
      </c>
      <c r="I153" s="0" t="s">
        <v>13</v>
      </c>
      <c r="K153" s="0" t="s">
        <v>21</v>
      </c>
      <c r="L153" s="10"/>
    </row>
    <row r="154" customFormat="false" ht="13.8" hidden="false" customHeight="false" outlineLevel="0" collapsed="false">
      <c r="A154" s="4"/>
      <c r="B154" s="0" t="s">
        <v>99</v>
      </c>
      <c r="C154" s="0" t="n">
        <v>220</v>
      </c>
      <c r="D154" s="0" t="n">
        <v>18</v>
      </c>
      <c r="E154" s="0" t="n">
        <v>215</v>
      </c>
      <c r="F154" s="0" t="s">
        <v>99</v>
      </c>
      <c r="H154" s="0" t="n">
        <f aca="false">SUM(G147:G154)</f>
        <v>15.24375</v>
      </c>
      <c r="I154" s="0" t="s">
        <v>13</v>
      </c>
      <c r="K154" s="0" t="s">
        <v>21</v>
      </c>
      <c r="L154" s="10"/>
    </row>
    <row r="155" customFormat="false" ht="13.8" hidden="false" customHeight="false" outlineLevel="0" collapsed="false">
      <c r="A155" s="4"/>
      <c r="B155" s="7" t="s">
        <v>99</v>
      </c>
      <c r="C155" s="7"/>
      <c r="D155" s="7"/>
      <c r="E155" s="7"/>
      <c r="F155" s="7" t="s">
        <v>99</v>
      </c>
      <c r="G155" s="8" t="n">
        <f aca="false">H154</f>
        <v>15.24375</v>
      </c>
      <c r="H155" s="7"/>
      <c r="I155" s="7" t="s">
        <v>13</v>
      </c>
      <c r="J155" s="8" t="n">
        <f aca="false">G155+SUM(E147:E154)</f>
        <v>1060.24375</v>
      </c>
      <c r="K155" s="7" t="s">
        <v>21</v>
      </c>
      <c r="L155" s="9"/>
    </row>
    <row r="156" customFormat="false" ht="13.8" hidden="false" customHeight="false" outlineLevel="0" collapsed="false">
      <c r="A156" s="4" t="s">
        <v>101</v>
      </c>
      <c r="B156" s="5" t="s">
        <v>101</v>
      </c>
      <c r="C156" s="5" t="n">
        <v>34.5</v>
      </c>
      <c r="D156" s="5" t="n">
        <v>13.8</v>
      </c>
      <c r="E156" s="5" t="n">
        <v>12.5</v>
      </c>
      <c r="F156" s="5" t="s">
        <v>101</v>
      </c>
      <c r="G156" s="5" t="n">
        <v>7.49</v>
      </c>
      <c r="H156" s="5"/>
      <c r="I156" s="5" t="s">
        <v>13</v>
      </c>
      <c r="J156" s="5"/>
      <c r="K156" s="5" t="s">
        <v>101</v>
      </c>
      <c r="L156" s="6" t="s">
        <v>15</v>
      </c>
    </row>
    <row r="157" customFormat="false" ht="13.8" hidden="false" customHeight="false" outlineLevel="0" collapsed="false">
      <c r="A157" s="4"/>
      <c r="B157" s="0" t="s">
        <v>101</v>
      </c>
      <c r="C157" s="0" t="n">
        <v>34.5</v>
      </c>
      <c r="D157" s="0" t="n">
        <v>13.8</v>
      </c>
      <c r="E157" s="0" t="n">
        <v>4</v>
      </c>
      <c r="F157" s="0" t="s">
        <v>101</v>
      </c>
      <c r="G157" s="0" t="n">
        <v>2.2</v>
      </c>
      <c r="H157" s="0" t="n">
        <f aca="false">SUM(G156:G157)</f>
        <v>9.69</v>
      </c>
      <c r="I157" s="0" t="s">
        <v>13</v>
      </c>
      <c r="K157" s="0" t="s">
        <v>101</v>
      </c>
      <c r="L157" s="10"/>
    </row>
    <row r="158" customFormat="false" ht="13.8" hidden="false" customHeight="false" outlineLevel="0" collapsed="false">
      <c r="A158" s="4"/>
      <c r="B158" s="7" t="s">
        <v>101</v>
      </c>
      <c r="C158" s="7"/>
      <c r="D158" s="7"/>
      <c r="E158" s="7"/>
      <c r="F158" s="7" t="s">
        <v>101</v>
      </c>
      <c r="G158" s="8" t="n">
        <f aca="false">H157</f>
        <v>9.69</v>
      </c>
      <c r="H158" s="7"/>
      <c r="I158" s="7" t="s">
        <v>13</v>
      </c>
      <c r="J158" s="8" t="n">
        <f aca="false">G158+SUM(E156:E157)</f>
        <v>26.19</v>
      </c>
      <c r="K158" s="7" t="s">
        <v>101</v>
      </c>
      <c r="L158" s="9"/>
    </row>
    <row r="159" customFormat="false" ht="13.8" hidden="false" customHeight="false" outlineLevel="0" collapsed="false">
      <c r="A159" s="4" t="s">
        <v>102</v>
      </c>
      <c r="B159" s="5" t="s">
        <v>102</v>
      </c>
      <c r="C159" s="5" t="n">
        <v>34.5</v>
      </c>
      <c r="D159" s="5" t="n">
        <v>13.8</v>
      </c>
      <c r="E159" s="5" t="n">
        <v>15</v>
      </c>
      <c r="F159" s="5" t="s">
        <v>102</v>
      </c>
      <c r="G159" s="5" t="n">
        <v>9.15584</v>
      </c>
      <c r="H159" s="5"/>
      <c r="I159" s="5" t="s">
        <v>17</v>
      </c>
      <c r="J159" s="5"/>
      <c r="K159" s="5" t="s">
        <v>55</v>
      </c>
      <c r="L159" s="6"/>
    </row>
    <row r="160" customFormat="false" ht="13.8" hidden="false" customHeight="false" outlineLevel="0" collapsed="false">
      <c r="A160" s="4"/>
      <c r="B160" s="0" t="s">
        <v>102</v>
      </c>
      <c r="C160" s="0" t="n">
        <v>34.5</v>
      </c>
      <c r="D160" s="0" t="n">
        <v>13.8</v>
      </c>
      <c r="E160" s="0" t="n">
        <v>12.5</v>
      </c>
      <c r="F160" s="0" t="s">
        <v>102</v>
      </c>
      <c r="G160" s="0" t="n">
        <v>2.77992</v>
      </c>
      <c r="I160" s="0" t="s">
        <v>17</v>
      </c>
      <c r="K160" s="0" t="s">
        <v>55</v>
      </c>
      <c r="L160" s="10"/>
    </row>
    <row r="161" customFormat="false" ht="13.8" hidden="false" customHeight="false" outlineLevel="0" collapsed="false">
      <c r="A161" s="4"/>
      <c r="B161" s="0" t="s">
        <v>102</v>
      </c>
      <c r="F161" s="0" t="s">
        <v>103</v>
      </c>
      <c r="G161" s="0" t="n">
        <v>0.6192</v>
      </c>
      <c r="H161" s="0" t="n">
        <f aca="false">SUM(G159:G161)</f>
        <v>12.55496</v>
      </c>
      <c r="I161" s="7" t="s">
        <v>17</v>
      </c>
      <c r="K161" s="0" t="s">
        <v>55</v>
      </c>
      <c r="L161" s="10" t="s">
        <v>104</v>
      </c>
    </row>
    <row r="162" customFormat="false" ht="13.8" hidden="false" customHeight="false" outlineLevel="0" collapsed="false">
      <c r="A162" s="4"/>
      <c r="B162" s="7" t="s">
        <v>102</v>
      </c>
      <c r="C162" s="7"/>
      <c r="D162" s="7"/>
      <c r="E162" s="7"/>
      <c r="F162" s="7" t="s">
        <v>102</v>
      </c>
      <c r="G162" s="8" t="n">
        <f aca="false">H161</f>
        <v>12.55496</v>
      </c>
      <c r="H162" s="7"/>
      <c r="I162" s="7" t="s">
        <v>17</v>
      </c>
      <c r="J162" s="8" t="n">
        <f aca="false">G162+SUM(E159:E160)</f>
        <v>40.05496</v>
      </c>
      <c r="K162" s="7" t="s">
        <v>55</v>
      </c>
      <c r="L162" s="9"/>
    </row>
    <row r="163" customFormat="false" ht="13.8" hidden="false" customHeight="false" outlineLevel="0" collapsed="false">
      <c r="A163" s="4" t="s">
        <v>105</v>
      </c>
      <c r="B163" s="5" t="s">
        <v>105</v>
      </c>
      <c r="C163" s="5" t="n">
        <v>34.5</v>
      </c>
      <c r="D163" s="5" t="n">
        <v>13.8</v>
      </c>
      <c r="E163" s="5" t="n">
        <v>12.5</v>
      </c>
      <c r="F163" s="5" t="s">
        <v>102</v>
      </c>
      <c r="G163" s="5" t="n">
        <f aca="false">H161</f>
        <v>12.55496</v>
      </c>
      <c r="H163" s="5" t="n">
        <f aca="false">SUM(G163:G163)</f>
        <v>12.55496</v>
      </c>
      <c r="I163" s="5" t="s">
        <v>17</v>
      </c>
      <c r="J163" s="5"/>
      <c r="K163" s="5" t="s">
        <v>55</v>
      </c>
      <c r="L163" s="6"/>
    </row>
    <row r="164" customFormat="false" ht="13.8" hidden="false" customHeight="false" outlineLevel="0" collapsed="false">
      <c r="A164" s="4"/>
      <c r="B164" s="0" t="s">
        <v>105</v>
      </c>
      <c r="C164" s="0" t="n">
        <v>110</v>
      </c>
      <c r="D164" s="0" t="n">
        <v>13.8</v>
      </c>
      <c r="E164" s="0" t="n">
        <v>30</v>
      </c>
      <c r="F164" s="0" t="s">
        <v>105</v>
      </c>
      <c r="G164" s="0" t="n">
        <v>1.9296</v>
      </c>
      <c r="I164" s="0" t="s">
        <v>17</v>
      </c>
      <c r="K164" s="0" t="s">
        <v>55</v>
      </c>
      <c r="L164" s="10" t="s">
        <v>106</v>
      </c>
    </row>
    <row r="165" customFormat="false" ht="13.8" hidden="false" customHeight="false" outlineLevel="0" collapsed="false">
      <c r="A165" s="4"/>
      <c r="B165" s="0" t="s">
        <v>105</v>
      </c>
      <c r="F165" s="0" t="s">
        <v>105</v>
      </c>
      <c r="G165" s="0" t="n">
        <v>16.0958182</v>
      </c>
      <c r="I165" s="0" t="s">
        <v>17</v>
      </c>
      <c r="K165" s="0" t="s">
        <v>55</v>
      </c>
      <c r="L165" s="10"/>
    </row>
    <row r="166" customFormat="false" ht="13.8" hidden="false" customHeight="false" outlineLevel="0" collapsed="false">
      <c r="A166" s="4"/>
      <c r="B166" s="0" t="s">
        <v>105</v>
      </c>
      <c r="F166" s="0" t="s">
        <v>105</v>
      </c>
      <c r="G166" s="0" t="n">
        <v>10.4974091</v>
      </c>
      <c r="I166" s="0" t="s">
        <v>17</v>
      </c>
      <c r="K166" s="0" t="s">
        <v>55</v>
      </c>
      <c r="L166" s="10"/>
    </row>
    <row r="167" customFormat="false" ht="13.8" hidden="false" customHeight="false" outlineLevel="0" collapsed="false">
      <c r="A167" s="4"/>
      <c r="B167" s="0" t="s">
        <v>105</v>
      </c>
      <c r="F167" s="0" t="s">
        <v>105</v>
      </c>
      <c r="G167" s="0" t="n">
        <v>0.629</v>
      </c>
      <c r="H167" s="0" t="n">
        <f aca="false">SUM(G164:G167)</f>
        <v>29.1518273</v>
      </c>
      <c r="I167" s="0" t="s">
        <v>17</v>
      </c>
      <c r="K167" s="0" t="s">
        <v>55</v>
      </c>
      <c r="L167" s="10"/>
    </row>
    <row r="168" customFormat="false" ht="13.8" hidden="false" customHeight="false" outlineLevel="0" collapsed="false">
      <c r="A168" s="4"/>
      <c r="B168" s="7" t="s">
        <v>105</v>
      </c>
      <c r="C168" s="7"/>
      <c r="D168" s="7"/>
      <c r="E168" s="7"/>
      <c r="F168" s="7" t="s">
        <v>107</v>
      </c>
      <c r="G168" s="8" t="n">
        <f aca="false">H167-H163</f>
        <v>16.5968673</v>
      </c>
      <c r="H168" s="7"/>
      <c r="I168" s="7" t="s">
        <v>17</v>
      </c>
      <c r="J168" s="8" t="n">
        <f aca="false">G168+SUM(E164:E167)</f>
        <v>46.5968673</v>
      </c>
      <c r="K168" s="7" t="s">
        <v>55</v>
      </c>
      <c r="L168" s="9"/>
    </row>
    <row r="169" customFormat="false" ht="13.8" hidden="false" customHeight="false" outlineLevel="0" collapsed="false">
      <c r="A169" s="4" t="s">
        <v>108</v>
      </c>
      <c r="B169" s="5" t="s">
        <v>108</v>
      </c>
      <c r="C169" s="5" t="n">
        <v>34.5</v>
      </c>
      <c r="D169" s="5" t="n">
        <v>13.8</v>
      </c>
      <c r="E169" s="5" t="n">
        <v>28</v>
      </c>
      <c r="F169" s="5" t="s">
        <v>108</v>
      </c>
      <c r="G169" s="5" t="n">
        <v>8.777</v>
      </c>
      <c r="H169" s="5" t="n">
        <f aca="false">SUM(G169:G169)</f>
        <v>8.777</v>
      </c>
      <c r="I169" s="5" t="s">
        <v>26</v>
      </c>
      <c r="J169" s="5"/>
      <c r="K169" s="5" t="s">
        <v>108</v>
      </c>
      <c r="L169" s="6" t="s">
        <v>38</v>
      </c>
    </row>
    <row r="170" customFormat="false" ht="13.8" hidden="false" customHeight="false" outlineLevel="0" collapsed="false">
      <c r="A170" s="4"/>
      <c r="B170" s="7" t="s">
        <v>108</v>
      </c>
      <c r="C170" s="7"/>
      <c r="D170" s="7"/>
      <c r="E170" s="7"/>
      <c r="F170" s="7" t="s">
        <v>108</v>
      </c>
      <c r="G170" s="8" t="n">
        <f aca="false">H169</f>
        <v>8.777</v>
      </c>
      <c r="H170" s="7"/>
      <c r="I170" s="7" t="s">
        <v>26</v>
      </c>
      <c r="J170" s="8" t="n">
        <f aca="false">G170+SUM(E169:E169)</f>
        <v>36.777</v>
      </c>
      <c r="K170" s="7" t="s">
        <v>108</v>
      </c>
      <c r="L170" s="9"/>
    </row>
    <row r="171" customFormat="false" ht="13.8" hidden="false" customHeight="false" outlineLevel="0" collapsed="false">
      <c r="A171" s="4" t="s">
        <v>109</v>
      </c>
      <c r="B171" s="5" t="s">
        <v>109</v>
      </c>
      <c r="C171" s="5" t="n">
        <v>34.5</v>
      </c>
      <c r="D171" s="5" t="n">
        <v>13.8</v>
      </c>
      <c r="E171" s="5" t="n">
        <v>12.5</v>
      </c>
      <c r="F171" s="5" t="s">
        <v>109</v>
      </c>
      <c r="G171" s="5" t="n">
        <v>6.354</v>
      </c>
      <c r="H171" s="5"/>
      <c r="I171" s="5" t="s">
        <v>17</v>
      </c>
      <c r="J171" s="5"/>
      <c r="K171" s="5" t="s">
        <v>109</v>
      </c>
      <c r="L171" s="6"/>
    </row>
    <row r="172" customFormat="false" ht="13.8" hidden="false" customHeight="false" outlineLevel="0" collapsed="false">
      <c r="A172" s="4"/>
      <c r="B172" s="0" t="s">
        <v>109</v>
      </c>
      <c r="F172" s="0" t="s">
        <v>109</v>
      </c>
      <c r="G172" s="0" t="n">
        <v>1.404</v>
      </c>
      <c r="I172" s="0" t="s">
        <v>17</v>
      </c>
      <c r="K172" s="0" t="s">
        <v>109</v>
      </c>
      <c r="L172" s="10"/>
    </row>
    <row r="173" customFormat="false" ht="13.8" hidden="false" customHeight="false" outlineLevel="0" collapsed="false">
      <c r="A173" s="4"/>
      <c r="B173" s="0" t="s">
        <v>109</v>
      </c>
      <c r="F173" s="0" t="s">
        <v>109</v>
      </c>
      <c r="G173" s="0" t="n">
        <v>7</v>
      </c>
      <c r="H173" s="0" t="n">
        <f aca="false">SUM(G171:G173)</f>
        <v>14.758</v>
      </c>
      <c r="I173" s="0" t="s">
        <v>17</v>
      </c>
      <c r="K173" s="0" t="s">
        <v>109</v>
      </c>
      <c r="L173" s="10"/>
    </row>
    <row r="174" customFormat="false" ht="13.8" hidden="false" customHeight="false" outlineLevel="0" collapsed="false">
      <c r="A174" s="4"/>
      <c r="B174" s="7" t="s">
        <v>109</v>
      </c>
      <c r="C174" s="7"/>
      <c r="D174" s="7"/>
      <c r="E174" s="7"/>
      <c r="F174" s="7" t="s">
        <v>109</v>
      </c>
      <c r="G174" s="8" t="n">
        <f aca="false">H173</f>
        <v>14.758</v>
      </c>
      <c r="H174" s="7"/>
      <c r="I174" s="7" t="s">
        <v>17</v>
      </c>
      <c r="J174" s="8" t="n">
        <f aca="false">G174+SUM(E171:E173)</f>
        <v>27.258</v>
      </c>
      <c r="K174" s="7" t="s">
        <v>109</v>
      </c>
      <c r="L174" s="9"/>
    </row>
    <row r="175" customFormat="false" ht="13.8" hidden="false" customHeight="false" outlineLevel="0" collapsed="false">
      <c r="A175" s="4" t="s">
        <v>110</v>
      </c>
      <c r="B175" s="5" t="s">
        <v>110</v>
      </c>
      <c r="C175" s="5" t="n">
        <v>34.5</v>
      </c>
      <c r="D175" s="5" t="n">
        <v>13.8</v>
      </c>
      <c r="E175" s="5" t="n">
        <v>12.5</v>
      </c>
      <c r="F175" s="5" t="s">
        <v>110</v>
      </c>
      <c r="G175" s="5" t="n">
        <v>6.859</v>
      </c>
      <c r="H175" s="5"/>
      <c r="I175" s="5" t="s">
        <v>17</v>
      </c>
      <c r="J175" s="5"/>
      <c r="K175" s="5" t="s">
        <v>85</v>
      </c>
      <c r="L175" s="6"/>
    </row>
    <row r="176" customFormat="false" ht="13.8" hidden="false" customHeight="false" outlineLevel="0" collapsed="false">
      <c r="A176" s="4"/>
      <c r="B176" s="0" t="s">
        <v>110</v>
      </c>
      <c r="C176" s="0" t="n">
        <v>110</v>
      </c>
      <c r="D176" s="0" t="n">
        <v>34.5</v>
      </c>
      <c r="E176" s="0" t="n">
        <v>30</v>
      </c>
      <c r="F176" s="0" t="s">
        <v>110</v>
      </c>
      <c r="I176" s="0" t="s">
        <v>17</v>
      </c>
      <c r="K176" s="0" t="s">
        <v>85</v>
      </c>
      <c r="L176" s="10" t="s">
        <v>92</v>
      </c>
    </row>
    <row r="177" customFormat="false" ht="13.8" hidden="false" customHeight="false" outlineLevel="0" collapsed="false">
      <c r="A177" s="4"/>
      <c r="B177" s="0" t="s">
        <v>110</v>
      </c>
      <c r="C177" s="0" t="n">
        <v>110</v>
      </c>
      <c r="D177" s="0" t="n">
        <v>34.5</v>
      </c>
      <c r="E177" s="0" t="n">
        <v>30</v>
      </c>
      <c r="F177" s="0" t="s">
        <v>110</v>
      </c>
      <c r="H177" s="0" t="n">
        <f aca="false">SUM(G175:G177)</f>
        <v>6.859</v>
      </c>
      <c r="I177" s="0" t="s">
        <v>17</v>
      </c>
      <c r="K177" s="0" t="s">
        <v>85</v>
      </c>
      <c r="L177" s="10"/>
    </row>
    <row r="178" customFormat="false" ht="13.8" hidden="false" customHeight="false" outlineLevel="0" collapsed="false">
      <c r="A178" s="4"/>
      <c r="B178" s="7" t="s">
        <v>110</v>
      </c>
      <c r="C178" s="7"/>
      <c r="D178" s="7"/>
      <c r="E178" s="7"/>
      <c r="F178" s="7" t="s">
        <v>110</v>
      </c>
      <c r="G178" s="8" t="n">
        <f aca="false">H177</f>
        <v>6.859</v>
      </c>
      <c r="H178" s="7"/>
      <c r="I178" s="7" t="s">
        <v>17</v>
      </c>
      <c r="J178" s="8" t="n">
        <f aca="false">G178+SUM(E175:E177)</f>
        <v>79.359</v>
      </c>
      <c r="K178" s="7" t="s">
        <v>85</v>
      </c>
      <c r="L178" s="9"/>
    </row>
    <row r="179" customFormat="false" ht="13.8" hidden="false" customHeight="false" outlineLevel="0" collapsed="false">
      <c r="A179" s="4" t="s">
        <v>111</v>
      </c>
      <c r="B179" s="5" t="s">
        <v>111</v>
      </c>
      <c r="C179" s="5" t="n">
        <v>34.5</v>
      </c>
      <c r="D179" s="5" t="n">
        <v>13.8</v>
      </c>
      <c r="E179" s="5" t="n">
        <v>6.5</v>
      </c>
      <c r="F179" s="5" t="s">
        <v>111</v>
      </c>
      <c r="G179" s="5" t="n">
        <v>3.134</v>
      </c>
      <c r="H179" s="5" t="n">
        <f aca="false">SUM(G179:G179)</f>
        <v>3.134</v>
      </c>
      <c r="I179" s="5" t="s">
        <v>17</v>
      </c>
      <c r="J179" s="5"/>
      <c r="K179" s="5" t="s">
        <v>111</v>
      </c>
      <c r="L179" s="6"/>
    </row>
    <row r="180" customFormat="false" ht="13.8" hidden="false" customHeight="false" outlineLevel="0" collapsed="false">
      <c r="A180" s="4"/>
      <c r="B180" s="7" t="s">
        <v>111</v>
      </c>
      <c r="C180" s="7"/>
      <c r="D180" s="7"/>
      <c r="E180" s="7"/>
      <c r="F180" s="7" t="s">
        <v>111</v>
      </c>
      <c r="G180" s="8" t="n">
        <f aca="false">H179</f>
        <v>3.134</v>
      </c>
      <c r="H180" s="7"/>
      <c r="I180" s="7" t="s">
        <v>17</v>
      </c>
      <c r="J180" s="8" t="n">
        <f aca="false">G180+SUM(E179:E179)</f>
        <v>9.634</v>
      </c>
      <c r="K180" s="7" t="s">
        <v>111</v>
      </c>
      <c r="L180" s="9"/>
    </row>
    <row r="181" customFormat="false" ht="13.8" hidden="false" customHeight="false" outlineLevel="0" collapsed="false">
      <c r="A181" s="4" t="s">
        <v>112</v>
      </c>
      <c r="B181" s="5" t="s">
        <v>112</v>
      </c>
      <c r="C181" s="5" t="n">
        <v>34.5</v>
      </c>
      <c r="D181" s="5" t="n">
        <v>13.8</v>
      </c>
      <c r="E181" s="5" t="n">
        <v>12.5</v>
      </c>
      <c r="F181" s="5" t="s">
        <v>109</v>
      </c>
      <c r="G181" s="5" t="n">
        <f aca="false">G174</f>
        <v>14.758</v>
      </c>
      <c r="H181" s="5"/>
      <c r="I181" s="5" t="s">
        <v>17</v>
      </c>
      <c r="J181" s="5"/>
      <c r="K181" s="5" t="s">
        <v>112</v>
      </c>
      <c r="L181" s="6"/>
    </row>
    <row r="182" customFormat="false" ht="13.8" hidden="false" customHeight="false" outlineLevel="0" collapsed="false">
      <c r="A182" s="4"/>
      <c r="B182" s="0" t="s">
        <v>112</v>
      </c>
      <c r="C182" s="0" t="n">
        <v>110</v>
      </c>
      <c r="D182" s="0" t="n">
        <v>34.5</v>
      </c>
      <c r="E182" s="0" t="n">
        <v>30</v>
      </c>
      <c r="F182" s="0" t="s">
        <v>110</v>
      </c>
      <c r="G182" s="0" t="n">
        <f aca="false">G178</f>
        <v>6.859</v>
      </c>
      <c r="I182" s="0" t="s">
        <v>17</v>
      </c>
      <c r="K182" s="0" t="s">
        <v>112</v>
      </c>
      <c r="L182" s="10"/>
    </row>
    <row r="183" customFormat="false" ht="13.8" hidden="false" customHeight="false" outlineLevel="0" collapsed="false">
      <c r="A183" s="4"/>
      <c r="B183" s="0" t="s">
        <v>112</v>
      </c>
      <c r="C183" s="0" t="n">
        <v>34.5</v>
      </c>
      <c r="D183" s="0" t="n">
        <v>13.8</v>
      </c>
      <c r="E183" s="0" t="n">
        <v>6.5</v>
      </c>
      <c r="F183" s="0" t="s">
        <v>111</v>
      </c>
      <c r="G183" s="0" t="n">
        <f aca="false">G180</f>
        <v>3.134</v>
      </c>
      <c r="H183" s="0" t="n">
        <f aca="false">SUM(G181:G183)</f>
        <v>24.751</v>
      </c>
      <c r="I183" s="0" t="s">
        <v>17</v>
      </c>
      <c r="K183" s="0" t="s">
        <v>112</v>
      </c>
      <c r="L183" s="10"/>
    </row>
    <row r="184" customFormat="false" ht="13.8" hidden="false" customHeight="false" outlineLevel="0" collapsed="false">
      <c r="A184" s="4"/>
      <c r="B184" s="0" t="s">
        <v>112</v>
      </c>
      <c r="C184" s="0" t="n">
        <v>110</v>
      </c>
      <c r="D184" s="0" t="n">
        <v>13.8</v>
      </c>
      <c r="E184" s="0" t="n">
        <v>10</v>
      </c>
      <c r="F184" s="0" t="s">
        <v>112</v>
      </c>
      <c r="G184" s="0" t="n">
        <v>8.782</v>
      </c>
      <c r="I184" s="0" t="s">
        <v>17</v>
      </c>
      <c r="K184" s="0" t="s">
        <v>112</v>
      </c>
      <c r="L184" s="10"/>
    </row>
    <row r="185" customFormat="false" ht="13.8" hidden="false" customHeight="false" outlineLevel="0" collapsed="false">
      <c r="A185" s="4"/>
      <c r="B185" s="0" t="s">
        <v>112</v>
      </c>
      <c r="F185" s="0" t="s">
        <v>112</v>
      </c>
      <c r="G185" s="0" t="n">
        <v>5.636</v>
      </c>
      <c r="I185" s="0" t="s">
        <v>17</v>
      </c>
      <c r="K185" s="0" t="s">
        <v>112</v>
      </c>
      <c r="L185" s="10"/>
    </row>
    <row r="186" customFormat="false" ht="13.8" hidden="false" customHeight="false" outlineLevel="0" collapsed="false">
      <c r="A186" s="4"/>
      <c r="B186" s="0" t="s">
        <v>112</v>
      </c>
      <c r="F186" s="0" t="s">
        <v>112</v>
      </c>
      <c r="G186" s="0" t="n">
        <v>0.066</v>
      </c>
      <c r="H186" s="0" t="n">
        <f aca="false">SUM(G184:G186)</f>
        <v>14.484</v>
      </c>
      <c r="I186" s="0" t="s">
        <v>17</v>
      </c>
      <c r="K186" s="0" t="s">
        <v>112</v>
      </c>
      <c r="L186" s="10" t="s">
        <v>113</v>
      </c>
    </row>
    <row r="187" customFormat="false" ht="13.8" hidden="false" customHeight="false" outlineLevel="0" collapsed="false">
      <c r="A187" s="4"/>
      <c r="B187" s="7" t="s">
        <v>112</v>
      </c>
      <c r="C187" s="7"/>
      <c r="D187" s="7"/>
      <c r="E187" s="7"/>
      <c r="F187" s="7" t="s">
        <v>114</v>
      </c>
      <c r="G187" s="8" t="n">
        <f aca="false">H186-H183</f>
        <v>-10.267</v>
      </c>
      <c r="H187" s="7"/>
      <c r="I187" s="7" t="s">
        <v>17</v>
      </c>
      <c r="J187" s="8" t="n">
        <f aca="false">G187+SUM(E184:E186)</f>
        <v>-0.266999999999998</v>
      </c>
      <c r="K187" s="7" t="s">
        <v>112</v>
      </c>
      <c r="L187" s="9"/>
    </row>
    <row r="188" customFormat="false" ht="13.8" hidden="false" customHeight="false" outlineLevel="0" collapsed="false">
      <c r="A188" s="4" t="s">
        <v>115</v>
      </c>
      <c r="B188" s="5" t="s">
        <v>115</v>
      </c>
      <c r="C188" s="5" t="n">
        <v>115</v>
      </c>
      <c r="D188" s="5" t="n">
        <v>13.8</v>
      </c>
      <c r="E188" s="5" t="n">
        <v>78</v>
      </c>
      <c r="F188" s="5" t="s">
        <v>115</v>
      </c>
      <c r="G188" s="5"/>
      <c r="H188" s="5"/>
      <c r="I188" s="5" t="s">
        <v>13</v>
      </c>
      <c r="J188" s="5"/>
      <c r="K188" s="5" t="s">
        <v>21</v>
      </c>
      <c r="L188" s="6" t="s">
        <v>96</v>
      </c>
    </row>
    <row r="189" customFormat="false" ht="13.8" hidden="false" customHeight="false" outlineLevel="0" collapsed="false">
      <c r="A189" s="4"/>
      <c r="B189" s="0" t="s">
        <v>115</v>
      </c>
      <c r="C189" s="0" t="n">
        <v>115</v>
      </c>
      <c r="D189" s="0" t="n">
        <v>13.8</v>
      </c>
      <c r="E189" s="0" t="n">
        <v>78</v>
      </c>
      <c r="F189" s="0" t="s">
        <v>115</v>
      </c>
      <c r="H189" s="0" t="n">
        <f aca="false">SUM(G188:G189)</f>
        <v>0</v>
      </c>
      <c r="I189" s="0" t="s">
        <v>13</v>
      </c>
      <c r="K189" s="0" t="s">
        <v>21</v>
      </c>
      <c r="L189" s="10"/>
    </row>
    <row r="190" customFormat="false" ht="13.8" hidden="false" customHeight="false" outlineLevel="0" collapsed="false">
      <c r="A190" s="4"/>
      <c r="B190" s="7" t="s">
        <v>115</v>
      </c>
      <c r="C190" s="7"/>
      <c r="D190" s="7"/>
      <c r="E190" s="7"/>
      <c r="F190" s="7" t="s">
        <v>115</v>
      </c>
      <c r="G190" s="8" t="n">
        <f aca="false">H189</f>
        <v>0</v>
      </c>
      <c r="H190" s="7"/>
      <c r="I190" s="7" t="s">
        <v>13</v>
      </c>
      <c r="J190" s="8" t="n">
        <f aca="false">G190+SUM(E188:E189)</f>
        <v>156</v>
      </c>
      <c r="K190" s="7" t="s">
        <v>21</v>
      </c>
      <c r="L190" s="9"/>
    </row>
    <row r="191" customFormat="false" ht="13.8" hidden="false" customHeight="false" outlineLevel="0" collapsed="false">
      <c r="A191" s="4" t="s">
        <v>116</v>
      </c>
      <c r="B191" s="5" t="s">
        <v>116</v>
      </c>
      <c r="C191" s="5" t="n">
        <v>220</v>
      </c>
      <c r="D191" s="5" t="n">
        <v>110</v>
      </c>
      <c r="E191" s="5" t="n">
        <v>150</v>
      </c>
      <c r="F191" s="5" t="s">
        <v>116</v>
      </c>
      <c r="G191" s="5"/>
      <c r="H191" s="5"/>
      <c r="I191" s="5" t="s">
        <v>13</v>
      </c>
      <c r="J191" s="5"/>
      <c r="K191" s="5" t="s">
        <v>117</v>
      </c>
      <c r="L191" s="6" t="s">
        <v>118</v>
      </c>
    </row>
    <row r="192" customFormat="false" ht="13.8" hidden="false" customHeight="false" outlineLevel="0" collapsed="false">
      <c r="A192" s="4"/>
      <c r="B192" s="0" t="s">
        <v>116</v>
      </c>
      <c r="C192" s="0" t="n">
        <v>220</v>
      </c>
      <c r="D192" s="0" t="n">
        <v>110</v>
      </c>
      <c r="E192" s="0" t="n">
        <v>150</v>
      </c>
      <c r="F192" s="0" t="s">
        <v>116</v>
      </c>
      <c r="H192" s="0" t="n">
        <f aca="false">SUM(G191:G192)</f>
        <v>0</v>
      </c>
      <c r="I192" s="0" t="s">
        <v>13</v>
      </c>
      <c r="K192" s="0" t="s">
        <v>117</v>
      </c>
      <c r="L192" s="10"/>
    </row>
    <row r="193" customFormat="false" ht="13.8" hidden="false" customHeight="false" outlineLevel="0" collapsed="false">
      <c r="A193" s="4"/>
      <c r="B193" s="7" t="s">
        <v>116</v>
      </c>
      <c r="C193" s="7"/>
      <c r="D193" s="7"/>
      <c r="E193" s="7"/>
      <c r="F193" s="7" t="s">
        <v>116</v>
      </c>
      <c r="G193" s="8" t="n">
        <f aca="false">H192</f>
        <v>0</v>
      </c>
      <c r="H193" s="7"/>
      <c r="I193" s="7" t="s">
        <v>13</v>
      </c>
      <c r="J193" s="8" t="n">
        <f aca="false">G193+SUM(E191:E192)</f>
        <v>300</v>
      </c>
      <c r="K193" s="7" t="s">
        <v>117</v>
      </c>
      <c r="L193" s="9"/>
    </row>
    <row r="194" customFormat="false" ht="13.8" hidden="false" customHeight="false" outlineLevel="0" collapsed="false">
      <c r="A194" s="4" t="s">
        <v>119</v>
      </c>
      <c r="B194" s="5" t="s">
        <v>119</v>
      </c>
      <c r="C194" s="5" t="n">
        <v>110</v>
      </c>
      <c r="D194" s="5" t="n">
        <v>13.8</v>
      </c>
      <c r="E194" s="5" t="n">
        <v>30</v>
      </c>
      <c r="F194" s="5" t="s">
        <v>119</v>
      </c>
      <c r="G194" s="5"/>
      <c r="H194" s="5"/>
      <c r="I194" s="5" t="s">
        <v>13</v>
      </c>
      <c r="J194" s="5"/>
      <c r="K194" s="5" t="s">
        <v>119</v>
      </c>
      <c r="L194" s="6" t="s">
        <v>96</v>
      </c>
    </row>
    <row r="195" customFormat="false" ht="13.8" hidden="false" customHeight="false" outlineLevel="0" collapsed="false">
      <c r="A195" s="4"/>
      <c r="B195" s="0" t="s">
        <v>119</v>
      </c>
      <c r="C195" s="0" t="n">
        <v>110</v>
      </c>
      <c r="D195" s="0" t="n">
        <v>34.5</v>
      </c>
      <c r="E195" s="0" t="n">
        <v>30</v>
      </c>
      <c r="F195" s="0" t="s">
        <v>119</v>
      </c>
      <c r="H195" s="0" t="n">
        <f aca="false">SUM(G194:G195)</f>
        <v>0</v>
      </c>
      <c r="I195" s="0" t="s">
        <v>13</v>
      </c>
      <c r="K195" s="0" t="s">
        <v>119</v>
      </c>
      <c r="L195" s="10"/>
    </row>
    <row r="196" customFormat="false" ht="13.8" hidden="false" customHeight="false" outlineLevel="0" collapsed="false">
      <c r="A196" s="4"/>
      <c r="B196" s="7" t="s">
        <v>119</v>
      </c>
      <c r="C196" s="7"/>
      <c r="D196" s="7"/>
      <c r="E196" s="7"/>
      <c r="F196" s="7" t="s">
        <v>119</v>
      </c>
      <c r="G196" s="8" t="n">
        <f aca="false">H195</f>
        <v>0</v>
      </c>
      <c r="H196" s="7"/>
      <c r="I196" s="7" t="s">
        <v>13</v>
      </c>
      <c r="J196" s="8" t="n">
        <f aca="false">G196+SUM(E194:E195)</f>
        <v>60</v>
      </c>
      <c r="K196" s="7" t="s">
        <v>119</v>
      </c>
      <c r="L196" s="9"/>
    </row>
    <row r="197" customFormat="false" ht="13.8" hidden="false" customHeight="false" outlineLevel="0" collapsed="false">
      <c r="A197" s="4" t="s">
        <v>120</v>
      </c>
      <c r="B197" s="5" t="s">
        <v>120</v>
      </c>
      <c r="C197" s="5" t="n">
        <v>110</v>
      </c>
      <c r="D197" s="5" t="n">
        <v>13.8</v>
      </c>
      <c r="E197" s="5" t="n">
        <v>30</v>
      </c>
      <c r="F197" s="5" t="s">
        <v>120</v>
      </c>
      <c r="G197" s="5"/>
      <c r="H197" s="5"/>
      <c r="I197" s="5" t="s">
        <v>17</v>
      </c>
      <c r="J197" s="5"/>
      <c r="K197" s="5" t="s">
        <v>121</v>
      </c>
      <c r="L197" s="6" t="s">
        <v>96</v>
      </c>
    </row>
    <row r="198" customFormat="false" ht="13.8" hidden="false" customHeight="false" outlineLevel="0" collapsed="false">
      <c r="A198" s="4"/>
      <c r="B198" s="0" t="s">
        <v>120</v>
      </c>
      <c r="C198" s="0" t="n">
        <v>110</v>
      </c>
      <c r="D198" s="0" t="n">
        <v>34.5</v>
      </c>
      <c r="E198" s="0" t="n">
        <v>30</v>
      </c>
      <c r="F198" s="0" t="s">
        <v>120</v>
      </c>
      <c r="H198" s="0" t="n">
        <f aca="false">SUM(G197:G198)</f>
        <v>0</v>
      </c>
      <c r="I198" s="0" t="s">
        <v>17</v>
      </c>
      <c r="K198" s="0" t="s">
        <v>121</v>
      </c>
      <c r="L198" s="10"/>
    </row>
    <row r="199" customFormat="false" ht="13.8" hidden="false" customHeight="false" outlineLevel="0" collapsed="false">
      <c r="A199" s="4"/>
      <c r="B199" s="7" t="s">
        <v>120</v>
      </c>
      <c r="C199" s="7"/>
      <c r="D199" s="7"/>
      <c r="E199" s="7"/>
      <c r="F199" s="7" t="s">
        <v>120</v>
      </c>
      <c r="G199" s="8" t="n">
        <f aca="false">H198</f>
        <v>0</v>
      </c>
      <c r="H199" s="7"/>
      <c r="I199" s="7" t="s">
        <v>17</v>
      </c>
      <c r="J199" s="8" t="n">
        <f aca="false">G199+SUM(E197:E198)</f>
        <v>60</v>
      </c>
      <c r="K199" s="7" t="s">
        <v>121</v>
      </c>
      <c r="L199" s="9"/>
    </row>
    <row r="200" customFormat="false" ht="13.8" hidden="false" customHeight="false" outlineLevel="0" collapsed="false">
      <c r="A200" s="4" t="s">
        <v>122</v>
      </c>
      <c r="B200" s="5" t="s">
        <v>122</v>
      </c>
      <c r="C200" s="5" t="n">
        <v>110</v>
      </c>
      <c r="D200" s="5" t="n">
        <v>13.8</v>
      </c>
      <c r="E200" s="5" t="n">
        <v>50</v>
      </c>
      <c r="F200" s="5" t="s">
        <v>122</v>
      </c>
      <c r="G200" s="5"/>
      <c r="H200" s="5"/>
      <c r="I200" s="5" t="s">
        <v>17</v>
      </c>
      <c r="J200" s="5"/>
      <c r="K200" s="5" t="s">
        <v>55</v>
      </c>
      <c r="L200" s="6" t="s">
        <v>96</v>
      </c>
    </row>
    <row r="201" customFormat="false" ht="13.8" hidden="false" customHeight="false" outlineLevel="0" collapsed="false">
      <c r="A201" s="4"/>
      <c r="B201" s="0" t="s">
        <v>122</v>
      </c>
      <c r="C201" s="0" t="n">
        <v>110</v>
      </c>
      <c r="D201" s="0" t="n">
        <v>13.8</v>
      </c>
      <c r="E201" s="0" t="n">
        <v>50</v>
      </c>
      <c r="F201" s="0" t="s">
        <v>122</v>
      </c>
      <c r="H201" s="0" t="n">
        <f aca="false">SUM(G200:G201)</f>
        <v>0</v>
      </c>
      <c r="I201" s="0" t="s">
        <v>17</v>
      </c>
      <c r="K201" s="0" t="s">
        <v>55</v>
      </c>
      <c r="L201" s="10"/>
    </row>
    <row r="202" customFormat="false" ht="13.8" hidden="false" customHeight="false" outlineLevel="0" collapsed="false">
      <c r="A202" s="4"/>
      <c r="B202" s="7" t="s">
        <v>122</v>
      </c>
      <c r="C202" s="7"/>
      <c r="D202" s="7"/>
      <c r="E202" s="7"/>
      <c r="F202" s="7" t="s">
        <v>122</v>
      </c>
      <c r="G202" s="8" t="n">
        <f aca="false">H201</f>
        <v>0</v>
      </c>
      <c r="H202" s="7"/>
      <c r="I202" s="7" t="s">
        <v>17</v>
      </c>
      <c r="J202" s="8" t="n">
        <f aca="false">G202+SUM(E200:E201)</f>
        <v>100</v>
      </c>
      <c r="K202" s="7" t="s">
        <v>55</v>
      </c>
      <c r="L202" s="9"/>
    </row>
  </sheetData>
  <mergeCells count="58">
    <mergeCell ref="A2:A3"/>
    <mergeCell ref="A4:A5"/>
    <mergeCell ref="A6:A8"/>
    <mergeCell ref="A9:A11"/>
    <mergeCell ref="A12:A14"/>
    <mergeCell ref="A15:A17"/>
    <mergeCell ref="A18:A20"/>
    <mergeCell ref="A21:A26"/>
    <mergeCell ref="A27:A31"/>
    <mergeCell ref="A32:A34"/>
    <mergeCell ref="A35:A36"/>
    <mergeCell ref="A37:A38"/>
    <mergeCell ref="A39:A41"/>
    <mergeCell ref="A42:A46"/>
    <mergeCell ref="A47:A48"/>
    <mergeCell ref="A49:A56"/>
    <mergeCell ref="A57:A59"/>
    <mergeCell ref="A60:A62"/>
    <mergeCell ref="A63:A65"/>
    <mergeCell ref="A66:A69"/>
    <mergeCell ref="A70:A72"/>
    <mergeCell ref="A73:A75"/>
    <mergeCell ref="A76:A78"/>
    <mergeCell ref="A79:A81"/>
    <mergeCell ref="A82:A84"/>
    <mergeCell ref="A85:A87"/>
    <mergeCell ref="A88:A89"/>
    <mergeCell ref="A90:A91"/>
    <mergeCell ref="A92:A94"/>
    <mergeCell ref="A95:A96"/>
    <mergeCell ref="A97:A99"/>
    <mergeCell ref="A100:A105"/>
    <mergeCell ref="A106:A108"/>
    <mergeCell ref="A109:A112"/>
    <mergeCell ref="A113:A114"/>
    <mergeCell ref="A115:A118"/>
    <mergeCell ref="A119:A121"/>
    <mergeCell ref="A122:A124"/>
    <mergeCell ref="A125:A126"/>
    <mergeCell ref="A127:A128"/>
    <mergeCell ref="A129:A133"/>
    <mergeCell ref="A134:A141"/>
    <mergeCell ref="A142:A144"/>
    <mergeCell ref="A145:A146"/>
    <mergeCell ref="A147:A155"/>
    <mergeCell ref="A156:A158"/>
    <mergeCell ref="A159:A162"/>
    <mergeCell ref="A163:A168"/>
    <mergeCell ref="A169:A170"/>
    <mergeCell ref="A171:A174"/>
    <mergeCell ref="A175:A178"/>
    <mergeCell ref="A179:A180"/>
    <mergeCell ref="A181:A187"/>
    <mergeCell ref="A188:A190"/>
    <mergeCell ref="A191:A193"/>
    <mergeCell ref="A194:A196"/>
    <mergeCell ref="A197:A199"/>
    <mergeCell ref="A200:A2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2026-04-27T17:11:34Z</dcterms:created>
  <dc:creator>openpyxl</dc:creator>
  <dc:description/>
  <dc:language>en-GB</dc:language>
  <cp:lastModifiedBy/>
  <dcterms:modified xsi:type="dcterms:W3CDTF">2026-04-28T12:24:34Z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