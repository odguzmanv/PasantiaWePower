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_rels/externalLink4.xml.rels" ContentType="application/vnd.openxmlformats-package.relationships+xml"/>
  <Override PartName="/xl/externalLinks/_rels/externalLink3.xml.rels" ContentType="application/vnd.openxmlformats-package.relationships+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Manual de Uso" sheetId="1" state="visible" r:id="rId2"/>
    <sheet name="Unifilares Atlantico" sheetId="2" state="visible" r:id="rId3"/>
    <sheet name="Unifiliares Magdalena y Guajira" sheetId="3" state="visible" r:id="rId4"/>
    <sheet name="1. Líneas" sheetId="4" state="visible" r:id="rId5"/>
    <sheet name="2. Tr3" sheetId="5" state="visible" r:id="rId6"/>
    <sheet name="3. Tr2" sheetId="6" state="visible" r:id="rId7"/>
    <sheet name="4. Subestaciones" sheetId="7" state="visible" r:id="rId8"/>
    <sheet name="5. Demanda" sheetId="8" state="visible" r:id="rId9"/>
    <sheet name="6. Compensacion" sheetId="9" state="visible" r:id="rId10"/>
    <sheet name="7. Compensacion dinamica" sheetId="10" state="visible" r:id="rId11"/>
    <sheet name="8. DFACTS" sheetId="11" state="visible" r:id="rId12"/>
    <sheet name="Listas Desplegables" sheetId="12" state="visible" r:id="rId13"/>
  </sheets>
  <externalReferences>
    <externalReference r:id="rId14"/>
    <externalReference r:id="rId15"/>
    <externalReference r:id="rId16"/>
    <externalReference r:id="rId17"/>
  </externalReferences>
  <definedNames>
    <definedName function="false" hidden="true" localSheetId="3" name="_xlnm._FilterDatabase" vbProcedure="false">'1. Líneas'!$A$5:$AC$192</definedName>
    <definedName function="false" hidden="true" localSheetId="5" name="_xlnm._FilterDatabase" vbProcedure="false">'3. Tr2'!$C$4:$G$185</definedName>
    <definedName function="false" hidden="true" localSheetId="6" name="_xlnm._FilterDatabase" vbProcedure="false">'4. Subestaciones'!$D$4:$L$150</definedName>
    <definedName function="false" hidden="true" localSheetId="7" name="_xlnm._FilterDatabase" vbProcedure="false">'5. Demanda'!$C$4:$F$215</definedName>
    <definedName function="false" hidden="false" name="Agua" vbProcedure="false">'listas desplegables'!#ref!</definedName>
    <definedName function="false" hidden="false" name="Biomasa" vbProcedure="false">'Listas Desplegables'!$H$9:$H$10</definedName>
    <definedName function="false" hidden="false" name="Carbón" vbProcedure="false">'listas desplegables'!#ref!</definedName>
    <definedName function="false" hidden="false" name="CHF" vbProcedure="false">[1]lista!#ref!</definedName>
    <definedName function="false" hidden="false" name="Crudo_Pesado" vbProcedure="false">'listas desplegables'!#ref!</definedName>
    <definedName function="false" hidden="false" name="Cultivo_Energético" vbProcedure="false">'listas desplegables'!#ref!</definedName>
    <definedName function="false" hidden="false" name="Eval" vbProcedure="false">#REF!</definedName>
    <definedName function="false" hidden="false" name="Eólica" vbProcedure="false">'Listas Desplegables'!$F$9:$F$9</definedName>
    <definedName function="false" hidden="false" name="Fuil_Oil" vbProcedure="false">'listas desplegables'!#ref!</definedName>
    <definedName function="false" hidden="false" name="Gas" vbProcedure="false">'listas desplegables'!#ref!</definedName>
    <definedName function="false" hidden="false" name="Geotérmica" vbProcedure="false">'Listas Desplegables'!$I$9:$I$9</definedName>
    <definedName function="false" hidden="false" name="Hidráulico" vbProcedure="false">'Listas Desplegables'!$G$9:$G$9</definedName>
    <definedName function="false" hidden="false" name="INPUT1" vbProcedure="false">[1]lista!#ref!</definedName>
    <definedName function="false" hidden="false" name="INPUT2" vbProcedure="false">[1]lista!#ref!</definedName>
    <definedName function="false" hidden="false" name="INPUT3" vbProcedure="false">[1]lista!#ref!</definedName>
    <definedName function="false" hidden="false" name="INPUT4" vbProcedure="false">[1]lista!#ref!</definedName>
    <definedName function="false" hidden="false" name="INPUT5" vbProcedure="false">[1]lista!#ref!</definedName>
    <definedName function="false" hidden="false" name="INPUT6" vbProcedure="false">[1]lista!#ref!</definedName>
    <definedName function="false" hidden="false" name="INPUT7" vbProcedure="false">[1]lista!#ref!</definedName>
    <definedName function="false" hidden="false" name="k" vbProcedure="false">[1]lista!#ref!</definedName>
    <definedName function="false" hidden="false" name="Necesidad_entorchado_Zonas" vbProcedure="false">#REF!</definedName>
    <definedName function="false" hidden="false" name="Otro" vbProcedure="false">'listas desplegables'!#ref!</definedName>
    <definedName function="false" hidden="false" name="Recurso" vbProcedure="false">'Listas Desplegables'!$B$11:$B$12</definedName>
    <definedName function="false" hidden="false" name="Residuos_Agrícolas_Cultivo" vbProcedure="false">'listas desplegables'!#ref!</definedName>
    <definedName function="false" hidden="false" name="Residuos_Agrícolas_Industriales" vbProcedure="false">'listas desplegables'!#ref!</definedName>
    <definedName function="false" hidden="false" name="Residuos_Pecuarios" vbProcedure="false">'listas desplegables'!#ref!</definedName>
    <definedName function="false" hidden="false" name="Residuos_Solidos_Urbanos" vbProcedure="false">'listas desplegables'!#ref!</definedName>
    <definedName function="false" hidden="false" name="Sol" vbProcedure="false">'listas desplegables'!#ref!</definedName>
    <definedName function="false" hidden="false" name="Solar" vbProcedure="false">'Listas Desplegables'!$E$9:$E$9</definedName>
    <definedName function="false" hidden="false" name="Tecnologia" vbProcedure="false">'listas desplegables'!#ref!</definedName>
    <definedName function="false" hidden="false" name="TGenerador" vbProcedure="false">'[5]Listas Desplegables'!$B$3:$B$7</definedName>
    <definedName function="false" hidden="false" name="totales" vbProcedure="false">#REF!</definedName>
    <definedName function="false" hidden="false" name="TProyecto" vbProcedure="false">'Listas Desplegables'!$B$8:$B$9</definedName>
    <definedName function="false" hidden="false" name="Térmica" vbProcedure="false">'Listas Desplegables'!$J$9:$J$9</definedName>
    <definedName function="false" hidden="false" name="Vapor" vbProcedure="false">'listas desplegables'!#ref!</definedName>
    <definedName function="false" hidden="false" name="Viento" vbProcedure="false">'listas desplegables'!#ref!</definedName>
    <definedName function="false" hidden="false" name="zona" vbProcedure="false">'listas desplegables'!#ref!</definedName>
    <definedName function="false" hidden="false" name="_CHF1" vbProcedure="false">[1]lista!#ref!</definedName>
    <definedName function="false" hidden="false" localSheetId="1" name="Agua" vbProcedure="false">'[2]listas desplegables'!#ref!</definedName>
    <definedName function="false" hidden="false" localSheetId="1" name="Carbón" vbProcedure="false">'[2]listas desplegables'!#ref!</definedName>
    <definedName function="false" hidden="false" localSheetId="1" name="Crudo_Pesado" vbProcedure="false">'[2]listas desplegables'!#ref!</definedName>
    <definedName function="false" hidden="false" localSheetId="1" name="Cultivo_Energético" vbProcedure="false">'[2]listas desplegables'!#ref!</definedName>
    <definedName function="false" hidden="false" localSheetId="1" name="Fuil_Oil" vbProcedure="false">'[2]listas desplegables'!#ref!</definedName>
    <definedName function="false" hidden="false" localSheetId="1" name="Gas" vbProcedure="false">'[2]listas desplegables'!#ref!</definedName>
    <definedName function="false" hidden="false" localSheetId="1" name="Otro" vbProcedure="false">'[2]listas desplegables'!#ref!</definedName>
    <definedName function="false" hidden="false" localSheetId="1" name="Recurso" vbProcedure="false">'[2]Listas Desplegables'!$B$11:$B$12</definedName>
    <definedName function="false" hidden="false" localSheetId="1" name="Residuos_Agrícolas_Cultivo" vbProcedure="false">'[2]listas desplegables'!#ref!</definedName>
    <definedName function="false" hidden="false" localSheetId="1" name="Residuos_Agrícolas_Industriales" vbProcedure="false">'[2]listas desplegables'!#ref!</definedName>
    <definedName function="false" hidden="false" localSheetId="1" name="Residuos_Pecuarios" vbProcedure="false">'[2]listas desplegables'!#ref!</definedName>
    <definedName function="false" hidden="false" localSheetId="1" name="Residuos_Solidos_Urbanos" vbProcedure="false">'[2]listas desplegables'!#ref!</definedName>
    <definedName function="false" hidden="false" localSheetId="1" name="Sol" vbProcedure="false">'[2]listas desplegables'!#ref!</definedName>
    <definedName function="false" hidden="false" localSheetId="1" name="Tecnologia" vbProcedure="false">'[2]listas desplegables'!#ref!</definedName>
    <definedName function="false" hidden="false" localSheetId="1" name="TGenerador" vbProcedure="false">'[4]Listas Desplegables'!$B$3:$B$7</definedName>
    <definedName function="false" hidden="false" localSheetId="1" name="TProyecto" vbProcedure="false">'[2]Listas Desplegables'!$B$8:$B$9</definedName>
    <definedName function="false" hidden="false" localSheetId="1" name="Vapor" vbProcedure="false">'[2]listas desplegables'!#ref!</definedName>
    <definedName function="false" hidden="false" localSheetId="1" name="Viento" vbProcedure="false">'[2]listas desplegables'!#ref!</definedName>
    <definedName function="false" hidden="false" localSheetId="1" name="zona" vbProcedure="false">'[2]listas desplegables'!#ref!</definedName>
    <definedName function="false" hidden="false" localSheetId="2" name="Agua" vbProcedure="false">'[3]listas desplegables'!#ref!</definedName>
    <definedName function="false" hidden="false" localSheetId="2" name="Carbón" vbProcedure="false">'[3]listas desplegables'!#ref!</definedName>
    <definedName function="false" hidden="false" localSheetId="2" name="Crudo_Pesado" vbProcedure="false">'[3]listas desplegables'!#ref!</definedName>
    <definedName function="false" hidden="false" localSheetId="2" name="Cultivo_Energético" vbProcedure="false">'[3]listas desplegables'!#ref!</definedName>
    <definedName function="false" hidden="false" localSheetId="2" name="Fuil_Oil" vbProcedure="false">'[3]listas desplegables'!#ref!</definedName>
    <definedName function="false" hidden="false" localSheetId="2" name="Gas" vbProcedure="false">'[3]listas desplegables'!#ref!</definedName>
    <definedName function="false" hidden="false" localSheetId="2" name="Otro" vbProcedure="false">'[3]listas desplegables'!#ref!</definedName>
    <definedName function="false" hidden="false" localSheetId="2" name="Recurso" vbProcedure="false">'[3]Listas Desplegables'!$B$11:$B$12</definedName>
    <definedName function="false" hidden="false" localSheetId="2" name="Residuos_Agrícolas_Cultivo" vbProcedure="false">'[3]listas desplegables'!#ref!</definedName>
    <definedName function="false" hidden="false" localSheetId="2" name="Residuos_Agrícolas_Industriales" vbProcedure="false">'[3]listas desplegables'!#ref!</definedName>
    <definedName function="false" hidden="false" localSheetId="2" name="Residuos_Pecuarios" vbProcedure="false">'[3]listas desplegables'!#ref!</definedName>
    <definedName function="false" hidden="false" localSheetId="2" name="Residuos_Solidos_Urbanos" vbProcedure="false">'[3]listas desplegables'!#ref!</definedName>
    <definedName function="false" hidden="false" localSheetId="2" name="Sol" vbProcedure="false">'[3]listas desplegables'!#ref!</definedName>
    <definedName function="false" hidden="false" localSheetId="2" name="Tecnologia" vbProcedure="false">'[3]listas desplegables'!#ref!</definedName>
    <definedName function="false" hidden="false" localSheetId="2" name="TGenerador" vbProcedure="false">'[4]Listas Desplegables'!$B$3:$B$7</definedName>
    <definedName function="false" hidden="false" localSheetId="2" name="TProyecto" vbProcedure="false">'[3]Listas Desplegables'!$B$8:$B$9</definedName>
    <definedName function="false" hidden="false" localSheetId="2" name="Vapor" vbProcedure="false">'[3]listas desplegables'!#ref!</definedName>
    <definedName function="false" hidden="false" localSheetId="2" name="Viento" vbProcedure="false">'[3]listas desplegables'!#ref!</definedName>
    <definedName function="false" hidden="false" localSheetId="2" name="zona" vbProcedure="false">'[3]listas desplegables'!#ref!</definedName>
    <definedName function="false" hidden="false" localSheetId="11" name="TGenerador" vbProcedure="false">'Listas Desplegables'!$B$4:$B$6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<sst xmlns="http://schemas.openxmlformats.org/spreadsheetml/2006/main" count="3835" uniqueCount="960">
  <si>
    <t xml:space="preserve">MANUAL DE USO PARA EL REPORTE DE INFORMACIÓN REQUERIDA DE LOS TRANSPORTADORES</t>
  </si>
  <si>
    <t xml:space="preserve">INTRODUCCIÓN</t>
  </si>
  <si>
    <t xml:space="preserve">El presente formato se establece en cumplimiento de lo establecido en el articulo 7 de la Resolución CREG 075 de 2021, para facilitar el reporte uniforme de la información que los transportadores deben entregar para la realización de los estudios de conexión y disponibilidad de espacio físico. 
El uso del presente formato es transitorio, y se requerirá hasta que entre en funcionamiento el sistema de información de la ventanilla única de la UPME, a través del cual se reportará y actualizará la información requerida para estudios de conexión.</t>
  </si>
  <si>
    <t xml:space="preserve">CONTENIDO</t>
  </si>
  <si>
    <t xml:space="preserve">El Formato se encuentra dividido en 9 secciones según el tipo de activo a reportar: 
1. Información de líneas de transmisión y distribución
2. Información de transformadores tridevanados
3. Información de transformadores bidevanados
4. Información de subestaciones
5. Información de demandas
6. Información de compensaciones
7. Información de compensaciones dinámicas
8. Información de dispositivos DFACTS
9. Información de disponibilidad de espacio físico</t>
  </si>
  <si>
    <t xml:space="preserve">MANUAL DE USO</t>
  </si>
  <si>
    <t xml:space="preserve">Dentro de cada sección se solicita que el Transportador compile información característica de cada uno de los tipos de activo. A continuación, se presenta la información y una descripción de lo requerido:</t>
  </si>
  <si>
    <t xml:space="preserve">Líneas de transmisión y distribución</t>
  </si>
  <si>
    <t xml:space="preserve">Nombre</t>
  </si>
  <si>
    <t xml:space="preserve">Nombre de línea de transmisión o distribución.</t>
  </si>
  <si>
    <t xml:space="preserve">Subestación 1</t>
  </si>
  <si>
    <t xml:space="preserve">Subestación o punto de la red a la cual se conecta uno de los extremos de la línea</t>
  </si>
  <si>
    <t xml:space="preserve">Subestación 2</t>
  </si>
  <si>
    <t xml:space="preserve">Subestación o punto de la red a la cual se conecta el otro extremo de la línea</t>
  </si>
  <si>
    <t xml:space="preserve">Nivel de tensión [kV]</t>
  </si>
  <si>
    <t xml:space="preserve">Nivel de tensión nominal en kilovoltios al cual opera la línea</t>
  </si>
  <si>
    <t xml:space="preserve">Longitud [km]</t>
  </si>
  <si>
    <t xml:space="preserve">Longitud en kilometros de la línea</t>
  </si>
  <si>
    <t xml:space="preserve">Capacidad transporte nominal [A]</t>
  </si>
  <si>
    <t xml:space="preserve">Capacidad de transporte de corriente nominal de la línea de transmisión en estado estable en amperios</t>
  </si>
  <si>
    <t xml:space="preserve">Capacidad transporte térmico [A]</t>
  </si>
  <si>
    <t xml:space="preserve">Capacidad nominal de transporte de corriente del conductor de menor capacidad utilizado en la línea de transmisión en amperios</t>
  </si>
  <si>
    <t xml:space="preserve">Capacidad transporte emergencia [A]</t>
  </si>
  <si>
    <t xml:space="preserve">Capacidad de corriente máxima que puede soportar la línea ante condiciones de emergencia en amperios</t>
  </si>
  <si>
    <t xml:space="preserve">Causa límite de capacidad</t>
  </si>
  <si>
    <t xml:space="preserve">Declarar cuál es el elemento que impone el límite operativo, es decir el que restringe la máxima corriente.  Entre los elementos están: línea de transmisión (Cable), bajantes de conexión con los pararrayos y los transformadores de potencial, trampas de onda, transformadores de corriente, interruptores, seccionadores</t>
  </si>
  <si>
    <t xml:space="preserve">R1 [Ohm/km]</t>
  </si>
  <si>
    <t xml:space="preserve">Resistencia de secuencia positiva por unidad de longitud en ohmios por kilometro</t>
  </si>
  <si>
    <t xml:space="preserve">X1 [Ohm/km]</t>
  </si>
  <si>
    <t xml:space="preserve">Reactancia de secuencia positiva por unidad de longitud en ohmios por kilometro</t>
  </si>
  <si>
    <t xml:space="preserve">B1 [uS/km]</t>
  </si>
  <si>
    <t xml:space="preserve">Susceptancia de secuancia positiva por unidad de longitud en microsiemens por kilometro</t>
  </si>
  <si>
    <t xml:space="preserve">R0 [Ohm/km]</t>
  </si>
  <si>
    <t xml:space="preserve">Resistencia de secuencia cero por unidad de longitud en ohmios por kilometro</t>
  </si>
  <si>
    <t xml:space="preserve">X0 [Ohm/km]</t>
  </si>
  <si>
    <t xml:space="preserve">Reactancia de secuencia cero por unidad de longitud en ohmios por kilometro</t>
  </si>
  <si>
    <t xml:space="preserve">B0 [uS/km]</t>
  </si>
  <si>
    <t xml:space="preserve">Susceptancia de secuancia cero por unidad de longitud en microsiemens por kilometro</t>
  </si>
  <si>
    <t xml:space="preserve">Sistema</t>
  </si>
  <si>
    <t xml:space="preserve">Sistema al cual pertenece la línea. Se debe escoger en la lista desplegable entre: STN, STR y SDL. </t>
  </si>
  <si>
    <t xml:space="preserve">Tipo</t>
  </si>
  <si>
    <t xml:space="preserve">Tipo de línea. Se debe escoger en la lista desplegable entre: Áerea o Subterranea</t>
  </si>
  <si>
    <t xml:space="preserve">En Operación</t>
  </si>
  <si>
    <t xml:space="preserve">Se debe escoger en la lista desplegable entre: Sí, cuando el activo se encuentre en operación al momento de realizar la entrega de la información, o No, si el activo tiene una fecha de puesta en operación futura</t>
  </si>
  <si>
    <t xml:space="preserve">Activos de uso de STN</t>
  </si>
  <si>
    <t xml:space="preserve">FPO</t>
  </si>
  <si>
    <t xml:space="preserve">Si el activo no se encuentra en operación, se debe especificar la Fecha de Puesta en Operación planteada en formato dd/mm/aaaa.</t>
  </si>
  <si>
    <t xml:space="preserve">Activos de uso de STR y SDL</t>
  </si>
  <si>
    <t xml:space="preserve">Conductor</t>
  </si>
  <si>
    <t xml:space="preserve">Se debe indicar el calibre y material del conductor predominante en la línea de transmisión o distribución</t>
  </si>
  <si>
    <t xml:space="preserve">Activos de conexión del OR al STN</t>
  </si>
  <si>
    <t xml:space="preserve">Tiempo medio de reparación por evento [h]</t>
  </si>
  <si>
    <t xml:space="preserve">Tiempo de medio en horas que puede durar cada evento de indisponibilidad del activo</t>
  </si>
  <si>
    <t xml:space="preserve">Activos de conexión a un STR o a un SDL</t>
  </si>
  <si>
    <t xml:space="preserve">Horas anuales de indisponibilidad [h]</t>
  </si>
  <si>
    <t xml:space="preserve">Tiempo anual de indisponibilidad del activo en horas</t>
  </si>
  <si>
    <t xml:space="preserve">Eventos anuales de indisponibilidad</t>
  </si>
  <si>
    <t xml:space="preserve">Número de eventos de indisponibilidad del activo</t>
  </si>
  <si>
    <t xml:space="preserve">Operador</t>
  </si>
  <si>
    <t xml:space="preserve">Compañía que opera la línea de transmisión ante el CND</t>
  </si>
  <si>
    <t xml:space="preserve">Tipo activo Uso/Conexión</t>
  </si>
  <si>
    <r>
      <rPr>
        <b val="true"/>
        <sz val="11"/>
        <color rgb="FF000000"/>
        <rFont val="Calibri"/>
        <family val="2"/>
        <charset val="1"/>
      </rPr>
      <t xml:space="preserve">Activos de uso de STN</t>
    </r>
    <r>
      <rPr>
        <sz val="11"/>
        <color rgb="FF000000"/>
        <rFont val="Calibri"/>
        <family val="2"/>
        <charset val="1"/>
      </rPr>
      <t xml:space="preserve">: son aquellos activos de transporte de electricidad que operan a tensiones iguales o superiores a 220 kV, son remunerados mediante Cargos por Uso del STN y pueden estar constituidos por una o varias UC.  (Resolución CREG 011 de 2009. 
</t>
    </r>
    <r>
      <rPr>
        <b val="true"/>
        <sz val="11"/>
        <color rgb="FF000000"/>
        <rFont val="Calibri"/>
        <family val="2"/>
        <charset val="1"/>
      </rPr>
      <t xml:space="preserve">Activos de uso de STR y SDL:</t>
    </r>
    <r>
      <rPr>
        <sz val="11"/>
        <color rgb="FF000000"/>
        <rFont val="Calibri"/>
        <family val="2"/>
        <charset val="1"/>
      </rPr>
      <t xml:space="preserve"> son aquellos activos de transporte de electricidad que operan a tensiones inferiores a 220 kV que son utilizados por más de un usuario y son remunerados mediante cargos por uso de STR o SDL. (Resolución CREG 015 de 2018)
Nota: Los activos que sean remunerados mediante cargos por uso del STN o STR y que están constituidos por una o varias unidades constructivas y que pertenezcan a nivel inferior a 220 kV se deberán clasificar como Activos de Uso del STN o STR de acuerdo a como sean remunerados
</t>
    </r>
    <r>
      <rPr>
        <b val="true"/>
        <sz val="11"/>
        <color rgb="FF000000"/>
        <rFont val="Calibri"/>
        <family val="2"/>
        <charset val="1"/>
      </rPr>
      <t xml:space="preserve">Activos de conexión del OR al STN</t>
    </r>
    <r>
      <rPr>
        <sz val="11"/>
        <color rgb="FF000000"/>
        <rFont val="Calibri"/>
        <family val="2"/>
        <charset val="1"/>
      </rPr>
      <t xml:space="preserve">: son los bienes que se requieren para que un operador de red se conecte físicamente al Sistema de Transmisión Nacional, STN.
</t>
    </r>
    <r>
      <rPr>
        <b val="true"/>
        <sz val="11"/>
        <color rgb="FF000000"/>
        <rFont val="Calibri"/>
        <family val="2"/>
        <charset val="1"/>
      </rPr>
      <t xml:space="preserve">Activos de conexión a un STR o a un SDL</t>
    </r>
    <r>
      <rPr>
        <sz val="11"/>
        <color rgb="FF000000"/>
        <rFont val="Calibri"/>
        <family val="2"/>
        <charset val="1"/>
      </rPr>
      <t xml:space="preserve">: son los bienes que se requieren para que un OR se conecte físicamente a un Sistema de Transmisión Regional, STR, o a un Sistema de Distribución Local, SDL, de otro OR (Operador de Red). También son activos de conexión los utilizados exclusivamente por un usuario final para conectarse a los niveles de tensión 4, 3, 2 o 1. Un usuario está conectado al nivel de tensión en el que está instalado su equipo de medida individual (Resolución CREG 015 de 2018))</t>
    </r>
  </si>
  <si>
    <t xml:space="preserve">Observaciones transportador</t>
  </si>
  <si>
    <t xml:space="preserve">Sección de libre diligenciamiento, donde el transportador debe indicar explicítamente cualquier condición operativa o de planeación que no este incluida en las demás variables. Ejemplo: La línea opera normalmente abierta al lado de la subestación A o se tiene planeado una repotenciación de la línea hasta una capacidad de X Amperios, la cual entrará en operación desde dd/mm/aaaa.</t>
  </si>
  <si>
    <t xml:space="preserve">Transformadores tridevanados</t>
  </si>
  <si>
    <t xml:space="preserve">Nombre del transformador tridevanado. Se sugiere sea nombre de la subestación seguido de los niveles de tensión del transformador</t>
  </si>
  <si>
    <t xml:space="preserve">Subestación</t>
  </si>
  <si>
    <t xml:space="preserve">Subestación en la cual se encuentra ubicado el transformador</t>
  </si>
  <si>
    <t xml:space="preserve">Nivel de tensión HV [kV]</t>
  </si>
  <si>
    <t xml:space="preserve">Nivel de tensión nominal de diseño de los bornes de alta tensión del transformador en kilovoltios</t>
  </si>
  <si>
    <t xml:space="preserve">Nivel de tensión MV [kV]</t>
  </si>
  <si>
    <t xml:space="preserve">Nivel de tensión nominal de diseño de los bornes de media tensión del transformador en kilovoltios</t>
  </si>
  <si>
    <t xml:space="preserve">Nivel de tensión LV [kV]</t>
  </si>
  <si>
    <t xml:space="preserve">Nivel de tensión nominal de diseño de los bornes de baja tensión del transformador en kilovoltios</t>
  </si>
  <si>
    <t xml:space="preserve">Capacidad HV [MVA]</t>
  </si>
  <si>
    <t xml:space="preserve">Capacidad nominal en el devanado de alta tensión del transformador en MVA</t>
  </si>
  <si>
    <t xml:space="preserve">Capacidad MV [MVA]</t>
  </si>
  <si>
    <t xml:space="preserve">Capacidad nominal en el devanado de media tensión del transformador en MVA</t>
  </si>
  <si>
    <t xml:space="preserve">Capacidad LV [MVA]</t>
  </si>
  <si>
    <t xml:space="preserve">Capacidad nominal en el devanado de baja tensión del transformador en MVA</t>
  </si>
  <si>
    <t xml:space="preserve">Grupo de conexión</t>
  </si>
  <si>
    <t xml:space="preserve">Convención utilizada para describir las configuraciones de los distintos devanados del transformador y el desfase en los angulos de fase según norma IEC 60076-1 2011. Ejemplo: YNyn0d5 </t>
  </si>
  <si>
    <t xml:space="preserve">Impedancia HV-MV Secuencia +[%]</t>
  </si>
  <si>
    <t xml:space="preserve">Impedancia de corto circuito entre los devanados de alta y media tensión en secuencia positiva como porcentaje de la impedancia de referencia</t>
  </si>
  <si>
    <t xml:space="preserve">Impedancia HV-LV Secuencia +[%]</t>
  </si>
  <si>
    <t xml:space="preserve">Impedancia de corto circuito entre los devanados de alta y baja tensión en secuencia positiva como porcentaje de la impedancia de referencia</t>
  </si>
  <si>
    <t xml:space="preserve">Impedancia MV-LV Secuencia +[%]</t>
  </si>
  <si>
    <t xml:space="preserve">Impedancia de corto circuito entre los devanados de media y baja tensión en secuencia positiva como porcentaje de la impedancia de referencia</t>
  </si>
  <si>
    <t xml:space="preserve">Impedancia HV-MV Secuencia 0[%]</t>
  </si>
  <si>
    <t xml:space="preserve">Impedancia de corto circuito entre los devanados de alta y media tensión en secuencia cero como porcentaje de la impedancia de referencia</t>
  </si>
  <si>
    <t xml:space="preserve">Impedancia HV-LV Secuencia 0[%]</t>
  </si>
  <si>
    <t xml:space="preserve">Impedancia de corto circuito entre los devanados de alta y baja tensión en secuencia cero como porcentaje de la impedancia de referencia</t>
  </si>
  <si>
    <t xml:space="preserve">Impedancia MV-LV Secuencia 0[%]</t>
  </si>
  <si>
    <t xml:space="preserve">Impedancia de corto circuito entre los devanados de media y baja tensión en secuencia cero como porcentaje de la impedancia de referencia</t>
  </si>
  <si>
    <t xml:space="preserve">Posición Neutral Tap</t>
  </si>
  <si>
    <t xml:space="preserve">Valor del cambiador de tomas como número entero que permite alcanzar los valores nominales de tensión en el transformador</t>
  </si>
  <si>
    <t xml:space="preserve">Posición Máxima Tap</t>
  </si>
  <si>
    <t xml:space="preserve">Máximo valor posible del cambiador de tomas como número entero</t>
  </si>
  <si>
    <t xml:space="preserve">Posición Mínima Tap</t>
  </si>
  <si>
    <t xml:space="preserve">Mínimo valor posible del cambiador de tomas como número entero</t>
  </si>
  <si>
    <t xml:space="preserve">Delta Tap [%]</t>
  </si>
  <si>
    <t xml:space="preserve">La diferencia entre dos pasos adyacentes del cambiador de tomas expresada como un porcentaje.</t>
  </si>
  <si>
    <t xml:space="preserve">Sobrecarga en emergencia</t>
  </si>
  <si>
    <t xml:space="preserve">Valor de sobrecarga aceptable en el transformador ante condiciones de emergencia expresado como porcentaje respecto a la capacidad del transformador y en la cantidad de tiempo en minutos en que el transformador puede soportar dicha condición</t>
  </si>
  <si>
    <t xml:space="preserve">Sistema al cual pertenece el transformador. Se debe escoger en la lista desplegable entre: STN, STR y SDL</t>
  </si>
  <si>
    <t xml:space="preserve">Pérdidas Cu HV-MV [kW]</t>
  </si>
  <si>
    <t xml:space="preserve">Pérdidas de potencia activa en kW de los devanados de alta tensión y media tensión del transformador bidevanado</t>
  </si>
  <si>
    <t xml:space="preserve">Pérdidas Cu HV-LV [kW]</t>
  </si>
  <si>
    <t xml:space="preserve">Pérdidas de potencia activa en kW de los devanados de alta tensión y baja tensión del transformador bidevanado</t>
  </si>
  <si>
    <t xml:space="preserve">Pérdidas Cu MV-LV [kW]</t>
  </si>
  <si>
    <t xml:space="preserve">Pérdidas de potencia activa en kW de los devanados de media tensión y baja tensión del transformador bidevanado</t>
  </si>
  <si>
    <t xml:space="preserve">Sección de libre diligenciamiento, donde el transportador debe indicar explicítamente cualquier condición operativa o de planeación que no este incluida en las demás variables.</t>
  </si>
  <si>
    <t xml:space="preserve">Tranformadores bidevanados</t>
  </si>
  <si>
    <t xml:space="preserve">Capacidad [MVA]</t>
  </si>
  <si>
    <t xml:space="preserve">Capacidad nominal del transformador en MVA</t>
  </si>
  <si>
    <t xml:space="preserve">Convención utilizada para describir las configuraciones de los distintos devanados del transformador y el desfase en los angulos de fase según norma IEC 60076-1 2011. Ejemplo: Dyn11 </t>
  </si>
  <si>
    <t xml:space="preserve">Impedancia Secuencia +[%]</t>
  </si>
  <si>
    <t xml:space="preserve">Impedancia de corto circuito en secuencia positiva como porcentaje de la impedancia de referencia</t>
  </si>
  <si>
    <t xml:space="preserve">Impedancia Secuencia 0[%]</t>
  </si>
  <si>
    <t xml:space="preserve">Impedancia de corto circuito en secuencia cero como porcentaje de la impedancia de referencia</t>
  </si>
  <si>
    <t xml:space="preserve">Pérdidas Cu [kW]</t>
  </si>
  <si>
    <t xml:space="preserve">Pérdidas de potencia activa en kW de los devanados del transformador bidevanado</t>
  </si>
  <si>
    <t xml:space="preserve">Subestaciones
NOTA. En caso de que una subestación tenga en su predio patios de distintos niveles de tensión, se debe realizar un reporte por cada nivel de tensión.</t>
  </si>
  <si>
    <t xml:space="preserve">Nombre de la subestación</t>
  </si>
  <si>
    <t xml:space="preserve">Agente Administrador</t>
  </si>
  <si>
    <t xml:space="preserve">Razón social del transportador con el mayor porcentaje de propiedad de los activos de la subestación</t>
  </si>
  <si>
    <t xml:space="preserve">Nivel de tensión nominal de la(s) barra(s) de la subestación en kilovoltios</t>
  </si>
  <si>
    <t xml:space="preserve">Capacidad de interrupción [kA]</t>
  </si>
  <si>
    <t xml:space="preserve">Capacidad máxima de interrupción de cortocircuito de la subestación, expresada en kiloamperios (kA), determinada por el elemento que impone el límite operativo.
El valor reportado deberá corresponder a la menor capacidad de interrupción o soporte al cortocircuito entre los equipos y componentes relevantes de la subestación, lo cual deberá ser coherente con el elemento limitante declarado.</t>
  </si>
  <si>
    <t xml:space="preserve">Elemento limitante</t>
  </si>
  <si>
    <t xml:space="preserve">Declarar el elemento que impone el límite operativo de la subestación, entendido como aquel equipo o componente que restringe la máxima corriente de cortocircuito admisible. 
Entre los posibles elementos limitantes se incluyen, sin limitarse a: interruptores de potencia, seccionadores, barras, transformadores de corriente (TC), transformadores de potencial (TP) y la malla de puesta a tierra.</t>
  </si>
  <si>
    <t xml:space="preserve">Configuración</t>
  </si>
  <si>
    <t xml:space="preserve">Configuración de barras de la subestación. Se debe escoger en la lista desplegable entre: barra sencilla, barra principal y transferencia, barra sencilla seccionada, barra seccionada con barra de transferencia, doble barra, doble barra con transferencia, doble barra con doble interruptor, interruptor y medio o anillo.</t>
  </si>
  <si>
    <t xml:space="preserve">Se debe escoger de la lista despelegable entre: Convencional, Encapsulada y Mixta.</t>
  </si>
  <si>
    <t xml:space="preserve">Departamento</t>
  </si>
  <si>
    <t xml:space="preserve">Nombre del departamento en que se ubica o ubicará la subestación</t>
  </si>
  <si>
    <t xml:space="preserve">Municipio</t>
  </si>
  <si>
    <t xml:space="preserve">Nombre del municipio en que se ubica o ubicará la subestación</t>
  </si>
  <si>
    <t xml:space="preserve">Demandas</t>
  </si>
  <si>
    <t xml:space="preserve">Nombre de la demanda</t>
  </si>
  <si>
    <t xml:space="preserve">Subestación en la que se encuentra conectada la demanda. Para demandas conectadas a niveles de tensión inferiores a 11.4 kV se debe referir a nivel de tensión superior.</t>
  </si>
  <si>
    <t xml:space="preserve">Nivel de tensión en kilovoltios al que se conecta o refiere la demanda.</t>
  </si>
  <si>
    <t xml:space="preserve">Se debe escoger en la lista desplegable entre: Industrial, Comercial, Residencial y Oficial. En caso de que la demanda incluya varios tipos se debe seleccionar el tipo de mayor magnitud.</t>
  </si>
  <si>
    <t xml:space="preserve">Atendida Subestación Nivel IV</t>
  </si>
  <si>
    <t xml:space="preserve">Subestación de nivel de tensión IV o superior que atiende a la demanda.</t>
  </si>
  <si>
    <t xml:space="preserve">Demanda Mínima</t>
  </si>
  <si>
    <t xml:space="preserve">Valor mínimo de demanda de potencia activa en MW y reactiva en MVAr esperado para la demanda en el año inmediatamente anterior, registrado a la hora 03:00, el cual debe ser actualizado de manera anual.</t>
  </si>
  <si>
    <t xml:space="preserve">Demanda Media</t>
  </si>
  <si>
    <t xml:space="preserve">Valor medio de de demanda de potencia activa en MW y reactiva en MVAr esperado para la demanda en el año inmediatamente anterior, registrado a la hora 12:00, el cual debe ser actualizado de manera anual.</t>
  </si>
  <si>
    <t xml:space="preserve">Demanda Máxima</t>
  </si>
  <si>
    <t xml:space="preserve">Valor máximo de de demanda de potencia activa en MW y reactiva en MVAr esperado para la demanda en el año inmediatamente anterior, registrado a la hora 19:00, el cual debe ser actualizado de manera anual.</t>
  </si>
  <si>
    <t xml:space="preserve">Traslados de carga Año</t>
  </si>
  <si>
    <t xml:space="preserve">Año en el cual se materializa el traslado de carga.
Si existen traslados en más de un año, se deberá diligenciar una columna por cada año.</t>
  </si>
  <si>
    <t xml:space="preserve">Porcentaje</t>
  </si>
  <si>
    <t xml:space="preserve">Porcentaje de la carga que se traslada desde la subestación de origen indicada en la fila correspondiente, para el año señalado.
El porcentaje deberá asociarse exclusivamente al traslado reportado en la misma columna de año y subestación destino.
En caso de múltiples traslados, se deberá diligenciar una columna por cada porcentaje correspondiente.</t>
  </si>
  <si>
    <t xml:space="preserve">Subestación destino traslado</t>
  </si>
  <si>
    <t xml:space="preserve">Subestación hacia la cual se traslada la carga, ya sea perteneciente al STR o al SDL.
Cuando exista más de una subestación destino, se deberá diligenciar una columna independiente por cada una, asociada a su respectivo año y porcentaje.</t>
  </si>
  <si>
    <t xml:space="preserve">Compensación estática</t>
  </si>
  <si>
    <t xml:space="preserve">Nombre de la compensación. Se sugiere usar el nombre de la subestación a la que se conecta.</t>
  </si>
  <si>
    <t xml:space="preserve">Nombre de la subestación a la que se conecta la compensación.</t>
  </si>
  <si>
    <t xml:space="preserve">Nivel de tensión de la subestación en kilovoltios</t>
  </si>
  <si>
    <t xml:space="preserve">Capacidad [MVAr]</t>
  </si>
  <si>
    <t xml:space="preserve">Capacidad de la compensación en MVAr</t>
  </si>
  <si>
    <t xml:space="preserve">Tipo activo</t>
  </si>
  <si>
    <t xml:space="preserve">Se debe escoger en la lista desplegable entre: Capcitor o reactor</t>
  </si>
  <si>
    <t xml:space="preserve">Número de pasos</t>
  </si>
  <si>
    <t xml:space="preserve">Número de pasos posibles para alcanzar la capacidad de la compensación</t>
  </si>
  <si>
    <t xml:space="preserve">Tipo conexión</t>
  </si>
  <si>
    <t xml:space="preserve">Se debe escoger en la lista desplegable entre: Serie y Paralelo</t>
  </si>
  <si>
    <t xml:space="preserve">Operabilidad</t>
  </si>
  <si>
    <t xml:space="preserve">Se debe escoger en la lista desplegable entre: Fijo y Maniobrable</t>
  </si>
  <si>
    <t xml:space="preserve">Compensación dinámica</t>
  </si>
  <si>
    <t xml:space="preserve">Nombre de la compensación dinámica. Se sugiere usar el nombre de la subestación a la que se conecta.</t>
  </si>
  <si>
    <t xml:space="preserve">Nombre de la subestación a la que se conecta la compensación dinámica.</t>
  </si>
  <si>
    <t xml:space="preserve">Tecnología</t>
  </si>
  <si>
    <r>
      <rPr>
        <sz val="11"/>
        <rFont val="Calibri"/>
        <family val="2"/>
        <charset val="1"/>
      </rPr>
      <t xml:space="preserve">Se debe escoger en la lista desplegable entre: STATCOM (</t>
    </r>
    <r>
      <rPr>
        <i val="true"/>
        <sz val="11"/>
        <rFont val="Calibri"/>
        <family val="2"/>
        <charset val="1"/>
      </rPr>
      <t xml:space="preserve">Synchronous Static Compensator</t>
    </r>
    <r>
      <rPr>
        <sz val="11"/>
        <rFont val="Calibri"/>
        <family val="2"/>
        <charset val="1"/>
      </rPr>
      <t xml:space="preserve">), SVC (</t>
    </r>
    <r>
      <rPr>
        <i val="true"/>
        <sz val="11"/>
        <rFont val="Calibri"/>
        <family val="2"/>
        <charset val="1"/>
      </rPr>
      <t xml:space="preserve">Static Var compensation</t>
    </r>
    <r>
      <rPr>
        <sz val="11"/>
        <rFont val="Calibri"/>
        <family val="2"/>
        <charset val="1"/>
      </rPr>
      <t xml:space="preserve">) o SC (</t>
    </r>
    <r>
      <rPr>
        <i val="true"/>
        <sz val="11"/>
        <rFont val="Calibri"/>
        <family val="2"/>
        <charset val="1"/>
      </rPr>
      <t xml:space="preserve">Synchronous condensers</t>
    </r>
    <r>
      <rPr>
        <sz val="11"/>
        <rFont val="Calibri"/>
        <family val="2"/>
        <charset val="1"/>
      </rPr>
      <t xml:space="preserve">)</t>
    </r>
  </si>
  <si>
    <t xml:space="preserve">Qmin [MVAr]</t>
  </si>
  <si>
    <t xml:space="preserve">Capacidad máxima de absorción de potencia reactiva en MVAr</t>
  </si>
  <si>
    <t xml:space="preserve">Qmax [MVAr]</t>
  </si>
  <si>
    <t xml:space="preserve">Capacidad máxima de aporte de potencia reactiva en MVAr</t>
  </si>
  <si>
    <t xml:space="preserve">DFACTS
NOTA. En el campo de observaciones del transportador se debe señalar si se consideran múltiples dispositivos FACTS en serie.</t>
  </si>
  <si>
    <t xml:space="preserve">Nombre del dispositivo FACTS. Se sugiere que contenga el nombre de la línea a intervenir</t>
  </si>
  <si>
    <t xml:space="preserve">Línea Intervenida</t>
  </si>
  <si>
    <t xml:space="preserve">Nombre de la línea de transmisión o distribución que se interviene para la conexión del dispositivo FACTS</t>
  </si>
  <si>
    <t xml:space="preserve">Nivel de tensión de la línea intervenida en kilovoltios</t>
  </si>
  <si>
    <t xml:space="preserve">Conectado al lado de</t>
  </si>
  <si>
    <t xml:space="preserve">Lado de la línea de transmisión en la que se conectan los dispositivos FACTS</t>
  </si>
  <si>
    <t xml:space="preserve">Tensión máxima aporte [V]</t>
  </si>
  <si>
    <t xml:space="preserve">Tensión máxima que puede inyectar cada dispositivo FACTS en voltios</t>
  </si>
  <si>
    <t xml:space="preserve">Corriente máxima aporte [A]</t>
  </si>
  <si>
    <t xml:space="preserve">Corriente máxima que puede inyectar cada dispositivo FACTS en amperios</t>
  </si>
  <si>
    <t xml:space="preserve">Modelo (si disponible)</t>
  </si>
  <si>
    <t xml:space="preserve">Referencia o modelo del dispositivo instalado o adquirido.</t>
  </si>
  <si>
    <t xml:space="preserve">UNIFILAR ACTUAL</t>
  </si>
  <si>
    <t xml:space="preserve">UNIFILAR FUTURO</t>
  </si>
  <si>
    <t xml:space="preserve">UNIFILAR SDL SE MALAMBO</t>
  </si>
  <si>
    <t xml:space="preserve">UNIFILAR SDL SE BARANOA</t>
  </si>
  <si>
    <t xml:space="preserve">UNIFILAR SDL SE'S LAS FLORES, RIOMAR y SILENCIO</t>
  </si>
  <si>
    <t xml:space="preserve">UNIFILAR SDL SE NUEVA GALAPA</t>
  </si>
  <si>
    <t xml:space="preserve">UNIFILAR SDL SE PALERMO</t>
  </si>
  <si>
    <t xml:space="preserve">Unifilar SDL SE's El Río, Unión y Magdalena</t>
  </si>
  <si>
    <t xml:space="preserve">UNIFILAR SDL SE SALAMINA</t>
  </si>
  <si>
    <t xml:space="preserve">UNIFILAR SDL SE SABANALARGA</t>
  </si>
  <si>
    <t xml:space="preserve">Diagramas Unifilares Actuales De La Guajira y Magdalena</t>
  </si>
  <si>
    <t xml:space="preserve">Diagramas Unifilares Futuros De La Guajira y Magdalena</t>
  </si>
  <si>
    <t xml:space="preserve">UNIFILAR SDL SE SAN JUAN</t>
  </si>
  <si>
    <t xml:space="preserve">UNIFILAR SDL SE RIOHACHA</t>
  </si>
  <si>
    <t xml:space="preserve">UNIFILAR SDL SE SANTA MARTA</t>
  </si>
  <si>
    <t xml:space="preserve">UNIFILAR SDL SE CUESTECITAS</t>
  </si>
  <si>
    <t xml:space="preserve">UNIFILAR SDL SE FUNDACIÓN</t>
  </si>
  <si>
    <t xml:space="preserve">UNIFILAR SDL SE RÍO CÓRDOBA</t>
  </si>
  <si>
    <t xml:space="preserve">UNIFILAR SDL SE GAIRA</t>
  </si>
  <si>
    <t xml:space="preserve">UNIFILAR SDL SE PLATO</t>
  </si>
  <si>
    <t xml:space="preserve">Información General de Líneas</t>
  </si>
  <si>
    <t xml:space="preserve">No.</t>
  </si>
  <si>
    <t xml:space="preserve">LN701</t>
  </si>
  <si>
    <t xml:space="preserve">Oasis</t>
  </si>
  <si>
    <t xml:space="preserve">Termoflores</t>
  </si>
  <si>
    <t xml:space="preserve">Línea de transmisión</t>
  </si>
  <si>
    <t xml:space="preserve">STR</t>
  </si>
  <si>
    <t xml:space="preserve">Áerea</t>
  </si>
  <si>
    <t xml:space="preserve">Sí</t>
  </si>
  <si>
    <t xml:space="preserve">927,2 AAAC</t>
  </si>
  <si>
    <t xml:space="preserve">LN703</t>
  </si>
  <si>
    <t xml:space="preserve">Caracolí</t>
  </si>
  <si>
    <t xml:space="preserve">Silencio</t>
  </si>
  <si>
    <t xml:space="preserve">LN704</t>
  </si>
  <si>
    <t xml:space="preserve">Tebsa</t>
  </si>
  <si>
    <t xml:space="preserve">Cordialidad</t>
  </si>
  <si>
    <t xml:space="preserve">LN705</t>
  </si>
  <si>
    <t xml:space="preserve">Baranoa</t>
  </si>
  <si>
    <t xml:space="preserve">Malambo</t>
  </si>
  <si>
    <t xml:space="preserve">559,5 AAAC</t>
  </si>
  <si>
    <t xml:space="preserve">LN706</t>
  </si>
  <si>
    <t xml:space="preserve">El Rio</t>
  </si>
  <si>
    <t xml:space="preserve">LN707</t>
  </si>
  <si>
    <t xml:space="preserve">La Unión</t>
  </si>
  <si>
    <t xml:space="preserve">LN708</t>
  </si>
  <si>
    <t xml:space="preserve">Veinte de Julio</t>
  </si>
  <si>
    <t xml:space="preserve">LN709</t>
  </si>
  <si>
    <t xml:space="preserve">LN722</t>
  </si>
  <si>
    <t xml:space="preserve">Subterránea</t>
  </si>
  <si>
    <t xml:space="preserve">750 XLPE Cu</t>
  </si>
  <si>
    <t xml:space="preserve">LN723</t>
  </si>
  <si>
    <t xml:space="preserve">Centro</t>
  </si>
  <si>
    <t xml:space="preserve">LN724</t>
  </si>
  <si>
    <t xml:space="preserve">LN725</t>
  </si>
  <si>
    <t xml:space="preserve">Las Flores</t>
  </si>
  <si>
    <t xml:space="preserve">LN728</t>
  </si>
  <si>
    <t xml:space="preserve">LN729</t>
  </si>
  <si>
    <t xml:space="preserve">Sabanalarga</t>
  </si>
  <si>
    <t xml:space="preserve">LN702</t>
  </si>
  <si>
    <t xml:space="preserve">Salamina</t>
  </si>
  <si>
    <t xml:space="preserve">Transformador de corriente</t>
  </si>
  <si>
    <t xml:space="preserve">LN710</t>
  </si>
  <si>
    <t xml:space="preserve">Santa Marta</t>
  </si>
  <si>
    <t xml:space="preserve">Gaira</t>
  </si>
  <si>
    <t xml:space="preserve">LN711</t>
  </si>
  <si>
    <t xml:space="preserve">Río Córdoba</t>
  </si>
  <si>
    <t xml:space="preserve">Fundación</t>
  </si>
  <si>
    <t xml:space="preserve">LN712</t>
  </si>
  <si>
    <t xml:space="preserve">Manzanares</t>
  </si>
  <si>
    <t xml:space="preserve">LN740</t>
  </si>
  <si>
    <t xml:space="preserve">Cuestecitas</t>
  </si>
  <si>
    <t xml:space="preserve">Maicao</t>
  </si>
  <si>
    <t xml:space="preserve">394,5 AAAC</t>
  </si>
  <si>
    <t xml:space="preserve">LN741</t>
  </si>
  <si>
    <t xml:space="preserve">Riohacha</t>
  </si>
  <si>
    <t xml:space="preserve">LN754</t>
  </si>
  <si>
    <t xml:space="preserve">Libertador</t>
  </si>
  <si>
    <t xml:space="preserve">477 ACSR</t>
  </si>
  <si>
    <t xml:space="preserve">LN755</t>
  </si>
  <si>
    <t xml:space="preserve">T Puerto Nuevo</t>
  </si>
  <si>
    <t xml:space="preserve">LN756</t>
  </si>
  <si>
    <t xml:space="preserve">Cienaga</t>
  </si>
  <si>
    <t xml:space="preserve">LN787</t>
  </si>
  <si>
    <t xml:space="preserve">AAC 700 MCM</t>
  </si>
  <si>
    <t xml:space="preserve">LN788</t>
  </si>
  <si>
    <t xml:space="preserve">LN767</t>
  </si>
  <si>
    <t xml:space="preserve">Nueva Barranquilla</t>
  </si>
  <si>
    <t xml:space="preserve">Juan Mina</t>
  </si>
  <si>
    <t xml:space="preserve">336,4 ACSR</t>
  </si>
  <si>
    <t xml:space="preserve">LN775</t>
  </si>
  <si>
    <t xml:space="preserve">ACAR 850 MCM</t>
  </si>
  <si>
    <t xml:space="preserve">LN776</t>
  </si>
  <si>
    <t xml:space="preserve">LN777</t>
  </si>
  <si>
    <t xml:space="preserve">LN501</t>
  </si>
  <si>
    <t xml:space="preserve">El Río</t>
  </si>
  <si>
    <t xml:space="preserve">Magdalena</t>
  </si>
  <si>
    <t xml:space="preserve">Protecciones</t>
  </si>
  <si>
    <t xml:space="preserve">SDL</t>
  </si>
  <si>
    <t xml:space="preserve">500 Cu</t>
  </si>
  <si>
    <t xml:space="preserve">LN502</t>
  </si>
  <si>
    <t xml:space="preserve">Unión</t>
  </si>
  <si>
    <t xml:space="preserve">LN505</t>
  </si>
  <si>
    <t xml:space="preserve">Riomar</t>
  </si>
  <si>
    <t xml:space="preserve">LN506</t>
  </si>
  <si>
    <t xml:space="preserve">LN5101</t>
  </si>
  <si>
    <t xml:space="preserve">Juan de Acosta</t>
  </si>
  <si>
    <t xml:space="preserve">246.9 AAAC</t>
  </si>
  <si>
    <t xml:space="preserve">LN5115</t>
  </si>
  <si>
    <t xml:space="preserve">Manatí</t>
  </si>
  <si>
    <t xml:space="preserve">Campo de la Cruz</t>
  </si>
  <si>
    <t xml:space="preserve">LN5118</t>
  </si>
  <si>
    <t xml:space="preserve">Arroyo de piedra</t>
  </si>
  <si>
    <t xml:space="preserve">Rotinet</t>
  </si>
  <si>
    <t xml:space="preserve">2 AL</t>
  </si>
  <si>
    <t xml:space="preserve">LN5122</t>
  </si>
  <si>
    <t xml:space="preserve">Santa Veronica</t>
  </si>
  <si>
    <t xml:space="preserve">4/0 ACSR</t>
  </si>
  <si>
    <t xml:space="preserve">LN521</t>
  </si>
  <si>
    <t xml:space="preserve">Arroyo de Piedra</t>
  </si>
  <si>
    <t xml:space="preserve">LN522</t>
  </si>
  <si>
    <t xml:space="preserve">2 Al</t>
  </si>
  <si>
    <t xml:space="preserve">Normalmente abierta en ambos extremos</t>
  </si>
  <si>
    <t xml:space="preserve">LN523</t>
  </si>
  <si>
    <t xml:space="preserve">LN524</t>
  </si>
  <si>
    <t xml:space="preserve">Ponedera</t>
  </si>
  <si>
    <t xml:space="preserve">LN530</t>
  </si>
  <si>
    <t xml:space="preserve">LN534</t>
  </si>
  <si>
    <t xml:space="preserve">LN535</t>
  </si>
  <si>
    <t xml:space="preserve">LN574</t>
  </si>
  <si>
    <t xml:space="preserve">Puerta de Oro</t>
  </si>
  <si>
    <t xml:space="preserve">4/0 CU</t>
  </si>
  <si>
    <t xml:space="preserve">LN575</t>
  </si>
  <si>
    <t xml:space="preserve">Sabanagrande</t>
  </si>
  <si>
    <t xml:space="preserve">LN5116</t>
  </si>
  <si>
    <t xml:space="preserve">Aracataca</t>
  </si>
  <si>
    <t xml:space="preserve">Guacamayal</t>
  </si>
  <si>
    <t xml:space="preserve">4/0 AL</t>
  </si>
  <si>
    <t xml:space="preserve">LN5135</t>
  </si>
  <si>
    <t xml:space="preserve">Manaure</t>
  </si>
  <si>
    <t xml:space="preserve">Uribia</t>
  </si>
  <si>
    <t xml:space="preserve">LN5136</t>
  </si>
  <si>
    <t xml:space="preserve">Remolino</t>
  </si>
  <si>
    <t xml:space="preserve">LN5138</t>
  </si>
  <si>
    <t xml:space="preserve">Santa marta</t>
  </si>
  <si>
    <t xml:space="preserve">Bonda</t>
  </si>
  <si>
    <t xml:space="preserve">266,8 ACSR</t>
  </si>
  <si>
    <t xml:space="preserve">LN518</t>
  </si>
  <si>
    <t xml:space="preserve">312.8 AAAC</t>
  </si>
  <si>
    <t xml:space="preserve">LN527</t>
  </si>
  <si>
    <t xml:space="preserve">Fonseca</t>
  </si>
  <si>
    <t xml:space="preserve">San Juan</t>
  </si>
  <si>
    <t xml:space="preserve">LN528</t>
  </si>
  <si>
    <t xml:space="preserve">Villanueva</t>
  </si>
  <si>
    <t xml:space="preserve">2/0 Al</t>
  </si>
  <si>
    <t xml:space="preserve">LN529-2</t>
  </si>
  <si>
    <t xml:space="preserve">Tballenas</t>
  </si>
  <si>
    <t xml:space="preserve">LN529-1</t>
  </si>
  <si>
    <t xml:space="preserve">LN536</t>
  </si>
  <si>
    <t xml:space="preserve">Zawady</t>
  </si>
  <si>
    <t xml:space="preserve">4/0 Al</t>
  </si>
  <si>
    <t xml:space="preserve">Normalmente abierto en Zawady 34,5 kV</t>
  </si>
  <si>
    <t xml:space="preserve">LN537</t>
  </si>
  <si>
    <t xml:space="preserve">Aeropuerto</t>
  </si>
  <si>
    <t xml:space="preserve">Rio Cordoba</t>
  </si>
  <si>
    <t xml:space="preserve">Normalmente abierta en Aeropuerto</t>
  </si>
  <si>
    <t xml:space="preserve">LN553</t>
  </si>
  <si>
    <t xml:space="preserve">Plato</t>
  </si>
  <si>
    <t xml:space="preserve">Real del Obispo</t>
  </si>
  <si>
    <t xml:space="preserve">LN560</t>
  </si>
  <si>
    <t xml:space="preserve">Barrancas</t>
  </si>
  <si>
    <t xml:space="preserve">2/0 ACSR</t>
  </si>
  <si>
    <t xml:space="preserve">LN563-1</t>
  </si>
  <si>
    <t xml:space="preserve">Campo Alegre</t>
  </si>
  <si>
    <t xml:space="preserve">LN563-2</t>
  </si>
  <si>
    <t xml:space="preserve">La Retirada</t>
  </si>
  <si>
    <t xml:space="preserve">LN563-3</t>
  </si>
  <si>
    <t xml:space="preserve">Pivijay</t>
  </si>
  <si>
    <t xml:space="preserve">LN564</t>
  </si>
  <si>
    <t xml:space="preserve">Hatonuevo</t>
  </si>
  <si>
    <t xml:space="preserve">LN567</t>
  </si>
  <si>
    <t xml:space="preserve">LN578</t>
  </si>
  <si>
    <t xml:space="preserve">LN592</t>
  </si>
  <si>
    <t xml:space="preserve">Camarones</t>
  </si>
  <si>
    <t xml:space="preserve">LN5126</t>
  </si>
  <si>
    <t xml:space="preserve">El Retén</t>
  </si>
  <si>
    <t xml:space="preserve">LN793</t>
  </si>
  <si>
    <t xml:space="preserve">2000mm AL</t>
  </si>
  <si>
    <t xml:space="preserve">LN794</t>
  </si>
  <si>
    <t xml:space="preserve">LN789</t>
  </si>
  <si>
    <t xml:space="preserve">LN7001</t>
  </si>
  <si>
    <t xml:space="preserve">Termoflores </t>
  </si>
  <si>
    <t xml:space="preserve">2500mm AL</t>
  </si>
  <si>
    <t xml:space="preserve">LN 798</t>
  </si>
  <si>
    <t xml:space="preserve">LN 799</t>
  </si>
  <si>
    <t xml:space="preserve">LN796</t>
  </si>
  <si>
    <t xml:space="preserve">Estadio</t>
  </si>
  <si>
    <t xml:space="preserve">LN795</t>
  </si>
  <si>
    <t xml:space="preserve">LN771</t>
  </si>
  <si>
    <t xml:space="preserve">Norte</t>
  </si>
  <si>
    <t xml:space="preserve">LN772</t>
  </si>
  <si>
    <t xml:space="preserve">CARACOLÍ - GALAPA </t>
  </si>
  <si>
    <t xml:space="preserve">Galapa</t>
  </si>
  <si>
    <t xml:space="preserve">No</t>
  </si>
  <si>
    <t xml:space="preserve">GALAPA - JUAN MINA </t>
  </si>
  <si>
    <t xml:space="preserve">NUEVA SAN JUAN - SAN JUAN </t>
  </si>
  <si>
    <t xml:space="preserve">Nueva San Juan</t>
  </si>
  <si>
    <t xml:space="preserve">Intersección Nueva SJU - San Juan</t>
  </si>
  <si>
    <t xml:space="preserve">Intersección Nueva SJU - Guatapurí</t>
  </si>
  <si>
    <t xml:space="preserve">Guatapurí</t>
  </si>
  <si>
    <t xml:space="preserve">EL RIO - PALERMO TRAMO 1</t>
  </si>
  <si>
    <t xml:space="preserve">Palermo</t>
  </si>
  <si>
    <t xml:space="preserve">Estas líneas surgen de la reconfiguración de la línea El Rio - Tebsa 110kV</t>
  </si>
  <si>
    <t xml:space="preserve">EL RIO - PALERMO TRAMO 2 </t>
  </si>
  <si>
    <t xml:space="preserve">PALERMO - TEBSA TRAMO 2</t>
  </si>
  <si>
    <t xml:space="preserve">PALERMO - TEBSA TRAMO 1 </t>
  </si>
  <si>
    <t xml:space="preserve">FUNDACIÓN - ARACATACA 2</t>
  </si>
  <si>
    <t xml:space="preserve">Segunda línea</t>
  </si>
  <si>
    <t xml:space="preserve">LN5153</t>
  </si>
  <si>
    <t xml:space="preserve">MEGUA - BARANOA </t>
  </si>
  <si>
    <t xml:space="preserve">Megua</t>
  </si>
  <si>
    <t xml:space="preserve">RÍO CÓRDOBA  - ZAWADY 2 (LN-5166)</t>
  </si>
  <si>
    <t xml:space="preserve">246,9 AAAC</t>
  </si>
  <si>
    <t xml:space="preserve">LAS FLORES - El RÍO (TRAMO 1) 110KV LN797</t>
  </si>
  <si>
    <t xml:space="preserve">Aérea</t>
  </si>
  <si>
    <t xml:space="preserve">LAS FLORES - El RÍO (TRAMO 2) 110KV LN797</t>
  </si>
  <si>
    <t xml:space="preserve">LAS FLORES - El RÍO (TRAMO 3) 110KV LN797</t>
  </si>
  <si>
    <t xml:space="preserve">1650 Cu</t>
  </si>
  <si>
    <t xml:space="preserve">LAS FLORES - El RÍO (TRAMO 4) 110KV LN797</t>
  </si>
  <si>
    <t xml:space="preserve">LIBERTADOR - MANZANARES</t>
  </si>
  <si>
    <t xml:space="preserve">AAAC</t>
  </si>
  <si>
    <t xml:space="preserve">SANTA MARTA - Bureche</t>
  </si>
  <si>
    <t xml:space="preserve">Bureche</t>
  </si>
  <si>
    <t xml:space="preserve">GAIRA - INT. GAIRA</t>
  </si>
  <si>
    <t xml:space="preserve">Int. Gaira</t>
  </si>
  <si>
    <t xml:space="preserve">Intersección de la línea actual Santa Marta - Gaira 110 kV a 2,3 km partiendo de la SE Santa Marta, y construcción de un doble circuito de línea a 110 kV de aproximadamente 3,6 km para alimentar la subestación Bureche 110 kV. Para quedar reconfigurada la línea Santa Marta – Gaira 110kV, en los circuitos Santa Marta – Bureche 110kV(1,8 km) y Bureche – GAIRA 110kV(1,8 km), Además se instalará una nueva línea que se conectara entre las subestaciones Santa Marta y Bureche 110 kV. </t>
  </si>
  <si>
    <t xml:space="preserve">INT. GAIRA - BURECHE</t>
  </si>
  <si>
    <t xml:space="preserve">BURECHE - INT. SANTA MARTA</t>
  </si>
  <si>
    <t xml:space="preserve">Int. Santa Marta</t>
  </si>
  <si>
    <t xml:space="preserve">INT. SANTA MARTA - SANTA MARTA</t>
  </si>
  <si>
    <t xml:space="preserve">FUNDACIÓN  - GUACAMAYAL Tramo 1</t>
  </si>
  <si>
    <t xml:space="preserve">FUNDACIÓN </t>
  </si>
  <si>
    <t xml:space="preserve">GUACAMAYAL</t>
  </si>
  <si>
    <t xml:space="preserve">Reconfiguración de linea existente</t>
  </si>
  <si>
    <t xml:space="preserve">FUNDACIÓN  - GUACAMAYAL Tramo 2</t>
  </si>
  <si>
    <t xml:space="preserve">GUACAMAYAL  - CIENAGA Tramo 3</t>
  </si>
  <si>
    <t xml:space="preserve">CIENAGA</t>
  </si>
  <si>
    <t xml:space="preserve">GUACAMAYAL  - CIENAGA Tramo 4</t>
  </si>
  <si>
    <t xml:space="preserve">GUACAMAYAL - CIENAGA Tramo 5</t>
  </si>
  <si>
    <t xml:space="preserve">RIO CORDOBA - CIENAGA Tramo 6</t>
  </si>
  <si>
    <t xml:space="preserve">RÍO CÓRDOBA</t>
  </si>
  <si>
    <t xml:space="preserve">RIO CORDOBA - CIENAGA Tramo 7</t>
  </si>
  <si>
    <t xml:space="preserve">URIBIA - CUESTECITAS Tramo 1</t>
  </si>
  <si>
    <t xml:space="preserve">URIBIA</t>
  </si>
  <si>
    <t xml:space="preserve">CUESTECITAS</t>
  </si>
  <si>
    <t xml:space="preserve">URIBIA - JOUKTAI Tramo 2</t>
  </si>
  <si>
    <t xml:space="preserve">JOUKTAI</t>
  </si>
  <si>
    <t xml:space="preserve">URIBIA - MAICAO</t>
  </si>
  <si>
    <t xml:space="preserve">MAICAO</t>
  </si>
  <si>
    <t xml:space="preserve">Nueva Línea</t>
  </si>
  <si>
    <t xml:space="preserve">…</t>
  </si>
  <si>
    <t xml:space="preserve">Información General de Transformadores Tridevanados</t>
  </si>
  <si>
    <t xml:space="preserve">Magnitud [%]</t>
  </si>
  <si>
    <t xml:space="preserve">Tiempo [minutos]</t>
  </si>
  <si>
    <t xml:space="preserve">T-BAR01-</t>
  </si>
  <si>
    <t xml:space="preserve">BARANOA</t>
  </si>
  <si>
    <t xml:space="preserve">YN0yn0d5</t>
  </si>
  <si>
    <t xml:space="preserve">TPT a nivel de 13,8 kV de Reactancia de secuencia zero = 3,58 Ohm y Coriente nominal en el neutro = 6,87 kA</t>
  </si>
  <si>
    <t xml:space="preserve">T-MLB01-</t>
  </si>
  <si>
    <t xml:space="preserve">MALAMBO</t>
  </si>
  <si>
    <t xml:space="preserve">D0yn11yn11</t>
  </si>
  <si>
    <t xml:space="preserve">T-MLB03-</t>
  </si>
  <si>
    <t xml:space="preserve">T-RCH01-</t>
  </si>
  <si>
    <t xml:space="preserve">RIOHACHA</t>
  </si>
  <si>
    <t xml:space="preserve">YN0yn0d1</t>
  </si>
  <si>
    <t xml:space="preserve">TPT a nivel de 13,8 kV de Reactancia de secuencia zero = 2,813 Ohm y Coriente nominal en el neutro = 8,422 kA</t>
  </si>
  <si>
    <t xml:space="preserve">T-RCH02-</t>
  </si>
  <si>
    <t xml:space="preserve">YN0yn0d11</t>
  </si>
  <si>
    <t xml:space="preserve">T-RCH03-</t>
  </si>
  <si>
    <t xml:space="preserve">T-SJU01-</t>
  </si>
  <si>
    <t xml:space="preserve">SAN JUAN</t>
  </si>
  <si>
    <t xml:space="preserve">YN0d1yn0</t>
  </si>
  <si>
    <t xml:space="preserve">TPT a nivel de 34,5 kV de Reactancia de secuencia zero = 13,67 Ohm y Coriente nominal en el neutro = 4,5 kA</t>
  </si>
  <si>
    <t xml:space="preserve">T-SJU02-</t>
  </si>
  <si>
    <t xml:space="preserve">T-FUN02-</t>
  </si>
  <si>
    <t xml:space="preserve">FUNDACION</t>
  </si>
  <si>
    <t xml:space="preserve">TPT a nivel de 13,8 kV de Reactancia de secuencia zero = 3,43 Ohm y Coriente nominal en el neutro = 5,4 kA</t>
  </si>
  <si>
    <t xml:space="preserve">T-GAI01-</t>
  </si>
  <si>
    <t xml:space="preserve">GAIRA</t>
  </si>
  <si>
    <t xml:space="preserve">YN0d11yn0</t>
  </si>
  <si>
    <t xml:space="preserve">TPT a nivel de 34,5 kV de Reactancia de secuencia zero = 7,28 Ohm y Coriente nominal en el neutro = 4,82 kA</t>
  </si>
  <si>
    <t xml:space="preserve">T-RCO01-</t>
  </si>
  <si>
    <t xml:space="preserve">TPT a nivel de 34,5 kV de Reactancia de secuencia zero = 8,44 Ohm y Coriente nominal en el neutro = 6,3 kA</t>
  </si>
  <si>
    <t xml:space="preserve">T-SAL01-</t>
  </si>
  <si>
    <t xml:space="preserve">SALAMINA</t>
  </si>
  <si>
    <t xml:space="preserve">TPT a nivel de 13,8 kV de Reactancia de secuencia zero = 3,99 Ohm y Coriente nominal en el neutro = 3,64 kA</t>
  </si>
  <si>
    <t xml:space="preserve">T-JMN01-</t>
  </si>
  <si>
    <t xml:space="preserve">JUAN MINA</t>
  </si>
  <si>
    <t xml:space="preserve">T-CIE01</t>
  </si>
  <si>
    <t xml:space="preserve">Devanado terciario de compensación / Desacoplado del T-CIE02</t>
  </si>
  <si>
    <t xml:space="preserve">T-CIE02</t>
  </si>
  <si>
    <t xml:space="preserve">Devanado terciario de compensación / Desacoplado del T-CIE01</t>
  </si>
  <si>
    <t xml:space="preserve">T-ERI03</t>
  </si>
  <si>
    <t xml:space="preserve">EL RÍO</t>
  </si>
  <si>
    <t xml:space="preserve">Devanado terciario de compensación / Desacoplado del T-ERI01 y T-ERI02</t>
  </si>
  <si>
    <t xml:space="preserve">T-FLS04</t>
  </si>
  <si>
    <t xml:space="preserve">LAS FLORES</t>
  </si>
  <si>
    <t xml:space="preserve">Devanado terciario de compensación</t>
  </si>
  <si>
    <t xml:space="preserve">T-RIM02</t>
  </si>
  <si>
    <t xml:space="preserve">NUEVA RIOMAR</t>
  </si>
  <si>
    <t xml:space="preserve">T-RIM03</t>
  </si>
  <si>
    <t xml:space="preserve">T-MGD01</t>
  </si>
  <si>
    <t xml:space="preserve">RIO MAGDALENA</t>
  </si>
  <si>
    <t xml:space="preserve">T-SIL02</t>
  </si>
  <si>
    <t xml:space="preserve">SILENCIO</t>
  </si>
  <si>
    <t xml:space="preserve">Devanado terciario de compensación / Desacoplado del T-SIL01 y T-SIL03</t>
  </si>
  <si>
    <t xml:space="preserve">T-SIL03</t>
  </si>
  <si>
    <t xml:space="preserve">Devanado terciario de compensación / Desacoplado del T-SIL02 y T-SIL01</t>
  </si>
  <si>
    <t xml:space="preserve">UNIÓN 01</t>
  </si>
  <si>
    <t xml:space="preserve">UNIÓN</t>
  </si>
  <si>
    <t xml:space="preserve">Devanado terciario de compensación / Desacoplado del UNIÓN 02 y UNIÓN 03</t>
  </si>
  <si>
    <t xml:space="preserve">UNIÓN 02</t>
  </si>
  <si>
    <t xml:space="preserve">Devanado terciario de compensación / Desacoplado del UNIÓN 01 y UNIÓN 03</t>
  </si>
  <si>
    <t xml:space="preserve">UNIÓN 03</t>
  </si>
  <si>
    <t xml:space="preserve">Devanado terciario de compensación / Desacoplado del UNIÓN 01 y UNIÓN 02</t>
  </si>
  <si>
    <t xml:space="preserve">T- ESTRATEGICO CDL 01</t>
  </si>
  <si>
    <t xml:space="preserve">CORDIALIDAD</t>
  </si>
  <si>
    <t xml:space="preserve">RÍO CORDOBA 02</t>
  </si>
  <si>
    <t xml:space="preserve">Segundo transformador NA a nivel de 13,8 kV y el T-RCO01- NA a nivel de 34,5 kV y se cierran los interruptores de la línea 537
TPT a nivel de 34,5 kV de I= 0,48 kA, X = 3,64 Ohm</t>
  </si>
  <si>
    <t xml:space="preserve">GAIRA 02</t>
  </si>
  <si>
    <t xml:space="preserve">Segundo transformador
TPT a nivel de 34,5 kV de Reactancia de secuencia zero = 7,28 Ohm y Coriente nominal en el neutro = 4,82 kA</t>
  </si>
  <si>
    <t xml:space="preserve">TEBSA 2 100 MVA</t>
  </si>
  <si>
    <t xml:space="preserve">TEBSA</t>
  </si>
  <si>
    <t xml:space="preserve">YNa0d1</t>
  </si>
  <si>
    <t xml:space="preserve">STN</t>
  </si>
  <si>
    <t xml:space="preserve">TEBSA 5 100 MVA</t>
  </si>
  <si>
    <t xml:space="preserve">T01- NUEVA SAN JUAN </t>
  </si>
  <si>
    <t xml:space="preserve">NUEVA SAN JUAN</t>
  </si>
  <si>
    <t xml:space="preserve">YNYND1</t>
  </si>
  <si>
    <t xml:space="preserve">T1 Nueva El Río</t>
  </si>
  <si>
    <t xml:space="preserve">T2 Nueva El Río</t>
  </si>
  <si>
    <t xml:space="preserve">TEBSA 1 100 MVA</t>
  </si>
  <si>
    <t xml:space="preserve">T03 Cuestecitas</t>
  </si>
  <si>
    <t xml:space="preserve">Se límita límita la capacidad del transformador a 25MVA</t>
  </si>
  <si>
    <t xml:space="preserve">Información General de Transformadores Bidevanados</t>
  </si>
  <si>
    <t xml:space="preserve">T-AOR01</t>
  </si>
  <si>
    <t xml:space="preserve">AEROPUERTO</t>
  </si>
  <si>
    <t xml:space="preserve">Dyn1</t>
  </si>
  <si>
    <t xml:space="preserve">T-PROV AOR</t>
  </si>
  <si>
    <t xml:space="preserve">T-ARA01</t>
  </si>
  <si>
    <t xml:space="preserve">ARACATACA</t>
  </si>
  <si>
    <t xml:space="preserve">Dyn5</t>
  </si>
  <si>
    <t xml:space="preserve">T-APA01</t>
  </si>
  <si>
    <t xml:space="preserve">ARROYO DE PIEDRA</t>
  </si>
  <si>
    <t xml:space="preserve">T-BNA01</t>
  </si>
  <si>
    <t xml:space="preserve">BALLENAS</t>
  </si>
  <si>
    <t xml:space="preserve">Dyn11</t>
  </si>
  <si>
    <t xml:space="preserve">T-BRC01</t>
  </si>
  <si>
    <t xml:space="preserve">BARRANCAS</t>
  </si>
  <si>
    <t xml:space="preserve">Desacoplado del T02</t>
  </si>
  <si>
    <t xml:space="preserve">T-BRC02</t>
  </si>
  <si>
    <t xml:space="preserve">Desacoplado del T01</t>
  </si>
  <si>
    <t xml:space="preserve">T-BON01</t>
  </si>
  <si>
    <t xml:space="preserve">BONDA</t>
  </si>
  <si>
    <t xml:space="preserve">T-BON02</t>
  </si>
  <si>
    <t xml:space="preserve">T-CES01</t>
  </si>
  <si>
    <t xml:space="preserve">CAMARONES</t>
  </si>
  <si>
    <t xml:space="preserve">T-CAE01</t>
  </si>
  <si>
    <t xml:space="preserve">CAMPO ALEGRE</t>
  </si>
  <si>
    <t xml:space="preserve">T-CAR01</t>
  </si>
  <si>
    <t xml:space="preserve">CARACOLÍ </t>
  </si>
  <si>
    <t xml:space="preserve">T-CAR02</t>
  </si>
  <si>
    <t xml:space="preserve">T-CTR01</t>
  </si>
  <si>
    <t xml:space="preserve">CENTRO</t>
  </si>
  <si>
    <t xml:space="preserve">Acoplado al T-CTR02</t>
  </si>
  <si>
    <t xml:space="preserve">T-CTR02</t>
  </si>
  <si>
    <t xml:space="preserve">Acoplado al T-CTR01</t>
  </si>
  <si>
    <t xml:space="preserve">T-CDL01</t>
  </si>
  <si>
    <t xml:space="preserve">T-CDL02</t>
  </si>
  <si>
    <t xml:space="preserve">T-CUC05</t>
  </si>
  <si>
    <t xml:space="preserve">T-RTN01</t>
  </si>
  <si>
    <t xml:space="preserve">EL RETEN</t>
  </si>
  <si>
    <t xml:space="preserve">T-ERI05</t>
  </si>
  <si>
    <t xml:space="preserve">EL RIO</t>
  </si>
  <si>
    <t xml:space="preserve">YNd11</t>
  </si>
  <si>
    <t xml:space="preserve">T-ERI02</t>
  </si>
  <si>
    <t xml:space="preserve">YnYn0</t>
  </si>
  <si>
    <t xml:space="preserve">T-ERI01</t>
  </si>
  <si>
    <t xml:space="preserve">T-FON01</t>
  </si>
  <si>
    <t xml:space="preserve">FONSECA</t>
  </si>
  <si>
    <t xml:space="preserve">YNyn0</t>
  </si>
  <si>
    <t xml:space="preserve">T-FON02</t>
  </si>
  <si>
    <t xml:space="preserve">T-HAN01</t>
  </si>
  <si>
    <t xml:space="preserve">HATO NUEVO</t>
  </si>
  <si>
    <t xml:space="preserve">T-HAN02</t>
  </si>
  <si>
    <t xml:space="preserve">T-JDA01</t>
  </si>
  <si>
    <t xml:space="preserve">JUAN DE ACOSTA</t>
  </si>
  <si>
    <t xml:space="preserve">T-LRT01</t>
  </si>
  <si>
    <t xml:space="preserve">LA RETIRADA</t>
  </si>
  <si>
    <t xml:space="preserve">T-UNI06</t>
  </si>
  <si>
    <t xml:space="preserve">LA UNION (ATLANTICO)</t>
  </si>
  <si>
    <t xml:space="preserve">T-FLS01</t>
  </si>
  <si>
    <t xml:space="preserve">T-FLS02</t>
  </si>
  <si>
    <t xml:space="preserve">T-FLS05</t>
  </si>
  <si>
    <t xml:space="preserve">T-LBT02</t>
  </si>
  <si>
    <t xml:space="preserve">LIBERTADOR</t>
  </si>
  <si>
    <t xml:space="preserve">T-LBT01</t>
  </si>
  <si>
    <t xml:space="preserve">En reemplazo del transformador T-LBT02 de 30 MVA</t>
  </si>
  <si>
    <t xml:space="preserve">T-MCA01</t>
  </si>
  <si>
    <t xml:space="preserve">T-MCA02</t>
  </si>
  <si>
    <t xml:space="preserve">T-MTI01</t>
  </si>
  <si>
    <t xml:space="preserve">MANATI</t>
  </si>
  <si>
    <t xml:space="preserve">T-MNA01</t>
  </si>
  <si>
    <t xml:space="preserve">MANAURE</t>
  </si>
  <si>
    <t xml:space="preserve">T-MAZ01</t>
  </si>
  <si>
    <t xml:space="preserve">MANZANARES</t>
  </si>
  <si>
    <t xml:space="preserve">Desacoplado por 13,8kV</t>
  </si>
  <si>
    <t xml:space="preserve">T-MAZ02</t>
  </si>
  <si>
    <t xml:space="preserve">T-MAZ03</t>
  </si>
  <si>
    <t xml:space="preserve">T01-NOR</t>
  </si>
  <si>
    <t xml:space="preserve">NORTE</t>
  </si>
  <si>
    <t xml:space="preserve">Desacoplado del T02-NOR</t>
  </si>
  <si>
    <t xml:space="preserve">T02-NOR</t>
  </si>
  <si>
    <t xml:space="preserve">Desacoplado del T01-NOR</t>
  </si>
  <si>
    <t xml:space="preserve">T-NBQ06</t>
  </si>
  <si>
    <t xml:space="preserve">NUEVA BARRANQUILLA</t>
  </si>
  <si>
    <t xml:space="preserve">T-OAS01</t>
  </si>
  <si>
    <t xml:space="preserve">OASIS</t>
  </si>
  <si>
    <t xml:space="preserve">Desacoplado al T-OAS02</t>
  </si>
  <si>
    <t xml:space="preserve">T-OAS02</t>
  </si>
  <si>
    <t xml:space="preserve">Desacoplado al T-OAS01</t>
  </si>
  <si>
    <t xml:space="preserve">T-PVJ01</t>
  </si>
  <si>
    <t xml:space="preserve">PIVIJAY</t>
  </si>
  <si>
    <t xml:space="preserve">T-PLA01</t>
  </si>
  <si>
    <t xml:space="preserve">PLATO</t>
  </si>
  <si>
    <t xml:space="preserve">PLATO 02</t>
  </si>
  <si>
    <t xml:space="preserve">T-POA01</t>
  </si>
  <si>
    <t xml:space="preserve">PONEDERA</t>
  </si>
  <si>
    <t xml:space="preserve">T-PTO01</t>
  </si>
  <si>
    <t xml:space="preserve">PUERTA DE ORO</t>
  </si>
  <si>
    <t xml:space="preserve">T-REO01</t>
  </si>
  <si>
    <t xml:space="preserve">REAL DEL OBISPO</t>
  </si>
  <si>
    <t xml:space="preserve">T-REM01</t>
  </si>
  <si>
    <t xml:space="preserve">REMOLINO</t>
  </si>
  <si>
    <t xml:space="preserve">T-ROT01</t>
  </si>
  <si>
    <t xml:space="preserve">ROTINET</t>
  </si>
  <si>
    <t xml:space="preserve">T-SBG01</t>
  </si>
  <si>
    <t xml:space="preserve">SABANAGRANDE</t>
  </si>
  <si>
    <t xml:space="preserve">T-SMT03</t>
  </si>
  <si>
    <t xml:space="preserve">SANTA MARTA</t>
  </si>
  <si>
    <t xml:space="preserve">T-SMT10</t>
  </si>
  <si>
    <t xml:space="preserve">T-STV01</t>
  </si>
  <si>
    <t xml:space="preserve">SANTA VERONICA</t>
  </si>
  <si>
    <t xml:space="preserve">T-STV02-Prov</t>
  </si>
  <si>
    <t xml:space="preserve">T-SIL05</t>
  </si>
  <si>
    <t xml:space="preserve">T-TGJ07</t>
  </si>
  <si>
    <t xml:space="preserve">TERMOGUAJIRA</t>
  </si>
  <si>
    <t xml:space="preserve">TR01-URI</t>
  </si>
  <si>
    <t xml:space="preserve">URIBIA 02</t>
  </si>
  <si>
    <t xml:space="preserve">T-VTE01</t>
  </si>
  <si>
    <t xml:space="preserve">VEINTE DE JULIO</t>
  </si>
  <si>
    <t xml:space="preserve">T-VTE02</t>
  </si>
  <si>
    <t xml:space="preserve">T-VTE03</t>
  </si>
  <si>
    <t xml:space="preserve">T-ZAW01</t>
  </si>
  <si>
    <t xml:space="preserve">ZAWADY</t>
  </si>
  <si>
    <t xml:space="preserve">T-ZAW02</t>
  </si>
  <si>
    <t xml:space="preserve">T-RCH04</t>
  </si>
  <si>
    <t xml:space="preserve">T-RCH05</t>
  </si>
  <si>
    <t xml:space="preserve">ESTADIO 01</t>
  </si>
  <si>
    <t xml:space="preserve">ESTADIO</t>
  </si>
  <si>
    <t xml:space="preserve">ESTADIO 02</t>
  </si>
  <si>
    <t xml:space="preserve">MAGDALENA 01</t>
  </si>
  <si>
    <t xml:space="preserve">MAGDALENA </t>
  </si>
  <si>
    <t xml:space="preserve">MAGDALENA 02</t>
  </si>
  <si>
    <t xml:space="preserve">GUACAMAYAL 02</t>
  </si>
  <si>
    <t xml:space="preserve">T-SIL04</t>
  </si>
  <si>
    <t xml:space="preserve">MEGUA 01</t>
  </si>
  <si>
    <t xml:space="preserve">MEGUA</t>
  </si>
  <si>
    <t xml:space="preserve">TEBSA 15 MVA</t>
  </si>
  <si>
    <t xml:space="preserve">T-CCZ01</t>
  </si>
  <si>
    <t xml:space="preserve">CAMPO DE LA CRUZ</t>
  </si>
  <si>
    <t xml:space="preserve">T-CCZ02-Prov</t>
  </si>
  <si>
    <t xml:space="preserve">T-GAI PROV</t>
  </si>
  <si>
    <t xml:space="preserve">T-SIL01</t>
  </si>
  <si>
    <t xml:space="preserve">T-VIN01</t>
  </si>
  <si>
    <t xml:space="preserve">VILLANUEVA</t>
  </si>
  <si>
    <t xml:space="preserve">T-FUN -Prov</t>
  </si>
  <si>
    <t xml:space="preserve">FUNDACIÓN</t>
  </si>
  <si>
    <t xml:space="preserve">CAMARONES 02</t>
  </si>
  <si>
    <t xml:space="preserve">PIVIJAY 02</t>
  </si>
  <si>
    <t xml:space="preserve">T-POA02</t>
  </si>
  <si>
    <t xml:space="preserve">BARRANQUILLA G3</t>
  </si>
  <si>
    <t xml:space="preserve">TEBSA II</t>
  </si>
  <si>
    <t xml:space="preserve">BARRANQUILLA G4</t>
  </si>
  <si>
    <t xml:space="preserve">TEBSA G11</t>
  </si>
  <si>
    <t xml:space="preserve">YNd1</t>
  </si>
  <si>
    <t xml:space="preserve">TEBSA G12</t>
  </si>
  <si>
    <t xml:space="preserve">TEBSA G13</t>
  </si>
  <si>
    <t xml:space="preserve">TEBSA G14</t>
  </si>
  <si>
    <t xml:space="preserve">TEBSA G21</t>
  </si>
  <si>
    <t xml:space="preserve">TEBSA G22</t>
  </si>
  <si>
    <t xml:space="preserve">TEBSA G24</t>
  </si>
  <si>
    <t xml:space="preserve">AUTO TRANSFORMADOR AT-TF06</t>
  </si>
  <si>
    <t xml:space="preserve">TERMOFLORES</t>
  </si>
  <si>
    <t xml:space="preserve">YNa0 (d11)</t>
  </si>
  <si>
    <t xml:space="preserve">AUTO TRANSFORMADOR AT-TF10</t>
  </si>
  <si>
    <t xml:space="preserve">T01 - Galapa</t>
  </si>
  <si>
    <t xml:space="preserve">GALAPA</t>
  </si>
  <si>
    <t xml:space="preserve">T01 - Palermo</t>
  </si>
  <si>
    <t xml:space="preserve">PALERMO</t>
  </si>
  <si>
    <t xml:space="preserve">T01 - Bureche</t>
  </si>
  <si>
    <t xml:space="preserve">BURECHE</t>
  </si>
  <si>
    <t xml:space="preserve">T02 - Bureche</t>
  </si>
  <si>
    <t xml:space="preserve">T02 - Galapa</t>
  </si>
  <si>
    <t xml:space="preserve">T03 - Palermo</t>
  </si>
  <si>
    <t xml:space="preserve">T1 Nueva Guacamayal</t>
  </si>
  <si>
    <t xml:space="preserve">T2 Nueva Guacamayal</t>
  </si>
  <si>
    <t xml:space="preserve">T1 Uribia</t>
  </si>
  <si>
    <t xml:space="preserve">T2 Uribia</t>
  </si>
  <si>
    <t xml:space="preserve">Regulador monofásico 667kVA</t>
  </si>
  <si>
    <t xml:space="preserve">LN-521</t>
  </si>
  <si>
    <t xml:space="preserve">LN-523</t>
  </si>
  <si>
    <t xml:space="preserve">LN-524</t>
  </si>
  <si>
    <t xml:space="preserve">LN-563</t>
  </si>
  <si>
    <t xml:space="preserve">LN-564</t>
  </si>
  <si>
    <t xml:space="preserve">LN-529</t>
  </si>
  <si>
    <t xml:space="preserve">Información General de Subestaciones</t>
  </si>
  <si>
    <t xml:space="preserve">Air-e S.A.S. E.S.P.</t>
  </si>
  <si>
    <t xml:space="preserve">Barra sencilla</t>
  </si>
  <si>
    <t xml:space="preserve">Convencional</t>
  </si>
  <si>
    <t xml:space="preserve">MAGDALENA</t>
  </si>
  <si>
    <t xml:space="preserve">Encapsulado</t>
  </si>
  <si>
    <t xml:space="preserve">ATLANTICO</t>
  </si>
  <si>
    <t xml:space="preserve">LURUACO</t>
  </si>
  <si>
    <t xml:space="preserve">Anillo</t>
  </si>
  <si>
    <t xml:space="preserve">LA GUAJIRA</t>
  </si>
  <si>
    <t xml:space="preserve">Bahia trafo-línea </t>
  </si>
  <si>
    <t xml:space="preserve">EL PIQON</t>
  </si>
  <si>
    <t xml:space="preserve">BARRANQUILLA</t>
  </si>
  <si>
    <t xml:space="preserve">CARACOLI</t>
  </si>
  <si>
    <t xml:space="preserve">SOLEDAD</t>
  </si>
  <si>
    <t xml:space="preserve">Doble barra</t>
  </si>
  <si>
    <t xml:space="preserve">ALBANIA</t>
  </si>
  <si>
    <t xml:space="preserve">ZONA BANANERA</t>
  </si>
  <si>
    <t xml:space="preserve">HATONUEVO</t>
  </si>
  <si>
    <t xml:space="preserve">RÍO MAGDALENA</t>
  </si>
  <si>
    <t xml:space="preserve">PUERTO COLOMBIA</t>
  </si>
  <si>
    <t xml:space="preserve">TENERIFE </t>
  </si>
  <si>
    <t xml:space="preserve">RIOMAR</t>
  </si>
  <si>
    <t xml:space="preserve">REPELON</t>
  </si>
  <si>
    <t xml:space="preserve">SABANALARGA</t>
  </si>
  <si>
    <t xml:space="preserve">SAN JUAN DEL CESAR</t>
  </si>
  <si>
    <t xml:space="preserve">DIBULLA</t>
  </si>
  <si>
    <t xml:space="preserve">LA UNION</t>
  </si>
  <si>
    <t xml:space="preserve">SITIONUEVO</t>
  </si>
  <si>
    <t xml:space="preserve">NUEVA RÍO MAGDALENA</t>
  </si>
  <si>
    <t xml:space="preserve">Independiente de la barra 13,8 kV de la actual SE Magdalena</t>
  </si>
  <si>
    <t xml:space="preserve">Interruptor y medio</t>
  </si>
  <si>
    <t xml:space="preserve">PRIME/TRANSELCA</t>
  </si>
  <si>
    <t xml:space="preserve">Doble barra más seccionador de By-pass o paso directo</t>
  </si>
  <si>
    <t xml:space="preserve">Mixto</t>
  </si>
  <si>
    <t xml:space="preserve">Barranquilla</t>
  </si>
  <si>
    <t xml:space="preserve">PRIME/AIRE</t>
  </si>
  <si>
    <t xml:space="preserve">Información General de Demandas</t>
  </si>
  <si>
    <t xml:space="preserve">Traslados 1</t>
  </si>
  <si>
    <t xml:space="preserve">Traslados 2</t>
  </si>
  <si>
    <t xml:space="preserve">Traslados 3</t>
  </si>
  <si>
    <t xml:space="preserve">P [MW]</t>
  </si>
  <si>
    <t xml:space="preserve">Q [MVAr]</t>
  </si>
  <si>
    <t xml:space="preserve">Riomar T2</t>
  </si>
  <si>
    <t xml:space="preserve">Residencial</t>
  </si>
  <si>
    <t xml:space="preserve">Las Flores 110 kV</t>
  </si>
  <si>
    <t xml:space="preserve">Riomar T3</t>
  </si>
  <si>
    <t xml:space="preserve">Las Flores T4</t>
  </si>
  <si>
    <t xml:space="preserve">Las Flores T5</t>
  </si>
  <si>
    <t xml:space="preserve">Centro T1</t>
  </si>
  <si>
    <t xml:space="preserve">Centro 110 kV</t>
  </si>
  <si>
    <t xml:space="preserve">Centro T2</t>
  </si>
  <si>
    <t xml:space="preserve">Oasis T1</t>
  </si>
  <si>
    <t xml:space="preserve">Oasis 110 kV</t>
  </si>
  <si>
    <t xml:space="preserve">Oasis T2</t>
  </si>
  <si>
    <t xml:space="preserve">Silencio T1</t>
  </si>
  <si>
    <t xml:space="preserve">Silencio 110 kV</t>
  </si>
  <si>
    <t xml:space="preserve">Silencio T2</t>
  </si>
  <si>
    <t xml:space="preserve">Silencio T3</t>
  </si>
  <si>
    <t xml:space="preserve">Cordialidad T1</t>
  </si>
  <si>
    <t xml:space="preserve">Cordialidad 110 kV</t>
  </si>
  <si>
    <t xml:space="preserve">Cordialidad T2</t>
  </si>
  <si>
    <t xml:space="preserve">Veinte de Julio T1</t>
  </si>
  <si>
    <t xml:space="preserve">Veinte de Julio </t>
  </si>
  <si>
    <t xml:space="preserve">Veinte de Julio 110 kV</t>
  </si>
  <si>
    <t xml:space="preserve">Veinte de Julio T2</t>
  </si>
  <si>
    <t xml:space="preserve">Veinte de Julio T3</t>
  </si>
  <si>
    <t xml:space="preserve">El Rio T1</t>
  </si>
  <si>
    <t xml:space="preserve">El Rio 110 kV</t>
  </si>
  <si>
    <t xml:space="preserve">El Rio T2</t>
  </si>
  <si>
    <t xml:space="preserve">El Rio T3</t>
  </si>
  <si>
    <t xml:space="preserve">Unión 110 kV/El Rio 110 kV</t>
  </si>
  <si>
    <t xml:space="preserve">Unión T1</t>
  </si>
  <si>
    <t xml:space="preserve">Unión </t>
  </si>
  <si>
    <t xml:space="preserve">Unión 110 kV</t>
  </si>
  <si>
    <t xml:space="preserve">Unión T2</t>
  </si>
  <si>
    <t xml:space="preserve">Unión T3</t>
  </si>
  <si>
    <t xml:space="preserve">Baranoa 13,8</t>
  </si>
  <si>
    <t xml:space="preserve">Baranoa 110 kV</t>
  </si>
  <si>
    <t xml:space="preserve">Malambo 110 kV</t>
  </si>
  <si>
    <t xml:space="preserve">Malambo T1</t>
  </si>
  <si>
    <t xml:space="preserve">Malambo </t>
  </si>
  <si>
    <t xml:space="preserve">Malambo T3</t>
  </si>
  <si>
    <t xml:space="preserve">Industrial</t>
  </si>
  <si>
    <t xml:space="preserve">Acesco</t>
  </si>
  <si>
    <t xml:space="preserve">Postobon</t>
  </si>
  <si>
    <t xml:space="preserve">Triple A</t>
  </si>
  <si>
    <t xml:space="preserve">Tebsa 110 kV</t>
  </si>
  <si>
    <t xml:space="preserve">Riverport</t>
  </si>
  <si>
    <t xml:space="preserve">Las Flores ( CARTON COLOMBIA )</t>
  </si>
  <si>
    <t xml:space="preserve">Nueva Barranquilla T2</t>
  </si>
  <si>
    <t xml:space="preserve">Nueva Barranquilla 110 kV</t>
  </si>
  <si>
    <t xml:space="preserve">Nueva Barranquilla T6</t>
  </si>
  <si>
    <t xml:space="preserve">Juan Mina 110 kV</t>
  </si>
  <si>
    <t xml:space="preserve">Juan Mina ( BATERIAS WILLARD )</t>
  </si>
  <si>
    <t xml:space="preserve">Juan Mina ( LAS CAYENAS )</t>
  </si>
  <si>
    <t xml:space="preserve">Juan Mina ( CRYOGAS )</t>
  </si>
  <si>
    <t xml:space="preserve">Caracoli T1</t>
  </si>
  <si>
    <t xml:space="preserve">Caracoli</t>
  </si>
  <si>
    <t xml:space="preserve">Caracoli 110 kV</t>
  </si>
  <si>
    <t xml:space="preserve">Caracoli T2</t>
  </si>
  <si>
    <t xml:space="preserve">Santa Veronica T1</t>
  </si>
  <si>
    <t xml:space="preserve">Santa Veronica T2-Prov</t>
  </si>
  <si>
    <t xml:space="preserve">Juan De Acosta</t>
  </si>
  <si>
    <t xml:space="preserve">Sabanalarga 220 kV</t>
  </si>
  <si>
    <t xml:space="preserve">Campo de la Cruz T1</t>
  </si>
  <si>
    <t xml:space="preserve">Campo de la Cruz T2</t>
  </si>
  <si>
    <t xml:space="preserve">Salamina 110 kV</t>
  </si>
  <si>
    <t xml:space="preserve">Retirada</t>
  </si>
  <si>
    <t xml:space="preserve">INAT</t>
  </si>
  <si>
    <t xml:space="preserve">Carga asociada Boquitas linea 5124</t>
  </si>
  <si>
    <t xml:space="preserve">Cuestecitas 110 kV</t>
  </si>
  <si>
    <t xml:space="preserve">Hato Nuevo</t>
  </si>
  <si>
    <t xml:space="preserve">Barrancas T1</t>
  </si>
  <si>
    <t xml:space="preserve">Barrancas T2</t>
  </si>
  <si>
    <t xml:space="preserve">San Juan 110 kV</t>
  </si>
  <si>
    <t xml:space="preserve">Fonseca T1</t>
  </si>
  <si>
    <t xml:space="preserve">Fonseca T2</t>
  </si>
  <si>
    <t xml:space="preserve">Maicao T1</t>
  </si>
  <si>
    <t xml:space="preserve">Maicao 110 kV</t>
  </si>
  <si>
    <t xml:space="preserve">Maicao T2</t>
  </si>
  <si>
    <t xml:space="preserve">Puerto bolivar (Cerrejon)</t>
  </si>
  <si>
    <t xml:space="preserve">La mina (Cerrejon)</t>
  </si>
  <si>
    <t xml:space="preserve">Riohacha T1</t>
  </si>
  <si>
    <t xml:space="preserve">Riohacha 110 kV</t>
  </si>
  <si>
    <t xml:space="preserve">Riohacha T4</t>
  </si>
  <si>
    <t xml:space="preserve">Riohacha T5</t>
  </si>
  <si>
    <t xml:space="preserve">Ballenas</t>
  </si>
  <si>
    <t xml:space="preserve">Termoguajira</t>
  </si>
  <si>
    <t xml:space="preserve">Termoguajira 220 kV</t>
  </si>
  <si>
    <t xml:space="preserve">Fundación 110 kV</t>
  </si>
  <si>
    <t xml:space="preserve">T - Fundación</t>
  </si>
  <si>
    <t xml:space="preserve">El Reten</t>
  </si>
  <si>
    <t xml:space="preserve">Carga asociada LN518</t>
  </si>
  <si>
    <t xml:space="preserve">Cienaga T1</t>
  </si>
  <si>
    <t xml:space="preserve">Cienaga 110 kV</t>
  </si>
  <si>
    <t xml:space="preserve">Cienaga T2</t>
  </si>
  <si>
    <t xml:space="preserve">Río Cordoba</t>
  </si>
  <si>
    <t xml:space="preserve">Río Cordoba 110 kV</t>
  </si>
  <si>
    <t xml:space="preserve">Puerto Nuevo</t>
  </si>
  <si>
    <t xml:space="preserve">Río Córdoba/Gaira 110 kV</t>
  </si>
  <si>
    <t xml:space="preserve">ZAWADY T1</t>
  </si>
  <si>
    <t xml:space="preserve">ZAWADY T2</t>
  </si>
  <si>
    <t xml:space="preserve">Carga asociada LN 578</t>
  </si>
  <si>
    <t xml:space="preserve">Gaira 34,5 kV</t>
  </si>
  <si>
    <t xml:space="preserve">Gaira 110 kV</t>
  </si>
  <si>
    <t xml:space="preserve">Aeropuerto T-Prov</t>
  </si>
  <si>
    <t xml:space="preserve">Toma la demanda del circuito Aeropuerto 1</t>
  </si>
  <si>
    <t xml:space="preserve">Carga asociada LN 537</t>
  </si>
  <si>
    <t xml:space="preserve">Aeropuerto - Río Córdoba</t>
  </si>
  <si>
    <t xml:space="preserve">Normalmente abierto en Aeropuerto 34,5 kV
Carga a 6,4 km de la SE Río Córdoba</t>
  </si>
  <si>
    <t xml:space="preserve">Gaira T Movil Prov</t>
  </si>
  <si>
    <t xml:space="preserve">Cargas asociadas LN 540</t>
  </si>
  <si>
    <t xml:space="preserve">Santa Marta 110 kV</t>
  </si>
  <si>
    <t xml:space="preserve">Cargas Asocidas LN 5117</t>
  </si>
  <si>
    <t xml:space="preserve">LN587</t>
  </si>
  <si>
    <t xml:space="preserve">Santa Marta T3</t>
  </si>
  <si>
    <t xml:space="preserve">Santa Marta T10</t>
  </si>
  <si>
    <t xml:space="preserve">Libertador T1</t>
  </si>
  <si>
    <t xml:space="preserve">Libertador 110 kV</t>
  </si>
  <si>
    <t xml:space="preserve">Libertador T2</t>
  </si>
  <si>
    <t xml:space="preserve">Manzanares T1</t>
  </si>
  <si>
    <t xml:space="preserve">Manzanares 110 kV</t>
  </si>
  <si>
    <t xml:space="preserve">Manzanares T2</t>
  </si>
  <si>
    <t xml:space="preserve">Manzanares T3</t>
  </si>
  <si>
    <t xml:space="preserve">Linea 519 coolechera</t>
  </si>
  <si>
    <t xml:space="preserve">Molino chimila ARA502</t>
  </si>
  <si>
    <t xml:space="preserve">Plato T1</t>
  </si>
  <si>
    <t xml:space="preserve">Zambrano 66 kV</t>
  </si>
  <si>
    <t xml:space="preserve">Plato T2</t>
  </si>
  <si>
    <t xml:space="preserve">LN536 Zona Bananera</t>
  </si>
  <si>
    <t xml:space="preserve">Norte T1</t>
  </si>
  <si>
    <t xml:space="preserve">Norte 110 kV</t>
  </si>
  <si>
    <t xml:space="preserve">Norte T2</t>
  </si>
  <si>
    <t xml:space="preserve">Monomeros</t>
  </si>
  <si>
    <t xml:space="preserve">Tecnoglass 34,5kV</t>
  </si>
  <si>
    <t xml:space="preserve">TEBSA SDL</t>
  </si>
  <si>
    <t xml:space="preserve">29,5 % de la carga de la SE Magdalena</t>
  </si>
  <si>
    <t xml:space="preserve">Estadio 110 kV</t>
  </si>
  <si>
    <t xml:space="preserve">15%  de la SE Centro
16% de la SE Oasis
7% de la SE Riomar
12% de la SE Silencio</t>
  </si>
  <si>
    <t xml:space="preserve">Palermo 110 kV</t>
  </si>
  <si>
    <t xml:space="preserve">28,7 % de la carga de la SE Magdalena</t>
  </si>
  <si>
    <t xml:space="preserve">Galapa 110 kV</t>
  </si>
  <si>
    <t xml:space="preserve">18,2 % de la carga de la SE Cordialidad</t>
  </si>
  <si>
    <t xml:space="preserve">20 % de la carga de la SE Baranoa</t>
  </si>
  <si>
    <t xml:space="preserve">NUEVA RÍO MAGDALENA 110 Kv</t>
  </si>
  <si>
    <t xml:space="preserve">50 % de la carga de la actual Magdalena 13,8 kV</t>
  </si>
  <si>
    <t xml:space="preserve">Bureche 110 kV</t>
  </si>
  <si>
    <t xml:space="preserve">50% de la carga de la SE Libertador
46 % de la carga de la SE Santa Marta 34,5 kV</t>
  </si>
  <si>
    <t xml:space="preserve">Uribia 110 kV</t>
  </si>
  <si>
    <t xml:space="preserve">19% de la carga de la SE Riohacha 110kV</t>
  </si>
  <si>
    <t xml:space="preserve">Guacamayal110 kV</t>
  </si>
  <si>
    <t xml:space="preserve">35% de la carga de la SE Fundación 110kV</t>
  </si>
  <si>
    <t xml:space="preserve">Información General de Compensaciones</t>
  </si>
  <si>
    <t xml:space="preserve">Capacitor</t>
  </si>
  <si>
    <t xml:space="preserve">Paralelo</t>
  </si>
  <si>
    <t xml:space="preserve">Fijo</t>
  </si>
  <si>
    <t xml:space="preserve">Información General de Compensaciones dinámicas</t>
  </si>
  <si>
    <t xml:space="preserve">Información General de dispositivos DFACTS</t>
  </si>
  <si>
    <t xml:space="preserve">1. LÍNEAS</t>
  </si>
  <si>
    <t xml:space="preserve">Clase</t>
  </si>
  <si>
    <t xml:space="preserve">GD</t>
  </si>
  <si>
    <t xml:space="preserve">AGPE con excedentes</t>
  </si>
  <si>
    <t xml:space="preserve">AGPE sin excedentes</t>
  </si>
  <si>
    <t xml:space="preserve">Tipo de Línea</t>
  </si>
  <si>
    <t xml:space="preserve">Recurso</t>
  </si>
  <si>
    <t xml:space="preserve">Solar</t>
  </si>
  <si>
    <t xml:space="preserve">Eólica</t>
  </si>
  <si>
    <t xml:space="preserve">Hidráulico</t>
  </si>
  <si>
    <t xml:space="preserve">Biomasa</t>
  </si>
  <si>
    <t xml:space="preserve">Geotérmica</t>
  </si>
  <si>
    <t xml:space="preserve">Térmica</t>
  </si>
  <si>
    <t xml:space="preserve">Sol</t>
  </si>
  <si>
    <t xml:space="preserve">Viento</t>
  </si>
  <si>
    <t xml:space="preserve">Agua</t>
  </si>
  <si>
    <t xml:space="preserve">Cultivo Energético</t>
  </si>
  <si>
    <t xml:space="preserve">Vapor</t>
  </si>
  <si>
    <t xml:space="preserve">Carbón</t>
  </si>
  <si>
    <t xml:space="preserve">Otro</t>
  </si>
  <si>
    <t xml:space="preserve">2. Tr3</t>
  </si>
  <si>
    <t xml:space="preserve">Uso</t>
  </si>
  <si>
    <t xml:space="preserve">3. Tr2</t>
  </si>
  <si>
    <t xml:space="preserve">4. Subestaciones</t>
  </si>
  <si>
    <t xml:space="preserve">Barra Principal y Barra de Transferencia</t>
  </si>
  <si>
    <t xml:space="preserve">Doble barra más seccionador de transferencia</t>
  </si>
  <si>
    <t xml:space="preserve">Doble barra más barra de transferencia</t>
  </si>
  <si>
    <t xml:space="preserve">Doble barra con doble interruptor</t>
  </si>
  <si>
    <t xml:space="preserve">5. Demanda</t>
  </si>
  <si>
    <t xml:space="preserve">Comercial</t>
  </si>
  <si>
    <t xml:space="preserve">Oficial</t>
  </si>
  <si>
    <t xml:space="preserve">6. Compensación</t>
  </si>
  <si>
    <t xml:space="preserve">Tipo de conexión</t>
  </si>
  <si>
    <t xml:space="preserve">Serie</t>
  </si>
  <si>
    <t xml:space="preserve">Maniobrable</t>
  </si>
  <si>
    <t xml:space="preserve">En operación</t>
  </si>
  <si>
    <t xml:space="preserve">Reactor</t>
  </si>
  <si>
    <t xml:space="preserve">7. Compesación dinámica</t>
  </si>
  <si>
    <t xml:space="preserve">SVC</t>
  </si>
  <si>
    <t xml:space="preserve">STATCOM</t>
  </si>
  <si>
    <t xml:space="preserve">SC</t>
  </si>
  <si>
    <t xml:space="preserve">8. FACTS</t>
  </si>
  <si>
    <t xml:space="preserve">Sí </t>
  </si>
</sst>
</file>

<file path=xl/styles.xml><?xml version="1.0" encoding="utf-8"?>
<styleSheet xmlns="http://schemas.openxmlformats.org/spreadsheetml/2006/main">
  <numFmts count="8">
    <numFmt numFmtId="164" formatCode="General"/>
    <numFmt numFmtId="165" formatCode="_(* #,##0.00_);_(* \(#,##0.00\);_(* \-??_);_(@_)"/>
    <numFmt numFmtId="166" formatCode="_(\$* #,##0.00_);_(\$* \(#,##0.00\);_(\$* \-??_);_(@_)"/>
    <numFmt numFmtId="167" formatCode="dd/mm/yyyy"/>
    <numFmt numFmtId="168" formatCode="General"/>
    <numFmt numFmtId="169" formatCode="@"/>
    <numFmt numFmtId="170" formatCode="0"/>
    <numFmt numFmtId="171" formatCode="0.00"/>
  </numFmts>
  <fonts count="37">
    <font>
      <sz val="11"/>
      <color rgb="FF000000"/>
      <name val="Calibri"/>
      <family val="2"/>
      <charset val="1"/>
    </font>
    <font>
      <sz val="10"/>
      <name val="Arial"/>
      <family val="0"/>
    </font>
    <font>
      <sz val="10"/>
      <name val="Arial"/>
      <family val="0"/>
    </font>
    <font>
      <sz val="10"/>
      <name val="Arial"/>
      <family val="0"/>
    </font>
    <font>
      <sz val="11"/>
      <color rgb="FFFFFFFF"/>
      <name val="Calibri"/>
      <family val="2"/>
      <charset val="1"/>
    </font>
    <font>
      <sz val="11"/>
      <color rgb="FF9C6500"/>
      <name val="Calibri"/>
      <family val="2"/>
      <charset val="1"/>
    </font>
    <font>
      <sz val="10"/>
      <name val="Arial"/>
      <family val="2"/>
      <charset val="1"/>
    </font>
    <font>
      <b val="true"/>
      <sz val="18"/>
      <color rgb="FF44546A"/>
      <name val="Calibri Light"/>
      <family val="2"/>
      <charset val="1"/>
    </font>
    <font>
      <b val="true"/>
      <sz val="14"/>
      <color rgb="FF000000"/>
      <name val="Calibri"/>
      <family val="2"/>
      <charset val="1"/>
    </font>
    <font>
      <b val="true"/>
      <sz val="11"/>
      <color rgb="FF000000"/>
      <name val="Calibri"/>
      <family val="2"/>
      <charset val="1"/>
    </font>
    <font>
      <sz val="10"/>
      <color rgb="FF000000"/>
      <name val="Calibri"/>
      <family val="2"/>
      <charset val="1"/>
    </font>
    <font>
      <sz val="11"/>
      <name val="Calibri"/>
      <family val="2"/>
      <charset val="1"/>
    </font>
    <font>
      <i val="true"/>
      <sz val="11"/>
      <name val="Calibri"/>
      <family val="2"/>
      <charset val="1"/>
    </font>
    <font>
      <sz val="6"/>
      <color rgb="FF000000"/>
      <name val="Arial"/>
      <family val="2"/>
    </font>
    <font>
      <sz val="5"/>
      <color rgb="FF000000"/>
      <name val="Arial"/>
      <family val="2"/>
    </font>
    <font>
      <sz val="4"/>
      <color rgb="FF000000"/>
      <name val="Arial"/>
      <family val="2"/>
    </font>
    <font>
      <sz val="18"/>
      <color rgb="FF000000"/>
      <name val="Arial"/>
      <family val="2"/>
    </font>
    <font>
      <sz val="7"/>
      <color rgb="FF000000"/>
      <name val="Calibri"/>
      <family val="0"/>
    </font>
    <font>
      <sz val="8"/>
      <color rgb="FF002060"/>
      <name val="Calibri"/>
      <family val="0"/>
    </font>
    <font>
      <sz val="7"/>
      <color rgb="FF002060"/>
      <name val="Calibri"/>
      <family val="0"/>
    </font>
    <font>
      <sz val="9"/>
      <color rgb="FFFF0000"/>
      <name val="Calibri"/>
      <family val="0"/>
    </font>
    <font>
      <sz val="8"/>
      <color rgb="FFFF0000"/>
      <name val="Calibri"/>
      <family val="0"/>
    </font>
    <font>
      <sz val="9"/>
      <color rgb="FF000000"/>
      <name val="Calibri"/>
      <family val="0"/>
    </font>
    <font>
      <sz val="7"/>
      <color rgb="FFFF0000"/>
      <name val="Calibri"/>
      <family val="0"/>
    </font>
    <font>
      <b val="true"/>
      <sz val="20"/>
      <color rgb="FF000000"/>
      <name val="Calibri"/>
      <family val="2"/>
      <charset val="1"/>
    </font>
    <font>
      <b val="true"/>
      <sz val="6"/>
      <color rgb="FF44546A"/>
      <name val="Arial"/>
      <family val="2"/>
    </font>
    <font>
      <sz val="12"/>
      <color rgb="FF000000"/>
      <name val="Arial"/>
      <family val="0"/>
    </font>
    <font>
      <sz val="9"/>
      <color rgb="FF40637A"/>
      <name val="Arial"/>
      <family val="0"/>
    </font>
    <font>
      <sz val="10.5"/>
      <color rgb="FF40637A"/>
      <name val="Calibri"/>
      <family val="0"/>
    </font>
    <font>
      <sz val="24"/>
      <color rgb="FF40637A"/>
      <name val="Arial"/>
      <family val="0"/>
    </font>
    <font>
      <sz val="16"/>
      <color rgb="FF000000"/>
      <name val="Arial"/>
      <family val="0"/>
    </font>
    <font>
      <sz val="10.5"/>
      <color rgb="FF40637A"/>
      <name val="Arial"/>
      <family val="0"/>
    </font>
    <font>
      <sz val="8"/>
      <color rgb="FF000000"/>
      <name val="Arial"/>
      <family val="2"/>
    </font>
    <font>
      <sz val="9"/>
      <color rgb="FF000000"/>
      <name val="Arial"/>
      <family val="2"/>
    </font>
    <font>
      <b val="true"/>
      <sz val="9"/>
      <color rgb="FFFFFFFF"/>
      <name val="Calibri"/>
      <family val="2"/>
      <charset val="1"/>
    </font>
    <font>
      <b val="true"/>
      <sz val="9"/>
      <color rgb="FF000000"/>
      <name val="Calibri"/>
      <family val="2"/>
      <charset val="1"/>
    </font>
    <font>
      <i val="true"/>
      <sz val="11"/>
      <color rgb="FF000000"/>
      <name val="Calibri"/>
      <family val="2"/>
      <charset val="1"/>
    </font>
  </fonts>
  <fills count="17">
    <fill>
      <patternFill patternType="none"/>
    </fill>
    <fill>
      <patternFill patternType="gray125"/>
    </fill>
    <fill>
      <patternFill patternType="solid">
        <fgColor rgb="FF8FAADC"/>
        <bgColor rgb="FF9DC3E6"/>
      </patternFill>
    </fill>
    <fill>
      <patternFill patternType="solid">
        <fgColor rgb="FFF4B183"/>
        <bgColor rgb="FFFFD966"/>
      </patternFill>
    </fill>
    <fill>
      <patternFill patternType="solid">
        <fgColor rgb="FFC9C9C9"/>
        <bgColor rgb="FFB4C7E7"/>
      </patternFill>
    </fill>
    <fill>
      <patternFill patternType="solid">
        <fgColor rgb="FFFFD966"/>
        <bgColor rgb="FFFFEB9C"/>
      </patternFill>
    </fill>
    <fill>
      <patternFill patternType="solid">
        <fgColor rgb="FF9DC3E6"/>
        <bgColor rgb="FFB4C7E7"/>
      </patternFill>
    </fill>
    <fill>
      <patternFill patternType="solid">
        <fgColor rgb="FFA9D18E"/>
        <bgColor rgb="FFC9C9C9"/>
      </patternFill>
    </fill>
    <fill>
      <patternFill patternType="solid">
        <fgColor rgb="FFFFEB9C"/>
        <bgColor rgb="FFFFD966"/>
      </patternFill>
    </fill>
    <fill>
      <patternFill patternType="solid">
        <fgColor rgb="FFB4C7E7"/>
        <bgColor rgb="FF9DC3E6"/>
      </patternFill>
    </fill>
    <fill>
      <patternFill patternType="solid">
        <fgColor rgb="FFFFFF00"/>
        <bgColor rgb="FFFFFF00"/>
      </patternFill>
    </fill>
    <fill>
      <patternFill patternType="solid">
        <fgColor rgb="FFFF0000"/>
        <bgColor rgb="FF800000"/>
      </patternFill>
    </fill>
    <fill>
      <patternFill patternType="solid">
        <fgColor rgb="FFFFFFFF"/>
        <bgColor rgb="FFE2F0D9"/>
      </patternFill>
    </fill>
    <fill>
      <patternFill patternType="solid">
        <fgColor rgb="FFD9D9D9"/>
        <bgColor rgb="FFC9C9C9"/>
      </patternFill>
    </fill>
    <fill>
      <patternFill patternType="solid">
        <fgColor rgb="FFE2F0D9"/>
        <bgColor rgb="FFE2EFDA"/>
      </patternFill>
    </fill>
    <fill>
      <patternFill patternType="solid">
        <fgColor rgb="FFE2EFDA"/>
        <bgColor rgb="FFE2F0D9"/>
      </patternFill>
    </fill>
    <fill>
      <patternFill patternType="solid">
        <fgColor rgb="FFDEEBF7"/>
        <bgColor rgb="FFE2EFDA"/>
      </patternFill>
    </fill>
  </fills>
  <borders count="38">
    <border diagonalUp="false" diagonalDown="false">
      <left/>
      <right/>
      <top/>
      <bottom/>
      <diagonal/>
    </border>
    <border diagonalUp="false" diagonalDown="false">
      <left style="medium"/>
      <right style="medium"/>
      <top style="medium"/>
      <bottom style="medium"/>
      <diagonal/>
    </border>
    <border diagonalUp="false" diagonalDown="false">
      <left/>
      <right/>
      <top style="thin"/>
      <bottom/>
      <diagonal/>
    </border>
    <border diagonalUp="false" diagonalDown="false">
      <left style="medium"/>
      <right style="medium"/>
      <top style="medium"/>
      <bottom/>
      <diagonal/>
    </border>
    <border diagonalUp="false" diagonalDown="false">
      <left/>
      <right style="thin"/>
      <top style="medium"/>
      <bottom style="thin"/>
      <diagonal/>
    </border>
    <border diagonalUp="false" diagonalDown="false">
      <left style="thin"/>
      <right style="medium"/>
      <top style="medium"/>
      <bottom style="thin"/>
      <diagonal/>
    </border>
    <border diagonalUp="false" diagonalDown="false">
      <left/>
      <right style="thin"/>
      <top style="thin"/>
      <bottom style="thin"/>
      <diagonal/>
    </border>
    <border diagonalUp="false" diagonalDown="false">
      <left style="thin"/>
      <right style="medium"/>
      <top style="thin"/>
      <bottom style="thin"/>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right style="thin"/>
      <top style="thin"/>
      <bottom/>
      <diagonal/>
    </border>
    <border diagonalUp="false" diagonalDown="false">
      <left/>
      <right style="thin"/>
      <top/>
      <bottom style="thin"/>
      <diagonal/>
    </border>
    <border diagonalUp="false" diagonalDown="false">
      <left style="thin"/>
      <right style="medium"/>
      <top/>
      <bottom style="thin"/>
      <diagonal/>
    </border>
    <border diagonalUp="false" diagonalDown="false">
      <left/>
      <right style="thin"/>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style="medium"/>
      <right/>
      <top style="medium"/>
      <bottom style="medium"/>
      <diagonal/>
    </border>
    <border diagonalUp="false" diagonalDown="false">
      <left style="medium"/>
      <right style="thin"/>
      <top/>
      <bottom style="thin"/>
      <diagonal/>
    </border>
    <border diagonalUp="false" diagonalDown="false">
      <left style="medium"/>
      <right style="thin"/>
      <top style="thin"/>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medium"/>
      <right style="thin"/>
      <top/>
      <bottom/>
      <diagonal/>
    </border>
    <border diagonalUp="false" diagonalDown="false">
      <left style="thin"/>
      <right style="thin"/>
      <top style="thin"/>
      <botto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style="thin"/>
      <right/>
      <top style="thin"/>
      <bottom/>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5" fillId="8"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false" applyAlignment="true" applyProtection="false">
      <alignment horizontal="general" vertical="bottom" textRotation="0" wrapText="false" indent="0" shrinkToFit="false"/>
    </xf>
  </cellStyleXfs>
  <cellXfs count="1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0" fillId="0" borderId="3" xfId="0" applyFont="true" applyBorder="true" applyAlignment="true" applyProtection="false">
      <alignment horizontal="center" vertical="center" textRotation="0" wrapText="true" indent="0" shrinkToFit="false"/>
      <protection locked="true" hidden="false"/>
    </xf>
    <xf numFmtId="164" fontId="0" fillId="0" borderId="4" xfId="0" applyFont="true" applyBorder="true" applyAlignment="true" applyProtection="false">
      <alignment horizontal="left" vertical="center" textRotation="0" wrapText="true" indent="0" shrinkToFit="false"/>
      <protection locked="true" hidden="false"/>
    </xf>
    <xf numFmtId="164" fontId="0" fillId="0" borderId="5" xfId="0" applyFont="true" applyBorder="true" applyAlignment="true" applyProtection="false">
      <alignment horizontal="left" vertical="center" textRotation="0" wrapText="true" indent="0" shrinkToFit="false"/>
      <protection locked="true" hidden="false"/>
    </xf>
    <xf numFmtId="164" fontId="11" fillId="0" borderId="6" xfId="0" applyFont="true" applyBorder="true" applyAlignment="true" applyProtection="false">
      <alignment horizontal="general" vertical="center" textRotation="0" wrapText="true" indent="0" shrinkToFit="false"/>
      <protection locked="true" hidden="false"/>
    </xf>
    <xf numFmtId="164" fontId="11" fillId="0" borderId="7" xfId="0" applyFont="true" applyBorder="true" applyAlignment="true" applyProtection="false">
      <alignment horizontal="general" vertical="center" textRotation="0" wrapText="true" indent="0" shrinkToFit="false"/>
      <protection locked="true" hidden="false"/>
    </xf>
    <xf numFmtId="164" fontId="11" fillId="10" borderId="6" xfId="0" applyFont="true" applyBorder="true" applyAlignment="true" applyProtection="false">
      <alignment horizontal="general" vertical="center" textRotation="0" wrapText="true" indent="0" shrinkToFit="false"/>
      <protection locked="true" hidden="false"/>
    </xf>
    <xf numFmtId="164" fontId="11" fillId="10" borderId="7" xfId="0" applyFont="true" applyBorder="true" applyAlignment="true" applyProtection="false">
      <alignment horizontal="general" vertical="center" textRotation="0" wrapText="true" indent="0" shrinkToFit="false"/>
      <protection locked="true" hidden="false"/>
    </xf>
    <xf numFmtId="164" fontId="0" fillId="10" borderId="6" xfId="0" applyFont="true" applyBorder="true" applyAlignment="true" applyProtection="false">
      <alignment horizontal="general" vertical="center" textRotation="0" wrapText="true" indent="0" shrinkToFit="false"/>
      <protection locked="true" hidden="false"/>
    </xf>
    <xf numFmtId="164" fontId="9" fillId="10" borderId="7"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11" fillId="0" borderId="8" xfId="0" applyFont="true" applyBorder="true" applyAlignment="true" applyProtection="false">
      <alignment horizontal="left" vertical="center" textRotation="0" wrapText="true" indent="0" shrinkToFit="false"/>
      <protection locked="true" hidden="false"/>
    </xf>
    <xf numFmtId="164" fontId="11" fillId="0" borderId="5" xfId="0" applyFont="true" applyBorder="true" applyAlignment="true" applyProtection="false">
      <alignment horizontal="left" vertical="center" textRotation="0" wrapText="true" indent="0" shrinkToFit="false"/>
      <protection locked="true" hidden="false"/>
    </xf>
    <xf numFmtId="164" fontId="11" fillId="0" borderId="9" xfId="0" applyFont="true" applyBorder="true" applyAlignment="true" applyProtection="false">
      <alignment horizontal="left" vertical="center" textRotation="0" wrapText="true" indent="0" shrinkToFit="false"/>
      <protection locked="true" hidden="false"/>
    </xf>
    <xf numFmtId="164" fontId="11" fillId="0" borderId="7" xfId="0" applyFont="true" applyBorder="true" applyAlignment="true" applyProtection="false">
      <alignment horizontal="left" vertical="center" textRotation="0" wrapText="true" indent="0" shrinkToFit="false"/>
      <protection locked="true" hidden="false"/>
    </xf>
    <xf numFmtId="164" fontId="11" fillId="0" borderId="10" xfId="0" applyFont="true" applyBorder="true" applyAlignment="true" applyProtection="false">
      <alignment horizontal="left" vertical="center" textRotation="0" wrapText="true" indent="0" shrinkToFit="false"/>
      <protection locked="true" hidden="false"/>
    </xf>
    <xf numFmtId="164" fontId="11" fillId="0" borderId="11" xfId="0" applyFont="true" applyBorder="true" applyAlignment="true" applyProtection="false">
      <alignment horizontal="left" vertical="center" textRotation="0" wrapText="true" indent="0" shrinkToFit="false"/>
      <protection locked="true" hidden="false"/>
    </xf>
    <xf numFmtId="164" fontId="11" fillId="0" borderId="12" xfId="0" applyFont="true" applyBorder="true" applyAlignment="true" applyProtection="false">
      <alignment horizontal="general" vertical="center" textRotation="0" wrapText="true" indent="0" shrinkToFit="false"/>
      <protection locked="true" hidden="false"/>
    </xf>
    <xf numFmtId="164" fontId="11" fillId="0" borderId="11" xfId="0" applyFont="true" applyBorder="true" applyAlignment="true" applyProtection="false">
      <alignment horizontal="general" vertical="center" textRotation="0" wrapText="true" indent="0" shrinkToFit="false"/>
      <protection locked="true" hidden="false"/>
    </xf>
    <xf numFmtId="164" fontId="11" fillId="0" borderId="13" xfId="0" applyFont="true" applyBorder="true" applyAlignment="true" applyProtection="false">
      <alignment horizontal="left" vertical="center" textRotation="0" wrapText="true" indent="0" shrinkToFit="false"/>
      <protection locked="true" hidden="false"/>
    </xf>
    <xf numFmtId="164" fontId="11" fillId="0" borderId="6" xfId="0" applyFont="true" applyBorder="true" applyAlignment="true" applyProtection="false">
      <alignment horizontal="left" vertical="center" textRotation="0" wrapText="true" indent="0" shrinkToFit="false"/>
      <protection locked="true" hidden="false"/>
    </xf>
    <xf numFmtId="164" fontId="11" fillId="0" borderId="12" xfId="0" applyFont="true" applyBorder="true" applyAlignment="true" applyProtection="false">
      <alignment horizontal="left" vertical="center" textRotation="0" wrapText="true" indent="0" shrinkToFit="false"/>
      <protection locked="true" hidden="false"/>
    </xf>
    <xf numFmtId="164" fontId="11" fillId="0" borderId="4" xfId="0" applyFont="true" applyBorder="true" applyAlignment="true" applyProtection="false">
      <alignment horizontal="general" vertical="center" textRotation="0" wrapText="false" indent="0" shrinkToFit="false"/>
      <protection locked="true" hidden="false"/>
    </xf>
    <xf numFmtId="164" fontId="11" fillId="0" borderId="5" xfId="0" applyFont="true" applyBorder="true" applyAlignment="true" applyProtection="false">
      <alignment horizontal="general" vertical="center" textRotation="0" wrapText="true" indent="0" shrinkToFit="false"/>
      <protection locked="true" hidden="false"/>
    </xf>
    <xf numFmtId="164" fontId="11" fillId="0" borderId="13" xfId="0" applyFont="true" applyBorder="true" applyAlignment="true" applyProtection="false">
      <alignment horizontal="general" vertical="center" textRotation="0" wrapText="false" indent="0" shrinkToFit="false"/>
      <protection locked="true" hidden="false"/>
    </xf>
    <xf numFmtId="164" fontId="11" fillId="0" borderId="14" xfId="0" applyFont="true" applyBorder="true" applyAlignment="true" applyProtection="false">
      <alignment horizontal="general" vertical="center" textRotation="0" wrapText="true" indent="0" shrinkToFit="false"/>
      <protection locked="true" hidden="false"/>
    </xf>
    <xf numFmtId="164" fontId="11" fillId="11" borderId="14" xfId="0" applyFont="true" applyBorder="true" applyAlignment="true" applyProtection="false">
      <alignment horizontal="general" vertical="center" textRotation="0" wrapText="true" indent="0" shrinkToFit="false"/>
      <protection locked="true" hidden="false"/>
    </xf>
    <xf numFmtId="164" fontId="11" fillId="0" borderId="6" xfId="0" applyFont="true" applyBorder="true" applyAlignment="true" applyProtection="false">
      <alignment horizontal="general" vertical="center" textRotation="0" wrapText="false" indent="0" shrinkToFit="false"/>
      <protection locked="true" hidden="false"/>
    </xf>
    <xf numFmtId="164" fontId="11" fillId="11" borderId="7" xfId="0" applyFont="true" applyBorder="true" applyAlignment="true" applyProtection="false">
      <alignment horizontal="general" vertical="center" textRotation="0" wrapText="true" indent="0" shrinkToFit="false"/>
      <protection locked="true" hidden="false"/>
    </xf>
    <xf numFmtId="164" fontId="11" fillId="0" borderId="14" xfId="0" applyFont="true" applyBorder="true" applyAlignment="true" applyProtection="false">
      <alignment horizontal="left" vertical="center" textRotation="0" wrapText="true" indent="0" shrinkToFit="false"/>
      <protection locked="true" hidden="false"/>
    </xf>
    <xf numFmtId="164" fontId="11" fillId="0" borderId="9" xfId="0" applyFont="true" applyBorder="true" applyAlignment="true" applyProtection="false">
      <alignment horizontal="general" vertical="center" textRotation="0" wrapText="false" indent="0" shrinkToFit="false"/>
      <protection locked="true" hidden="false"/>
    </xf>
    <xf numFmtId="164" fontId="0" fillId="10" borderId="9" xfId="0" applyFont="true" applyBorder="true" applyAlignment="true" applyProtection="false">
      <alignment horizontal="general" vertical="center" textRotation="0" wrapText="false" indent="0" shrinkToFit="false"/>
      <protection locked="true" hidden="false"/>
    </xf>
    <xf numFmtId="164" fontId="0" fillId="11" borderId="12" xfId="0" applyFont="true" applyBorder="true" applyAlignment="true" applyProtection="false">
      <alignment horizontal="general" vertical="center" textRotation="0" wrapText="false" indent="0" shrinkToFit="false"/>
      <protection locked="true" hidden="false"/>
    </xf>
    <xf numFmtId="164" fontId="11" fillId="0" borderId="15" xfId="0" applyFont="true" applyBorder="true" applyAlignment="true" applyProtection="false">
      <alignment horizontal="general" vertical="center" textRotation="0" wrapText="true" indent="0" shrinkToFit="false"/>
      <protection locked="true" hidden="false"/>
    </xf>
    <xf numFmtId="164" fontId="11" fillId="0" borderId="16" xfId="0" applyFont="true" applyBorder="true" applyAlignment="true" applyProtection="false">
      <alignment horizontal="general" vertical="center" textRotation="0" wrapText="true" indent="0" shrinkToFit="false"/>
      <protection locked="true" hidden="false"/>
    </xf>
    <xf numFmtId="164" fontId="0" fillId="0" borderId="17" xfId="0" applyFont="true" applyBorder="true" applyAlignment="true" applyProtection="false">
      <alignment horizontal="center" vertical="center" textRotation="0" wrapText="true" indent="0" shrinkToFit="false"/>
      <protection locked="true" hidden="false"/>
    </xf>
    <xf numFmtId="164" fontId="0" fillId="0" borderId="18" xfId="0" applyFont="true" applyBorder="true" applyAlignment="true" applyProtection="false">
      <alignment horizontal="center" vertical="center" textRotation="0" wrapText="true" indent="0" shrinkToFit="false"/>
      <protection locked="true" hidden="false"/>
    </xf>
    <xf numFmtId="164" fontId="11" fillId="0" borderId="19" xfId="0" applyFont="true" applyBorder="true" applyAlignment="true" applyProtection="false">
      <alignment horizontal="general" vertical="center" textRotation="0" wrapText="true" indent="0" shrinkToFit="false"/>
      <protection locked="true" hidden="false"/>
    </xf>
    <xf numFmtId="164" fontId="11" fillId="0" borderId="9" xfId="0" applyFont="true" applyBorder="true" applyAlignment="true" applyProtection="false">
      <alignment horizontal="general" vertical="center" textRotation="0" wrapText="true" indent="0" shrinkToFit="false"/>
      <protection locked="true" hidden="false"/>
    </xf>
    <xf numFmtId="164" fontId="11" fillId="0" borderId="20" xfId="0" applyFont="true" applyBorder="true" applyAlignment="true" applyProtection="false">
      <alignment horizontal="general" vertical="center" textRotation="0" wrapText="true" indent="0" shrinkToFit="false"/>
      <protection locked="true" hidden="false"/>
    </xf>
    <xf numFmtId="164" fontId="11" fillId="12" borderId="19" xfId="0" applyFont="true" applyBorder="true" applyAlignment="true" applyProtection="false">
      <alignment horizontal="general" vertical="center" textRotation="0" wrapText="true" indent="0" shrinkToFit="false"/>
      <protection locked="true" hidden="false"/>
    </xf>
    <xf numFmtId="164" fontId="11" fillId="12" borderId="14" xfId="0" applyFont="true" applyBorder="true" applyAlignment="true" applyProtection="false">
      <alignment horizontal="general" vertical="center" textRotation="0" wrapText="true" indent="0" shrinkToFit="false"/>
      <protection locked="true" hidden="false"/>
    </xf>
    <xf numFmtId="164" fontId="11" fillId="0" borderId="10" xfId="0" applyFont="true" applyBorder="true" applyAlignment="true" applyProtection="false">
      <alignment horizontal="general" vertical="center" textRotation="0" wrapText="true" indent="0" shrinkToFit="false"/>
      <protection locked="true" hidden="false"/>
    </xf>
    <xf numFmtId="164" fontId="9" fillId="0" borderId="3"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0" fillId="12" borderId="21" xfId="0" applyFont="false" applyBorder="true" applyAlignment="false" applyProtection="false">
      <alignment horizontal="general" vertical="bottom" textRotation="0" wrapText="false" indent="0" shrinkToFit="false"/>
      <protection locked="true" hidden="false"/>
    </xf>
    <xf numFmtId="164" fontId="0" fillId="12" borderId="22" xfId="0" applyFont="false" applyBorder="true" applyAlignment="false" applyProtection="false">
      <alignment horizontal="general" vertical="bottom" textRotation="0" wrapText="false" indent="0" shrinkToFit="false"/>
      <protection locked="true" hidden="false"/>
    </xf>
    <xf numFmtId="164" fontId="0" fillId="12" borderId="23" xfId="0" applyFont="false" applyBorder="true" applyAlignment="false" applyProtection="false">
      <alignment horizontal="general" vertical="bottom" textRotation="0" wrapText="false" indent="0" shrinkToFit="false"/>
      <protection locked="true" hidden="false"/>
    </xf>
    <xf numFmtId="164" fontId="0" fillId="12" borderId="24" xfId="0" applyFont="false" applyBorder="true" applyAlignment="false" applyProtection="fals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4" fontId="0" fillId="12" borderId="25" xfId="0" applyFont="false" applyBorder="true" applyAlignment="false" applyProtection="false">
      <alignment horizontal="general" vertical="bottom" textRotation="0" wrapText="false" indent="0" shrinkToFit="false"/>
      <protection locked="true" hidden="false"/>
    </xf>
    <xf numFmtId="164" fontId="0" fillId="12" borderId="26" xfId="0" applyFont="false" applyBorder="true" applyAlignment="false" applyProtection="false">
      <alignment horizontal="general" vertical="bottom" textRotation="0" wrapText="false" indent="0" shrinkToFit="false"/>
      <protection locked="true" hidden="false"/>
    </xf>
    <xf numFmtId="164" fontId="0" fillId="12" borderId="27" xfId="0" applyFont="false" applyBorder="true" applyAlignment="false" applyProtection="false">
      <alignment horizontal="general" vertical="bottom" textRotation="0" wrapText="false" indent="0" shrinkToFit="false"/>
      <protection locked="true" hidden="false"/>
    </xf>
    <xf numFmtId="164" fontId="0" fillId="12" borderId="28" xfId="0" applyFont="fals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9" fillId="12" borderId="1" xfId="0" applyFont="true" applyBorder="true" applyAlignment="true" applyProtection="false">
      <alignment horizontal="center" vertical="bottom" textRotation="0" wrapText="false" indent="0" shrinkToFit="false"/>
      <protection locked="true" hidden="false"/>
    </xf>
    <xf numFmtId="164" fontId="0" fillId="12" borderId="1" xfId="0" applyFont="false" applyBorder="true" applyAlignment="true" applyProtection="false">
      <alignment horizontal="center" vertical="bottom" textRotation="0" wrapText="false" indent="0" shrinkToFit="false"/>
      <protection locked="true" hidden="false"/>
    </xf>
    <xf numFmtId="164" fontId="24" fillId="12"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9" fillId="13"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64" fontId="35" fillId="13" borderId="1" xfId="0" applyFont="true" applyBorder="true" applyAlignment="true" applyProtection="false">
      <alignment horizontal="center" vertical="center" textRotation="0" wrapText="false" indent="0" shrinkToFit="false"/>
      <protection locked="true" hidden="false"/>
    </xf>
    <xf numFmtId="168" fontId="35" fillId="14" borderId="1" xfId="0" applyFont="true" applyBorder="true" applyAlignment="true" applyProtection="false">
      <alignment horizontal="center" vertical="center" textRotation="0" wrapText="true" indent="0" shrinkToFit="false"/>
      <protection locked="true" hidden="false"/>
    </xf>
    <xf numFmtId="164" fontId="35" fillId="0" borderId="0" xfId="0" applyFont="true" applyBorder="false" applyAlignment="true" applyProtection="false">
      <alignment horizontal="center" vertical="center" textRotation="0" wrapText="false" indent="0" shrinkToFit="false"/>
      <protection locked="true" hidden="false"/>
    </xf>
    <xf numFmtId="164" fontId="0" fillId="13" borderId="8" xfId="0" applyFont="false" applyBorder="true" applyAlignment="true" applyProtection="false">
      <alignment horizontal="center" vertical="bottom" textRotation="0" wrapText="false" indent="0" shrinkToFit="false"/>
      <protection locked="true" hidden="false"/>
    </xf>
    <xf numFmtId="164" fontId="0" fillId="14" borderId="29" xfId="0" applyFont="true" applyBorder="true" applyAlignment="false" applyProtection="false">
      <alignment horizontal="general" vertical="bottom" textRotation="0" wrapText="false" indent="0" shrinkToFit="false"/>
      <protection locked="true" hidden="false"/>
    </xf>
    <xf numFmtId="164" fontId="0" fillId="14" borderId="29" xfId="0" applyFont="false" applyBorder="true" applyAlignment="false" applyProtection="false">
      <alignment horizontal="general" vertical="bottom" textRotation="0" wrapText="false" indent="0" shrinkToFit="false"/>
      <protection locked="true" hidden="false"/>
    </xf>
    <xf numFmtId="164" fontId="0" fillId="14" borderId="30" xfId="0" applyFont="false" applyBorder="true" applyAlignment="false" applyProtection="false">
      <alignment horizontal="general" vertical="bottom" textRotation="0" wrapText="false" indent="0" shrinkToFit="false"/>
      <protection locked="true" hidden="false"/>
    </xf>
    <xf numFmtId="164" fontId="0" fillId="14" borderId="30" xfId="0" applyFont="true" applyBorder="true" applyAlignment="false" applyProtection="false">
      <alignment horizontal="general" vertical="bottom" textRotation="0" wrapText="false" indent="0" shrinkToFit="false"/>
      <protection locked="true" hidden="false"/>
    </xf>
    <xf numFmtId="167" fontId="0" fillId="14" borderId="30" xfId="0" applyFont="false" applyBorder="true" applyAlignment="false" applyProtection="false">
      <alignment horizontal="general" vertical="bottom" textRotation="0" wrapText="false" indent="0" shrinkToFit="false"/>
      <protection locked="true" hidden="false"/>
    </xf>
    <xf numFmtId="164" fontId="0" fillId="14" borderId="5" xfId="0" applyFont="false" applyBorder="true" applyAlignment="false" applyProtection="false">
      <alignment horizontal="general" vertical="bottom" textRotation="0" wrapText="false" indent="0" shrinkToFit="false"/>
      <protection locked="true" hidden="false"/>
    </xf>
    <xf numFmtId="164" fontId="0" fillId="13" borderId="9" xfId="0" applyFont="false" applyBorder="true" applyAlignment="true" applyProtection="false">
      <alignment horizontal="center" vertical="bottom" textRotation="0" wrapText="false" indent="0" shrinkToFit="false"/>
      <protection locked="true" hidden="false"/>
    </xf>
    <xf numFmtId="164" fontId="0" fillId="14" borderId="31" xfId="0" applyFont="true" applyBorder="true" applyAlignment="false" applyProtection="false">
      <alignment horizontal="general" vertical="bottom" textRotation="0" wrapText="false" indent="0" shrinkToFit="false"/>
      <protection locked="true" hidden="false"/>
    </xf>
    <xf numFmtId="164" fontId="0" fillId="14" borderId="31" xfId="0" applyFont="false" applyBorder="true" applyAlignment="false" applyProtection="false">
      <alignment horizontal="general" vertical="bottom" textRotation="0" wrapText="false" indent="0" shrinkToFit="false"/>
      <protection locked="true" hidden="false"/>
    </xf>
    <xf numFmtId="164" fontId="0" fillId="14" borderId="32" xfId="0" applyFont="false" applyBorder="true" applyAlignment="false" applyProtection="false">
      <alignment horizontal="general" vertical="bottom" textRotation="0" wrapText="false" indent="0" shrinkToFit="false"/>
      <protection locked="true" hidden="false"/>
    </xf>
    <xf numFmtId="164" fontId="0" fillId="14" borderId="32" xfId="0" applyFont="true" applyBorder="true" applyAlignment="false" applyProtection="false">
      <alignment horizontal="general" vertical="bottom" textRotation="0" wrapText="false" indent="0" shrinkToFit="false"/>
      <protection locked="true" hidden="false"/>
    </xf>
    <xf numFmtId="167" fontId="0" fillId="14" borderId="32" xfId="0" applyFont="false" applyBorder="true" applyAlignment="false" applyProtection="false">
      <alignment horizontal="general" vertical="bottom" textRotation="0" wrapText="false" indent="0" shrinkToFit="false"/>
      <protection locked="true" hidden="false"/>
    </xf>
    <xf numFmtId="164" fontId="0" fillId="14" borderId="7" xfId="0" applyFont="false" applyBorder="true" applyAlignment="false" applyProtection="false">
      <alignment horizontal="general" vertical="bottom" textRotation="0" wrapText="false" indent="0" shrinkToFit="false"/>
      <protection locked="true" hidden="false"/>
    </xf>
    <xf numFmtId="164" fontId="0" fillId="13" borderId="19" xfId="0" applyFont="false" applyBorder="true" applyAlignment="true" applyProtection="false">
      <alignment horizontal="center" vertical="bottom" textRotation="0" wrapText="false" indent="0" shrinkToFit="false"/>
      <protection locked="true" hidden="false"/>
    </xf>
    <xf numFmtId="164" fontId="0" fillId="13" borderId="33" xfId="0" applyFont="false" applyBorder="true" applyAlignment="true" applyProtection="false">
      <alignment horizontal="center" vertical="bottom" textRotation="0" wrapText="false" indent="0" shrinkToFit="false"/>
      <protection locked="true" hidden="false"/>
    </xf>
    <xf numFmtId="164" fontId="0" fillId="14" borderId="34" xfId="0" applyFont="true" applyBorder="true" applyAlignment="false" applyProtection="false">
      <alignment horizontal="general" vertical="bottom" textRotation="0" wrapText="false" indent="0" shrinkToFit="false"/>
      <protection locked="true" hidden="false"/>
    </xf>
    <xf numFmtId="169" fontId="0" fillId="14" borderId="32" xfId="0" applyFont="false" applyBorder="true" applyAlignment="false" applyProtection="false">
      <alignment horizontal="general" vertical="bottom" textRotation="0" wrapText="false" indent="0" shrinkToFit="false"/>
      <protection locked="true" hidden="false"/>
    </xf>
    <xf numFmtId="170" fontId="0" fillId="14" borderId="32" xfId="0" applyFont="false" applyBorder="true" applyAlignment="false" applyProtection="false">
      <alignment horizontal="general" vertical="bottom" textRotation="0" wrapText="false" indent="0" shrinkToFit="false"/>
      <protection locked="true" hidden="false"/>
    </xf>
    <xf numFmtId="164" fontId="0" fillId="13" borderId="20" xfId="0" applyFont="true" applyBorder="true" applyAlignment="true" applyProtection="false">
      <alignment horizontal="center" vertical="bottom" textRotation="0" wrapText="false" indent="0" shrinkToFit="false"/>
      <protection locked="true" hidden="false"/>
    </xf>
    <xf numFmtId="164" fontId="0" fillId="14" borderId="35" xfId="0" applyFont="false" applyBorder="true" applyAlignment="false" applyProtection="false">
      <alignment horizontal="general" vertical="bottom" textRotation="0" wrapText="false" indent="0" shrinkToFit="false"/>
      <protection locked="true" hidden="false"/>
    </xf>
    <xf numFmtId="164" fontId="0" fillId="14" borderId="36" xfId="0" applyFont="false" applyBorder="true" applyAlignment="false" applyProtection="false">
      <alignment horizontal="general" vertical="bottom" textRotation="0" wrapText="false" indent="0" shrinkToFit="false"/>
      <protection locked="true" hidden="false"/>
    </xf>
    <xf numFmtId="167" fontId="0" fillId="14" borderId="36" xfId="0" applyFont="false" applyBorder="true" applyAlignment="false" applyProtection="false">
      <alignment horizontal="general" vertical="bottom" textRotation="0" wrapText="false" indent="0" shrinkToFit="false"/>
      <protection locked="true" hidden="false"/>
    </xf>
    <xf numFmtId="164" fontId="0" fillId="14" borderId="16"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8" fontId="35" fillId="14" borderId="3" xfId="0" applyFont="true" applyBorder="true" applyAlignment="true" applyProtection="false">
      <alignment horizontal="center" vertical="center" textRotation="0" wrapText="true" indent="0" shrinkToFit="false"/>
      <protection locked="true" hidden="false"/>
    </xf>
    <xf numFmtId="169" fontId="35" fillId="14" borderId="1" xfId="0" applyFont="true" applyBorder="true" applyAlignment="true" applyProtection="false">
      <alignment horizontal="center" vertical="center" textRotation="0" wrapText="true" indent="0" shrinkToFit="false"/>
      <protection locked="true" hidden="false"/>
    </xf>
    <xf numFmtId="167" fontId="35" fillId="14" borderId="1" xfId="0" applyFont="true" applyBorder="true" applyAlignment="true" applyProtection="false">
      <alignment horizontal="center" vertical="center" textRotation="0" wrapText="true" indent="0" shrinkToFit="false"/>
      <protection locked="true" hidden="false"/>
    </xf>
    <xf numFmtId="164" fontId="35" fillId="14" borderId="1" xfId="0" applyFont="true" applyBorder="true" applyAlignment="true" applyProtection="false">
      <alignment horizontal="center" vertical="center" textRotation="0" wrapText="true" indent="0" shrinkToFit="false"/>
      <protection locked="true" hidden="false"/>
    </xf>
    <xf numFmtId="169" fontId="0" fillId="14" borderId="30" xfId="0" applyFont="false" applyBorder="true" applyAlignment="false" applyProtection="false">
      <alignment horizontal="general" vertical="bottom" textRotation="0" wrapText="false" indent="0" shrinkToFit="false"/>
      <protection locked="true" hidden="false"/>
    </xf>
    <xf numFmtId="164" fontId="0" fillId="14" borderId="5" xfId="0" applyFont="true" applyBorder="true" applyAlignment="false" applyProtection="false">
      <alignment horizontal="general" vertical="bottom" textRotation="0" wrapText="false" indent="0" shrinkToFit="false"/>
      <protection locked="true" hidden="false"/>
    </xf>
    <xf numFmtId="164" fontId="0" fillId="14" borderId="34" xfId="0" applyFont="false" applyBorder="true" applyAlignment="false" applyProtection="false">
      <alignment horizontal="general" vertical="bottom" textRotation="0" wrapText="false" indent="0" shrinkToFit="false"/>
      <protection locked="true" hidden="false"/>
    </xf>
    <xf numFmtId="164" fontId="0" fillId="14" borderId="7" xfId="0" applyFont="true" applyBorder="true" applyAlignment="true" applyProtection="false">
      <alignment horizontal="general" vertical="bottom" textRotation="0" wrapText="true" indent="0" shrinkToFit="false"/>
      <protection locked="true" hidden="false"/>
    </xf>
    <xf numFmtId="169" fontId="0" fillId="14" borderId="36"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35" fillId="14" borderId="17" xfId="0" applyFont="true" applyBorder="true" applyAlignment="true" applyProtection="false">
      <alignment horizontal="center" vertical="center" textRotation="0" wrapText="true" indent="0" shrinkToFit="false"/>
      <protection locked="true" hidden="false"/>
    </xf>
    <xf numFmtId="167" fontId="35" fillId="14" borderId="17" xfId="0" applyFont="true" applyBorder="true" applyAlignment="true" applyProtection="false">
      <alignment horizontal="general" vertical="center" textRotation="0" wrapText="true" indent="0" shrinkToFit="false"/>
      <protection locked="true" hidden="false"/>
    </xf>
    <xf numFmtId="167" fontId="35" fillId="14" borderId="17" xfId="0" applyFont="true" applyBorder="true" applyAlignment="true" applyProtection="false">
      <alignment horizontal="center" vertical="center" textRotation="0" wrapText="true" indent="0" shrinkToFit="false"/>
      <protection locked="true" hidden="false"/>
    </xf>
    <xf numFmtId="169" fontId="0" fillId="14" borderId="29" xfId="0" applyFont="false" applyBorder="true" applyAlignment="false" applyProtection="false">
      <alignment horizontal="general" vertical="bottom" textRotation="0" wrapText="false" indent="0" shrinkToFit="false"/>
      <protection locked="true" hidden="false"/>
    </xf>
    <xf numFmtId="171" fontId="0" fillId="14" borderId="29" xfId="0" applyFont="false" applyBorder="true" applyAlignment="false" applyProtection="false">
      <alignment horizontal="general" vertical="bottom" textRotation="0" wrapText="false" indent="0" shrinkToFit="false"/>
      <protection locked="true" hidden="false"/>
    </xf>
    <xf numFmtId="164" fontId="0" fillId="14" borderId="5" xfId="0" applyFont="false" applyBorder="true" applyAlignment="true" applyProtection="false">
      <alignment horizontal="general" vertical="bottom" textRotation="0" wrapText="true" indent="0" shrinkToFit="false"/>
      <protection locked="true" hidden="false"/>
    </xf>
    <xf numFmtId="169" fontId="0" fillId="14" borderId="31" xfId="0" applyFont="false" applyBorder="true" applyAlignment="false" applyProtection="false">
      <alignment horizontal="general" vertical="bottom" textRotation="0" wrapText="false" indent="0" shrinkToFit="false"/>
      <protection locked="true" hidden="false"/>
    </xf>
    <xf numFmtId="171" fontId="0" fillId="14" borderId="31" xfId="0" applyFont="false" applyBorder="true" applyAlignment="false" applyProtection="false">
      <alignment horizontal="general" vertical="bottom" textRotation="0" wrapText="false" indent="0" shrinkToFit="false"/>
      <protection locked="true" hidden="false"/>
    </xf>
    <xf numFmtId="164" fontId="0" fillId="14" borderId="7" xfId="0" applyFont="false" applyBorder="true" applyAlignment="true" applyProtection="false">
      <alignment horizontal="general" vertical="bottom" textRotation="0" wrapText="true" indent="0" shrinkToFit="false"/>
      <protection locked="true" hidden="false"/>
    </xf>
    <xf numFmtId="169" fontId="0" fillId="14" borderId="34" xfId="0" applyFont="false" applyBorder="true" applyAlignment="false" applyProtection="false">
      <alignment horizontal="general" vertical="bottom" textRotation="0" wrapText="false" indent="0" shrinkToFit="false"/>
      <protection locked="true" hidden="false"/>
    </xf>
    <xf numFmtId="171" fontId="0" fillId="14" borderId="34" xfId="0" applyFont="false" applyBorder="true" applyAlignment="false" applyProtection="false">
      <alignment horizontal="general" vertical="bottom" textRotation="0" wrapText="false" indent="0" shrinkToFit="false"/>
      <protection locked="true" hidden="false"/>
    </xf>
    <xf numFmtId="164" fontId="0" fillId="14" borderId="37" xfId="0" applyFont="false" applyBorder="true" applyAlignment="false" applyProtection="false">
      <alignment horizontal="general" vertical="bottom" textRotation="0" wrapText="false" indent="0" shrinkToFit="false"/>
      <protection locked="true" hidden="false"/>
    </xf>
    <xf numFmtId="164" fontId="0" fillId="14" borderId="31" xfId="0" applyFont="true" applyBorder="true" applyAlignment="true" applyProtection="false">
      <alignment horizontal="general" vertical="center" textRotation="0" wrapText="false" indent="0" shrinkToFit="false"/>
      <protection locked="true" hidden="false"/>
    </xf>
    <xf numFmtId="164" fontId="0" fillId="15" borderId="31" xfId="0" applyFont="false" applyBorder="true" applyAlignment="true" applyProtection="false">
      <alignment horizontal="center" vertical="center" textRotation="0" wrapText="false" indent="0" shrinkToFit="false"/>
      <protection locked="true" hidden="false"/>
    </xf>
    <xf numFmtId="164" fontId="0" fillId="14" borderId="7" xfId="0" applyFont="true" applyBorder="true" applyAlignment="true" applyProtection="false">
      <alignment horizontal="general" vertical="center" textRotation="0" wrapText="true" indent="0" shrinkToFit="false"/>
      <protection locked="true" hidden="false"/>
    </xf>
    <xf numFmtId="164" fontId="0" fillId="14" borderId="31" xfId="0" applyFont="false" applyBorder="true" applyAlignment="true" applyProtection="false">
      <alignment horizontal="center" vertical="center" textRotation="0" wrapText="false" indent="0" shrinkToFit="false"/>
      <protection locked="true" hidden="false"/>
    </xf>
    <xf numFmtId="169" fontId="0" fillId="14" borderId="35" xfId="0" applyFont="false" applyBorder="true" applyAlignment="false" applyProtection="false">
      <alignment horizontal="general" vertical="bottom" textRotation="0" wrapText="false" indent="0" shrinkToFit="false"/>
      <protection locked="true" hidden="false"/>
    </xf>
    <xf numFmtId="164" fontId="0" fillId="14" borderId="16" xfId="0" applyFont="false" applyBorder="true" applyAlignment="true" applyProtection="false">
      <alignment horizontal="general" vertical="bottom" textRotation="0" wrapText="true" indent="0" shrinkToFit="false"/>
      <protection locked="true" hidden="false"/>
    </xf>
    <xf numFmtId="164" fontId="9" fillId="9" borderId="31" xfId="0" applyFont="true" applyBorder="true" applyAlignment="true" applyProtection="false">
      <alignment horizontal="center" vertical="bottom" textRotation="0" wrapText="false" indent="0" shrinkToFit="false"/>
      <protection locked="true" hidden="false"/>
    </xf>
    <xf numFmtId="164" fontId="36" fillId="16" borderId="3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31" xfId="0" applyFont="true" applyBorder="true" applyAlignment="true" applyProtection="false">
      <alignment horizontal="center" vertical="bottom" textRotation="0" wrapText="true" indent="0" shrinkToFit="false"/>
      <protection locked="true" hidden="false"/>
    </xf>
    <xf numFmtId="164" fontId="0" fillId="0" borderId="31" xfId="0" applyFont="true" applyBorder="true" applyAlignment="true" applyProtection="false">
      <alignment horizontal="center" vertical="bottom" textRotation="0" wrapText="false" indent="0" shrinkToFit="false"/>
      <protection locked="true" hidden="false"/>
    </xf>
    <xf numFmtId="164" fontId="36" fillId="16" borderId="31" xfId="0" applyFont="true" applyBorder="true" applyAlignment="true" applyProtection="false">
      <alignment horizontal="center" vertical="center" textRotation="0" wrapText="false" indent="0" shrinkToFit="false"/>
      <protection locked="true" hidden="false"/>
    </xf>
    <xf numFmtId="164" fontId="0" fillId="0" borderId="31" xfId="0" applyFont="true" applyBorder="true" applyAlignment="true" applyProtection="false">
      <alignment horizontal="center" vertical="center" textRotation="0" wrapText="fals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60% - Accent1 2" xfId="20"/>
    <cellStyle name="60% - Accent2 2" xfId="21"/>
    <cellStyle name="60% - Accent3 2" xfId="22"/>
    <cellStyle name="60% - Accent4 2" xfId="23"/>
    <cellStyle name="60% - Accent5 2" xfId="24"/>
    <cellStyle name="60% - Accent6 2" xfId="25"/>
    <cellStyle name="Millares 2" xfId="26"/>
    <cellStyle name="Neutral 2" xfId="27"/>
    <cellStyle name="Normal 2" xfId="28"/>
    <cellStyle name="Normal 2 2" xfId="29"/>
    <cellStyle name="Normal 3" xfId="30"/>
    <cellStyle name="Title 2" xfId="31"/>
  </cellStyles>
  <dxfs count="6">
    <dxf>
      <font>
        <color rgb="FF9C5700"/>
      </font>
      <fill>
        <patternFill>
          <bgColor rgb="FFFFEB9C"/>
        </patternFill>
      </fill>
    </dxf>
    <dxf>
      <fill>
        <patternFill patternType="solid">
          <fgColor rgb="00FFFFFF"/>
        </patternFill>
      </fill>
    </dxf>
    <dxf>
      <fill>
        <patternFill patternType="solid">
          <fgColor rgb="FFFFFFFF"/>
        </patternFill>
      </fill>
    </dxf>
    <dxf>
      <fill>
        <patternFill patternType="solid">
          <fgColor rgb="FFD9D9D9"/>
        </patternFill>
      </fill>
    </dxf>
    <dxf>
      <fill>
        <patternFill patternType="solid">
          <fgColor rgb="FF000000"/>
          <bgColor rgb="FFFFFFFF"/>
        </patternFill>
      </fill>
    </dxf>
    <dxf>
      <fill>
        <patternFill patternType="solid">
          <fgColor rgb="FFE2F0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C6500"/>
      <rgbColor rgb="FF800080"/>
      <rgbColor rgb="FF008080"/>
      <rgbColor rgb="FFC9C9C9"/>
      <rgbColor rgb="FF808080"/>
      <rgbColor rgb="FF8FAADC"/>
      <rgbColor rgb="FF993366"/>
      <rgbColor rgb="FFE2EFDA"/>
      <rgbColor rgb="FFDEEBF7"/>
      <rgbColor rgb="FF660066"/>
      <rgbColor rgb="FFFF8080"/>
      <rgbColor rgb="FF0066CC"/>
      <rgbColor rgb="FFB4C7E7"/>
      <rgbColor rgb="FF000080"/>
      <rgbColor rgb="FFFF00FF"/>
      <rgbColor rgb="FFFFFF00"/>
      <rgbColor rgb="FF00FFFF"/>
      <rgbColor rgb="FF800080"/>
      <rgbColor rgb="FF800000"/>
      <rgbColor rgb="FF008080"/>
      <rgbColor rgb="FF0000FF"/>
      <rgbColor rgb="FF00CCFF"/>
      <rgbColor rgb="FFD9D9D9"/>
      <rgbColor rgb="FFE2F0D9"/>
      <rgbColor rgb="FFFFEB9C"/>
      <rgbColor rgb="FF9DC3E6"/>
      <rgbColor rgb="FFF4B183"/>
      <rgbColor rgb="FFCC99FF"/>
      <rgbColor rgb="FFFFD966"/>
      <rgbColor rgb="FF3366FF"/>
      <rgbColor rgb="FF33CCCC"/>
      <rgbColor rgb="FFA9D18E"/>
      <rgbColor rgb="FFFFCC00"/>
      <rgbColor rgb="FFFF9900"/>
      <rgbColor rgb="FFFF6600"/>
      <rgbColor rgb="FF40637A"/>
      <rgbColor rgb="FF70AD47"/>
      <rgbColor rgb="FF002060"/>
      <rgbColor rgb="FF339966"/>
      <rgbColor rgb="FF003300"/>
      <rgbColor rgb="FF333300"/>
      <rgbColor rgb="FF9C5700"/>
      <rgbColor rgb="FF993366"/>
      <rgbColor rgb="FF44546A"/>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externalLink" Target="externalLinks/externalLink1.xml"/><Relationship Id="rId15" Type="http://schemas.openxmlformats.org/officeDocument/2006/relationships/externalLink" Target="externalLinks/externalLink2.xml"/><Relationship Id="rId16" Type="http://schemas.openxmlformats.org/officeDocument/2006/relationships/externalLink" Target="externalLinks/externalLink3.xml"/><Relationship Id="rId17" Type="http://schemas.openxmlformats.org/officeDocument/2006/relationships/externalLink" Target="externalLinks/externalLink4.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374400</xdr:colOff>
      <xdr:row>91</xdr:row>
      <xdr:rowOff>84240</xdr:rowOff>
    </xdr:from>
    <xdr:to>
      <xdr:col>3</xdr:col>
      <xdr:colOff>374400</xdr:colOff>
      <xdr:row>96</xdr:row>
      <xdr:rowOff>124200</xdr:rowOff>
    </xdr:to>
    <xdr:sp>
      <xdr:nvSpPr>
        <xdr:cNvPr id="0" name="Line 244"/>
        <xdr:cNvSpPr/>
      </xdr:nvSpPr>
      <xdr:spPr>
        <a:xfrm>
          <a:off x="2889000" y="17619840"/>
          <a:ext cx="0" cy="992520"/>
        </a:xfrm>
        <a:prstGeom prst="line">
          <a:avLst/>
        </a:prstGeom>
        <a:ln w="15875">
          <a:solidFill>
            <a:srgbClr val="ffc000"/>
          </a:solidFill>
          <a:round/>
        </a:ln>
      </xdr:spPr>
      <xdr:style>
        <a:lnRef idx="0"/>
        <a:fillRef idx="0"/>
        <a:effectRef idx="0"/>
        <a:fontRef idx="minor"/>
      </xdr:style>
    </xdr:sp>
    <xdr:clientData/>
  </xdr:twoCellAnchor>
  <xdr:twoCellAnchor editAs="twoCell">
    <xdr:from>
      <xdr:col>3</xdr:col>
      <xdr:colOff>250200</xdr:colOff>
      <xdr:row>94</xdr:row>
      <xdr:rowOff>106560</xdr:rowOff>
    </xdr:from>
    <xdr:to>
      <xdr:col>3</xdr:col>
      <xdr:colOff>532800</xdr:colOff>
      <xdr:row>95</xdr:row>
      <xdr:rowOff>135720</xdr:rowOff>
    </xdr:to>
    <xdr:sp>
      <xdr:nvSpPr>
        <xdr:cNvPr id="1" name="Rectángulo 2"/>
        <xdr:cNvSpPr/>
      </xdr:nvSpPr>
      <xdr:spPr>
        <a:xfrm>
          <a:off x="2764800" y="18213480"/>
          <a:ext cx="282600" cy="219600"/>
        </a:xfrm>
        <a:prstGeom prst="rect">
          <a:avLst/>
        </a:prstGeom>
        <a:solidFill>
          <a:srgbClr val="ffffff"/>
        </a:solidFill>
        <a:ln>
          <a:solidFill>
            <a:srgbClr val="ffffff"/>
          </a:solid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18</xdr:col>
      <xdr:colOff>578160</xdr:colOff>
      <xdr:row>51</xdr:row>
      <xdr:rowOff>144000</xdr:rowOff>
    </xdr:from>
    <xdr:to>
      <xdr:col>19</xdr:col>
      <xdr:colOff>109440</xdr:colOff>
      <xdr:row>56</xdr:row>
      <xdr:rowOff>74160</xdr:rowOff>
    </xdr:to>
    <xdr:sp>
      <xdr:nvSpPr>
        <xdr:cNvPr id="2" name="Rectángulo 3"/>
        <xdr:cNvSpPr/>
      </xdr:nvSpPr>
      <xdr:spPr>
        <a:xfrm>
          <a:off x="17022240" y="9926280"/>
          <a:ext cx="369360" cy="882720"/>
        </a:xfrm>
        <a:prstGeom prst="rect">
          <a:avLst/>
        </a:prstGeom>
        <a:pattFill prst="wdUpDiag">
          <a:fgClr>
            <a:srgbClr val="f4b183"/>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18</xdr:col>
      <xdr:colOff>181800</xdr:colOff>
      <xdr:row>51</xdr:row>
      <xdr:rowOff>7560</xdr:rowOff>
    </xdr:from>
    <xdr:to>
      <xdr:col>19</xdr:col>
      <xdr:colOff>160920</xdr:colOff>
      <xdr:row>51</xdr:row>
      <xdr:rowOff>161640</xdr:rowOff>
    </xdr:to>
    <xdr:sp>
      <xdr:nvSpPr>
        <xdr:cNvPr id="3" name="Rectángulo 4"/>
        <xdr:cNvSpPr/>
      </xdr:nvSpPr>
      <xdr:spPr>
        <a:xfrm rot="5400000">
          <a:off x="16957440" y="9458280"/>
          <a:ext cx="154080" cy="817200"/>
        </a:xfrm>
        <a:prstGeom prst="rect">
          <a:avLst/>
        </a:prstGeom>
        <a:pattFill prst="wdUpDiag">
          <a:fgClr>
            <a:srgbClr val="f4b183"/>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18</xdr:col>
      <xdr:colOff>253800</xdr:colOff>
      <xdr:row>51</xdr:row>
      <xdr:rowOff>108000</xdr:rowOff>
    </xdr:from>
    <xdr:to>
      <xdr:col>18</xdr:col>
      <xdr:colOff>404280</xdr:colOff>
      <xdr:row>53</xdr:row>
      <xdr:rowOff>5760</xdr:rowOff>
    </xdr:to>
    <xdr:sp>
      <xdr:nvSpPr>
        <xdr:cNvPr id="4" name="Rectángulo 5"/>
        <xdr:cNvSpPr/>
      </xdr:nvSpPr>
      <xdr:spPr>
        <a:xfrm>
          <a:off x="16697880" y="9890280"/>
          <a:ext cx="150480" cy="278640"/>
        </a:xfrm>
        <a:prstGeom prst="rect">
          <a:avLst/>
        </a:prstGeom>
        <a:pattFill prst="wdUpDiag">
          <a:fgClr>
            <a:srgbClr val="f4b183"/>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17</xdr:col>
      <xdr:colOff>473040</xdr:colOff>
      <xdr:row>52</xdr:row>
      <xdr:rowOff>44640</xdr:rowOff>
    </xdr:from>
    <xdr:to>
      <xdr:col>18</xdr:col>
      <xdr:colOff>359280</xdr:colOff>
      <xdr:row>53</xdr:row>
      <xdr:rowOff>4680</xdr:rowOff>
    </xdr:to>
    <xdr:sp>
      <xdr:nvSpPr>
        <xdr:cNvPr id="5" name="Rectángulo 6"/>
        <xdr:cNvSpPr/>
      </xdr:nvSpPr>
      <xdr:spPr>
        <a:xfrm rot="5400000">
          <a:off x="16365600" y="9730080"/>
          <a:ext cx="150480" cy="724680"/>
        </a:xfrm>
        <a:prstGeom prst="rect">
          <a:avLst/>
        </a:prstGeom>
        <a:pattFill prst="wdUpDiag">
          <a:fgClr>
            <a:srgbClr val="f4b183"/>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17</xdr:col>
      <xdr:colOff>336240</xdr:colOff>
      <xdr:row>51</xdr:row>
      <xdr:rowOff>105480</xdr:rowOff>
    </xdr:from>
    <xdr:to>
      <xdr:col>17</xdr:col>
      <xdr:colOff>486720</xdr:colOff>
      <xdr:row>53</xdr:row>
      <xdr:rowOff>3240</xdr:rowOff>
    </xdr:to>
    <xdr:sp>
      <xdr:nvSpPr>
        <xdr:cNvPr id="6" name="Rectángulo 7"/>
        <xdr:cNvSpPr/>
      </xdr:nvSpPr>
      <xdr:spPr>
        <a:xfrm>
          <a:off x="15941880" y="9887760"/>
          <a:ext cx="150480" cy="278640"/>
        </a:xfrm>
        <a:prstGeom prst="rect">
          <a:avLst/>
        </a:prstGeom>
        <a:pattFill prst="wdUpDiag">
          <a:fgClr>
            <a:srgbClr val="f4b183"/>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14</xdr:col>
      <xdr:colOff>748440</xdr:colOff>
      <xdr:row>46</xdr:row>
      <xdr:rowOff>114840</xdr:rowOff>
    </xdr:from>
    <xdr:to>
      <xdr:col>17</xdr:col>
      <xdr:colOff>622440</xdr:colOff>
      <xdr:row>52</xdr:row>
      <xdr:rowOff>163080</xdr:rowOff>
    </xdr:to>
    <xdr:grpSp>
      <xdr:nvGrpSpPr>
        <xdr:cNvPr id="7" name="Grupo 8"/>
        <xdr:cNvGrpSpPr/>
      </xdr:nvGrpSpPr>
      <xdr:grpSpPr>
        <a:xfrm>
          <a:off x="13839480" y="8934840"/>
          <a:ext cx="2388600" cy="1200960"/>
          <a:chOff x="13839480" y="8934840"/>
          <a:chExt cx="2388600" cy="1200960"/>
        </a:xfrm>
      </xdr:grpSpPr>
      <xdr:grpSp>
        <xdr:nvGrpSpPr>
          <xdr:cNvPr id="8" name="Grupo 9"/>
          <xdr:cNvGrpSpPr/>
        </xdr:nvGrpSpPr>
        <xdr:grpSpPr>
          <a:xfrm>
            <a:off x="13839480" y="8934840"/>
            <a:ext cx="2267280" cy="1200960"/>
            <a:chOff x="13839480" y="8934840"/>
            <a:chExt cx="2267280" cy="1200960"/>
          </a:xfrm>
        </xdr:grpSpPr>
        <xdr:sp>
          <xdr:nvSpPr>
            <xdr:cNvPr id="9" name="Line 205"/>
            <xdr:cNvSpPr/>
          </xdr:nvSpPr>
          <xdr:spPr>
            <a:xfrm>
              <a:off x="14561280" y="9076320"/>
              <a:ext cx="491400" cy="360"/>
            </a:xfrm>
            <a:prstGeom prst="line">
              <a:avLst/>
            </a:prstGeom>
            <a:ln w="25400">
              <a:solidFill>
                <a:srgbClr val="ff0000"/>
              </a:solidFill>
              <a:round/>
            </a:ln>
          </xdr:spPr>
          <xdr:style>
            <a:lnRef idx="0"/>
            <a:fillRef idx="0"/>
            <a:effectRef idx="0"/>
            <a:fontRef idx="minor"/>
          </xdr:style>
        </xdr:sp>
        <xdr:sp>
          <xdr:nvSpPr>
            <xdr:cNvPr id="10" name="Text Box 138"/>
            <xdr:cNvSpPr/>
          </xdr:nvSpPr>
          <xdr:spPr>
            <a:xfrm>
              <a:off x="13839480" y="9428040"/>
              <a:ext cx="835560" cy="23508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60/35/30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110/34,5/13,8kV</a:t>
              </a:r>
              <a:endParaRPr b="0" lang="en-GB" sz="600" spc="-1" strike="noStrike">
                <a:latin typeface="Times New Roman"/>
              </a:endParaRPr>
            </a:p>
          </xdr:txBody>
        </xdr:sp>
        <xdr:sp>
          <xdr:nvSpPr>
            <xdr:cNvPr id="11" name="Line 99"/>
            <xdr:cNvSpPr/>
          </xdr:nvSpPr>
          <xdr:spPr>
            <a:xfrm flipH="1">
              <a:off x="14535360" y="9869400"/>
              <a:ext cx="459360" cy="360"/>
            </a:xfrm>
            <a:prstGeom prst="line">
              <a:avLst/>
            </a:prstGeom>
            <a:ln w="25400">
              <a:solidFill>
                <a:srgbClr val="000000"/>
              </a:solidFill>
              <a:round/>
            </a:ln>
          </xdr:spPr>
          <xdr:style>
            <a:lnRef idx="0"/>
            <a:fillRef idx="0"/>
            <a:effectRef idx="0"/>
            <a:fontRef idx="minor"/>
          </xdr:style>
        </xdr:sp>
        <xdr:sp>
          <xdr:nvSpPr>
            <xdr:cNvPr id="12" name="Text Box 188"/>
            <xdr:cNvSpPr/>
          </xdr:nvSpPr>
          <xdr:spPr>
            <a:xfrm>
              <a:off x="13894560" y="8934840"/>
              <a:ext cx="845640" cy="14796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Baranoa 110 kV</a:t>
              </a:r>
              <a:endParaRPr b="0" lang="en-GB" sz="600" spc="-1" strike="noStrike">
                <a:latin typeface="Times New Roman"/>
              </a:endParaRPr>
            </a:p>
          </xdr:txBody>
        </xdr:sp>
        <xdr:grpSp>
          <xdr:nvGrpSpPr>
            <xdr:cNvPr id="13" name="Grupo 16"/>
            <xdr:cNvGrpSpPr/>
          </xdr:nvGrpSpPr>
          <xdr:grpSpPr>
            <a:xfrm>
              <a:off x="15432480" y="9568800"/>
              <a:ext cx="674280" cy="308160"/>
              <a:chOff x="15432480" y="9568800"/>
              <a:chExt cx="674280" cy="308160"/>
            </a:xfrm>
          </xdr:grpSpPr>
          <xdr:sp>
            <xdr:nvSpPr>
              <xdr:cNvPr id="14" name="Line 38"/>
              <xdr:cNvSpPr/>
            </xdr:nvSpPr>
            <xdr:spPr>
              <a:xfrm>
                <a:off x="15432480" y="9876600"/>
                <a:ext cx="674280" cy="360"/>
              </a:xfrm>
              <a:prstGeom prst="line">
                <a:avLst/>
              </a:prstGeom>
              <a:ln w="25400">
                <a:solidFill>
                  <a:srgbClr val="ffc000"/>
                </a:solidFill>
                <a:round/>
              </a:ln>
            </xdr:spPr>
            <xdr:style>
              <a:lnRef idx="0"/>
              <a:fillRef idx="0"/>
              <a:effectRef idx="0"/>
              <a:fontRef idx="minor"/>
            </xdr:style>
          </xdr:sp>
          <xdr:sp>
            <xdr:nvSpPr>
              <xdr:cNvPr id="15" name="Line 244"/>
              <xdr:cNvSpPr/>
            </xdr:nvSpPr>
            <xdr:spPr>
              <a:xfrm>
                <a:off x="15654960" y="9568800"/>
                <a:ext cx="360" cy="302040"/>
              </a:xfrm>
              <a:prstGeom prst="line">
                <a:avLst/>
              </a:prstGeom>
              <a:ln w="15875">
                <a:solidFill>
                  <a:srgbClr val="ffc000"/>
                </a:solidFill>
                <a:round/>
              </a:ln>
            </xdr:spPr>
            <xdr:style>
              <a:lnRef idx="0"/>
              <a:fillRef idx="0"/>
              <a:effectRef idx="0"/>
              <a:fontRef idx="minor"/>
            </xdr:style>
          </xdr:sp>
          <xdr:sp>
            <xdr:nvSpPr>
              <xdr:cNvPr id="16" name="455 Rectángulo redondeado"/>
              <xdr:cNvSpPr/>
            </xdr:nvSpPr>
            <xdr:spPr>
              <a:xfrm>
                <a:off x="15631200" y="9740160"/>
                <a:ext cx="4464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sp>
          <xdr:nvSpPr>
            <xdr:cNvPr id="17" name="Line 244"/>
            <xdr:cNvSpPr/>
          </xdr:nvSpPr>
          <xdr:spPr>
            <a:xfrm>
              <a:off x="14984280" y="9574560"/>
              <a:ext cx="678960" cy="360"/>
            </a:xfrm>
            <a:prstGeom prst="line">
              <a:avLst/>
            </a:prstGeom>
            <a:ln w="15875">
              <a:solidFill>
                <a:srgbClr val="ffc000"/>
              </a:solidFill>
              <a:round/>
            </a:ln>
          </xdr:spPr>
          <xdr:style>
            <a:lnRef idx="0"/>
            <a:fillRef idx="0"/>
            <a:effectRef idx="0"/>
            <a:fontRef idx="minor"/>
          </xdr:style>
        </xdr:sp>
        <xdr:sp>
          <xdr:nvSpPr>
            <xdr:cNvPr id="18" name="455 Rectángulo redondeado"/>
            <xdr:cNvSpPr/>
          </xdr:nvSpPr>
          <xdr:spPr>
            <a:xfrm rot="16200000">
              <a:off x="15058440" y="9555120"/>
              <a:ext cx="39600" cy="4428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nvGrpSpPr>
            <xdr:cNvPr id="19" name="Grupo 19"/>
            <xdr:cNvGrpSpPr/>
          </xdr:nvGrpSpPr>
          <xdr:grpSpPr>
            <a:xfrm>
              <a:off x="14676120" y="9395640"/>
              <a:ext cx="309240" cy="310680"/>
              <a:chOff x="14676120" y="9395640"/>
              <a:chExt cx="309240" cy="310680"/>
            </a:xfrm>
          </xdr:grpSpPr>
          <xdr:sp>
            <xdr:nvSpPr>
              <xdr:cNvPr id="20" name="Oval 40"/>
              <xdr:cNvSpPr/>
            </xdr:nvSpPr>
            <xdr:spPr>
              <a:xfrm rot="10800000">
                <a:off x="14676120" y="9498600"/>
                <a:ext cx="194040" cy="207720"/>
              </a:xfrm>
              <a:prstGeom prst="ellipse">
                <a:avLst/>
              </a:prstGeom>
              <a:noFill/>
              <a:ln w="12700">
                <a:solidFill>
                  <a:srgbClr val="000000"/>
                </a:solidFill>
                <a:round/>
              </a:ln>
            </xdr:spPr>
            <xdr:style>
              <a:lnRef idx="0"/>
              <a:fillRef idx="0"/>
              <a:effectRef idx="0"/>
              <a:fontRef idx="minor"/>
            </xdr:style>
          </xdr:sp>
          <xdr:sp>
            <xdr:nvSpPr>
              <xdr:cNvPr id="21" name="Oval 41"/>
              <xdr:cNvSpPr/>
            </xdr:nvSpPr>
            <xdr:spPr>
              <a:xfrm rot="10800000">
                <a:off x="14676120" y="9395640"/>
                <a:ext cx="194040" cy="207720"/>
              </a:xfrm>
              <a:prstGeom prst="ellipse">
                <a:avLst/>
              </a:prstGeom>
              <a:noFill/>
              <a:ln w="12700">
                <a:solidFill>
                  <a:srgbClr val="ff0000"/>
                </a:solidFill>
                <a:round/>
              </a:ln>
            </xdr:spPr>
            <xdr:style>
              <a:lnRef idx="0"/>
              <a:fillRef idx="0"/>
              <a:effectRef idx="0"/>
              <a:fontRef idx="minor"/>
            </xdr:style>
          </xdr:sp>
          <xdr:sp>
            <xdr:nvSpPr>
              <xdr:cNvPr id="22" name="Oval 63"/>
              <xdr:cNvSpPr/>
            </xdr:nvSpPr>
            <xdr:spPr>
              <a:xfrm>
                <a:off x="14792040" y="9472680"/>
                <a:ext cx="193320" cy="206640"/>
              </a:xfrm>
              <a:prstGeom prst="ellipse">
                <a:avLst/>
              </a:prstGeom>
              <a:noFill/>
              <a:ln w="12700">
                <a:solidFill>
                  <a:srgbClr val="ffc000"/>
                </a:solidFill>
                <a:round/>
              </a:ln>
            </xdr:spPr>
            <xdr:style>
              <a:lnRef idx="0"/>
              <a:fillRef idx="0"/>
              <a:effectRef idx="0"/>
              <a:fontRef idx="minor"/>
            </xdr:style>
          </xdr:sp>
        </xdr:grpSp>
        <xdr:sp>
          <xdr:nvSpPr>
            <xdr:cNvPr id="23" name="Line 100"/>
            <xdr:cNvSpPr/>
          </xdr:nvSpPr>
          <xdr:spPr>
            <a:xfrm>
              <a:off x="14768280" y="9707400"/>
              <a:ext cx="0" cy="154440"/>
            </a:xfrm>
            <a:prstGeom prst="line">
              <a:avLst/>
            </a:prstGeom>
            <a:ln w="25400">
              <a:solidFill>
                <a:srgbClr val="000000"/>
              </a:solidFill>
              <a:round/>
            </a:ln>
          </xdr:spPr>
          <xdr:style>
            <a:lnRef idx="0"/>
            <a:fillRef idx="0"/>
            <a:effectRef idx="0"/>
            <a:fontRef idx="minor"/>
          </xdr:style>
        </xdr:sp>
        <xdr:sp>
          <xdr:nvSpPr>
            <xdr:cNvPr id="24" name="455 Rectángulo redondeado"/>
            <xdr:cNvSpPr/>
          </xdr:nvSpPr>
          <xdr:spPr>
            <a:xfrm>
              <a:off x="14747760" y="9777240"/>
              <a:ext cx="44280" cy="396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25" name="Line 206"/>
            <xdr:cNvSpPr/>
          </xdr:nvSpPr>
          <xdr:spPr>
            <a:xfrm>
              <a:off x="14775840" y="9065160"/>
              <a:ext cx="360" cy="334440"/>
            </a:xfrm>
            <a:prstGeom prst="line">
              <a:avLst/>
            </a:prstGeom>
            <a:ln w="25400">
              <a:solidFill>
                <a:srgbClr val="ff0000"/>
              </a:solidFill>
              <a:round/>
            </a:ln>
          </xdr:spPr>
          <xdr:style>
            <a:lnRef idx="0"/>
            <a:fillRef idx="0"/>
            <a:effectRef idx="0"/>
            <a:fontRef idx="minor"/>
          </xdr:style>
        </xdr:sp>
        <xdr:sp>
          <xdr:nvSpPr>
            <xdr:cNvPr id="26" name="452 Rectángulo redondeado"/>
            <xdr:cNvSpPr/>
          </xdr:nvSpPr>
          <xdr:spPr>
            <a:xfrm>
              <a:off x="14754240" y="9315000"/>
              <a:ext cx="44280" cy="3960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7" name="Line 280"/>
            <xdr:cNvSpPr/>
          </xdr:nvSpPr>
          <xdr:spPr>
            <a:xfrm>
              <a:off x="14773680" y="9868320"/>
              <a:ext cx="360" cy="267480"/>
            </a:xfrm>
            <a:prstGeom prst="line">
              <a:avLst/>
            </a:prstGeom>
            <a:ln w="12700">
              <a:solidFill>
                <a:srgbClr val="000000"/>
              </a:solidFill>
              <a:round/>
              <a:tailEnd len="med" type="triangle" w="med"/>
            </a:ln>
          </xdr:spPr>
          <xdr:style>
            <a:lnRef idx="0"/>
            <a:fillRef idx="0"/>
            <a:effectRef idx="0"/>
            <a:fontRef idx="minor"/>
          </xdr:style>
        </xdr:sp>
        <xdr:sp>
          <xdr:nvSpPr>
            <xdr:cNvPr id="28" name="455 Rectángulo redondeado"/>
            <xdr:cNvSpPr/>
          </xdr:nvSpPr>
          <xdr:spPr>
            <a:xfrm rot="5400000">
              <a:off x="14750280" y="9920160"/>
              <a:ext cx="39600" cy="446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29" name="Text Box 188"/>
          <xdr:cNvSpPr/>
        </xdr:nvSpPr>
        <xdr:spPr>
          <a:xfrm>
            <a:off x="14038920" y="9770040"/>
            <a:ext cx="576000" cy="2242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Baranoa 13,8 kV</a:t>
            </a:r>
            <a:endParaRPr b="0" lang="en-GB" sz="600" spc="-1" strike="noStrike">
              <a:latin typeface="Times New Roman"/>
            </a:endParaRPr>
          </a:p>
        </xdr:txBody>
      </xdr:sp>
      <xdr:sp>
        <xdr:nvSpPr>
          <xdr:cNvPr id="30" name="Text Box 188"/>
          <xdr:cNvSpPr/>
        </xdr:nvSpPr>
        <xdr:spPr>
          <a:xfrm>
            <a:off x="15597360" y="9669240"/>
            <a:ext cx="630720" cy="160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Baranoa 34,5 kV</a:t>
            </a:r>
            <a:endParaRPr b="0" lang="en-GB" sz="600" spc="-1" strike="noStrike">
              <a:latin typeface="Times New Roman"/>
            </a:endParaRPr>
          </a:p>
        </xdr:txBody>
      </xdr:sp>
    </xdr:grpSp>
    <xdr:clientData/>
  </xdr:twoCellAnchor>
  <xdr:twoCellAnchor editAs="twoCell">
    <xdr:from>
      <xdr:col>17</xdr:col>
      <xdr:colOff>791640</xdr:colOff>
      <xdr:row>48</xdr:row>
      <xdr:rowOff>23400</xdr:rowOff>
    </xdr:from>
    <xdr:to>
      <xdr:col>19</xdr:col>
      <xdr:colOff>273240</xdr:colOff>
      <xdr:row>58</xdr:row>
      <xdr:rowOff>75600</xdr:rowOff>
    </xdr:to>
    <xdr:grpSp>
      <xdr:nvGrpSpPr>
        <xdr:cNvPr id="31" name="Grupo 32"/>
        <xdr:cNvGrpSpPr/>
      </xdr:nvGrpSpPr>
      <xdr:grpSpPr>
        <a:xfrm>
          <a:off x="15993000" y="9638280"/>
          <a:ext cx="1966680" cy="1158120"/>
          <a:chOff x="15993000" y="9638280"/>
          <a:chExt cx="1966680" cy="1158120"/>
        </a:xfrm>
      </xdr:grpSpPr>
      <xdr:sp>
        <xdr:nvSpPr>
          <xdr:cNvPr id="32" name="Line 280"/>
          <xdr:cNvSpPr/>
        </xdr:nvSpPr>
        <xdr:spPr>
          <a:xfrm>
            <a:off x="16013880" y="9873360"/>
            <a:ext cx="360" cy="243000"/>
          </a:xfrm>
          <a:prstGeom prst="line">
            <a:avLst/>
          </a:prstGeom>
          <a:ln w="12700">
            <a:solidFill>
              <a:srgbClr val="ffc000"/>
            </a:solidFill>
            <a:prstDash val="sysDash"/>
            <a:round/>
          </a:ln>
        </xdr:spPr>
        <xdr:style>
          <a:lnRef idx="0"/>
          <a:fillRef idx="0"/>
          <a:effectRef idx="0"/>
          <a:fontRef idx="minor"/>
        </xdr:style>
      </xdr:sp>
      <xdr:sp>
        <xdr:nvSpPr>
          <xdr:cNvPr id="33" name="455 Rectángulo redondeado"/>
          <xdr:cNvSpPr/>
        </xdr:nvSpPr>
        <xdr:spPr>
          <a:xfrm>
            <a:off x="15993000" y="9928800"/>
            <a:ext cx="4356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nvGrpSpPr>
          <xdr:cNvPr id="34" name="Grupo 35"/>
          <xdr:cNvGrpSpPr/>
        </xdr:nvGrpSpPr>
        <xdr:grpSpPr>
          <a:xfrm>
            <a:off x="16013880" y="9638280"/>
            <a:ext cx="1945800" cy="1158120"/>
            <a:chOff x="16013880" y="9638280"/>
            <a:chExt cx="1945800" cy="1158120"/>
          </a:xfrm>
        </xdr:grpSpPr>
        <xdr:sp>
          <xdr:nvSpPr>
            <xdr:cNvPr id="35" name="Line 280"/>
            <xdr:cNvSpPr/>
          </xdr:nvSpPr>
          <xdr:spPr>
            <a:xfrm flipH="1">
              <a:off x="16013880" y="10111680"/>
              <a:ext cx="725760" cy="360"/>
            </a:xfrm>
            <a:prstGeom prst="line">
              <a:avLst/>
            </a:prstGeom>
            <a:ln w="12700">
              <a:solidFill>
                <a:srgbClr val="ffc000"/>
              </a:solidFill>
              <a:prstDash val="sysDash"/>
              <a:round/>
            </a:ln>
          </xdr:spPr>
          <xdr:style>
            <a:lnRef idx="0"/>
            <a:fillRef idx="0"/>
            <a:effectRef idx="0"/>
            <a:fontRef idx="minor"/>
          </xdr:style>
        </xdr:sp>
        <xdr:grpSp>
          <xdr:nvGrpSpPr>
            <xdr:cNvPr id="36" name="Grupo 37"/>
            <xdr:cNvGrpSpPr/>
          </xdr:nvGrpSpPr>
          <xdr:grpSpPr>
            <a:xfrm>
              <a:off x="16641000" y="9638280"/>
              <a:ext cx="1318680" cy="1158120"/>
              <a:chOff x="16641000" y="9638280"/>
              <a:chExt cx="1318680" cy="1158120"/>
            </a:xfrm>
          </xdr:grpSpPr>
          <xdr:grpSp>
            <xdr:nvGrpSpPr>
              <xdr:cNvPr id="37" name="Grupo 38"/>
              <xdr:cNvGrpSpPr/>
            </xdr:nvGrpSpPr>
            <xdr:grpSpPr>
              <a:xfrm>
                <a:off x="16641000" y="9638280"/>
                <a:ext cx="993960" cy="1158120"/>
                <a:chOff x="16641000" y="9638280"/>
                <a:chExt cx="993960" cy="1158120"/>
              </a:xfrm>
            </xdr:grpSpPr>
            <xdr:sp>
              <xdr:nvSpPr>
                <xdr:cNvPr id="38" name="Line 38"/>
                <xdr:cNvSpPr/>
              </xdr:nvSpPr>
              <xdr:spPr>
                <a:xfrm>
                  <a:off x="16641000" y="9877320"/>
                  <a:ext cx="665280" cy="360"/>
                </a:xfrm>
                <a:prstGeom prst="line">
                  <a:avLst/>
                </a:prstGeom>
                <a:ln w="25400">
                  <a:solidFill>
                    <a:srgbClr val="ffc000"/>
                  </a:solidFill>
                  <a:prstDash val="sysDash"/>
                  <a:round/>
                </a:ln>
              </xdr:spPr>
              <xdr:style>
                <a:lnRef idx="0"/>
                <a:fillRef idx="0"/>
                <a:effectRef idx="0"/>
                <a:fontRef idx="minor"/>
              </xdr:style>
            </xdr:sp>
            <xdr:sp>
              <xdr:nvSpPr>
                <xdr:cNvPr id="39" name="Text Box 188"/>
                <xdr:cNvSpPr/>
              </xdr:nvSpPr>
              <xdr:spPr>
                <a:xfrm>
                  <a:off x="16808040" y="9638280"/>
                  <a:ext cx="826920" cy="1972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Megua 34,5 kV </a:t>
                  </a:r>
                  <a:endParaRPr b="0" lang="en-GB" sz="600" spc="-1" strike="noStrike">
                    <a:latin typeface="Times New Roman"/>
                  </a:endParaRPr>
                </a:p>
              </xdr:txBody>
            </xdr:sp>
            <xdr:sp>
              <xdr:nvSpPr>
                <xdr:cNvPr id="40" name="Line 280"/>
                <xdr:cNvSpPr/>
              </xdr:nvSpPr>
              <xdr:spPr>
                <a:xfrm>
                  <a:off x="16742880" y="9872280"/>
                  <a:ext cx="360" cy="245520"/>
                </a:xfrm>
                <a:prstGeom prst="line">
                  <a:avLst/>
                </a:prstGeom>
                <a:ln w="12700">
                  <a:solidFill>
                    <a:srgbClr val="ffc000"/>
                  </a:solidFill>
                  <a:prstDash val="sysDash"/>
                  <a:round/>
                </a:ln>
              </xdr:spPr>
              <xdr:style>
                <a:lnRef idx="0"/>
                <a:fillRef idx="0"/>
                <a:effectRef idx="0"/>
                <a:fontRef idx="minor"/>
              </xdr:style>
            </xdr:sp>
            <xdr:sp>
              <xdr:nvSpPr>
                <xdr:cNvPr id="41" name="455 Rectángulo redondeado"/>
                <xdr:cNvSpPr/>
              </xdr:nvSpPr>
              <xdr:spPr>
                <a:xfrm>
                  <a:off x="16722360" y="9922680"/>
                  <a:ext cx="46440" cy="4284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42" name="Oval 40"/>
                <xdr:cNvSpPr/>
              </xdr:nvSpPr>
              <xdr:spPr>
                <a:xfrm rot="10800000">
                  <a:off x="17082360" y="10179360"/>
                  <a:ext cx="193320" cy="209160"/>
                </a:xfrm>
                <a:prstGeom prst="ellipse">
                  <a:avLst/>
                </a:prstGeom>
                <a:noFill/>
                <a:ln w="12700">
                  <a:solidFill>
                    <a:srgbClr val="000000"/>
                  </a:solidFill>
                  <a:prstDash val="sysDash"/>
                  <a:round/>
                </a:ln>
              </xdr:spPr>
              <xdr:style>
                <a:lnRef idx="0"/>
                <a:fillRef idx="0"/>
                <a:effectRef idx="0"/>
                <a:fontRef idx="minor"/>
              </xdr:style>
            </xdr:sp>
            <xdr:sp>
              <xdr:nvSpPr>
                <xdr:cNvPr id="43" name="Oval 41"/>
                <xdr:cNvSpPr/>
              </xdr:nvSpPr>
              <xdr:spPr>
                <a:xfrm rot="10800000">
                  <a:off x="17079480" y="10067760"/>
                  <a:ext cx="193320" cy="209160"/>
                </a:xfrm>
                <a:prstGeom prst="ellipse">
                  <a:avLst/>
                </a:prstGeom>
                <a:noFill/>
                <a:ln w="12700">
                  <a:solidFill>
                    <a:srgbClr val="ffc000"/>
                  </a:solidFill>
                  <a:prstDash val="sysDash"/>
                  <a:round/>
                </a:ln>
              </xdr:spPr>
              <xdr:style>
                <a:lnRef idx="0"/>
                <a:fillRef idx="0"/>
                <a:effectRef idx="0"/>
                <a:fontRef idx="minor"/>
              </xdr:style>
            </xdr:sp>
            <xdr:sp>
              <xdr:nvSpPr>
                <xdr:cNvPr id="44" name="Line 206"/>
                <xdr:cNvSpPr/>
              </xdr:nvSpPr>
              <xdr:spPr>
                <a:xfrm>
                  <a:off x="17174160" y="9885960"/>
                  <a:ext cx="360" cy="182520"/>
                </a:xfrm>
                <a:prstGeom prst="line">
                  <a:avLst/>
                </a:prstGeom>
                <a:ln w="15875">
                  <a:solidFill>
                    <a:srgbClr val="ffc000"/>
                  </a:solidFill>
                  <a:prstDash val="sysDash"/>
                  <a:round/>
                </a:ln>
              </xdr:spPr>
              <xdr:style>
                <a:lnRef idx="0"/>
                <a:fillRef idx="0"/>
                <a:effectRef idx="0"/>
                <a:fontRef idx="minor"/>
              </xdr:style>
            </xdr:sp>
            <xdr:sp>
              <xdr:nvSpPr>
                <xdr:cNvPr id="45" name="452 Rectángulo redondeado"/>
                <xdr:cNvSpPr/>
              </xdr:nvSpPr>
              <xdr:spPr>
                <a:xfrm>
                  <a:off x="17152200" y="9917280"/>
                  <a:ext cx="442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46" name="Line 99"/>
                <xdr:cNvSpPr/>
              </xdr:nvSpPr>
              <xdr:spPr>
                <a:xfrm>
                  <a:off x="17058600" y="10533960"/>
                  <a:ext cx="272520" cy="360"/>
                </a:xfrm>
                <a:prstGeom prst="line">
                  <a:avLst/>
                </a:prstGeom>
                <a:ln w="25400">
                  <a:solidFill>
                    <a:srgbClr val="000000"/>
                  </a:solidFill>
                  <a:prstDash val="sysDash"/>
                  <a:round/>
                </a:ln>
              </xdr:spPr>
              <xdr:style>
                <a:lnRef idx="0"/>
                <a:fillRef idx="0"/>
                <a:effectRef idx="0"/>
                <a:fontRef idx="minor"/>
              </xdr:style>
            </xdr:sp>
            <xdr:sp>
              <xdr:nvSpPr>
                <xdr:cNvPr id="47" name="Line 280"/>
                <xdr:cNvSpPr/>
              </xdr:nvSpPr>
              <xdr:spPr>
                <a:xfrm>
                  <a:off x="17187840" y="10384560"/>
                  <a:ext cx="360" cy="411840"/>
                </a:xfrm>
                <a:prstGeom prst="line">
                  <a:avLst/>
                </a:prstGeom>
                <a:ln w="15875">
                  <a:solidFill>
                    <a:srgbClr val="000000"/>
                  </a:solidFill>
                  <a:prstDash val="sysDash"/>
                  <a:round/>
                  <a:tailEnd len="med" type="triangle" w="med"/>
                </a:ln>
              </xdr:spPr>
              <xdr:style>
                <a:lnRef idx="0"/>
                <a:fillRef idx="0"/>
                <a:effectRef idx="0"/>
                <a:fontRef idx="minor"/>
              </xdr:style>
            </xdr:sp>
            <xdr:sp>
              <xdr:nvSpPr>
                <xdr:cNvPr id="48" name="455 Rectángulo redondeado"/>
                <xdr:cNvSpPr/>
              </xdr:nvSpPr>
              <xdr:spPr>
                <a:xfrm rot="5400000">
                  <a:off x="17169840" y="10582560"/>
                  <a:ext cx="40680" cy="435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49" name="455 Rectángulo redondeado"/>
                <xdr:cNvSpPr/>
              </xdr:nvSpPr>
              <xdr:spPr>
                <a:xfrm rot="5400000">
                  <a:off x="17169840" y="10431360"/>
                  <a:ext cx="40680" cy="435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50" name="Text Box 188"/>
              <xdr:cNvSpPr/>
            </xdr:nvSpPr>
            <xdr:spPr>
              <a:xfrm>
                <a:off x="17298720" y="10465920"/>
                <a:ext cx="508680" cy="1414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Megua 13,8 kV </a:t>
                </a:r>
                <a:endParaRPr b="0" lang="en-GB" sz="600" spc="-1" strike="noStrike">
                  <a:latin typeface="Times New Roman"/>
                </a:endParaRPr>
              </a:p>
            </xdr:txBody>
          </xdr:sp>
          <xdr:sp>
            <xdr:nvSpPr>
              <xdr:cNvPr id="51" name="61 CuadroTexto"/>
              <xdr:cNvSpPr/>
            </xdr:nvSpPr>
            <xdr:spPr>
              <a:xfrm>
                <a:off x="17258040" y="10027800"/>
                <a:ext cx="70164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20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 </a:t>
                </a:r>
                <a:endParaRPr b="0" lang="en-GB" sz="600" spc="-1" strike="noStrike">
                  <a:latin typeface="Times New Roman"/>
                </a:endParaRPr>
              </a:p>
            </xdr:txBody>
          </xdr:sp>
        </xdr:grpSp>
      </xdr:grpSp>
    </xdr:grpSp>
    <xdr:clientData/>
  </xdr:twoCellAnchor>
  <xdr:twoCellAnchor editAs="twoCell">
    <xdr:from>
      <xdr:col>31</xdr:col>
      <xdr:colOff>664920</xdr:colOff>
      <xdr:row>52</xdr:row>
      <xdr:rowOff>164160</xdr:rowOff>
    </xdr:from>
    <xdr:to>
      <xdr:col>31</xdr:col>
      <xdr:colOff>664920</xdr:colOff>
      <xdr:row>57</xdr:row>
      <xdr:rowOff>5400</xdr:rowOff>
    </xdr:to>
    <xdr:sp>
      <xdr:nvSpPr>
        <xdr:cNvPr id="52" name="Line 16"/>
        <xdr:cNvSpPr/>
      </xdr:nvSpPr>
      <xdr:spPr>
        <a:xfrm>
          <a:off x="28005480" y="10136880"/>
          <a:ext cx="0" cy="793800"/>
        </a:xfrm>
        <a:prstGeom prst="line">
          <a:avLst/>
        </a:prstGeom>
        <a:ln w="25400">
          <a:solidFill>
            <a:srgbClr val="ffc000"/>
          </a:solidFill>
          <a:round/>
        </a:ln>
      </xdr:spPr>
      <xdr:style>
        <a:lnRef idx="0"/>
        <a:fillRef idx="0"/>
        <a:effectRef idx="0"/>
        <a:fontRef idx="minor"/>
      </xdr:style>
    </xdr:sp>
    <xdr:clientData/>
  </xdr:twoCellAnchor>
  <xdr:twoCellAnchor editAs="twoCell">
    <xdr:from>
      <xdr:col>31</xdr:col>
      <xdr:colOff>648000</xdr:colOff>
      <xdr:row>56</xdr:row>
      <xdr:rowOff>59400</xdr:rowOff>
    </xdr:from>
    <xdr:to>
      <xdr:col>31</xdr:col>
      <xdr:colOff>690840</xdr:colOff>
      <xdr:row>56</xdr:row>
      <xdr:rowOff>107280</xdr:rowOff>
    </xdr:to>
    <xdr:sp>
      <xdr:nvSpPr>
        <xdr:cNvPr id="53" name="400 Rectángulo redondeado"/>
        <xdr:cNvSpPr/>
      </xdr:nvSpPr>
      <xdr:spPr>
        <a:xfrm>
          <a:off x="27988560" y="10794240"/>
          <a:ext cx="42840" cy="4788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27</xdr:col>
      <xdr:colOff>721080</xdr:colOff>
      <xdr:row>56</xdr:row>
      <xdr:rowOff>186120</xdr:rowOff>
    </xdr:from>
    <xdr:to>
      <xdr:col>32</xdr:col>
      <xdr:colOff>120600</xdr:colOff>
      <xdr:row>56</xdr:row>
      <xdr:rowOff>186120</xdr:rowOff>
    </xdr:to>
    <xdr:sp>
      <xdr:nvSpPr>
        <xdr:cNvPr id="54" name="Line 139"/>
        <xdr:cNvSpPr/>
      </xdr:nvSpPr>
      <xdr:spPr>
        <a:xfrm>
          <a:off x="24708960" y="10920960"/>
          <a:ext cx="3590280" cy="0"/>
        </a:xfrm>
        <a:prstGeom prst="line">
          <a:avLst/>
        </a:prstGeom>
        <a:ln w="25400">
          <a:solidFill>
            <a:srgbClr val="ffc000"/>
          </a:solidFill>
          <a:round/>
        </a:ln>
      </xdr:spPr>
      <xdr:style>
        <a:lnRef idx="0"/>
        <a:fillRef idx="0"/>
        <a:effectRef idx="0"/>
        <a:fontRef idx="minor"/>
      </xdr:style>
    </xdr:sp>
    <xdr:clientData/>
  </xdr:twoCellAnchor>
  <xdr:twoCellAnchor editAs="twoCell">
    <xdr:from>
      <xdr:col>32</xdr:col>
      <xdr:colOff>61560</xdr:colOff>
      <xdr:row>56</xdr:row>
      <xdr:rowOff>90360</xdr:rowOff>
    </xdr:from>
    <xdr:to>
      <xdr:col>33</xdr:col>
      <xdr:colOff>132120</xdr:colOff>
      <xdr:row>57</xdr:row>
      <xdr:rowOff>63720</xdr:rowOff>
    </xdr:to>
    <xdr:sp>
      <xdr:nvSpPr>
        <xdr:cNvPr id="55" name="Text Box 154"/>
        <xdr:cNvSpPr/>
      </xdr:nvSpPr>
      <xdr:spPr>
        <a:xfrm>
          <a:off x="28240200" y="10825200"/>
          <a:ext cx="909000" cy="1638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Las Flores 34,5 kV</a:t>
          </a:r>
          <a:endParaRPr b="0" lang="en-GB" sz="600" spc="-1" strike="noStrike">
            <a:latin typeface="Times New Roman"/>
          </a:endParaRPr>
        </a:p>
      </xdr:txBody>
    </xdr:sp>
    <xdr:clientData/>
  </xdr:twoCellAnchor>
  <xdr:twoCellAnchor editAs="twoCell">
    <xdr:from>
      <xdr:col>32</xdr:col>
      <xdr:colOff>196200</xdr:colOff>
      <xdr:row>52</xdr:row>
      <xdr:rowOff>21600</xdr:rowOff>
    </xdr:from>
    <xdr:to>
      <xdr:col>33</xdr:col>
      <xdr:colOff>29160</xdr:colOff>
      <xdr:row>53</xdr:row>
      <xdr:rowOff>70560</xdr:rowOff>
    </xdr:to>
    <xdr:sp>
      <xdr:nvSpPr>
        <xdr:cNvPr id="56" name="Text Box 154"/>
        <xdr:cNvSpPr/>
      </xdr:nvSpPr>
      <xdr:spPr>
        <a:xfrm>
          <a:off x="28374840" y="9994320"/>
          <a:ext cx="671400" cy="2394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Puerta de Oro 34,5 kV</a:t>
          </a:r>
          <a:endParaRPr b="0" lang="en-GB" sz="600" spc="-1" strike="noStrike">
            <a:latin typeface="Times New Roman"/>
          </a:endParaRPr>
        </a:p>
      </xdr:txBody>
    </xdr:sp>
    <xdr:clientData/>
  </xdr:twoCellAnchor>
  <xdr:twoCellAnchor editAs="twoCell">
    <xdr:from>
      <xdr:col>26</xdr:col>
      <xdr:colOff>317880</xdr:colOff>
      <xdr:row>50</xdr:row>
      <xdr:rowOff>64800</xdr:rowOff>
    </xdr:from>
    <xdr:to>
      <xdr:col>29</xdr:col>
      <xdr:colOff>214200</xdr:colOff>
      <xdr:row>50</xdr:row>
      <xdr:rowOff>64800</xdr:rowOff>
    </xdr:to>
    <xdr:sp>
      <xdr:nvSpPr>
        <xdr:cNvPr id="57" name="Line 139"/>
        <xdr:cNvSpPr/>
      </xdr:nvSpPr>
      <xdr:spPr>
        <a:xfrm>
          <a:off x="23467320" y="9656640"/>
          <a:ext cx="2410920" cy="0"/>
        </a:xfrm>
        <a:prstGeom prst="line">
          <a:avLst/>
        </a:prstGeom>
        <a:ln w="25400">
          <a:solidFill>
            <a:srgbClr val="ffc000"/>
          </a:solidFill>
          <a:round/>
        </a:ln>
      </xdr:spPr>
      <xdr:style>
        <a:lnRef idx="0"/>
        <a:fillRef idx="0"/>
        <a:effectRef idx="0"/>
        <a:fontRef idx="minor"/>
      </xdr:style>
    </xdr:sp>
    <xdr:clientData/>
  </xdr:twoCellAnchor>
  <xdr:twoCellAnchor editAs="twoCell">
    <xdr:from>
      <xdr:col>27</xdr:col>
      <xdr:colOff>711000</xdr:colOff>
      <xdr:row>53</xdr:row>
      <xdr:rowOff>101520</xdr:rowOff>
    </xdr:from>
    <xdr:to>
      <xdr:col>29</xdr:col>
      <xdr:colOff>290880</xdr:colOff>
      <xdr:row>53</xdr:row>
      <xdr:rowOff>148320</xdr:rowOff>
    </xdr:to>
    <xdr:grpSp>
      <xdr:nvGrpSpPr>
        <xdr:cNvPr id="58" name="Grupo 59"/>
        <xdr:cNvGrpSpPr/>
      </xdr:nvGrpSpPr>
      <xdr:grpSpPr>
        <a:xfrm>
          <a:off x="25303320" y="9660240"/>
          <a:ext cx="46800" cy="1256040"/>
          <a:chOff x="25303320" y="9660240"/>
          <a:chExt cx="46800" cy="1256040"/>
        </a:xfrm>
      </xdr:grpSpPr>
      <xdr:grpSp>
        <xdr:nvGrpSpPr>
          <xdr:cNvPr id="59" name="Grupo 60"/>
          <xdr:cNvGrpSpPr/>
        </xdr:nvGrpSpPr>
        <xdr:grpSpPr>
          <a:xfrm>
            <a:off x="25307280" y="9660240"/>
            <a:ext cx="42840" cy="1256040"/>
            <a:chOff x="25307280" y="9660240"/>
            <a:chExt cx="42840" cy="1256040"/>
          </a:xfrm>
        </xdr:grpSpPr>
        <xdr:sp>
          <xdr:nvSpPr>
            <xdr:cNvPr id="60" name="Line 16"/>
            <xdr:cNvSpPr/>
          </xdr:nvSpPr>
          <xdr:spPr>
            <a:xfrm>
              <a:off x="25327800" y="9660240"/>
              <a:ext cx="360" cy="1256040"/>
            </a:xfrm>
            <a:prstGeom prst="line">
              <a:avLst/>
            </a:prstGeom>
            <a:ln w="25400">
              <a:solidFill>
                <a:srgbClr val="ffc000"/>
              </a:solidFill>
              <a:round/>
            </a:ln>
          </xdr:spPr>
          <xdr:style>
            <a:lnRef idx="0"/>
            <a:fillRef idx="0"/>
            <a:effectRef idx="0"/>
            <a:fontRef idx="minor"/>
          </xdr:style>
        </xdr:sp>
        <xdr:sp>
          <xdr:nvSpPr>
            <xdr:cNvPr id="61" name="400 Rectángulo redondeado"/>
            <xdr:cNvSpPr/>
          </xdr:nvSpPr>
          <xdr:spPr>
            <a:xfrm>
              <a:off x="25307280" y="10808640"/>
              <a:ext cx="42840" cy="4788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sp>
        <xdr:nvSpPr>
          <xdr:cNvPr id="62" name="400 Rectángulo redondeado"/>
          <xdr:cNvSpPr/>
        </xdr:nvSpPr>
        <xdr:spPr>
          <a:xfrm>
            <a:off x="25303320" y="9699840"/>
            <a:ext cx="42840" cy="4788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27</xdr:col>
      <xdr:colOff>565920</xdr:colOff>
      <xdr:row>53</xdr:row>
      <xdr:rowOff>105480</xdr:rowOff>
    </xdr:from>
    <xdr:to>
      <xdr:col>29</xdr:col>
      <xdr:colOff>145800</xdr:colOff>
      <xdr:row>53</xdr:row>
      <xdr:rowOff>151920</xdr:rowOff>
    </xdr:to>
    <xdr:grpSp>
      <xdr:nvGrpSpPr>
        <xdr:cNvPr id="63" name="Grupo 64"/>
        <xdr:cNvGrpSpPr/>
      </xdr:nvGrpSpPr>
      <xdr:grpSpPr>
        <a:xfrm>
          <a:off x="25158600" y="9663840"/>
          <a:ext cx="46440" cy="1256040"/>
          <a:chOff x="25158600" y="9663840"/>
          <a:chExt cx="46440" cy="1256040"/>
        </a:xfrm>
      </xdr:grpSpPr>
      <xdr:grpSp>
        <xdr:nvGrpSpPr>
          <xdr:cNvPr id="64" name="Grupo 65"/>
          <xdr:cNvGrpSpPr/>
        </xdr:nvGrpSpPr>
        <xdr:grpSpPr>
          <a:xfrm>
            <a:off x="25162200" y="9663840"/>
            <a:ext cx="42840" cy="1256040"/>
            <a:chOff x="25162200" y="9663840"/>
            <a:chExt cx="42840" cy="1256040"/>
          </a:xfrm>
        </xdr:grpSpPr>
        <xdr:sp>
          <xdr:nvSpPr>
            <xdr:cNvPr id="65" name="Line 16"/>
            <xdr:cNvSpPr/>
          </xdr:nvSpPr>
          <xdr:spPr>
            <a:xfrm>
              <a:off x="25182720" y="9663840"/>
              <a:ext cx="360" cy="1256040"/>
            </a:xfrm>
            <a:prstGeom prst="line">
              <a:avLst/>
            </a:prstGeom>
            <a:ln w="25400">
              <a:solidFill>
                <a:srgbClr val="ffc000"/>
              </a:solidFill>
              <a:round/>
            </a:ln>
          </xdr:spPr>
          <xdr:style>
            <a:lnRef idx="0"/>
            <a:fillRef idx="0"/>
            <a:effectRef idx="0"/>
            <a:fontRef idx="minor"/>
          </xdr:style>
        </xdr:sp>
        <xdr:sp>
          <xdr:nvSpPr>
            <xdr:cNvPr id="66" name="400 Rectángulo redondeado"/>
            <xdr:cNvSpPr/>
          </xdr:nvSpPr>
          <xdr:spPr>
            <a:xfrm>
              <a:off x="25162200" y="10811880"/>
              <a:ext cx="42840" cy="4788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sp>
        <xdr:nvSpPr>
          <xdr:cNvPr id="67" name="400 Rectángulo redondeado"/>
          <xdr:cNvSpPr/>
        </xdr:nvSpPr>
        <xdr:spPr>
          <a:xfrm>
            <a:off x="25158600" y="9703440"/>
            <a:ext cx="42840" cy="4788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29</xdr:col>
      <xdr:colOff>54360</xdr:colOff>
      <xdr:row>49</xdr:row>
      <xdr:rowOff>52200</xdr:rowOff>
    </xdr:from>
    <xdr:to>
      <xdr:col>30</xdr:col>
      <xdr:colOff>12240</xdr:colOff>
      <xdr:row>50</xdr:row>
      <xdr:rowOff>29160</xdr:rowOff>
    </xdr:to>
    <xdr:sp>
      <xdr:nvSpPr>
        <xdr:cNvPr id="68" name="Text Box 154"/>
        <xdr:cNvSpPr/>
      </xdr:nvSpPr>
      <xdr:spPr>
        <a:xfrm>
          <a:off x="25718400" y="9453240"/>
          <a:ext cx="796320" cy="16776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Riomar 34,5 kV</a:t>
          </a:r>
          <a:endParaRPr b="0" lang="en-GB" sz="600" spc="-1" strike="noStrike">
            <a:latin typeface="Times New Roman"/>
          </a:endParaRPr>
        </a:p>
      </xdr:txBody>
    </xdr:sp>
    <xdr:clientData/>
  </xdr:twoCellAnchor>
  <xdr:twoCellAnchor editAs="twoCell">
    <xdr:from>
      <xdr:col>29</xdr:col>
      <xdr:colOff>399240</xdr:colOff>
      <xdr:row>49</xdr:row>
      <xdr:rowOff>54000</xdr:rowOff>
    </xdr:from>
    <xdr:to>
      <xdr:col>30</xdr:col>
      <xdr:colOff>451080</xdr:colOff>
      <xdr:row>59</xdr:row>
      <xdr:rowOff>160200</xdr:rowOff>
    </xdr:to>
    <xdr:grpSp>
      <xdr:nvGrpSpPr>
        <xdr:cNvPr id="69" name="Grupo 70"/>
        <xdr:cNvGrpSpPr/>
      </xdr:nvGrpSpPr>
      <xdr:grpSpPr>
        <a:xfrm>
          <a:off x="25493040" y="10025280"/>
          <a:ext cx="2030400" cy="890280"/>
          <a:chOff x="25493040" y="10025280"/>
          <a:chExt cx="2030400" cy="890280"/>
        </a:xfrm>
      </xdr:grpSpPr>
      <xdr:sp>
        <xdr:nvSpPr>
          <xdr:cNvPr id="70" name="Line 16"/>
          <xdr:cNvSpPr/>
        </xdr:nvSpPr>
        <xdr:spPr>
          <a:xfrm>
            <a:off x="26416440" y="10753920"/>
            <a:ext cx="360" cy="161640"/>
          </a:xfrm>
          <a:prstGeom prst="line">
            <a:avLst/>
          </a:prstGeom>
          <a:ln w="25400">
            <a:solidFill>
              <a:srgbClr val="ffc000"/>
            </a:solidFill>
            <a:round/>
          </a:ln>
        </xdr:spPr>
        <xdr:style>
          <a:lnRef idx="0"/>
          <a:fillRef idx="0"/>
          <a:effectRef idx="0"/>
          <a:fontRef idx="minor"/>
        </xdr:style>
      </xdr:sp>
      <xdr:sp>
        <xdr:nvSpPr>
          <xdr:cNvPr id="71" name="Line 16"/>
          <xdr:cNvSpPr/>
        </xdr:nvSpPr>
        <xdr:spPr>
          <a:xfrm>
            <a:off x="26741520" y="10753920"/>
            <a:ext cx="360" cy="161640"/>
          </a:xfrm>
          <a:prstGeom prst="line">
            <a:avLst/>
          </a:prstGeom>
          <a:ln w="25400">
            <a:solidFill>
              <a:srgbClr val="ffc000"/>
            </a:solidFill>
            <a:round/>
          </a:ln>
        </xdr:spPr>
        <xdr:style>
          <a:lnRef idx="0"/>
          <a:fillRef idx="0"/>
          <a:effectRef idx="0"/>
          <a:fontRef idx="minor"/>
        </xdr:style>
      </xdr:sp>
      <xdr:grpSp>
        <xdr:nvGrpSpPr>
          <xdr:cNvPr id="72" name="Grupo 73"/>
          <xdr:cNvGrpSpPr/>
        </xdr:nvGrpSpPr>
        <xdr:grpSpPr>
          <a:xfrm>
            <a:off x="25493040" y="10025280"/>
            <a:ext cx="2030400" cy="819720"/>
            <a:chOff x="25493040" y="10025280"/>
            <a:chExt cx="2030400" cy="819720"/>
          </a:xfrm>
        </xdr:grpSpPr>
        <xdr:sp>
          <xdr:nvSpPr>
            <xdr:cNvPr id="73" name="Oval 145"/>
            <xdr:cNvSpPr/>
          </xdr:nvSpPr>
          <xdr:spPr>
            <a:xfrm>
              <a:off x="26329320" y="10432440"/>
              <a:ext cx="189360" cy="214920"/>
            </a:xfrm>
            <a:prstGeom prst="ellipse">
              <a:avLst/>
            </a:prstGeom>
            <a:noFill/>
            <a:ln w="12700">
              <a:solidFill>
                <a:srgbClr val="e7e6e6">
                  <a:lumMod val="10000"/>
                </a:srgbClr>
              </a:solidFill>
              <a:round/>
            </a:ln>
          </xdr:spPr>
          <xdr:style>
            <a:lnRef idx="0"/>
            <a:fillRef idx="0"/>
            <a:effectRef idx="0"/>
            <a:fontRef idx="minor"/>
          </xdr:style>
        </xdr:sp>
        <xdr:sp>
          <xdr:nvSpPr>
            <xdr:cNvPr id="74" name="Oval 146"/>
            <xdr:cNvSpPr/>
          </xdr:nvSpPr>
          <xdr:spPr>
            <a:xfrm>
              <a:off x="26327160" y="10539000"/>
              <a:ext cx="189360" cy="214920"/>
            </a:xfrm>
            <a:prstGeom prst="ellipse">
              <a:avLst/>
            </a:prstGeom>
            <a:noFill/>
            <a:ln w="12700">
              <a:solidFill>
                <a:srgbClr val="ffc000"/>
              </a:solidFill>
              <a:round/>
            </a:ln>
          </xdr:spPr>
          <xdr:style>
            <a:lnRef idx="0"/>
            <a:fillRef idx="0"/>
            <a:effectRef idx="0"/>
            <a:fontRef idx="minor"/>
          </xdr:style>
        </xdr:sp>
        <xdr:sp>
          <xdr:nvSpPr>
            <xdr:cNvPr id="75" name="Line 147"/>
            <xdr:cNvSpPr/>
          </xdr:nvSpPr>
          <xdr:spPr>
            <a:xfrm>
              <a:off x="26412840" y="10272240"/>
              <a:ext cx="360" cy="161280"/>
            </a:xfrm>
            <a:prstGeom prst="line">
              <a:avLst/>
            </a:prstGeom>
            <a:ln w="25400">
              <a:solidFill>
                <a:srgbClr val="e7e6e6">
                  <a:lumMod val="10000"/>
                </a:srgbClr>
              </a:solidFill>
              <a:round/>
            </a:ln>
          </xdr:spPr>
          <xdr:style>
            <a:lnRef idx="0"/>
            <a:fillRef idx="0"/>
            <a:effectRef idx="0"/>
            <a:fontRef idx="minor"/>
          </xdr:style>
        </xdr:sp>
        <xdr:sp>
          <xdr:nvSpPr>
            <xdr:cNvPr id="76" name="Line 139"/>
            <xdr:cNvSpPr/>
          </xdr:nvSpPr>
          <xdr:spPr>
            <a:xfrm>
              <a:off x="26186400" y="10276920"/>
              <a:ext cx="689400" cy="360"/>
            </a:xfrm>
            <a:prstGeom prst="line">
              <a:avLst/>
            </a:prstGeom>
            <a:ln w="25400">
              <a:solidFill>
                <a:srgbClr val="e7e6e6">
                  <a:lumMod val="10000"/>
                </a:srgbClr>
              </a:solidFill>
              <a:round/>
            </a:ln>
          </xdr:spPr>
          <xdr:style>
            <a:lnRef idx="0"/>
            <a:fillRef idx="0"/>
            <a:effectRef idx="0"/>
            <a:fontRef idx="minor"/>
          </xdr:style>
        </xdr:sp>
        <xdr:sp>
          <xdr:nvSpPr>
            <xdr:cNvPr id="77" name="400 Rectángulo redondeado"/>
            <xdr:cNvSpPr/>
          </xdr:nvSpPr>
          <xdr:spPr>
            <a:xfrm>
              <a:off x="26397720" y="10797120"/>
              <a:ext cx="48240" cy="4788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78" name="422 Rectángulo redondeado"/>
            <xdr:cNvSpPr/>
          </xdr:nvSpPr>
          <xdr:spPr>
            <a:xfrm>
              <a:off x="26384760" y="10320480"/>
              <a:ext cx="48240" cy="478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79" name="Oval 145"/>
            <xdr:cNvSpPr/>
          </xdr:nvSpPr>
          <xdr:spPr>
            <a:xfrm>
              <a:off x="26654400" y="10432440"/>
              <a:ext cx="189360" cy="214920"/>
            </a:xfrm>
            <a:prstGeom prst="ellipse">
              <a:avLst/>
            </a:prstGeom>
            <a:noFill/>
            <a:ln w="12700">
              <a:solidFill>
                <a:srgbClr val="e7e6e6">
                  <a:lumMod val="10000"/>
                </a:srgbClr>
              </a:solidFill>
              <a:round/>
            </a:ln>
          </xdr:spPr>
          <xdr:style>
            <a:lnRef idx="0"/>
            <a:fillRef idx="0"/>
            <a:effectRef idx="0"/>
            <a:fontRef idx="minor"/>
          </xdr:style>
        </xdr:sp>
        <xdr:sp>
          <xdr:nvSpPr>
            <xdr:cNvPr id="80" name="Oval 146"/>
            <xdr:cNvSpPr/>
          </xdr:nvSpPr>
          <xdr:spPr>
            <a:xfrm>
              <a:off x="26652240" y="10539000"/>
              <a:ext cx="189360" cy="214920"/>
            </a:xfrm>
            <a:prstGeom prst="ellipse">
              <a:avLst/>
            </a:prstGeom>
            <a:noFill/>
            <a:ln w="12700">
              <a:solidFill>
                <a:srgbClr val="ffc000"/>
              </a:solidFill>
              <a:round/>
            </a:ln>
          </xdr:spPr>
          <xdr:style>
            <a:lnRef idx="0"/>
            <a:fillRef idx="0"/>
            <a:effectRef idx="0"/>
            <a:fontRef idx="minor"/>
          </xdr:style>
        </xdr:sp>
        <xdr:sp>
          <xdr:nvSpPr>
            <xdr:cNvPr id="81" name="Line 147"/>
            <xdr:cNvSpPr/>
          </xdr:nvSpPr>
          <xdr:spPr>
            <a:xfrm>
              <a:off x="26737920" y="10272240"/>
              <a:ext cx="360" cy="161280"/>
            </a:xfrm>
            <a:prstGeom prst="line">
              <a:avLst/>
            </a:prstGeom>
            <a:ln w="25400">
              <a:solidFill>
                <a:srgbClr val="e7e6e6">
                  <a:lumMod val="10000"/>
                </a:srgbClr>
              </a:solidFill>
              <a:round/>
            </a:ln>
          </xdr:spPr>
          <xdr:style>
            <a:lnRef idx="0"/>
            <a:fillRef idx="0"/>
            <a:effectRef idx="0"/>
            <a:fontRef idx="minor"/>
          </xdr:style>
        </xdr:sp>
        <xdr:sp>
          <xdr:nvSpPr>
            <xdr:cNvPr id="82" name="400 Rectángulo redondeado"/>
            <xdr:cNvSpPr/>
          </xdr:nvSpPr>
          <xdr:spPr>
            <a:xfrm>
              <a:off x="26722800" y="10797120"/>
              <a:ext cx="48240" cy="4788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83" name="422 Rectángulo redondeado"/>
            <xdr:cNvSpPr/>
          </xdr:nvSpPr>
          <xdr:spPr>
            <a:xfrm>
              <a:off x="26709840" y="10320480"/>
              <a:ext cx="48240" cy="478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84" name="Text Box 154"/>
            <xdr:cNvSpPr/>
          </xdr:nvSpPr>
          <xdr:spPr>
            <a:xfrm>
              <a:off x="26856720" y="10389240"/>
              <a:ext cx="666720" cy="2401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28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34,5/13,8kV</a:t>
              </a:r>
              <a:endParaRPr b="0" lang="en-GB" sz="600" spc="-1" strike="noStrike">
                <a:latin typeface="Times New Roman"/>
              </a:endParaRPr>
            </a:p>
          </xdr:txBody>
        </xdr:sp>
        <xdr:sp>
          <xdr:nvSpPr>
            <xdr:cNvPr id="85" name="Text Box 154"/>
            <xdr:cNvSpPr/>
          </xdr:nvSpPr>
          <xdr:spPr>
            <a:xfrm>
              <a:off x="25493040" y="10370160"/>
              <a:ext cx="836640" cy="2401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39,15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34,5/13,8/6,9 kV</a:t>
              </a:r>
              <a:endParaRPr b="0" lang="en-GB" sz="600" spc="-1" strike="noStrike">
                <a:latin typeface="Times New Roman"/>
              </a:endParaRPr>
            </a:p>
          </xdr:txBody>
        </xdr:sp>
        <xdr:sp>
          <xdr:nvSpPr>
            <xdr:cNvPr id="86" name="Text Box 154"/>
            <xdr:cNvSpPr/>
          </xdr:nvSpPr>
          <xdr:spPr>
            <a:xfrm>
              <a:off x="26781840" y="10060560"/>
              <a:ext cx="610560" cy="2401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Las Flores 13,8kV</a:t>
              </a:r>
              <a:endParaRPr b="0" lang="en-GB" sz="600" spc="-1" strike="noStrike">
                <a:latin typeface="Times New Roman"/>
              </a:endParaRPr>
            </a:p>
          </xdr:txBody>
        </xdr:sp>
        <xdr:sp>
          <xdr:nvSpPr>
            <xdr:cNvPr id="87" name="Line 16"/>
            <xdr:cNvSpPr/>
          </xdr:nvSpPr>
          <xdr:spPr>
            <a:xfrm>
              <a:off x="26733960" y="10025280"/>
              <a:ext cx="360" cy="254880"/>
            </a:xfrm>
            <a:prstGeom prst="line">
              <a:avLst/>
            </a:prstGeom>
            <a:ln w="25400">
              <a:solidFill>
                <a:srgbClr val="000000"/>
              </a:solidFill>
              <a:round/>
              <a:headEnd len="med" type="triangle" w="med"/>
            </a:ln>
          </xdr:spPr>
          <xdr:style>
            <a:lnRef idx="0"/>
            <a:fillRef idx="0"/>
            <a:effectRef idx="0"/>
            <a:fontRef idx="minor"/>
          </xdr:style>
        </xdr:sp>
        <xdr:sp>
          <xdr:nvSpPr>
            <xdr:cNvPr id="88" name="400 Rectángulo redondeado"/>
            <xdr:cNvSpPr/>
          </xdr:nvSpPr>
          <xdr:spPr>
            <a:xfrm>
              <a:off x="26710560" y="10178280"/>
              <a:ext cx="48240" cy="478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89" name="Oval 145"/>
            <xdr:cNvSpPr/>
          </xdr:nvSpPr>
          <xdr:spPr>
            <a:xfrm>
              <a:off x="26238960" y="10491120"/>
              <a:ext cx="189360" cy="214920"/>
            </a:xfrm>
            <a:prstGeom prst="ellipse">
              <a:avLst/>
            </a:prstGeom>
            <a:noFill/>
            <a:ln w="12700">
              <a:solidFill>
                <a:srgbClr val="e7e6e6">
                  <a:lumMod val="10000"/>
                </a:srgbClr>
              </a:solidFill>
              <a:round/>
            </a:ln>
          </xdr:spPr>
          <xdr:style>
            <a:lnRef idx="0"/>
            <a:fillRef idx="0"/>
            <a:effectRef idx="0"/>
            <a:fontRef idx="minor"/>
          </xdr:style>
        </xdr:sp>
        <xdr:sp>
          <xdr:nvSpPr>
            <xdr:cNvPr id="90" name="Line 147"/>
            <xdr:cNvSpPr/>
          </xdr:nvSpPr>
          <xdr:spPr>
            <a:xfrm flipH="1">
              <a:off x="26109360" y="10599120"/>
              <a:ext cx="128880" cy="360"/>
            </a:xfrm>
            <a:prstGeom prst="line">
              <a:avLst/>
            </a:prstGeom>
            <a:ln w="25400">
              <a:solidFill>
                <a:srgbClr val="e7e6e6">
                  <a:lumMod val="10000"/>
                </a:srgbClr>
              </a:solidFill>
              <a:round/>
            </a:ln>
          </xdr:spPr>
          <xdr:style>
            <a:lnRef idx="0"/>
            <a:fillRef idx="0"/>
            <a:effectRef idx="0"/>
            <a:fontRef idx="minor"/>
          </xdr:style>
        </xdr:sp>
        <xdr:sp>
          <xdr:nvSpPr>
            <xdr:cNvPr id="91" name="Elipse 92"/>
            <xdr:cNvSpPr/>
          </xdr:nvSpPr>
          <xdr:spPr>
            <a:xfrm>
              <a:off x="26077320" y="10578960"/>
              <a:ext cx="51120" cy="42480"/>
            </a:xfrm>
            <a:prstGeom prst="ellipse">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grpSp>
    <xdr:clientData/>
  </xdr:twoCellAnchor>
  <xdr:twoCellAnchor editAs="twoCell">
    <xdr:from>
      <xdr:col>27</xdr:col>
      <xdr:colOff>430200</xdr:colOff>
      <xdr:row>44</xdr:row>
      <xdr:rowOff>122760</xdr:rowOff>
    </xdr:from>
    <xdr:to>
      <xdr:col>28</xdr:col>
      <xdr:colOff>509040</xdr:colOff>
      <xdr:row>51</xdr:row>
      <xdr:rowOff>67680</xdr:rowOff>
    </xdr:to>
    <xdr:grpSp>
      <xdr:nvGrpSpPr>
        <xdr:cNvPr id="92" name="Grupo 93"/>
        <xdr:cNvGrpSpPr/>
      </xdr:nvGrpSpPr>
      <xdr:grpSpPr>
        <a:xfrm>
          <a:off x="24222960" y="8737920"/>
          <a:ext cx="1307160" cy="916920"/>
          <a:chOff x="24222960" y="8737920"/>
          <a:chExt cx="1307160" cy="916920"/>
        </a:xfrm>
      </xdr:grpSpPr>
      <xdr:sp>
        <xdr:nvSpPr>
          <xdr:cNvPr id="93" name="Line 16"/>
          <xdr:cNvSpPr/>
        </xdr:nvSpPr>
        <xdr:spPr>
          <a:xfrm>
            <a:off x="25097400" y="9490320"/>
            <a:ext cx="360" cy="164520"/>
          </a:xfrm>
          <a:prstGeom prst="line">
            <a:avLst/>
          </a:prstGeom>
          <a:ln w="25400">
            <a:solidFill>
              <a:srgbClr val="ffc000"/>
            </a:solidFill>
            <a:round/>
          </a:ln>
        </xdr:spPr>
        <xdr:style>
          <a:lnRef idx="0"/>
          <a:fillRef idx="0"/>
          <a:effectRef idx="0"/>
          <a:fontRef idx="minor"/>
        </xdr:style>
      </xdr:sp>
      <xdr:sp>
        <xdr:nvSpPr>
          <xdr:cNvPr id="94" name="Line 16"/>
          <xdr:cNvSpPr/>
        </xdr:nvSpPr>
        <xdr:spPr>
          <a:xfrm>
            <a:off x="25403400" y="9490320"/>
            <a:ext cx="360" cy="164520"/>
          </a:xfrm>
          <a:prstGeom prst="line">
            <a:avLst/>
          </a:prstGeom>
          <a:ln w="25400">
            <a:solidFill>
              <a:srgbClr val="ffc000"/>
            </a:solidFill>
            <a:round/>
          </a:ln>
        </xdr:spPr>
        <xdr:style>
          <a:lnRef idx="0"/>
          <a:fillRef idx="0"/>
          <a:effectRef idx="0"/>
          <a:fontRef idx="minor"/>
        </xdr:style>
      </xdr:sp>
      <xdr:grpSp>
        <xdr:nvGrpSpPr>
          <xdr:cNvPr id="95" name="Grupo 96"/>
          <xdr:cNvGrpSpPr/>
        </xdr:nvGrpSpPr>
        <xdr:grpSpPr>
          <a:xfrm>
            <a:off x="24222960" y="8737920"/>
            <a:ext cx="1307160" cy="845280"/>
            <a:chOff x="24222960" y="8737920"/>
            <a:chExt cx="1307160" cy="845280"/>
          </a:xfrm>
        </xdr:grpSpPr>
        <xdr:sp>
          <xdr:nvSpPr>
            <xdr:cNvPr id="96" name="Oval 145"/>
            <xdr:cNvSpPr/>
          </xdr:nvSpPr>
          <xdr:spPr>
            <a:xfrm>
              <a:off x="25014960" y="9161640"/>
              <a:ext cx="178200" cy="219600"/>
            </a:xfrm>
            <a:prstGeom prst="ellipse">
              <a:avLst/>
            </a:prstGeom>
            <a:noFill/>
            <a:ln w="12700">
              <a:solidFill>
                <a:srgbClr val="e7e6e6">
                  <a:lumMod val="10000"/>
                </a:srgbClr>
              </a:solidFill>
              <a:round/>
            </a:ln>
          </xdr:spPr>
          <xdr:style>
            <a:lnRef idx="0"/>
            <a:fillRef idx="0"/>
            <a:effectRef idx="0"/>
            <a:fontRef idx="minor"/>
          </xdr:style>
        </xdr:sp>
        <xdr:sp>
          <xdr:nvSpPr>
            <xdr:cNvPr id="97" name="Oval 146"/>
            <xdr:cNvSpPr/>
          </xdr:nvSpPr>
          <xdr:spPr>
            <a:xfrm>
              <a:off x="25013160" y="9270360"/>
              <a:ext cx="178200" cy="219600"/>
            </a:xfrm>
            <a:prstGeom prst="ellipse">
              <a:avLst/>
            </a:prstGeom>
            <a:noFill/>
            <a:ln w="12700">
              <a:solidFill>
                <a:srgbClr val="ffc000"/>
              </a:solidFill>
              <a:round/>
            </a:ln>
          </xdr:spPr>
          <xdr:style>
            <a:lnRef idx="0"/>
            <a:fillRef idx="0"/>
            <a:effectRef idx="0"/>
            <a:fontRef idx="minor"/>
          </xdr:style>
        </xdr:sp>
        <xdr:sp>
          <xdr:nvSpPr>
            <xdr:cNvPr id="98" name="Line 147"/>
            <xdr:cNvSpPr/>
          </xdr:nvSpPr>
          <xdr:spPr>
            <a:xfrm>
              <a:off x="25093800" y="8998200"/>
              <a:ext cx="360" cy="164880"/>
            </a:xfrm>
            <a:prstGeom prst="line">
              <a:avLst/>
            </a:prstGeom>
            <a:ln w="25400">
              <a:solidFill>
                <a:srgbClr val="e7e6e6">
                  <a:lumMod val="10000"/>
                </a:srgbClr>
              </a:solidFill>
              <a:round/>
            </a:ln>
          </xdr:spPr>
          <xdr:style>
            <a:lnRef idx="0"/>
            <a:fillRef idx="0"/>
            <a:effectRef idx="0"/>
            <a:fontRef idx="minor"/>
          </xdr:style>
        </xdr:sp>
        <xdr:sp>
          <xdr:nvSpPr>
            <xdr:cNvPr id="99" name="Line 139"/>
            <xdr:cNvSpPr/>
          </xdr:nvSpPr>
          <xdr:spPr>
            <a:xfrm>
              <a:off x="24880320" y="9002880"/>
              <a:ext cx="649800" cy="360"/>
            </a:xfrm>
            <a:prstGeom prst="line">
              <a:avLst/>
            </a:prstGeom>
            <a:ln w="25400">
              <a:solidFill>
                <a:srgbClr val="e7e6e6">
                  <a:lumMod val="10000"/>
                </a:srgbClr>
              </a:solidFill>
              <a:round/>
            </a:ln>
          </xdr:spPr>
          <xdr:style>
            <a:lnRef idx="0"/>
            <a:fillRef idx="0"/>
            <a:effectRef idx="0"/>
            <a:fontRef idx="minor"/>
          </xdr:style>
        </xdr:sp>
        <xdr:sp>
          <xdr:nvSpPr>
            <xdr:cNvPr id="100" name="400 Rectángulo redondeado"/>
            <xdr:cNvSpPr/>
          </xdr:nvSpPr>
          <xdr:spPr>
            <a:xfrm>
              <a:off x="25079400" y="9534240"/>
              <a:ext cx="45360" cy="48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01" name="422 Rectángulo redondeado"/>
            <xdr:cNvSpPr/>
          </xdr:nvSpPr>
          <xdr:spPr>
            <a:xfrm>
              <a:off x="25067160" y="9047520"/>
              <a:ext cx="45360" cy="48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102" name="Oval 145"/>
            <xdr:cNvSpPr/>
          </xdr:nvSpPr>
          <xdr:spPr>
            <a:xfrm>
              <a:off x="25321320" y="9161640"/>
              <a:ext cx="178200" cy="219600"/>
            </a:xfrm>
            <a:prstGeom prst="ellipse">
              <a:avLst/>
            </a:prstGeom>
            <a:noFill/>
            <a:ln w="12700">
              <a:solidFill>
                <a:srgbClr val="e7e6e6">
                  <a:lumMod val="10000"/>
                </a:srgbClr>
              </a:solidFill>
              <a:round/>
            </a:ln>
          </xdr:spPr>
          <xdr:style>
            <a:lnRef idx="0"/>
            <a:fillRef idx="0"/>
            <a:effectRef idx="0"/>
            <a:fontRef idx="minor"/>
          </xdr:style>
        </xdr:sp>
        <xdr:sp>
          <xdr:nvSpPr>
            <xdr:cNvPr id="103" name="Oval 146"/>
            <xdr:cNvSpPr/>
          </xdr:nvSpPr>
          <xdr:spPr>
            <a:xfrm>
              <a:off x="25319520" y="9270360"/>
              <a:ext cx="178200" cy="219600"/>
            </a:xfrm>
            <a:prstGeom prst="ellipse">
              <a:avLst/>
            </a:prstGeom>
            <a:noFill/>
            <a:ln w="12700">
              <a:solidFill>
                <a:srgbClr val="ffc000"/>
              </a:solidFill>
              <a:round/>
            </a:ln>
          </xdr:spPr>
          <xdr:style>
            <a:lnRef idx="0"/>
            <a:fillRef idx="0"/>
            <a:effectRef idx="0"/>
            <a:fontRef idx="minor"/>
          </xdr:style>
        </xdr:sp>
        <xdr:sp>
          <xdr:nvSpPr>
            <xdr:cNvPr id="104" name="Line 147"/>
            <xdr:cNvSpPr/>
          </xdr:nvSpPr>
          <xdr:spPr>
            <a:xfrm>
              <a:off x="25400160" y="8998200"/>
              <a:ext cx="360" cy="164880"/>
            </a:xfrm>
            <a:prstGeom prst="line">
              <a:avLst/>
            </a:prstGeom>
            <a:ln w="25400">
              <a:solidFill>
                <a:srgbClr val="e7e6e6">
                  <a:lumMod val="10000"/>
                </a:srgbClr>
              </a:solidFill>
              <a:round/>
            </a:ln>
          </xdr:spPr>
          <xdr:style>
            <a:lnRef idx="0"/>
            <a:fillRef idx="0"/>
            <a:effectRef idx="0"/>
            <a:fontRef idx="minor"/>
          </xdr:style>
        </xdr:sp>
        <xdr:sp>
          <xdr:nvSpPr>
            <xdr:cNvPr id="105" name="400 Rectángulo redondeado"/>
            <xdr:cNvSpPr/>
          </xdr:nvSpPr>
          <xdr:spPr>
            <a:xfrm>
              <a:off x="25385760" y="9534240"/>
              <a:ext cx="45360" cy="48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06" name="422 Rectángulo redondeado"/>
            <xdr:cNvSpPr/>
          </xdr:nvSpPr>
          <xdr:spPr>
            <a:xfrm>
              <a:off x="25373520" y="9047520"/>
              <a:ext cx="45360" cy="48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107" name="Text Box 154"/>
            <xdr:cNvSpPr/>
          </xdr:nvSpPr>
          <xdr:spPr>
            <a:xfrm>
              <a:off x="24222960" y="9060480"/>
              <a:ext cx="788400" cy="2455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39,15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34,5/13,8/6,9 kV</a:t>
              </a:r>
              <a:endParaRPr b="0" lang="en-GB" sz="600" spc="-1" strike="noStrike">
                <a:latin typeface="Times New Roman"/>
              </a:endParaRPr>
            </a:p>
          </xdr:txBody>
        </xdr:sp>
        <xdr:sp>
          <xdr:nvSpPr>
            <xdr:cNvPr id="108" name="Text Box 154"/>
            <xdr:cNvSpPr/>
          </xdr:nvSpPr>
          <xdr:spPr>
            <a:xfrm>
              <a:off x="24305040" y="8762040"/>
              <a:ext cx="788400" cy="2455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Riomar 13,8kV</a:t>
              </a:r>
              <a:endParaRPr b="0" lang="en-GB" sz="600" spc="-1" strike="noStrike">
                <a:latin typeface="Times New Roman"/>
              </a:endParaRPr>
            </a:p>
          </xdr:txBody>
        </xdr:sp>
        <xdr:sp>
          <xdr:nvSpPr>
            <xdr:cNvPr id="109" name="Line 16"/>
            <xdr:cNvSpPr/>
          </xdr:nvSpPr>
          <xdr:spPr>
            <a:xfrm>
              <a:off x="25398000" y="8737920"/>
              <a:ext cx="360" cy="260280"/>
            </a:xfrm>
            <a:prstGeom prst="line">
              <a:avLst/>
            </a:prstGeom>
            <a:ln w="25400">
              <a:solidFill>
                <a:srgbClr val="000000"/>
              </a:solidFill>
              <a:round/>
              <a:headEnd len="med" type="triangle" w="med"/>
            </a:ln>
          </xdr:spPr>
          <xdr:style>
            <a:lnRef idx="0"/>
            <a:fillRef idx="0"/>
            <a:effectRef idx="0"/>
            <a:fontRef idx="minor"/>
          </xdr:style>
        </xdr:sp>
        <xdr:sp>
          <xdr:nvSpPr>
            <xdr:cNvPr id="110" name="400 Rectángulo redondeado"/>
            <xdr:cNvSpPr/>
          </xdr:nvSpPr>
          <xdr:spPr>
            <a:xfrm>
              <a:off x="25375680" y="8894160"/>
              <a:ext cx="45360" cy="48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111" name="Oval 145"/>
            <xdr:cNvSpPr/>
          </xdr:nvSpPr>
          <xdr:spPr>
            <a:xfrm>
              <a:off x="24930000" y="9221760"/>
              <a:ext cx="178200" cy="219600"/>
            </a:xfrm>
            <a:prstGeom prst="ellipse">
              <a:avLst/>
            </a:prstGeom>
            <a:noFill/>
            <a:ln w="12700">
              <a:solidFill>
                <a:srgbClr val="e7e6e6">
                  <a:lumMod val="10000"/>
                </a:srgbClr>
              </a:solidFill>
              <a:round/>
            </a:ln>
          </xdr:spPr>
          <xdr:style>
            <a:lnRef idx="0"/>
            <a:fillRef idx="0"/>
            <a:effectRef idx="0"/>
            <a:fontRef idx="minor"/>
          </xdr:style>
        </xdr:sp>
        <xdr:sp>
          <xdr:nvSpPr>
            <xdr:cNvPr id="112" name="Line 147"/>
            <xdr:cNvSpPr/>
          </xdr:nvSpPr>
          <xdr:spPr>
            <a:xfrm flipH="1">
              <a:off x="24807600" y="9332280"/>
              <a:ext cx="121680" cy="360"/>
            </a:xfrm>
            <a:prstGeom prst="line">
              <a:avLst/>
            </a:prstGeom>
            <a:ln w="25400">
              <a:solidFill>
                <a:srgbClr val="e7e6e6">
                  <a:lumMod val="10000"/>
                </a:srgbClr>
              </a:solidFill>
              <a:round/>
            </a:ln>
          </xdr:spPr>
          <xdr:style>
            <a:lnRef idx="0"/>
            <a:fillRef idx="0"/>
            <a:effectRef idx="0"/>
            <a:fontRef idx="minor"/>
          </xdr:style>
        </xdr:sp>
        <xdr:sp>
          <xdr:nvSpPr>
            <xdr:cNvPr id="113" name="Elipse 114"/>
            <xdr:cNvSpPr/>
          </xdr:nvSpPr>
          <xdr:spPr>
            <a:xfrm>
              <a:off x="24777360" y="9311400"/>
              <a:ext cx="48240" cy="43560"/>
            </a:xfrm>
            <a:prstGeom prst="ellipse">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grpSp>
    <xdr:clientData/>
  </xdr:twoCellAnchor>
  <xdr:twoCellAnchor editAs="twoCell">
    <xdr:from>
      <xdr:col>29</xdr:col>
      <xdr:colOff>75960</xdr:colOff>
      <xdr:row>47</xdr:row>
      <xdr:rowOff>51120</xdr:rowOff>
    </xdr:from>
    <xdr:to>
      <xdr:col>30</xdr:col>
      <xdr:colOff>56520</xdr:colOff>
      <xdr:row>48</xdr:row>
      <xdr:rowOff>100800</xdr:rowOff>
    </xdr:to>
    <xdr:sp>
      <xdr:nvSpPr>
        <xdr:cNvPr id="114" name="Text Box 154"/>
        <xdr:cNvSpPr/>
      </xdr:nvSpPr>
      <xdr:spPr>
        <a:xfrm>
          <a:off x="25740000" y="9071280"/>
          <a:ext cx="819000" cy="2401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39,15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34,5/13,8/6,9 kV</a:t>
          </a:r>
          <a:endParaRPr b="0" lang="en-GB" sz="600" spc="-1" strike="noStrike">
            <a:latin typeface="Times New Roman"/>
          </a:endParaRPr>
        </a:p>
      </xdr:txBody>
    </xdr:sp>
    <xdr:clientData/>
  </xdr:twoCellAnchor>
  <xdr:twoCellAnchor editAs="twoCell">
    <xdr:from>
      <xdr:col>28</xdr:col>
      <xdr:colOff>598680</xdr:colOff>
      <xdr:row>48</xdr:row>
      <xdr:rowOff>22320</xdr:rowOff>
    </xdr:from>
    <xdr:to>
      <xdr:col>29</xdr:col>
      <xdr:colOff>4680</xdr:colOff>
      <xdr:row>49</xdr:row>
      <xdr:rowOff>46800</xdr:rowOff>
    </xdr:to>
    <xdr:sp>
      <xdr:nvSpPr>
        <xdr:cNvPr id="115" name="Oval 145"/>
        <xdr:cNvSpPr/>
      </xdr:nvSpPr>
      <xdr:spPr>
        <a:xfrm>
          <a:off x="25424640" y="9232920"/>
          <a:ext cx="244080" cy="214920"/>
        </a:xfrm>
        <a:prstGeom prst="ellipse">
          <a:avLst/>
        </a:prstGeom>
        <a:noFill/>
        <a:ln w="12700">
          <a:solidFill>
            <a:srgbClr val="e7e6e6">
              <a:lumMod val="10000"/>
            </a:srgbClr>
          </a:solidFill>
          <a:round/>
        </a:ln>
      </xdr:spPr>
      <xdr:style>
        <a:lnRef idx="0"/>
        <a:fillRef idx="0"/>
        <a:effectRef idx="0"/>
        <a:fontRef idx="minor"/>
      </xdr:style>
    </xdr:sp>
    <xdr:clientData/>
  </xdr:twoCellAnchor>
  <xdr:twoCellAnchor editAs="twoCell">
    <xdr:from>
      <xdr:col>29</xdr:col>
      <xdr:colOff>10080</xdr:colOff>
      <xdr:row>48</xdr:row>
      <xdr:rowOff>127440</xdr:rowOff>
    </xdr:from>
    <xdr:to>
      <xdr:col>29</xdr:col>
      <xdr:colOff>124560</xdr:colOff>
      <xdr:row>48</xdr:row>
      <xdr:rowOff>127440</xdr:rowOff>
    </xdr:to>
    <xdr:sp>
      <xdr:nvSpPr>
        <xdr:cNvPr id="116" name="Line 147"/>
        <xdr:cNvSpPr/>
      </xdr:nvSpPr>
      <xdr:spPr>
        <a:xfrm>
          <a:off x="25674120" y="9338040"/>
          <a:ext cx="114480" cy="0"/>
        </a:xfrm>
        <a:prstGeom prst="line">
          <a:avLst/>
        </a:prstGeom>
        <a:ln w="25400">
          <a:solidFill>
            <a:srgbClr val="e7e6e6">
              <a:lumMod val="10000"/>
            </a:srgbClr>
          </a:solidFill>
          <a:round/>
        </a:ln>
      </xdr:spPr>
      <xdr:style>
        <a:lnRef idx="0"/>
        <a:fillRef idx="0"/>
        <a:effectRef idx="0"/>
        <a:fontRef idx="minor"/>
      </xdr:style>
    </xdr:sp>
    <xdr:clientData/>
  </xdr:twoCellAnchor>
  <xdr:twoCellAnchor editAs="twoCell">
    <xdr:from>
      <xdr:col>29</xdr:col>
      <xdr:colOff>121680</xdr:colOff>
      <xdr:row>48</xdr:row>
      <xdr:rowOff>107280</xdr:rowOff>
    </xdr:from>
    <xdr:to>
      <xdr:col>29</xdr:col>
      <xdr:colOff>167040</xdr:colOff>
      <xdr:row>48</xdr:row>
      <xdr:rowOff>149760</xdr:rowOff>
    </xdr:to>
    <xdr:sp>
      <xdr:nvSpPr>
        <xdr:cNvPr id="117" name="Elipse 118"/>
        <xdr:cNvSpPr/>
      </xdr:nvSpPr>
      <xdr:spPr>
        <a:xfrm>
          <a:off x="25785720" y="9317880"/>
          <a:ext cx="45360" cy="42480"/>
        </a:xfrm>
        <a:prstGeom prst="ellipse">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25</xdr:col>
      <xdr:colOff>357120</xdr:colOff>
      <xdr:row>57</xdr:row>
      <xdr:rowOff>89640</xdr:rowOff>
    </xdr:from>
    <xdr:to>
      <xdr:col>28</xdr:col>
      <xdr:colOff>589320</xdr:colOff>
      <xdr:row>57</xdr:row>
      <xdr:rowOff>136440</xdr:rowOff>
    </xdr:to>
    <xdr:grpSp>
      <xdr:nvGrpSpPr>
        <xdr:cNvPr id="118" name="Grupo 119"/>
        <xdr:cNvGrpSpPr/>
      </xdr:nvGrpSpPr>
      <xdr:grpSpPr>
        <a:xfrm>
          <a:off x="24018480" y="9664920"/>
          <a:ext cx="46800" cy="2746800"/>
          <a:chOff x="24018480" y="9664920"/>
          <a:chExt cx="46800" cy="2746800"/>
        </a:xfrm>
      </xdr:grpSpPr>
      <xdr:grpSp>
        <xdr:nvGrpSpPr>
          <xdr:cNvPr id="119" name="Grupo 120"/>
          <xdr:cNvGrpSpPr/>
        </xdr:nvGrpSpPr>
        <xdr:grpSpPr>
          <a:xfrm>
            <a:off x="24022440" y="9664920"/>
            <a:ext cx="42840" cy="2746800"/>
            <a:chOff x="24022440" y="9664920"/>
            <a:chExt cx="42840" cy="2746800"/>
          </a:xfrm>
        </xdr:grpSpPr>
        <xdr:sp>
          <xdr:nvSpPr>
            <xdr:cNvPr id="120" name="Line 16"/>
            <xdr:cNvSpPr/>
          </xdr:nvSpPr>
          <xdr:spPr>
            <a:xfrm>
              <a:off x="24042960" y="9664920"/>
              <a:ext cx="360" cy="2746800"/>
            </a:xfrm>
            <a:prstGeom prst="line">
              <a:avLst/>
            </a:prstGeom>
            <a:ln w="25400">
              <a:solidFill>
                <a:srgbClr val="ffc000"/>
              </a:solidFill>
              <a:round/>
            </a:ln>
          </xdr:spPr>
          <xdr:style>
            <a:lnRef idx="0"/>
            <a:fillRef idx="0"/>
            <a:effectRef idx="0"/>
            <a:fontRef idx="minor"/>
          </xdr:style>
        </xdr:sp>
        <xdr:sp>
          <xdr:nvSpPr>
            <xdr:cNvPr id="121" name="400 Rectángulo redondeado"/>
            <xdr:cNvSpPr/>
          </xdr:nvSpPr>
          <xdr:spPr>
            <a:xfrm>
              <a:off x="24022440" y="12297240"/>
              <a:ext cx="42840" cy="4824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sp>
        <xdr:nvSpPr>
          <xdr:cNvPr id="122" name="400 Rectángulo redondeado"/>
          <xdr:cNvSpPr/>
        </xdr:nvSpPr>
        <xdr:spPr>
          <a:xfrm>
            <a:off x="24018480" y="9704880"/>
            <a:ext cx="42840" cy="4824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25</xdr:col>
      <xdr:colOff>135720</xdr:colOff>
      <xdr:row>57</xdr:row>
      <xdr:rowOff>93600</xdr:rowOff>
    </xdr:from>
    <xdr:to>
      <xdr:col>28</xdr:col>
      <xdr:colOff>369360</xdr:colOff>
      <xdr:row>57</xdr:row>
      <xdr:rowOff>141120</xdr:rowOff>
    </xdr:to>
    <xdr:grpSp>
      <xdr:nvGrpSpPr>
        <xdr:cNvPr id="123" name="Grupo 124"/>
        <xdr:cNvGrpSpPr/>
      </xdr:nvGrpSpPr>
      <xdr:grpSpPr>
        <a:xfrm>
          <a:off x="23797440" y="9668520"/>
          <a:ext cx="47520" cy="2748240"/>
          <a:chOff x="23797440" y="9668520"/>
          <a:chExt cx="47520" cy="2748240"/>
        </a:xfrm>
      </xdr:grpSpPr>
      <xdr:grpSp>
        <xdr:nvGrpSpPr>
          <xdr:cNvPr id="124" name="Grupo 125"/>
          <xdr:cNvGrpSpPr/>
        </xdr:nvGrpSpPr>
        <xdr:grpSpPr>
          <a:xfrm>
            <a:off x="23802120" y="9668520"/>
            <a:ext cx="42840" cy="2748240"/>
            <a:chOff x="23802120" y="9668520"/>
            <a:chExt cx="42840" cy="2748240"/>
          </a:xfrm>
        </xdr:grpSpPr>
        <xdr:sp>
          <xdr:nvSpPr>
            <xdr:cNvPr id="125" name="Line 16"/>
            <xdr:cNvSpPr/>
          </xdr:nvSpPr>
          <xdr:spPr>
            <a:xfrm>
              <a:off x="23821560" y="9668520"/>
              <a:ext cx="360" cy="2748240"/>
            </a:xfrm>
            <a:prstGeom prst="line">
              <a:avLst/>
            </a:prstGeom>
            <a:ln w="25400">
              <a:solidFill>
                <a:srgbClr val="ffc000"/>
              </a:solidFill>
              <a:round/>
            </a:ln>
          </xdr:spPr>
          <xdr:style>
            <a:lnRef idx="0"/>
            <a:fillRef idx="0"/>
            <a:effectRef idx="0"/>
            <a:fontRef idx="minor"/>
          </xdr:style>
        </xdr:sp>
        <xdr:sp>
          <xdr:nvSpPr>
            <xdr:cNvPr id="126" name="400 Rectángulo redondeado"/>
            <xdr:cNvSpPr/>
          </xdr:nvSpPr>
          <xdr:spPr>
            <a:xfrm>
              <a:off x="23802120" y="12302640"/>
              <a:ext cx="42840" cy="4824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sp>
        <xdr:nvSpPr>
          <xdr:cNvPr id="127" name="400 Rectángulo redondeado"/>
          <xdr:cNvSpPr/>
        </xdr:nvSpPr>
        <xdr:spPr>
          <a:xfrm>
            <a:off x="23797440" y="9708480"/>
            <a:ext cx="42840" cy="4824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28</xdr:col>
      <xdr:colOff>451440</xdr:colOff>
      <xdr:row>51</xdr:row>
      <xdr:rowOff>141120</xdr:rowOff>
    </xdr:from>
    <xdr:to>
      <xdr:col>29</xdr:col>
      <xdr:colOff>91800</xdr:colOff>
      <xdr:row>52</xdr:row>
      <xdr:rowOff>81720</xdr:rowOff>
    </xdr:to>
    <xdr:sp>
      <xdr:nvSpPr>
        <xdr:cNvPr id="128" name="Text Box 154"/>
        <xdr:cNvSpPr/>
      </xdr:nvSpPr>
      <xdr:spPr>
        <a:xfrm>
          <a:off x="25277400" y="9923400"/>
          <a:ext cx="478440" cy="1310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500" spc="-1" strike="noStrike">
              <a:solidFill>
                <a:srgbClr val="000000"/>
              </a:solidFill>
              <a:latin typeface="Arial"/>
              <a:ea typeface="MS PGothic"/>
            </a:rPr>
            <a:t>LN-534</a:t>
          </a:r>
          <a:endParaRPr b="0" lang="en-GB" sz="500" spc="-1" strike="noStrike">
            <a:latin typeface="Times New Roman"/>
          </a:endParaRPr>
        </a:p>
      </xdr:txBody>
    </xdr:sp>
    <xdr:clientData/>
  </xdr:twoCellAnchor>
  <xdr:twoCellAnchor editAs="twoCell">
    <xdr:from>
      <xdr:col>27</xdr:col>
      <xdr:colOff>724680</xdr:colOff>
      <xdr:row>51</xdr:row>
      <xdr:rowOff>141120</xdr:rowOff>
    </xdr:from>
    <xdr:to>
      <xdr:col>28</xdr:col>
      <xdr:colOff>365040</xdr:colOff>
      <xdr:row>52</xdr:row>
      <xdr:rowOff>81720</xdr:rowOff>
    </xdr:to>
    <xdr:sp>
      <xdr:nvSpPr>
        <xdr:cNvPr id="129" name="Text Box 154"/>
        <xdr:cNvSpPr/>
      </xdr:nvSpPr>
      <xdr:spPr>
        <a:xfrm>
          <a:off x="24712560" y="9923400"/>
          <a:ext cx="478440" cy="1310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500" spc="-1" strike="noStrike">
              <a:solidFill>
                <a:srgbClr val="000000"/>
              </a:solidFill>
              <a:latin typeface="Arial"/>
              <a:ea typeface="MS PGothic"/>
            </a:rPr>
            <a:t>LN-535</a:t>
          </a:r>
          <a:endParaRPr b="0" lang="en-GB" sz="500" spc="-1" strike="noStrike">
            <a:latin typeface="Times New Roman"/>
          </a:endParaRPr>
        </a:p>
      </xdr:txBody>
    </xdr:sp>
    <xdr:clientData/>
  </xdr:twoCellAnchor>
  <xdr:twoCellAnchor editAs="twoCell">
    <xdr:from>
      <xdr:col>26</xdr:col>
      <xdr:colOff>1080</xdr:colOff>
      <xdr:row>64</xdr:row>
      <xdr:rowOff>109440</xdr:rowOff>
    </xdr:from>
    <xdr:to>
      <xdr:col>30</xdr:col>
      <xdr:colOff>130320</xdr:colOff>
      <xdr:row>64</xdr:row>
      <xdr:rowOff>109440</xdr:rowOff>
    </xdr:to>
    <xdr:sp>
      <xdr:nvSpPr>
        <xdr:cNvPr id="130" name="Line 139"/>
        <xdr:cNvSpPr/>
      </xdr:nvSpPr>
      <xdr:spPr>
        <a:xfrm>
          <a:off x="23150520" y="12415680"/>
          <a:ext cx="3482280" cy="0"/>
        </a:xfrm>
        <a:prstGeom prst="line">
          <a:avLst/>
        </a:prstGeom>
        <a:ln w="25400">
          <a:solidFill>
            <a:srgbClr val="ffc000"/>
          </a:solidFill>
          <a:round/>
        </a:ln>
      </xdr:spPr>
      <xdr:style>
        <a:lnRef idx="0"/>
        <a:fillRef idx="0"/>
        <a:effectRef idx="0"/>
        <a:fontRef idx="minor"/>
      </xdr:style>
    </xdr:sp>
    <xdr:clientData/>
  </xdr:twoCellAnchor>
  <xdr:twoCellAnchor editAs="twoCell">
    <xdr:from>
      <xdr:col>27</xdr:col>
      <xdr:colOff>18000</xdr:colOff>
      <xdr:row>55</xdr:row>
      <xdr:rowOff>115560</xdr:rowOff>
    </xdr:from>
    <xdr:to>
      <xdr:col>27</xdr:col>
      <xdr:colOff>420120</xdr:colOff>
      <xdr:row>56</xdr:row>
      <xdr:rowOff>56160</xdr:rowOff>
    </xdr:to>
    <xdr:sp>
      <xdr:nvSpPr>
        <xdr:cNvPr id="131" name="Text Box 154"/>
        <xdr:cNvSpPr/>
      </xdr:nvSpPr>
      <xdr:spPr>
        <a:xfrm>
          <a:off x="24005880" y="10659600"/>
          <a:ext cx="402120" cy="1314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500" spc="-1" strike="noStrike">
              <a:solidFill>
                <a:srgbClr val="000000"/>
              </a:solidFill>
              <a:latin typeface="Arial"/>
              <a:ea typeface="MS PGothic"/>
            </a:rPr>
            <a:t>LN-506</a:t>
          </a:r>
          <a:endParaRPr b="0" lang="en-GB" sz="500" spc="-1" strike="noStrike">
            <a:latin typeface="Times New Roman"/>
          </a:endParaRPr>
        </a:p>
      </xdr:txBody>
    </xdr:sp>
    <xdr:clientData/>
  </xdr:twoCellAnchor>
  <xdr:twoCellAnchor editAs="twoCell">
    <xdr:from>
      <xdr:col>26</xdr:col>
      <xdr:colOff>291240</xdr:colOff>
      <xdr:row>55</xdr:row>
      <xdr:rowOff>115560</xdr:rowOff>
    </xdr:from>
    <xdr:to>
      <xdr:col>26</xdr:col>
      <xdr:colOff>693360</xdr:colOff>
      <xdr:row>56</xdr:row>
      <xdr:rowOff>56160</xdr:rowOff>
    </xdr:to>
    <xdr:sp>
      <xdr:nvSpPr>
        <xdr:cNvPr id="132" name="Text Box 154"/>
        <xdr:cNvSpPr/>
      </xdr:nvSpPr>
      <xdr:spPr>
        <a:xfrm>
          <a:off x="23440680" y="10659600"/>
          <a:ext cx="402120" cy="1314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500" spc="-1" strike="noStrike">
              <a:solidFill>
                <a:srgbClr val="000000"/>
              </a:solidFill>
              <a:latin typeface="Arial"/>
              <a:ea typeface="MS PGothic"/>
            </a:rPr>
            <a:t>LN-505</a:t>
          </a:r>
          <a:endParaRPr b="0" lang="en-GB" sz="500" spc="-1" strike="noStrike">
            <a:latin typeface="Times New Roman"/>
          </a:endParaRPr>
        </a:p>
      </xdr:txBody>
    </xdr:sp>
    <xdr:clientData/>
  </xdr:twoCellAnchor>
  <xdr:twoCellAnchor editAs="twoCell">
    <xdr:from>
      <xdr:col>25</xdr:col>
      <xdr:colOff>732600</xdr:colOff>
      <xdr:row>67</xdr:row>
      <xdr:rowOff>178560</xdr:rowOff>
    </xdr:from>
    <xdr:to>
      <xdr:col>28</xdr:col>
      <xdr:colOff>713520</xdr:colOff>
      <xdr:row>67</xdr:row>
      <xdr:rowOff>178560</xdr:rowOff>
    </xdr:to>
    <xdr:sp>
      <xdr:nvSpPr>
        <xdr:cNvPr id="133" name="Line 139"/>
        <xdr:cNvSpPr/>
      </xdr:nvSpPr>
      <xdr:spPr>
        <a:xfrm flipH="1">
          <a:off x="23043960" y="13065840"/>
          <a:ext cx="2495520" cy="0"/>
        </a:xfrm>
        <a:prstGeom prst="line">
          <a:avLst/>
        </a:prstGeom>
        <a:ln w="25400">
          <a:solidFill>
            <a:srgbClr val="e7e6e6">
              <a:lumMod val="10000"/>
            </a:srgbClr>
          </a:solidFill>
          <a:round/>
        </a:ln>
      </xdr:spPr>
      <xdr:style>
        <a:lnRef idx="0"/>
        <a:fillRef idx="0"/>
        <a:effectRef idx="0"/>
        <a:fontRef idx="minor"/>
      </xdr:style>
    </xdr:sp>
    <xdr:clientData/>
  </xdr:twoCellAnchor>
  <xdr:twoCellAnchor editAs="twoCell">
    <xdr:from>
      <xdr:col>28</xdr:col>
      <xdr:colOff>706320</xdr:colOff>
      <xdr:row>65</xdr:row>
      <xdr:rowOff>102960</xdr:rowOff>
    </xdr:from>
    <xdr:to>
      <xdr:col>29</xdr:col>
      <xdr:colOff>418680</xdr:colOff>
      <xdr:row>66</xdr:row>
      <xdr:rowOff>152640</xdr:rowOff>
    </xdr:to>
    <xdr:sp>
      <xdr:nvSpPr>
        <xdr:cNvPr id="134" name="Text Box 154"/>
        <xdr:cNvSpPr/>
      </xdr:nvSpPr>
      <xdr:spPr>
        <a:xfrm>
          <a:off x="25532280" y="12609360"/>
          <a:ext cx="550440" cy="2401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T02-SIL 33 MVA</a:t>
          </a:r>
          <a:endParaRPr b="0" lang="en-GB" sz="600" spc="-1" strike="noStrike">
            <a:latin typeface="Times New Roman"/>
          </a:endParaRPr>
        </a:p>
      </xdr:txBody>
    </xdr:sp>
    <xdr:clientData/>
  </xdr:twoCellAnchor>
  <xdr:twoCellAnchor editAs="twoCell">
    <xdr:from>
      <xdr:col>25</xdr:col>
      <xdr:colOff>644400</xdr:colOff>
      <xdr:row>68</xdr:row>
      <xdr:rowOff>3960</xdr:rowOff>
    </xdr:from>
    <xdr:to>
      <xdr:col>26</xdr:col>
      <xdr:colOff>606600</xdr:colOff>
      <xdr:row>68</xdr:row>
      <xdr:rowOff>151920</xdr:rowOff>
    </xdr:to>
    <xdr:sp>
      <xdr:nvSpPr>
        <xdr:cNvPr id="135" name="Text Box 154"/>
        <xdr:cNvSpPr/>
      </xdr:nvSpPr>
      <xdr:spPr>
        <a:xfrm>
          <a:off x="22955760" y="13081680"/>
          <a:ext cx="800280" cy="14796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Silencio 13,8kV</a:t>
          </a:r>
          <a:endParaRPr b="0" lang="en-GB" sz="600" spc="-1" strike="noStrike">
            <a:latin typeface="Times New Roman"/>
          </a:endParaRPr>
        </a:p>
      </xdr:txBody>
    </xdr:sp>
    <xdr:clientData/>
  </xdr:twoCellAnchor>
  <xdr:twoCellAnchor editAs="twoCell">
    <xdr:from>
      <xdr:col>27</xdr:col>
      <xdr:colOff>73800</xdr:colOff>
      <xdr:row>67</xdr:row>
      <xdr:rowOff>185400</xdr:rowOff>
    </xdr:from>
    <xdr:to>
      <xdr:col>27</xdr:col>
      <xdr:colOff>73800</xdr:colOff>
      <xdr:row>69</xdr:row>
      <xdr:rowOff>59040</xdr:rowOff>
    </xdr:to>
    <xdr:sp>
      <xdr:nvSpPr>
        <xdr:cNvPr id="136" name="Line 16"/>
        <xdr:cNvSpPr/>
      </xdr:nvSpPr>
      <xdr:spPr>
        <a:xfrm flipV="1">
          <a:off x="24061680" y="13072680"/>
          <a:ext cx="0" cy="254520"/>
        </a:xfrm>
        <a:prstGeom prst="line">
          <a:avLst/>
        </a:prstGeom>
        <a:ln w="25400">
          <a:solidFill>
            <a:srgbClr val="000000"/>
          </a:solidFill>
          <a:round/>
          <a:headEnd len="med" type="triangle" w="med"/>
        </a:ln>
      </xdr:spPr>
      <xdr:style>
        <a:lnRef idx="0"/>
        <a:fillRef idx="0"/>
        <a:effectRef idx="0"/>
        <a:fontRef idx="minor"/>
      </xdr:style>
    </xdr:sp>
    <xdr:clientData/>
  </xdr:twoCellAnchor>
  <xdr:twoCellAnchor editAs="twoCell">
    <xdr:from>
      <xdr:col>27</xdr:col>
      <xdr:colOff>51840</xdr:colOff>
      <xdr:row>68</xdr:row>
      <xdr:rowOff>48960</xdr:rowOff>
    </xdr:from>
    <xdr:to>
      <xdr:col>27</xdr:col>
      <xdr:colOff>94680</xdr:colOff>
      <xdr:row>68</xdr:row>
      <xdr:rowOff>96840</xdr:rowOff>
    </xdr:to>
    <xdr:sp>
      <xdr:nvSpPr>
        <xdr:cNvPr id="137" name="400 Rectángulo redondeado"/>
        <xdr:cNvSpPr/>
      </xdr:nvSpPr>
      <xdr:spPr>
        <a:xfrm rot="10800000">
          <a:off x="24039720" y="13126680"/>
          <a:ext cx="42840" cy="478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28</xdr:col>
      <xdr:colOff>221400</xdr:colOff>
      <xdr:row>65</xdr:row>
      <xdr:rowOff>38520</xdr:rowOff>
    </xdr:from>
    <xdr:to>
      <xdr:col>29</xdr:col>
      <xdr:colOff>61200</xdr:colOff>
      <xdr:row>67</xdr:row>
      <xdr:rowOff>49320</xdr:rowOff>
    </xdr:to>
    <xdr:grpSp>
      <xdr:nvGrpSpPr>
        <xdr:cNvPr id="138" name="Grupo 139"/>
        <xdr:cNvGrpSpPr/>
      </xdr:nvGrpSpPr>
      <xdr:grpSpPr>
        <a:xfrm>
          <a:off x="25190280" y="12402000"/>
          <a:ext cx="391680" cy="677880"/>
          <a:chOff x="25190280" y="12402000"/>
          <a:chExt cx="391680" cy="677880"/>
        </a:xfrm>
      </xdr:grpSpPr>
      <xdr:sp>
        <xdr:nvSpPr>
          <xdr:cNvPr id="139" name="Line 16"/>
          <xdr:cNvSpPr/>
        </xdr:nvSpPr>
        <xdr:spPr>
          <a:xfrm flipV="1">
            <a:off x="25280640" y="12402000"/>
            <a:ext cx="360" cy="161280"/>
          </a:xfrm>
          <a:prstGeom prst="line">
            <a:avLst/>
          </a:prstGeom>
          <a:ln w="25400">
            <a:solidFill>
              <a:srgbClr val="ffc000"/>
            </a:solidFill>
            <a:round/>
          </a:ln>
        </xdr:spPr>
        <xdr:style>
          <a:lnRef idx="0"/>
          <a:fillRef idx="0"/>
          <a:effectRef idx="0"/>
          <a:fontRef idx="minor"/>
        </xdr:style>
      </xdr:sp>
      <xdr:sp>
        <xdr:nvSpPr>
          <xdr:cNvPr id="140" name="Oval 145"/>
          <xdr:cNvSpPr/>
        </xdr:nvSpPr>
        <xdr:spPr>
          <a:xfrm rot="10800000">
            <a:off x="25190280" y="12670560"/>
            <a:ext cx="168120" cy="214920"/>
          </a:xfrm>
          <a:prstGeom prst="ellipse">
            <a:avLst/>
          </a:prstGeom>
          <a:noFill/>
          <a:ln w="12700">
            <a:solidFill>
              <a:srgbClr val="e7e6e6">
                <a:lumMod val="10000"/>
              </a:srgbClr>
            </a:solidFill>
            <a:round/>
          </a:ln>
        </xdr:spPr>
        <xdr:style>
          <a:lnRef idx="0"/>
          <a:fillRef idx="0"/>
          <a:effectRef idx="0"/>
          <a:fontRef idx="minor"/>
        </xdr:style>
      </xdr:sp>
      <xdr:sp>
        <xdr:nvSpPr>
          <xdr:cNvPr id="141" name="Oval 146"/>
          <xdr:cNvSpPr/>
        </xdr:nvSpPr>
        <xdr:spPr>
          <a:xfrm rot="10800000">
            <a:off x="25192080" y="12564000"/>
            <a:ext cx="168120" cy="214920"/>
          </a:xfrm>
          <a:prstGeom prst="ellipse">
            <a:avLst/>
          </a:prstGeom>
          <a:noFill/>
          <a:ln w="12700">
            <a:solidFill>
              <a:srgbClr val="ffc000"/>
            </a:solidFill>
            <a:round/>
          </a:ln>
        </xdr:spPr>
        <xdr:style>
          <a:lnRef idx="0"/>
          <a:fillRef idx="0"/>
          <a:effectRef idx="0"/>
          <a:fontRef idx="minor"/>
        </xdr:style>
      </xdr:sp>
      <xdr:sp>
        <xdr:nvSpPr>
          <xdr:cNvPr id="142" name="Line 147"/>
          <xdr:cNvSpPr/>
        </xdr:nvSpPr>
        <xdr:spPr>
          <a:xfrm flipV="1">
            <a:off x="25283880" y="12883680"/>
            <a:ext cx="360" cy="196200"/>
          </a:xfrm>
          <a:prstGeom prst="line">
            <a:avLst/>
          </a:prstGeom>
          <a:ln w="25400">
            <a:solidFill>
              <a:srgbClr val="e7e6e6">
                <a:lumMod val="10000"/>
              </a:srgbClr>
            </a:solidFill>
            <a:round/>
          </a:ln>
        </xdr:spPr>
        <xdr:style>
          <a:lnRef idx="0"/>
          <a:fillRef idx="0"/>
          <a:effectRef idx="0"/>
          <a:fontRef idx="minor"/>
        </xdr:style>
      </xdr:sp>
      <xdr:sp>
        <xdr:nvSpPr>
          <xdr:cNvPr id="143" name="400 Rectángulo redondeado"/>
          <xdr:cNvSpPr/>
        </xdr:nvSpPr>
        <xdr:spPr>
          <a:xfrm rot="10800000">
            <a:off x="25260120" y="12472560"/>
            <a:ext cx="42840" cy="4788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44" name="422 Rectángulo redondeado"/>
          <xdr:cNvSpPr/>
        </xdr:nvSpPr>
        <xdr:spPr>
          <a:xfrm rot="10800000">
            <a:off x="25266240" y="12949560"/>
            <a:ext cx="42840" cy="478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145" name="Oval 145"/>
          <xdr:cNvSpPr/>
        </xdr:nvSpPr>
        <xdr:spPr>
          <a:xfrm rot="10800000">
            <a:off x="25270200" y="12611520"/>
            <a:ext cx="168120" cy="214920"/>
          </a:xfrm>
          <a:prstGeom prst="ellipse">
            <a:avLst/>
          </a:prstGeom>
          <a:noFill/>
          <a:ln w="12700">
            <a:solidFill>
              <a:srgbClr val="e7e6e6">
                <a:lumMod val="10000"/>
              </a:srgbClr>
            </a:solidFill>
            <a:round/>
          </a:ln>
        </xdr:spPr>
        <xdr:style>
          <a:lnRef idx="0"/>
          <a:fillRef idx="0"/>
          <a:effectRef idx="0"/>
          <a:fontRef idx="minor"/>
        </xdr:style>
      </xdr:sp>
      <xdr:sp>
        <xdr:nvSpPr>
          <xdr:cNvPr id="146" name="Line 147"/>
          <xdr:cNvSpPr/>
        </xdr:nvSpPr>
        <xdr:spPr>
          <a:xfrm>
            <a:off x="25438680" y="12718080"/>
            <a:ext cx="114480" cy="360"/>
          </a:xfrm>
          <a:prstGeom prst="line">
            <a:avLst/>
          </a:prstGeom>
          <a:ln w="25400">
            <a:solidFill>
              <a:srgbClr val="e7e6e6">
                <a:lumMod val="10000"/>
              </a:srgbClr>
            </a:solidFill>
            <a:round/>
          </a:ln>
        </xdr:spPr>
        <xdr:style>
          <a:lnRef idx="0"/>
          <a:fillRef idx="0"/>
          <a:effectRef idx="0"/>
          <a:fontRef idx="minor"/>
        </xdr:style>
      </xdr:sp>
      <xdr:sp>
        <xdr:nvSpPr>
          <xdr:cNvPr id="147" name="Elipse 148"/>
          <xdr:cNvSpPr/>
        </xdr:nvSpPr>
        <xdr:spPr>
          <a:xfrm rot="10800000">
            <a:off x="25536600" y="12696120"/>
            <a:ext cx="45360" cy="42480"/>
          </a:xfrm>
          <a:prstGeom prst="ellipse">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27</xdr:col>
      <xdr:colOff>144720</xdr:colOff>
      <xdr:row>65</xdr:row>
      <xdr:rowOff>32760</xdr:rowOff>
    </xdr:from>
    <xdr:to>
      <xdr:col>27</xdr:col>
      <xdr:colOff>787680</xdr:colOff>
      <xdr:row>67</xdr:row>
      <xdr:rowOff>43920</xdr:rowOff>
    </xdr:to>
    <xdr:grpSp>
      <xdr:nvGrpSpPr>
        <xdr:cNvPr id="148" name="Grupo 149"/>
        <xdr:cNvGrpSpPr/>
      </xdr:nvGrpSpPr>
      <xdr:grpSpPr>
        <a:xfrm>
          <a:off x="24258240" y="12413520"/>
          <a:ext cx="392040" cy="642960"/>
          <a:chOff x="24258240" y="12413520"/>
          <a:chExt cx="392040" cy="642960"/>
        </a:xfrm>
      </xdr:grpSpPr>
      <xdr:sp>
        <xdr:nvSpPr>
          <xdr:cNvPr id="149" name="Line 16"/>
          <xdr:cNvSpPr/>
        </xdr:nvSpPr>
        <xdr:spPr>
          <a:xfrm flipV="1">
            <a:off x="24348600" y="12413520"/>
            <a:ext cx="360" cy="161280"/>
          </a:xfrm>
          <a:prstGeom prst="line">
            <a:avLst/>
          </a:prstGeom>
          <a:ln w="25400">
            <a:solidFill>
              <a:srgbClr val="ffc000"/>
            </a:solidFill>
            <a:round/>
          </a:ln>
        </xdr:spPr>
        <xdr:style>
          <a:lnRef idx="0"/>
          <a:fillRef idx="0"/>
          <a:effectRef idx="0"/>
          <a:fontRef idx="minor"/>
        </xdr:style>
      </xdr:sp>
      <xdr:sp>
        <xdr:nvSpPr>
          <xdr:cNvPr id="150" name="Oval 145"/>
          <xdr:cNvSpPr/>
        </xdr:nvSpPr>
        <xdr:spPr>
          <a:xfrm rot="10800000">
            <a:off x="24258240" y="12682080"/>
            <a:ext cx="168120" cy="214920"/>
          </a:xfrm>
          <a:prstGeom prst="ellipse">
            <a:avLst/>
          </a:prstGeom>
          <a:noFill/>
          <a:ln w="12700">
            <a:solidFill>
              <a:srgbClr val="e7e6e6">
                <a:lumMod val="10000"/>
              </a:srgbClr>
            </a:solidFill>
            <a:round/>
          </a:ln>
        </xdr:spPr>
        <xdr:style>
          <a:lnRef idx="0"/>
          <a:fillRef idx="0"/>
          <a:effectRef idx="0"/>
          <a:fontRef idx="minor"/>
        </xdr:style>
      </xdr:sp>
      <xdr:sp>
        <xdr:nvSpPr>
          <xdr:cNvPr id="151" name="Oval 146"/>
          <xdr:cNvSpPr/>
        </xdr:nvSpPr>
        <xdr:spPr>
          <a:xfrm rot="10800000">
            <a:off x="24260040" y="12575520"/>
            <a:ext cx="168120" cy="214920"/>
          </a:xfrm>
          <a:prstGeom prst="ellipse">
            <a:avLst/>
          </a:prstGeom>
          <a:noFill/>
          <a:ln w="12700">
            <a:solidFill>
              <a:srgbClr val="ffc000"/>
            </a:solidFill>
            <a:round/>
          </a:ln>
        </xdr:spPr>
        <xdr:style>
          <a:lnRef idx="0"/>
          <a:fillRef idx="0"/>
          <a:effectRef idx="0"/>
          <a:fontRef idx="minor"/>
        </xdr:style>
      </xdr:sp>
      <xdr:sp>
        <xdr:nvSpPr>
          <xdr:cNvPr id="152" name="Line 147"/>
          <xdr:cNvSpPr/>
        </xdr:nvSpPr>
        <xdr:spPr>
          <a:xfrm flipV="1">
            <a:off x="24351840" y="12895200"/>
            <a:ext cx="360" cy="161280"/>
          </a:xfrm>
          <a:prstGeom prst="line">
            <a:avLst/>
          </a:prstGeom>
          <a:ln w="25400">
            <a:solidFill>
              <a:srgbClr val="e7e6e6">
                <a:lumMod val="10000"/>
              </a:srgbClr>
            </a:solidFill>
            <a:round/>
          </a:ln>
        </xdr:spPr>
        <xdr:style>
          <a:lnRef idx="0"/>
          <a:fillRef idx="0"/>
          <a:effectRef idx="0"/>
          <a:fontRef idx="minor"/>
        </xdr:style>
      </xdr:sp>
      <xdr:sp>
        <xdr:nvSpPr>
          <xdr:cNvPr id="153" name="400 Rectángulo redondeado"/>
          <xdr:cNvSpPr/>
        </xdr:nvSpPr>
        <xdr:spPr>
          <a:xfrm rot="10800000">
            <a:off x="24328440" y="12484080"/>
            <a:ext cx="42840" cy="4788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54" name="422 Rectángulo redondeado"/>
          <xdr:cNvSpPr/>
        </xdr:nvSpPr>
        <xdr:spPr>
          <a:xfrm rot="10800000">
            <a:off x="24334200" y="12960720"/>
            <a:ext cx="42840" cy="478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155" name="Oval 145"/>
          <xdr:cNvSpPr/>
        </xdr:nvSpPr>
        <xdr:spPr>
          <a:xfrm rot="10800000">
            <a:off x="24338520" y="12623040"/>
            <a:ext cx="168120" cy="214920"/>
          </a:xfrm>
          <a:prstGeom prst="ellipse">
            <a:avLst/>
          </a:prstGeom>
          <a:noFill/>
          <a:ln w="12700">
            <a:solidFill>
              <a:srgbClr val="e7e6e6">
                <a:lumMod val="10000"/>
              </a:srgbClr>
            </a:solidFill>
            <a:round/>
          </a:ln>
        </xdr:spPr>
        <xdr:style>
          <a:lnRef idx="0"/>
          <a:fillRef idx="0"/>
          <a:effectRef idx="0"/>
          <a:fontRef idx="minor"/>
        </xdr:style>
      </xdr:sp>
      <xdr:sp>
        <xdr:nvSpPr>
          <xdr:cNvPr id="156" name="Line 147"/>
          <xdr:cNvSpPr/>
        </xdr:nvSpPr>
        <xdr:spPr>
          <a:xfrm>
            <a:off x="24506640" y="12729600"/>
            <a:ext cx="114840" cy="360"/>
          </a:xfrm>
          <a:prstGeom prst="line">
            <a:avLst/>
          </a:prstGeom>
          <a:ln w="25400">
            <a:solidFill>
              <a:srgbClr val="e7e6e6">
                <a:lumMod val="10000"/>
              </a:srgbClr>
            </a:solidFill>
            <a:round/>
          </a:ln>
        </xdr:spPr>
        <xdr:style>
          <a:lnRef idx="0"/>
          <a:fillRef idx="0"/>
          <a:effectRef idx="0"/>
          <a:fontRef idx="minor"/>
        </xdr:style>
      </xdr:sp>
      <xdr:sp>
        <xdr:nvSpPr>
          <xdr:cNvPr id="157" name="Elipse 158"/>
          <xdr:cNvSpPr/>
        </xdr:nvSpPr>
        <xdr:spPr>
          <a:xfrm rot="10800000">
            <a:off x="24604920" y="12707640"/>
            <a:ext cx="45360" cy="42480"/>
          </a:xfrm>
          <a:prstGeom prst="ellipse">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26</xdr:col>
      <xdr:colOff>236520</xdr:colOff>
      <xdr:row>65</xdr:row>
      <xdr:rowOff>143640</xdr:rowOff>
    </xdr:from>
    <xdr:to>
      <xdr:col>27</xdr:col>
      <xdr:colOff>41400</xdr:colOff>
      <xdr:row>66</xdr:row>
      <xdr:rowOff>123120</xdr:rowOff>
    </xdr:to>
    <xdr:grpSp>
      <xdr:nvGrpSpPr>
        <xdr:cNvPr id="158" name="Grupo 159"/>
        <xdr:cNvGrpSpPr/>
      </xdr:nvGrpSpPr>
      <xdr:grpSpPr>
        <a:xfrm>
          <a:off x="23622480" y="12413520"/>
          <a:ext cx="169920" cy="643320"/>
          <a:chOff x="23622480" y="12413520"/>
          <a:chExt cx="169920" cy="643320"/>
        </a:xfrm>
      </xdr:grpSpPr>
      <xdr:sp>
        <xdr:nvSpPr>
          <xdr:cNvPr id="159" name="Line 16"/>
          <xdr:cNvSpPr/>
        </xdr:nvSpPr>
        <xdr:spPr>
          <a:xfrm flipV="1">
            <a:off x="23712840" y="12413520"/>
            <a:ext cx="360" cy="161280"/>
          </a:xfrm>
          <a:prstGeom prst="line">
            <a:avLst/>
          </a:prstGeom>
          <a:ln w="25400">
            <a:solidFill>
              <a:srgbClr val="ffc000"/>
            </a:solidFill>
            <a:round/>
          </a:ln>
        </xdr:spPr>
        <xdr:style>
          <a:lnRef idx="0"/>
          <a:fillRef idx="0"/>
          <a:effectRef idx="0"/>
          <a:fontRef idx="minor"/>
        </xdr:style>
      </xdr:sp>
      <xdr:sp>
        <xdr:nvSpPr>
          <xdr:cNvPr id="160" name="Oval 145"/>
          <xdr:cNvSpPr/>
        </xdr:nvSpPr>
        <xdr:spPr>
          <a:xfrm rot="10800000">
            <a:off x="23622480" y="12682080"/>
            <a:ext cx="168120" cy="214920"/>
          </a:xfrm>
          <a:prstGeom prst="ellipse">
            <a:avLst/>
          </a:prstGeom>
          <a:noFill/>
          <a:ln w="12700">
            <a:solidFill>
              <a:srgbClr val="e7e6e6">
                <a:lumMod val="10000"/>
              </a:srgbClr>
            </a:solidFill>
            <a:round/>
          </a:ln>
        </xdr:spPr>
        <xdr:style>
          <a:lnRef idx="0"/>
          <a:fillRef idx="0"/>
          <a:effectRef idx="0"/>
          <a:fontRef idx="minor"/>
        </xdr:style>
      </xdr:sp>
      <xdr:sp>
        <xdr:nvSpPr>
          <xdr:cNvPr id="161" name="Oval 146"/>
          <xdr:cNvSpPr/>
        </xdr:nvSpPr>
        <xdr:spPr>
          <a:xfrm rot="10800000">
            <a:off x="23624280" y="12575520"/>
            <a:ext cx="168120" cy="214920"/>
          </a:xfrm>
          <a:prstGeom prst="ellipse">
            <a:avLst/>
          </a:prstGeom>
          <a:noFill/>
          <a:ln w="12700">
            <a:solidFill>
              <a:srgbClr val="ffc000"/>
            </a:solidFill>
            <a:round/>
          </a:ln>
        </xdr:spPr>
        <xdr:style>
          <a:lnRef idx="0"/>
          <a:fillRef idx="0"/>
          <a:effectRef idx="0"/>
          <a:fontRef idx="minor"/>
        </xdr:style>
      </xdr:sp>
      <xdr:sp>
        <xdr:nvSpPr>
          <xdr:cNvPr id="162" name="Line 147"/>
          <xdr:cNvSpPr/>
        </xdr:nvSpPr>
        <xdr:spPr>
          <a:xfrm flipV="1">
            <a:off x="23716080" y="12895560"/>
            <a:ext cx="360" cy="161280"/>
          </a:xfrm>
          <a:prstGeom prst="line">
            <a:avLst/>
          </a:prstGeom>
          <a:ln w="25400">
            <a:solidFill>
              <a:srgbClr val="e7e6e6">
                <a:lumMod val="10000"/>
              </a:srgbClr>
            </a:solidFill>
            <a:round/>
          </a:ln>
        </xdr:spPr>
        <xdr:style>
          <a:lnRef idx="0"/>
          <a:fillRef idx="0"/>
          <a:effectRef idx="0"/>
          <a:fontRef idx="minor"/>
        </xdr:style>
      </xdr:sp>
      <xdr:sp>
        <xdr:nvSpPr>
          <xdr:cNvPr id="163" name="400 Rectángulo redondeado"/>
          <xdr:cNvSpPr/>
        </xdr:nvSpPr>
        <xdr:spPr>
          <a:xfrm rot="10800000">
            <a:off x="23692680" y="12484080"/>
            <a:ext cx="42840" cy="4788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64" name="422 Rectángulo redondeado"/>
          <xdr:cNvSpPr/>
        </xdr:nvSpPr>
        <xdr:spPr>
          <a:xfrm rot="10800000">
            <a:off x="23698440" y="12961080"/>
            <a:ext cx="42840" cy="478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28</xdr:col>
      <xdr:colOff>232200</xdr:colOff>
      <xdr:row>62</xdr:row>
      <xdr:rowOff>79560</xdr:rowOff>
    </xdr:from>
    <xdr:to>
      <xdr:col>29</xdr:col>
      <xdr:colOff>39600</xdr:colOff>
      <xdr:row>63</xdr:row>
      <xdr:rowOff>58680</xdr:rowOff>
    </xdr:to>
    <xdr:grpSp>
      <xdr:nvGrpSpPr>
        <xdr:cNvPr id="165" name="Grupo 166"/>
        <xdr:cNvGrpSpPr/>
      </xdr:nvGrpSpPr>
      <xdr:grpSpPr>
        <a:xfrm>
          <a:off x="25295760" y="11757600"/>
          <a:ext cx="169920" cy="645480"/>
          <a:chOff x="25295760" y="11757600"/>
          <a:chExt cx="169920" cy="645480"/>
        </a:xfrm>
      </xdr:grpSpPr>
      <xdr:sp>
        <xdr:nvSpPr>
          <xdr:cNvPr id="166" name="Line 16"/>
          <xdr:cNvSpPr/>
        </xdr:nvSpPr>
        <xdr:spPr>
          <a:xfrm flipV="1">
            <a:off x="25386480" y="11757600"/>
            <a:ext cx="360" cy="162000"/>
          </a:xfrm>
          <a:prstGeom prst="line">
            <a:avLst/>
          </a:prstGeom>
          <a:ln w="25400">
            <a:solidFill>
              <a:srgbClr val="ff0000"/>
            </a:solidFill>
            <a:round/>
          </a:ln>
        </xdr:spPr>
        <xdr:style>
          <a:lnRef idx="0"/>
          <a:fillRef idx="0"/>
          <a:effectRef idx="0"/>
          <a:fontRef idx="minor"/>
        </xdr:style>
      </xdr:sp>
      <xdr:sp>
        <xdr:nvSpPr>
          <xdr:cNvPr id="167" name="Oval 145"/>
          <xdr:cNvSpPr/>
        </xdr:nvSpPr>
        <xdr:spPr>
          <a:xfrm rot="10800000">
            <a:off x="25295760" y="12027240"/>
            <a:ext cx="168120" cy="215640"/>
          </a:xfrm>
          <a:prstGeom prst="ellipse">
            <a:avLst/>
          </a:prstGeom>
          <a:noFill/>
          <a:ln w="12700">
            <a:solidFill>
              <a:srgbClr val="ffc000"/>
            </a:solidFill>
            <a:round/>
          </a:ln>
        </xdr:spPr>
        <xdr:style>
          <a:lnRef idx="0"/>
          <a:fillRef idx="0"/>
          <a:effectRef idx="0"/>
          <a:fontRef idx="minor"/>
        </xdr:style>
      </xdr:sp>
      <xdr:sp>
        <xdr:nvSpPr>
          <xdr:cNvPr id="168" name="Oval 146"/>
          <xdr:cNvSpPr/>
        </xdr:nvSpPr>
        <xdr:spPr>
          <a:xfrm rot="10800000">
            <a:off x="25297560" y="11920320"/>
            <a:ext cx="168120" cy="215640"/>
          </a:xfrm>
          <a:prstGeom prst="ellipse">
            <a:avLst/>
          </a:prstGeom>
          <a:noFill/>
          <a:ln w="12700">
            <a:solidFill>
              <a:srgbClr val="ff0000"/>
            </a:solidFill>
            <a:round/>
          </a:ln>
        </xdr:spPr>
        <xdr:style>
          <a:lnRef idx="0"/>
          <a:fillRef idx="0"/>
          <a:effectRef idx="0"/>
          <a:fontRef idx="minor"/>
        </xdr:style>
      </xdr:sp>
      <xdr:sp>
        <xdr:nvSpPr>
          <xdr:cNvPr id="169" name="Line 147"/>
          <xdr:cNvSpPr/>
        </xdr:nvSpPr>
        <xdr:spPr>
          <a:xfrm flipV="1">
            <a:off x="25389360" y="12241080"/>
            <a:ext cx="360" cy="162000"/>
          </a:xfrm>
          <a:prstGeom prst="line">
            <a:avLst/>
          </a:prstGeom>
          <a:ln w="25400">
            <a:solidFill>
              <a:srgbClr val="ffc000"/>
            </a:solidFill>
            <a:round/>
          </a:ln>
        </xdr:spPr>
        <xdr:style>
          <a:lnRef idx="0"/>
          <a:fillRef idx="0"/>
          <a:effectRef idx="0"/>
          <a:fontRef idx="minor"/>
        </xdr:style>
      </xdr:sp>
      <xdr:sp>
        <xdr:nvSpPr>
          <xdr:cNvPr id="170" name="400 Rectángulo redondeado"/>
          <xdr:cNvSpPr/>
        </xdr:nvSpPr>
        <xdr:spPr>
          <a:xfrm rot="10800000">
            <a:off x="25365960" y="11828880"/>
            <a:ext cx="42840" cy="4788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171" name="422 Rectángulo redondeado"/>
          <xdr:cNvSpPr/>
        </xdr:nvSpPr>
        <xdr:spPr>
          <a:xfrm rot="10800000">
            <a:off x="25372080" y="12306960"/>
            <a:ext cx="42840" cy="4788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29</xdr:col>
      <xdr:colOff>129600</xdr:colOff>
      <xdr:row>62</xdr:row>
      <xdr:rowOff>90360</xdr:rowOff>
    </xdr:from>
    <xdr:to>
      <xdr:col>29</xdr:col>
      <xdr:colOff>774720</xdr:colOff>
      <xdr:row>63</xdr:row>
      <xdr:rowOff>69480</xdr:rowOff>
    </xdr:to>
    <xdr:grpSp>
      <xdr:nvGrpSpPr>
        <xdr:cNvPr id="172" name="Grupo 173"/>
        <xdr:cNvGrpSpPr/>
      </xdr:nvGrpSpPr>
      <xdr:grpSpPr>
        <a:xfrm>
          <a:off x="26031240" y="11768400"/>
          <a:ext cx="169920" cy="645120"/>
          <a:chOff x="26031240" y="11768400"/>
          <a:chExt cx="169920" cy="645120"/>
        </a:xfrm>
      </xdr:grpSpPr>
      <xdr:sp>
        <xdr:nvSpPr>
          <xdr:cNvPr id="173" name="Line 16"/>
          <xdr:cNvSpPr/>
        </xdr:nvSpPr>
        <xdr:spPr>
          <a:xfrm flipV="1">
            <a:off x="26121600" y="11768400"/>
            <a:ext cx="360" cy="162000"/>
          </a:xfrm>
          <a:prstGeom prst="line">
            <a:avLst/>
          </a:prstGeom>
          <a:ln w="25400">
            <a:solidFill>
              <a:srgbClr val="ff0000"/>
            </a:solidFill>
            <a:round/>
          </a:ln>
        </xdr:spPr>
        <xdr:style>
          <a:lnRef idx="0"/>
          <a:fillRef idx="0"/>
          <a:effectRef idx="0"/>
          <a:fontRef idx="minor"/>
        </xdr:style>
      </xdr:sp>
      <xdr:sp>
        <xdr:nvSpPr>
          <xdr:cNvPr id="174" name="Oval 145"/>
          <xdr:cNvSpPr/>
        </xdr:nvSpPr>
        <xdr:spPr>
          <a:xfrm rot="10800000">
            <a:off x="26031240" y="12037680"/>
            <a:ext cx="168120" cy="215640"/>
          </a:xfrm>
          <a:prstGeom prst="ellipse">
            <a:avLst/>
          </a:prstGeom>
          <a:noFill/>
          <a:ln w="12700">
            <a:solidFill>
              <a:srgbClr val="ffc000"/>
            </a:solidFill>
            <a:round/>
          </a:ln>
        </xdr:spPr>
        <xdr:style>
          <a:lnRef idx="0"/>
          <a:fillRef idx="0"/>
          <a:effectRef idx="0"/>
          <a:fontRef idx="minor"/>
        </xdr:style>
      </xdr:sp>
      <xdr:sp>
        <xdr:nvSpPr>
          <xdr:cNvPr id="175" name="Oval 146"/>
          <xdr:cNvSpPr/>
        </xdr:nvSpPr>
        <xdr:spPr>
          <a:xfrm rot="10800000">
            <a:off x="26033040" y="11930760"/>
            <a:ext cx="168120" cy="215640"/>
          </a:xfrm>
          <a:prstGeom prst="ellipse">
            <a:avLst/>
          </a:prstGeom>
          <a:noFill/>
          <a:ln w="12700">
            <a:solidFill>
              <a:srgbClr val="ff0000"/>
            </a:solidFill>
            <a:round/>
          </a:ln>
        </xdr:spPr>
        <xdr:style>
          <a:lnRef idx="0"/>
          <a:fillRef idx="0"/>
          <a:effectRef idx="0"/>
          <a:fontRef idx="minor"/>
        </xdr:style>
      </xdr:sp>
      <xdr:sp>
        <xdr:nvSpPr>
          <xdr:cNvPr id="176" name="Line 147"/>
          <xdr:cNvSpPr/>
        </xdr:nvSpPr>
        <xdr:spPr>
          <a:xfrm flipV="1">
            <a:off x="26124840" y="12251880"/>
            <a:ext cx="360" cy="161640"/>
          </a:xfrm>
          <a:prstGeom prst="line">
            <a:avLst/>
          </a:prstGeom>
          <a:ln w="25400">
            <a:solidFill>
              <a:srgbClr val="ffc000"/>
            </a:solidFill>
            <a:round/>
          </a:ln>
        </xdr:spPr>
        <xdr:style>
          <a:lnRef idx="0"/>
          <a:fillRef idx="0"/>
          <a:effectRef idx="0"/>
          <a:fontRef idx="minor"/>
        </xdr:style>
      </xdr:sp>
      <xdr:sp>
        <xdr:nvSpPr>
          <xdr:cNvPr id="177" name="400 Rectángulo redondeado"/>
          <xdr:cNvSpPr/>
        </xdr:nvSpPr>
        <xdr:spPr>
          <a:xfrm rot="10800000">
            <a:off x="26101080" y="11824200"/>
            <a:ext cx="42840" cy="4788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178" name="422 Rectángulo redondeado"/>
          <xdr:cNvSpPr/>
        </xdr:nvSpPr>
        <xdr:spPr>
          <a:xfrm rot="10800000">
            <a:off x="26103960" y="12317760"/>
            <a:ext cx="42840" cy="4788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28</xdr:col>
      <xdr:colOff>268920</xdr:colOff>
      <xdr:row>61</xdr:row>
      <xdr:rowOff>32040</xdr:rowOff>
    </xdr:from>
    <xdr:to>
      <xdr:col>30</xdr:col>
      <xdr:colOff>62280</xdr:colOff>
      <xdr:row>61</xdr:row>
      <xdr:rowOff>32040</xdr:rowOff>
    </xdr:to>
    <xdr:sp>
      <xdr:nvSpPr>
        <xdr:cNvPr id="179" name="Line 139"/>
        <xdr:cNvSpPr/>
      </xdr:nvSpPr>
      <xdr:spPr>
        <a:xfrm>
          <a:off x="25094880" y="11757240"/>
          <a:ext cx="1469880" cy="0"/>
        </a:xfrm>
        <a:prstGeom prst="line">
          <a:avLst/>
        </a:prstGeom>
        <a:ln w="25400">
          <a:solidFill>
            <a:srgbClr val="ff0000"/>
          </a:solidFill>
          <a:round/>
        </a:ln>
      </xdr:spPr>
      <xdr:style>
        <a:lnRef idx="0"/>
        <a:fillRef idx="0"/>
        <a:effectRef idx="0"/>
        <a:fontRef idx="minor"/>
      </xdr:style>
    </xdr:sp>
    <xdr:clientData/>
  </xdr:twoCellAnchor>
  <xdr:twoCellAnchor editAs="twoCell">
    <xdr:from>
      <xdr:col>30</xdr:col>
      <xdr:colOff>19440</xdr:colOff>
      <xdr:row>60</xdr:row>
      <xdr:rowOff>154080</xdr:rowOff>
    </xdr:from>
    <xdr:to>
      <xdr:col>30</xdr:col>
      <xdr:colOff>743040</xdr:colOff>
      <xdr:row>61</xdr:row>
      <xdr:rowOff>121680</xdr:rowOff>
    </xdr:to>
    <xdr:sp>
      <xdr:nvSpPr>
        <xdr:cNvPr id="180" name="Text Box 154"/>
        <xdr:cNvSpPr/>
      </xdr:nvSpPr>
      <xdr:spPr>
        <a:xfrm>
          <a:off x="26521920" y="11679480"/>
          <a:ext cx="723600" cy="1674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Silencio 110 kV</a:t>
          </a:r>
          <a:endParaRPr b="0" lang="en-GB" sz="600" spc="-1" strike="noStrike">
            <a:latin typeface="Times New Roman"/>
          </a:endParaRPr>
        </a:p>
      </xdr:txBody>
    </xdr:sp>
    <xdr:clientData/>
  </xdr:twoCellAnchor>
  <xdr:twoCellAnchor editAs="twoCell">
    <xdr:from>
      <xdr:col>30</xdr:col>
      <xdr:colOff>83520</xdr:colOff>
      <xdr:row>64</xdr:row>
      <xdr:rowOff>16920</xdr:rowOff>
    </xdr:from>
    <xdr:to>
      <xdr:col>31</xdr:col>
      <xdr:colOff>79920</xdr:colOff>
      <xdr:row>64</xdr:row>
      <xdr:rowOff>184320</xdr:rowOff>
    </xdr:to>
    <xdr:sp>
      <xdr:nvSpPr>
        <xdr:cNvPr id="181" name="Text Box 154"/>
        <xdr:cNvSpPr/>
      </xdr:nvSpPr>
      <xdr:spPr>
        <a:xfrm>
          <a:off x="26586000" y="12323160"/>
          <a:ext cx="834480" cy="16740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Silencio 34,5 kV</a:t>
          </a:r>
          <a:endParaRPr b="0" lang="en-GB" sz="600" spc="-1" strike="noStrike">
            <a:latin typeface="Times New Roman"/>
          </a:endParaRPr>
        </a:p>
      </xdr:txBody>
    </xdr:sp>
    <xdr:clientData/>
  </xdr:twoCellAnchor>
  <xdr:twoCellAnchor editAs="twoCell">
    <xdr:from>
      <xdr:col>27</xdr:col>
      <xdr:colOff>534600</xdr:colOff>
      <xdr:row>65</xdr:row>
      <xdr:rowOff>129240</xdr:rowOff>
    </xdr:from>
    <xdr:to>
      <xdr:col>28</xdr:col>
      <xdr:colOff>423720</xdr:colOff>
      <xdr:row>66</xdr:row>
      <xdr:rowOff>178920</xdr:rowOff>
    </xdr:to>
    <xdr:sp>
      <xdr:nvSpPr>
        <xdr:cNvPr id="182" name="Text Box 154"/>
        <xdr:cNvSpPr/>
      </xdr:nvSpPr>
      <xdr:spPr>
        <a:xfrm>
          <a:off x="24522480" y="12635640"/>
          <a:ext cx="727200" cy="2401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T03-SIL 39,15 MVA</a:t>
          </a:r>
          <a:endParaRPr b="0" lang="en-GB" sz="600" spc="-1" strike="noStrike">
            <a:latin typeface="Times New Roman"/>
          </a:endParaRPr>
        </a:p>
      </xdr:txBody>
    </xdr:sp>
    <xdr:clientData/>
  </xdr:twoCellAnchor>
  <xdr:twoCellAnchor editAs="twoCell">
    <xdr:from>
      <xdr:col>25</xdr:col>
      <xdr:colOff>637200</xdr:colOff>
      <xdr:row>65</xdr:row>
      <xdr:rowOff>104400</xdr:rowOff>
    </xdr:from>
    <xdr:to>
      <xdr:col>26</xdr:col>
      <xdr:colOff>526320</xdr:colOff>
      <xdr:row>66</xdr:row>
      <xdr:rowOff>154080</xdr:rowOff>
    </xdr:to>
    <xdr:sp>
      <xdr:nvSpPr>
        <xdr:cNvPr id="183" name="Text Box 154"/>
        <xdr:cNvSpPr/>
      </xdr:nvSpPr>
      <xdr:spPr>
        <a:xfrm>
          <a:off x="22948560" y="12610800"/>
          <a:ext cx="727200" cy="2401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T01-SIL </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33 MVA</a:t>
          </a:r>
          <a:endParaRPr b="0" lang="en-GB" sz="600" spc="-1" strike="noStrike">
            <a:latin typeface="Times New Roman"/>
          </a:endParaRPr>
        </a:p>
      </xdr:txBody>
    </xdr:sp>
    <xdr:clientData/>
  </xdr:twoCellAnchor>
  <xdr:twoCellAnchor editAs="twoCell">
    <xdr:from>
      <xdr:col>27</xdr:col>
      <xdr:colOff>717120</xdr:colOff>
      <xdr:row>62</xdr:row>
      <xdr:rowOff>42840</xdr:rowOff>
    </xdr:from>
    <xdr:to>
      <xdr:col>28</xdr:col>
      <xdr:colOff>510120</xdr:colOff>
      <xdr:row>63</xdr:row>
      <xdr:rowOff>97200</xdr:rowOff>
    </xdr:to>
    <xdr:sp>
      <xdr:nvSpPr>
        <xdr:cNvPr id="184" name="Text Box 154"/>
        <xdr:cNvSpPr/>
      </xdr:nvSpPr>
      <xdr:spPr>
        <a:xfrm>
          <a:off x="24705000" y="11958480"/>
          <a:ext cx="631080" cy="24516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T-SIL04 70 MVA</a:t>
          </a:r>
          <a:endParaRPr b="0" lang="en-GB" sz="600" spc="-1" strike="noStrike">
            <a:latin typeface="Times New Roman"/>
          </a:endParaRPr>
        </a:p>
      </xdr:txBody>
    </xdr:sp>
    <xdr:clientData/>
  </xdr:twoCellAnchor>
  <xdr:twoCellAnchor editAs="twoCell">
    <xdr:from>
      <xdr:col>29</xdr:col>
      <xdr:colOff>522720</xdr:colOff>
      <xdr:row>62</xdr:row>
      <xdr:rowOff>38880</xdr:rowOff>
    </xdr:from>
    <xdr:to>
      <xdr:col>30</xdr:col>
      <xdr:colOff>287280</xdr:colOff>
      <xdr:row>63</xdr:row>
      <xdr:rowOff>93240</xdr:rowOff>
    </xdr:to>
    <xdr:sp>
      <xdr:nvSpPr>
        <xdr:cNvPr id="185" name="Text Box 154"/>
        <xdr:cNvSpPr/>
      </xdr:nvSpPr>
      <xdr:spPr>
        <a:xfrm>
          <a:off x="26186760" y="11954520"/>
          <a:ext cx="603000" cy="24516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T-SIL05 70 MVA</a:t>
          </a:r>
          <a:endParaRPr b="0" lang="en-GB" sz="600" spc="-1" strike="noStrike">
            <a:latin typeface="Times New Roman"/>
          </a:endParaRPr>
        </a:p>
      </xdr:txBody>
    </xdr:sp>
    <xdr:clientData/>
  </xdr:twoCellAnchor>
  <xdr:twoCellAnchor editAs="twoCell">
    <xdr:from>
      <xdr:col>31</xdr:col>
      <xdr:colOff>674640</xdr:colOff>
      <xdr:row>54</xdr:row>
      <xdr:rowOff>80280</xdr:rowOff>
    </xdr:from>
    <xdr:to>
      <xdr:col>32</xdr:col>
      <xdr:colOff>304560</xdr:colOff>
      <xdr:row>55</xdr:row>
      <xdr:rowOff>20520</xdr:rowOff>
    </xdr:to>
    <xdr:sp>
      <xdr:nvSpPr>
        <xdr:cNvPr id="186" name="Text Box 154"/>
        <xdr:cNvSpPr/>
      </xdr:nvSpPr>
      <xdr:spPr>
        <a:xfrm>
          <a:off x="28015200" y="10433880"/>
          <a:ext cx="468000" cy="130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500" spc="-1" strike="noStrike">
              <a:solidFill>
                <a:srgbClr val="000000"/>
              </a:solidFill>
              <a:latin typeface="Arial"/>
              <a:ea typeface="MS PGothic"/>
            </a:rPr>
            <a:t>LN-574</a:t>
          </a:r>
          <a:endParaRPr b="0" lang="en-GB" sz="500" spc="-1" strike="noStrike">
            <a:latin typeface="Times New Roman"/>
          </a:endParaRPr>
        </a:p>
      </xdr:txBody>
    </xdr:sp>
    <xdr:clientData/>
  </xdr:twoCellAnchor>
  <xdr:twoCellAnchor editAs="twoCell">
    <xdr:from>
      <xdr:col>31</xdr:col>
      <xdr:colOff>357840</xdr:colOff>
      <xdr:row>52</xdr:row>
      <xdr:rowOff>148320</xdr:rowOff>
    </xdr:from>
    <xdr:to>
      <xdr:col>32</xdr:col>
      <xdr:colOff>258840</xdr:colOff>
      <xdr:row>52</xdr:row>
      <xdr:rowOff>148320</xdr:rowOff>
    </xdr:to>
    <xdr:sp>
      <xdr:nvSpPr>
        <xdr:cNvPr id="187" name="Line 139"/>
        <xdr:cNvSpPr/>
      </xdr:nvSpPr>
      <xdr:spPr>
        <a:xfrm>
          <a:off x="27698400" y="10121040"/>
          <a:ext cx="739080" cy="0"/>
        </a:xfrm>
        <a:prstGeom prst="line">
          <a:avLst/>
        </a:prstGeom>
        <a:ln w="25400">
          <a:solidFill>
            <a:srgbClr val="ffc000"/>
          </a:solidFill>
          <a:round/>
        </a:ln>
      </xdr:spPr>
      <xdr:style>
        <a:lnRef idx="0"/>
        <a:fillRef idx="0"/>
        <a:effectRef idx="0"/>
        <a:fontRef idx="minor"/>
      </xdr:style>
    </xdr:sp>
    <xdr:clientData/>
  </xdr:twoCellAnchor>
  <xdr:twoCellAnchor editAs="twoCell">
    <xdr:from>
      <xdr:col>31</xdr:col>
      <xdr:colOff>647640</xdr:colOff>
      <xdr:row>53</xdr:row>
      <xdr:rowOff>14760</xdr:rowOff>
    </xdr:from>
    <xdr:to>
      <xdr:col>31</xdr:col>
      <xdr:colOff>690480</xdr:colOff>
      <xdr:row>53</xdr:row>
      <xdr:rowOff>62280</xdr:rowOff>
    </xdr:to>
    <xdr:sp>
      <xdr:nvSpPr>
        <xdr:cNvPr id="188" name="400 Rectángulo redondeado"/>
        <xdr:cNvSpPr/>
      </xdr:nvSpPr>
      <xdr:spPr>
        <a:xfrm>
          <a:off x="27988200" y="10177920"/>
          <a:ext cx="42840" cy="4752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31</xdr:col>
      <xdr:colOff>662760</xdr:colOff>
      <xdr:row>51</xdr:row>
      <xdr:rowOff>169920</xdr:rowOff>
    </xdr:from>
    <xdr:to>
      <xdr:col>31</xdr:col>
      <xdr:colOff>662760</xdr:colOff>
      <xdr:row>52</xdr:row>
      <xdr:rowOff>140040</xdr:rowOff>
    </xdr:to>
    <xdr:sp>
      <xdr:nvSpPr>
        <xdr:cNvPr id="189" name="Line 16"/>
        <xdr:cNvSpPr/>
      </xdr:nvSpPr>
      <xdr:spPr>
        <a:xfrm>
          <a:off x="28003320" y="9952200"/>
          <a:ext cx="0" cy="160560"/>
        </a:xfrm>
        <a:prstGeom prst="line">
          <a:avLst/>
        </a:prstGeom>
        <a:ln w="25400">
          <a:solidFill>
            <a:srgbClr val="ffc000"/>
          </a:solidFill>
          <a:round/>
        </a:ln>
      </xdr:spPr>
      <xdr:style>
        <a:lnRef idx="0"/>
        <a:fillRef idx="0"/>
        <a:effectRef idx="0"/>
        <a:fontRef idx="minor"/>
      </xdr:style>
    </xdr:sp>
    <xdr:clientData/>
  </xdr:twoCellAnchor>
  <xdr:twoCellAnchor editAs="twoCell">
    <xdr:from>
      <xdr:col>31</xdr:col>
      <xdr:colOff>585360</xdr:colOff>
      <xdr:row>50</xdr:row>
      <xdr:rowOff>40320</xdr:rowOff>
    </xdr:from>
    <xdr:to>
      <xdr:col>31</xdr:col>
      <xdr:colOff>753480</xdr:colOff>
      <xdr:row>51</xdr:row>
      <xdr:rowOff>64080</xdr:rowOff>
    </xdr:to>
    <xdr:sp>
      <xdr:nvSpPr>
        <xdr:cNvPr id="190" name="Oval 145"/>
        <xdr:cNvSpPr/>
      </xdr:nvSpPr>
      <xdr:spPr>
        <a:xfrm>
          <a:off x="27925920" y="9632160"/>
          <a:ext cx="168120" cy="214200"/>
        </a:xfrm>
        <a:prstGeom prst="ellipse">
          <a:avLst/>
        </a:prstGeom>
        <a:noFill/>
        <a:ln w="12700">
          <a:solidFill>
            <a:srgbClr val="e7e6e6">
              <a:lumMod val="10000"/>
            </a:srgbClr>
          </a:solidFill>
          <a:round/>
        </a:ln>
      </xdr:spPr>
      <xdr:style>
        <a:lnRef idx="0"/>
        <a:fillRef idx="0"/>
        <a:effectRef idx="0"/>
        <a:fontRef idx="minor"/>
      </xdr:style>
    </xdr:sp>
    <xdr:clientData/>
  </xdr:twoCellAnchor>
  <xdr:twoCellAnchor editAs="twoCell">
    <xdr:from>
      <xdr:col>31</xdr:col>
      <xdr:colOff>583560</xdr:colOff>
      <xdr:row>50</xdr:row>
      <xdr:rowOff>146160</xdr:rowOff>
    </xdr:from>
    <xdr:to>
      <xdr:col>31</xdr:col>
      <xdr:colOff>751680</xdr:colOff>
      <xdr:row>51</xdr:row>
      <xdr:rowOff>169920</xdr:rowOff>
    </xdr:to>
    <xdr:sp>
      <xdr:nvSpPr>
        <xdr:cNvPr id="191" name="Oval 146"/>
        <xdr:cNvSpPr/>
      </xdr:nvSpPr>
      <xdr:spPr>
        <a:xfrm>
          <a:off x="27924120" y="9738000"/>
          <a:ext cx="168120" cy="214200"/>
        </a:xfrm>
        <a:prstGeom prst="ellipse">
          <a:avLst/>
        </a:prstGeom>
        <a:noFill/>
        <a:ln w="12700">
          <a:solidFill>
            <a:srgbClr val="ffc000"/>
          </a:solidFill>
          <a:round/>
        </a:ln>
      </xdr:spPr>
      <xdr:style>
        <a:lnRef idx="0"/>
        <a:fillRef idx="0"/>
        <a:effectRef idx="0"/>
        <a:fontRef idx="minor"/>
      </xdr:style>
    </xdr:sp>
    <xdr:clientData/>
  </xdr:twoCellAnchor>
  <xdr:twoCellAnchor editAs="twoCell">
    <xdr:from>
      <xdr:col>31</xdr:col>
      <xdr:colOff>659520</xdr:colOff>
      <xdr:row>49</xdr:row>
      <xdr:rowOff>71280</xdr:rowOff>
    </xdr:from>
    <xdr:to>
      <xdr:col>31</xdr:col>
      <xdr:colOff>659520</xdr:colOff>
      <xdr:row>50</xdr:row>
      <xdr:rowOff>41400</xdr:rowOff>
    </xdr:to>
    <xdr:sp>
      <xdr:nvSpPr>
        <xdr:cNvPr id="192" name="Line 147"/>
        <xdr:cNvSpPr/>
      </xdr:nvSpPr>
      <xdr:spPr>
        <a:xfrm>
          <a:off x="28000080" y="9472320"/>
          <a:ext cx="0" cy="160920"/>
        </a:xfrm>
        <a:prstGeom prst="line">
          <a:avLst/>
        </a:prstGeom>
        <a:ln w="25400">
          <a:solidFill>
            <a:srgbClr val="e7e6e6">
              <a:lumMod val="10000"/>
            </a:srgbClr>
          </a:solidFill>
          <a:round/>
        </a:ln>
      </xdr:spPr>
      <xdr:style>
        <a:lnRef idx="0"/>
        <a:fillRef idx="0"/>
        <a:effectRef idx="0"/>
        <a:fontRef idx="minor"/>
      </xdr:style>
    </xdr:sp>
    <xdr:clientData/>
  </xdr:twoCellAnchor>
  <xdr:twoCellAnchor editAs="twoCell">
    <xdr:from>
      <xdr:col>31</xdr:col>
      <xdr:colOff>645840</xdr:colOff>
      <xdr:row>52</xdr:row>
      <xdr:rowOff>22320</xdr:rowOff>
    </xdr:from>
    <xdr:to>
      <xdr:col>31</xdr:col>
      <xdr:colOff>688680</xdr:colOff>
      <xdr:row>52</xdr:row>
      <xdr:rowOff>69840</xdr:rowOff>
    </xdr:to>
    <xdr:sp>
      <xdr:nvSpPr>
        <xdr:cNvPr id="193" name="400 Rectángulo redondeado"/>
        <xdr:cNvSpPr/>
      </xdr:nvSpPr>
      <xdr:spPr>
        <a:xfrm>
          <a:off x="27986400" y="9995040"/>
          <a:ext cx="42840" cy="4752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31</xdr:col>
      <xdr:colOff>634320</xdr:colOff>
      <xdr:row>49</xdr:row>
      <xdr:rowOff>119160</xdr:rowOff>
    </xdr:from>
    <xdr:to>
      <xdr:col>31</xdr:col>
      <xdr:colOff>677160</xdr:colOff>
      <xdr:row>49</xdr:row>
      <xdr:rowOff>166680</xdr:rowOff>
    </xdr:to>
    <xdr:sp>
      <xdr:nvSpPr>
        <xdr:cNvPr id="194" name="422 Rectángulo redondeado"/>
        <xdr:cNvSpPr/>
      </xdr:nvSpPr>
      <xdr:spPr>
        <a:xfrm>
          <a:off x="27974880" y="9520200"/>
          <a:ext cx="42840" cy="475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31</xdr:col>
      <xdr:colOff>366480</xdr:colOff>
      <xdr:row>49</xdr:row>
      <xdr:rowOff>64080</xdr:rowOff>
    </xdr:from>
    <xdr:to>
      <xdr:col>32</xdr:col>
      <xdr:colOff>216360</xdr:colOff>
      <xdr:row>49</xdr:row>
      <xdr:rowOff>64080</xdr:rowOff>
    </xdr:to>
    <xdr:sp>
      <xdr:nvSpPr>
        <xdr:cNvPr id="195" name="Line 139"/>
        <xdr:cNvSpPr/>
      </xdr:nvSpPr>
      <xdr:spPr>
        <a:xfrm>
          <a:off x="27707040" y="9465120"/>
          <a:ext cx="687960" cy="0"/>
        </a:xfrm>
        <a:prstGeom prst="line">
          <a:avLst/>
        </a:prstGeom>
        <a:ln w="25400">
          <a:solidFill>
            <a:srgbClr val="e7e6e6">
              <a:lumMod val="10000"/>
            </a:srgbClr>
          </a:solidFill>
          <a:round/>
        </a:ln>
      </xdr:spPr>
      <xdr:style>
        <a:lnRef idx="0"/>
        <a:fillRef idx="0"/>
        <a:effectRef idx="0"/>
        <a:fontRef idx="minor"/>
      </xdr:style>
    </xdr:sp>
    <xdr:clientData/>
  </xdr:twoCellAnchor>
  <xdr:twoCellAnchor editAs="twoCell">
    <xdr:from>
      <xdr:col>31</xdr:col>
      <xdr:colOff>657000</xdr:colOff>
      <xdr:row>48</xdr:row>
      <xdr:rowOff>2160</xdr:rowOff>
    </xdr:from>
    <xdr:to>
      <xdr:col>31</xdr:col>
      <xdr:colOff>657000</xdr:colOff>
      <xdr:row>49</xdr:row>
      <xdr:rowOff>65520</xdr:rowOff>
    </xdr:to>
    <xdr:sp>
      <xdr:nvSpPr>
        <xdr:cNvPr id="196" name="Line 16"/>
        <xdr:cNvSpPr/>
      </xdr:nvSpPr>
      <xdr:spPr>
        <a:xfrm>
          <a:off x="27997560" y="9212760"/>
          <a:ext cx="0" cy="253800"/>
        </a:xfrm>
        <a:prstGeom prst="line">
          <a:avLst/>
        </a:prstGeom>
        <a:ln w="25400">
          <a:solidFill>
            <a:srgbClr val="000000"/>
          </a:solidFill>
          <a:round/>
          <a:headEnd len="med" type="triangle" w="med"/>
        </a:ln>
      </xdr:spPr>
      <xdr:style>
        <a:lnRef idx="0"/>
        <a:fillRef idx="0"/>
        <a:effectRef idx="0"/>
        <a:fontRef idx="minor"/>
      </xdr:style>
    </xdr:sp>
    <xdr:clientData/>
  </xdr:twoCellAnchor>
  <xdr:twoCellAnchor editAs="twoCell">
    <xdr:from>
      <xdr:col>31</xdr:col>
      <xdr:colOff>635760</xdr:colOff>
      <xdr:row>48</xdr:row>
      <xdr:rowOff>154440</xdr:rowOff>
    </xdr:from>
    <xdr:to>
      <xdr:col>31</xdr:col>
      <xdr:colOff>678600</xdr:colOff>
      <xdr:row>49</xdr:row>
      <xdr:rowOff>11520</xdr:rowOff>
    </xdr:to>
    <xdr:sp>
      <xdr:nvSpPr>
        <xdr:cNvPr id="197" name="400 Rectángulo redondeado"/>
        <xdr:cNvSpPr/>
      </xdr:nvSpPr>
      <xdr:spPr>
        <a:xfrm>
          <a:off x="27976320" y="9365040"/>
          <a:ext cx="42840" cy="475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32</xdr:col>
      <xdr:colOff>46440</xdr:colOff>
      <xdr:row>48</xdr:row>
      <xdr:rowOff>37080</xdr:rowOff>
    </xdr:from>
    <xdr:to>
      <xdr:col>32</xdr:col>
      <xdr:colOff>641160</xdr:colOff>
      <xdr:row>49</xdr:row>
      <xdr:rowOff>85320</xdr:rowOff>
    </xdr:to>
    <xdr:sp>
      <xdr:nvSpPr>
        <xdr:cNvPr id="198" name="Text Box 154"/>
        <xdr:cNvSpPr/>
      </xdr:nvSpPr>
      <xdr:spPr>
        <a:xfrm>
          <a:off x="28225080" y="9247680"/>
          <a:ext cx="594720" cy="238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Puerta de Oro 13,8 kV</a:t>
          </a:r>
          <a:endParaRPr b="0" lang="en-GB" sz="600" spc="-1" strike="noStrike">
            <a:latin typeface="Times New Roman"/>
          </a:endParaRPr>
        </a:p>
      </xdr:txBody>
    </xdr:sp>
    <xdr:clientData/>
  </xdr:twoCellAnchor>
  <xdr:twoCellAnchor editAs="twoCell">
    <xdr:from>
      <xdr:col>31</xdr:col>
      <xdr:colOff>21600</xdr:colOff>
      <xdr:row>50</xdr:row>
      <xdr:rowOff>61200</xdr:rowOff>
    </xdr:from>
    <xdr:to>
      <xdr:col>31</xdr:col>
      <xdr:colOff>621360</xdr:colOff>
      <xdr:row>51</xdr:row>
      <xdr:rowOff>110160</xdr:rowOff>
    </xdr:to>
    <xdr:sp>
      <xdr:nvSpPr>
        <xdr:cNvPr id="199" name="Text Box 154"/>
        <xdr:cNvSpPr/>
      </xdr:nvSpPr>
      <xdr:spPr>
        <a:xfrm>
          <a:off x="27362160" y="9653040"/>
          <a:ext cx="599760" cy="2394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30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34,5/13,8kV</a:t>
          </a:r>
          <a:endParaRPr b="0" lang="en-GB" sz="600" spc="-1" strike="noStrike">
            <a:latin typeface="Times New Roman"/>
          </a:endParaRPr>
        </a:p>
      </xdr:txBody>
    </xdr:sp>
    <xdr:clientData/>
  </xdr:twoCellAnchor>
  <xdr:twoCellAnchor editAs="twoCell">
    <xdr:from>
      <xdr:col>28</xdr:col>
      <xdr:colOff>407160</xdr:colOff>
      <xdr:row>46</xdr:row>
      <xdr:rowOff>162000</xdr:rowOff>
    </xdr:from>
    <xdr:to>
      <xdr:col>28</xdr:col>
      <xdr:colOff>450000</xdr:colOff>
      <xdr:row>47</xdr:row>
      <xdr:rowOff>19080</xdr:rowOff>
    </xdr:to>
    <xdr:sp>
      <xdr:nvSpPr>
        <xdr:cNvPr id="200" name="400 Rectángulo redondeado"/>
        <xdr:cNvSpPr/>
      </xdr:nvSpPr>
      <xdr:spPr>
        <a:xfrm>
          <a:off x="25233120" y="8982000"/>
          <a:ext cx="42840" cy="572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28</xdr:col>
      <xdr:colOff>247320</xdr:colOff>
      <xdr:row>45</xdr:row>
      <xdr:rowOff>126000</xdr:rowOff>
    </xdr:from>
    <xdr:to>
      <xdr:col>28</xdr:col>
      <xdr:colOff>247320</xdr:colOff>
      <xdr:row>46</xdr:row>
      <xdr:rowOff>189360</xdr:rowOff>
    </xdr:to>
    <xdr:sp>
      <xdr:nvSpPr>
        <xdr:cNvPr id="201" name="Line 16"/>
        <xdr:cNvSpPr/>
      </xdr:nvSpPr>
      <xdr:spPr>
        <a:xfrm>
          <a:off x="25073280" y="8746200"/>
          <a:ext cx="0" cy="263160"/>
        </a:xfrm>
        <a:prstGeom prst="line">
          <a:avLst/>
        </a:prstGeom>
        <a:ln w="25400">
          <a:solidFill>
            <a:srgbClr val="000000"/>
          </a:solidFill>
          <a:round/>
          <a:headEnd len="med" type="triangle" w="med"/>
        </a:ln>
      </xdr:spPr>
      <xdr:style>
        <a:lnRef idx="0"/>
        <a:fillRef idx="0"/>
        <a:effectRef idx="0"/>
        <a:fontRef idx="minor"/>
      </xdr:style>
    </xdr:sp>
    <xdr:clientData/>
  </xdr:twoCellAnchor>
  <xdr:twoCellAnchor editAs="twoCell">
    <xdr:from>
      <xdr:col>28</xdr:col>
      <xdr:colOff>226080</xdr:colOff>
      <xdr:row>46</xdr:row>
      <xdr:rowOff>87840</xdr:rowOff>
    </xdr:from>
    <xdr:to>
      <xdr:col>28</xdr:col>
      <xdr:colOff>268920</xdr:colOff>
      <xdr:row>46</xdr:row>
      <xdr:rowOff>135360</xdr:rowOff>
    </xdr:to>
    <xdr:sp>
      <xdr:nvSpPr>
        <xdr:cNvPr id="202" name="400 Rectángulo redondeado"/>
        <xdr:cNvSpPr/>
      </xdr:nvSpPr>
      <xdr:spPr>
        <a:xfrm>
          <a:off x="25052040" y="8907840"/>
          <a:ext cx="42840" cy="475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30</xdr:col>
      <xdr:colOff>77400</xdr:colOff>
      <xdr:row>53</xdr:row>
      <xdr:rowOff>84960</xdr:rowOff>
    </xdr:from>
    <xdr:to>
      <xdr:col>30</xdr:col>
      <xdr:colOff>120240</xdr:colOff>
      <xdr:row>53</xdr:row>
      <xdr:rowOff>132480</xdr:rowOff>
    </xdr:to>
    <xdr:sp>
      <xdr:nvSpPr>
        <xdr:cNvPr id="203" name="400 Rectángulo redondeado"/>
        <xdr:cNvSpPr/>
      </xdr:nvSpPr>
      <xdr:spPr>
        <a:xfrm>
          <a:off x="26579880" y="10248120"/>
          <a:ext cx="42840" cy="475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29</xdr:col>
      <xdr:colOff>718560</xdr:colOff>
      <xdr:row>52</xdr:row>
      <xdr:rowOff>46080</xdr:rowOff>
    </xdr:from>
    <xdr:to>
      <xdr:col>29</xdr:col>
      <xdr:colOff>718560</xdr:colOff>
      <xdr:row>53</xdr:row>
      <xdr:rowOff>109440</xdr:rowOff>
    </xdr:to>
    <xdr:sp>
      <xdr:nvSpPr>
        <xdr:cNvPr id="204" name="Line 16"/>
        <xdr:cNvSpPr/>
      </xdr:nvSpPr>
      <xdr:spPr>
        <a:xfrm>
          <a:off x="26382600" y="10018800"/>
          <a:ext cx="0" cy="253800"/>
        </a:xfrm>
        <a:prstGeom prst="line">
          <a:avLst/>
        </a:prstGeom>
        <a:ln w="25400">
          <a:solidFill>
            <a:srgbClr val="000000"/>
          </a:solidFill>
          <a:round/>
          <a:headEnd len="med" type="triangle" w="med"/>
        </a:ln>
      </xdr:spPr>
      <xdr:style>
        <a:lnRef idx="0"/>
        <a:fillRef idx="0"/>
        <a:effectRef idx="0"/>
        <a:fontRef idx="minor"/>
      </xdr:style>
    </xdr:sp>
    <xdr:clientData/>
  </xdr:twoCellAnchor>
  <xdr:twoCellAnchor editAs="twoCell">
    <xdr:from>
      <xdr:col>29</xdr:col>
      <xdr:colOff>697680</xdr:colOff>
      <xdr:row>53</xdr:row>
      <xdr:rowOff>7920</xdr:rowOff>
    </xdr:from>
    <xdr:to>
      <xdr:col>29</xdr:col>
      <xdr:colOff>740520</xdr:colOff>
      <xdr:row>53</xdr:row>
      <xdr:rowOff>55440</xdr:rowOff>
    </xdr:to>
    <xdr:sp>
      <xdr:nvSpPr>
        <xdr:cNvPr id="205" name="400 Rectángulo redondeado"/>
        <xdr:cNvSpPr/>
      </xdr:nvSpPr>
      <xdr:spPr>
        <a:xfrm>
          <a:off x="26361720" y="10171080"/>
          <a:ext cx="42840" cy="475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27</xdr:col>
      <xdr:colOff>726840</xdr:colOff>
      <xdr:row>67</xdr:row>
      <xdr:rowOff>158400</xdr:rowOff>
    </xdr:from>
    <xdr:to>
      <xdr:col>28</xdr:col>
      <xdr:colOff>7560</xdr:colOff>
      <xdr:row>68</xdr:row>
      <xdr:rowOff>15480</xdr:rowOff>
    </xdr:to>
    <xdr:sp>
      <xdr:nvSpPr>
        <xdr:cNvPr id="206" name="400 Rectángulo redondeado"/>
        <xdr:cNvSpPr/>
      </xdr:nvSpPr>
      <xdr:spPr>
        <a:xfrm rot="10800000">
          <a:off x="24714720" y="13045680"/>
          <a:ext cx="118800" cy="47520"/>
        </a:xfrm>
        <a:prstGeom prst="roundRect">
          <a:avLst>
            <a:gd name="adj" fmla="val 16667"/>
          </a:avLst>
        </a:prstGeom>
        <a:solidFill>
          <a:schemeClr val="bg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28</xdr:col>
      <xdr:colOff>451800</xdr:colOff>
      <xdr:row>68</xdr:row>
      <xdr:rowOff>2880</xdr:rowOff>
    </xdr:from>
    <xdr:to>
      <xdr:col>28</xdr:col>
      <xdr:colOff>451800</xdr:colOff>
      <xdr:row>69</xdr:row>
      <xdr:rowOff>66240</xdr:rowOff>
    </xdr:to>
    <xdr:sp>
      <xdr:nvSpPr>
        <xdr:cNvPr id="207" name="Line 16"/>
        <xdr:cNvSpPr/>
      </xdr:nvSpPr>
      <xdr:spPr>
        <a:xfrm flipV="1">
          <a:off x="25277760" y="13080600"/>
          <a:ext cx="0" cy="253800"/>
        </a:xfrm>
        <a:prstGeom prst="line">
          <a:avLst/>
        </a:prstGeom>
        <a:ln w="25400">
          <a:solidFill>
            <a:srgbClr val="000000"/>
          </a:solidFill>
          <a:round/>
          <a:headEnd len="med" type="triangle" w="med"/>
        </a:ln>
      </xdr:spPr>
      <xdr:style>
        <a:lnRef idx="0"/>
        <a:fillRef idx="0"/>
        <a:effectRef idx="0"/>
        <a:fontRef idx="minor"/>
      </xdr:style>
    </xdr:sp>
    <xdr:clientData/>
  </xdr:twoCellAnchor>
  <xdr:twoCellAnchor editAs="twoCell">
    <xdr:from>
      <xdr:col>28</xdr:col>
      <xdr:colOff>429840</xdr:colOff>
      <xdr:row>68</xdr:row>
      <xdr:rowOff>57240</xdr:rowOff>
    </xdr:from>
    <xdr:to>
      <xdr:col>28</xdr:col>
      <xdr:colOff>472680</xdr:colOff>
      <xdr:row>68</xdr:row>
      <xdr:rowOff>104760</xdr:rowOff>
    </xdr:to>
    <xdr:sp>
      <xdr:nvSpPr>
        <xdr:cNvPr id="208" name="400 Rectángulo redondeado"/>
        <xdr:cNvSpPr/>
      </xdr:nvSpPr>
      <xdr:spPr>
        <a:xfrm rot="10800000">
          <a:off x="25255800" y="13134960"/>
          <a:ext cx="42840" cy="475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xdr:col>
      <xdr:colOff>334800</xdr:colOff>
      <xdr:row>40</xdr:row>
      <xdr:rowOff>123840</xdr:rowOff>
    </xdr:from>
    <xdr:to>
      <xdr:col>5</xdr:col>
      <xdr:colOff>404280</xdr:colOff>
      <xdr:row>61</xdr:row>
      <xdr:rowOff>6120</xdr:rowOff>
    </xdr:to>
    <xdr:grpSp>
      <xdr:nvGrpSpPr>
        <xdr:cNvPr id="209" name="Grupo 210"/>
        <xdr:cNvGrpSpPr/>
      </xdr:nvGrpSpPr>
      <xdr:grpSpPr>
        <a:xfrm>
          <a:off x="1743120" y="8878680"/>
          <a:ext cx="3958920" cy="1746000"/>
          <a:chOff x="1743120" y="8878680"/>
          <a:chExt cx="3958920" cy="1746000"/>
        </a:xfrm>
      </xdr:grpSpPr>
      <xdr:sp>
        <xdr:nvSpPr>
          <xdr:cNvPr id="210" name="Line 280"/>
          <xdr:cNvSpPr/>
        </xdr:nvSpPr>
        <xdr:spPr>
          <a:xfrm flipV="1">
            <a:off x="4257360" y="9190800"/>
            <a:ext cx="360" cy="337680"/>
          </a:xfrm>
          <a:prstGeom prst="line">
            <a:avLst/>
          </a:prstGeom>
          <a:ln w="12700">
            <a:solidFill>
              <a:srgbClr val="ff0000"/>
            </a:solidFill>
            <a:round/>
            <a:tailEnd len="med" type="triangle" w="med"/>
          </a:ln>
        </xdr:spPr>
        <xdr:style>
          <a:lnRef idx="0"/>
          <a:fillRef idx="0"/>
          <a:effectRef idx="0"/>
          <a:fontRef idx="minor"/>
        </xdr:style>
      </xdr:sp>
      <xdr:grpSp>
        <xdr:nvGrpSpPr>
          <xdr:cNvPr id="211" name="Grupo 212"/>
          <xdr:cNvGrpSpPr/>
        </xdr:nvGrpSpPr>
        <xdr:grpSpPr>
          <a:xfrm>
            <a:off x="1743120" y="8878680"/>
            <a:ext cx="3958920" cy="1746000"/>
            <a:chOff x="1743120" y="8878680"/>
            <a:chExt cx="3958920" cy="1746000"/>
          </a:xfrm>
        </xdr:grpSpPr>
        <xdr:grpSp>
          <xdr:nvGrpSpPr>
            <xdr:cNvPr id="212" name="Grupo 213"/>
            <xdr:cNvGrpSpPr/>
          </xdr:nvGrpSpPr>
          <xdr:grpSpPr>
            <a:xfrm>
              <a:off x="1743120" y="8878680"/>
              <a:ext cx="3958920" cy="1746000"/>
              <a:chOff x="1743120" y="8878680"/>
              <a:chExt cx="3958920" cy="1746000"/>
            </a:xfrm>
          </xdr:grpSpPr>
          <xdr:grpSp>
            <xdr:nvGrpSpPr>
              <xdr:cNvPr id="213" name="Grupo 215"/>
              <xdr:cNvGrpSpPr/>
            </xdr:nvGrpSpPr>
            <xdr:grpSpPr>
              <a:xfrm>
                <a:off x="3038040" y="9883080"/>
                <a:ext cx="307440" cy="315000"/>
                <a:chOff x="3038040" y="9883080"/>
                <a:chExt cx="307440" cy="315000"/>
              </a:xfrm>
            </xdr:grpSpPr>
            <xdr:sp>
              <xdr:nvSpPr>
                <xdr:cNvPr id="214" name="Oval 40"/>
                <xdr:cNvSpPr/>
              </xdr:nvSpPr>
              <xdr:spPr>
                <a:xfrm rot="10800000">
                  <a:off x="3038040" y="9987480"/>
                  <a:ext cx="192960" cy="210600"/>
                </a:xfrm>
                <a:prstGeom prst="ellipse">
                  <a:avLst/>
                </a:prstGeom>
                <a:noFill/>
                <a:ln w="12700">
                  <a:solidFill>
                    <a:srgbClr val="000000"/>
                  </a:solidFill>
                  <a:round/>
                </a:ln>
              </xdr:spPr>
              <xdr:style>
                <a:lnRef idx="0"/>
                <a:fillRef idx="0"/>
                <a:effectRef idx="0"/>
                <a:fontRef idx="minor"/>
              </xdr:style>
            </xdr:sp>
            <xdr:sp>
              <xdr:nvSpPr>
                <xdr:cNvPr id="215" name="Oval 41"/>
                <xdr:cNvSpPr/>
              </xdr:nvSpPr>
              <xdr:spPr>
                <a:xfrm rot="10800000">
                  <a:off x="3038040" y="9883080"/>
                  <a:ext cx="192960" cy="210600"/>
                </a:xfrm>
                <a:prstGeom prst="ellipse">
                  <a:avLst/>
                </a:prstGeom>
                <a:noFill/>
                <a:ln w="12700">
                  <a:solidFill>
                    <a:srgbClr val="ff0000"/>
                  </a:solidFill>
                  <a:round/>
                </a:ln>
              </xdr:spPr>
              <xdr:style>
                <a:lnRef idx="0"/>
                <a:fillRef idx="0"/>
                <a:effectRef idx="0"/>
                <a:fontRef idx="minor"/>
              </xdr:style>
            </xdr:sp>
            <xdr:sp>
              <xdr:nvSpPr>
                <xdr:cNvPr id="216" name="Oval 63"/>
                <xdr:cNvSpPr/>
              </xdr:nvSpPr>
              <xdr:spPr>
                <a:xfrm>
                  <a:off x="3153240" y="9961200"/>
                  <a:ext cx="192240" cy="209520"/>
                </a:xfrm>
                <a:prstGeom prst="ellipse">
                  <a:avLst/>
                </a:prstGeom>
                <a:noFill/>
                <a:ln w="12700">
                  <a:solidFill>
                    <a:srgbClr val="ffc000"/>
                  </a:solidFill>
                  <a:round/>
                </a:ln>
              </xdr:spPr>
              <xdr:style>
                <a:lnRef idx="0"/>
                <a:fillRef idx="0"/>
                <a:effectRef idx="0"/>
                <a:fontRef idx="minor"/>
              </xdr:style>
            </xdr:sp>
          </xdr:grpSp>
          <xdr:sp>
            <xdr:nvSpPr>
              <xdr:cNvPr id="217" name="Line 205"/>
              <xdr:cNvSpPr/>
            </xdr:nvSpPr>
            <xdr:spPr>
              <a:xfrm>
                <a:off x="2582280" y="9532800"/>
                <a:ext cx="2716560" cy="360"/>
              </a:xfrm>
              <a:prstGeom prst="line">
                <a:avLst/>
              </a:prstGeom>
              <a:ln w="25400">
                <a:solidFill>
                  <a:srgbClr val="ff0000"/>
                </a:solidFill>
                <a:round/>
              </a:ln>
            </xdr:spPr>
            <xdr:style>
              <a:lnRef idx="0"/>
              <a:fillRef idx="0"/>
              <a:effectRef idx="0"/>
              <a:fontRef idx="minor"/>
            </xdr:style>
          </xdr:sp>
          <xdr:sp>
            <xdr:nvSpPr>
              <xdr:cNvPr id="218" name="Line 206"/>
              <xdr:cNvSpPr/>
            </xdr:nvSpPr>
            <xdr:spPr>
              <a:xfrm>
                <a:off x="3120840" y="9538560"/>
                <a:ext cx="360" cy="340920"/>
              </a:xfrm>
              <a:prstGeom prst="line">
                <a:avLst/>
              </a:prstGeom>
              <a:ln w="25400">
                <a:solidFill>
                  <a:srgbClr val="ff0000"/>
                </a:solidFill>
                <a:round/>
              </a:ln>
            </xdr:spPr>
            <xdr:style>
              <a:lnRef idx="0"/>
              <a:fillRef idx="0"/>
              <a:effectRef idx="0"/>
              <a:fontRef idx="minor"/>
            </xdr:style>
          </xdr:sp>
          <xdr:sp>
            <xdr:nvSpPr>
              <xdr:cNvPr id="219" name="Text Box 138"/>
              <xdr:cNvSpPr/>
            </xdr:nvSpPr>
            <xdr:spPr>
              <a:xfrm>
                <a:off x="2259360" y="9889920"/>
                <a:ext cx="832320" cy="2383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50/30/20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110/34,5/13,8kV</a:t>
                </a:r>
                <a:endParaRPr b="0" lang="en-GB" sz="600" spc="-1" strike="noStrike">
                  <a:latin typeface="Times New Roman"/>
                </a:endParaRPr>
              </a:p>
            </xdr:txBody>
          </xdr:sp>
          <xdr:sp>
            <xdr:nvSpPr>
              <xdr:cNvPr id="220" name="452 Rectángulo redondeado"/>
              <xdr:cNvSpPr/>
            </xdr:nvSpPr>
            <xdr:spPr>
              <a:xfrm>
                <a:off x="3098880" y="9793800"/>
                <a:ext cx="44280" cy="3996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nvGrpSpPr>
              <xdr:cNvPr id="221" name="Grupo 220"/>
              <xdr:cNvGrpSpPr/>
            </xdr:nvGrpSpPr>
            <xdr:grpSpPr>
              <a:xfrm>
                <a:off x="3017160" y="10198440"/>
                <a:ext cx="966600" cy="421200"/>
                <a:chOff x="3017160" y="10198440"/>
                <a:chExt cx="966600" cy="421200"/>
              </a:xfrm>
            </xdr:grpSpPr>
            <xdr:sp>
              <xdr:nvSpPr>
                <xdr:cNvPr id="222" name="Line 100"/>
                <xdr:cNvSpPr/>
              </xdr:nvSpPr>
              <xdr:spPr>
                <a:xfrm>
                  <a:off x="3125880" y="10198440"/>
                  <a:ext cx="360" cy="135720"/>
                </a:xfrm>
                <a:prstGeom prst="line">
                  <a:avLst/>
                </a:prstGeom>
                <a:ln w="25400">
                  <a:solidFill>
                    <a:srgbClr val="000000"/>
                  </a:solidFill>
                  <a:round/>
                </a:ln>
              </xdr:spPr>
              <xdr:style>
                <a:lnRef idx="0"/>
                <a:fillRef idx="0"/>
                <a:effectRef idx="0"/>
                <a:fontRef idx="minor"/>
              </xdr:style>
            </xdr:sp>
            <xdr:grpSp>
              <xdr:nvGrpSpPr>
                <xdr:cNvPr id="223" name="Grupo 263"/>
                <xdr:cNvGrpSpPr/>
              </xdr:nvGrpSpPr>
              <xdr:grpSpPr>
                <a:xfrm>
                  <a:off x="3017160" y="10247760"/>
                  <a:ext cx="966600" cy="371880"/>
                  <a:chOff x="3017160" y="10247760"/>
                  <a:chExt cx="966600" cy="371880"/>
                </a:xfrm>
              </xdr:grpSpPr>
              <xdr:sp>
                <xdr:nvSpPr>
                  <xdr:cNvPr id="224" name="Line 99"/>
                  <xdr:cNvSpPr/>
                </xdr:nvSpPr>
                <xdr:spPr>
                  <a:xfrm flipH="1">
                    <a:off x="3017160" y="10341720"/>
                    <a:ext cx="966600" cy="360"/>
                  </a:xfrm>
                  <a:prstGeom prst="line">
                    <a:avLst/>
                  </a:prstGeom>
                  <a:ln w="25400">
                    <a:solidFill>
                      <a:srgbClr val="000000"/>
                    </a:solidFill>
                    <a:round/>
                  </a:ln>
                </xdr:spPr>
                <xdr:style>
                  <a:lnRef idx="0"/>
                  <a:fillRef idx="0"/>
                  <a:effectRef idx="0"/>
                  <a:fontRef idx="minor"/>
                </xdr:style>
              </xdr:sp>
              <xdr:sp>
                <xdr:nvSpPr>
                  <xdr:cNvPr id="225" name="Line 280"/>
                  <xdr:cNvSpPr/>
                </xdr:nvSpPr>
                <xdr:spPr>
                  <a:xfrm>
                    <a:off x="3131280" y="10348560"/>
                    <a:ext cx="360" cy="271080"/>
                  </a:xfrm>
                  <a:prstGeom prst="line">
                    <a:avLst/>
                  </a:prstGeom>
                  <a:ln w="12700">
                    <a:solidFill>
                      <a:srgbClr val="000000"/>
                    </a:solidFill>
                    <a:round/>
                    <a:tailEnd len="med" type="triangle" w="med"/>
                  </a:ln>
                </xdr:spPr>
                <xdr:style>
                  <a:lnRef idx="0"/>
                  <a:fillRef idx="0"/>
                  <a:effectRef idx="0"/>
                  <a:fontRef idx="minor"/>
                </xdr:style>
              </xdr:sp>
              <xdr:sp>
                <xdr:nvSpPr>
                  <xdr:cNvPr id="226" name="455 Rectángulo redondeado"/>
                  <xdr:cNvSpPr/>
                </xdr:nvSpPr>
                <xdr:spPr>
                  <a:xfrm rot="5400000">
                    <a:off x="3107520" y="10401480"/>
                    <a:ext cx="40320" cy="44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227" name="455 Rectángulo redondeado"/>
                  <xdr:cNvSpPr/>
                </xdr:nvSpPr>
                <xdr:spPr>
                  <a:xfrm rot="5400000">
                    <a:off x="3107520" y="10245600"/>
                    <a:ext cx="40320" cy="44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grpSp>
          <xdr:grpSp>
            <xdr:nvGrpSpPr>
              <xdr:cNvPr id="228" name="Grupo 221"/>
              <xdr:cNvGrpSpPr/>
            </xdr:nvGrpSpPr>
            <xdr:grpSpPr>
              <a:xfrm>
                <a:off x="2855520" y="9186840"/>
                <a:ext cx="44280" cy="338040"/>
                <a:chOff x="2855520" y="9186840"/>
                <a:chExt cx="44280" cy="338040"/>
              </a:xfrm>
            </xdr:grpSpPr>
            <xdr:sp>
              <xdr:nvSpPr>
                <xdr:cNvPr id="229" name="Line 280"/>
                <xdr:cNvSpPr/>
              </xdr:nvSpPr>
              <xdr:spPr>
                <a:xfrm flipV="1">
                  <a:off x="2877480" y="9186840"/>
                  <a:ext cx="360" cy="338040"/>
                </a:xfrm>
                <a:prstGeom prst="line">
                  <a:avLst/>
                </a:prstGeom>
                <a:ln w="12700">
                  <a:solidFill>
                    <a:srgbClr val="ff0000"/>
                  </a:solidFill>
                  <a:round/>
                  <a:tailEnd len="med" type="triangle" w="med"/>
                </a:ln>
              </xdr:spPr>
              <xdr:style>
                <a:lnRef idx="0"/>
                <a:fillRef idx="0"/>
                <a:effectRef idx="0"/>
                <a:fontRef idx="minor"/>
              </xdr:style>
            </xdr:sp>
            <xdr:sp>
              <xdr:nvSpPr>
                <xdr:cNvPr id="230" name="455 Rectángulo redondeado"/>
                <xdr:cNvSpPr/>
              </xdr:nvSpPr>
              <xdr:spPr>
                <a:xfrm rot="10800000">
                  <a:off x="2855520" y="9432720"/>
                  <a:ext cx="44280" cy="3996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sp>
            <xdr:nvSpPr>
              <xdr:cNvPr id="231" name="Text Box 188"/>
              <xdr:cNvSpPr/>
            </xdr:nvSpPr>
            <xdr:spPr>
              <a:xfrm>
                <a:off x="1743120" y="9552240"/>
                <a:ext cx="842040" cy="1501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Malambo 110 kV</a:t>
                </a:r>
                <a:endParaRPr b="0" lang="en-GB" sz="600" spc="-1" strike="noStrike">
                  <a:latin typeface="Times New Roman"/>
                </a:endParaRPr>
              </a:p>
            </xdr:txBody>
          </xdr:sp>
          <xdr:sp>
            <xdr:nvSpPr>
              <xdr:cNvPr id="232" name="Text Box 188"/>
              <xdr:cNvSpPr/>
            </xdr:nvSpPr>
            <xdr:spPr>
              <a:xfrm>
                <a:off x="3900960" y="8878680"/>
                <a:ext cx="789120" cy="28548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Hacia Baranoa 110 kV</a:t>
                </a:r>
                <a:endParaRPr b="0" lang="en-GB" sz="600" spc="-1" strike="noStrike">
                  <a:latin typeface="Times New Roman"/>
                </a:endParaRPr>
              </a:p>
            </xdr:txBody>
          </xdr:sp>
          <xdr:grpSp>
            <xdr:nvGrpSpPr>
              <xdr:cNvPr id="233" name="Grupo 224"/>
              <xdr:cNvGrpSpPr/>
            </xdr:nvGrpSpPr>
            <xdr:grpSpPr>
              <a:xfrm>
                <a:off x="3537000" y="9198000"/>
                <a:ext cx="44280" cy="337680"/>
                <a:chOff x="3537000" y="9198000"/>
                <a:chExt cx="44280" cy="337680"/>
              </a:xfrm>
            </xdr:grpSpPr>
            <xdr:sp>
              <xdr:nvSpPr>
                <xdr:cNvPr id="234" name="Line 280"/>
                <xdr:cNvSpPr/>
              </xdr:nvSpPr>
              <xdr:spPr>
                <a:xfrm flipV="1">
                  <a:off x="3561840" y="9198000"/>
                  <a:ext cx="360" cy="337680"/>
                </a:xfrm>
                <a:prstGeom prst="line">
                  <a:avLst/>
                </a:prstGeom>
                <a:ln w="12700">
                  <a:solidFill>
                    <a:srgbClr val="ff0000"/>
                  </a:solidFill>
                  <a:round/>
                  <a:tailEnd len="med" type="triangle" w="med"/>
                </a:ln>
              </xdr:spPr>
              <xdr:style>
                <a:lnRef idx="0"/>
                <a:fillRef idx="0"/>
                <a:effectRef idx="0"/>
                <a:fontRef idx="minor"/>
              </xdr:style>
            </xdr:sp>
            <xdr:sp>
              <xdr:nvSpPr>
                <xdr:cNvPr id="235" name="455 Rectángulo redondeado"/>
                <xdr:cNvSpPr/>
              </xdr:nvSpPr>
              <xdr:spPr>
                <a:xfrm rot="10800000">
                  <a:off x="3537000" y="9436680"/>
                  <a:ext cx="44280" cy="3996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sp>
            <xdr:nvSpPr>
              <xdr:cNvPr id="236" name="Text Box 188"/>
              <xdr:cNvSpPr/>
            </xdr:nvSpPr>
            <xdr:spPr>
              <a:xfrm>
                <a:off x="3105360" y="8888040"/>
                <a:ext cx="968400" cy="28548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Hacia Caracolí 110 kV</a:t>
                </a:r>
                <a:endParaRPr b="0" lang="en-GB" sz="600" spc="-1" strike="noStrike">
                  <a:latin typeface="Times New Roman"/>
                </a:endParaRPr>
              </a:p>
            </xdr:txBody>
          </xdr:sp>
          <xdr:grpSp>
            <xdr:nvGrpSpPr>
              <xdr:cNvPr id="237" name="Grupo 226"/>
              <xdr:cNvGrpSpPr/>
            </xdr:nvGrpSpPr>
            <xdr:grpSpPr>
              <a:xfrm>
                <a:off x="4478040" y="10032480"/>
                <a:ext cx="1224000" cy="588240"/>
                <a:chOff x="4478040" y="10032480"/>
                <a:chExt cx="1224000" cy="588240"/>
              </a:xfrm>
            </xdr:grpSpPr>
            <xdr:sp>
              <xdr:nvSpPr>
                <xdr:cNvPr id="238" name="Line 38"/>
                <xdr:cNvSpPr/>
              </xdr:nvSpPr>
              <xdr:spPr>
                <a:xfrm>
                  <a:off x="4478040" y="10344960"/>
                  <a:ext cx="1224000" cy="360"/>
                </a:xfrm>
                <a:prstGeom prst="line">
                  <a:avLst/>
                </a:prstGeom>
                <a:ln w="25400">
                  <a:solidFill>
                    <a:srgbClr val="ffc000"/>
                  </a:solidFill>
                  <a:round/>
                </a:ln>
              </xdr:spPr>
              <xdr:style>
                <a:lnRef idx="0"/>
                <a:fillRef idx="0"/>
                <a:effectRef idx="0"/>
                <a:fontRef idx="minor"/>
              </xdr:style>
            </xdr:sp>
            <xdr:sp>
              <xdr:nvSpPr>
                <xdr:cNvPr id="239" name="Line 244"/>
                <xdr:cNvSpPr/>
              </xdr:nvSpPr>
              <xdr:spPr>
                <a:xfrm>
                  <a:off x="4699440" y="10032480"/>
                  <a:ext cx="360" cy="306720"/>
                </a:xfrm>
                <a:prstGeom prst="line">
                  <a:avLst/>
                </a:prstGeom>
                <a:ln w="19050">
                  <a:solidFill>
                    <a:srgbClr val="ffc000"/>
                  </a:solidFill>
                  <a:round/>
                </a:ln>
              </xdr:spPr>
              <xdr:style>
                <a:lnRef idx="0"/>
                <a:fillRef idx="0"/>
                <a:effectRef idx="0"/>
                <a:fontRef idx="minor"/>
              </xdr:style>
            </xdr:sp>
            <xdr:sp>
              <xdr:nvSpPr>
                <xdr:cNvPr id="240" name="455 Rectángulo redondeado"/>
                <xdr:cNvSpPr/>
              </xdr:nvSpPr>
              <xdr:spPr>
                <a:xfrm>
                  <a:off x="4676040" y="10206360"/>
                  <a:ext cx="442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241" name="455 Rectángulo redondeado"/>
                <xdr:cNvSpPr/>
              </xdr:nvSpPr>
              <xdr:spPr>
                <a:xfrm>
                  <a:off x="4960800" y="10325880"/>
                  <a:ext cx="442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242" name="Line 280"/>
                <xdr:cNvSpPr/>
              </xdr:nvSpPr>
              <xdr:spPr>
                <a:xfrm>
                  <a:off x="4703040" y="10351440"/>
                  <a:ext cx="360" cy="269280"/>
                </a:xfrm>
                <a:prstGeom prst="line">
                  <a:avLst/>
                </a:prstGeom>
                <a:ln w="12700">
                  <a:solidFill>
                    <a:srgbClr val="ffc000"/>
                  </a:solidFill>
                  <a:round/>
                  <a:tailEnd len="med" type="triangle" w="med"/>
                </a:ln>
              </xdr:spPr>
              <xdr:style>
                <a:lnRef idx="0"/>
                <a:fillRef idx="0"/>
                <a:effectRef idx="0"/>
                <a:fontRef idx="minor"/>
              </xdr:style>
            </xdr:sp>
            <xdr:sp>
              <xdr:nvSpPr>
                <xdr:cNvPr id="243" name="455 Rectángulo redondeado"/>
                <xdr:cNvSpPr/>
              </xdr:nvSpPr>
              <xdr:spPr>
                <a:xfrm>
                  <a:off x="4678200" y="10394640"/>
                  <a:ext cx="442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sp>
            <xdr:nvSpPr>
              <xdr:cNvPr id="244" name="Line 244"/>
              <xdr:cNvSpPr/>
            </xdr:nvSpPr>
            <xdr:spPr>
              <a:xfrm>
                <a:off x="4031640" y="10038600"/>
                <a:ext cx="676440" cy="360"/>
              </a:xfrm>
              <a:prstGeom prst="line">
                <a:avLst/>
              </a:prstGeom>
              <a:ln w="19050">
                <a:solidFill>
                  <a:srgbClr val="ffc000"/>
                </a:solidFill>
                <a:round/>
              </a:ln>
            </xdr:spPr>
            <xdr:style>
              <a:lnRef idx="0"/>
              <a:fillRef idx="0"/>
              <a:effectRef idx="0"/>
              <a:fontRef idx="minor"/>
            </xdr:style>
          </xdr:sp>
          <xdr:sp>
            <xdr:nvSpPr>
              <xdr:cNvPr id="245" name="455 Rectángulo redondeado"/>
              <xdr:cNvSpPr/>
            </xdr:nvSpPr>
            <xdr:spPr>
              <a:xfrm rot="16200000">
                <a:off x="4105440" y="10018800"/>
                <a:ext cx="39960" cy="4428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246" name="455 Rectángulo redondeado"/>
              <xdr:cNvSpPr/>
            </xdr:nvSpPr>
            <xdr:spPr>
              <a:xfrm rot="5400000">
                <a:off x="3582360" y="10318680"/>
                <a:ext cx="39960" cy="44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nvGrpSpPr>
              <xdr:cNvPr id="247" name="Grupo 230"/>
              <xdr:cNvGrpSpPr/>
            </xdr:nvGrpSpPr>
            <xdr:grpSpPr>
              <a:xfrm>
                <a:off x="3724920" y="9857160"/>
                <a:ext cx="307800" cy="315000"/>
                <a:chOff x="3724920" y="9857160"/>
                <a:chExt cx="307800" cy="315000"/>
              </a:xfrm>
            </xdr:grpSpPr>
            <xdr:sp>
              <xdr:nvSpPr>
                <xdr:cNvPr id="248" name="Oval 40"/>
                <xdr:cNvSpPr/>
              </xdr:nvSpPr>
              <xdr:spPr>
                <a:xfrm rot="10800000">
                  <a:off x="3724920" y="9961560"/>
                  <a:ext cx="192960" cy="210600"/>
                </a:xfrm>
                <a:prstGeom prst="ellipse">
                  <a:avLst/>
                </a:prstGeom>
                <a:noFill/>
                <a:ln w="12700">
                  <a:solidFill>
                    <a:srgbClr val="000000"/>
                  </a:solidFill>
                  <a:round/>
                </a:ln>
              </xdr:spPr>
              <xdr:style>
                <a:lnRef idx="0"/>
                <a:fillRef idx="0"/>
                <a:effectRef idx="0"/>
                <a:fontRef idx="minor"/>
              </xdr:style>
            </xdr:sp>
            <xdr:sp>
              <xdr:nvSpPr>
                <xdr:cNvPr id="249" name="Oval 41"/>
                <xdr:cNvSpPr/>
              </xdr:nvSpPr>
              <xdr:spPr>
                <a:xfrm rot="10800000">
                  <a:off x="3724920" y="9857160"/>
                  <a:ext cx="192960" cy="210600"/>
                </a:xfrm>
                <a:prstGeom prst="ellipse">
                  <a:avLst/>
                </a:prstGeom>
                <a:noFill/>
                <a:ln w="12700">
                  <a:solidFill>
                    <a:srgbClr val="ff0000"/>
                  </a:solidFill>
                  <a:round/>
                </a:ln>
              </xdr:spPr>
              <xdr:style>
                <a:lnRef idx="0"/>
                <a:fillRef idx="0"/>
                <a:effectRef idx="0"/>
                <a:fontRef idx="minor"/>
              </xdr:style>
            </xdr:sp>
            <xdr:sp>
              <xdr:nvSpPr>
                <xdr:cNvPr id="250" name="Oval 63"/>
                <xdr:cNvSpPr/>
              </xdr:nvSpPr>
              <xdr:spPr>
                <a:xfrm>
                  <a:off x="3840480" y="9934920"/>
                  <a:ext cx="192240" cy="209520"/>
                </a:xfrm>
                <a:prstGeom prst="ellipse">
                  <a:avLst/>
                </a:prstGeom>
                <a:noFill/>
                <a:ln w="12700">
                  <a:solidFill>
                    <a:srgbClr val="ffc000"/>
                  </a:solidFill>
                  <a:round/>
                </a:ln>
              </xdr:spPr>
              <xdr:style>
                <a:lnRef idx="0"/>
                <a:fillRef idx="0"/>
                <a:effectRef idx="0"/>
                <a:fontRef idx="minor"/>
              </xdr:style>
            </xdr:sp>
          </xdr:grpSp>
          <xdr:sp>
            <xdr:nvSpPr>
              <xdr:cNvPr id="251" name="Line 100"/>
              <xdr:cNvSpPr/>
            </xdr:nvSpPr>
            <xdr:spPr>
              <a:xfrm>
                <a:off x="3816360" y="10173240"/>
                <a:ext cx="0" cy="156600"/>
              </a:xfrm>
              <a:prstGeom prst="line">
                <a:avLst/>
              </a:prstGeom>
              <a:ln w="25400">
                <a:solidFill>
                  <a:srgbClr val="000000"/>
                </a:solidFill>
                <a:round/>
              </a:ln>
            </xdr:spPr>
            <xdr:style>
              <a:lnRef idx="0"/>
              <a:fillRef idx="0"/>
              <a:effectRef idx="0"/>
              <a:fontRef idx="minor"/>
            </xdr:style>
          </xdr:sp>
          <xdr:sp>
            <xdr:nvSpPr>
              <xdr:cNvPr id="252" name="455 Rectángulo redondeado"/>
              <xdr:cNvSpPr/>
            </xdr:nvSpPr>
            <xdr:spPr>
              <a:xfrm>
                <a:off x="3796200" y="10244160"/>
                <a:ext cx="44280" cy="39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253" name="Line 206"/>
              <xdr:cNvSpPr/>
            </xdr:nvSpPr>
            <xdr:spPr>
              <a:xfrm>
                <a:off x="3824280" y="9521640"/>
                <a:ext cx="360" cy="339120"/>
              </a:xfrm>
              <a:prstGeom prst="line">
                <a:avLst/>
              </a:prstGeom>
              <a:ln w="25400">
                <a:solidFill>
                  <a:srgbClr val="ff0000"/>
                </a:solidFill>
                <a:round/>
              </a:ln>
            </xdr:spPr>
            <xdr:style>
              <a:lnRef idx="0"/>
              <a:fillRef idx="0"/>
              <a:effectRef idx="0"/>
              <a:fontRef idx="minor"/>
            </xdr:style>
          </xdr:sp>
          <xdr:sp>
            <xdr:nvSpPr>
              <xdr:cNvPr id="254" name="452 Rectángulo redondeado"/>
              <xdr:cNvSpPr/>
            </xdr:nvSpPr>
            <xdr:spPr>
              <a:xfrm>
                <a:off x="3802320" y="9775080"/>
                <a:ext cx="44280" cy="3996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55" name="Line 280"/>
              <xdr:cNvSpPr/>
            </xdr:nvSpPr>
            <xdr:spPr>
              <a:xfrm>
                <a:off x="3822120" y="10336680"/>
                <a:ext cx="360" cy="271080"/>
              </a:xfrm>
              <a:prstGeom prst="line">
                <a:avLst/>
              </a:prstGeom>
              <a:ln w="12700">
                <a:solidFill>
                  <a:srgbClr val="000000"/>
                </a:solidFill>
                <a:round/>
                <a:tailEnd len="med" type="triangle" w="med"/>
              </a:ln>
            </xdr:spPr>
            <xdr:style>
              <a:lnRef idx="0"/>
              <a:fillRef idx="0"/>
              <a:effectRef idx="0"/>
              <a:fontRef idx="minor"/>
            </xdr:style>
          </xdr:sp>
          <xdr:sp>
            <xdr:nvSpPr>
              <xdr:cNvPr id="256" name="455 Rectángulo redondeado"/>
              <xdr:cNvSpPr/>
            </xdr:nvSpPr>
            <xdr:spPr>
              <a:xfrm rot="5400000">
                <a:off x="3798360" y="10389240"/>
                <a:ext cx="39960" cy="446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nvGrpSpPr>
              <xdr:cNvPr id="257" name="Grupo 237"/>
              <xdr:cNvGrpSpPr/>
            </xdr:nvGrpSpPr>
            <xdr:grpSpPr>
              <a:xfrm>
                <a:off x="3341520" y="10047600"/>
                <a:ext cx="222480" cy="39960"/>
                <a:chOff x="3341520" y="10047600"/>
                <a:chExt cx="222480" cy="39960"/>
              </a:xfrm>
            </xdr:grpSpPr>
            <xdr:sp>
              <xdr:nvSpPr>
                <xdr:cNvPr id="258" name="Line 244"/>
                <xdr:cNvSpPr/>
              </xdr:nvSpPr>
              <xdr:spPr>
                <a:xfrm>
                  <a:off x="3341520" y="10064880"/>
                  <a:ext cx="222480" cy="360"/>
                </a:xfrm>
                <a:prstGeom prst="line">
                  <a:avLst/>
                </a:prstGeom>
                <a:ln w="19050">
                  <a:solidFill>
                    <a:srgbClr val="ffc000"/>
                  </a:solidFill>
                  <a:round/>
                </a:ln>
              </xdr:spPr>
              <xdr:style>
                <a:lnRef idx="0"/>
                <a:fillRef idx="0"/>
                <a:effectRef idx="0"/>
                <a:fontRef idx="minor"/>
              </xdr:style>
            </xdr:sp>
            <xdr:sp>
              <xdr:nvSpPr>
                <xdr:cNvPr id="259" name="455 Rectángulo redondeado"/>
                <xdr:cNvSpPr/>
              </xdr:nvSpPr>
              <xdr:spPr>
                <a:xfrm rot="16200000">
                  <a:off x="3417120" y="10045440"/>
                  <a:ext cx="39960" cy="4428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sp>
            <xdr:nvSpPr>
              <xdr:cNvPr id="260" name="Line 244"/>
              <xdr:cNvSpPr/>
            </xdr:nvSpPr>
            <xdr:spPr>
              <a:xfrm>
                <a:off x="3560400" y="9656280"/>
                <a:ext cx="360" cy="420840"/>
              </a:xfrm>
              <a:prstGeom prst="line">
                <a:avLst/>
              </a:prstGeom>
              <a:ln w="19050">
                <a:solidFill>
                  <a:srgbClr val="ffc000"/>
                </a:solidFill>
                <a:round/>
              </a:ln>
            </xdr:spPr>
            <xdr:style>
              <a:lnRef idx="0"/>
              <a:fillRef idx="0"/>
              <a:effectRef idx="0"/>
              <a:fontRef idx="minor"/>
            </xdr:style>
          </xdr:sp>
          <xdr:sp>
            <xdr:nvSpPr>
              <xdr:cNvPr id="261" name="Line 244"/>
              <xdr:cNvSpPr/>
            </xdr:nvSpPr>
            <xdr:spPr>
              <a:xfrm>
                <a:off x="3553560" y="9665280"/>
                <a:ext cx="209880" cy="360"/>
              </a:xfrm>
              <a:prstGeom prst="line">
                <a:avLst/>
              </a:prstGeom>
              <a:ln w="19050">
                <a:solidFill>
                  <a:srgbClr val="ffc000"/>
                </a:solidFill>
                <a:round/>
              </a:ln>
            </xdr:spPr>
            <xdr:style>
              <a:lnRef idx="0"/>
              <a:fillRef idx="0"/>
              <a:effectRef idx="0"/>
              <a:fontRef idx="minor"/>
            </xdr:style>
          </xdr:sp>
          <xdr:sp>
            <xdr:nvSpPr>
              <xdr:cNvPr id="262" name="Line 244"/>
              <xdr:cNvSpPr/>
            </xdr:nvSpPr>
            <xdr:spPr>
              <a:xfrm>
                <a:off x="5156280" y="9669600"/>
                <a:ext cx="360" cy="679320"/>
              </a:xfrm>
              <a:prstGeom prst="line">
                <a:avLst/>
              </a:prstGeom>
              <a:ln w="19050">
                <a:solidFill>
                  <a:srgbClr val="ffc000"/>
                </a:solidFill>
                <a:round/>
              </a:ln>
            </xdr:spPr>
            <xdr:style>
              <a:lnRef idx="0"/>
              <a:fillRef idx="0"/>
              <a:effectRef idx="0"/>
              <a:fontRef idx="minor"/>
            </xdr:style>
          </xdr:sp>
          <xdr:sp>
            <xdr:nvSpPr>
              <xdr:cNvPr id="263" name="455 Rectángulo redondeado"/>
              <xdr:cNvSpPr/>
            </xdr:nvSpPr>
            <xdr:spPr>
              <a:xfrm>
                <a:off x="5133960" y="10236600"/>
                <a:ext cx="442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264" name="Arco 242"/>
              <xdr:cNvSpPr/>
            </xdr:nvSpPr>
            <xdr:spPr>
              <a:xfrm>
                <a:off x="3762000" y="9602640"/>
                <a:ext cx="129240" cy="140760"/>
              </a:xfrm>
              <a:prstGeom prst="arc">
                <a:avLst>
                  <a:gd name="adj1" fmla="val 10932143"/>
                  <a:gd name="adj2" fmla="val 21419250"/>
                </a:avLst>
              </a:prstGeom>
              <a:noFill/>
              <a:ln w="19050">
                <a:solidFill>
                  <a:srgbClr val="ffc000"/>
                </a:solidFill>
                <a:round/>
              </a:ln>
            </xdr:spPr>
            <xdr:style>
              <a:lnRef idx="0"/>
              <a:fillRef idx="0"/>
              <a:effectRef idx="0"/>
              <a:fontRef idx="minor"/>
            </xdr:style>
          </xdr:sp>
          <xdr:sp>
            <xdr:nvSpPr>
              <xdr:cNvPr id="265" name="Line 244"/>
              <xdr:cNvSpPr/>
            </xdr:nvSpPr>
            <xdr:spPr>
              <a:xfrm>
                <a:off x="3876840" y="9662400"/>
                <a:ext cx="1291320" cy="360"/>
              </a:xfrm>
              <a:prstGeom prst="line">
                <a:avLst/>
              </a:prstGeom>
              <a:ln w="19050">
                <a:solidFill>
                  <a:srgbClr val="ffc000"/>
                </a:solidFill>
                <a:round/>
              </a:ln>
            </xdr:spPr>
            <xdr:style>
              <a:lnRef idx="0"/>
              <a:fillRef idx="0"/>
              <a:effectRef idx="0"/>
              <a:fontRef idx="minor"/>
            </xdr:style>
          </xdr:sp>
          <xdr:sp>
            <xdr:nvSpPr>
              <xdr:cNvPr id="266" name="Line 280"/>
              <xdr:cNvSpPr/>
            </xdr:nvSpPr>
            <xdr:spPr>
              <a:xfrm>
                <a:off x="5154840" y="10355400"/>
                <a:ext cx="360" cy="269280"/>
              </a:xfrm>
              <a:prstGeom prst="line">
                <a:avLst/>
              </a:prstGeom>
              <a:ln w="12700">
                <a:solidFill>
                  <a:srgbClr val="ffc000"/>
                </a:solidFill>
                <a:round/>
                <a:tailEnd len="med" type="triangle" w="med"/>
              </a:ln>
            </xdr:spPr>
            <xdr:style>
              <a:lnRef idx="0"/>
              <a:fillRef idx="0"/>
              <a:effectRef idx="0"/>
              <a:fontRef idx="minor"/>
            </xdr:style>
          </xdr:sp>
          <xdr:sp>
            <xdr:nvSpPr>
              <xdr:cNvPr id="267" name="455 Rectángulo redondeado"/>
              <xdr:cNvSpPr/>
            </xdr:nvSpPr>
            <xdr:spPr>
              <a:xfrm>
                <a:off x="5132520" y="10389240"/>
                <a:ext cx="442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268" name="Text Box 188"/>
              <xdr:cNvSpPr/>
            </xdr:nvSpPr>
            <xdr:spPr>
              <a:xfrm>
                <a:off x="2381040" y="8892360"/>
                <a:ext cx="968400" cy="28548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Hacia Caracolí 110 kV</a:t>
                </a:r>
                <a:endParaRPr b="0" lang="en-GB" sz="600" spc="-1" strike="noStrike">
                  <a:latin typeface="Times New Roman"/>
                </a:endParaRPr>
              </a:p>
            </xdr:txBody>
          </xdr:sp>
        </xdr:grpSp>
        <xdr:sp>
          <xdr:nvSpPr>
            <xdr:cNvPr id="269" name="455 Rectángulo redondeado"/>
            <xdr:cNvSpPr/>
          </xdr:nvSpPr>
          <xdr:spPr>
            <a:xfrm rot="10800000">
              <a:off x="4232160" y="9429840"/>
              <a:ext cx="44280" cy="3996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grpSp>
    <xdr:clientData/>
  </xdr:twoCellAnchor>
  <xdr:twoCellAnchor editAs="twoCell">
    <xdr:from>
      <xdr:col>6</xdr:col>
      <xdr:colOff>545040</xdr:colOff>
      <xdr:row>53</xdr:row>
      <xdr:rowOff>171360</xdr:rowOff>
    </xdr:from>
    <xdr:to>
      <xdr:col>6</xdr:col>
      <xdr:colOff>545040</xdr:colOff>
      <xdr:row>55</xdr:row>
      <xdr:rowOff>37440</xdr:rowOff>
    </xdr:to>
    <xdr:sp>
      <xdr:nvSpPr>
        <xdr:cNvPr id="270" name="Line 280"/>
        <xdr:cNvSpPr/>
      </xdr:nvSpPr>
      <xdr:spPr>
        <a:xfrm>
          <a:off x="5574240" y="10334520"/>
          <a:ext cx="0" cy="246960"/>
        </a:xfrm>
        <a:prstGeom prst="line">
          <a:avLst/>
        </a:prstGeom>
        <a:ln w="19050">
          <a:solidFill>
            <a:srgbClr val="ffc000"/>
          </a:solidFill>
          <a:round/>
        </a:ln>
      </xdr:spPr>
      <xdr:style>
        <a:lnRef idx="0"/>
        <a:fillRef idx="0"/>
        <a:effectRef idx="0"/>
        <a:fontRef idx="minor"/>
      </xdr:style>
    </xdr:sp>
    <xdr:clientData/>
  </xdr:twoCellAnchor>
  <xdr:twoCellAnchor editAs="twoCell">
    <xdr:from>
      <xdr:col>6</xdr:col>
      <xdr:colOff>523440</xdr:colOff>
      <xdr:row>54</xdr:row>
      <xdr:rowOff>37080</xdr:rowOff>
    </xdr:from>
    <xdr:to>
      <xdr:col>6</xdr:col>
      <xdr:colOff>566280</xdr:colOff>
      <xdr:row>54</xdr:row>
      <xdr:rowOff>80280</xdr:rowOff>
    </xdr:to>
    <xdr:sp>
      <xdr:nvSpPr>
        <xdr:cNvPr id="271" name="455 Rectángulo redondeado"/>
        <xdr:cNvSpPr/>
      </xdr:nvSpPr>
      <xdr:spPr>
        <a:xfrm>
          <a:off x="5552640" y="10390680"/>
          <a:ext cx="42840" cy="432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xdr:col>
      <xdr:colOff>501840</xdr:colOff>
      <xdr:row>53</xdr:row>
      <xdr:rowOff>74520</xdr:rowOff>
    </xdr:from>
    <xdr:to>
      <xdr:col>3</xdr:col>
      <xdr:colOff>556560</xdr:colOff>
      <xdr:row>54</xdr:row>
      <xdr:rowOff>45720</xdr:rowOff>
    </xdr:to>
    <xdr:sp>
      <xdr:nvSpPr>
        <xdr:cNvPr id="272" name="Text Box 188"/>
        <xdr:cNvSpPr/>
      </xdr:nvSpPr>
      <xdr:spPr>
        <a:xfrm>
          <a:off x="2178360" y="10237680"/>
          <a:ext cx="892800" cy="16164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Malambo 13,8 kV</a:t>
          </a:r>
          <a:endParaRPr b="0" lang="en-GB" sz="600" spc="-1" strike="noStrike">
            <a:latin typeface="Times New Roman"/>
          </a:endParaRPr>
        </a:p>
      </xdr:txBody>
    </xdr:sp>
    <xdr:clientData/>
  </xdr:twoCellAnchor>
  <xdr:twoCellAnchor editAs="twoCell">
    <xdr:from>
      <xdr:col>6</xdr:col>
      <xdr:colOff>220680</xdr:colOff>
      <xdr:row>52</xdr:row>
      <xdr:rowOff>141840</xdr:rowOff>
    </xdr:from>
    <xdr:to>
      <xdr:col>6</xdr:col>
      <xdr:colOff>729360</xdr:colOff>
      <xdr:row>54</xdr:row>
      <xdr:rowOff>14400</xdr:rowOff>
    </xdr:to>
    <xdr:sp>
      <xdr:nvSpPr>
        <xdr:cNvPr id="273" name="Text Box 188"/>
        <xdr:cNvSpPr/>
      </xdr:nvSpPr>
      <xdr:spPr>
        <a:xfrm>
          <a:off x="5249880" y="10114560"/>
          <a:ext cx="508680" cy="25344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Malambo 34,5 kV</a:t>
          </a:r>
          <a:endParaRPr b="0" lang="en-GB" sz="600" spc="-1" strike="noStrike">
            <a:latin typeface="Times New Roman"/>
          </a:endParaRPr>
        </a:p>
      </xdr:txBody>
    </xdr:sp>
    <xdr:clientData/>
  </xdr:twoCellAnchor>
  <xdr:twoCellAnchor editAs="twoCell">
    <xdr:from>
      <xdr:col>7</xdr:col>
      <xdr:colOff>583200</xdr:colOff>
      <xdr:row>53</xdr:row>
      <xdr:rowOff>182880</xdr:rowOff>
    </xdr:from>
    <xdr:to>
      <xdr:col>8</xdr:col>
      <xdr:colOff>434880</xdr:colOff>
      <xdr:row>53</xdr:row>
      <xdr:rowOff>182880</xdr:rowOff>
    </xdr:to>
    <xdr:sp>
      <xdr:nvSpPr>
        <xdr:cNvPr id="274" name="Line 38"/>
        <xdr:cNvSpPr/>
      </xdr:nvSpPr>
      <xdr:spPr>
        <a:xfrm>
          <a:off x="6450480" y="10346040"/>
          <a:ext cx="690120" cy="0"/>
        </a:xfrm>
        <a:prstGeom prst="line">
          <a:avLst/>
        </a:prstGeom>
        <a:ln w="25400">
          <a:solidFill>
            <a:srgbClr val="ffc000"/>
          </a:solidFill>
          <a:round/>
        </a:ln>
      </xdr:spPr>
      <xdr:style>
        <a:lnRef idx="0"/>
        <a:fillRef idx="0"/>
        <a:effectRef idx="0"/>
        <a:fontRef idx="minor"/>
      </xdr:style>
    </xdr:sp>
    <xdr:clientData/>
  </xdr:twoCellAnchor>
  <xdr:twoCellAnchor editAs="twoCell">
    <xdr:from>
      <xdr:col>7</xdr:col>
      <xdr:colOff>573480</xdr:colOff>
      <xdr:row>52</xdr:row>
      <xdr:rowOff>141120</xdr:rowOff>
    </xdr:from>
    <xdr:to>
      <xdr:col>8</xdr:col>
      <xdr:colOff>512640</xdr:colOff>
      <xdr:row>53</xdr:row>
      <xdr:rowOff>149400</xdr:rowOff>
    </xdr:to>
    <xdr:sp>
      <xdr:nvSpPr>
        <xdr:cNvPr id="275" name="Text Box 188"/>
        <xdr:cNvSpPr/>
      </xdr:nvSpPr>
      <xdr:spPr>
        <a:xfrm>
          <a:off x="6440760" y="10113840"/>
          <a:ext cx="777600" cy="1987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Sabanagrande 34,5 kV</a:t>
          </a:r>
          <a:endParaRPr b="0" lang="en-GB" sz="600" spc="-1" strike="noStrike">
            <a:latin typeface="Times New Roman"/>
          </a:endParaRPr>
        </a:p>
      </xdr:txBody>
    </xdr:sp>
    <xdr:clientData/>
  </xdr:twoCellAnchor>
  <xdr:twoCellAnchor editAs="twoCell">
    <xdr:from>
      <xdr:col>7</xdr:col>
      <xdr:colOff>685080</xdr:colOff>
      <xdr:row>53</xdr:row>
      <xdr:rowOff>172440</xdr:rowOff>
    </xdr:from>
    <xdr:to>
      <xdr:col>7</xdr:col>
      <xdr:colOff>685080</xdr:colOff>
      <xdr:row>55</xdr:row>
      <xdr:rowOff>38520</xdr:rowOff>
    </xdr:to>
    <xdr:sp>
      <xdr:nvSpPr>
        <xdr:cNvPr id="276" name="Line 280"/>
        <xdr:cNvSpPr/>
      </xdr:nvSpPr>
      <xdr:spPr>
        <a:xfrm>
          <a:off x="6552360" y="10335600"/>
          <a:ext cx="0" cy="246960"/>
        </a:xfrm>
        <a:prstGeom prst="line">
          <a:avLst/>
        </a:prstGeom>
        <a:ln w="19050">
          <a:solidFill>
            <a:srgbClr val="ffc000"/>
          </a:solidFill>
          <a:round/>
        </a:ln>
      </xdr:spPr>
      <xdr:style>
        <a:lnRef idx="0"/>
        <a:fillRef idx="0"/>
        <a:effectRef idx="0"/>
        <a:fontRef idx="minor"/>
      </xdr:style>
    </xdr:sp>
    <xdr:clientData/>
  </xdr:twoCellAnchor>
  <xdr:twoCellAnchor editAs="twoCell">
    <xdr:from>
      <xdr:col>7</xdr:col>
      <xdr:colOff>663480</xdr:colOff>
      <xdr:row>54</xdr:row>
      <xdr:rowOff>38160</xdr:rowOff>
    </xdr:from>
    <xdr:to>
      <xdr:col>7</xdr:col>
      <xdr:colOff>706320</xdr:colOff>
      <xdr:row>54</xdr:row>
      <xdr:rowOff>81360</xdr:rowOff>
    </xdr:to>
    <xdr:sp>
      <xdr:nvSpPr>
        <xdr:cNvPr id="277" name="455 Rectángulo redondeado"/>
        <xdr:cNvSpPr/>
      </xdr:nvSpPr>
      <xdr:spPr>
        <a:xfrm>
          <a:off x="6530760" y="10391760"/>
          <a:ext cx="42840" cy="432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6</xdr:col>
      <xdr:colOff>538560</xdr:colOff>
      <xdr:row>55</xdr:row>
      <xdr:rowOff>37800</xdr:rowOff>
    </xdr:from>
    <xdr:to>
      <xdr:col>7</xdr:col>
      <xdr:colOff>689400</xdr:colOff>
      <xdr:row>55</xdr:row>
      <xdr:rowOff>37800</xdr:rowOff>
    </xdr:to>
    <xdr:sp>
      <xdr:nvSpPr>
        <xdr:cNvPr id="278" name="Line 280"/>
        <xdr:cNvSpPr/>
      </xdr:nvSpPr>
      <xdr:spPr>
        <a:xfrm flipH="1">
          <a:off x="5567760" y="10581840"/>
          <a:ext cx="988920" cy="0"/>
        </a:xfrm>
        <a:prstGeom prst="line">
          <a:avLst/>
        </a:prstGeom>
        <a:ln w="19050">
          <a:solidFill>
            <a:srgbClr val="ffc000"/>
          </a:solidFill>
          <a:round/>
        </a:ln>
      </xdr:spPr>
      <xdr:style>
        <a:lnRef idx="0"/>
        <a:fillRef idx="0"/>
        <a:effectRef idx="0"/>
        <a:fontRef idx="minor"/>
      </xdr:style>
    </xdr:sp>
    <xdr:clientData/>
  </xdr:twoCellAnchor>
  <xdr:twoCellAnchor editAs="twoCell">
    <xdr:from>
      <xdr:col>8</xdr:col>
      <xdr:colOff>228600</xdr:colOff>
      <xdr:row>55</xdr:row>
      <xdr:rowOff>105840</xdr:rowOff>
    </xdr:from>
    <xdr:to>
      <xdr:col>8</xdr:col>
      <xdr:colOff>406800</xdr:colOff>
      <xdr:row>56</xdr:row>
      <xdr:rowOff>126000</xdr:rowOff>
    </xdr:to>
    <xdr:sp>
      <xdr:nvSpPr>
        <xdr:cNvPr id="279" name="Oval 40"/>
        <xdr:cNvSpPr/>
      </xdr:nvSpPr>
      <xdr:spPr>
        <a:xfrm rot="10800000">
          <a:off x="6934320" y="10649880"/>
          <a:ext cx="178200" cy="210960"/>
        </a:xfrm>
        <a:prstGeom prst="ellipse">
          <a:avLst/>
        </a:prstGeom>
        <a:noFill/>
        <a:ln w="12700">
          <a:solidFill>
            <a:srgbClr val="000000"/>
          </a:solidFill>
          <a:round/>
        </a:ln>
      </xdr:spPr>
      <xdr:style>
        <a:lnRef idx="0"/>
        <a:fillRef idx="0"/>
        <a:effectRef idx="0"/>
        <a:fontRef idx="minor"/>
      </xdr:style>
    </xdr:sp>
    <xdr:clientData/>
  </xdr:twoCellAnchor>
  <xdr:twoCellAnchor editAs="twoCell">
    <xdr:from>
      <xdr:col>8</xdr:col>
      <xdr:colOff>225720</xdr:colOff>
      <xdr:row>54</xdr:row>
      <xdr:rowOff>183600</xdr:rowOff>
    </xdr:from>
    <xdr:to>
      <xdr:col>8</xdr:col>
      <xdr:colOff>403920</xdr:colOff>
      <xdr:row>56</xdr:row>
      <xdr:rowOff>13320</xdr:rowOff>
    </xdr:to>
    <xdr:sp>
      <xdr:nvSpPr>
        <xdr:cNvPr id="280" name="Oval 41"/>
        <xdr:cNvSpPr/>
      </xdr:nvSpPr>
      <xdr:spPr>
        <a:xfrm rot="10800000">
          <a:off x="6931440" y="10537200"/>
          <a:ext cx="178200" cy="210960"/>
        </a:xfrm>
        <a:prstGeom prst="ellipse">
          <a:avLst/>
        </a:prstGeom>
        <a:noFill/>
        <a:ln w="12700">
          <a:solidFill>
            <a:srgbClr val="ffc000"/>
          </a:solidFill>
          <a:round/>
        </a:ln>
      </xdr:spPr>
      <xdr:style>
        <a:lnRef idx="0"/>
        <a:fillRef idx="0"/>
        <a:effectRef idx="0"/>
        <a:fontRef idx="minor"/>
      </xdr:style>
    </xdr:sp>
    <xdr:clientData/>
  </xdr:twoCellAnchor>
  <xdr:twoCellAnchor editAs="twoCell">
    <xdr:from>
      <xdr:col>8</xdr:col>
      <xdr:colOff>312840</xdr:colOff>
      <xdr:row>54</xdr:row>
      <xdr:rowOff>1080</xdr:rowOff>
    </xdr:from>
    <xdr:to>
      <xdr:col>8</xdr:col>
      <xdr:colOff>312840</xdr:colOff>
      <xdr:row>54</xdr:row>
      <xdr:rowOff>185040</xdr:rowOff>
    </xdr:to>
    <xdr:sp>
      <xdr:nvSpPr>
        <xdr:cNvPr id="281" name="Line 206"/>
        <xdr:cNvSpPr/>
      </xdr:nvSpPr>
      <xdr:spPr>
        <a:xfrm>
          <a:off x="7018560" y="10354680"/>
          <a:ext cx="0" cy="183960"/>
        </a:xfrm>
        <a:prstGeom prst="line">
          <a:avLst/>
        </a:prstGeom>
        <a:ln w="19050">
          <a:solidFill>
            <a:srgbClr val="ffc000"/>
          </a:solidFill>
          <a:round/>
        </a:ln>
      </xdr:spPr>
      <xdr:style>
        <a:lnRef idx="0"/>
        <a:fillRef idx="0"/>
        <a:effectRef idx="0"/>
        <a:fontRef idx="minor"/>
      </xdr:style>
    </xdr:sp>
    <xdr:clientData/>
  </xdr:twoCellAnchor>
  <xdr:twoCellAnchor editAs="twoCell">
    <xdr:from>
      <xdr:col>8</xdr:col>
      <xdr:colOff>292680</xdr:colOff>
      <xdr:row>54</xdr:row>
      <xdr:rowOff>32400</xdr:rowOff>
    </xdr:from>
    <xdr:to>
      <xdr:col>8</xdr:col>
      <xdr:colOff>333360</xdr:colOff>
      <xdr:row>54</xdr:row>
      <xdr:rowOff>72360</xdr:rowOff>
    </xdr:to>
    <xdr:sp>
      <xdr:nvSpPr>
        <xdr:cNvPr id="282" name="452 Rectángulo redondeado"/>
        <xdr:cNvSpPr/>
      </xdr:nvSpPr>
      <xdr:spPr>
        <a:xfrm>
          <a:off x="6998400" y="10386000"/>
          <a:ext cx="406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8</xdr:col>
      <xdr:colOff>320400</xdr:colOff>
      <xdr:row>56</xdr:row>
      <xdr:rowOff>131760</xdr:rowOff>
    </xdr:from>
    <xdr:to>
      <xdr:col>8</xdr:col>
      <xdr:colOff>320400</xdr:colOff>
      <xdr:row>57</xdr:row>
      <xdr:rowOff>76680</xdr:rowOff>
    </xdr:to>
    <xdr:sp>
      <xdr:nvSpPr>
        <xdr:cNvPr id="283" name="Line 100"/>
        <xdr:cNvSpPr/>
      </xdr:nvSpPr>
      <xdr:spPr>
        <a:xfrm>
          <a:off x="7026120" y="10866600"/>
          <a:ext cx="0" cy="135360"/>
        </a:xfrm>
        <a:prstGeom prst="line">
          <a:avLst/>
        </a:prstGeom>
        <a:ln w="15875">
          <a:solidFill>
            <a:srgbClr val="000000"/>
          </a:solidFill>
          <a:round/>
        </a:ln>
      </xdr:spPr>
      <xdr:style>
        <a:lnRef idx="0"/>
        <a:fillRef idx="0"/>
        <a:effectRef idx="0"/>
        <a:fontRef idx="minor"/>
      </xdr:style>
    </xdr:sp>
    <xdr:clientData/>
  </xdr:twoCellAnchor>
  <xdr:twoCellAnchor editAs="twoCell">
    <xdr:from>
      <xdr:col>8</xdr:col>
      <xdr:colOff>203760</xdr:colOff>
      <xdr:row>57</xdr:row>
      <xdr:rowOff>81720</xdr:rowOff>
    </xdr:from>
    <xdr:to>
      <xdr:col>8</xdr:col>
      <xdr:colOff>455040</xdr:colOff>
      <xdr:row>57</xdr:row>
      <xdr:rowOff>81720</xdr:rowOff>
    </xdr:to>
    <xdr:sp>
      <xdr:nvSpPr>
        <xdr:cNvPr id="284" name="Line 99"/>
        <xdr:cNvSpPr/>
      </xdr:nvSpPr>
      <xdr:spPr>
        <a:xfrm>
          <a:off x="6909480" y="11007000"/>
          <a:ext cx="251280" cy="0"/>
        </a:xfrm>
        <a:prstGeom prst="line">
          <a:avLst/>
        </a:prstGeom>
        <a:ln w="25400">
          <a:solidFill>
            <a:srgbClr val="000000"/>
          </a:solidFill>
          <a:round/>
        </a:ln>
      </xdr:spPr>
      <xdr:style>
        <a:lnRef idx="0"/>
        <a:fillRef idx="0"/>
        <a:effectRef idx="0"/>
        <a:fontRef idx="minor"/>
      </xdr:style>
    </xdr:sp>
    <xdr:clientData/>
  </xdr:twoCellAnchor>
  <xdr:twoCellAnchor editAs="twoCell">
    <xdr:from>
      <xdr:col>8</xdr:col>
      <xdr:colOff>322920</xdr:colOff>
      <xdr:row>57</xdr:row>
      <xdr:rowOff>72360</xdr:rowOff>
    </xdr:from>
    <xdr:to>
      <xdr:col>8</xdr:col>
      <xdr:colOff>322920</xdr:colOff>
      <xdr:row>58</xdr:row>
      <xdr:rowOff>154440</xdr:rowOff>
    </xdr:to>
    <xdr:sp>
      <xdr:nvSpPr>
        <xdr:cNvPr id="285" name="Line 280"/>
        <xdr:cNvSpPr/>
      </xdr:nvSpPr>
      <xdr:spPr>
        <a:xfrm>
          <a:off x="7028640" y="10997640"/>
          <a:ext cx="0" cy="281880"/>
        </a:xfrm>
        <a:prstGeom prst="line">
          <a:avLst/>
        </a:prstGeom>
        <a:ln w="12700">
          <a:solidFill>
            <a:srgbClr val="000000"/>
          </a:solidFill>
          <a:round/>
          <a:tailEnd len="med" type="triangle" w="med"/>
        </a:ln>
      </xdr:spPr>
      <xdr:style>
        <a:lnRef idx="0"/>
        <a:fillRef idx="0"/>
        <a:effectRef idx="0"/>
        <a:fontRef idx="minor"/>
      </xdr:style>
    </xdr:sp>
    <xdr:clientData/>
  </xdr:twoCellAnchor>
  <xdr:twoCellAnchor editAs="twoCell">
    <xdr:from>
      <xdr:col>8</xdr:col>
      <xdr:colOff>299880</xdr:colOff>
      <xdr:row>57</xdr:row>
      <xdr:rowOff>126720</xdr:rowOff>
    </xdr:from>
    <xdr:to>
      <xdr:col>8</xdr:col>
      <xdr:colOff>339840</xdr:colOff>
      <xdr:row>57</xdr:row>
      <xdr:rowOff>167760</xdr:rowOff>
    </xdr:to>
    <xdr:sp>
      <xdr:nvSpPr>
        <xdr:cNvPr id="286" name="455 Rectángulo redondeado"/>
        <xdr:cNvSpPr/>
      </xdr:nvSpPr>
      <xdr:spPr>
        <a:xfrm rot="5400000">
          <a:off x="7004880" y="11052360"/>
          <a:ext cx="41040" cy="39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8</xdr:col>
      <xdr:colOff>297000</xdr:colOff>
      <xdr:row>56</xdr:row>
      <xdr:rowOff>177840</xdr:rowOff>
    </xdr:from>
    <xdr:to>
      <xdr:col>8</xdr:col>
      <xdr:colOff>336960</xdr:colOff>
      <xdr:row>57</xdr:row>
      <xdr:rowOff>28440</xdr:rowOff>
    </xdr:to>
    <xdr:sp>
      <xdr:nvSpPr>
        <xdr:cNvPr id="287" name="455 Rectángulo redondeado"/>
        <xdr:cNvSpPr/>
      </xdr:nvSpPr>
      <xdr:spPr>
        <a:xfrm rot="5400000">
          <a:off x="7002000" y="10913040"/>
          <a:ext cx="41040" cy="39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7</xdr:col>
      <xdr:colOff>329760</xdr:colOff>
      <xdr:row>56</xdr:row>
      <xdr:rowOff>179280</xdr:rowOff>
    </xdr:from>
    <xdr:to>
      <xdr:col>8</xdr:col>
      <xdr:colOff>275400</xdr:colOff>
      <xdr:row>57</xdr:row>
      <xdr:rowOff>187560</xdr:rowOff>
    </xdr:to>
    <xdr:sp>
      <xdr:nvSpPr>
        <xdr:cNvPr id="288" name="Text Box 188"/>
        <xdr:cNvSpPr/>
      </xdr:nvSpPr>
      <xdr:spPr>
        <a:xfrm>
          <a:off x="6197040" y="10914120"/>
          <a:ext cx="784080" cy="1987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Sabanagrande 13,8 kV</a:t>
          </a:r>
          <a:endParaRPr b="0" lang="en-GB" sz="600" spc="-1" strike="noStrike">
            <a:latin typeface="Times New Roman"/>
          </a:endParaRPr>
        </a:p>
      </xdr:txBody>
    </xdr:sp>
    <xdr:clientData/>
  </xdr:twoCellAnchor>
  <xdr:twoCellAnchor editAs="twoCell">
    <xdr:from>
      <xdr:col>6</xdr:col>
      <xdr:colOff>700560</xdr:colOff>
      <xdr:row>54</xdr:row>
      <xdr:rowOff>22680</xdr:rowOff>
    </xdr:from>
    <xdr:to>
      <xdr:col>7</xdr:col>
      <xdr:colOff>639720</xdr:colOff>
      <xdr:row>55</xdr:row>
      <xdr:rowOff>30960</xdr:rowOff>
    </xdr:to>
    <xdr:sp>
      <xdr:nvSpPr>
        <xdr:cNvPr id="289" name="Text Box 188"/>
        <xdr:cNvSpPr/>
      </xdr:nvSpPr>
      <xdr:spPr>
        <a:xfrm>
          <a:off x="5729760" y="10376280"/>
          <a:ext cx="777240" cy="1987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LN-575</a:t>
          </a:r>
          <a:endParaRPr b="0" lang="en-GB" sz="600" spc="-1" strike="noStrike">
            <a:latin typeface="Times New Roman"/>
          </a:endParaRPr>
        </a:p>
      </xdr:txBody>
    </xdr:sp>
    <xdr:clientData/>
  </xdr:twoCellAnchor>
  <xdr:twoCellAnchor editAs="twoCell">
    <xdr:from>
      <xdr:col>5</xdr:col>
      <xdr:colOff>545400</xdr:colOff>
      <xdr:row>46</xdr:row>
      <xdr:rowOff>145800</xdr:rowOff>
    </xdr:from>
    <xdr:to>
      <xdr:col>6</xdr:col>
      <xdr:colOff>288000</xdr:colOff>
      <xdr:row>47</xdr:row>
      <xdr:rowOff>70200</xdr:rowOff>
    </xdr:to>
    <xdr:sp>
      <xdr:nvSpPr>
        <xdr:cNvPr id="290" name="Text Box 188"/>
        <xdr:cNvSpPr/>
      </xdr:nvSpPr>
      <xdr:spPr>
        <a:xfrm>
          <a:off x="4736520" y="8965800"/>
          <a:ext cx="580680" cy="12456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Carga Acesco</a:t>
          </a:r>
          <a:endParaRPr b="0" lang="en-GB" sz="600" spc="-1" strike="noStrike">
            <a:latin typeface="Times New Roman"/>
          </a:endParaRPr>
        </a:p>
      </xdr:txBody>
    </xdr:sp>
    <xdr:clientData/>
  </xdr:twoCellAnchor>
  <xdr:twoCellAnchor editAs="twoCell">
    <xdr:from>
      <xdr:col>6</xdr:col>
      <xdr:colOff>34920</xdr:colOff>
      <xdr:row>47</xdr:row>
      <xdr:rowOff>167040</xdr:rowOff>
    </xdr:from>
    <xdr:to>
      <xdr:col>6</xdr:col>
      <xdr:colOff>34920</xdr:colOff>
      <xdr:row>49</xdr:row>
      <xdr:rowOff>129960</xdr:rowOff>
    </xdr:to>
    <xdr:sp>
      <xdr:nvSpPr>
        <xdr:cNvPr id="291" name="Line 280"/>
        <xdr:cNvSpPr/>
      </xdr:nvSpPr>
      <xdr:spPr>
        <a:xfrm flipV="1">
          <a:off x="5064120" y="9187200"/>
          <a:ext cx="0" cy="343800"/>
        </a:xfrm>
        <a:prstGeom prst="line">
          <a:avLst/>
        </a:prstGeom>
        <a:ln w="12700">
          <a:solidFill>
            <a:srgbClr val="ee0000"/>
          </a:solidFill>
          <a:round/>
          <a:tailEnd len="med" type="triangle" w="med"/>
        </a:ln>
      </xdr:spPr>
      <xdr:style>
        <a:lnRef idx="0"/>
        <a:fillRef idx="0"/>
        <a:effectRef idx="0"/>
        <a:fontRef idx="minor"/>
      </xdr:style>
    </xdr:sp>
    <xdr:clientData/>
  </xdr:twoCellAnchor>
  <xdr:twoCellAnchor editAs="twoCell">
    <xdr:from>
      <xdr:col>6</xdr:col>
      <xdr:colOff>18720</xdr:colOff>
      <xdr:row>49</xdr:row>
      <xdr:rowOff>16200</xdr:rowOff>
    </xdr:from>
    <xdr:to>
      <xdr:col>6</xdr:col>
      <xdr:colOff>58680</xdr:colOff>
      <xdr:row>49</xdr:row>
      <xdr:rowOff>57240</xdr:rowOff>
    </xdr:to>
    <xdr:sp>
      <xdr:nvSpPr>
        <xdr:cNvPr id="292" name="455 Rectángulo redondeado"/>
        <xdr:cNvSpPr/>
      </xdr:nvSpPr>
      <xdr:spPr>
        <a:xfrm rot="16200000">
          <a:off x="5047200" y="9417600"/>
          <a:ext cx="41040" cy="39960"/>
        </a:xfrm>
        <a:prstGeom prst="roundRect">
          <a:avLst>
            <a:gd name="adj" fmla="val 16667"/>
          </a:avLst>
        </a:prstGeom>
        <a:solidFill>
          <a:srgbClr val="ee0000"/>
        </a:solidFill>
        <a:ln>
          <a:solidFill>
            <a:srgbClr val="ee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17</xdr:col>
      <xdr:colOff>106560</xdr:colOff>
      <xdr:row>51</xdr:row>
      <xdr:rowOff>93240</xdr:rowOff>
    </xdr:from>
    <xdr:to>
      <xdr:col>17</xdr:col>
      <xdr:colOff>106560</xdr:colOff>
      <xdr:row>54</xdr:row>
      <xdr:rowOff>96480</xdr:rowOff>
    </xdr:to>
    <xdr:sp>
      <xdr:nvSpPr>
        <xdr:cNvPr id="293" name="Line 280"/>
        <xdr:cNvSpPr/>
      </xdr:nvSpPr>
      <xdr:spPr>
        <a:xfrm>
          <a:off x="15712200" y="9875520"/>
          <a:ext cx="0" cy="574560"/>
        </a:xfrm>
        <a:prstGeom prst="line">
          <a:avLst/>
        </a:prstGeom>
        <a:ln w="12700">
          <a:solidFill>
            <a:srgbClr val="ffc000"/>
          </a:solidFill>
          <a:round/>
        </a:ln>
      </xdr:spPr>
      <xdr:style>
        <a:lnRef idx="0"/>
        <a:fillRef idx="0"/>
        <a:effectRef idx="0"/>
        <a:fontRef idx="minor"/>
      </xdr:style>
    </xdr:sp>
    <xdr:clientData/>
  </xdr:twoCellAnchor>
  <xdr:twoCellAnchor editAs="twoCell">
    <xdr:from>
      <xdr:col>17</xdr:col>
      <xdr:colOff>88200</xdr:colOff>
      <xdr:row>51</xdr:row>
      <xdr:rowOff>136440</xdr:rowOff>
    </xdr:from>
    <xdr:to>
      <xdr:col>17</xdr:col>
      <xdr:colOff>128520</xdr:colOff>
      <xdr:row>51</xdr:row>
      <xdr:rowOff>176040</xdr:rowOff>
    </xdr:to>
    <xdr:sp>
      <xdr:nvSpPr>
        <xdr:cNvPr id="294" name="455 Rectángulo redondeado"/>
        <xdr:cNvSpPr/>
      </xdr:nvSpPr>
      <xdr:spPr>
        <a:xfrm>
          <a:off x="15693840" y="991872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16</xdr:col>
      <xdr:colOff>613440</xdr:colOff>
      <xdr:row>54</xdr:row>
      <xdr:rowOff>87120</xdr:rowOff>
    </xdr:from>
    <xdr:to>
      <xdr:col>17</xdr:col>
      <xdr:colOff>461160</xdr:colOff>
      <xdr:row>54</xdr:row>
      <xdr:rowOff>87120</xdr:rowOff>
    </xdr:to>
    <xdr:sp>
      <xdr:nvSpPr>
        <xdr:cNvPr id="295" name="Line 38"/>
        <xdr:cNvSpPr/>
      </xdr:nvSpPr>
      <xdr:spPr>
        <a:xfrm>
          <a:off x="15381000" y="10440720"/>
          <a:ext cx="685800" cy="0"/>
        </a:xfrm>
        <a:prstGeom prst="line">
          <a:avLst/>
        </a:prstGeom>
        <a:ln w="25400">
          <a:solidFill>
            <a:srgbClr val="ffc000"/>
          </a:solidFill>
          <a:round/>
        </a:ln>
      </xdr:spPr>
      <xdr:style>
        <a:lnRef idx="0"/>
        <a:fillRef idx="0"/>
        <a:effectRef idx="0"/>
        <a:fontRef idx="minor"/>
      </xdr:style>
    </xdr:sp>
    <xdr:clientData/>
  </xdr:twoCellAnchor>
  <xdr:twoCellAnchor editAs="twoCell">
    <xdr:from>
      <xdr:col>17</xdr:col>
      <xdr:colOff>88200</xdr:colOff>
      <xdr:row>54</xdr:row>
      <xdr:rowOff>7560</xdr:rowOff>
    </xdr:from>
    <xdr:to>
      <xdr:col>17</xdr:col>
      <xdr:colOff>128520</xdr:colOff>
      <xdr:row>54</xdr:row>
      <xdr:rowOff>47160</xdr:rowOff>
    </xdr:to>
    <xdr:sp>
      <xdr:nvSpPr>
        <xdr:cNvPr id="296" name="455 Rectángulo redondeado"/>
        <xdr:cNvSpPr/>
      </xdr:nvSpPr>
      <xdr:spPr>
        <a:xfrm>
          <a:off x="15693840" y="1036116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17</xdr:col>
      <xdr:colOff>383400</xdr:colOff>
      <xdr:row>53</xdr:row>
      <xdr:rowOff>166680</xdr:rowOff>
    </xdr:from>
    <xdr:to>
      <xdr:col>18</xdr:col>
      <xdr:colOff>116280</xdr:colOff>
      <xdr:row>55</xdr:row>
      <xdr:rowOff>24840</xdr:rowOff>
    </xdr:to>
    <xdr:sp>
      <xdr:nvSpPr>
        <xdr:cNvPr id="297" name="Text Box 188"/>
        <xdr:cNvSpPr/>
      </xdr:nvSpPr>
      <xdr:spPr>
        <a:xfrm>
          <a:off x="15989040" y="10329840"/>
          <a:ext cx="571320" cy="2390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Juan de Acosta 34,5 kV</a:t>
          </a:r>
          <a:endParaRPr b="0" lang="en-GB" sz="600" spc="-1" strike="noStrike">
            <a:latin typeface="Times New Roman"/>
          </a:endParaRPr>
        </a:p>
      </xdr:txBody>
    </xdr:sp>
    <xdr:clientData/>
  </xdr:twoCellAnchor>
  <xdr:twoCellAnchor editAs="twoCell">
    <xdr:from>
      <xdr:col>16</xdr:col>
      <xdr:colOff>438480</xdr:colOff>
      <xdr:row>52</xdr:row>
      <xdr:rowOff>111960</xdr:rowOff>
    </xdr:from>
    <xdr:to>
      <xdr:col>17</xdr:col>
      <xdr:colOff>158400</xdr:colOff>
      <xdr:row>53</xdr:row>
      <xdr:rowOff>42840</xdr:rowOff>
    </xdr:to>
    <xdr:sp>
      <xdr:nvSpPr>
        <xdr:cNvPr id="298" name="Text Box 188"/>
        <xdr:cNvSpPr/>
      </xdr:nvSpPr>
      <xdr:spPr>
        <a:xfrm>
          <a:off x="15206040" y="10084680"/>
          <a:ext cx="55800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LN-5101</a:t>
          </a:r>
          <a:endParaRPr b="0" lang="en-GB" sz="600" spc="-1" strike="noStrike">
            <a:latin typeface="Times New Roman"/>
          </a:endParaRPr>
        </a:p>
      </xdr:txBody>
    </xdr:sp>
    <xdr:clientData/>
  </xdr:twoCellAnchor>
  <xdr:twoCellAnchor editAs="twoCell">
    <xdr:from>
      <xdr:col>17</xdr:col>
      <xdr:colOff>171360</xdr:colOff>
      <xdr:row>55</xdr:row>
      <xdr:rowOff>140760</xdr:rowOff>
    </xdr:from>
    <xdr:to>
      <xdr:col>17</xdr:col>
      <xdr:colOff>349560</xdr:colOff>
      <xdr:row>56</xdr:row>
      <xdr:rowOff>176760</xdr:rowOff>
    </xdr:to>
    <xdr:sp>
      <xdr:nvSpPr>
        <xdr:cNvPr id="299" name="Oval 40"/>
        <xdr:cNvSpPr/>
      </xdr:nvSpPr>
      <xdr:spPr>
        <a:xfrm rot="10800000">
          <a:off x="15777000" y="10684800"/>
          <a:ext cx="178200" cy="226800"/>
        </a:xfrm>
        <a:prstGeom prst="ellipse">
          <a:avLst/>
        </a:prstGeom>
        <a:noFill/>
        <a:ln w="12700">
          <a:solidFill>
            <a:srgbClr val="000000"/>
          </a:solidFill>
          <a:round/>
        </a:ln>
      </xdr:spPr>
      <xdr:style>
        <a:lnRef idx="0"/>
        <a:fillRef idx="0"/>
        <a:effectRef idx="0"/>
        <a:fontRef idx="minor"/>
      </xdr:style>
    </xdr:sp>
    <xdr:clientData/>
  </xdr:twoCellAnchor>
  <xdr:twoCellAnchor editAs="twoCell">
    <xdr:from>
      <xdr:col>17</xdr:col>
      <xdr:colOff>168480</xdr:colOff>
      <xdr:row>55</xdr:row>
      <xdr:rowOff>28800</xdr:rowOff>
    </xdr:from>
    <xdr:to>
      <xdr:col>17</xdr:col>
      <xdr:colOff>346680</xdr:colOff>
      <xdr:row>56</xdr:row>
      <xdr:rowOff>47520</xdr:rowOff>
    </xdr:to>
    <xdr:sp>
      <xdr:nvSpPr>
        <xdr:cNvPr id="300" name="Oval 41"/>
        <xdr:cNvSpPr/>
      </xdr:nvSpPr>
      <xdr:spPr>
        <a:xfrm rot="10800000">
          <a:off x="15774120" y="10572840"/>
          <a:ext cx="178200" cy="209520"/>
        </a:xfrm>
        <a:prstGeom prst="ellipse">
          <a:avLst/>
        </a:prstGeom>
        <a:noFill/>
        <a:ln w="12700">
          <a:solidFill>
            <a:srgbClr val="ffc000"/>
          </a:solidFill>
          <a:round/>
        </a:ln>
      </xdr:spPr>
      <xdr:style>
        <a:lnRef idx="0"/>
        <a:fillRef idx="0"/>
        <a:effectRef idx="0"/>
        <a:fontRef idx="minor"/>
      </xdr:style>
    </xdr:sp>
    <xdr:clientData/>
  </xdr:twoCellAnchor>
  <xdr:twoCellAnchor editAs="twoCell">
    <xdr:from>
      <xdr:col>17</xdr:col>
      <xdr:colOff>252720</xdr:colOff>
      <xdr:row>54</xdr:row>
      <xdr:rowOff>84240</xdr:rowOff>
    </xdr:from>
    <xdr:to>
      <xdr:col>17</xdr:col>
      <xdr:colOff>252720</xdr:colOff>
      <xdr:row>55</xdr:row>
      <xdr:rowOff>25560</xdr:rowOff>
    </xdr:to>
    <xdr:sp>
      <xdr:nvSpPr>
        <xdr:cNvPr id="301" name="Line 206"/>
        <xdr:cNvSpPr/>
      </xdr:nvSpPr>
      <xdr:spPr>
        <a:xfrm>
          <a:off x="15858360" y="10437840"/>
          <a:ext cx="0" cy="131760"/>
        </a:xfrm>
        <a:prstGeom prst="line">
          <a:avLst/>
        </a:prstGeom>
        <a:ln w="15875">
          <a:solidFill>
            <a:srgbClr val="ffc000"/>
          </a:solidFill>
          <a:round/>
        </a:ln>
      </xdr:spPr>
      <xdr:style>
        <a:lnRef idx="0"/>
        <a:fillRef idx="0"/>
        <a:effectRef idx="0"/>
        <a:fontRef idx="minor"/>
      </xdr:style>
    </xdr:sp>
    <xdr:clientData/>
  </xdr:twoCellAnchor>
  <xdr:twoCellAnchor editAs="twoCell">
    <xdr:from>
      <xdr:col>17</xdr:col>
      <xdr:colOff>232560</xdr:colOff>
      <xdr:row>54</xdr:row>
      <xdr:rowOff>119880</xdr:rowOff>
    </xdr:from>
    <xdr:to>
      <xdr:col>17</xdr:col>
      <xdr:colOff>273240</xdr:colOff>
      <xdr:row>54</xdr:row>
      <xdr:rowOff>159840</xdr:rowOff>
    </xdr:to>
    <xdr:sp>
      <xdr:nvSpPr>
        <xdr:cNvPr id="302" name="452 Rectángulo redondeado"/>
        <xdr:cNvSpPr/>
      </xdr:nvSpPr>
      <xdr:spPr>
        <a:xfrm>
          <a:off x="15838200" y="10473480"/>
          <a:ext cx="406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17</xdr:col>
      <xdr:colOff>140400</xdr:colOff>
      <xdr:row>57</xdr:row>
      <xdr:rowOff>127080</xdr:rowOff>
    </xdr:from>
    <xdr:to>
      <xdr:col>17</xdr:col>
      <xdr:colOff>391680</xdr:colOff>
      <xdr:row>57</xdr:row>
      <xdr:rowOff>127080</xdr:rowOff>
    </xdr:to>
    <xdr:sp>
      <xdr:nvSpPr>
        <xdr:cNvPr id="303" name="Line 99"/>
        <xdr:cNvSpPr/>
      </xdr:nvSpPr>
      <xdr:spPr>
        <a:xfrm>
          <a:off x="15746040" y="11052360"/>
          <a:ext cx="251280" cy="0"/>
        </a:xfrm>
        <a:prstGeom prst="line">
          <a:avLst/>
        </a:prstGeom>
        <a:ln w="25400">
          <a:solidFill>
            <a:srgbClr val="000000"/>
          </a:solidFill>
          <a:round/>
        </a:ln>
      </xdr:spPr>
      <xdr:style>
        <a:lnRef idx="0"/>
        <a:fillRef idx="0"/>
        <a:effectRef idx="0"/>
        <a:fontRef idx="minor"/>
      </xdr:style>
    </xdr:sp>
    <xdr:clientData/>
  </xdr:twoCellAnchor>
  <xdr:twoCellAnchor editAs="twoCell">
    <xdr:from>
      <xdr:col>17</xdr:col>
      <xdr:colOff>259560</xdr:colOff>
      <xdr:row>56</xdr:row>
      <xdr:rowOff>178200</xdr:rowOff>
    </xdr:from>
    <xdr:to>
      <xdr:col>17</xdr:col>
      <xdr:colOff>259560</xdr:colOff>
      <xdr:row>59</xdr:row>
      <xdr:rowOff>9360</xdr:rowOff>
    </xdr:to>
    <xdr:sp>
      <xdr:nvSpPr>
        <xdr:cNvPr id="304" name="Line 280"/>
        <xdr:cNvSpPr/>
      </xdr:nvSpPr>
      <xdr:spPr>
        <a:xfrm>
          <a:off x="15865200" y="10913040"/>
          <a:ext cx="0" cy="42156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17</xdr:col>
      <xdr:colOff>241560</xdr:colOff>
      <xdr:row>57</xdr:row>
      <xdr:rowOff>186480</xdr:rowOff>
    </xdr:from>
    <xdr:to>
      <xdr:col>17</xdr:col>
      <xdr:colOff>282240</xdr:colOff>
      <xdr:row>58</xdr:row>
      <xdr:rowOff>27720</xdr:rowOff>
    </xdr:to>
    <xdr:sp>
      <xdr:nvSpPr>
        <xdr:cNvPr id="305" name="455 Rectángulo redondeado"/>
        <xdr:cNvSpPr/>
      </xdr:nvSpPr>
      <xdr:spPr>
        <a:xfrm rot="5400000">
          <a:off x="15846840" y="11111760"/>
          <a:ext cx="4104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17</xdr:col>
      <xdr:colOff>241560</xdr:colOff>
      <xdr:row>57</xdr:row>
      <xdr:rowOff>36360</xdr:rowOff>
    </xdr:from>
    <xdr:to>
      <xdr:col>17</xdr:col>
      <xdr:colOff>282240</xdr:colOff>
      <xdr:row>57</xdr:row>
      <xdr:rowOff>67320</xdr:rowOff>
    </xdr:to>
    <xdr:sp>
      <xdr:nvSpPr>
        <xdr:cNvPr id="306" name="455 Rectángulo redondeado"/>
        <xdr:cNvSpPr/>
      </xdr:nvSpPr>
      <xdr:spPr>
        <a:xfrm rot="5400000">
          <a:off x="15851880" y="10956600"/>
          <a:ext cx="3096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17</xdr:col>
      <xdr:colOff>330840</xdr:colOff>
      <xdr:row>57</xdr:row>
      <xdr:rowOff>87840</xdr:rowOff>
    </xdr:from>
    <xdr:to>
      <xdr:col>18</xdr:col>
      <xdr:colOff>290520</xdr:colOff>
      <xdr:row>58</xdr:row>
      <xdr:rowOff>38520</xdr:rowOff>
    </xdr:to>
    <xdr:sp>
      <xdr:nvSpPr>
        <xdr:cNvPr id="307" name="Text Box 188"/>
        <xdr:cNvSpPr/>
      </xdr:nvSpPr>
      <xdr:spPr>
        <a:xfrm>
          <a:off x="15936480" y="11013120"/>
          <a:ext cx="798120" cy="1504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Juan de Acosta 13,8 kV</a:t>
          </a:r>
          <a:endParaRPr b="0" lang="en-GB" sz="600" spc="-1" strike="noStrike">
            <a:latin typeface="Times New Roman"/>
          </a:endParaRPr>
        </a:p>
      </xdr:txBody>
    </xdr:sp>
    <xdr:clientData/>
  </xdr:twoCellAnchor>
  <xdr:twoCellAnchor editAs="twoCell">
    <xdr:from>
      <xdr:col>17</xdr:col>
      <xdr:colOff>300240</xdr:colOff>
      <xdr:row>55</xdr:row>
      <xdr:rowOff>74880</xdr:rowOff>
    </xdr:from>
    <xdr:to>
      <xdr:col>18</xdr:col>
      <xdr:colOff>185760</xdr:colOff>
      <xdr:row>56</xdr:row>
      <xdr:rowOff>151560</xdr:rowOff>
    </xdr:to>
    <xdr:sp>
      <xdr:nvSpPr>
        <xdr:cNvPr id="308" name="61 CuadroTexto"/>
        <xdr:cNvSpPr/>
      </xdr:nvSpPr>
      <xdr:spPr>
        <a:xfrm>
          <a:off x="15905880" y="10618920"/>
          <a:ext cx="723960" cy="26748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9,3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clientData/>
  </xdr:twoCellAnchor>
  <xdr:twoCellAnchor editAs="twoCell">
    <xdr:from>
      <xdr:col>16</xdr:col>
      <xdr:colOff>706320</xdr:colOff>
      <xdr:row>54</xdr:row>
      <xdr:rowOff>87120</xdr:rowOff>
    </xdr:from>
    <xdr:to>
      <xdr:col>16</xdr:col>
      <xdr:colOff>706320</xdr:colOff>
      <xdr:row>55</xdr:row>
      <xdr:rowOff>77760</xdr:rowOff>
    </xdr:to>
    <xdr:sp>
      <xdr:nvSpPr>
        <xdr:cNvPr id="309" name="Line 280"/>
        <xdr:cNvSpPr/>
      </xdr:nvSpPr>
      <xdr:spPr>
        <a:xfrm>
          <a:off x="15473880" y="10440720"/>
          <a:ext cx="0" cy="181080"/>
        </a:xfrm>
        <a:prstGeom prst="line">
          <a:avLst/>
        </a:prstGeom>
        <a:ln w="12700">
          <a:solidFill>
            <a:srgbClr val="ffc000"/>
          </a:solidFill>
          <a:round/>
        </a:ln>
      </xdr:spPr>
      <xdr:style>
        <a:lnRef idx="0"/>
        <a:fillRef idx="0"/>
        <a:effectRef idx="0"/>
        <a:fontRef idx="minor"/>
      </xdr:style>
    </xdr:sp>
    <xdr:clientData/>
  </xdr:twoCellAnchor>
  <xdr:twoCellAnchor editAs="twoCell">
    <xdr:from>
      <xdr:col>16</xdr:col>
      <xdr:colOff>687960</xdr:colOff>
      <xdr:row>54</xdr:row>
      <xdr:rowOff>130320</xdr:rowOff>
    </xdr:from>
    <xdr:to>
      <xdr:col>16</xdr:col>
      <xdr:colOff>728280</xdr:colOff>
      <xdr:row>54</xdr:row>
      <xdr:rowOff>169920</xdr:rowOff>
    </xdr:to>
    <xdr:sp>
      <xdr:nvSpPr>
        <xdr:cNvPr id="310" name="455 Rectángulo redondeado"/>
        <xdr:cNvSpPr/>
      </xdr:nvSpPr>
      <xdr:spPr>
        <a:xfrm>
          <a:off x="15455520" y="1048392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15</xdr:col>
      <xdr:colOff>654480</xdr:colOff>
      <xdr:row>55</xdr:row>
      <xdr:rowOff>70560</xdr:rowOff>
    </xdr:from>
    <xdr:to>
      <xdr:col>16</xdr:col>
      <xdr:colOff>709200</xdr:colOff>
      <xdr:row>55</xdr:row>
      <xdr:rowOff>70560</xdr:rowOff>
    </xdr:to>
    <xdr:sp>
      <xdr:nvSpPr>
        <xdr:cNvPr id="311" name="Line 280"/>
        <xdr:cNvSpPr/>
      </xdr:nvSpPr>
      <xdr:spPr>
        <a:xfrm flipH="1">
          <a:off x="14583960" y="10614600"/>
          <a:ext cx="892800" cy="0"/>
        </a:xfrm>
        <a:prstGeom prst="line">
          <a:avLst/>
        </a:prstGeom>
        <a:ln w="12700">
          <a:solidFill>
            <a:srgbClr val="ffc000"/>
          </a:solidFill>
          <a:round/>
        </a:ln>
      </xdr:spPr>
      <xdr:style>
        <a:lnRef idx="0"/>
        <a:fillRef idx="0"/>
        <a:effectRef idx="0"/>
        <a:fontRef idx="minor"/>
      </xdr:style>
    </xdr:sp>
    <xdr:clientData/>
  </xdr:twoCellAnchor>
  <xdr:twoCellAnchor editAs="twoCell">
    <xdr:from>
      <xdr:col>16</xdr:col>
      <xdr:colOff>54720</xdr:colOff>
      <xdr:row>54</xdr:row>
      <xdr:rowOff>150480</xdr:rowOff>
    </xdr:from>
    <xdr:to>
      <xdr:col>16</xdr:col>
      <xdr:colOff>530280</xdr:colOff>
      <xdr:row>55</xdr:row>
      <xdr:rowOff>81360</xdr:rowOff>
    </xdr:to>
    <xdr:sp>
      <xdr:nvSpPr>
        <xdr:cNvPr id="312" name="Text Box 188"/>
        <xdr:cNvSpPr/>
      </xdr:nvSpPr>
      <xdr:spPr>
        <a:xfrm>
          <a:off x="14822280" y="10504080"/>
          <a:ext cx="47556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LN-5122</a:t>
          </a:r>
          <a:endParaRPr b="0" lang="en-GB" sz="600" spc="-1" strike="noStrike">
            <a:latin typeface="Times New Roman"/>
          </a:endParaRPr>
        </a:p>
      </xdr:txBody>
    </xdr:sp>
    <xdr:clientData/>
  </xdr:twoCellAnchor>
  <xdr:twoCellAnchor editAs="twoCell">
    <xdr:from>
      <xdr:col>15</xdr:col>
      <xdr:colOff>276120</xdr:colOff>
      <xdr:row>54</xdr:row>
      <xdr:rowOff>54360</xdr:rowOff>
    </xdr:from>
    <xdr:to>
      <xdr:col>16</xdr:col>
      <xdr:colOff>56880</xdr:colOff>
      <xdr:row>54</xdr:row>
      <xdr:rowOff>54360</xdr:rowOff>
    </xdr:to>
    <xdr:sp>
      <xdr:nvSpPr>
        <xdr:cNvPr id="313" name="Line 38"/>
        <xdr:cNvSpPr/>
      </xdr:nvSpPr>
      <xdr:spPr>
        <a:xfrm>
          <a:off x="14205600" y="10407960"/>
          <a:ext cx="618840" cy="0"/>
        </a:xfrm>
        <a:prstGeom prst="line">
          <a:avLst/>
        </a:prstGeom>
        <a:ln w="25400">
          <a:solidFill>
            <a:srgbClr val="ffc000"/>
          </a:solidFill>
          <a:round/>
        </a:ln>
      </xdr:spPr>
      <xdr:style>
        <a:lnRef idx="0"/>
        <a:fillRef idx="0"/>
        <a:effectRef idx="0"/>
        <a:fontRef idx="minor"/>
      </xdr:style>
    </xdr:sp>
    <xdr:clientData/>
  </xdr:twoCellAnchor>
  <xdr:twoCellAnchor editAs="twoCell">
    <xdr:from>
      <xdr:col>15</xdr:col>
      <xdr:colOff>657000</xdr:colOff>
      <xdr:row>54</xdr:row>
      <xdr:rowOff>50040</xdr:rowOff>
    </xdr:from>
    <xdr:to>
      <xdr:col>15</xdr:col>
      <xdr:colOff>657000</xdr:colOff>
      <xdr:row>55</xdr:row>
      <xdr:rowOff>72720</xdr:rowOff>
    </xdr:to>
    <xdr:sp>
      <xdr:nvSpPr>
        <xdr:cNvPr id="314" name="Line 280"/>
        <xdr:cNvSpPr/>
      </xdr:nvSpPr>
      <xdr:spPr>
        <a:xfrm>
          <a:off x="14586480" y="10403640"/>
          <a:ext cx="0" cy="213120"/>
        </a:xfrm>
        <a:prstGeom prst="line">
          <a:avLst/>
        </a:prstGeom>
        <a:ln w="12700">
          <a:solidFill>
            <a:srgbClr val="ffc000"/>
          </a:solidFill>
          <a:round/>
        </a:ln>
      </xdr:spPr>
      <xdr:style>
        <a:lnRef idx="0"/>
        <a:fillRef idx="0"/>
        <a:effectRef idx="0"/>
        <a:fontRef idx="minor"/>
      </xdr:style>
    </xdr:sp>
    <xdr:clientData/>
  </xdr:twoCellAnchor>
  <xdr:twoCellAnchor editAs="twoCell">
    <xdr:from>
      <xdr:col>15</xdr:col>
      <xdr:colOff>638640</xdr:colOff>
      <xdr:row>54</xdr:row>
      <xdr:rowOff>125640</xdr:rowOff>
    </xdr:from>
    <xdr:to>
      <xdr:col>15</xdr:col>
      <xdr:colOff>678960</xdr:colOff>
      <xdr:row>54</xdr:row>
      <xdr:rowOff>165240</xdr:rowOff>
    </xdr:to>
    <xdr:sp>
      <xdr:nvSpPr>
        <xdr:cNvPr id="315" name="455 Rectángulo redondeado"/>
        <xdr:cNvSpPr/>
      </xdr:nvSpPr>
      <xdr:spPr>
        <a:xfrm>
          <a:off x="14568120" y="1047924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15</xdr:col>
      <xdr:colOff>427680</xdr:colOff>
      <xdr:row>54</xdr:row>
      <xdr:rowOff>52920</xdr:rowOff>
    </xdr:from>
    <xdr:to>
      <xdr:col>15</xdr:col>
      <xdr:colOff>427680</xdr:colOff>
      <xdr:row>55</xdr:row>
      <xdr:rowOff>79560</xdr:rowOff>
    </xdr:to>
    <xdr:sp>
      <xdr:nvSpPr>
        <xdr:cNvPr id="316" name="Line 206"/>
        <xdr:cNvSpPr/>
      </xdr:nvSpPr>
      <xdr:spPr>
        <a:xfrm>
          <a:off x="14357160" y="10406520"/>
          <a:ext cx="0" cy="217080"/>
        </a:xfrm>
        <a:prstGeom prst="line">
          <a:avLst/>
        </a:prstGeom>
        <a:ln w="12700">
          <a:solidFill>
            <a:srgbClr val="ffc000"/>
          </a:solidFill>
          <a:round/>
        </a:ln>
      </xdr:spPr>
      <xdr:style>
        <a:lnRef idx="0"/>
        <a:fillRef idx="0"/>
        <a:effectRef idx="0"/>
        <a:fontRef idx="minor"/>
      </xdr:style>
    </xdr:sp>
    <xdr:clientData/>
  </xdr:twoCellAnchor>
  <xdr:twoCellAnchor editAs="twoCell">
    <xdr:from>
      <xdr:col>15</xdr:col>
      <xdr:colOff>403920</xdr:colOff>
      <xdr:row>54</xdr:row>
      <xdr:rowOff>178560</xdr:rowOff>
    </xdr:from>
    <xdr:to>
      <xdr:col>15</xdr:col>
      <xdr:colOff>444600</xdr:colOff>
      <xdr:row>55</xdr:row>
      <xdr:rowOff>27720</xdr:rowOff>
    </xdr:to>
    <xdr:sp>
      <xdr:nvSpPr>
        <xdr:cNvPr id="317" name="452 Rectángulo redondeado"/>
        <xdr:cNvSpPr/>
      </xdr:nvSpPr>
      <xdr:spPr>
        <a:xfrm>
          <a:off x="14333400" y="10532160"/>
          <a:ext cx="4068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15</xdr:col>
      <xdr:colOff>311760</xdr:colOff>
      <xdr:row>55</xdr:row>
      <xdr:rowOff>82080</xdr:rowOff>
    </xdr:from>
    <xdr:to>
      <xdr:col>15</xdr:col>
      <xdr:colOff>563040</xdr:colOff>
      <xdr:row>59</xdr:row>
      <xdr:rowOff>53280</xdr:rowOff>
    </xdr:to>
    <xdr:grpSp>
      <xdr:nvGrpSpPr>
        <xdr:cNvPr id="318" name="Grupo 319"/>
        <xdr:cNvGrpSpPr/>
      </xdr:nvGrpSpPr>
      <xdr:grpSpPr>
        <a:xfrm>
          <a:off x="14241240" y="10626120"/>
          <a:ext cx="251280" cy="752400"/>
          <a:chOff x="14241240" y="10626120"/>
          <a:chExt cx="251280" cy="752400"/>
        </a:xfrm>
      </xdr:grpSpPr>
      <xdr:sp>
        <xdr:nvSpPr>
          <xdr:cNvPr id="319" name="Oval 40"/>
          <xdr:cNvSpPr/>
        </xdr:nvSpPr>
        <xdr:spPr>
          <a:xfrm rot="10800000">
            <a:off x="14272200" y="10738440"/>
            <a:ext cx="178200" cy="218160"/>
          </a:xfrm>
          <a:prstGeom prst="ellipse">
            <a:avLst/>
          </a:prstGeom>
          <a:noFill/>
          <a:ln w="12700">
            <a:solidFill>
              <a:srgbClr val="000000"/>
            </a:solidFill>
            <a:round/>
          </a:ln>
        </xdr:spPr>
        <xdr:style>
          <a:lnRef idx="0"/>
          <a:fillRef idx="0"/>
          <a:effectRef idx="0"/>
          <a:fontRef idx="minor"/>
        </xdr:style>
      </xdr:sp>
      <xdr:sp>
        <xdr:nvSpPr>
          <xdr:cNvPr id="320" name="Oval 41"/>
          <xdr:cNvSpPr/>
        </xdr:nvSpPr>
        <xdr:spPr>
          <a:xfrm rot="10800000">
            <a:off x="14269320" y="10626120"/>
            <a:ext cx="178200" cy="210240"/>
          </a:xfrm>
          <a:prstGeom prst="ellipse">
            <a:avLst/>
          </a:prstGeom>
          <a:noFill/>
          <a:ln w="12700">
            <a:solidFill>
              <a:srgbClr val="ffc000"/>
            </a:solidFill>
            <a:round/>
          </a:ln>
        </xdr:spPr>
        <xdr:style>
          <a:lnRef idx="0"/>
          <a:fillRef idx="0"/>
          <a:effectRef idx="0"/>
          <a:fontRef idx="minor"/>
        </xdr:style>
      </xdr:sp>
      <xdr:sp>
        <xdr:nvSpPr>
          <xdr:cNvPr id="321" name="Line 99"/>
          <xdr:cNvSpPr/>
        </xdr:nvSpPr>
        <xdr:spPr>
          <a:xfrm>
            <a:off x="14241240" y="11106720"/>
            <a:ext cx="251280" cy="360"/>
          </a:xfrm>
          <a:prstGeom prst="line">
            <a:avLst/>
          </a:prstGeom>
          <a:ln w="25400">
            <a:solidFill>
              <a:srgbClr val="000000"/>
            </a:solidFill>
            <a:round/>
          </a:ln>
        </xdr:spPr>
        <xdr:style>
          <a:lnRef idx="0"/>
          <a:fillRef idx="0"/>
          <a:effectRef idx="0"/>
          <a:fontRef idx="minor"/>
        </xdr:style>
      </xdr:sp>
      <xdr:sp>
        <xdr:nvSpPr>
          <xdr:cNvPr id="322" name="Line 280"/>
          <xdr:cNvSpPr/>
        </xdr:nvSpPr>
        <xdr:spPr>
          <a:xfrm>
            <a:off x="14360400" y="10958040"/>
            <a:ext cx="360" cy="420480"/>
          </a:xfrm>
          <a:prstGeom prst="line">
            <a:avLst/>
          </a:prstGeom>
          <a:ln w="15875">
            <a:solidFill>
              <a:srgbClr val="000000"/>
            </a:solidFill>
            <a:round/>
            <a:tailEnd len="med" type="triangle" w="med"/>
          </a:ln>
        </xdr:spPr>
        <xdr:style>
          <a:lnRef idx="0"/>
          <a:fillRef idx="0"/>
          <a:effectRef idx="0"/>
          <a:fontRef idx="minor"/>
        </xdr:style>
      </xdr:sp>
      <xdr:sp>
        <xdr:nvSpPr>
          <xdr:cNvPr id="323" name="455 Rectángulo redondeado"/>
          <xdr:cNvSpPr/>
        </xdr:nvSpPr>
        <xdr:spPr>
          <a:xfrm rot="5400000">
            <a:off x="14342400" y="11157120"/>
            <a:ext cx="4032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324" name="455 Rectángulo redondeado"/>
          <xdr:cNvSpPr/>
        </xdr:nvSpPr>
        <xdr:spPr>
          <a:xfrm rot="5400000">
            <a:off x="14342400" y="11006280"/>
            <a:ext cx="4032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15</xdr:col>
      <xdr:colOff>502200</xdr:colOff>
      <xdr:row>57</xdr:row>
      <xdr:rowOff>97920</xdr:rowOff>
    </xdr:from>
    <xdr:to>
      <xdr:col>16</xdr:col>
      <xdr:colOff>461880</xdr:colOff>
      <xdr:row>58</xdr:row>
      <xdr:rowOff>39600</xdr:rowOff>
    </xdr:to>
    <xdr:sp>
      <xdr:nvSpPr>
        <xdr:cNvPr id="325" name="Text Box 188"/>
        <xdr:cNvSpPr/>
      </xdr:nvSpPr>
      <xdr:spPr>
        <a:xfrm>
          <a:off x="14431680" y="11023200"/>
          <a:ext cx="797760" cy="1414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Santa Veronica 13,8 kV</a:t>
          </a:r>
          <a:endParaRPr b="0" lang="en-GB" sz="600" spc="-1" strike="noStrike">
            <a:latin typeface="Times New Roman"/>
          </a:endParaRPr>
        </a:p>
      </xdr:txBody>
    </xdr:sp>
    <xdr:clientData/>
  </xdr:twoCellAnchor>
  <xdr:twoCellAnchor editAs="twoCell">
    <xdr:from>
      <xdr:col>15</xdr:col>
      <xdr:colOff>420840</xdr:colOff>
      <xdr:row>55</xdr:row>
      <xdr:rowOff>118440</xdr:rowOff>
    </xdr:from>
    <xdr:to>
      <xdr:col>16</xdr:col>
      <xdr:colOff>291600</xdr:colOff>
      <xdr:row>57</xdr:row>
      <xdr:rowOff>4680</xdr:rowOff>
    </xdr:to>
    <xdr:sp>
      <xdr:nvSpPr>
        <xdr:cNvPr id="326" name="61 CuadroTexto"/>
        <xdr:cNvSpPr/>
      </xdr:nvSpPr>
      <xdr:spPr>
        <a:xfrm>
          <a:off x="14350320" y="10662480"/>
          <a:ext cx="708840" cy="26748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500" spc="-1" strike="noStrike">
              <a:solidFill>
                <a:srgbClr val="000000"/>
              </a:solidFill>
              <a:latin typeface="Arial"/>
            </a:rPr>
            <a:t>5 MVA</a:t>
          </a:r>
          <a:endParaRPr b="0" lang="en-GB" sz="500" spc="-1" strike="noStrike">
            <a:latin typeface="Times New Roman"/>
          </a:endParaRPr>
        </a:p>
        <a:p>
          <a:pPr algn="ctr">
            <a:lnSpc>
              <a:spcPct val="100000"/>
            </a:lnSpc>
            <a:tabLst>
              <a:tab algn="l" pos="0"/>
            </a:tabLst>
          </a:pPr>
          <a:r>
            <a:rPr b="0" lang="es-CO" sz="500" spc="-1" strike="noStrike">
              <a:solidFill>
                <a:srgbClr val="000000"/>
              </a:solidFill>
              <a:latin typeface="Arial"/>
            </a:rPr>
            <a:t>34,5/13,8 KV</a:t>
          </a:r>
          <a:endParaRPr b="0" lang="en-GB" sz="500" spc="-1" strike="noStrike">
            <a:latin typeface="Times New Roman"/>
          </a:endParaRPr>
        </a:p>
      </xdr:txBody>
    </xdr:sp>
    <xdr:clientData/>
  </xdr:twoCellAnchor>
  <xdr:twoCellAnchor editAs="twoCell">
    <xdr:from>
      <xdr:col>14</xdr:col>
      <xdr:colOff>726840</xdr:colOff>
      <xdr:row>52</xdr:row>
      <xdr:rowOff>145440</xdr:rowOff>
    </xdr:from>
    <xdr:to>
      <xdr:col>15</xdr:col>
      <xdr:colOff>550440</xdr:colOff>
      <xdr:row>53</xdr:row>
      <xdr:rowOff>187920</xdr:rowOff>
    </xdr:to>
    <xdr:sp>
      <xdr:nvSpPr>
        <xdr:cNvPr id="327" name="Text Box 188"/>
        <xdr:cNvSpPr/>
      </xdr:nvSpPr>
      <xdr:spPr>
        <a:xfrm>
          <a:off x="13817880" y="10118160"/>
          <a:ext cx="66204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Santa Veronica 34,5 kV</a:t>
          </a:r>
          <a:endParaRPr b="0" lang="en-GB" sz="600" spc="-1" strike="noStrike">
            <a:latin typeface="Times New Roman"/>
          </a:endParaRPr>
        </a:p>
      </xdr:txBody>
    </xdr:sp>
    <xdr:clientData/>
  </xdr:twoCellAnchor>
  <xdr:twoCellAnchor editAs="twoCell">
    <xdr:from>
      <xdr:col>2</xdr:col>
      <xdr:colOff>561240</xdr:colOff>
      <xdr:row>89</xdr:row>
      <xdr:rowOff>24840</xdr:rowOff>
    </xdr:from>
    <xdr:to>
      <xdr:col>3</xdr:col>
      <xdr:colOff>537840</xdr:colOff>
      <xdr:row>90</xdr:row>
      <xdr:rowOff>60120</xdr:rowOff>
    </xdr:to>
    <xdr:sp>
      <xdr:nvSpPr>
        <xdr:cNvPr id="328" name="Text Box 138"/>
        <xdr:cNvSpPr/>
      </xdr:nvSpPr>
      <xdr:spPr>
        <a:xfrm>
          <a:off x="2237760" y="17169840"/>
          <a:ext cx="814680" cy="23544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60/60/20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220/34,5/13,8kV</a:t>
          </a:r>
          <a:endParaRPr b="0" lang="en-GB" sz="600" spc="-1" strike="noStrike">
            <a:latin typeface="Times New Roman"/>
          </a:endParaRPr>
        </a:p>
      </xdr:txBody>
    </xdr:sp>
    <xdr:clientData/>
  </xdr:twoCellAnchor>
  <xdr:twoCellAnchor editAs="twoCell">
    <xdr:from>
      <xdr:col>3</xdr:col>
      <xdr:colOff>149400</xdr:colOff>
      <xdr:row>87</xdr:row>
      <xdr:rowOff>95040</xdr:rowOff>
    </xdr:from>
    <xdr:to>
      <xdr:col>4</xdr:col>
      <xdr:colOff>369720</xdr:colOff>
      <xdr:row>88</xdr:row>
      <xdr:rowOff>53280</xdr:rowOff>
    </xdr:to>
    <xdr:sp>
      <xdr:nvSpPr>
        <xdr:cNvPr id="329" name="Text Box 188"/>
        <xdr:cNvSpPr/>
      </xdr:nvSpPr>
      <xdr:spPr>
        <a:xfrm>
          <a:off x="2664000" y="16859160"/>
          <a:ext cx="1058400" cy="14868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Sabanalarga 220 kV</a:t>
          </a:r>
          <a:endParaRPr b="0" lang="en-GB" sz="600" spc="-1" strike="noStrike">
            <a:latin typeface="Times New Roman"/>
          </a:endParaRPr>
        </a:p>
      </xdr:txBody>
    </xdr:sp>
    <xdr:clientData/>
  </xdr:twoCellAnchor>
  <xdr:twoCellAnchor editAs="twoCell">
    <xdr:from>
      <xdr:col>3</xdr:col>
      <xdr:colOff>302040</xdr:colOff>
      <xdr:row>91</xdr:row>
      <xdr:rowOff>80280</xdr:rowOff>
    </xdr:from>
    <xdr:to>
      <xdr:col>4</xdr:col>
      <xdr:colOff>485280</xdr:colOff>
      <xdr:row>91</xdr:row>
      <xdr:rowOff>80280</xdr:rowOff>
    </xdr:to>
    <xdr:sp>
      <xdr:nvSpPr>
        <xdr:cNvPr id="330" name="Line 38"/>
        <xdr:cNvSpPr/>
      </xdr:nvSpPr>
      <xdr:spPr>
        <a:xfrm>
          <a:off x="2816640" y="17615880"/>
          <a:ext cx="1021320" cy="0"/>
        </a:xfrm>
        <a:prstGeom prst="line">
          <a:avLst/>
        </a:prstGeom>
        <a:ln w="25400">
          <a:solidFill>
            <a:srgbClr val="ffc000"/>
          </a:solidFill>
          <a:round/>
        </a:ln>
      </xdr:spPr>
      <xdr:style>
        <a:lnRef idx="0"/>
        <a:fillRef idx="0"/>
        <a:effectRef idx="0"/>
        <a:fontRef idx="minor"/>
      </xdr:style>
    </xdr:sp>
    <xdr:clientData/>
  </xdr:twoCellAnchor>
  <xdr:twoCellAnchor editAs="twoCell">
    <xdr:from>
      <xdr:col>3</xdr:col>
      <xdr:colOff>355320</xdr:colOff>
      <xdr:row>91</xdr:row>
      <xdr:rowOff>122040</xdr:rowOff>
    </xdr:from>
    <xdr:to>
      <xdr:col>3</xdr:col>
      <xdr:colOff>395640</xdr:colOff>
      <xdr:row>91</xdr:row>
      <xdr:rowOff>161640</xdr:rowOff>
    </xdr:to>
    <xdr:sp>
      <xdr:nvSpPr>
        <xdr:cNvPr id="331" name="455 Rectángulo redondeado"/>
        <xdr:cNvSpPr/>
      </xdr:nvSpPr>
      <xdr:spPr>
        <a:xfrm>
          <a:off x="2869920" y="1765764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4</xdr:col>
      <xdr:colOff>37080</xdr:colOff>
      <xdr:row>90</xdr:row>
      <xdr:rowOff>9360</xdr:rowOff>
    </xdr:from>
    <xdr:to>
      <xdr:col>4</xdr:col>
      <xdr:colOff>168840</xdr:colOff>
      <xdr:row>90</xdr:row>
      <xdr:rowOff>9360</xdr:rowOff>
    </xdr:to>
    <xdr:sp>
      <xdr:nvSpPr>
        <xdr:cNvPr id="332" name="Line 244"/>
        <xdr:cNvSpPr/>
      </xdr:nvSpPr>
      <xdr:spPr>
        <a:xfrm>
          <a:off x="3389760" y="17354520"/>
          <a:ext cx="131760" cy="0"/>
        </a:xfrm>
        <a:prstGeom prst="line">
          <a:avLst/>
        </a:prstGeom>
        <a:ln w="15875">
          <a:solidFill>
            <a:srgbClr val="000000"/>
          </a:solidFill>
          <a:round/>
        </a:ln>
      </xdr:spPr>
      <xdr:style>
        <a:lnRef idx="0"/>
        <a:fillRef idx="0"/>
        <a:effectRef idx="0"/>
        <a:fontRef idx="minor"/>
      </xdr:style>
    </xdr:sp>
    <xdr:clientData/>
  </xdr:twoCellAnchor>
  <xdr:twoCellAnchor editAs="twoCell">
    <xdr:from>
      <xdr:col>4</xdr:col>
      <xdr:colOff>73080</xdr:colOff>
      <xdr:row>89</xdr:row>
      <xdr:rowOff>193680</xdr:rowOff>
    </xdr:from>
    <xdr:to>
      <xdr:col>4</xdr:col>
      <xdr:colOff>113040</xdr:colOff>
      <xdr:row>90</xdr:row>
      <xdr:rowOff>32040</xdr:rowOff>
    </xdr:to>
    <xdr:sp>
      <xdr:nvSpPr>
        <xdr:cNvPr id="333" name="455 Rectángulo redondeado"/>
        <xdr:cNvSpPr/>
      </xdr:nvSpPr>
      <xdr:spPr>
        <a:xfrm rot="16200000">
          <a:off x="3426480" y="17337960"/>
          <a:ext cx="38520" cy="39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xdr:col>
      <xdr:colOff>518040</xdr:colOff>
      <xdr:row>89</xdr:row>
      <xdr:rowOff>124920</xdr:rowOff>
    </xdr:from>
    <xdr:to>
      <xdr:col>3</xdr:col>
      <xdr:colOff>693360</xdr:colOff>
      <xdr:row>90</xdr:row>
      <xdr:rowOff>132480</xdr:rowOff>
    </xdr:to>
    <xdr:sp>
      <xdr:nvSpPr>
        <xdr:cNvPr id="334" name="Oval 40"/>
        <xdr:cNvSpPr/>
      </xdr:nvSpPr>
      <xdr:spPr>
        <a:xfrm rot="10800000">
          <a:off x="3032640" y="17269920"/>
          <a:ext cx="175320" cy="207720"/>
        </a:xfrm>
        <a:prstGeom prst="ellipse">
          <a:avLst/>
        </a:prstGeom>
        <a:noFill/>
        <a:ln w="12700">
          <a:solidFill>
            <a:srgbClr val="ffc000"/>
          </a:solidFill>
          <a:round/>
        </a:ln>
      </xdr:spPr>
      <xdr:style>
        <a:lnRef idx="0"/>
        <a:fillRef idx="0"/>
        <a:effectRef idx="0"/>
        <a:fontRef idx="minor"/>
      </xdr:style>
    </xdr:sp>
    <xdr:clientData/>
  </xdr:twoCellAnchor>
  <xdr:twoCellAnchor editAs="twoCell">
    <xdr:from>
      <xdr:col>3</xdr:col>
      <xdr:colOff>518040</xdr:colOff>
      <xdr:row>89</xdr:row>
      <xdr:rowOff>21240</xdr:rowOff>
    </xdr:from>
    <xdr:to>
      <xdr:col>3</xdr:col>
      <xdr:colOff>693360</xdr:colOff>
      <xdr:row>90</xdr:row>
      <xdr:rowOff>28800</xdr:rowOff>
    </xdr:to>
    <xdr:sp>
      <xdr:nvSpPr>
        <xdr:cNvPr id="335" name="Oval 41"/>
        <xdr:cNvSpPr/>
      </xdr:nvSpPr>
      <xdr:spPr>
        <a:xfrm rot="10800000">
          <a:off x="3032640" y="17166240"/>
          <a:ext cx="175320" cy="207720"/>
        </a:xfrm>
        <a:prstGeom prst="ellipse">
          <a:avLst/>
        </a:prstGeom>
        <a:noFill/>
        <a:ln w="12700">
          <a:solidFill>
            <a:srgbClr val="0000ff"/>
          </a:solidFill>
          <a:round/>
        </a:ln>
      </xdr:spPr>
      <xdr:style>
        <a:lnRef idx="0"/>
        <a:fillRef idx="0"/>
        <a:effectRef idx="0"/>
        <a:fontRef idx="minor"/>
      </xdr:style>
    </xdr:sp>
    <xdr:clientData/>
  </xdr:twoCellAnchor>
  <xdr:twoCellAnchor editAs="twoCell">
    <xdr:from>
      <xdr:col>3</xdr:col>
      <xdr:colOff>622800</xdr:colOff>
      <xdr:row>89</xdr:row>
      <xdr:rowOff>98640</xdr:rowOff>
    </xdr:from>
    <xdr:to>
      <xdr:col>4</xdr:col>
      <xdr:colOff>35640</xdr:colOff>
      <xdr:row>90</xdr:row>
      <xdr:rowOff>105120</xdr:rowOff>
    </xdr:to>
    <xdr:sp>
      <xdr:nvSpPr>
        <xdr:cNvPr id="336" name="Oval 63"/>
        <xdr:cNvSpPr/>
      </xdr:nvSpPr>
      <xdr:spPr>
        <a:xfrm>
          <a:off x="3137400" y="17243640"/>
          <a:ext cx="250920" cy="206640"/>
        </a:xfrm>
        <a:prstGeom prst="ellipse">
          <a:avLst/>
        </a:prstGeom>
        <a:noFill/>
        <a:ln w="12700">
          <a:solidFill>
            <a:srgbClr val="000000"/>
          </a:solidFill>
          <a:round/>
        </a:ln>
      </xdr:spPr>
      <xdr:style>
        <a:lnRef idx="0"/>
        <a:fillRef idx="0"/>
        <a:effectRef idx="0"/>
        <a:fontRef idx="minor"/>
      </xdr:style>
    </xdr:sp>
    <xdr:clientData/>
  </xdr:twoCellAnchor>
  <xdr:twoCellAnchor editAs="twoCell">
    <xdr:from>
      <xdr:col>3</xdr:col>
      <xdr:colOff>600840</xdr:colOff>
      <xdr:row>90</xdr:row>
      <xdr:rowOff>133560</xdr:rowOff>
    </xdr:from>
    <xdr:to>
      <xdr:col>3</xdr:col>
      <xdr:colOff>600840</xdr:colOff>
      <xdr:row>91</xdr:row>
      <xdr:rowOff>73080</xdr:rowOff>
    </xdr:to>
    <xdr:sp>
      <xdr:nvSpPr>
        <xdr:cNvPr id="337" name="Line 100"/>
        <xdr:cNvSpPr/>
      </xdr:nvSpPr>
      <xdr:spPr>
        <a:xfrm>
          <a:off x="3115440" y="17478720"/>
          <a:ext cx="0" cy="129960"/>
        </a:xfrm>
        <a:prstGeom prst="line">
          <a:avLst/>
        </a:prstGeom>
        <a:ln w="15875">
          <a:solidFill>
            <a:srgbClr val="ffc000"/>
          </a:solidFill>
          <a:round/>
        </a:ln>
      </xdr:spPr>
      <xdr:style>
        <a:lnRef idx="0"/>
        <a:fillRef idx="0"/>
        <a:effectRef idx="0"/>
        <a:fontRef idx="minor"/>
      </xdr:style>
    </xdr:sp>
    <xdr:clientData/>
  </xdr:twoCellAnchor>
  <xdr:twoCellAnchor editAs="twoCell">
    <xdr:from>
      <xdr:col>3</xdr:col>
      <xdr:colOff>580320</xdr:colOff>
      <xdr:row>90</xdr:row>
      <xdr:rowOff>170280</xdr:rowOff>
    </xdr:from>
    <xdr:to>
      <xdr:col>3</xdr:col>
      <xdr:colOff>620280</xdr:colOff>
      <xdr:row>91</xdr:row>
      <xdr:rowOff>19440</xdr:rowOff>
    </xdr:to>
    <xdr:sp>
      <xdr:nvSpPr>
        <xdr:cNvPr id="338" name="455 Rectángulo redondeado"/>
        <xdr:cNvSpPr/>
      </xdr:nvSpPr>
      <xdr:spPr>
        <a:xfrm>
          <a:off x="3094920" y="17515440"/>
          <a:ext cx="3996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xdr:col>
      <xdr:colOff>608040</xdr:colOff>
      <xdr:row>88</xdr:row>
      <xdr:rowOff>49320</xdr:rowOff>
    </xdr:from>
    <xdr:to>
      <xdr:col>3</xdr:col>
      <xdr:colOff>608040</xdr:colOff>
      <xdr:row>89</xdr:row>
      <xdr:rowOff>16560</xdr:rowOff>
    </xdr:to>
    <xdr:sp>
      <xdr:nvSpPr>
        <xdr:cNvPr id="339" name="Line 206"/>
        <xdr:cNvSpPr/>
      </xdr:nvSpPr>
      <xdr:spPr>
        <a:xfrm>
          <a:off x="3122640" y="17003880"/>
          <a:ext cx="0" cy="157680"/>
        </a:xfrm>
        <a:prstGeom prst="line">
          <a:avLst/>
        </a:prstGeom>
        <a:ln w="25400">
          <a:solidFill>
            <a:srgbClr val="0000ff"/>
          </a:solidFill>
          <a:round/>
        </a:ln>
      </xdr:spPr>
      <xdr:style>
        <a:lnRef idx="0"/>
        <a:fillRef idx="0"/>
        <a:effectRef idx="0"/>
        <a:fontRef idx="minor"/>
      </xdr:style>
    </xdr:sp>
    <xdr:clientData/>
  </xdr:twoCellAnchor>
  <xdr:twoCellAnchor editAs="twoCell">
    <xdr:from>
      <xdr:col>3</xdr:col>
      <xdr:colOff>588600</xdr:colOff>
      <xdr:row>88</xdr:row>
      <xdr:rowOff>108720</xdr:rowOff>
    </xdr:from>
    <xdr:to>
      <xdr:col>3</xdr:col>
      <xdr:colOff>628560</xdr:colOff>
      <xdr:row>88</xdr:row>
      <xdr:rowOff>148320</xdr:rowOff>
    </xdr:to>
    <xdr:sp>
      <xdr:nvSpPr>
        <xdr:cNvPr id="340" name="452 Rectángulo redondeado"/>
        <xdr:cNvSpPr/>
      </xdr:nvSpPr>
      <xdr:spPr>
        <a:xfrm>
          <a:off x="3103200" y="17063280"/>
          <a:ext cx="39960" cy="39600"/>
        </a:xfrm>
        <a:prstGeom prst="roundRect">
          <a:avLst>
            <a:gd name="adj" fmla="val 16667"/>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4</xdr:col>
      <xdr:colOff>495720</xdr:colOff>
      <xdr:row>96</xdr:row>
      <xdr:rowOff>82800</xdr:rowOff>
    </xdr:from>
    <xdr:to>
      <xdr:col>5</xdr:col>
      <xdr:colOff>478440</xdr:colOff>
      <xdr:row>96</xdr:row>
      <xdr:rowOff>82800</xdr:rowOff>
    </xdr:to>
    <xdr:sp>
      <xdr:nvSpPr>
        <xdr:cNvPr id="341" name="Line 38"/>
        <xdr:cNvSpPr/>
      </xdr:nvSpPr>
      <xdr:spPr>
        <a:xfrm>
          <a:off x="3848400" y="18570960"/>
          <a:ext cx="821160" cy="0"/>
        </a:xfrm>
        <a:prstGeom prst="line">
          <a:avLst/>
        </a:prstGeom>
        <a:ln w="25400">
          <a:solidFill>
            <a:srgbClr val="ffc000"/>
          </a:solidFill>
          <a:round/>
        </a:ln>
      </xdr:spPr>
      <xdr:style>
        <a:lnRef idx="0"/>
        <a:fillRef idx="0"/>
        <a:effectRef idx="0"/>
        <a:fontRef idx="minor"/>
      </xdr:style>
    </xdr:sp>
    <xdr:clientData/>
  </xdr:twoCellAnchor>
  <xdr:twoCellAnchor editAs="twoCell">
    <xdr:from>
      <xdr:col>4</xdr:col>
      <xdr:colOff>505080</xdr:colOff>
      <xdr:row>95</xdr:row>
      <xdr:rowOff>85680</xdr:rowOff>
    </xdr:from>
    <xdr:to>
      <xdr:col>5</xdr:col>
      <xdr:colOff>250200</xdr:colOff>
      <xdr:row>96</xdr:row>
      <xdr:rowOff>17640</xdr:rowOff>
    </xdr:to>
    <xdr:sp>
      <xdr:nvSpPr>
        <xdr:cNvPr id="342" name="Text Box 188"/>
        <xdr:cNvSpPr/>
      </xdr:nvSpPr>
      <xdr:spPr>
        <a:xfrm>
          <a:off x="3857760" y="18383040"/>
          <a:ext cx="583560" cy="12276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Rotinet 34,5 kV</a:t>
          </a:r>
          <a:endParaRPr b="0" lang="en-GB" sz="600" spc="-1" strike="noStrike">
            <a:latin typeface="Times New Roman"/>
          </a:endParaRPr>
        </a:p>
      </xdr:txBody>
    </xdr:sp>
    <xdr:clientData/>
  </xdr:twoCellAnchor>
  <xdr:twoCellAnchor editAs="twoCell">
    <xdr:from>
      <xdr:col>2</xdr:col>
      <xdr:colOff>738000</xdr:colOff>
      <xdr:row>93</xdr:row>
      <xdr:rowOff>35280</xdr:rowOff>
    </xdr:from>
    <xdr:to>
      <xdr:col>3</xdr:col>
      <xdr:colOff>426600</xdr:colOff>
      <xdr:row>93</xdr:row>
      <xdr:rowOff>156600</xdr:rowOff>
    </xdr:to>
    <xdr:sp>
      <xdr:nvSpPr>
        <xdr:cNvPr id="343" name="Text Box 188"/>
        <xdr:cNvSpPr/>
      </xdr:nvSpPr>
      <xdr:spPr>
        <a:xfrm>
          <a:off x="2414520" y="17951760"/>
          <a:ext cx="52668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LN-521</a:t>
          </a:r>
          <a:endParaRPr b="0" lang="en-GB" sz="600" spc="-1" strike="noStrike">
            <a:latin typeface="Times New Roman"/>
          </a:endParaRPr>
        </a:p>
      </xdr:txBody>
    </xdr:sp>
    <xdr:clientData/>
  </xdr:twoCellAnchor>
  <xdr:twoCellAnchor editAs="twoCell">
    <xdr:from>
      <xdr:col>5</xdr:col>
      <xdr:colOff>56160</xdr:colOff>
      <xdr:row>99</xdr:row>
      <xdr:rowOff>68760</xdr:rowOff>
    </xdr:from>
    <xdr:to>
      <xdr:col>5</xdr:col>
      <xdr:colOff>574920</xdr:colOff>
      <xdr:row>100</xdr:row>
      <xdr:rowOff>43200</xdr:rowOff>
    </xdr:to>
    <xdr:sp>
      <xdr:nvSpPr>
        <xdr:cNvPr id="344" name="Text Box 188"/>
        <xdr:cNvSpPr/>
      </xdr:nvSpPr>
      <xdr:spPr>
        <a:xfrm>
          <a:off x="4247280" y="19128240"/>
          <a:ext cx="518760" cy="1648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Rotinet 13,8 kV</a:t>
          </a:r>
          <a:endParaRPr b="0" lang="en-GB" sz="600" spc="-1" strike="noStrike">
            <a:latin typeface="Times New Roman"/>
          </a:endParaRPr>
        </a:p>
      </xdr:txBody>
    </xdr:sp>
    <xdr:clientData/>
  </xdr:twoCellAnchor>
  <xdr:twoCellAnchor editAs="twoCell">
    <xdr:from>
      <xdr:col>4</xdr:col>
      <xdr:colOff>647640</xdr:colOff>
      <xdr:row>96</xdr:row>
      <xdr:rowOff>90360</xdr:rowOff>
    </xdr:from>
    <xdr:to>
      <xdr:col>5</xdr:col>
      <xdr:colOff>649080</xdr:colOff>
      <xdr:row>100</xdr:row>
      <xdr:rowOff>188640</xdr:rowOff>
    </xdr:to>
    <xdr:grpSp>
      <xdr:nvGrpSpPr>
        <xdr:cNvPr id="345" name="Grupo 346"/>
        <xdr:cNvGrpSpPr/>
      </xdr:nvGrpSpPr>
      <xdr:grpSpPr>
        <a:xfrm>
          <a:off x="4000320" y="18578520"/>
          <a:ext cx="839880" cy="860040"/>
          <a:chOff x="4000320" y="18578520"/>
          <a:chExt cx="839880" cy="860040"/>
        </a:xfrm>
      </xdr:grpSpPr>
      <xdr:sp>
        <xdr:nvSpPr>
          <xdr:cNvPr id="346" name="Oval 40"/>
          <xdr:cNvSpPr/>
        </xdr:nvSpPr>
        <xdr:spPr>
          <a:xfrm rot="10800000">
            <a:off x="4034160" y="18825480"/>
            <a:ext cx="196200" cy="209160"/>
          </a:xfrm>
          <a:prstGeom prst="ellipse">
            <a:avLst/>
          </a:prstGeom>
          <a:noFill/>
          <a:ln w="12700">
            <a:solidFill>
              <a:srgbClr val="000000"/>
            </a:solidFill>
            <a:round/>
          </a:ln>
        </xdr:spPr>
        <xdr:style>
          <a:lnRef idx="0"/>
          <a:fillRef idx="0"/>
          <a:effectRef idx="0"/>
          <a:fontRef idx="minor"/>
        </xdr:style>
      </xdr:sp>
      <xdr:sp>
        <xdr:nvSpPr>
          <xdr:cNvPr id="347" name="Oval 41"/>
          <xdr:cNvSpPr/>
        </xdr:nvSpPr>
        <xdr:spPr>
          <a:xfrm rot="10800000">
            <a:off x="4031280" y="18713880"/>
            <a:ext cx="196200" cy="209160"/>
          </a:xfrm>
          <a:prstGeom prst="ellipse">
            <a:avLst/>
          </a:prstGeom>
          <a:noFill/>
          <a:ln w="12700">
            <a:solidFill>
              <a:srgbClr val="ffc000"/>
            </a:solidFill>
            <a:round/>
          </a:ln>
        </xdr:spPr>
        <xdr:style>
          <a:lnRef idx="0"/>
          <a:fillRef idx="0"/>
          <a:effectRef idx="0"/>
          <a:fontRef idx="minor"/>
        </xdr:style>
      </xdr:sp>
      <xdr:sp>
        <xdr:nvSpPr>
          <xdr:cNvPr id="348" name="Line 206"/>
          <xdr:cNvSpPr/>
        </xdr:nvSpPr>
        <xdr:spPr>
          <a:xfrm>
            <a:off x="4123800" y="18578520"/>
            <a:ext cx="360" cy="132120"/>
          </a:xfrm>
          <a:prstGeom prst="line">
            <a:avLst/>
          </a:prstGeom>
          <a:ln w="15875">
            <a:solidFill>
              <a:srgbClr val="ffc000"/>
            </a:solidFill>
            <a:round/>
          </a:ln>
        </xdr:spPr>
        <xdr:style>
          <a:lnRef idx="0"/>
          <a:fillRef idx="0"/>
          <a:effectRef idx="0"/>
          <a:fontRef idx="minor"/>
        </xdr:style>
      </xdr:sp>
      <xdr:sp>
        <xdr:nvSpPr>
          <xdr:cNvPr id="349" name="452 Rectángulo redondeado"/>
          <xdr:cNvSpPr/>
        </xdr:nvSpPr>
        <xdr:spPr>
          <a:xfrm>
            <a:off x="4101840" y="18614160"/>
            <a:ext cx="4500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350" name="Line 99"/>
          <xdr:cNvSpPr/>
        </xdr:nvSpPr>
        <xdr:spPr>
          <a:xfrm>
            <a:off x="4000320" y="19176120"/>
            <a:ext cx="276480" cy="360"/>
          </a:xfrm>
          <a:prstGeom prst="line">
            <a:avLst/>
          </a:prstGeom>
          <a:ln w="25400">
            <a:solidFill>
              <a:srgbClr val="000000"/>
            </a:solidFill>
            <a:round/>
          </a:ln>
        </xdr:spPr>
        <xdr:style>
          <a:lnRef idx="0"/>
          <a:fillRef idx="0"/>
          <a:effectRef idx="0"/>
          <a:fontRef idx="minor"/>
        </xdr:style>
      </xdr:sp>
      <xdr:sp>
        <xdr:nvSpPr>
          <xdr:cNvPr id="351" name="Line 280"/>
          <xdr:cNvSpPr/>
        </xdr:nvSpPr>
        <xdr:spPr>
          <a:xfrm>
            <a:off x="4131360" y="19036080"/>
            <a:ext cx="360" cy="402480"/>
          </a:xfrm>
          <a:prstGeom prst="line">
            <a:avLst/>
          </a:prstGeom>
          <a:ln w="15875">
            <a:solidFill>
              <a:srgbClr val="000000"/>
            </a:solidFill>
            <a:round/>
            <a:tailEnd len="med" type="triangle" w="med"/>
          </a:ln>
        </xdr:spPr>
        <xdr:style>
          <a:lnRef idx="0"/>
          <a:fillRef idx="0"/>
          <a:effectRef idx="0"/>
          <a:fontRef idx="minor"/>
        </xdr:style>
      </xdr:sp>
      <xdr:sp>
        <xdr:nvSpPr>
          <xdr:cNvPr id="352" name="455 Rectángulo redondeado"/>
          <xdr:cNvSpPr/>
        </xdr:nvSpPr>
        <xdr:spPr>
          <a:xfrm rot="5400000">
            <a:off x="4113720" y="19224360"/>
            <a:ext cx="39960" cy="450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353" name="455 Rectángulo redondeado"/>
          <xdr:cNvSpPr/>
        </xdr:nvSpPr>
        <xdr:spPr>
          <a:xfrm rot="5400000">
            <a:off x="4114080" y="19082160"/>
            <a:ext cx="39960" cy="450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354" name="61 CuadroTexto"/>
          <xdr:cNvSpPr/>
        </xdr:nvSpPr>
        <xdr:spPr>
          <a:xfrm>
            <a:off x="4128120" y="18771480"/>
            <a:ext cx="712080" cy="24984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grpSp>
    <xdr:clientData/>
  </xdr:twoCellAnchor>
  <xdr:twoCellAnchor editAs="twoCell">
    <xdr:from>
      <xdr:col>4</xdr:col>
      <xdr:colOff>564480</xdr:colOff>
      <xdr:row>96</xdr:row>
      <xdr:rowOff>87840</xdr:rowOff>
    </xdr:from>
    <xdr:to>
      <xdr:col>4</xdr:col>
      <xdr:colOff>564480</xdr:colOff>
      <xdr:row>97</xdr:row>
      <xdr:rowOff>78480</xdr:rowOff>
    </xdr:to>
    <xdr:sp>
      <xdr:nvSpPr>
        <xdr:cNvPr id="355" name="Line 280"/>
        <xdr:cNvSpPr/>
      </xdr:nvSpPr>
      <xdr:spPr>
        <a:xfrm>
          <a:off x="3917160" y="18576000"/>
          <a:ext cx="0" cy="181080"/>
        </a:xfrm>
        <a:prstGeom prst="line">
          <a:avLst/>
        </a:prstGeom>
        <a:ln w="12700">
          <a:solidFill>
            <a:srgbClr val="ffc000"/>
          </a:solidFill>
          <a:round/>
        </a:ln>
      </xdr:spPr>
      <xdr:style>
        <a:lnRef idx="0"/>
        <a:fillRef idx="0"/>
        <a:effectRef idx="0"/>
        <a:fontRef idx="minor"/>
      </xdr:style>
    </xdr:sp>
    <xdr:clientData/>
  </xdr:twoCellAnchor>
  <xdr:twoCellAnchor editAs="twoCell">
    <xdr:from>
      <xdr:col>4</xdr:col>
      <xdr:colOff>546120</xdr:colOff>
      <xdr:row>96</xdr:row>
      <xdr:rowOff>131040</xdr:rowOff>
    </xdr:from>
    <xdr:to>
      <xdr:col>4</xdr:col>
      <xdr:colOff>586440</xdr:colOff>
      <xdr:row>96</xdr:row>
      <xdr:rowOff>170640</xdr:rowOff>
    </xdr:to>
    <xdr:sp>
      <xdr:nvSpPr>
        <xdr:cNvPr id="356" name="455 Rectángulo redondeado"/>
        <xdr:cNvSpPr/>
      </xdr:nvSpPr>
      <xdr:spPr>
        <a:xfrm>
          <a:off x="3898800" y="1861920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xdr:col>
      <xdr:colOff>127080</xdr:colOff>
      <xdr:row>96</xdr:row>
      <xdr:rowOff>83160</xdr:rowOff>
    </xdr:from>
    <xdr:to>
      <xdr:col>4</xdr:col>
      <xdr:colOff>1440</xdr:colOff>
      <xdr:row>96</xdr:row>
      <xdr:rowOff>83160</xdr:rowOff>
    </xdr:to>
    <xdr:sp>
      <xdr:nvSpPr>
        <xdr:cNvPr id="357" name="Line 38"/>
        <xdr:cNvSpPr/>
      </xdr:nvSpPr>
      <xdr:spPr>
        <a:xfrm>
          <a:off x="2641680" y="18571320"/>
          <a:ext cx="712440" cy="0"/>
        </a:xfrm>
        <a:prstGeom prst="line">
          <a:avLst/>
        </a:prstGeom>
        <a:ln w="25400">
          <a:solidFill>
            <a:srgbClr val="ffc000"/>
          </a:solidFill>
          <a:round/>
        </a:ln>
      </xdr:spPr>
      <xdr:style>
        <a:lnRef idx="0"/>
        <a:fillRef idx="0"/>
        <a:effectRef idx="0"/>
        <a:fontRef idx="minor"/>
      </xdr:style>
    </xdr:sp>
    <xdr:clientData/>
  </xdr:twoCellAnchor>
  <xdr:twoCellAnchor editAs="twoCell">
    <xdr:from>
      <xdr:col>3</xdr:col>
      <xdr:colOff>653400</xdr:colOff>
      <xdr:row>96</xdr:row>
      <xdr:rowOff>89640</xdr:rowOff>
    </xdr:from>
    <xdr:to>
      <xdr:col>4</xdr:col>
      <xdr:colOff>568440</xdr:colOff>
      <xdr:row>97</xdr:row>
      <xdr:rowOff>79920</xdr:rowOff>
    </xdr:to>
    <xdr:grpSp>
      <xdr:nvGrpSpPr>
        <xdr:cNvPr id="358" name="Grupo 359"/>
        <xdr:cNvGrpSpPr/>
      </xdr:nvGrpSpPr>
      <xdr:grpSpPr>
        <a:xfrm>
          <a:off x="3168000" y="18577800"/>
          <a:ext cx="753120" cy="180720"/>
          <a:chOff x="3168000" y="18577800"/>
          <a:chExt cx="753120" cy="180720"/>
        </a:xfrm>
      </xdr:grpSpPr>
      <xdr:sp>
        <xdr:nvSpPr>
          <xdr:cNvPr id="359" name="Line 280"/>
          <xdr:cNvSpPr/>
        </xdr:nvSpPr>
        <xdr:spPr>
          <a:xfrm flipH="1">
            <a:off x="3168000" y="18756360"/>
            <a:ext cx="753120" cy="360"/>
          </a:xfrm>
          <a:prstGeom prst="line">
            <a:avLst/>
          </a:prstGeom>
          <a:ln w="12700">
            <a:solidFill>
              <a:srgbClr val="ffc000"/>
            </a:solidFill>
            <a:round/>
          </a:ln>
        </xdr:spPr>
        <xdr:style>
          <a:lnRef idx="0"/>
          <a:fillRef idx="0"/>
          <a:effectRef idx="0"/>
          <a:fontRef idx="minor"/>
        </xdr:style>
      </xdr:sp>
      <xdr:sp>
        <xdr:nvSpPr>
          <xdr:cNvPr id="360" name="Line 280"/>
          <xdr:cNvSpPr/>
        </xdr:nvSpPr>
        <xdr:spPr>
          <a:xfrm>
            <a:off x="3173760" y="18577800"/>
            <a:ext cx="360" cy="180720"/>
          </a:xfrm>
          <a:prstGeom prst="line">
            <a:avLst/>
          </a:prstGeom>
          <a:ln w="12700">
            <a:solidFill>
              <a:srgbClr val="ffc000"/>
            </a:solidFill>
            <a:round/>
          </a:ln>
        </xdr:spPr>
        <xdr:style>
          <a:lnRef idx="0"/>
          <a:fillRef idx="0"/>
          <a:effectRef idx="0"/>
          <a:fontRef idx="minor"/>
        </xdr:style>
      </xdr:sp>
    </xdr:grpSp>
    <xdr:clientData/>
  </xdr:twoCellAnchor>
  <xdr:twoCellAnchor editAs="twoCell">
    <xdr:from>
      <xdr:col>3</xdr:col>
      <xdr:colOff>354240</xdr:colOff>
      <xdr:row>96</xdr:row>
      <xdr:rowOff>7200</xdr:rowOff>
    </xdr:from>
    <xdr:to>
      <xdr:col>3</xdr:col>
      <xdr:colOff>394560</xdr:colOff>
      <xdr:row>96</xdr:row>
      <xdr:rowOff>46800</xdr:rowOff>
    </xdr:to>
    <xdr:sp>
      <xdr:nvSpPr>
        <xdr:cNvPr id="361" name="455 Rectángulo redondeado"/>
        <xdr:cNvSpPr/>
      </xdr:nvSpPr>
      <xdr:spPr>
        <a:xfrm>
          <a:off x="2868840" y="1849536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xdr:col>
      <xdr:colOff>262800</xdr:colOff>
      <xdr:row>96</xdr:row>
      <xdr:rowOff>92520</xdr:rowOff>
    </xdr:from>
    <xdr:to>
      <xdr:col>3</xdr:col>
      <xdr:colOff>514080</xdr:colOff>
      <xdr:row>101</xdr:row>
      <xdr:rowOff>720</xdr:rowOff>
    </xdr:to>
    <xdr:grpSp>
      <xdr:nvGrpSpPr>
        <xdr:cNvPr id="362" name="Grupo 363"/>
        <xdr:cNvGrpSpPr/>
      </xdr:nvGrpSpPr>
      <xdr:grpSpPr>
        <a:xfrm>
          <a:off x="2777400" y="18580680"/>
          <a:ext cx="251280" cy="860400"/>
          <a:chOff x="2777400" y="18580680"/>
          <a:chExt cx="251280" cy="860400"/>
        </a:xfrm>
      </xdr:grpSpPr>
      <xdr:sp>
        <xdr:nvSpPr>
          <xdr:cNvPr id="363" name="Oval 40"/>
          <xdr:cNvSpPr/>
        </xdr:nvSpPr>
        <xdr:spPr>
          <a:xfrm rot="10800000">
            <a:off x="2808360" y="18827640"/>
            <a:ext cx="178200" cy="209160"/>
          </a:xfrm>
          <a:prstGeom prst="ellipse">
            <a:avLst/>
          </a:prstGeom>
          <a:noFill/>
          <a:ln w="12700">
            <a:solidFill>
              <a:srgbClr val="000000"/>
            </a:solidFill>
            <a:round/>
          </a:ln>
        </xdr:spPr>
        <xdr:style>
          <a:lnRef idx="0"/>
          <a:fillRef idx="0"/>
          <a:effectRef idx="0"/>
          <a:fontRef idx="minor"/>
        </xdr:style>
      </xdr:sp>
      <xdr:sp>
        <xdr:nvSpPr>
          <xdr:cNvPr id="364" name="Oval 41"/>
          <xdr:cNvSpPr/>
        </xdr:nvSpPr>
        <xdr:spPr>
          <a:xfrm rot="10800000">
            <a:off x="2805480" y="18716040"/>
            <a:ext cx="178200" cy="209160"/>
          </a:xfrm>
          <a:prstGeom prst="ellipse">
            <a:avLst/>
          </a:prstGeom>
          <a:noFill/>
          <a:ln w="12700">
            <a:solidFill>
              <a:srgbClr val="ffc000"/>
            </a:solidFill>
            <a:round/>
          </a:ln>
        </xdr:spPr>
        <xdr:style>
          <a:lnRef idx="0"/>
          <a:fillRef idx="0"/>
          <a:effectRef idx="0"/>
          <a:fontRef idx="minor"/>
        </xdr:style>
      </xdr:sp>
      <xdr:sp>
        <xdr:nvSpPr>
          <xdr:cNvPr id="365" name="Line 206"/>
          <xdr:cNvSpPr/>
        </xdr:nvSpPr>
        <xdr:spPr>
          <a:xfrm>
            <a:off x="2889720" y="18580680"/>
            <a:ext cx="360" cy="132120"/>
          </a:xfrm>
          <a:prstGeom prst="line">
            <a:avLst/>
          </a:prstGeom>
          <a:ln w="15875">
            <a:solidFill>
              <a:srgbClr val="ffc000"/>
            </a:solidFill>
            <a:round/>
          </a:ln>
        </xdr:spPr>
        <xdr:style>
          <a:lnRef idx="0"/>
          <a:fillRef idx="0"/>
          <a:effectRef idx="0"/>
          <a:fontRef idx="minor"/>
        </xdr:style>
      </xdr:sp>
      <xdr:sp>
        <xdr:nvSpPr>
          <xdr:cNvPr id="366" name="452 Rectángulo redondeado"/>
          <xdr:cNvSpPr/>
        </xdr:nvSpPr>
        <xdr:spPr>
          <a:xfrm>
            <a:off x="2869560" y="18616680"/>
            <a:ext cx="4068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367" name="Line 99"/>
          <xdr:cNvSpPr/>
        </xdr:nvSpPr>
        <xdr:spPr>
          <a:xfrm>
            <a:off x="2777400" y="19178280"/>
            <a:ext cx="251280" cy="360"/>
          </a:xfrm>
          <a:prstGeom prst="line">
            <a:avLst/>
          </a:prstGeom>
          <a:ln w="25400">
            <a:solidFill>
              <a:srgbClr val="000000"/>
            </a:solidFill>
            <a:round/>
          </a:ln>
        </xdr:spPr>
        <xdr:style>
          <a:lnRef idx="0"/>
          <a:fillRef idx="0"/>
          <a:effectRef idx="0"/>
          <a:fontRef idx="minor"/>
        </xdr:style>
      </xdr:sp>
      <xdr:sp>
        <xdr:nvSpPr>
          <xdr:cNvPr id="368" name="Line 280"/>
          <xdr:cNvSpPr/>
        </xdr:nvSpPr>
        <xdr:spPr>
          <a:xfrm>
            <a:off x="2896560" y="19038600"/>
            <a:ext cx="360" cy="402480"/>
          </a:xfrm>
          <a:prstGeom prst="line">
            <a:avLst/>
          </a:prstGeom>
          <a:ln w="15875">
            <a:solidFill>
              <a:srgbClr val="000000"/>
            </a:solidFill>
            <a:round/>
            <a:tailEnd len="med" type="triangle" w="med"/>
          </a:ln>
        </xdr:spPr>
        <xdr:style>
          <a:lnRef idx="0"/>
          <a:fillRef idx="0"/>
          <a:effectRef idx="0"/>
          <a:fontRef idx="minor"/>
        </xdr:style>
      </xdr:sp>
      <xdr:sp>
        <xdr:nvSpPr>
          <xdr:cNvPr id="369" name="455 Rectángulo redondeado"/>
          <xdr:cNvSpPr/>
        </xdr:nvSpPr>
        <xdr:spPr>
          <a:xfrm rot="5400000">
            <a:off x="2878920" y="19228680"/>
            <a:ext cx="3996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370" name="455 Rectángulo redondeado"/>
          <xdr:cNvSpPr/>
        </xdr:nvSpPr>
        <xdr:spPr>
          <a:xfrm rot="5400000">
            <a:off x="2878920" y="19086480"/>
            <a:ext cx="3996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xdr:col>
      <xdr:colOff>441720</xdr:colOff>
      <xdr:row>97</xdr:row>
      <xdr:rowOff>102600</xdr:rowOff>
    </xdr:from>
    <xdr:to>
      <xdr:col>3</xdr:col>
      <xdr:colOff>312480</xdr:colOff>
      <xdr:row>98</xdr:row>
      <xdr:rowOff>162000</xdr:rowOff>
    </xdr:to>
    <xdr:sp>
      <xdr:nvSpPr>
        <xdr:cNvPr id="371" name="61 CuadroTexto"/>
        <xdr:cNvSpPr/>
      </xdr:nvSpPr>
      <xdr:spPr>
        <a:xfrm>
          <a:off x="2118240" y="18781200"/>
          <a:ext cx="708840" cy="24984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12,5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clientData/>
  </xdr:twoCellAnchor>
  <xdr:twoCellAnchor editAs="twoCell">
    <xdr:from>
      <xdr:col>2</xdr:col>
      <xdr:colOff>236880</xdr:colOff>
      <xdr:row>95</xdr:row>
      <xdr:rowOff>126360</xdr:rowOff>
    </xdr:from>
    <xdr:to>
      <xdr:col>3</xdr:col>
      <xdr:colOff>173520</xdr:colOff>
      <xdr:row>96</xdr:row>
      <xdr:rowOff>168840</xdr:rowOff>
    </xdr:to>
    <xdr:sp>
      <xdr:nvSpPr>
        <xdr:cNvPr id="372" name="Text Box 188"/>
        <xdr:cNvSpPr/>
      </xdr:nvSpPr>
      <xdr:spPr>
        <a:xfrm>
          <a:off x="1913400" y="18423720"/>
          <a:ext cx="774720" cy="2332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Arroyo de Piedra 34,5 kV</a:t>
          </a:r>
          <a:endParaRPr b="0" lang="en-GB" sz="600" spc="-1" strike="noStrike">
            <a:latin typeface="Times New Roman"/>
          </a:endParaRPr>
        </a:p>
      </xdr:txBody>
    </xdr:sp>
    <xdr:clientData/>
  </xdr:twoCellAnchor>
  <xdr:twoCellAnchor editAs="twoCell">
    <xdr:from>
      <xdr:col>4</xdr:col>
      <xdr:colOff>166680</xdr:colOff>
      <xdr:row>89</xdr:row>
      <xdr:rowOff>189720</xdr:rowOff>
    </xdr:from>
    <xdr:to>
      <xdr:col>4</xdr:col>
      <xdr:colOff>202320</xdr:colOff>
      <xdr:row>90</xdr:row>
      <xdr:rowOff>25200</xdr:rowOff>
    </xdr:to>
    <xdr:sp>
      <xdr:nvSpPr>
        <xdr:cNvPr id="373" name="Oval 63"/>
        <xdr:cNvSpPr/>
      </xdr:nvSpPr>
      <xdr:spPr>
        <a:xfrm flipV="1">
          <a:off x="3519360" y="17334360"/>
          <a:ext cx="35640" cy="35640"/>
        </a:xfrm>
        <a:prstGeom prst="ellipse">
          <a:avLst/>
        </a:prstGeom>
        <a:solidFill>
          <a:schemeClr val="tx1"/>
        </a:solidFill>
        <a:ln w="12700">
          <a:solidFill>
            <a:srgbClr val="000000"/>
          </a:solidFill>
          <a:round/>
        </a:ln>
      </xdr:spPr>
      <xdr:style>
        <a:lnRef idx="0"/>
        <a:fillRef idx="0"/>
        <a:effectRef idx="0"/>
        <a:fontRef idx="minor"/>
      </xdr:style>
    </xdr:sp>
    <xdr:clientData/>
  </xdr:twoCellAnchor>
  <xdr:twoCellAnchor editAs="twoCell">
    <xdr:from>
      <xdr:col>2</xdr:col>
      <xdr:colOff>502560</xdr:colOff>
      <xdr:row>90</xdr:row>
      <xdr:rowOff>138240</xdr:rowOff>
    </xdr:from>
    <xdr:to>
      <xdr:col>3</xdr:col>
      <xdr:colOff>363960</xdr:colOff>
      <xdr:row>91</xdr:row>
      <xdr:rowOff>168840</xdr:rowOff>
    </xdr:to>
    <xdr:sp>
      <xdr:nvSpPr>
        <xdr:cNvPr id="374" name="Text Box 188"/>
        <xdr:cNvSpPr/>
      </xdr:nvSpPr>
      <xdr:spPr>
        <a:xfrm>
          <a:off x="2179080" y="17483400"/>
          <a:ext cx="699480" cy="2210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Sabanalarga 34,5 kV</a:t>
          </a:r>
          <a:endParaRPr b="0" lang="en-GB" sz="600" spc="-1" strike="noStrike">
            <a:latin typeface="Times New Roman"/>
          </a:endParaRPr>
        </a:p>
      </xdr:txBody>
    </xdr:sp>
    <xdr:clientData/>
  </xdr:twoCellAnchor>
  <xdr:twoCellAnchor editAs="twoCell">
    <xdr:from>
      <xdr:col>3</xdr:col>
      <xdr:colOff>430560</xdr:colOff>
      <xdr:row>99</xdr:row>
      <xdr:rowOff>11160</xdr:rowOff>
    </xdr:from>
    <xdr:to>
      <xdr:col>4</xdr:col>
      <xdr:colOff>368280</xdr:colOff>
      <xdr:row>100</xdr:row>
      <xdr:rowOff>53640</xdr:rowOff>
    </xdr:to>
    <xdr:sp>
      <xdr:nvSpPr>
        <xdr:cNvPr id="375" name="Text Box 188"/>
        <xdr:cNvSpPr/>
      </xdr:nvSpPr>
      <xdr:spPr>
        <a:xfrm>
          <a:off x="2945160" y="19070640"/>
          <a:ext cx="77580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Arroyo de Piedra 13,8 kV</a:t>
          </a:r>
          <a:endParaRPr b="0" lang="en-GB" sz="600" spc="-1" strike="noStrike">
            <a:latin typeface="Times New Roman"/>
          </a:endParaRPr>
        </a:p>
      </xdr:txBody>
    </xdr:sp>
    <xdr:clientData/>
  </xdr:twoCellAnchor>
  <xdr:twoCellAnchor editAs="twoCell">
    <xdr:from>
      <xdr:col>3</xdr:col>
      <xdr:colOff>640440</xdr:colOff>
      <xdr:row>96</xdr:row>
      <xdr:rowOff>133920</xdr:rowOff>
    </xdr:from>
    <xdr:to>
      <xdr:col>3</xdr:col>
      <xdr:colOff>680760</xdr:colOff>
      <xdr:row>96</xdr:row>
      <xdr:rowOff>173520</xdr:rowOff>
    </xdr:to>
    <xdr:sp>
      <xdr:nvSpPr>
        <xdr:cNvPr id="376" name="455 Rectángulo redondeado"/>
        <xdr:cNvSpPr/>
      </xdr:nvSpPr>
      <xdr:spPr>
        <a:xfrm>
          <a:off x="3155040" y="1862208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xdr:col>
      <xdr:colOff>756360</xdr:colOff>
      <xdr:row>96</xdr:row>
      <xdr:rowOff>139320</xdr:rowOff>
    </xdr:from>
    <xdr:to>
      <xdr:col>4</xdr:col>
      <xdr:colOff>498600</xdr:colOff>
      <xdr:row>97</xdr:row>
      <xdr:rowOff>70200</xdr:rowOff>
    </xdr:to>
    <xdr:sp>
      <xdr:nvSpPr>
        <xdr:cNvPr id="377" name="Text Box 188"/>
        <xdr:cNvSpPr/>
      </xdr:nvSpPr>
      <xdr:spPr>
        <a:xfrm>
          <a:off x="3270960" y="18627480"/>
          <a:ext cx="58032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LN-5118</a:t>
          </a:r>
          <a:endParaRPr b="0" lang="en-GB" sz="600" spc="-1" strike="noStrike">
            <a:latin typeface="Times New Roman"/>
          </a:endParaRPr>
        </a:p>
      </xdr:txBody>
    </xdr:sp>
    <xdr:clientData/>
  </xdr:twoCellAnchor>
  <xdr:twoCellAnchor editAs="twoCell">
    <xdr:from>
      <xdr:col>5</xdr:col>
      <xdr:colOff>338040</xdr:colOff>
      <xdr:row>95</xdr:row>
      <xdr:rowOff>34200</xdr:rowOff>
    </xdr:from>
    <xdr:to>
      <xdr:col>5</xdr:col>
      <xdr:colOff>338040</xdr:colOff>
      <xdr:row>96</xdr:row>
      <xdr:rowOff>84960</xdr:rowOff>
    </xdr:to>
    <xdr:sp>
      <xdr:nvSpPr>
        <xdr:cNvPr id="378" name="Line 280"/>
        <xdr:cNvSpPr/>
      </xdr:nvSpPr>
      <xdr:spPr>
        <a:xfrm>
          <a:off x="4529160" y="18331560"/>
          <a:ext cx="0" cy="241560"/>
        </a:xfrm>
        <a:prstGeom prst="line">
          <a:avLst/>
        </a:prstGeom>
        <a:ln w="15875">
          <a:solidFill>
            <a:srgbClr val="ffc000"/>
          </a:solidFill>
          <a:round/>
          <a:headEnd len="med" type="triangle" w="med"/>
        </a:ln>
      </xdr:spPr>
      <xdr:style>
        <a:lnRef idx="0"/>
        <a:fillRef idx="0"/>
        <a:effectRef idx="0"/>
        <a:fontRef idx="minor"/>
      </xdr:style>
    </xdr:sp>
    <xdr:clientData/>
  </xdr:twoCellAnchor>
  <xdr:twoCellAnchor editAs="twoCell">
    <xdr:from>
      <xdr:col>5</xdr:col>
      <xdr:colOff>320400</xdr:colOff>
      <xdr:row>95</xdr:row>
      <xdr:rowOff>181080</xdr:rowOff>
    </xdr:from>
    <xdr:to>
      <xdr:col>5</xdr:col>
      <xdr:colOff>360360</xdr:colOff>
      <xdr:row>96</xdr:row>
      <xdr:rowOff>31320</xdr:rowOff>
    </xdr:to>
    <xdr:sp>
      <xdr:nvSpPr>
        <xdr:cNvPr id="379" name="455 Rectángulo redondeado"/>
        <xdr:cNvSpPr/>
      </xdr:nvSpPr>
      <xdr:spPr>
        <a:xfrm rot="5400000">
          <a:off x="4510800" y="18478800"/>
          <a:ext cx="4104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5</xdr:col>
      <xdr:colOff>162000</xdr:colOff>
      <xdr:row>94</xdr:row>
      <xdr:rowOff>108000</xdr:rowOff>
    </xdr:from>
    <xdr:to>
      <xdr:col>5</xdr:col>
      <xdr:colOff>530640</xdr:colOff>
      <xdr:row>95</xdr:row>
      <xdr:rowOff>38880</xdr:rowOff>
    </xdr:to>
    <xdr:sp>
      <xdr:nvSpPr>
        <xdr:cNvPr id="380" name="Text Box 188"/>
        <xdr:cNvSpPr/>
      </xdr:nvSpPr>
      <xdr:spPr>
        <a:xfrm>
          <a:off x="4353120" y="18214920"/>
          <a:ext cx="36864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INAT</a:t>
          </a:r>
          <a:endParaRPr b="0" lang="en-GB" sz="600" spc="-1" strike="noStrike">
            <a:latin typeface="Times New Roman"/>
          </a:endParaRPr>
        </a:p>
      </xdr:txBody>
    </xdr:sp>
    <xdr:clientData/>
  </xdr:twoCellAnchor>
  <xdr:twoCellAnchor editAs="twoCell">
    <xdr:from>
      <xdr:col>4</xdr:col>
      <xdr:colOff>391320</xdr:colOff>
      <xdr:row>91</xdr:row>
      <xdr:rowOff>83520</xdr:rowOff>
    </xdr:from>
    <xdr:to>
      <xdr:col>4</xdr:col>
      <xdr:colOff>391320</xdr:colOff>
      <xdr:row>92</xdr:row>
      <xdr:rowOff>32040</xdr:rowOff>
    </xdr:to>
    <xdr:sp>
      <xdr:nvSpPr>
        <xdr:cNvPr id="381" name="Line 244"/>
        <xdr:cNvSpPr/>
      </xdr:nvSpPr>
      <xdr:spPr>
        <a:xfrm>
          <a:off x="3744000" y="17619120"/>
          <a:ext cx="0" cy="138960"/>
        </a:xfrm>
        <a:prstGeom prst="line">
          <a:avLst/>
        </a:prstGeom>
        <a:ln w="15875">
          <a:solidFill>
            <a:srgbClr val="ffc000"/>
          </a:solidFill>
          <a:round/>
        </a:ln>
      </xdr:spPr>
      <xdr:style>
        <a:lnRef idx="0"/>
        <a:fillRef idx="0"/>
        <a:effectRef idx="0"/>
        <a:fontRef idx="minor"/>
      </xdr:style>
    </xdr:sp>
    <xdr:clientData/>
  </xdr:twoCellAnchor>
  <xdr:twoCellAnchor editAs="twoCell">
    <xdr:from>
      <xdr:col>4</xdr:col>
      <xdr:colOff>375480</xdr:colOff>
      <xdr:row>91</xdr:row>
      <xdr:rowOff>121320</xdr:rowOff>
    </xdr:from>
    <xdr:to>
      <xdr:col>4</xdr:col>
      <xdr:colOff>415800</xdr:colOff>
      <xdr:row>91</xdr:row>
      <xdr:rowOff>160920</xdr:rowOff>
    </xdr:to>
    <xdr:sp>
      <xdr:nvSpPr>
        <xdr:cNvPr id="382" name="455 Rectángulo redondeado"/>
        <xdr:cNvSpPr/>
      </xdr:nvSpPr>
      <xdr:spPr>
        <a:xfrm>
          <a:off x="3728160" y="1765692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4</xdr:col>
      <xdr:colOff>385920</xdr:colOff>
      <xdr:row>92</xdr:row>
      <xdr:rowOff>23760</xdr:rowOff>
    </xdr:from>
    <xdr:to>
      <xdr:col>7</xdr:col>
      <xdr:colOff>707040</xdr:colOff>
      <xdr:row>92</xdr:row>
      <xdr:rowOff>23760</xdr:rowOff>
    </xdr:to>
    <xdr:sp>
      <xdr:nvSpPr>
        <xdr:cNvPr id="383" name="Line 244"/>
        <xdr:cNvSpPr/>
      </xdr:nvSpPr>
      <xdr:spPr>
        <a:xfrm flipH="1">
          <a:off x="3738600" y="17749800"/>
          <a:ext cx="2835720" cy="0"/>
        </a:xfrm>
        <a:prstGeom prst="line">
          <a:avLst/>
        </a:prstGeom>
        <a:ln w="15875">
          <a:solidFill>
            <a:srgbClr val="ffc000"/>
          </a:solidFill>
          <a:round/>
        </a:ln>
      </xdr:spPr>
      <xdr:style>
        <a:lnRef idx="0"/>
        <a:fillRef idx="0"/>
        <a:effectRef idx="0"/>
        <a:fontRef idx="minor"/>
      </xdr:style>
    </xdr:sp>
    <xdr:clientData/>
  </xdr:twoCellAnchor>
  <xdr:twoCellAnchor editAs="twoCell">
    <xdr:from>
      <xdr:col>6</xdr:col>
      <xdr:colOff>379440</xdr:colOff>
      <xdr:row>92</xdr:row>
      <xdr:rowOff>5760</xdr:rowOff>
    </xdr:from>
    <xdr:to>
      <xdr:col>6</xdr:col>
      <xdr:colOff>415080</xdr:colOff>
      <xdr:row>92</xdr:row>
      <xdr:rowOff>41400</xdr:rowOff>
    </xdr:to>
    <xdr:sp>
      <xdr:nvSpPr>
        <xdr:cNvPr id="384" name="Oval 63"/>
        <xdr:cNvSpPr/>
      </xdr:nvSpPr>
      <xdr:spPr>
        <a:xfrm flipV="1">
          <a:off x="5408640" y="17731440"/>
          <a:ext cx="35640" cy="35640"/>
        </a:xfrm>
        <a:prstGeom prst="ellipse">
          <a:avLst/>
        </a:prstGeom>
        <a:solidFill>
          <a:srgbClr val="ffc000"/>
        </a:solidFill>
        <a:ln w="12700">
          <a:solidFill>
            <a:srgbClr val="ffc000"/>
          </a:solidFill>
          <a:round/>
        </a:ln>
      </xdr:spPr>
      <xdr:style>
        <a:lnRef idx="0"/>
        <a:fillRef idx="0"/>
        <a:effectRef idx="0"/>
        <a:fontRef idx="minor"/>
      </xdr:style>
    </xdr:sp>
    <xdr:clientData/>
  </xdr:twoCellAnchor>
  <xdr:twoCellAnchor editAs="twoCell">
    <xdr:from>
      <xdr:col>4</xdr:col>
      <xdr:colOff>615240</xdr:colOff>
      <xdr:row>91</xdr:row>
      <xdr:rowOff>100080</xdr:rowOff>
    </xdr:from>
    <xdr:to>
      <xdr:col>5</xdr:col>
      <xdr:colOff>357480</xdr:colOff>
      <xdr:row>92</xdr:row>
      <xdr:rowOff>30960</xdr:rowOff>
    </xdr:to>
    <xdr:sp>
      <xdr:nvSpPr>
        <xdr:cNvPr id="385" name="Text Box 188"/>
        <xdr:cNvSpPr/>
      </xdr:nvSpPr>
      <xdr:spPr>
        <a:xfrm>
          <a:off x="3967920" y="17635680"/>
          <a:ext cx="58068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LN-523</a:t>
          </a:r>
          <a:endParaRPr b="0" lang="en-GB" sz="600" spc="-1" strike="noStrike">
            <a:latin typeface="Times New Roman"/>
          </a:endParaRPr>
        </a:p>
      </xdr:txBody>
    </xdr:sp>
    <xdr:clientData/>
  </xdr:twoCellAnchor>
  <xdr:twoCellAnchor editAs="twoCell">
    <xdr:from>
      <xdr:col>6</xdr:col>
      <xdr:colOff>394560</xdr:colOff>
      <xdr:row>90</xdr:row>
      <xdr:rowOff>173160</xdr:rowOff>
    </xdr:from>
    <xdr:to>
      <xdr:col>6</xdr:col>
      <xdr:colOff>394560</xdr:colOff>
      <xdr:row>92</xdr:row>
      <xdr:rowOff>5040</xdr:rowOff>
    </xdr:to>
    <xdr:sp>
      <xdr:nvSpPr>
        <xdr:cNvPr id="386" name="Line 280"/>
        <xdr:cNvSpPr/>
      </xdr:nvSpPr>
      <xdr:spPr>
        <a:xfrm>
          <a:off x="5423760" y="17518320"/>
          <a:ext cx="0" cy="212760"/>
        </a:xfrm>
        <a:prstGeom prst="line">
          <a:avLst/>
        </a:prstGeom>
        <a:ln w="15875">
          <a:solidFill>
            <a:srgbClr val="ffc000"/>
          </a:solidFill>
          <a:round/>
          <a:headEnd len="med" type="triangle" w="med"/>
        </a:ln>
      </xdr:spPr>
      <xdr:style>
        <a:lnRef idx="0"/>
        <a:fillRef idx="0"/>
        <a:effectRef idx="0"/>
        <a:fontRef idx="minor"/>
      </xdr:style>
    </xdr:sp>
    <xdr:clientData/>
  </xdr:twoCellAnchor>
  <xdr:twoCellAnchor editAs="twoCell">
    <xdr:from>
      <xdr:col>6</xdr:col>
      <xdr:colOff>376920</xdr:colOff>
      <xdr:row>91</xdr:row>
      <xdr:rowOff>121680</xdr:rowOff>
    </xdr:from>
    <xdr:to>
      <xdr:col>6</xdr:col>
      <xdr:colOff>416880</xdr:colOff>
      <xdr:row>91</xdr:row>
      <xdr:rowOff>162360</xdr:rowOff>
    </xdr:to>
    <xdr:sp>
      <xdr:nvSpPr>
        <xdr:cNvPr id="387" name="455 Rectángulo redondeado"/>
        <xdr:cNvSpPr/>
      </xdr:nvSpPr>
      <xdr:spPr>
        <a:xfrm rot="5400000">
          <a:off x="5405760" y="17657640"/>
          <a:ext cx="406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6</xdr:col>
      <xdr:colOff>76680</xdr:colOff>
      <xdr:row>90</xdr:row>
      <xdr:rowOff>37440</xdr:rowOff>
    </xdr:from>
    <xdr:to>
      <xdr:col>6</xdr:col>
      <xdr:colOff>718920</xdr:colOff>
      <xdr:row>90</xdr:row>
      <xdr:rowOff>158760</xdr:rowOff>
    </xdr:to>
    <xdr:sp>
      <xdr:nvSpPr>
        <xdr:cNvPr id="388" name="Text Box 188"/>
        <xdr:cNvSpPr/>
      </xdr:nvSpPr>
      <xdr:spPr>
        <a:xfrm>
          <a:off x="5105880" y="17382600"/>
          <a:ext cx="64224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Carg.</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LN-5124</a:t>
          </a:r>
          <a:endParaRPr b="0" lang="en-GB" sz="600" spc="-1" strike="noStrike">
            <a:latin typeface="Times New Roman"/>
          </a:endParaRPr>
        </a:p>
      </xdr:txBody>
    </xdr:sp>
    <xdr:clientData/>
  </xdr:twoCellAnchor>
  <xdr:twoCellAnchor editAs="twoCell">
    <xdr:from>
      <xdr:col>7</xdr:col>
      <xdr:colOff>509040</xdr:colOff>
      <xdr:row>92</xdr:row>
      <xdr:rowOff>15840</xdr:rowOff>
    </xdr:from>
    <xdr:to>
      <xdr:col>8</xdr:col>
      <xdr:colOff>618840</xdr:colOff>
      <xdr:row>94</xdr:row>
      <xdr:rowOff>158040</xdr:rowOff>
    </xdr:to>
    <xdr:grpSp>
      <xdr:nvGrpSpPr>
        <xdr:cNvPr id="389" name="Grupo 390"/>
        <xdr:cNvGrpSpPr/>
      </xdr:nvGrpSpPr>
      <xdr:grpSpPr>
        <a:xfrm>
          <a:off x="6376320" y="17741880"/>
          <a:ext cx="948240" cy="523080"/>
          <a:chOff x="6376320" y="17741880"/>
          <a:chExt cx="948240" cy="523080"/>
        </a:xfrm>
      </xdr:grpSpPr>
      <xdr:grpSp>
        <xdr:nvGrpSpPr>
          <xdr:cNvPr id="390" name="Grupo 391"/>
          <xdr:cNvGrpSpPr/>
        </xdr:nvGrpSpPr>
        <xdr:grpSpPr>
          <a:xfrm>
            <a:off x="6376320" y="17741880"/>
            <a:ext cx="425160" cy="523080"/>
            <a:chOff x="6376320" y="17741880"/>
            <a:chExt cx="425160" cy="523080"/>
          </a:xfrm>
        </xdr:grpSpPr>
        <xdr:sp>
          <xdr:nvSpPr>
            <xdr:cNvPr id="391" name="Line 38"/>
            <xdr:cNvSpPr/>
          </xdr:nvSpPr>
          <xdr:spPr>
            <a:xfrm>
              <a:off x="6376320" y="18252000"/>
              <a:ext cx="425160" cy="360"/>
            </a:xfrm>
            <a:prstGeom prst="line">
              <a:avLst/>
            </a:prstGeom>
            <a:ln w="25400">
              <a:solidFill>
                <a:srgbClr val="ffc000"/>
              </a:solidFill>
              <a:round/>
            </a:ln>
          </xdr:spPr>
          <xdr:style>
            <a:lnRef idx="0"/>
            <a:fillRef idx="0"/>
            <a:effectRef idx="0"/>
            <a:fontRef idx="minor"/>
          </xdr:style>
        </xdr:sp>
        <xdr:sp>
          <xdr:nvSpPr>
            <xdr:cNvPr id="392" name="Line 244"/>
            <xdr:cNvSpPr/>
          </xdr:nvSpPr>
          <xdr:spPr>
            <a:xfrm>
              <a:off x="6583680" y="17741880"/>
              <a:ext cx="360" cy="523080"/>
            </a:xfrm>
            <a:prstGeom prst="line">
              <a:avLst/>
            </a:prstGeom>
            <a:ln w="15875">
              <a:solidFill>
                <a:srgbClr val="ffc000"/>
              </a:solidFill>
              <a:round/>
            </a:ln>
          </xdr:spPr>
          <xdr:style>
            <a:lnRef idx="0"/>
            <a:fillRef idx="0"/>
            <a:effectRef idx="0"/>
            <a:fontRef idx="minor"/>
          </xdr:style>
        </xdr:sp>
        <xdr:sp>
          <xdr:nvSpPr>
            <xdr:cNvPr id="393" name="455 Rectángulo redondeado"/>
            <xdr:cNvSpPr/>
          </xdr:nvSpPr>
          <xdr:spPr>
            <a:xfrm>
              <a:off x="6562800" y="18167040"/>
              <a:ext cx="439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sp>
        <xdr:nvSpPr>
          <xdr:cNvPr id="394" name="Text Box 188"/>
          <xdr:cNvSpPr/>
        </xdr:nvSpPr>
        <xdr:spPr>
          <a:xfrm>
            <a:off x="6647040" y="18068040"/>
            <a:ext cx="677520" cy="1224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Campo de la Cruz 34,5 kV</a:t>
            </a:r>
            <a:endParaRPr b="0" lang="en-GB" sz="600" spc="-1" strike="noStrike">
              <a:latin typeface="Times New Roman"/>
            </a:endParaRPr>
          </a:p>
        </xdr:txBody>
      </xdr:sp>
    </xdr:grpSp>
    <xdr:clientData/>
  </xdr:twoCellAnchor>
  <xdr:twoCellAnchor editAs="twoCell">
    <xdr:from>
      <xdr:col>6</xdr:col>
      <xdr:colOff>282600</xdr:colOff>
      <xdr:row>92</xdr:row>
      <xdr:rowOff>38520</xdr:rowOff>
    </xdr:from>
    <xdr:to>
      <xdr:col>7</xdr:col>
      <xdr:colOff>284040</xdr:colOff>
      <xdr:row>96</xdr:row>
      <xdr:rowOff>136800</xdr:rowOff>
    </xdr:to>
    <xdr:grpSp>
      <xdr:nvGrpSpPr>
        <xdr:cNvPr id="395" name="Grupo 396"/>
        <xdr:cNvGrpSpPr/>
      </xdr:nvGrpSpPr>
      <xdr:grpSpPr>
        <a:xfrm>
          <a:off x="5311800" y="17764560"/>
          <a:ext cx="839520" cy="860400"/>
          <a:chOff x="5311800" y="17764560"/>
          <a:chExt cx="839520" cy="860400"/>
        </a:xfrm>
      </xdr:grpSpPr>
      <xdr:sp>
        <xdr:nvSpPr>
          <xdr:cNvPr id="396" name="Oval 40"/>
          <xdr:cNvSpPr/>
        </xdr:nvSpPr>
        <xdr:spPr>
          <a:xfrm rot="10800000">
            <a:off x="5345280" y="18011520"/>
            <a:ext cx="196200" cy="209160"/>
          </a:xfrm>
          <a:prstGeom prst="ellipse">
            <a:avLst/>
          </a:prstGeom>
          <a:noFill/>
          <a:ln w="12700">
            <a:solidFill>
              <a:srgbClr val="000000"/>
            </a:solidFill>
            <a:round/>
          </a:ln>
        </xdr:spPr>
        <xdr:style>
          <a:lnRef idx="0"/>
          <a:fillRef idx="0"/>
          <a:effectRef idx="0"/>
          <a:fontRef idx="minor"/>
        </xdr:style>
      </xdr:sp>
      <xdr:sp>
        <xdr:nvSpPr>
          <xdr:cNvPr id="397" name="Oval 41"/>
          <xdr:cNvSpPr/>
        </xdr:nvSpPr>
        <xdr:spPr>
          <a:xfrm rot="10800000">
            <a:off x="5342400" y="17899920"/>
            <a:ext cx="196200" cy="209160"/>
          </a:xfrm>
          <a:prstGeom prst="ellipse">
            <a:avLst/>
          </a:prstGeom>
          <a:noFill/>
          <a:ln w="12700">
            <a:solidFill>
              <a:srgbClr val="ffc000"/>
            </a:solidFill>
            <a:round/>
          </a:ln>
        </xdr:spPr>
        <xdr:style>
          <a:lnRef idx="0"/>
          <a:fillRef idx="0"/>
          <a:effectRef idx="0"/>
          <a:fontRef idx="minor"/>
        </xdr:style>
      </xdr:sp>
      <xdr:sp>
        <xdr:nvSpPr>
          <xdr:cNvPr id="398" name="Line 206"/>
          <xdr:cNvSpPr/>
        </xdr:nvSpPr>
        <xdr:spPr>
          <a:xfrm>
            <a:off x="5435280" y="17764560"/>
            <a:ext cx="360" cy="132120"/>
          </a:xfrm>
          <a:prstGeom prst="line">
            <a:avLst/>
          </a:prstGeom>
          <a:ln w="15875">
            <a:solidFill>
              <a:srgbClr val="ffc000"/>
            </a:solidFill>
            <a:round/>
          </a:ln>
        </xdr:spPr>
        <xdr:style>
          <a:lnRef idx="0"/>
          <a:fillRef idx="0"/>
          <a:effectRef idx="0"/>
          <a:fontRef idx="minor"/>
        </xdr:style>
      </xdr:sp>
      <xdr:sp>
        <xdr:nvSpPr>
          <xdr:cNvPr id="399" name="452 Rectángulo redondeado"/>
          <xdr:cNvSpPr/>
        </xdr:nvSpPr>
        <xdr:spPr>
          <a:xfrm>
            <a:off x="5412960" y="17800200"/>
            <a:ext cx="4500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400" name="Line 99"/>
          <xdr:cNvSpPr/>
        </xdr:nvSpPr>
        <xdr:spPr>
          <a:xfrm>
            <a:off x="5311800" y="18362160"/>
            <a:ext cx="276120" cy="360"/>
          </a:xfrm>
          <a:prstGeom prst="line">
            <a:avLst/>
          </a:prstGeom>
          <a:ln w="25400">
            <a:solidFill>
              <a:srgbClr val="000000"/>
            </a:solidFill>
            <a:round/>
          </a:ln>
        </xdr:spPr>
        <xdr:style>
          <a:lnRef idx="0"/>
          <a:fillRef idx="0"/>
          <a:effectRef idx="0"/>
          <a:fontRef idx="minor"/>
        </xdr:style>
      </xdr:sp>
      <xdr:sp>
        <xdr:nvSpPr>
          <xdr:cNvPr id="401" name="Line 280"/>
          <xdr:cNvSpPr/>
        </xdr:nvSpPr>
        <xdr:spPr>
          <a:xfrm>
            <a:off x="5442840" y="18222480"/>
            <a:ext cx="360" cy="402480"/>
          </a:xfrm>
          <a:prstGeom prst="line">
            <a:avLst/>
          </a:prstGeom>
          <a:ln w="15875">
            <a:solidFill>
              <a:srgbClr val="000000"/>
            </a:solidFill>
            <a:round/>
            <a:tailEnd len="med" type="triangle" w="med"/>
          </a:ln>
        </xdr:spPr>
        <xdr:style>
          <a:lnRef idx="0"/>
          <a:fillRef idx="0"/>
          <a:effectRef idx="0"/>
          <a:fontRef idx="minor"/>
        </xdr:style>
      </xdr:sp>
      <xdr:sp>
        <xdr:nvSpPr>
          <xdr:cNvPr id="402" name="455 Rectángulo redondeado"/>
          <xdr:cNvSpPr/>
        </xdr:nvSpPr>
        <xdr:spPr>
          <a:xfrm rot="5400000">
            <a:off x="5425200" y="18410400"/>
            <a:ext cx="39960" cy="450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403" name="455 Rectángulo redondeado"/>
          <xdr:cNvSpPr/>
        </xdr:nvSpPr>
        <xdr:spPr>
          <a:xfrm rot="5400000">
            <a:off x="5425200" y="18268200"/>
            <a:ext cx="39960" cy="450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404" name="61 CuadroTexto"/>
          <xdr:cNvSpPr/>
        </xdr:nvSpPr>
        <xdr:spPr>
          <a:xfrm>
            <a:off x="5439240" y="17957520"/>
            <a:ext cx="71208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grpSp>
    <xdr:clientData/>
  </xdr:twoCellAnchor>
  <xdr:twoCellAnchor editAs="twoCell">
    <xdr:from>
      <xdr:col>6</xdr:col>
      <xdr:colOff>482760</xdr:colOff>
      <xdr:row>95</xdr:row>
      <xdr:rowOff>28800</xdr:rowOff>
    </xdr:from>
    <xdr:to>
      <xdr:col>7</xdr:col>
      <xdr:colOff>227880</xdr:colOff>
      <xdr:row>95</xdr:row>
      <xdr:rowOff>151560</xdr:rowOff>
    </xdr:to>
    <xdr:sp>
      <xdr:nvSpPr>
        <xdr:cNvPr id="405" name="Text Box 188"/>
        <xdr:cNvSpPr/>
      </xdr:nvSpPr>
      <xdr:spPr>
        <a:xfrm>
          <a:off x="5511960" y="18326160"/>
          <a:ext cx="583200" cy="12276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Manatí 13,8 kV</a:t>
          </a:r>
          <a:endParaRPr b="0" lang="en-GB" sz="600" spc="-1" strike="noStrike">
            <a:latin typeface="Times New Roman"/>
          </a:endParaRPr>
        </a:p>
      </xdr:txBody>
    </xdr:sp>
    <xdr:clientData/>
  </xdr:twoCellAnchor>
  <xdr:twoCellAnchor editAs="twoCell">
    <xdr:from>
      <xdr:col>7</xdr:col>
      <xdr:colOff>21240</xdr:colOff>
      <xdr:row>91</xdr:row>
      <xdr:rowOff>96840</xdr:rowOff>
    </xdr:from>
    <xdr:to>
      <xdr:col>7</xdr:col>
      <xdr:colOff>525240</xdr:colOff>
      <xdr:row>92</xdr:row>
      <xdr:rowOff>27720</xdr:rowOff>
    </xdr:to>
    <xdr:sp>
      <xdr:nvSpPr>
        <xdr:cNvPr id="406" name="Text Box 188"/>
        <xdr:cNvSpPr/>
      </xdr:nvSpPr>
      <xdr:spPr>
        <a:xfrm>
          <a:off x="5888520" y="17632440"/>
          <a:ext cx="50400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LN-5115</a:t>
          </a:r>
          <a:endParaRPr b="0" lang="en-GB" sz="600" spc="-1" strike="noStrike">
            <a:latin typeface="Times New Roman"/>
          </a:endParaRPr>
        </a:p>
      </xdr:txBody>
    </xdr:sp>
    <xdr:clientData/>
  </xdr:twoCellAnchor>
  <xdr:twoCellAnchor editAs="twoCell">
    <xdr:from>
      <xdr:col>8</xdr:col>
      <xdr:colOff>158400</xdr:colOff>
      <xdr:row>95</xdr:row>
      <xdr:rowOff>45720</xdr:rowOff>
    </xdr:from>
    <xdr:to>
      <xdr:col>8</xdr:col>
      <xdr:colOff>1021680</xdr:colOff>
      <xdr:row>99</xdr:row>
      <xdr:rowOff>144000</xdr:rowOff>
    </xdr:to>
    <xdr:grpSp>
      <xdr:nvGrpSpPr>
        <xdr:cNvPr id="407" name="Grupo 408"/>
        <xdr:cNvGrpSpPr/>
      </xdr:nvGrpSpPr>
      <xdr:grpSpPr>
        <a:xfrm>
          <a:off x="6864120" y="18343080"/>
          <a:ext cx="863280" cy="860400"/>
          <a:chOff x="6864120" y="18343080"/>
          <a:chExt cx="863280" cy="860400"/>
        </a:xfrm>
      </xdr:grpSpPr>
      <xdr:sp>
        <xdr:nvSpPr>
          <xdr:cNvPr id="408" name="Oval 40"/>
          <xdr:cNvSpPr/>
        </xdr:nvSpPr>
        <xdr:spPr>
          <a:xfrm rot="10800000">
            <a:off x="6895080" y="18590400"/>
            <a:ext cx="178200" cy="209160"/>
          </a:xfrm>
          <a:prstGeom prst="ellipse">
            <a:avLst/>
          </a:prstGeom>
          <a:noFill/>
          <a:ln w="12700">
            <a:solidFill>
              <a:srgbClr val="000000"/>
            </a:solidFill>
            <a:round/>
          </a:ln>
        </xdr:spPr>
        <xdr:style>
          <a:lnRef idx="0"/>
          <a:fillRef idx="0"/>
          <a:effectRef idx="0"/>
          <a:fontRef idx="minor"/>
        </xdr:style>
      </xdr:sp>
      <xdr:sp>
        <xdr:nvSpPr>
          <xdr:cNvPr id="409" name="Oval 41"/>
          <xdr:cNvSpPr/>
        </xdr:nvSpPr>
        <xdr:spPr>
          <a:xfrm rot="10800000">
            <a:off x="6892560" y="18478440"/>
            <a:ext cx="178200" cy="209160"/>
          </a:xfrm>
          <a:prstGeom prst="ellipse">
            <a:avLst/>
          </a:prstGeom>
          <a:noFill/>
          <a:ln w="12700">
            <a:solidFill>
              <a:srgbClr val="ffc000"/>
            </a:solidFill>
            <a:round/>
          </a:ln>
        </xdr:spPr>
        <xdr:style>
          <a:lnRef idx="0"/>
          <a:fillRef idx="0"/>
          <a:effectRef idx="0"/>
          <a:fontRef idx="minor"/>
        </xdr:style>
      </xdr:sp>
      <xdr:sp>
        <xdr:nvSpPr>
          <xdr:cNvPr id="410" name="Line 206"/>
          <xdr:cNvSpPr/>
        </xdr:nvSpPr>
        <xdr:spPr>
          <a:xfrm>
            <a:off x="6976440" y="18343080"/>
            <a:ext cx="360" cy="132120"/>
          </a:xfrm>
          <a:prstGeom prst="line">
            <a:avLst/>
          </a:prstGeom>
          <a:ln w="15875">
            <a:solidFill>
              <a:srgbClr val="ffc000"/>
            </a:solidFill>
            <a:round/>
          </a:ln>
        </xdr:spPr>
        <xdr:style>
          <a:lnRef idx="0"/>
          <a:fillRef idx="0"/>
          <a:effectRef idx="0"/>
          <a:fontRef idx="minor"/>
        </xdr:style>
      </xdr:sp>
      <xdr:sp>
        <xdr:nvSpPr>
          <xdr:cNvPr id="411" name="452 Rectángulo redondeado"/>
          <xdr:cNvSpPr/>
        </xdr:nvSpPr>
        <xdr:spPr>
          <a:xfrm>
            <a:off x="6956280" y="18379080"/>
            <a:ext cx="406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412" name="Line 99"/>
          <xdr:cNvSpPr/>
        </xdr:nvSpPr>
        <xdr:spPr>
          <a:xfrm>
            <a:off x="6864120" y="18941040"/>
            <a:ext cx="251280" cy="360"/>
          </a:xfrm>
          <a:prstGeom prst="line">
            <a:avLst/>
          </a:prstGeom>
          <a:ln w="25400">
            <a:solidFill>
              <a:srgbClr val="000000"/>
            </a:solidFill>
            <a:round/>
          </a:ln>
        </xdr:spPr>
        <xdr:style>
          <a:lnRef idx="0"/>
          <a:fillRef idx="0"/>
          <a:effectRef idx="0"/>
          <a:fontRef idx="minor"/>
        </xdr:style>
      </xdr:sp>
      <xdr:sp>
        <xdr:nvSpPr>
          <xdr:cNvPr id="413" name="Line 280"/>
          <xdr:cNvSpPr/>
        </xdr:nvSpPr>
        <xdr:spPr>
          <a:xfrm>
            <a:off x="6983280" y="18801000"/>
            <a:ext cx="360" cy="402480"/>
          </a:xfrm>
          <a:prstGeom prst="line">
            <a:avLst/>
          </a:prstGeom>
          <a:ln w="15875">
            <a:solidFill>
              <a:srgbClr val="000000"/>
            </a:solidFill>
            <a:round/>
            <a:tailEnd len="med" type="triangle" w="med"/>
          </a:ln>
        </xdr:spPr>
        <xdr:style>
          <a:lnRef idx="0"/>
          <a:fillRef idx="0"/>
          <a:effectRef idx="0"/>
          <a:fontRef idx="minor"/>
        </xdr:style>
      </xdr:sp>
      <xdr:sp>
        <xdr:nvSpPr>
          <xdr:cNvPr id="414" name="455 Rectángulo redondeado"/>
          <xdr:cNvSpPr/>
        </xdr:nvSpPr>
        <xdr:spPr>
          <a:xfrm rot="5400000">
            <a:off x="6965640" y="18991440"/>
            <a:ext cx="3996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415" name="455 Rectángulo redondeado"/>
          <xdr:cNvSpPr/>
        </xdr:nvSpPr>
        <xdr:spPr>
          <a:xfrm rot="5400000">
            <a:off x="6965640" y="18849240"/>
            <a:ext cx="3996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416" name="61 CuadroTexto"/>
          <xdr:cNvSpPr/>
        </xdr:nvSpPr>
        <xdr:spPr>
          <a:xfrm>
            <a:off x="7007400" y="18465480"/>
            <a:ext cx="72000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T-CCZ02-Prov</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4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grpSp>
    <xdr:clientData/>
  </xdr:twoCellAnchor>
  <xdr:twoCellAnchor editAs="twoCell">
    <xdr:from>
      <xdr:col>4</xdr:col>
      <xdr:colOff>392040</xdr:colOff>
      <xdr:row>89</xdr:row>
      <xdr:rowOff>172800</xdr:rowOff>
    </xdr:from>
    <xdr:to>
      <xdr:col>4</xdr:col>
      <xdr:colOff>392040</xdr:colOff>
      <xdr:row>91</xdr:row>
      <xdr:rowOff>83520</xdr:rowOff>
    </xdr:to>
    <xdr:sp>
      <xdr:nvSpPr>
        <xdr:cNvPr id="417" name="Line 244"/>
        <xdr:cNvSpPr/>
      </xdr:nvSpPr>
      <xdr:spPr>
        <a:xfrm>
          <a:off x="3744720" y="17317800"/>
          <a:ext cx="0" cy="301320"/>
        </a:xfrm>
        <a:prstGeom prst="line">
          <a:avLst/>
        </a:prstGeom>
        <a:ln w="15875">
          <a:solidFill>
            <a:srgbClr val="ffc000"/>
          </a:solidFill>
          <a:round/>
        </a:ln>
      </xdr:spPr>
      <xdr:style>
        <a:lnRef idx="0"/>
        <a:fillRef idx="0"/>
        <a:effectRef idx="0"/>
        <a:fontRef idx="minor"/>
      </xdr:style>
    </xdr:sp>
    <xdr:clientData/>
  </xdr:twoCellAnchor>
  <xdr:twoCellAnchor editAs="twoCell">
    <xdr:from>
      <xdr:col>4</xdr:col>
      <xdr:colOff>376200</xdr:colOff>
      <xdr:row>90</xdr:row>
      <xdr:rowOff>163440</xdr:rowOff>
    </xdr:from>
    <xdr:to>
      <xdr:col>4</xdr:col>
      <xdr:colOff>416520</xdr:colOff>
      <xdr:row>91</xdr:row>
      <xdr:rowOff>21960</xdr:rowOff>
    </xdr:to>
    <xdr:sp>
      <xdr:nvSpPr>
        <xdr:cNvPr id="418" name="455 Rectángulo redondeado"/>
        <xdr:cNvSpPr/>
      </xdr:nvSpPr>
      <xdr:spPr>
        <a:xfrm>
          <a:off x="3728880" y="17508600"/>
          <a:ext cx="40320" cy="48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4</xdr:col>
      <xdr:colOff>385920</xdr:colOff>
      <xdr:row>89</xdr:row>
      <xdr:rowOff>184320</xdr:rowOff>
    </xdr:from>
    <xdr:to>
      <xdr:col>9</xdr:col>
      <xdr:colOff>32040</xdr:colOff>
      <xdr:row>89</xdr:row>
      <xdr:rowOff>184320</xdr:rowOff>
    </xdr:to>
    <xdr:sp>
      <xdr:nvSpPr>
        <xdr:cNvPr id="419" name="Line 244"/>
        <xdr:cNvSpPr/>
      </xdr:nvSpPr>
      <xdr:spPr>
        <a:xfrm flipH="1">
          <a:off x="3738600" y="17329320"/>
          <a:ext cx="4244760" cy="0"/>
        </a:xfrm>
        <a:prstGeom prst="line">
          <a:avLst/>
        </a:prstGeom>
        <a:ln w="15875">
          <a:solidFill>
            <a:srgbClr val="ffc000"/>
          </a:solidFill>
          <a:round/>
        </a:ln>
      </xdr:spPr>
      <xdr:style>
        <a:lnRef idx="0"/>
        <a:fillRef idx="0"/>
        <a:effectRef idx="0"/>
        <a:fontRef idx="minor"/>
      </xdr:style>
    </xdr:sp>
    <xdr:clientData/>
  </xdr:twoCellAnchor>
  <xdr:twoCellAnchor editAs="twoCell">
    <xdr:from>
      <xdr:col>8</xdr:col>
      <xdr:colOff>873360</xdr:colOff>
      <xdr:row>89</xdr:row>
      <xdr:rowOff>172800</xdr:rowOff>
    </xdr:from>
    <xdr:to>
      <xdr:col>9</xdr:col>
      <xdr:colOff>636480</xdr:colOff>
      <xdr:row>91</xdr:row>
      <xdr:rowOff>180360</xdr:rowOff>
    </xdr:to>
    <xdr:grpSp>
      <xdr:nvGrpSpPr>
        <xdr:cNvPr id="420" name="Grupo 421"/>
        <xdr:cNvGrpSpPr/>
      </xdr:nvGrpSpPr>
      <xdr:grpSpPr>
        <a:xfrm>
          <a:off x="7579080" y="17317800"/>
          <a:ext cx="1008720" cy="398160"/>
          <a:chOff x="7579080" y="17317800"/>
          <a:chExt cx="1008720" cy="398160"/>
        </a:xfrm>
      </xdr:grpSpPr>
      <xdr:grpSp>
        <xdr:nvGrpSpPr>
          <xdr:cNvPr id="421" name="Grupo 422"/>
          <xdr:cNvGrpSpPr/>
        </xdr:nvGrpSpPr>
        <xdr:grpSpPr>
          <a:xfrm>
            <a:off x="7579080" y="17317800"/>
            <a:ext cx="490680" cy="398160"/>
            <a:chOff x="7579080" y="17317800"/>
            <a:chExt cx="490680" cy="398160"/>
          </a:xfrm>
        </xdr:grpSpPr>
        <xdr:sp>
          <xdr:nvSpPr>
            <xdr:cNvPr id="422" name="Line 38"/>
            <xdr:cNvSpPr/>
          </xdr:nvSpPr>
          <xdr:spPr>
            <a:xfrm>
              <a:off x="7579080" y="17703000"/>
              <a:ext cx="490680" cy="360"/>
            </a:xfrm>
            <a:prstGeom prst="line">
              <a:avLst/>
            </a:prstGeom>
            <a:ln w="25400">
              <a:solidFill>
                <a:srgbClr val="ffc000"/>
              </a:solidFill>
              <a:round/>
            </a:ln>
          </xdr:spPr>
          <xdr:style>
            <a:lnRef idx="0"/>
            <a:fillRef idx="0"/>
            <a:effectRef idx="0"/>
            <a:fontRef idx="minor"/>
          </xdr:style>
        </xdr:sp>
        <xdr:sp>
          <xdr:nvSpPr>
            <xdr:cNvPr id="423" name="Line 244"/>
            <xdr:cNvSpPr/>
          </xdr:nvSpPr>
          <xdr:spPr>
            <a:xfrm>
              <a:off x="7818120" y="17317800"/>
              <a:ext cx="360" cy="398160"/>
            </a:xfrm>
            <a:prstGeom prst="line">
              <a:avLst/>
            </a:prstGeom>
            <a:ln w="15875">
              <a:solidFill>
                <a:srgbClr val="ffc000"/>
              </a:solidFill>
              <a:round/>
            </a:ln>
          </xdr:spPr>
          <xdr:style>
            <a:lnRef idx="0"/>
            <a:fillRef idx="0"/>
            <a:effectRef idx="0"/>
            <a:fontRef idx="minor"/>
          </xdr:style>
        </xdr:sp>
        <xdr:sp>
          <xdr:nvSpPr>
            <xdr:cNvPr id="424" name="455 Rectángulo redondeado"/>
            <xdr:cNvSpPr/>
          </xdr:nvSpPr>
          <xdr:spPr>
            <a:xfrm>
              <a:off x="7794360" y="17615880"/>
              <a:ext cx="50400" cy="4032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sp>
        <xdr:nvSpPr>
          <xdr:cNvPr id="425" name="Text Box 188"/>
          <xdr:cNvSpPr/>
        </xdr:nvSpPr>
        <xdr:spPr>
          <a:xfrm>
            <a:off x="7891560" y="17514360"/>
            <a:ext cx="696240" cy="1256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Ponedera 34,5 kV</a:t>
            </a:r>
            <a:endParaRPr b="0" lang="en-GB" sz="600" spc="-1" strike="noStrike">
              <a:latin typeface="Times New Roman"/>
            </a:endParaRPr>
          </a:p>
        </xdr:txBody>
      </xdr:sp>
    </xdr:grpSp>
    <xdr:clientData/>
  </xdr:twoCellAnchor>
  <xdr:twoCellAnchor editAs="twoCell">
    <xdr:from>
      <xdr:col>8</xdr:col>
      <xdr:colOff>950760</xdr:colOff>
      <xdr:row>91</xdr:row>
      <xdr:rowOff>170640</xdr:rowOff>
    </xdr:from>
    <xdr:to>
      <xdr:col>9</xdr:col>
      <xdr:colOff>699480</xdr:colOff>
      <xdr:row>96</xdr:row>
      <xdr:rowOff>78840</xdr:rowOff>
    </xdr:to>
    <xdr:grpSp>
      <xdr:nvGrpSpPr>
        <xdr:cNvPr id="426" name="Grupo 427"/>
        <xdr:cNvGrpSpPr/>
      </xdr:nvGrpSpPr>
      <xdr:grpSpPr>
        <a:xfrm>
          <a:off x="7656480" y="17706240"/>
          <a:ext cx="994320" cy="860760"/>
          <a:chOff x="7656480" y="17706240"/>
          <a:chExt cx="994320" cy="860760"/>
        </a:xfrm>
      </xdr:grpSpPr>
      <xdr:sp>
        <xdr:nvSpPr>
          <xdr:cNvPr id="427" name="Oval 40"/>
          <xdr:cNvSpPr/>
        </xdr:nvSpPr>
        <xdr:spPr>
          <a:xfrm rot="10800000">
            <a:off x="7695360" y="17953560"/>
            <a:ext cx="225000" cy="209160"/>
          </a:xfrm>
          <a:prstGeom prst="ellipse">
            <a:avLst/>
          </a:prstGeom>
          <a:noFill/>
          <a:ln w="12700">
            <a:solidFill>
              <a:srgbClr val="000000"/>
            </a:solidFill>
            <a:round/>
          </a:ln>
        </xdr:spPr>
        <xdr:style>
          <a:lnRef idx="0"/>
          <a:fillRef idx="0"/>
          <a:effectRef idx="0"/>
          <a:fontRef idx="minor"/>
        </xdr:style>
      </xdr:sp>
      <xdr:sp>
        <xdr:nvSpPr>
          <xdr:cNvPr id="428" name="Oval 41"/>
          <xdr:cNvSpPr/>
        </xdr:nvSpPr>
        <xdr:spPr>
          <a:xfrm rot="10800000">
            <a:off x="7691760" y="17841960"/>
            <a:ext cx="225000" cy="209160"/>
          </a:xfrm>
          <a:prstGeom prst="ellipse">
            <a:avLst/>
          </a:prstGeom>
          <a:noFill/>
          <a:ln w="12700">
            <a:solidFill>
              <a:srgbClr val="ffc000"/>
            </a:solidFill>
            <a:round/>
          </a:ln>
        </xdr:spPr>
        <xdr:style>
          <a:lnRef idx="0"/>
          <a:fillRef idx="0"/>
          <a:effectRef idx="0"/>
          <a:fontRef idx="minor"/>
        </xdr:style>
      </xdr:sp>
      <xdr:sp>
        <xdr:nvSpPr>
          <xdr:cNvPr id="429" name="Line 206"/>
          <xdr:cNvSpPr/>
        </xdr:nvSpPr>
        <xdr:spPr>
          <a:xfrm>
            <a:off x="7798320" y="17706240"/>
            <a:ext cx="360" cy="132120"/>
          </a:xfrm>
          <a:prstGeom prst="line">
            <a:avLst/>
          </a:prstGeom>
          <a:ln w="15875">
            <a:solidFill>
              <a:srgbClr val="ffc000"/>
            </a:solidFill>
            <a:round/>
          </a:ln>
        </xdr:spPr>
        <xdr:style>
          <a:lnRef idx="0"/>
          <a:fillRef idx="0"/>
          <a:effectRef idx="0"/>
          <a:fontRef idx="minor"/>
        </xdr:style>
      </xdr:sp>
      <xdr:sp>
        <xdr:nvSpPr>
          <xdr:cNvPr id="430" name="452 Rectángulo redondeado"/>
          <xdr:cNvSpPr/>
        </xdr:nvSpPr>
        <xdr:spPr>
          <a:xfrm>
            <a:off x="7772760" y="17742240"/>
            <a:ext cx="514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431" name="Line 99"/>
          <xdr:cNvSpPr/>
        </xdr:nvSpPr>
        <xdr:spPr>
          <a:xfrm>
            <a:off x="7656480" y="18304200"/>
            <a:ext cx="317160" cy="360"/>
          </a:xfrm>
          <a:prstGeom prst="line">
            <a:avLst/>
          </a:prstGeom>
          <a:ln w="25400">
            <a:solidFill>
              <a:srgbClr val="000000"/>
            </a:solidFill>
            <a:round/>
          </a:ln>
        </xdr:spPr>
        <xdr:style>
          <a:lnRef idx="0"/>
          <a:fillRef idx="0"/>
          <a:effectRef idx="0"/>
          <a:fontRef idx="minor"/>
        </xdr:style>
      </xdr:sp>
      <xdr:sp>
        <xdr:nvSpPr>
          <xdr:cNvPr id="432" name="Line 280"/>
          <xdr:cNvSpPr/>
        </xdr:nvSpPr>
        <xdr:spPr>
          <a:xfrm>
            <a:off x="7806960" y="18164160"/>
            <a:ext cx="360" cy="402840"/>
          </a:xfrm>
          <a:prstGeom prst="line">
            <a:avLst/>
          </a:prstGeom>
          <a:ln w="15875">
            <a:solidFill>
              <a:srgbClr val="000000"/>
            </a:solidFill>
            <a:round/>
            <a:tailEnd len="med" type="triangle" w="med"/>
          </a:ln>
        </xdr:spPr>
        <xdr:style>
          <a:lnRef idx="0"/>
          <a:fillRef idx="0"/>
          <a:effectRef idx="0"/>
          <a:fontRef idx="minor"/>
        </xdr:style>
      </xdr:sp>
      <xdr:sp>
        <xdr:nvSpPr>
          <xdr:cNvPr id="433" name="455 Rectángulo redondeado"/>
          <xdr:cNvSpPr/>
        </xdr:nvSpPr>
        <xdr:spPr>
          <a:xfrm rot="5400000">
            <a:off x="7789680" y="18349200"/>
            <a:ext cx="39960" cy="514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434" name="455 Rectángulo redondeado"/>
          <xdr:cNvSpPr/>
        </xdr:nvSpPr>
        <xdr:spPr>
          <a:xfrm rot="5400000">
            <a:off x="7789680" y="18207000"/>
            <a:ext cx="39960" cy="514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435" name="61 CuadroTexto"/>
          <xdr:cNvSpPr/>
        </xdr:nvSpPr>
        <xdr:spPr>
          <a:xfrm>
            <a:off x="7834320" y="17874720"/>
            <a:ext cx="81648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8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grpSp>
    <xdr:clientData/>
  </xdr:twoCellAnchor>
  <xdr:twoCellAnchor editAs="twoCell">
    <xdr:from>
      <xdr:col>7</xdr:col>
      <xdr:colOff>58680</xdr:colOff>
      <xdr:row>89</xdr:row>
      <xdr:rowOff>36720</xdr:rowOff>
    </xdr:from>
    <xdr:to>
      <xdr:col>7</xdr:col>
      <xdr:colOff>562680</xdr:colOff>
      <xdr:row>89</xdr:row>
      <xdr:rowOff>158040</xdr:rowOff>
    </xdr:to>
    <xdr:sp>
      <xdr:nvSpPr>
        <xdr:cNvPr id="436" name="Text Box 188"/>
        <xdr:cNvSpPr/>
      </xdr:nvSpPr>
      <xdr:spPr>
        <a:xfrm>
          <a:off x="5925960" y="17181720"/>
          <a:ext cx="50400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LN-524</a:t>
          </a:r>
          <a:endParaRPr b="0" lang="en-GB" sz="600" spc="-1" strike="noStrike">
            <a:latin typeface="Times New Roman"/>
          </a:endParaRPr>
        </a:p>
      </xdr:txBody>
    </xdr:sp>
    <xdr:clientData/>
  </xdr:twoCellAnchor>
  <xdr:twoCellAnchor editAs="twoCell">
    <xdr:from>
      <xdr:col>9</xdr:col>
      <xdr:colOff>101880</xdr:colOff>
      <xdr:row>94</xdr:row>
      <xdr:rowOff>152280</xdr:rowOff>
    </xdr:from>
    <xdr:to>
      <xdr:col>9</xdr:col>
      <xdr:colOff>655200</xdr:colOff>
      <xdr:row>95</xdr:row>
      <xdr:rowOff>84240</xdr:rowOff>
    </xdr:to>
    <xdr:sp>
      <xdr:nvSpPr>
        <xdr:cNvPr id="437" name="Text Box 188"/>
        <xdr:cNvSpPr/>
      </xdr:nvSpPr>
      <xdr:spPr>
        <a:xfrm>
          <a:off x="8053200" y="18259200"/>
          <a:ext cx="553320" cy="1224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Ponedera 13,8 kV</a:t>
          </a:r>
          <a:endParaRPr b="0" lang="en-GB" sz="600" spc="-1" strike="noStrike">
            <a:latin typeface="Times New Roman"/>
          </a:endParaRPr>
        </a:p>
      </xdr:txBody>
    </xdr:sp>
    <xdr:clientData/>
  </xdr:twoCellAnchor>
  <xdr:twoCellAnchor editAs="twoCell">
    <xdr:from>
      <xdr:col>22</xdr:col>
      <xdr:colOff>187560</xdr:colOff>
      <xdr:row>75</xdr:row>
      <xdr:rowOff>156240</xdr:rowOff>
    </xdr:from>
    <xdr:to>
      <xdr:col>23</xdr:col>
      <xdr:colOff>377640</xdr:colOff>
      <xdr:row>75</xdr:row>
      <xdr:rowOff>156240</xdr:rowOff>
    </xdr:to>
    <xdr:sp>
      <xdr:nvSpPr>
        <xdr:cNvPr id="438" name="Line 205"/>
        <xdr:cNvSpPr/>
      </xdr:nvSpPr>
      <xdr:spPr>
        <a:xfrm>
          <a:off x="19984320" y="14605560"/>
          <a:ext cx="1028160" cy="0"/>
        </a:xfrm>
        <a:prstGeom prst="line">
          <a:avLst/>
        </a:prstGeom>
        <a:ln w="25400">
          <a:solidFill>
            <a:srgbClr val="ff0000"/>
          </a:solidFill>
          <a:round/>
        </a:ln>
      </xdr:spPr>
      <xdr:style>
        <a:lnRef idx="0"/>
        <a:fillRef idx="0"/>
        <a:effectRef idx="0"/>
        <a:fontRef idx="minor"/>
      </xdr:style>
    </xdr:sp>
    <xdr:clientData/>
  </xdr:twoCellAnchor>
  <xdr:twoCellAnchor editAs="twoCell">
    <xdr:from>
      <xdr:col>20</xdr:col>
      <xdr:colOff>406440</xdr:colOff>
      <xdr:row>77</xdr:row>
      <xdr:rowOff>60840</xdr:rowOff>
    </xdr:from>
    <xdr:to>
      <xdr:col>22</xdr:col>
      <xdr:colOff>465840</xdr:colOff>
      <xdr:row>78</xdr:row>
      <xdr:rowOff>105120</xdr:rowOff>
    </xdr:to>
    <xdr:sp>
      <xdr:nvSpPr>
        <xdr:cNvPr id="439" name="Text Box 138"/>
        <xdr:cNvSpPr/>
      </xdr:nvSpPr>
      <xdr:spPr>
        <a:xfrm>
          <a:off x="18526680" y="14891400"/>
          <a:ext cx="1735920" cy="2347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30/20/10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110/34,5/13,8kV</a:t>
          </a:r>
          <a:endParaRPr b="0" lang="en-GB" sz="600" spc="-1" strike="noStrike">
            <a:latin typeface="Times New Roman"/>
          </a:endParaRPr>
        </a:p>
      </xdr:txBody>
    </xdr:sp>
    <xdr:clientData/>
  </xdr:twoCellAnchor>
  <xdr:twoCellAnchor editAs="twoCell">
    <xdr:from>
      <xdr:col>21</xdr:col>
      <xdr:colOff>381960</xdr:colOff>
      <xdr:row>74</xdr:row>
      <xdr:rowOff>133200</xdr:rowOff>
    </xdr:from>
    <xdr:to>
      <xdr:col>24</xdr:col>
      <xdr:colOff>201960</xdr:colOff>
      <xdr:row>75</xdr:row>
      <xdr:rowOff>90360</xdr:rowOff>
    </xdr:to>
    <xdr:sp>
      <xdr:nvSpPr>
        <xdr:cNvPr id="440" name="Text Box 188"/>
        <xdr:cNvSpPr/>
      </xdr:nvSpPr>
      <xdr:spPr>
        <a:xfrm>
          <a:off x="19340640" y="14392080"/>
          <a:ext cx="2334600" cy="14760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Salamina 110 kV </a:t>
          </a:r>
          <a:endParaRPr b="0" lang="en-GB" sz="600" spc="-1" strike="noStrike">
            <a:latin typeface="Times New Roman"/>
          </a:endParaRPr>
        </a:p>
      </xdr:txBody>
    </xdr:sp>
    <xdr:clientData/>
  </xdr:twoCellAnchor>
  <xdr:twoCellAnchor editAs="twoCell">
    <xdr:from>
      <xdr:col>21</xdr:col>
      <xdr:colOff>722520</xdr:colOff>
      <xdr:row>79</xdr:row>
      <xdr:rowOff>123480</xdr:rowOff>
    </xdr:from>
    <xdr:to>
      <xdr:col>23</xdr:col>
      <xdr:colOff>698040</xdr:colOff>
      <xdr:row>82</xdr:row>
      <xdr:rowOff>166680</xdr:rowOff>
    </xdr:to>
    <xdr:grpSp>
      <xdr:nvGrpSpPr>
        <xdr:cNvPr id="441" name="Grupo 442"/>
        <xdr:cNvGrpSpPr/>
      </xdr:nvGrpSpPr>
      <xdr:grpSpPr>
        <a:xfrm>
          <a:off x="19681200" y="15334920"/>
          <a:ext cx="1651680" cy="624240"/>
          <a:chOff x="19681200" y="15334920"/>
          <a:chExt cx="1651680" cy="624240"/>
        </a:xfrm>
      </xdr:grpSpPr>
      <xdr:sp>
        <xdr:nvSpPr>
          <xdr:cNvPr id="442" name="Line 38"/>
          <xdr:cNvSpPr/>
        </xdr:nvSpPr>
        <xdr:spPr>
          <a:xfrm>
            <a:off x="19681200" y="15334920"/>
            <a:ext cx="1651680" cy="360"/>
          </a:xfrm>
          <a:prstGeom prst="line">
            <a:avLst/>
          </a:prstGeom>
          <a:ln w="25400">
            <a:solidFill>
              <a:srgbClr val="ffc000"/>
            </a:solidFill>
            <a:round/>
          </a:ln>
        </xdr:spPr>
        <xdr:style>
          <a:lnRef idx="0"/>
          <a:fillRef idx="0"/>
          <a:effectRef idx="0"/>
          <a:fontRef idx="minor"/>
        </xdr:style>
      </xdr:sp>
      <xdr:sp>
        <xdr:nvSpPr>
          <xdr:cNvPr id="443" name="Line 244"/>
          <xdr:cNvSpPr/>
        </xdr:nvSpPr>
        <xdr:spPr>
          <a:xfrm>
            <a:off x="19852200" y="15338880"/>
            <a:ext cx="360" cy="620280"/>
          </a:xfrm>
          <a:prstGeom prst="line">
            <a:avLst/>
          </a:prstGeom>
          <a:ln w="15875">
            <a:solidFill>
              <a:srgbClr val="ffc000"/>
            </a:solidFill>
            <a:round/>
          </a:ln>
        </xdr:spPr>
        <xdr:style>
          <a:lnRef idx="0"/>
          <a:fillRef idx="0"/>
          <a:effectRef idx="0"/>
          <a:fontRef idx="minor"/>
        </xdr:style>
      </xdr:sp>
      <xdr:sp>
        <xdr:nvSpPr>
          <xdr:cNvPr id="444" name="455 Rectángulo redondeado"/>
          <xdr:cNvSpPr/>
        </xdr:nvSpPr>
        <xdr:spPr>
          <a:xfrm>
            <a:off x="19797480" y="15376680"/>
            <a:ext cx="9540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21</xdr:col>
      <xdr:colOff>444960</xdr:colOff>
      <xdr:row>80</xdr:row>
      <xdr:rowOff>174960</xdr:rowOff>
    </xdr:from>
    <xdr:to>
      <xdr:col>22</xdr:col>
      <xdr:colOff>181800</xdr:colOff>
      <xdr:row>81</xdr:row>
      <xdr:rowOff>123840</xdr:rowOff>
    </xdr:to>
    <xdr:sp>
      <xdr:nvSpPr>
        <xdr:cNvPr id="445" name="Text Box 188"/>
        <xdr:cNvSpPr/>
      </xdr:nvSpPr>
      <xdr:spPr>
        <a:xfrm>
          <a:off x="19403640" y="15576840"/>
          <a:ext cx="574920" cy="139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LN-5136</a:t>
          </a:r>
          <a:endParaRPr b="0" lang="en-GB" sz="600" spc="-1" strike="noStrike">
            <a:latin typeface="Times New Roman"/>
          </a:endParaRPr>
        </a:p>
      </xdr:txBody>
    </xdr:sp>
    <xdr:clientData/>
  </xdr:twoCellAnchor>
  <xdr:twoCellAnchor editAs="twoCell">
    <xdr:from>
      <xdr:col>21</xdr:col>
      <xdr:colOff>163080</xdr:colOff>
      <xdr:row>82</xdr:row>
      <xdr:rowOff>170280</xdr:rowOff>
    </xdr:from>
    <xdr:to>
      <xdr:col>22</xdr:col>
      <xdr:colOff>509760</xdr:colOff>
      <xdr:row>82</xdr:row>
      <xdr:rowOff>170280</xdr:rowOff>
    </xdr:to>
    <xdr:sp>
      <xdr:nvSpPr>
        <xdr:cNvPr id="446" name="Line 38"/>
        <xdr:cNvSpPr/>
      </xdr:nvSpPr>
      <xdr:spPr>
        <a:xfrm>
          <a:off x="19121760" y="15962760"/>
          <a:ext cx="1184760" cy="0"/>
        </a:xfrm>
        <a:prstGeom prst="line">
          <a:avLst/>
        </a:prstGeom>
        <a:ln w="25400">
          <a:solidFill>
            <a:srgbClr val="ffc000"/>
          </a:solidFill>
          <a:round/>
        </a:ln>
      </xdr:spPr>
      <xdr:style>
        <a:lnRef idx="0"/>
        <a:fillRef idx="0"/>
        <a:effectRef idx="0"/>
        <a:fontRef idx="minor"/>
      </xdr:style>
    </xdr:sp>
    <xdr:clientData/>
  </xdr:twoCellAnchor>
  <xdr:twoCellAnchor editAs="twoCell">
    <xdr:from>
      <xdr:col>22</xdr:col>
      <xdr:colOff>96840</xdr:colOff>
      <xdr:row>82</xdr:row>
      <xdr:rowOff>101880</xdr:rowOff>
    </xdr:from>
    <xdr:to>
      <xdr:col>22</xdr:col>
      <xdr:colOff>137160</xdr:colOff>
      <xdr:row>82</xdr:row>
      <xdr:rowOff>141480</xdr:rowOff>
    </xdr:to>
    <xdr:sp>
      <xdr:nvSpPr>
        <xdr:cNvPr id="447" name="455 Rectángulo redondeado"/>
        <xdr:cNvSpPr/>
      </xdr:nvSpPr>
      <xdr:spPr>
        <a:xfrm>
          <a:off x="19893600" y="1589436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21</xdr:col>
      <xdr:colOff>406440</xdr:colOff>
      <xdr:row>82</xdr:row>
      <xdr:rowOff>173880</xdr:rowOff>
    </xdr:from>
    <xdr:to>
      <xdr:col>21</xdr:col>
      <xdr:colOff>728280</xdr:colOff>
      <xdr:row>87</xdr:row>
      <xdr:rowOff>91440</xdr:rowOff>
    </xdr:to>
    <xdr:grpSp>
      <xdr:nvGrpSpPr>
        <xdr:cNvPr id="448" name="Grupo 449"/>
        <xdr:cNvGrpSpPr/>
      </xdr:nvGrpSpPr>
      <xdr:grpSpPr>
        <a:xfrm>
          <a:off x="19365120" y="15966360"/>
          <a:ext cx="321840" cy="889200"/>
          <a:chOff x="19365120" y="15966360"/>
          <a:chExt cx="321840" cy="889200"/>
        </a:xfrm>
      </xdr:grpSpPr>
      <xdr:sp>
        <xdr:nvSpPr>
          <xdr:cNvPr id="449" name="Oval 40"/>
          <xdr:cNvSpPr/>
        </xdr:nvSpPr>
        <xdr:spPr>
          <a:xfrm rot="10800000">
            <a:off x="19404720" y="16221600"/>
            <a:ext cx="228240" cy="216360"/>
          </a:xfrm>
          <a:prstGeom prst="ellipse">
            <a:avLst/>
          </a:prstGeom>
          <a:noFill/>
          <a:ln w="12700">
            <a:solidFill>
              <a:srgbClr val="000000"/>
            </a:solidFill>
            <a:round/>
          </a:ln>
        </xdr:spPr>
        <xdr:style>
          <a:lnRef idx="0"/>
          <a:fillRef idx="0"/>
          <a:effectRef idx="0"/>
          <a:fontRef idx="minor"/>
        </xdr:style>
      </xdr:sp>
      <xdr:sp>
        <xdr:nvSpPr>
          <xdr:cNvPr id="450" name="Oval 41"/>
          <xdr:cNvSpPr/>
        </xdr:nvSpPr>
        <xdr:spPr>
          <a:xfrm rot="10800000">
            <a:off x="19401120" y="16106040"/>
            <a:ext cx="228240" cy="216360"/>
          </a:xfrm>
          <a:prstGeom prst="ellipse">
            <a:avLst/>
          </a:prstGeom>
          <a:noFill/>
          <a:ln w="12700">
            <a:solidFill>
              <a:srgbClr val="ffc000"/>
            </a:solidFill>
            <a:round/>
          </a:ln>
        </xdr:spPr>
        <xdr:style>
          <a:lnRef idx="0"/>
          <a:fillRef idx="0"/>
          <a:effectRef idx="0"/>
          <a:fontRef idx="minor"/>
        </xdr:style>
      </xdr:sp>
      <xdr:sp>
        <xdr:nvSpPr>
          <xdr:cNvPr id="451" name="Line 206"/>
          <xdr:cNvSpPr/>
        </xdr:nvSpPr>
        <xdr:spPr>
          <a:xfrm>
            <a:off x="19508760" y="15966360"/>
            <a:ext cx="360" cy="136800"/>
          </a:xfrm>
          <a:prstGeom prst="line">
            <a:avLst/>
          </a:prstGeom>
          <a:ln w="15875">
            <a:solidFill>
              <a:srgbClr val="ffc000"/>
            </a:solidFill>
            <a:round/>
          </a:ln>
        </xdr:spPr>
        <xdr:style>
          <a:lnRef idx="0"/>
          <a:fillRef idx="0"/>
          <a:effectRef idx="0"/>
          <a:fontRef idx="minor"/>
        </xdr:style>
      </xdr:sp>
      <xdr:sp>
        <xdr:nvSpPr>
          <xdr:cNvPr id="452" name="452 Rectángulo redondeado"/>
          <xdr:cNvSpPr/>
        </xdr:nvSpPr>
        <xdr:spPr>
          <a:xfrm>
            <a:off x="19483200" y="16003440"/>
            <a:ext cx="52200" cy="4104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453" name="Line 99"/>
          <xdr:cNvSpPr/>
        </xdr:nvSpPr>
        <xdr:spPr>
          <a:xfrm>
            <a:off x="19365120" y="16584120"/>
            <a:ext cx="321840" cy="360"/>
          </a:xfrm>
          <a:prstGeom prst="line">
            <a:avLst/>
          </a:prstGeom>
          <a:ln w="25400">
            <a:solidFill>
              <a:srgbClr val="000000"/>
            </a:solidFill>
            <a:round/>
          </a:ln>
        </xdr:spPr>
        <xdr:style>
          <a:lnRef idx="0"/>
          <a:fillRef idx="0"/>
          <a:effectRef idx="0"/>
          <a:fontRef idx="minor"/>
        </xdr:style>
      </xdr:sp>
      <xdr:sp>
        <xdr:nvSpPr>
          <xdr:cNvPr id="454" name="Line 280"/>
          <xdr:cNvSpPr/>
        </xdr:nvSpPr>
        <xdr:spPr>
          <a:xfrm>
            <a:off x="19517760" y="16439760"/>
            <a:ext cx="360" cy="415800"/>
          </a:xfrm>
          <a:prstGeom prst="line">
            <a:avLst/>
          </a:prstGeom>
          <a:ln w="15875">
            <a:solidFill>
              <a:srgbClr val="000000"/>
            </a:solidFill>
            <a:round/>
            <a:tailEnd len="med" type="triangle" w="med"/>
          </a:ln>
        </xdr:spPr>
        <xdr:style>
          <a:lnRef idx="0"/>
          <a:fillRef idx="0"/>
          <a:effectRef idx="0"/>
          <a:fontRef idx="minor"/>
        </xdr:style>
      </xdr:sp>
      <xdr:sp>
        <xdr:nvSpPr>
          <xdr:cNvPr id="455" name="455 Rectángulo redondeado"/>
          <xdr:cNvSpPr/>
        </xdr:nvSpPr>
        <xdr:spPr>
          <a:xfrm rot="5400000">
            <a:off x="19499760" y="16631280"/>
            <a:ext cx="41400" cy="522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456" name="455 Rectángulo redondeado"/>
          <xdr:cNvSpPr/>
        </xdr:nvSpPr>
        <xdr:spPr>
          <a:xfrm rot="5400000">
            <a:off x="19499760" y="16484400"/>
            <a:ext cx="41400" cy="522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19</xdr:col>
      <xdr:colOff>598320</xdr:colOff>
      <xdr:row>83</xdr:row>
      <xdr:rowOff>162000</xdr:rowOff>
    </xdr:from>
    <xdr:to>
      <xdr:col>22</xdr:col>
      <xdr:colOff>469080</xdr:colOff>
      <xdr:row>85</xdr:row>
      <xdr:rowOff>21600</xdr:rowOff>
    </xdr:to>
    <xdr:sp>
      <xdr:nvSpPr>
        <xdr:cNvPr id="457" name="61 CuadroTexto"/>
        <xdr:cNvSpPr/>
      </xdr:nvSpPr>
      <xdr:spPr>
        <a:xfrm>
          <a:off x="17880480" y="16144920"/>
          <a:ext cx="238536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6,5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clientData/>
  </xdr:twoCellAnchor>
  <xdr:twoCellAnchor editAs="twoCell">
    <xdr:from>
      <xdr:col>20</xdr:col>
      <xdr:colOff>461880</xdr:colOff>
      <xdr:row>82</xdr:row>
      <xdr:rowOff>26640</xdr:rowOff>
    </xdr:from>
    <xdr:to>
      <xdr:col>21</xdr:col>
      <xdr:colOff>294120</xdr:colOff>
      <xdr:row>83</xdr:row>
      <xdr:rowOff>78840</xdr:rowOff>
    </xdr:to>
    <xdr:sp>
      <xdr:nvSpPr>
        <xdr:cNvPr id="458" name="Text Box 188"/>
        <xdr:cNvSpPr/>
      </xdr:nvSpPr>
      <xdr:spPr>
        <a:xfrm>
          <a:off x="18582120" y="15819120"/>
          <a:ext cx="670680" cy="2426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Remolino 34,5 kV</a:t>
          </a:r>
          <a:endParaRPr b="0" lang="en-GB" sz="600" spc="-1" strike="noStrike">
            <a:latin typeface="Times New Roman"/>
          </a:endParaRPr>
        </a:p>
      </xdr:txBody>
    </xdr:sp>
    <xdr:clientData/>
  </xdr:twoCellAnchor>
  <xdr:twoCellAnchor editAs="twoCell">
    <xdr:from>
      <xdr:col>20</xdr:col>
      <xdr:colOff>54720</xdr:colOff>
      <xdr:row>78</xdr:row>
      <xdr:rowOff>185760</xdr:rowOff>
    </xdr:from>
    <xdr:to>
      <xdr:col>22</xdr:col>
      <xdr:colOff>678240</xdr:colOff>
      <xdr:row>80</xdr:row>
      <xdr:rowOff>16200</xdr:rowOff>
    </xdr:to>
    <xdr:sp>
      <xdr:nvSpPr>
        <xdr:cNvPr id="459" name="Text Box 188"/>
        <xdr:cNvSpPr/>
      </xdr:nvSpPr>
      <xdr:spPr>
        <a:xfrm>
          <a:off x="18174960" y="15206760"/>
          <a:ext cx="2300040" cy="21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Salamina 34,5 kV</a:t>
          </a:r>
          <a:endParaRPr b="0" lang="en-GB" sz="600" spc="-1" strike="noStrike">
            <a:latin typeface="Times New Roman"/>
          </a:endParaRPr>
        </a:p>
      </xdr:txBody>
    </xdr:sp>
    <xdr:clientData/>
  </xdr:twoCellAnchor>
  <xdr:twoCellAnchor editAs="twoCell">
    <xdr:from>
      <xdr:col>21</xdr:col>
      <xdr:colOff>575280</xdr:colOff>
      <xdr:row>86</xdr:row>
      <xdr:rowOff>44280</xdr:rowOff>
    </xdr:from>
    <xdr:to>
      <xdr:col>22</xdr:col>
      <xdr:colOff>392040</xdr:colOff>
      <xdr:row>87</xdr:row>
      <xdr:rowOff>96480</xdr:rowOff>
    </xdr:to>
    <xdr:sp>
      <xdr:nvSpPr>
        <xdr:cNvPr id="460" name="Text Box 188"/>
        <xdr:cNvSpPr/>
      </xdr:nvSpPr>
      <xdr:spPr>
        <a:xfrm>
          <a:off x="19533960" y="16617960"/>
          <a:ext cx="654840" cy="2426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Remolino 13,8 kV</a:t>
          </a:r>
          <a:endParaRPr b="0" lang="en-GB" sz="600" spc="-1" strike="noStrike">
            <a:latin typeface="Times New Roman"/>
          </a:endParaRPr>
        </a:p>
      </xdr:txBody>
    </xdr:sp>
    <xdr:clientData/>
  </xdr:twoCellAnchor>
  <xdr:twoCellAnchor editAs="twoCell">
    <xdr:from>
      <xdr:col>23</xdr:col>
      <xdr:colOff>409680</xdr:colOff>
      <xdr:row>79</xdr:row>
      <xdr:rowOff>121680</xdr:rowOff>
    </xdr:from>
    <xdr:to>
      <xdr:col>23</xdr:col>
      <xdr:colOff>409680</xdr:colOff>
      <xdr:row>80</xdr:row>
      <xdr:rowOff>70200</xdr:rowOff>
    </xdr:to>
    <xdr:sp>
      <xdr:nvSpPr>
        <xdr:cNvPr id="461" name="Line 244"/>
        <xdr:cNvSpPr/>
      </xdr:nvSpPr>
      <xdr:spPr>
        <a:xfrm>
          <a:off x="21044520" y="15333120"/>
          <a:ext cx="0" cy="138960"/>
        </a:xfrm>
        <a:prstGeom prst="line">
          <a:avLst/>
        </a:prstGeom>
        <a:ln w="15875">
          <a:solidFill>
            <a:srgbClr val="ffc000"/>
          </a:solidFill>
          <a:round/>
        </a:ln>
      </xdr:spPr>
      <xdr:style>
        <a:lnRef idx="0"/>
        <a:fillRef idx="0"/>
        <a:effectRef idx="0"/>
        <a:fontRef idx="minor"/>
      </xdr:style>
    </xdr:sp>
    <xdr:clientData/>
  </xdr:twoCellAnchor>
  <xdr:twoCellAnchor editAs="twoCell">
    <xdr:from>
      <xdr:col>23</xdr:col>
      <xdr:colOff>385560</xdr:colOff>
      <xdr:row>79</xdr:row>
      <xdr:rowOff>159480</xdr:rowOff>
    </xdr:from>
    <xdr:to>
      <xdr:col>23</xdr:col>
      <xdr:colOff>425880</xdr:colOff>
      <xdr:row>80</xdr:row>
      <xdr:rowOff>8280</xdr:rowOff>
    </xdr:to>
    <xdr:sp>
      <xdr:nvSpPr>
        <xdr:cNvPr id="462" name="455 Rectángulo redondeado"/>
        <xdr:cNvSpPr/>
      </xdr:nvSpPr>
      <xdr:spPr>
        <a:xfrm>
          <a:off x="21020400" y="15370920"/>
          <a:ext cx="40320" cy="3924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23</xdr:col>
      <xdr:colOff>400320</xdr:colOff>
      <xdr:row>80</xdr:row>
      <xdr:rowOff>61920</xdr:rowOff>
    </xdr:from>
    <xdr:to>
      <xdr:col>28</xdr:col>
      <xdr:colOff>468720</xdr:colOff>
      <xdr:row>80</xdr:row>
      <xdr:rowOff>61920</xdr:rowOff>
    </xdr:to>
    <xdr:sp>
      <xdr:nvSpPr>
        <xdr:cNvPr id="463" name="Line 244"/>
        <xdr:cNvSpPr/>
      </xdr:nvSpPr>
      <xdr:spPr>
        <a:xfrm flipH="1">
          <a:off x="21035160" y="15463800"/>
          <a:ext cx="4259520" cy="0"/>
        </a:xfrm>
        <a:prstGeom prst="line">
          <a:avLst/>
        </a:prstGeom>
        <a:ln w="15875">
          <a:solidFill>
            <a:srgbClr val="ffc000"/>
          </a:solidFill>
          <a:round/>
        </a:ln>
      </xdr:spPr>
      <xdr:style>
        <a:lnRef idx="0"/>
        <a:fillRef idx="0"/>
        <a:effectRef idx="0"/>
        <a:fontRef idx="minor"/>
      </xdr:style>
    </xdr:sp>
    <xdr:clientData/>
  </xdr:twoCellAnchor>
  <xdr:twoCellAnchor editAs="twoCell">
    <xdr:from>
      <xdr:col>23</xdr:col>
      <xdr:colOff>667800</xdr:colOff>
      <xdr:row>79</xdr:row>
      <xdr:rowOff>126000</xdr:rowOff>
    </xdr:from>
    <xdr:to>
      <xdr:col>24</xdr:col>
      <xdr:colOff>410040</xdr:colOff>
      <xdr:row>80</xdr:row>
      <xdr:rowOff>56880</xdr:rowOff>
    </xdr:to>
    <xdr:sp>
      <xdr:nvSpPr>
        <xdr:cNvPr id="464" name="Text Box 188"/>
        <xdr:cNvSpPr/>
      </xdr:nvSpPr>
      <xdr:spPr>
        <a:xfrm>
          <a:off x="21302640" y="15337440"/>
          <a:ext cx="58068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LN-563</a:t>
          </a:r>
          <a:endParaRPr b="0" lang="en-GB" sz="600" spc="-1" strike="noStrike">
            <a:latin typeface="Times New Roman"/>
          </a:endParaRPr>
        </a:p>
      </xdr:txBody>
    </xdr:sp>
    <xdr:clientData/>
  </xdr:twoCellAnchor>
  <xdr:twoCellAnchor editAs="twoCell">
    <xdr:from>
      <xdr:col>24</xdr:col>
      <xdr:colOff>742680</xdr:colOff>
      <xdr:row>80</xdr:row>
      <xdr:rowOff>48240</xdr:rowOff>
    </xdr:from>
    <xdr:to>
      <xdr:col>25</xdr:col>
      <xdr:colOff>744120</xdr:colOff>
      <xdr:row>84</xdr:row>
      <xdr:rowOff>178920</xdr:rowOff>
    </xdr:to>
    <xdr:grpSp>
      <xdr:nvGrpSpPr>
        <xdr:cNvPr id="465" name="Grupo 466"/>
        <xdr:cNvGrpSpPr/>
      </xdr:nvGrpSpPr>
      <xdr:grpSpPr>
        <a:xfrm>
          <a:off x="22215960" y="15450120"/>
          <a:ext cx="839520" cy="902160"/>
          <a:chOff x="22215960" y="15450120"/>
          <a:chExt cx="839520" cy="902160"/>
        </a:xfrm>
      </xdr:grpSpPr>
      <xdr:sp>
        <xdr:nvSpPr>
          <xdr:cNvPr id="466" name="Oval 63"/>
          <xdr:cNvSpPr/>
        </xdr:nvSpPr>
        <xdr:spPr>
          <a:xfrm flipV="1">
            <a:off x="22322880" y="15449760"/>
            <a:ext cx="39240" cy="35640"/>
          </a:xfrm>
          <a:prstGeom prst="ellipse">
            <a:avLst/>
          </a:prstGeom>
          <a:solidFill>
            <a:srgbClr val="ffc000"/>
          </a:solidFill>
          <a:ln w="12700">
            <a:solidFill>
              <a:srgbClr val="ffc000"/>
            </a:solidFill>
            <a:round/>
          </a:ln>
        </xdr:spPr>
        <xdr:style>
          <a:lnRef idx="0"/>
          <a:fillRef idx="0"/>
          <a:effectRef idx="0"/>
          <a:fontRef idx="minor"/>
        </xdr:style>
      </xdr:sp>
      <xdr:grpSp>
        <xdr:nvGrpSpPr>
          <xdr:cNvPr id="467" name="Grupo 468"/>
          <xdr:cNvGrpSpPr/>
        </xdr:nvGrpSpPr>
        <xdr:grpSpPr>
          <a:xfrm>
            <a:off x="22215960" y="15482520"/>
            <a:ext cx="839520" cy="869760"/>
            <a:chOff x="22215960" y="15482520"/>
            <a:chExt cx="839520" cy="869760"/>
          </a:xfrm>
        </xdr:grpSpPr>
        <xdr:sp>
          <xdr:nvSpPr>
            <xdr:cNvPr id="468" name="Oval 40"/>
            <xdr:cNvSpPr/>
          </xdr:nvSpPr>
          <xdr:spPr>
            <a:xfrm rot="10800000">
              <a:off x="22249800" y="15732000"/>
              <a:ext cx="196200" cy="211680"/>
            </a:xfrm>
            <a:prstGeom prst="ellipse">
              <a:avLst/>
            </a:prstGeom>
            <a:noFill/>
            <a:ln w="12700">
              <a:solidFill>
                <a:srgbClr val="000000"/>
              </a:solidFill>
              <a:round/>
            </a:ln>
          </xdr:spPr>
          <xdr:style>
            <a:lnRef idx="0"/>
            <a:fillRef idx="0"/>
            <a:effectRef idx="0"/>
            <a:fontRef idx="minor"/>
          </xdr:style>
        </xdr:sp>
        <xdr:sp>
          <xdr:nvSpPr>
            <xdr:cNvPr id="469" name="Oval 41"/>
            <xdr:cNvSpPr/>
          </xdr:nvSpPr>
          <xdr:spPr>
            <a:xfrm rot="10800000">
              <a:off x="22246920" y="15618960"/>
              <a:ext cx="196200" cy="211680"/>
            </a:xfrm>
            <a:prstGeom prst="ellipse">
              <a:avLst/>
            </a:prstGeom>
            <a:noFill/>
            <a:ln w="12700">
              <a:solidFill>
                <a:srgbClr val="ffc000"/>
              </a:solidFill>
              <a:round/>
            </a:ln>
          </xdr:spPr>
          <xdr:style>
            <a:lnRef idx="0"/>
            <a:fillRef idx="0"/>
            <a:effectRef idx="0"/>
            <a:fontRef idx="minor"/>
          </xdr:style>
        </xdr:sp>
        <xdr:sp>
          <xdr:nvSpPr>
            <xdr:cNvPr id="470" name="Line 206"/>
            <xdr:cNvSpPr/>
          </xdr:nvSpPr>
          <xdr:spPr>
            <a:xfrm>
              <a:off x="22339440" y="15482520"/>
              <a:ext cx="360" cy="133560"/>
            </a:xfrm>
            <a:prstGeom prst="line">
              <a:avLst/>
            </a:prstGeom>
            <a:ln w="15875">
              <a:solidFill>
                <a:srgbClr val="ffc000"/>
              </a:solidFill>
              <a:round/>
            </a:ln>
          </xdr:spPr>
          <xdr:style>
            <a:lnRef idx="0"/>
            <a:fillRef idx="0"/>
            <a:effectRef idx="0"/>
            <a:fontRef idx="minor"/>
          </xdr:style>
        </xdr:sp>
        <xdr:sp>
          <xdr:nvSpPr>
            <xdr:cNvPr id="471" name="452 Rectángulo redondeado"/>
            <xdr:cNvSpPr/>
          </xdr:nvSpPr>
          <xdr:spPr>
            <a:xfrm>
              <a:off x="22317480" y="15518520"/>
              <a:ext cx="45000" cy="4032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472" name="Line 99"/>
            <xdr:cNvSpPr/>
          </xdr:nvSpPr>
          <xdr:spPr>
            <a:xfrm>
              <a:off x="22215960" y="16086960"/>
              <a:ext cx="276480" cy="360"/>
            </a:xfrm>
            <a:prstGeom prst="line">
              <a:avLst/>
            </a:prstGeom>
            <a:ln w="25400">
              <a:solidFill>
                <a:srgbClr val="000000"/>
              </a:solidFill>
              <a:round/>
            </a:ln>
          </xdr:spPr>
          <xdr:style>
            <a:lnRef idx="0"/>
            <a:fillRef idx="0"/>
            <a:effectRef idx="0"/>
            <a:fontRef idx="minor"/>
          </xdr:style>
        </xdr:sp>
        <xdr:sp>
          <xdr:nvSpPr>
            <xdr:cNvPr id="473" name="Line 280"/>
            <xdr:cNvSpPr/>
          </xdr:nvSpPr>
          <xdr:spPr>
            <a:xfrm>
              <a:off x="22347000" y="15945480"/>
              <a:ext cx="360" cy="406800"/>
            </a:xfrm>
            <a:prstGeom prst="line">
              <a:avLst/>
            </a:prstGeom>
            <a:ln w="15875">
              <a:solidFill>
                <a:srgbClr val="000000"/>
              </a:solidFill>
              <a:round/>
              <a:tailEnd len="med" type="triangle" w="med"/>
            </a:ln>
          </xdr:spPr>
          <xdr:style>
            <a:lnRef idx="0"/>
            <a:fillRef idx="0"/>
            <a:effectRef idx="0"/>
            <a:fontRef idx="minor"/>
          </xdr:style>
        </xdr:sp>
        <xdr:sp>
          <xdr:nvSpPr>
            <xdr:cNvPr id="474" name="455 Rectángulo redondeado"/>
            <xdr:cNvSpPr/>
          </xdr:nvSpPr>
          <xdr:spPr>
            <a:xfrm rot="5400000">
              <a:off x="22329000" y="16135560"/>
              <a:ext cx="40320" cy="450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475" name="455 Rectángulo redondeado"/>
            <xdr:cNvSpPr/>
          </xdr:nvSpPr>
          <xdr:spPr>
            <a:xfrm rot="5400000">
              <a:off x="22329000" y="15991920"/>
              <a:ext cx="40320" cy="450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476" name="61 CuadroTexto"/>
            <xdr:cNvSpPr/>
          </xdr:nvSpPr>
          <xdr:spPr>
            <a:xfrm>
              <a:off x="22343400" y="15677640"/>
              <a:ext cx="712080" cy="25272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10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grpSp>
    </xdr:grpSp>
    <xdr:clientData/>
  </xdr:twoCellAnchor>
  <xdr:twoCellAnchor editAs="twoCell">
    <xdr:from>
      <xdr:col>22</xdr:col>
      <xdr:colOff>514800</xdr:colOff>
      <xdr:row>75</xdr:row>
      <xdr:rowOff>170640</xdr:rowOff>
    </xdr:from>
    <xdr:to>
      <xdr:col>23</xdr:col>
      <xdr:colOff>549000</xdr:colOff>
      <xdr:row>79</xdr:row>
      <xdr:rowOff>116640</xdr:rowOff>
    </xdr:to>
    <xdr:grpSp>
      <xdr:nvGrpSpPr>
        <xdr:cNvPr id="477" name="Grupo 478"/>
        <xdr:cNvGrpSpPr/>
      </xdr:nvGrpSpPr>
      <xdr:grpSpPr>
        <a:xfrm>
          <a:off x="20311560" y="14619960"/>
          <a:ext cx="872280" cy="708120"/>
          <a:chOff x="20311560" y="14619960"/>
          <a:chExt cx="872280" cy="708120"/>
        </a:xfrm>
      </xdr:grpSpPr>
      <xdr:grpSp>
        <xdr:nvGrpSpPr>
          <xdr:cNvPr id="478" name="Grupo 479"/>
          <xdr:cNvGrpSpPr/>
        </xdr:nvGrpSpPr>
        <xdr:grpSpPr>
          <a:xfrm>
            <a:off x="20311560" y="14809680"/>
            <a:ext cx="428040" cy="365040"/>
            <a:chOff x="20311560" y="14809680"/>
            <a:chExt cx="428040" cy="365040"/>
          </a:xfrm>
        </xdr:grpSpPr>
        <xdr:sp>
          <xdr:nvSpPr>
            <xdr:cNvPr id="479" name="Oval 40"/>
            <xdr:cNvSpPr/>
          </xdr:nvSpPr>
          <xdr:spPr>
            <a:xfrm rot="10800000">
              <a:off x="20311560" y="14930640"/>
              <a:ext cx="268560" cy="244080"/>
            </a:xfrm>
            <a:prstGeom prst="ellipse">
              <a:avLst/>
            </a:prstGeom>
            <a:noFill/>
            <a:ln w="12700">
              <a:solidFill>
                <a:srgbClr val="ffc000"/>
              </a:solidFill>
              <a:round/>
            </a:ln>
          </xdr:spPr>
          <xdr:style>
            <a:lnRef idx="0"/>
            <a:fillRef idx="0"/>
            <a:effectRef idx="0"/>
            <a:fontRef idx="minor"/>
          </xdr:style>
        </xdr:sp>
        <xdr:sp>
          <xdr:nvSpPr>
            <xdr:cNvPr id="480" name="Oval 41"/>
            <xdr:cNvSpPr/>
          </xdr:nvSpPr>
          <xdr:spPr>
            <a:xfrm rot="10800000">
              <a:off x="20311560" y="14809680"/>
              <a:ext cx="268560" cy="244080"/>
            </a:xfrm>
            <a:prstGeom prst="ellipse">
              <a:avLst/>
            </a:prstGeom>
            <a:noFill/>
            <a:ln w="12700">
              <a:solidFill>
                <a:srgbClr val="ff0000"/>
              </a:solidFill>
              <a:round/>
            </a:ln>
          </xdr:spPr>
          <xdr:style>
            <a:lnRef idx="0"/>
            <a:fillRef idx="0"/>
            <a:effectRef idx="0"/>
            <a:fontRef idx="minor"/>
          </xdr:style>
        </xdr:sp>
        <xdr:sp>
          <xdr:nvSpPr>
            <xdr:cNvPr id="481" name="Oval 63"/>
            <xdr:cNvSpPr/>
          </xdr:nvSpPr>
          <xdr:spPr>
            <a:xfrm>
              <a:off x="20472120" y="14879520"/>
              <a:ext cx="267480" cy="243000"/>
            </a:xfrm>
            <a:prstGeom prst="ellipse">
              <a:avLst/>
            </a:prstGeom>
            <a:noFill/>
            <a:ln w="12700">
              <a:solidFill>
                <a:srgbClr val="000000"/>
              </a:solidFill>
              <a:round/>
            </a:ln>
          </xdr:spPr>
          <xdr:style>
            <a:lnRef idx="0"/>
            <a:fillRef idx="0"/>
            <a:effectRef idx="0"/>
            <a:fontRef idx="minor"/>
          </xdr:style>
        </xdr:sp>
      </xdr:grpSp>
      <xdr:sp>
        <xdr:nvSpPr>
          <xdr:cNvPr id="482" name="Line 100"/>
          <xdr:cNvSpPr/>
        </xdr:nvSpPr>
        <xdr:spPr>
          <a:xfrm>
            <a:off x="20406600" y="15176160"/>
            <a:ext cx="360" cy="151920"/>
          </a:xfrm>
          <a:prstGeom prst="line">
            <a:avLst/>
          </a:prstGeom>
          <a:ln w="15875">
            <a:solidFill>
              <a:srgbClr val="ffc000"/>
            </a:solidFill>
            <a:round/>
          </a:ln>
        </xdr:spPr>
        <xdr:style>
          <a:lnRef idx="0"/>
          <a:fillRef idx="0"/>
          <a:effectRef idx="0"/>
          <a:fontRef idx="minor"/>
        </xdr:style>
      </xdr:sp>
      <xdr:sp>
        <xdr:nvSpPr>
          <xdr:cNvPr id="483" name="455 Rectángulo redondeado"/>
          <xdr:cNvSpPr/>
        </xdr:nvSpPr>
        <xdr:spPr>
          <a:xfrm>
            <a:off x="20358000" y="15219000"/>
            <a:ext cx="94680" cy="4644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484" name="Line 206"/>
          <xdr:cNvSpPr/>
        </xdr:nvSpPr>
        <xdr:spPr>
          <a:xfrm>
            <a:off x="20423160" y="14619960"/>
            <a:ext cx="360" cy="184320"/>
          </a:xfrm>
          <a:prstGeom prst="line">
            <a:avLst/>
          </a:prstGeom>
          <a:ln w="25400">
            <a:solidFill>
              <a:srgbClr val="ff0000"/>
            </a:solidFill>
            <a:round/>
          </a:ln>
        </xdr:spPr>
        <xdr:style>
          <a:lnRef idx="0"/>
          <a:fillRef idx="0"/>
          <a:effectRef idx="0"/>
          <a:fontRef idx="minor"/>
        </xdr:style>
      </xdr:sp>
      <xdr:sp>
        <xdr:nvSpPr>
          <xdr:cNvPr id="485" name="452 Rectángulo redondeado"/>
          <xdr:cNvSpPr/>
        </xdr:nvSpPr>
        <xdr:spPr>
          <a:xfrm>
            <a:off x="20377080" y="14689440"/>
            <a:ext cx="94680" cy="464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nvGrpSpPr>
          <xdr:cNvPr id="486" name="Grupo 484"/>
          <xdr:cNvGrpSpPr/>
        </xdr:nvGrpSpPr>
        <xdr:grpSpPr>
          <a:xfrm>
            <a:off x="20741760" y="14855760"/>
            <a:ext cx="442080" cy="295920"/>
            <a:chOff x="20741760" y="14855760"/>
            <a:chExt cx="442080" cy="295920"/>
          </a:xfrm>
        </xdr:grpSpPr>
        <xdr:sp>
          <xdr:nvSpPr>
            <xdr:cNvPr id="487" name="Line 244"/>
            <xdr:cNvSpPr/>
          </xdr:nvSpPr>
          <xdr:spPr>
            <a:xfrm>
              <a:off x="20741760" y="15000480"/>
              <a:ext cx="309600" cy="360"/>
            </a:xfrm>
            <a:prstGeom prst="line">
              <a:avLst/>
            </a:prstGeom>
            <a:ln w="15875">
              <a:solidFill>
                <a:srgbClr val="000000"/>
              </a:solidFill>
              <a:round/>
            </a:ln>
          </xdr:spPr>
          <xdr:style>
            <a:lnRef idx="0"/>
            <a:fillRef idx="0"/>
            <a:effectRef idx="0"/>
            <a:fontRef idx="minor"/>
          </xdr:style>
        </xdr:sp>
        <xdr:sp>
          <xdr:nvSpPr>
            <xdr:cNvPr id="488" name="455 Rectángulo redondeado"/>
            <xdr:cNvSpPr/>
          </xdr:nvSpPr>
          <xdr:spPr>
            <a:xfrm rot="16200000">
              <a:off x="20850840" y="14956560"/>
              <a:ext cx="46440" cy="94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489" name="Line 99"/>
            <xdr:cNvSpPr/>
          </xdr:nvSpPr>
          <xdr:spPr>
            <a:xfrm>
              <a:off x="20984040" y="14855760"/>
              <a:ext cx="360" cy="295920"/>
            </a:xfrm>
            <a:prstGeom prst="line">
              <a:avLst/>
            </a:prstGeom>
            <a:ln w="25400">
              <a:solidFill>
                <a:srgbClr val="000000"/>
              </a:solidFill>
              <a:round/>
            </a:ln>
          </xdr:spPr>
          <xdr:style>
            <a:lnRef idx="0"/>
            <a:fillRef idx="0"/>
            <a:effectRef idx="0"/>
            <a:fontRef idx="minor"/>
          </xdr:style>
        </xdr:sp>
        <xdr:sp>
          <xdr:nvSpPr>
            <xdr:cNvPr id="490" name="Line 280"/>
            <xdr:cNvSpPr/>
          </xdr:nvSpPr>
          <xdr:spPr>
            <a:xfrm>
              <a:off x="20976840" y="15001560"/>
              <a:ext cx="207000" cy="360"/>
            </a:xfrm>
            <a:prstGeom prst="line">
              <a:avLst/>
            </a:prstGeom>
            <a:ln w="15875">
              <a:solidFill>
                <a:srgbClr val="000000"/>
              </a:solidFill>
              <a:round/>
              <a:tailEnd len="med" type="triangle" w="med"/>
            </a:ln>
          </xdr:spPr>
          <xdr:style>
            <a:lnRef idx="0"/>
            <a:fillRef idx="0"/>
            <a:effectRef idx="0"/>
            <a:fontRef idx="minor"/>
          </xdr:style>
        </xdr:sp>
        <xdr:sp>
          <xdr:nvSpPr>
            <xdr:cNvPr id="491" name="455 Rectángulo redondeado"/>
            <xdr:cNvSpPr/>
          </xdr:nvSpPr>
          <xdr:spPr>
            <a:xfrm rot="5400000">
              <a:off x="21012840" y="14976000"/>
              <a:ext cx="48240" cy="450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grpSp>
    <xdr:clientData/>
  </xdr:twoCellAnchor>
  <xdr:twoCellAnchor editAs="twoCell">
    <xdr:from>
      <xdr:col>23</xdr:col>
      <xdr:colOff>331920</xdr:colOff>
      <xdr:row>76</xdr:row>
      <xdr:rowOff>161640</xdr:rowOff>
    </xdr:from>
    <xdr:to>
      <xdr:col>24</xdr:col>
      <xdr:colOff>356040</xdr:colOff>
      <xdr:row>77</xdr:row>
      <xdr:rowOff>72000</xdr:rowOff>
    </xdr:to>
    <xdr:sp>
      <xdr:nvSpPr>
        <xdr:cNvPr id="492" name="Text Box 188"/>
        <xdr:cNvSpPr/>
      </xdr:nvSpPr>
      <xdr:spPr>
        <a:xfrm>
          <a:off x="20966760" y="14801400"/>
          <a:ext cx="862560" cy="10116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Salamina 13,8 kV </a:t>
          </a:r>
          <a:endParaRPr b="0" lang="en-GB" sz="600" spc="-1" strike="noStrike">
            <a:latin typeface="Times New Roman"/>
          </a:endParaRPr>
        </a:p>
      </xdr:txBody>
    </xdr:sp>
    <xdr:clientData/>
  </xdr:twoCellAnchor>
  <xdr:twoCellAnchor editAs="twoCell">
    <xdr:from>
      <xdr:col>25</xdr:col>
      <xdr:colOff>181080</xdr:colOff>
      <xdr:row>83</xdr:row>
      <xdr:rowOff>128520</xdr:rowOff>
    </xdr:from>
    <xdr:to>
      <xdr:col>25</xdr:col>
      <xdr:colOff>679320</xdr:colOff>
      <xdr:row>84</xdr:row>
      <xdr:rowOff>68760</xdr:rowOff>
    </xdr:to>
    <xdr:sp>
      <xdr:nvSpPr>
        <xdr:cNvPr id="493" name="Text Box 188"/>
        <xdr:cNvSpPr/>
      </xdr:nvSpPr>
      <xdr:spPr>
        <a:xfrm>
          <a:off x="22492440" y="16111440"/>
          <a:ext cx="498240" cy="130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Campo Alegre 13,8 kV</a:t>
          </a:r>
          <a:endParaRPr b="0" lang="en-GB" sz="600" spc="-1" strike="noStrike">
            <a:latin typeface="Times New Roman"/>
          </a:endParaRPr>
        </a:p>
      </xdr:txBody>
    </xdr:sp>
    <xdr:clientData/>
  </xdr:twoCellAnchor>
  <xdr:twoCellAnchor editAs="twoCell">
    <xdr:from>
      <xdr:col>26</xdr:col>
      <xdr:colOff>529560</xdr:colOff>
      <xdr:row>80</xdr:row>
      <xdr:rowOff>47160</xdr:rowOff>
    </xdr:from>
    <xdr:to>
      <xdr:col>27</xdr:col>
      <xdr:colOff>565920</xdr:colOff>
      <xdr:row>84</xdr:row>
      <xdr:rowOff>178200</xdr:rowOff>
    </xdr:to>
    <xdr:grpSp>
      <xdr:nvGrpSpPr>
        <xdr:cNvPr id="494" name="Grupo 495"/>
        <xdr:cNvGrpSpPr/>
      </xdr:nvGrpSpPr>
      <xdr:grpSpPr>
        <a:xfrm>
          <a:off x="23679000" y="15449040"/>
          <a:ext cx="874800" cy="902520"/>
          <a:chOff x="23679000" y="15449040"/>
          <a:chExt cx="874800" cy="902520"/>
        </a:xfrm>
      </xdr:grpSpPr>
      <xdr:sp>
        <xdr:nvSpPr>
          <xdr:cNvPr id="495" name="Oval 63"/>
          <xdr:cNvSpPr/>
        </xdr:nvSpPr>
        <xdr:spPr>
          <a:xfrm flipV="1">
            <a:off x="23785200" y="15448680"/>
            <a:ext cx="39240" cy="35640"/>
          </a:xfrm>
          <a:prstGeom prst="ellipse">
            <a:avLst/>
          </a:prstGeom>
          <a:solidFill>
            <a:srgbClr val="ffc000"/>
          </a:solidFill>
          <a:ln w="12700">
            <a:solidFill>
              <a:srgbClr val="ffc000"/>
            </a:solidFill>
            <a:round/>
          </a:ln>
        </xdr:spPr>
        <xdr:style>
          <a:lnRef idx="0"/>
          <a:fillRef idx="0"/>
          <a:effectRef idx="0"/>
          <a:fontRef idx="minor"/>
        </xdr:style>
      </xdr:sp>
      <xdr:grpSp>
        <xdr:nvGrpSpPr>
          <xdr:cNvPr id="496" name="Grupo 497"/>
          <xdr:cNvGrpSpPr/>
        </xdr:nvGrpSpPr>
        <xdr:grpSpPr>
          <a:xfrm>
            <a:off x="23679000" y="15481800"/>
            <a:ext cx="874800" cy="869760"/>
            <a:chOff x="23679000" y="15481800"/>
            <a:chExt cx="874800" cy="869760"/>
          </a:xfrm>
        </xdr:grpSpPr>
        <xdr:sp>
          <xdr:nvSpPr>
            <xdr:cNvPr id="497" name="Oval 40"/>
            <xdr:cNvSpPr/>
          </xdr:nvSpPr>
          <xdr:spPr>
            <a:xfrm rot="10800000">
              <a:off x="23712480" y="15731280"/>
              <a:ext cx="195480" cy="211680"/>
            </a:xfrm>
            <a:prstGeom prst="ellipse">
              <a:avLst/>
            </a:prstGeom>
            <a:noFill/>
            <a:ln w="12700">
              <a:solidFill>
                <a:srgbClr val="000000"/>
              </a:solidFill>
              <a:round/>
            </a:ln>
          </xdr:spPr>
          <xdr:style>
            <a:lnRef idx="0"/>
            <a:fillRef idx="0"/>
            <a:effectRef idx="0"/>
            <a:fontRef idx="minor"/>
          </xdr:style>
        </xdr:sp>
        <xdr:sp>
          <xdr:nvSpPr>
            <xdr:cNvPr id="498" name="Oval 41"/>
            <xdr:cNvSpPr/>
          </xdr:nvSpPr>
          <xdr:spPr>
            <a:xfrm rot="10800000">
              <a:off x="23709600" y="15618240"/>
              <a:ext cx="195480" cy="211680"/>
            </a:xfrm>
            <a:prstGeom prst="ellipse">
              <a:avLst/>
            </a:prstGeom>
            <a:noFill/>
            <a:ln w="12700">
              <a:solidFill>
                <a:srgbClr val="ffc000"/>
              </a:solidFill>
              <a:round/>
            </a:ln>
          </xdr:spPr>
          <xdr:style>
            <a:lnRef idx="0"/>
            <a:fillRef idx="0"/>
            <a:effectRef idx="0"/>
            <a:fontRef idx="minor"/>
          </xdr:style>
        </xdr:sp>
        <xdr:sp>
          <xdr:nvSpPr>
            <xdr:cNvPr id="499" name="Line 206"/>
            <xdr:cNvSpPr/>
          </xdr:nvSpPr>
          <xdr:spPr>
            <a:xfrm>
              <a:off x="23802120" y="15481800"/>
              <a:ext cx="360" cy="133560"/>
            </a:xfrm>
            <a:prstGeom prst="line">
              <a:avLst/>
            </a:prstGeom>
            <a:ln w="15875">
              <a:solidFill>
                <a:srgbClr val="ffc000"/>
              </a:solidFill>
              <a:round/>
            </a:ln>
          </xdr:spPr>
          <xdr:style>
            <a:lnRef idx="0"/>
            <a:fillRef idx="0"/>
            <a:effectRef idx="0"/>
            <a:fontRef idx="minor"/>
          </xdr:style>
        </xdr:sp>
        <xdr:sp>
          <xdr:nvSpPr>
            <xdr:cNvPr id="500" name="452 Rectángulo redondeado"/>
            <xdr:cNvSpPr/>
          </xdr:nvSpPr>
          <xdr:spPr>
            <a:xfrm>
              <a:off x="23779800" y="15517800"/>
              <a:ext cx="44640" cy="4032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501" name="Line 99"/>
            <xdr:cNvSpPr/>
          </xdr:nvSpPr>
          <xdr:spPr>
            <a:xfrm>
              <a:off x="23679000" y="16085880"/>
              <a:ext cx="275400" cy="360"/>
            </a:xfrm>
            <a:prstGeom prst="line">
              <a:avLst/>
            </a:prstGeom>
            <a:ln w="25400">
              <a:solidFill>
                <a:srgbClr val="000000"/>
              </a:solidFill>
              <a:round/>
            </a:ln>
          </xdr:spPr>
          <xdr:style>
            <a:lnRef idx="0"/>
            <a:fillRef idx="0"/>
            <a:effectRef idx="0"/>
            <a:fontRef idx="minor"/>
          </xdr:style>
        </xdr:sp>
        <xdr:sp>
          <xdr:nvSpPr>
            <xdr:cNvPr id="502" name="Line 280"/>
            <xdr:cNvSpPr/>
          </xdr:nvSpPr>
          <xdr:spPr>
            <a:xfrm>
              <a:off x="23809680" y="15944400"/>
              <a:ext cx="360" cy="407160"/>
            </a:xfrm>
            <a:prstGeom prst="line">
              <a:avLst/>
            </a:prstGeom>
            <a:ln w="15875">
              <a:solidFill>
                <a:srgbClr val="000000"/>
              </a:solidFill>
              <a:round/>
              <a:tailEnd len="med" type="triangle" w="med"/>
            </a:ln>
          </xdr:spPr>
          <xdr:style>
            <a:lnRef idx="0"/>
            <a:fillRef idx="0"/>
            <a:effectRef idx="0"/>
            <a:fontRef idx="minor"/>
          </xdr:style>
        </xdr:sp>
        <xdr:sp>
          <xdr:nvSpPr>
            <xdr:cNvPr id="503" name="455 Rectángulo redondeado"/>
            <xdr:cNvSpPr/>
          </xdr:nvSpPr>
          <xdr:spPr>
            <a:xfrm rot="5400000">
              <a:off x="23787360" y="16135200"/>
              <a:ext cx="40320" cy="446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504" name="455 Rectángulo redondeado"/>
            <xdr:cNvSpPr/>
          </xdr:nvSpPr>
          <xdr:spPr>
            <a:xfrm rot="5400000">
              <a:off x="23787360" y="15991200"/>
              <a:ext cx="40320" cy="446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505" name="61 CuadroTexto"/>
            <xdr:cNvSpPr/>
          </xdr:nvSpPr>
          <xdr:spPr>
            <a:xfrm>
              <a:off x="23844600" y="15674040"/>
              <a:ext cx="709200" cy="25272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grpSp>
    </xdr:grpSp>
    <xdr:clientData/>
  </xdr:twoCellAnchor>
  <xdr:twoCellAnchor editAs="twoCell">
    <xdr:from>
      <xdr:col>25</xdr:col>
      <xdr:colOff>578520</xdr:colOff>
      <xdr:row>79</xdr:row>
      <xdr:rowOff>120600</xdr:rowOff>
    </xdr:from>
    <xdr:to>
      <xdr:col>26</xdr:col>
      <xdr:colOff>320760</xdr:colOff>
      <xdr:row>80</xdr:row>
      <xdr:rowOff>51480</xdr:rowOff>
    </xdr:to>
    <xdr:sp>
      <xdr:nvSpPr>
        <xdr:cNvPr id="506" name="Text Box 188"/>
        <xdr:cNvSpPr/>
      </xdr:nvSpPr>
      <xdr:spPr>
        <a:xfrm>
          <a:off x="22889880" y="15332040"/>
          <a:ext cx="58032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LN-563</a:t>
          </a:r>
          <a:endParaRPr b="0" lang="en-GB" sz="600" spc="-1" strike="noStrike">
            <a:latin typeface="Times New Roman"/>
          </a:endParaRPr>
        </a:p>
      </xdr:txBody>
    </xdr:sp>
    <xdr:clientData/>
  </xdr:twoCellAnchor>
  <xdr:twoCellAnchor editAs="twoCell">
    <xdr:from>
      <xdr:col>26</xdr:col>
      <xdr:colOff>679680</xdr:colOff>
      <xdr:row>83</xdr:row>
      <xdr:rowOff>25920</xdr:rowOff>
    </xdr:from>
    <xdr:to>
      <xdr:col>27</xdr:col>
      <xdr:colOff>582120</xdr:colOff>
      <xdr:row>84</xdr:row>
      <xdr:rowOff>44640</xdr:rowOff>
    </xdr:to>
    <xdr:sp>
      <xdr:nvSpPr>
        <xdr:cNvPr id="507" name="Text Box 188"/>
        <xdr:cNvSpPr/>
      </xdr:nvSpPr>
      <xdr:spPr>
        <a:xfrm>
          <a:off x="23829120" y="16008840"/>
          <a:ext cx="740880" cy="20916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La Retirada 13,8 kV</a:t>
          </a:r>
          <a:endParaRPr b="0" lang="en-GB" sz="600" spc="-1" strike="noStrike">
            <a:latin typeface="Times New Roman"/>
          </a:endParaRPr>
        </a:p>
      </xdr:txBody>
    </xdr:sp>
    <xdr:clientData/>
  </xdr:twoCellAnchor>
  <xdr:twoCellAnchor editAs="twoCell">
    <xdr:from>
      <xdr:col>27</xdr:col>
      <xdr:colOff>331200</xdr:colOff>
      <xdr:row>79</xdr:row>
      <xdr:rowOff>116640</xdr:rowOff>
    </xdr:from>
    <xdr:to>
      <xdr:col>28</xdr:col>
      <xdr:colOff>73440</xdr:colOff>
      <xdr:row>80</xdr:row>
      <xdr:rowOff>47520</xdr:rowOff>
    </xdr:to>
    <xdr:sp>
      <xdr:nvSpPr>
        <xdr:cNvPr id="508" name="Text Box 188"/>
        <xdr:cNvSpPr/>
      </xdr:nvSpPr>
      <xdr:spPr>
        <a:xfrm>
          <a:off x="24319080" y="15328080"/>
          <a:ext cx="58032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LN-563</a:t>
          </a:r>
          <a:endParaRPr b="0" lang="en-GB" sz="600" spc="-1" strike="noStrike">
            <a:latin typeface="Times New Roman"/>
          </a:endParaRPr>
        </a:p>
      </xdr:txBody>
    </xdr:sp>
    <xdr:clientData/>
  </xdr:twoCellAnchor>
  <xdr:twoCellAnchor editAs="twoCell">
    <xdr:from>
      <xdr:col>29</xdr:col>
      <xdr:colOff>43200</xdr:colOff>
      <xdr:row>79</xdr:row>
      <xdr:rowOff>127080</xdr:rowOff>
    </xdr:from>
    <xdr:to>
      <xdr:col>29</xdr:col>
      <xdr:colOff>294480</xdr:colOff>
      <xdr:row>84</xdr:row>
      <xdr:rowOff>51120</xdr:rowOff>
    </xdr:to>
    <xdr:grpSp>
      <xdr:nvGrpSpPr>
        <xdr:cNvPr id="509" name="Grupo 510"/>
        <xdr:cNvGrpSpPr/>
      </xdr:nvGrpSpPr>
      <xdr:grpSpPr>
        <a:xfrm>
          <a:off x="25707240" y="15338520"/>
          <a:ext cx="251280" cy="885960"/>
          <a:chOff x="25707240" y="15338520"/>
          <a:chExt cx="251280" cy="885960"/>
        </a:xfrm>
      </xdr:grpSpPr>
      <xdr:sp>
        <xdr:nvSpPr>
          <xdr:cNvPr id="510" name="Oval 40"/>
          <xdr:cNvSpPr/>
        </xdr:nvSpPr>
        <xdr:spPr>
          <a:xfrm rot="10800000">
            <a:off x="25738200" y="15592680"/>
            <a:ext cx="178200" cy="215640"/>
          </a:xfrm>
          <a:prstGeom prst="ellipse">
            <a:avLst/>
          </a:prstGeom>
          <a:noFill/>
          <a:ln w="12700">
            <a:solidFill>
              <a:srgbClr val="000000"/>
            </a:solidFill>
            <a:round/>
          </a:ln>
        </xdr:spPr>
        <xdr:style>
          <a:lnRef idx="0"/>
          <a:fillRef idx="0"/>
          <a:effectRef idx="0"/>
          <a:fontRef idx="minor"/>
        </xdr:style>
      </xdr:sp>
      <xdr:sp>
        <xdr:nvSpPr>
          <xdr:cNvPr id="511" name="Oval 41"/>
          <xdr:cNvSpPr/>
        </xdr:nvSpPr>
        <xdr:spPr>
          <a:xfrm rot="10800000">
            <a:off x="25735320" y="15477840"/>
            <a:ext cx="178200" cy="215640"/>
          </a:xfrm>
          <a:prstGeom prst="ellipse">
            <a:avLst/>
          </a:prstGeom>
          <a:noFill/>
          <a:ln w="12700">
            <a:solidFill>
              <a:srgbClr val="ffc000"/>
            </a:solidFill>
            <a:round/>
          </a:ln>
        </xdr:spPr>
        <xdr:style>
          <a:lnRef idx="0"/>
          <a:fillRef idx="0"/>
          <a:effectRef idx="0"/>
          <a:fontRef idx="minor"/>
        </xdr:style>
      </xdr:sp>
      <xdr:sp>
        <xdr:nvSpPr>
          <xdr:cNvPr id="512" name="Line 206"/>
          <xdr:cNvSpPr/>
        </xdr:nvSpPr>
        <xdr:spPr>
          <a:xfrm>
            <a:off x="25819560" y="15338520"/>
            <a:ext cx="360" cy="136080"/>
          </a:xfrm>
          <a:prstGeom prst="line">
            <a:avLst/>
          </a:prstGeom>
          <a:ln w="15875">
            <a:solidFill>
              <a:srgbClr val="ffc000"/>
            </a:solidFill>
            <a:round/>
          </a:ln>
        </xdr:spPr>
        <xdr:style>
          <a:lnRef idx="0"/>
          <a:fillRef idx="0"/>
          <a:effectRef idx="0"/>
          <a:fontRef idx="minor"/>
        </xdr:style>
      </xdr:sp>
      <xdr:sp>
        <xdr:nvSpPr>
          <xdr:cNvPr id="513" name="452 Rectángulo redondeado"/>
          <xdr:cNvSpPr/>
        </xdr:nvSpPr>
        <xdr:spPr>
          <a:xfrm>
            <a:off x="25799400" y="15375240"/>
            <a:ext cx="40680" cy="4104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514" name="Line 99"/>
          <xdr:cNvSpPr/>
        </xdr:nvSpPr>
        <xdr:spPr>
          <a:xfrm>
            <a:off x="25707240" y="15954120"/>
            <a:ext cx="251280" cy="360"/>
          </a:xfrm>
          <a:prstGeom prst="line">
            <a:avLst/>
          </a:prstGeom>
          <a:ln w="25400">
            <a:solidFill>
              <a:srgbClr val="000000"/>
            </a:solidFill>
            <a:round/>
          </a:ln>
        </xdr:spPr>
        <xdr:style>
          <a:lnRef idx="0"/>
          <a:fillRef idx="0"/>
          <a:effectRef idx="0"/>
          <a:fontRef idx="minor"/>
        </xdr:style>
      </xdr:sp>
      <xdr:sp>
        <xdr:nvSpPr>
          <xdr:cNvPr id="515" name="Line 280"/>
          <xdr:cNvSpPr/>
        </xdr:nvSpPr>
        <xdr:spPr>
          <a:xfrm>
            <a:off x="25826400" y="15810120"/>
            <a:ext cx="360" cy="414360"/>
          </a:xfrm>
          <a:prstGeom prst="line">
            <a:avLst/>
          </a:prstGeom>
          <a:ln w="15875">
            <a:solidFill>
              <a:srgbClr val="000000"/>
            </a:solidFill>
            <a:round/>
            <a:tailEnd len="med" type="triangle" w="med"/>
          </a:ln>
        </xdr:spPr>
        <xdr:style>
          <a:lnRef idx="0"/>
          <a:fillRef idx="0"/>
          <a:effectRef idx="0"/>
          <a:fontRef idx="minor"/>
        </xdr:style>
      </xdr:sp>
      <xdr:sp>
        <xdr:nvSpPr>
          <xdr:cNvPr id="516" name="455 Rectángulo redondeado"/>
          <xdr:cNvSpPr/>
        </xdr:nvSpPr>
        <xdr:spPr>
          <a:xfrm rot="5400000">
            <a:off x="25808040" y="16006680"/>
            <a:ext cx="4140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517" name="455 Rectángulo redondeado"/>
          <xdr:cNvSpPr/>
        </xdr:nvSpPr>
        <xdr:spPr>
          <a:xfrm rot="5400000">
            <a:off x="25808040" y="15860160"/>
            <a:ext cx="4140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28</xdr:col>
      <xdr:colOff>351360</xdr:colOff>
      <xdr:row>79</xdr:row>
      <xdr:rowOff>114840</xdr:rowOff>
    </xdr:from>
    <xdr:to>
      <xdr:col>29</xdr:col>
      <xdr:colOff>288720</xdr:colOff>
      <xdr:row>79</xdr:row>
      <xdr:rowOff>114840</xdr:rowOff>
    </xdr:to>
    <xdr:sp>
      <xdr:nvSpPr>
        <xdr:cNvPr id="518" name="Line 38"/>
        <xdr:cNvSpPr/>
      </xdr:nvSpPr>
      <xdr:spPr>
        <a:xfrm>
          <a:off x="25177320" y="15326280"/>
          <a:ext cx="775440" cy="0"/>
        </a:xfrm>
        <a:prstGeom prst="line">
          <a:avLst/>
        </a:prstGeom>
        <a:ln w="25400">
          <a:solidFill>
            <a:srgbClr val="ffc000"/>
          </a:solidFill>
          <a:round/>
        </a:ln>
      </xdr:spPr>
      <xdr:style>
        <a:lnRef idx="0"/>
        <a:fillRef idx="0"/>
        <a:effectRef idx="0"/>
        <a:fontRef idx="minor"/>
      </xdr:style>
    </xdr:sp>
    <xdr:clientData/>
  </xdr:twoCellAnchor>
  <xdr:twoCellAnchor editAs="twoCell">
    <xdr:from>
      <xdr:col>28</xdr:col>
      <xdr:colOff>468720</xdr:colOff>
      <xdr:row>79</xdr:row>
      <xdr:rowOff>123120</xdr:rowOff>
    </xdr:from>
    <xdr:to>
      <xdr:col>28</xdr:col>
      <xdr:colOff>468720</xdr:colOff>
      <xdr:row>80</xdr:row>
      <xdr:rowOff>71280</xdr:rowOff>
    </xdr:to>
    <xdr:sp>
      <xdr:nvSpPr>
        <xdr:cNvPr id="519" name="Line 244"/>
        <xdr:cNvSpPr/>
      </xdr:nvSpPr>
      <xdr:spPr>
        <a:xfrm>
          <a:off x="25294680" y="15334560"/>
          <a:ext cx="0" cy="138600"/>
        </a:xfrm>
        <a:prstGeom prst="line">
          <a:avLst/>
        </a:prstGeom>
        <a:ln w="15875">
          <a:solidFill>
            <a:srgbClr val="ffc000"/>
          </a:solidFill>
          <a:round/>
        </a:ln>
      </xdr:spPr>
      <xdr:style>
        <a:lnRef idx="0"/>
        <a:fillRef idx="0"/>
        <a:effectRef idx="0"/>
        <a:fontRef idx="minor"/>
      </xdr:style>
    </xdr:sp>
    <xdr:clientData/>
  </xdr:twoCellAnchor>
  <xdr:twoCellAnchor editAs="twoCell">
    <xdr:from>
      <xdr:col>28</xdr:col>
      <xdr:colOff>444600</xdr:colOff>
      <xdr:row>79</xdr:row>
      <xdr:rowOff>160920</xdr:rowOff>
    </xdr:from>
    <xdr:to>
      <xdr:col>28</xdr:col>
      <xdr:colOff>484920</xdr:colOff>
      <xdr:row>80</xdr:row>
      <xdr:rowOff>9720</xdr:rowOff>
    </xdr:to>
    <xdr:sp>
      <xdr:nvSpPr>
        <xdr:cNvPr id="520" name="455 Rectángulo redondeado"/>
        <xdr:cNvSpPr/>
      </xdr:nvSpPr>
      <xdr:spPr>
        <a:xfrm>
          <a:off x="25270560" y="15372360"/>
          <a:ext cx="40320" cy="3924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28</xdr:col>
      <xdr:colOff>528840</xdr:colOff>
      <xdr:row>78</xdr:row>
      <xdr:rowOff>59400</xdr:rowOff>
    </xdr:from>
    <xdr:to>
      <xdr:col>29</xdr:col>
      <xdr:colOff>267480</xdr:colOff>
      <xdr:row>79</xdr:row>
      <xdr:rowOff>77400</xdr:rowOff>
    </xdr:to>
    <xdr:sp>
      <xdr:nvSpPr>
        <xdr:cNvPr id="521" name="Text Box 188"/>
        <xdr:cNvSpPr/>
      </xdr:nvSpPr>
      <xdr:spPr>
        <a:xfrm>
          <a:off x="25354800" y="15080400"/>
          <a:ext cx="576720" cy="2084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Pivijay 34,5 kV</a:t>
          </a:r>
          <a:endParaRPr b="0" lang="en-GB" sz="600" spc="-1" strike="noStrike">
            <a:latin typeface="Times New Roman"/>
          </a:endParaRPr>
        </a:p>
      </xdr:txBody>
    </xdr:sp>
    <xdr:clientData/>
  </xdr:twoCellAnchor>
  <xdr:twoCellAnchor editAs="twoCell">
    <xdr:from>
      <xdr:col>28</xdr:col>
      <xdr:colOff>391320</xdr:colOff>
      <xdr:row>82</xdr:row>
      <xdr:rowOff>82080</xdr:rowOff>
    </xdr:from>
    <xdr:to>
      <xdr:col>29</xdr:col>
      <xdr:colOff>88920</xdr:colOff>
      <xdr:row>83</xdr:row>
      <xdr:rowOff>100800</xdr:rowOff>
    </xdr:to>
    <xdr:sp>
      <xdr:nvSpPr>
        <xdr:cNvPr id="522" name="Text Box 188"/>
        <xdr:cNvSpPr/>
      </xdr:nvSpPr>
      <xdr:spPr>
        <a:xfrm>
          <a:off x="25217280" y="15874560"/>
          <a:ext cx="535680" cy="20916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Pivijay 13,8 kV</a:t>
          </a:r>
          <a:endParaRPr b="0" lang="en-GB" sz="600" spc="-1" strike="noStrike">
            <a:latin typeface="Times New Roman"/>
          </a:endParaRPr>
        </a:p>
      </xdr:txBody>
    </xdr:sp>
    <xdr:clientData/>
  </xdr:twoCellAnchor>
  <xdr:twoCellAnchor editAs="twoCell">
    <xdr:from>
      <xdr:col>28</xdr:col>
      <xdr:colOff>235800</xdr:colOff>
      <xdr:row>80</xdr:row>
      <xdr:rowOff>126720</xdr:rowOff>
    </xdr:from>
    <xdr:to>
      <xdr:col>29</xdr:col>
      <xdr:colOff>121320</xdr:colOff>
      <xdr:row>81</xdr:row>
      <xdr:rowOff>188640</xdr:rowOff>
    </xdr:to>
    <xdr:sp>
      <xdr:nvSpPr>
        <xdr:cNvPr id="523" name="61 CuadroTexto"/>
        <xdr:cNvSpPr/>
      </xdr:nvSpPr>
      <xdr:spPr>
        <a:xfrm>
          <a:off x="25061760" y="15528600"/>
          <a:ext cx="723600" cy="25236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8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clientData/>
  </xdr:twoCellAnchor>
  <xdr:twoCellAnchor editAs="twoCell">
    <xdr:from>
      <xdr:col>31</xdr:col>
      <xdr:colOff>83160</xdr:colOff>
      <xdr:row>58</xdr:row>
      <xdr:rowOff>58320</xdr:rowOff>
    </xdr:from>
    <xdr:to>
      <xdr:col>31</xdr:col>
      <xdr:colOff>747360</xdr:colOff>
      <xdr:row>59</xdr:row>
      <xdr:rowOff>28080</xdr:rowOff>
    </xdr:to>
    <xdr:grpSp>
      <xdr:nvGrpSpPr>
        <xdr:cNvPr id="524" name="Grupo 525"/>
        <xdr:cNvGrpSpPr/>
      </xdr:nvGrpSpPr>
      <xdr:grpSpPr>
        <a:xfrm>
          <a:off x="27670680" y="10936440"/>
          <a:ext cx="169920" cy="664200"/>
          <a:chOff x="27670680" y="10936440"/>
          <a:chExt cx="169920" cy="664200"/>
        </a:xfrm>
      </xdr:grpSpPr>
      <xdr:sp>
        <xdr:nvSpPr>
          <xdr:cNvPr id="525" name="Line 16"/>
          <xdr:cNvSpPr/>
        </xdr:nvSpPr>
        <xdr:spPr>
          <a:xfrm>
            <a:off x="27749880" y="11433960"/>
            <a:ext cx="360" cy="166680"/>
          </a:xfrm>
          <a:prstGeom prst="line">
            <a:avLst/>
          </a:prstGeom>
          <a:ln w="25400">
            <a:solidFill>
              <a:srgbClr val="ff0000"/>
            </a:solidFill>
            <a:round/>
          </a:ln>
        </xdr:spPr>
        <xdr:style>
          <a:lnRef idx="0"/>
          <a:fillRef idx="0"/>
          <a:effectRef idx="0"/>
          <a:fontRef idx="minor"/>
        </xdr:style>
      </xdr:sp>
      <xdr:sp>
        <xdr:nvSpPr>
          <xdr:cNvPr id="526" name="Oval 145"/>
          <xdr:cNvSpPr/>
        </xdr:nvSpPr>
        <xdr:spPr>
          <a:xfrm>
            <a:off x="27672480" y="11101680"/>
            <a:ext cx="168120" cy="222120"/>
          </a:xfrm>
          <a:prstGeom prst="ellipse">
            <a:avLst/>
          </a:prstGeom>
          <a:noFill/>
          <a:ln w="12700">
            <a:solidFill>
              <a:srgbClr val="ffc000"/>
            </a:solidFill>
            <a:round/>
          </a:ln>
        </xdr:spPr>
        <xdr:style>
          <a:lnRef idx="0"/>
          <a:fillRef idx="0"/>
          <a:effectRef idx="0"/>
          <a:fontRef idx="minor"/>
        </xdr:style>
      </xdr:sp>
      <xdr:sp>
        <xdr:nvSpPr>
          <xdr:cNvPr id="527" name="Oval 146"/>
          <xdr:cNvSpPr/>
        </xdr:nvSpPr>
        <xdr:spPr>
          <a:xfrm>
            <a:off x="27670680" y="11211840"/>
            <a:ext cx="168120" cy="222120"/>
          </a:xfrm>
          <a:prstGeom prst="ellipse">
            <a:avLst/>
          </a:prstGeom>
          <a:noFill/>
          <a:ln w="12700">
            <a:solidFill>
              <a:srgbClr val="ff0000"/>
            </a:solidFill>
            <a:round/>
          </a:ln>
        </xdr:spPr>
        <xdr:style>
          <a:lnRef idx="0"/>
          <a:fillRef idx="0"/>
          <a:effectRef idx="0"/>
          <a:fontRef idx="minor"/>
        </xdr:style>
      </xdr:sp>
      <xdr:sp>
        <xdr:nvSpPr>
          <xdr:cNvPr id="528" name="Line 147"/>
          <xdr:cNvSpPr/>
        </xdr:nvSpPr>
        <xdr:spPr>
          <a:xfrm>
            <a:off x="27746640" y="10936440"/>
            <a:ext cx="360" cy="166320"/>
          </a:xfrm>
          <a:prstGeom prst="line">
            <a:avLst/>
          </a:prstGeom>
          <a:ln w="25400">
            <a:solidFill>
              <a:srgbClr val="ffc000"/>
            </a:solidFill>
            <a:round/>
          </a:ln>
        </xdr:spPr>
        <xdr:style>
          <a:lnRef idx="0"/>
          <a:fillRef idx="0"/>
          <a:effectRef idx="0"/>
          <a:fontRef idx="minor"/>
        </xdr:style>
      </xdr:sp>
      <xdr:sp>
        <xdr:nvSpPr>
          <xdr:cNvPr id="529" name="400 Rectángulo redondeado"/>
          <xdr:cNvSpPr/>
        </xdr:nvSpPr>
        <xdr:spPr>
          <a:xfrm>
            <a:off x="27727560" y="11494080"/>
            <a:ext cx="42840" cy="4932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530" name="422 Rectángulo redondeado"/>
          <xdr:cNvSpPr/>
        </xdr:nvSpPr>
        <xdr:spPr>
          <a:xfrm>
            <a:off x="27724680" y="10986120"/>
            <a:ext cx="42840" cy="4932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31</xdr:col>
      <xdr:colOff>139320</xdr:colOff>
      <xdr:row>60</xdr:row>
      <xdr:rowOff>74160</xdr:rowOff>
    </xdr:from>
    <xdr:to>
      <xdr:col>32</xdr:col>
      <xdr:colOff>357480</xdr:colOff>
      <xdr:row>60</xdr:row>
      <xdr:rowOff>74160</xdr:rowOff>
    </xdr:to>
    <xdr:sp>
      <xdr:nvSpPr>
        <xdr:cNvPr id="531" name="Line 139"/>
        <xdr:cNvSpPr/>
      </xdr:nvSpPr>
      <xdr:spPr>
        <a:xfrm>
          <a:off x="27479880" y="11599560"/>
          <a:ext cx="1056240" cy="0"/>
        </a:xfrm>
        <a:prstGeom prst="line">
          <a:avLst/>
        </a:prstGeom>
        <a:ln w="25400">
          <a:solidFill>
            <a:srgbClr val="ff0000"/>
          </a:solidFill>
          <a:round/>
        </a:ln>
      </xdr:spPr>
      <xdr:style>
        <a:lnRef idx="0"/>
        <a:fillRef idx="0"/>
        <a:effectRef idx="0"/>
        <a:fontRef idx="minor"/>
      </xdr:style>
    </xdr:sp>
    <xdr:clientData/>
  </xdr:twoCellAnchor>
  <xdr:twoCellAnchor editAs="twoCell">
    <xdr:from>
      <xdr:col>31</xdr:col>
      <xdr:colOff>487800</xdr:colOff>
      <xdr:row>58</xdr:row>
      <xdr:rowOff>9360</xdr:rowOff>
    </xdr:from>
    <xdr:to>
      <xdr:col>32</xdr:col>
      <xdr:colOff>313920</xdr:colOff>
      <xdr:row>59</xdr:row>
      <xdr:rowOff>55080</xdr:rowOff>
    </xdr:to>
    <xdr:grpSp>
      <xdr:nvGrpSpPr>
        <xdr:cNvPr id="532" name="Grupo 533"/>
        <xdr:cNvGrpSpPr/>
      </xdr:nvGrpSpPr>
      <xdr:grpSpPr>
        <a:xfrm>
          <a:off x="28037520" y="10925280"/>
          <a:ext cx="245880" cy="664200"/>
          <a:chOff x="28037520" y="10925280"/>
          <a:chExt cx="245880" cy="664200"/>
        </a:xfrm>
      </xdr:grpSpPr>
      <xdr:sp>
        <xdr:nvSpPr>
          <xdr:cNvPr id="533" name="Line 16"/>
          <xdr:cNvSpPr/>
        </xdr:nvSpPr>
        <xdr:spPr>
          <a:xfrm>
            <a:off x="28152360" y="11422800"/>
            <a:ext cx="360" cy="166680"/>
          </a:xfrm>
          <a:prstGeom prst="line">
            <a:avLst/>
          </a:prstGeom>
          <a:ln w="25400">
            <a:solidFill>
              <a:srgbClr val="ff0000"/>
            </a:solidFill>
            <a:round/>
          </a:ln>
        </xdr:spPr>
        <xdr:style>
          <a:lnRef idx="0"/>
          <a:fillRef idx="0"/>
          <a:effectRef idx="0"/>
          <a:fontRef idx="minor"/>
        </xdr:style>
      </xdr:sp>
      <xdr:sp>
        <xdr:nvSpPr>
          <xdr:cNvPr id="534" name="Oval 145"/>
          <xdr:cNvSpPr/>
        </xdr:nvSpPr>
        <xdr:spPr>
          <a:xfrm>
            <a:off x="28040040" y="11090520"/>
            <a:ext cx="243360" cy="222120"/>
          </a:xfrm>
          <a:prstGeom prst="ellipse">
            <a:avLst/>
          </a:prstGeom>
          <a:noFill/>
          <a:ln w="12700">
            <a:solidFill>
              <a:srgbClr val="ffc000"/>
            </a:solidFill>
            <a:round/>
          </a:ln>
        </xdr:spPr>
        <xdr:style>
          <a:lnRef idx="0"/>
          <a:fillRef idx="0"/>
          <a:effectRef idx="0"/>
          <a:fontRef idx="minor"/>
        </xdr:style>
      </xdr:sp>
      <xdr:sp>
        <xdr:nvSpPr>
          <xdr:cNvPr id="535" name="Oval 146"/>
          <xdr:cNvSpPr/>
        </xdr:nvSpPr>
        <xdr:spPr>
          <a:xfrm>
            <a:off x="28037520" y="11200320"/>
            <a:ext cx="243360" cy="222120"/>
          </a:xfrm>
          <a:prstGeom prst="ellipse">
            <a:avLst/>
          </a:prstGeom>
          <a:noFill/>
          <a:ln w="12700">
            <a:solidFill>
              <a:srgbClr val="ff0000"/>
            </a:solidFill>
            <a:round/>
          </a:ln>
        </xdr:spPr>
        <xdr:style>
          <a:lnRef idx="0"/>
          <a:fillRef idx="0"/>
          <a:effectRef idx="0"/>
          <a:fontRef idx="minor"/>
        </xdr:style>
      </xdr:sp>
      <xdr:sp>
        <xdr:nvSpPr>
          <xdr:cNvPr id="536" name="Line 147"/>
          <xdr:cNvSpPr/>
        </xdr:nvSpPr>
        <xdr:spPr>
          <a:xfrm>
            <a:off x="28147680" y="10925280"/>
            <a:ext cx="360" cy="166320"/>
          </a:xfrm>
          <a:prstGeom prst="line">
            <a:avLst/>
          </a:prstGeom>
          <a:ln w="25400">
            <a:solidFill>
              <a:srgbClr val="ffc000"/>
            </a:solidFill>
            <a:round/>
          </a:ln>
        </xdr:spPr>
        <xdr:style>
          <a:lnRef idx="0"/>
          <a:fillRef idx="0"/>
          <a:effectRef idx="0"/>
          <a:fontRef idx="minor"/>
        </xdr:style>
      </xdr:sp>
      <xdr:sp>
        <xdr:nvSpPr>
          <xdr:cNvPr id="537" name="400 Rectángulo redondeado"/>
          <xdr:cNvSpPr/>
        </xdr:nvSpPr>
        <xdr:spPr>
          <a:xfrm>
            <a:off x="28119960" y="11482920"/>
            <a:ext cx="62280" cy="4932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538" name="422 Rectángulo redondeado"/>
          <xdr:cNvSpPr/>
        </xdr:nvSpPr>
        <xdr:spPr>
          <a:xfrm>
            <a:off x="28116000" y="10974960"/>
            <a:ext cx="62280" cy="4932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32</xdr:col>
      <xdr:colOff>65160</xdr:colOff>
      <xdr:row>60</xdr:row>
      <xdr:rowOff>139320</xdr:rowOff>
    </xdr:from>
    <xdr:to>
      <xdr:col>33</xdr:col>
      <xdr:colOff>135720</xdr:colOff>
      <xdr:row>61</xdr:row>
      <xdr:rowOff>103320</xdr:rowOff>
    </xdr:to>
    <xdr:sp>
      <xdr:nvSpPr>
        <xdr:cNvPr id="539" name="Text Box 154"/>
        <xdr:cNvSpPr/>
      </xdr:nvSpPr>
      <xdr:spPr>
        <a:xfrm>
          <a:off x="28243800" y="11664720"/>
          <a:ext cx="909000" cy="1638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Las Flores 110 kV</a:t>
          </a:r>
          <a:endParaRPr b="0" lang="en-GB" sz="600" spc="-1" strike="noStrike">
            <a:latin typeface="Times New Roman"/>
          </a:endParaRPr>
        </a:p>
      </xdr:txBody>
    </xdr:sp>
    <xdr:clientData/>
  </xdr:twoCellAnchor>
  <xdr:twoCellAnchor editAs="twoCell">
    <xdr:from>
      <xdr:col>30</xdr:col>
      <xdr:colOff>538920</xdr:colOff>
      <xdr:row>58</xdr:row>
      <xdr:rowOff>46440</xdr:rowOff>
    </xdr:from>
    <xdr:to>
      <xdr:col>31</xdr:col>
      <xdr:colOff>303480</xdr:colOff>
      <xdr:row>59</xdr:row>
      <xdr:rowOff>91800</xdr:rowOff>
    </xdr:to>
    <xdr:sp>
      <xdr:nvSpPr>
        <xdr:cNvPr id="540" name="Text Box 154"/>
        <xdr:cNvSpPr/>
      </xdr:nvSpPr>
      <xdr:spPr>
        <a:xfrm>
          <a:off x="27041400" y="11171520"/>
          <a:ext cx="602640" cy="2455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T01-FLS</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50 MVA</a:t>
          </a:r>
          <a:endParaRPr b="0" lang="en-GB" sz="600" spc="-1" strike="noStrike">
            <a:latin typeface="Times New Roman"/>
          </a:endParaRPr>
        </a:p>
      </xdr:txBody>
    </xdr:sp>
    <xdr:clientData/>
  </xdr:twoCellAnchor>
  <xdr:twoCellAnchor editAs="twoCell">
    <xdr:from>
      <xdr:col>32</xdr:col>
      <xdr:colOff>158040</xdr:colOff>
      <xdr:row>58</xdr:row>
      <xdr:rowOff>23400</xdr:rowOff>
    </xdr:from>
    <xdr:to>
      <xdr:col>32</xdr:col>
      <xdr:colOff>684720</xdr:colOff>
      <xdr:row>59</xdr:row>
      <xdr:rowOff>68760</xdr:rowOff>
    </xdr:to>
    <xdr:sp>
      <xdr:nvSpPr>
        <xdr:cNvPr id="541" name="Text Box 154"/>
        <xdr:cNvSpPr/>
      </xdr:nvSpPr>
      <xdr:spPr>
        <a:xfrm>
          <a:off x="28336680" y="11148480"/>
          <a:ext cx="526680" cy="2455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T02-FLS</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50 MVA</a:t>
          </a:r>
          <a:endParaRPr b="0" lang="en-GB" sz="600" spc="-1" strike="noStrike">
            <a:latin typeface="Times New Roman"/>
          </a:endParaRPr>
        </a:p>
      </xdr:txBody>
    </xdr:sp>
    <xdr:clientData/>
  </xdr:twoCellAnchor>
  <xdr:twoCellAnchor editAs="twoCell">
    <xdr:from>
      <xdr:col>27</xdr:col>
      <xdr:colOff>606600</xdr:colOff>
      <xdr:row>68</xdr:row>
      <xdr:rowOff>50040</xdr:rowOff>
    </xdr:from>
    <xdr:to>
      <xdr:col>28</xdr:col>
      <xdr:colOff>149760</xdr:colOff>
      <xdr:row>68</xdr:row>
      <xdr:rowOff>143280</xdr:rowOff>
    </xdr:to>
    <xdr:sp>
      <xdr:nvSpPr>
        <xdr:cNvPr id="542" name="Text Box 188"/>
        <xdr:cNvSpPr/>
      </xdr:nvSpPr>
      <xdr:spPr>
        <a:xfrm>
          <a:off x="24594480" y="13127760"/>
          <a:ext cx="381240" cy="932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400" spc="-1" strike="noStrike">
              <a:solidFill>
                <a:srgbClr val="000000"/>
              </a:solidFill>
              <a:latin typeface="Arial"/>
              <a:ea typeface="MS PGothic"/>
            </a:rPr>
            <a:t>N.A.</a:t>
          </a:r>
          <a:endParaRPr b="0" lang="en-GB" sz="400" spc="-1" strike="noStrike">
            <a:latin typeface="Times New Roman"/>
          </a:endParaRPr>
        </a:p>
      </xdr:txBody>
    </xdr:sp>
    <xdr:clientData/>
  </xdr:twoCellAnchor>
  <xdr:twoCellAnchor editAs="twoCell">
    <xdr:from>
      <xdr:col>3</xdr:col>
      <xdr:colOff>265320</xdr:colOff>
      <xdr:row>88</xdr:row>
      <xdr:rowOff>55080</xdr:rowOff>
    </xdr:from>
    <xdr:to>
      <xdr:col>4</xdr:col>
      <xdr:colOff>196200</xdr:colOff>
      <xdr:row>88</xdr:row>
      <xdr:rowOff>55080</xdr:rowOff>
    </xdr:to>
    <xdr:sp>
      <xdr:nvSpPr>
        <xdr:cNvPr id="543" name="Line 49"/>
        <xdr:cNvSpPr/>
      </xdr:nvSpPr>
      <xdr:spPr>
        <a:xfrm>
          <a:off x="2779920" y="17009640"/>
          <a:ext cx="768960" cy="0"/>
        </a:xfrm>
        <a:prstGeom prst="line">
          <a:avLst/>
        </a:prstGeom>
        <a:ln w="25400">
          <a:solidFill>
            <a:srgbClr val="0000ff"/>
          </a:solidFill>
          <a:round/>
        </a:ln>
      </xdr:spPr>
      <xdr:style>
        <a:lnRef idx="0"/>
        <a:fillRef idx="0"/>
        <a:effectRef idx="0"/>
        <a:fontRef idx="minor"/>
      </xdr:style>
    </xdr:sp>
    <xdr:clientData/>
  </xdr:twoCellAnchor>
  <xdr:twoCellAnchor editAs="twoCell">
    <xdr:from>
      <xdr:col>36</xdr:col>
      <xdr:colOff>293760</xdr:colOff>
      <xdr:row>47</xdr:row>
      <xdr:rowOff>120240</xdr:rowOff>
    </xdr:from>
    <xdr:to>
      <xdr:col>38</xdr:col>
      <xdr:colOff>520920</xdr:colOff>
      <xdr:row>56</xdr:row>
      <xdr:rowOff>75600</xdr:rowOff>
    </xdr:to>
    <xdr:grpSp>
      <xdr:nvGrpSpPr>
        <xdr:cNvPr id="544" name="Grupo 545"/>
        <xdr:cNvGrpSpPr/>
      </xdr:nvGrpSpPr>
      <xdr:grpSpPr>
        <a:xfrm>
          <a:off x="31825440" y="9140400"/>
          <a:ext cx="1903320" cy="1670040"/>
          <a:chOff x="31825440" y="9140400"/>
          <a:chExt cx="1903320" cy="1670040"/>
        </a:xfrm>
      </xdr:grpSpPr>
      <xdr:grpSp>
        <xdr:nvGrpSpPr>
          <xdr:cNvPr id="545" name="Grupo 546"/>
          <xdr:cNvGrpSpPr/>
        </xdr:nvGrpSpPr>
        <xdr:grpSpPr>
          <a:xfrm>
            <a:off x="31825440" y="9145440"/>
            <a:ext cx="1800000" cy="1665000"/>
            <a:chOff x="31825440" y="9145440"/>
            <a:chExt cx="1800000" cy="1665000"/>
          </a:xfrm>
        </xdr:grpSpPr>
        <xdr:grpSp>
          <xdr:nvGrpSpPr>
            <xdr:cNvPr id="546" name="Grupo 550"/>
            <xdr:cNvGrpSpPr/>
          </xdr:nvGrpSpPr>
          <xdr:grpSpPr>
            <a:xfrm>
              <a:off x="31825440" y="9145440"/>
              <a:ext cx="1800000" cy="1665000"/>
              <a:chOff x="31825440" y="9145440"/>
              <a:chExt cx="1800000" cy="1665000"/>
            </a:xfrm>
          </xdr:grpSpPr>
          <xdr:sp>
            <xdr:nvSpPr>
              <xdr:cNvPr id="547" name="Line 205"/>
              <xdr:cNvSpPr/>
            </xdr:nvSpPr>
            <xdr:spPr>
              <a:xfrm>
                <a:off x="32565960" y="9751680"/>
                <a:ext cx="1059480" cy="360"/>
              </a:xfrm>
              <a:prstGeom prst="line">
                <a:avLst/>
              </a:prstGeom>
              <a:ln w="25400">
                <a:solidFill>
                  <a:srgbClr val="ff0000"/>
                </a:solidFill>
                <a:round/>
              </a:ln>
            </xdr:spPr>
            <xdr:style>
              <a:lnRef idx="0"/>
              <a:fillRef idx="0"/>
              <a:effectRef idx="0"/>
              <a:fontRef idx="minor"/>
            </xdr:style>
          </xdr:sp>
          <xdr:sp>
            <xdr:nvSpPr>
              <xdr:cNvPr id="548" name="Text Box 138"/>
              <xdr:cNvSpPr/>
            </xdr:nvSpPr>
            <xdr:spPr>
              <a:xfrm>
                <a:off x="31856400" y="10103400"/>
                <a:ext cx="821160" cy="2347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T01 - Galapa 30 MVA</a:t>
                </a:r>
                <a:endParaRPr b="0" lang="en-GB" sz="600" spc="-1" strike="noStrike">
                  <a:latin typeface="Times New Roman"/>
                </a:endParaRPr>
              </a:p>
              <a:p>
                <a:pPr algn="ctr">
                  <a:lnSpc>
                    <a:spcPct val="100000"/>
                  </a:lnSpc>
                  <a:tabLst>
                    <a:tab algn="l" pos="0"/>
                  </a:tabLst>
                </a:pPr>
                <a:endParaRPr b="0" lang="en-GB" sz="1800" spc="-1" strike="noStrike">
                  <a:latin typeface="Times New Roman"/>
                </a:endParaRPr>
              </a:p>
            </xdr:txBody>
          </xdr:sp>
          <xdr:sp>
            <xdr:nvSpPr>
              <xdr:cNvPr id="549" name="Line 99"/>
              <xdr:cNvSpPr/>
            </xdr:nvSpPr>
            <xdr:spPr>
              <a:xfrm flipH="1">
                <a:off x="32540400" y="10544400"/>
                <a:ext cx="451440" cy="360"/>
              </a:xfrm>
              <a:prstGeom prst="line">
                <a:avLst/>
              </a:prstGeom>
              <a:ln w="25400">
                <a:solidFill>
                  <a:srgbClr val="000000"/>
                </a:solidFill>
                <a:round/>
              </a:ln>
            </xdr:spPr>
            <xdr:style>
              <a:lnRef idx="0"/>
              <a:fillRef idx="0"/>
              <a:effectRef idx="0"/>
              <a:fontRef idx="minor"/>
            </xdr:style>
          </xdr:sp>
          <xdr:sp>
            <xdr:nvSpPr>
              <xdr:cNvPr id="550" name="Text Box 188"/>
              <xdr:cNvSpPr/>
            </xdr:nvSpPr>
            <xdr:spPr>
              <a:xfrm>
                <a:off x="31825440" y="9621360"/>
                <a:ext cx="831240" cy="23328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Nueva Galapa 110 kV</a:t>
                </a:r>
                <a:endParaRPr b="0" lang="en-GB" sz="600" spc="-1" strike="noStrike">
                  <a:latin typeface="Times New Roman"/>
                </a:endParaRPr>
              </a:p>
            </xdr:txBody>
          </xdr:sp>
          <xdr:grpSp>
            <xdr:nvGrpSpPr>
              <xdr:cNvPr id="551" name="Grupo 556"/>
              <xdr:cNvGrpSpPr/>
            </xdr:nvGrpSpPr>
            <xdr:grpSpPr>
              <a:xfrm>
                <a:off x="32749200" y="9421920"/>
                <a:ext cx="43560" cy="332640"/>
                <a:chOff x="32749200" y="9421920"/>
                <a:chExt cx="43560" cy="332640"/>
              </a:xfrm>
            </xdr:grpSpPr>
            <xdr:sp>
              <xdr:nvSpPr>
                <xdr:cNvPr id="552" name="Line 280"/>
                <xdr:cNvSpPr/>
              </xdr:nvSpPr>
              <xdr:spPr>
                <a:xfrm flipV="1">
                  <a:off x="32774040" y="9421920"/>
                  <a:ext cx="360" cy="332640"/>
                </a:xfrm>
                <a:prstGeom prst="line">
                  <a:avLst/>
                </a:prstGeom>
                <a:ln w="12700">
                  <a:solidFill>
                    <a:srgbClr val="ff0000"/>
                  </a:solidFill>
                  <a:round/>
                  <a:tailEnd len="med" type="triangle" w="med"/>
                </a:ln>
              </xdr:spPr>
              <xdr:style>
                <a:lnRef idx="0"/>
                <a:fillRef idx="0"/>
                <a:effectRef idx="0"/>
                <a:fontRef idx="minor"/>
              </xdr:style>
            </xdr:sp>
            <xdr:sp>
              <xdr:nvSpPr>
                <xdr:cNvPr id="553" name="455 Rectángulo redondeado"/>
                <xdr:cNvSpPr/>
              </xdr:nvSpPr>
              <xdr:spPr>
                <a:xfrm rot="10800000">
                  <a:off x="32749200" y="9657360"/>
                  <a:ext cx="43560" cy="392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sp>
            <xdr:nvSpPr>
              <xdr:cNvPr id="554" name="Text Box 188"/>
              <xdr:cNvSpPr/>
            </xdr:nvSpPr>
            <xdr:spPr>
              <a:xfrm>
                <a:off x="32398200" y="9145440"/>
                <a:ext cx="704160" cy="23508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Hacia Juan Mina 110 kV</a:t>
                </a:r>
                <a:endParaRPr b="0" lang="en-GB" sz="600" spc="-1" strike="noStrike">
                  <a:latin typeface="Times New Roman"/>
                </a:endParaRPr>
              </a:p>
            </xdr:txBody>
          </xdr:sp>
          <xdr:grpSp>
            <xdr:nvGrpSpPr>
              <xdr:cNvPr id="555" name="Grupo 558"/>
              <xdr:cNvGrpSpPr/>
            </xdr:nvGrpSpPr>
            <xdr:grpSpPr>
              <a:xfrm>
                <a:off x="32679000" y="10071000"/>
                <a:ext cx="190440" cy="310320"/>
                <a:chOff x="32679000" y="10071000"/>
                <a:chExt cx="190440" cy="310320"/>
              </a:xfrm>
            </xdr:grpSpPr>
            <xdr:sp>
              <xdr:nvSpPr>
                <xdr:cNvPr id="556" name="Oval 40"/>
                <xdr:cNvSpPr/>
              </xdr:nvSpPr>
              <xdr:spPr>
                <a:xfrm rot="10800000">
                  <a:off x="32679000" y="10173960"/>
                  <a:ext cx="190440" cy="207360"/>
                </a:xfrm>
                <a:prstGeom prst="ellipse">
                  <a:avLst/>
                </a:prstGeom>
                <a:noFill/>
                <a:ln w="12700">
                  <a:solidFill>
                    <a:srgbClr val="000000"/>
                  </a:solidFill>
                  <a:round/>
                </a:ln>
              </xdr:spPr>
              <xdr:style>
                <a:lnRef idx="0"/>
                <a:fillRef idx="0"/>
                <a:effectRef idx="0"/>
                <a:fontRef idx="minor"/>
              </xdr:style>
            </xdr:sp>
            <xdr:sp>
              <xdr:nvSpPr>
                <xdr:cNvPr id="557" name="Oval 41"/>
                <xdr:cNvSpPr/>
              </xdr:nvSpPr>
              <xdr:spPr>
                <a:xfrm rot="10800000">
                  <a:off x="32679000" y="10071000"/>
                  <a:ext cx="190440" cy="207360"/>
                </a:xfrm>
                <a:prstGeom prst="ellipse">
                  <a:avLst/>
                </a:prstGeom>
                <a:noFill/>
                <a:ln w="12700">
                  <a:solidFill>
                    <a:srgbClr val="ff0000"/>
                  </a:solidFill>
                  <a:round/>
                </a:ln>
              </xdr:spPr>
              <xdr:style>
                <a:lnRef idx="0"/>
                <a:fillRef idx="0"/>
                <a:effectRef idx="0"/>
                <a:fontRef idx="minor"/>
              </xdr:style>
            </xdr:sp>
          </xdr:grpSp>
          <xdr:sp>
            <xdr:nvSpPr>
              <xdr:cNvPr id="558" name="Line 100"/>
              <xdr:cNvSpPr/>
            </xdr:nvSpPr>
            <xdr:spPr>
              <a:xfrm>
                <a:off x="32769000" y="10382400"/>
                <a:ext cx="360" cy="154080"/>
              </a:xfrm>
              <a:prstGeom prst="line">
                <a:avLst/>
              </a:prstGeom>
              <a:ln w="25400">
                <a:solidFill>
                  <a:srgbClr val="000000"/>
                </a:solidFill>
                <a:round/>
              </a:ln>
            </xdr:spPr>
            <xdr:style>
              <a:lnRef idx="0"/>
              <a:fillRef idx="0"/>
              <a:effectRef idx="0"/>
              <a:fontRef idx="minor"/>
            </xdr:style>
          </xdr:sp>
          <xdr:sp>
            <xdr:nvSpPr>
              <xdr:cNvPr id="559" name="455 Rectángulo redondeado"/>
              <xdr:cNvSpPr/>
            </xdr:nvSpPr>
            <xdr:spPr>
              <a:xfrm>
                <a:off x="32749200" y="10452240"/>
                <a:ext cx="43560" cy="396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560" name="Line 206"/>
              <xdr:cNvSpPr/>
            </xdr:nvSpPr>
            <xdr:spPr>
              <a:xfrm>
                <a:off x="32776920" y="9740520"/>
                <a:ext cx="360" cy="334080"/>
              </a:xfrm>
              <a:prstGeom prst="line">
                <a:avLst/>
              </a:prstGeom>
              <a:ln w="25400">
                <a:solidFill>
                  <a:srgbClr val="ff0000"/>
                </a:solidFill>
                <a:round/>
              </a:ln>
            </xdr:spPr>
            <xdr:style>
              <a:lnRef idx="0"/>
              <a:fillRef idx="0"/>
              <a:effectRef idx="0"/>
              <a:fontRef idx="minor"/>
            </xdr:style>
          </xdr:sp>
          <xdr:sp>
            <xdr:nvSpPr>
              <xdr:cNvPr id="561" name="452 Rectángulo redondeado"/>
              <xdr:cNvSpPr/>
            </xdr:nvSpPr>
            <xdr:spPr>
              <a:xfrm>
                <a:off x="32755320" y="9990360"/>
                <a:ext cx="43560" cy="3960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562" name="Line 280"/>
              <xdr:cNvSpPr/>
            </xdr:nvSpPr>
            <xdr:spPr>
              <a:xfrm>
                <a:off x="32774400" y="10543320"/>
                <a:ext cx="360" cy="267120"/>
              </a:xfrm>
              <a:prstGeom prst="line">
                <a:avLst/>
              </a:prstGeom>
              <a:ln w="12700">
                <a:solidFill>
                  <a:srgbClr val="000000"/>
                </a:solidFill>
                <a:round/>
                <a:tailEnd len="med" type="triangle" w="med"/>
              </a:ln>
            </xdr:spPr>
            <xdr:style>
              <a:lnRef idx="0"/>
              <a:fillRef idx="0"/>
              <a:effectRef idx="0"/>
              <a:fontRef idx="minor"/>
            </xdr:style>
          </xdr:sp>
          <xdr:sp>
            <xdr:nvSpPr>
              <xdr:cNvPr id="563" name="455 Rectángulo redondeado"/>
              <xdr:cNvSpPr/>
            </xdr:nvSpPr>
            <xdr:spPr>
              <a:xfrm rot="5400000">
                <a:off x="32751360" y="10595520"/>
                <a:ext cx="39600" cy="439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564" name="Text Box 188"/>
            <xdr:cNvSpPr/>
          </xdr:nvSpPr>
          <xdr:spPr>
            <a:xfrm>
              <a:off x="31867200" y="10445040"/>
              <a:ext cx="751680" cy="223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Nueva Galapa 13,8 kV</a:t>
              </a:r>
              <a:endParaRPr b="0" lang="en-GB" sz="600" spc="-1" strike="noStrike">
                <a:latin typeface="Times New Roman"/>
              </a:endParaRPr>
            </a:p>
          </xdr:txBody>
        </xdr:sp>
      </xdr:grpSp>
      <xdr:sp>
        <xdr:nvSpPr>
          <xdr:cNvPr id="565" name="Line 280"/>
          <xdr:cNvSpPr/>
        </xdr:nvSpPr>
        <xdr:spPr>
          <a:xfrm flipV="1">
            <a:off x="33339960" y="9421200"/>
            <a:ext cx="360" cy="332640"/>
          </a:xfrm>
          <a:prstGeom prst="line">
            <a:avLst/>
          </a:prstGeom>
          <a:ln w="12700">
            <a:solidFill>
              <a:srgbClr val="ff0000"/>
            </a:solidFill>
            <a:round/>
            <a:tailEnd len="med" type="triangle" w="med"/>
          </a:ln>
        </xdr:spPr>
        <xdr:style>
          <a:lnRef idx="0"/>
          <a:fillRef idx="0"/>
          <a:effectRef idx="0"/>
          <a:fontRef idx="minor"/>
        </xdr:style>
      </xdr:sp>
      <xdr:sp>
        <xdr:nvSpPr>
          <xdr:cNvPr id="566" name="455 Rectángulo redondeado"/>
          <xdr:cNvSpPr/>
        </xdr:nvSpPr>
        <xdr:spPr>
          <a:xfrm rot="10800000">
            <a:off x="33315480" y="9656640"/>
            <a:ext cx="43560" cy="392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567" name="Text Box 188"/>
          <xdr:cNvSpPr/>
        </xdr:nvSpPr>
        <xdr:spPr>
          <a:xfrm>
            <a:off x="32960880" y="9140400"/>
            <a:ext cx="767880" cy="23508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Hacia Caracolí 110 kV</a:t>
            </a:r>
            <a:endParaRPr b="0" lang="en-GB" sz="600" spc="-1" strike="noStrike">
              <a:latin typeface="Times New Roman"/>
            </a:endParaRPr>
          </a:p>
        </xdr:txBody>
      </xdr:sp>
    </xdr:grpSp>
    <xdr:clientData/>
  </xdr:twoCellAnchor>
  <xdr:twoCellAnchor editAs="twoCell">
    <xdr:from>
      <xdr:col>36</xdr:col>
      <xdr:colOff>207000</xdr:colOff>
      <xdr:row>61</xdr:row>
      <xdr:rowOff>120240</xdr:rowOff>
    </xdr:from>
    <xdr:to>
      <xdr:col>38</xdr:col>
      <xdr:colOff>520920</xdr:colOff>
      <xdr:row>70</xdr:row>
      <xdr:rowOff>75600</xdr:rowOff>
    </xdr:to>
    <xdr:grpSp>
      <xdr:nvGrpSpPr>
        <xdr:cNvPr id="568" name="Grupo 569"/>
        <xdr:cNvGrpSpPr/>
      </xdr:nvGrpSpPr>
      <xdr:grpSpPr>
        <a:xfrm>
          <a:off x="31738680" y="11845440"/>
          <a:ext cx="1990080" cy="1698480"/>
          <a:chOff x="31738680" y="11845440"/>
          <a:chExt cx="1990080" cy="1698480"/>
        </a:xfrm>
      </xdr:grpSpPr>
      <xdr:grpSp>
        <xdr:nvGrpSpPr>
          <xdr:cNvPr id="569" name="Grupo 570"/>
          <xdr:cNvGrpSpPr/>
        </xdr:nvGrpSpPr>
        <xdr:grpSpPr>
          <a:xfrm>
            <a:off x="31738680" y="11850480"/>
            <a:ext cx="1887120" cy="1693440"/>
            <a:chOff x="31738680" y="11850480"/>
            <a:chExt cx="1887120" cy="1693440"/>
          </a:xfrm>
        </xdr:grpSpPr>
        <xdr:grpSp>
          <xdr:nvGrpSpPr>
            <xdr:cNvPr id="570" name="Grupo 574"/>
            <xdr:cNvGrpSpPr/>
          </xdr:nvGrpSpPr>
          <xdr:grpSpPr>
            <a:xfrm>
              <a:off x="31818960" y="11850480"/>
              <a:ext cx="1806840" cy="1693440"/>
              <a:chOff x="31818960" y="11850480"/>
              <a:chExt cx="1806840" cy="1693440"/>
            </a:xfrm>
          </xdr:grpSpPr>
          <xdr:sp>
            <xdr:nvSpPr>
              <xdr:cNvPr id="571" name="Line 205"/>
              <xdr:cNvSpPr/>
            </xdr:nvSpPr>
            <xdr:spPr>
              <a:xfrm>
                <a:off x="32570280" y="12467160"/>
                <a:ext cx="1055520" cy="360"/>
              </a:xfrm>
              <a:prstGeom prst="line">
                <a:avLst/>
              </a:prstGeom>
              <a:ln w="25400">
                <a:solidFill>
                  <a:srgbClr val="ff0000"/>
                </a:solidFill>
                <a:round/>
              </a:ln>
            </xdr:spPr>
            <xdr:style>
              <a:lnRef idx="0"/>
              <a:fillRef idx="0"/>
              <a:effectRef idx="0"/>
              <a:fontRef idx="minor"/>
            </xdr:style>
          </xdr:sp>
          <xdr:sp>
            <xdr:nvSpPr>
              <xdr:cNvPr id="572" name="Text Box 138"/>
              <xdr:cNvSpPr/>
            </xdr:nvSpPr>
            <xdr:spPr>
              <a:xfrm>
                <a:off x="31875480" y="12774600"/>
                <a:ext cx="818280" cy="23904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T01 - Palermo 30 MVA</a:t>
                </a:r>
                <a:endParaRPr b="0" lang="en-GB" sz="600" spc="-1" strike="noStrike">
                  <a:latin typeface="Times New Roman"/>
                </a:endParaRPr>
              </a:p>
              <a:p>
                <a:pPr algn="ctr">
                  <a:lnSpc>
                    <a:spcPct val="100000"/>
                  </a:lnSpc>
                  <a:tabLst>
                    <a:tab algn="l" pos="0"/>
                  </a:tabLst>
                </a:pPr>
                <a:endParaRPr b="0" lang="en-GB" sz="1800" spc="-1" strike="noStrike">
                  <a:latin typeface="Times New Roman"/>
                </a:endParaRPr>
              </a:p>
            </xdr:txBody>
          </xdr:sp>
          <xdr:sp>
            <xdr:nvSpPr>
              <xdr:cNvPr id="573" name="Line 99"/>
              <xdr:cNvSpPr/>
            </xdr:nvSpPr>
            <xdr:spPr>
              <a:xfrm flipH="1">
                <a:off x="32544720" y="13273200"/>
                <a:ext cx="449640" cy="360"/>
              </a:xfrm>
              <a:prstGeom prst="line">
                <a:avLst/>
              </a:prstGeom>
              <a:ln w="25400">
                <a:solidFill>
                  <a:srgbClr val="000000"/>
                </a:solidFill>
                <a:round/>
              </a:ln>
            </xdr:spPr>
            <xdr:style>
              <a:lnRef idx="0"/>
              <a:fillRef idx="0"/>
              <a:effectRef idx="0"/>
              <a:fontRef idx="minor"/>
            </xdr:style>
          </xdr:sp>
          <xdr:sp>
            <xdr:nvSpPr>
              <xdr:cNvPr id="574" name="Text Box 188"/>
              <xdr:cNvSpPr/>
            </xdr:nvSpPr>
            <xdr:spPr>
              <a:xfrm>
                <a:off x="31818960" y="12373200"/>
                <a:ext cx="828000" cy="1501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Palermo 110 kV</a:t>
                </a:r>
                <a:endParaRPr b="0" lang="en-GB" sz="600" spc="-1" strike="noStrike">
                  <a:latin typeface="Times New Roman"/>
                </a:endParaRPr>
              </a:p>
            </xdr:txBody>
          </xdr:sp>
          <xdr:grpSp>
            <xdr:nvGrpSpPr>
              <xdr:cNvPr id="575" name="Grupo 580"/>
              <xdr:cNvGrpSpPr/>
            </xdr:nvGrpSpPr>
            <xdr:grpSpPr>
              <a:xfrm>
                <a:off x="32752800" y="12131640"/>
                <a:ext cx="43560" cy="338400"/>
                <a:chOff x="32752800" y="12131640"/>
                <a:chExt cx="43560" cy="338400"/>
              </a:xfrm>
            </xdr:grpSpPr>
            <xdr:sp>
              <xdr:nvSpPr>
                <xdr:cNvPr id="576" name="Line 280"/>
                <xdr:cNvSpPr/>
              </xdr:nvSpPr>
              <xdr:spPr>
                <a:xfrm flipV="1">
                  <a:off x="32777640" y="12131640"/>
                  <a:ext cx="360" cy="338400"/>
                </a:xfrm>
                <a:prstGeom prst="line">
                  <a:avLst/>
                </a:prstGeom>
                <a:ln w="12700">
                  <a:solidFill>
                    <a:srgbClr val="ff0000"/>
                  </a:solidFill>
                  <a:round/>
                  <a:tailEnd len="med" type="triangle" w="med"/>
                </a:ln>
              </xdr:spPr>
              <xdr:style>
                <a:lnRef idx="0"/>
                <a:fillRef idx="0"/>
                <a:effectRef idx="0"/>
                <a:fontRef idx="minor"/>
              </xdr:style>
            </xdr:sp>
            <xdr:sp>
              <xdr:nvSpPr>
                <xdr:cNvPr id="577" name="455 Rectángulo redondeado"/>
                <xdr:cNvSpPr/>
              </xdr:nvSpPr>
              <xdr:spPr>
                <a:xfrm rot="10800000">
                  <a:off x="32752800" y="12371040"/>
                  <a:ext cx="43560" cy="3996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sp>
            <xdr:nvSpPr>
              <xdr:cNvPr id="578" name="Text Box 188"/>
              <xdr:cNvSpPr/>
            </xdr:nvSpPr>
            <xdr:spPr>
              <a:xfrm>
                <a:off x="32403240" y="11850480"/>
                <a:ext cx="701280" cy="23940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Hacia El Río 110 kV</a:t>
                </a:r>
                <a:endParaRPr b="0" lang="en-GB" sz="600" spc="-1" strike="noStrike">
                  <a:latin typeface="Times New Roman"/>
                </a:endParaRPr>
              </a:p>
            </xdr:txBody>
          </xdr:sp>
          <xdr:grpSp>
            <xdr:nvGrpSpPr>
              <xdr:cNvPr id="579" name="Grupo 582"/>
              <xdr:cNvGrpSpPr/>
            </xdr:nvGrpSpPr>
            <xdr:grpSpPr>
              <a:xfrm>
                <a:off x="32682960" y="12791880"/>
                <a:ext cx="189720" cy="315720"/>
                <a:chOff x="32682960" y="12791880"/>
                <a:chExt cx="189720" cy="315720"/>
              </a:xfrm>
            </xdr:grpSpPr>
            <xdr:sp>
              <xdr:nvSpPr>
                <xdr:cNvPr id="580" name="Oval 40"/>
                <xdr:cNvSpPr/>
              </xdr:nvSpPr>
              <xdr:spPr>
                <a:xfrm rot="10800000">
                  <a:off x="32682960" y="12896640"/>
                  <a:ext cx="189720" cy="210960"/>
                </a:xfrm>
                <a:prstGeom prst="ellipse">
                  <a:avLst/>
                </a:prstGeom>
                <a:noFill/>
                <a:ln w="12700">
                  <a:solidFill>
                    <a:srgbClr val="000000"/>
                  </a:solidFill>
                  <a:round/>
                </a:ln>
              </xdr:spPr>
              <xdr:style>
                <a:lnRef idx="0"/>
                <a:fillRef idx="0"/>
                <a:effectRef idx="0"/>
                <a:fontRef idx="minor"/>
              </xdr:style>
            </xdr:sp>
            <xdr:sp>
              <xdr:nvSpPr>
                <xdr:cNvPr id="581" name="Oval 41"/>
                <xdr:cNvSpPr/>
              </xdr:nvSpPr>
              <xdr:spPr>
                <a:xfrm rot="10800000">
                  <a:off x="32682960" y="12791880"/>
                  <a:ext cx="189720" cy="210960"/>
                </a:xfrm>
                <a:prstGeom prst="ellipse">
                  <a:avLst/>
                </a:prstGeom>
                <a:noFill/>
                <a:ln w="12700">
                  <a:solidFill>
                    <a:srgbClr val="ff0000"/>
                  </a:solidFill>
                  <a:round/>
                </a:ln>
              </xdr:spPr>
              <xdr:style>
                <a:lnRef idx="0"/>
                <a:fillRef idx="0"/>
                <a:effectRef idx="0"/>
                <a:fontRef idx="minor"/>
              </xdr:style>
            </xdr:sp>
          </xdr:grpSp>
          <xdr:sp>
            <xdr:nvSpPr>
              <xdr:cNvPr id="582" name="Line 100"/>
              <xdr:cNvSpPr/>
            </xdr:nvSpPr>
            <xdr:spPr>
              <a:xfrm>
                <a:off x="32772600" y="13108680"/>
                <a:ext cx="360" cy="156600"/>
              </a:xfrm>
              <a:prstGeom prst="line">
                <a:avLst/>
              </a:prstGeom>
              <a:ln w="25400">
                <a:solidFill>
                  <a:srgbClr val="000000"/>
                </a:solidFill>
                <a:round/>
              </a:ln>
            </xdr:spPr>
            <xdr:style>
              <a:lnRef idx="0"/>
              <a:fillRef idx="0"/>
              <a:effectRef idx="0"/>
              <a:fontRef idx="minor"/>
            </xdr:style>
          </xdr:sp>
          <xdr:sp>
            <xdr:nvSpPr>
              <xdr:cNvPr id="583" name="455 Rectángulo redondeado"/>
              <xdr:cNvSpPr/>
            </xdr:nvSpPr>
            <xdr:spPr>
              <a:xfrm>
                <a:off x="32752800" y="13179600"/>
                <a:ext cx="43560" cy="39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584" name="Line 206"/>
              <xdr:cNvSpPr/>
            </xdr:nvSpPr>
            <xdr:spPr>
              <a:xfrm>
                <a:off x="32780520" y="12456000"/>
                <a:ext cx="360" cy="339840"/>
              </a:xfrm>
              <a:prstGeom prst="line">
                <a:avLst/>
              </a:prstGeom>
              <a:ln w="25400">
                <a:solidFill>
                  <a:srgbClr val="ff0000"/>
                </a:solidFill>
                <a:round/>
              </a:ln>
            </xdr:spPr>
            <xdr:style>
              <a:lnRef idx="0"/>
              <a:fillRef idx="0"/>
              <a:effectRef idx="0"/>
              <a:fontRef idx="minor"/>
            </xdr:style>
          </xdr:sp>
          <xdr:sp>
            <xdr:nvSpPr>
              <xdr:cNvPr id="585" name="452 Rectángulo redondeado"/>
              <xdr:cNvSpPr/>
            </xdr:nvSpPr>
            <xdr:spPr>
              <a:xfrm>
                <a:off x="32758920" y="12709800"/>
                <a:ext cx="43560" cy="3996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586" name="Line 280"/>
              <xdr:cNvSpPr/>
            </xdr:nvSpPr>
            <xdr:spPr>
              <a:xfrm>
                <a:off x="32778000" y="13272120"/>
                <a:ext cx="360" cy="271800"/>
              </a:xfrm>
              <a:prstGeom prst="line">
                <a:avLst/>
              </a:prstGeom>
              <a:ln w="12700">
                <a:solidFill>
                  <a:srgbClr val="000000"/>
                </a:solidFill>
                <a:round/>
                <a:tailEnd len="med" type="triangle" w="med"/>
              </a:ln>
            </xdr:spPr>
            <xdr:style>
              <a:lnRef idx="0"/>
              <a:fillRef idx="0"/>
              <a:effectRef idx="0"/>
              <a:fontRef idx="minor"/>
            </xdr:style>
          </xdr:sp>
          <xdr:sp>
            <xdr:nvSpPr>
              <xdr:cNvPr id="587" name="455 Rectángulo redondeado"/>
              <xdr:cNvSpPr/>
            </xdr:nvSpPr>
            <xdr:spPr>
              <a:xfrm rot="5400000">
                <a:off x="32754600" y="13325760"/>
                <a:ext cx="40320" cy="435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588" name="Text Box 188"/>
            <xdr:cNvSpPr/>
          </xdr:nvSpPr>
          <xdr:spPr>
            <a:xfrm>
              <a:off x="31738680" y="13172040"/>
              <a:ext cx="884160" cy="2278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Palermo 13,8 kV</a:t>
              </a:r>
              <a:endParaRPr b="0" lang="en-GB" sz="600" spc="-1" strike="noStrike">
                <a:latin typeface="Times New Roman"/>
              </a:endParaRPr>
            </a:p>
          </xdr:txBody>
        </xdr:sp>
      </xdr:grpSp>
      <xdr:sp>
        <xdr:nvSpPr>
          <xdr:cNvPr id="589" name="Line 280"/>
          <xdr:cNvSpPr/>
        </xdr:nvSpPr>
        <xdr:spPr>
          <a:xfrm flipV="1">
            <a:off x="33341400" y="12130920"/>
            <a:ext cx="360" cy="338400"/>
          </a:xfrm>
          <a:prstGeom prst="line">
            <a:avLst/>
          </a:prstGeom>
          <a:ln w="12700">
            <a:solidFill>
              <a:srgbClr val="ff0000"/>
            </a:solidFill>
            <a:round/>
            <a:tailEnd len="med" type="triangle" w="med"/>
          </a:ln>
        </xdr:spPr>
        <xdr:style>
          <a:lnRef idx="0"/>
          <a:fillRef idx="0"/>
          <a:effectRef idx="0"/>
          <a:fontRef idx="minor"/>
        </xdr:style>
      </xdr:sp>
      <xdr:sp>
        <xdr:nvSpPr>
          <xdr:cNvPr id="590" name="455 Rectángulo redondeado"/>
          <xdr:cNvSpPr/>
        </xdr:nvSpPr>
        <xdr:spPr>
          <a:xfrm rot="10800000">
            <a:off x="33316920" y="12370320"/>
            <a:ext cx="43560" cy="3996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591" name="Text Box 188"/>
          <xdr:cNvSpPr/>
        </xdr:nvSpPr>
        <xdr:spPr>
          <a:xfrm>
            <a:off x="32963760" y="11845440"/>
            <a:ext cx="765000" cy="23940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Hacia Tebsa 110 kV</a:t>
            </a:r>
            <a:endParaRPr b="0" lang="en-GB" sz="600" spc="-1" strike="noStrike">
              <a:latin typeface="Times New Roman"/>
            </a:endParaRPr>
          </a:p>
        </xdr:txBody>
      </xdr:sp>
    </xdr:grpSp>
    <xdr:clientData/>
  </xdr:twoCellAnchor>
  <xdr:twoCellAnchor editAs="twoCell">
    <xdr:from>
      <xdr:col>2</xdr:col>
      <xdr:colOff>64080</xdr:colOff>
      <xdr:row>65</xdr:row>
      <xdr:rowOff>176040</xdr:rowOff>
    </xdr:from>
    <xdr:to>
      <xdr:col>12</xdr:col>
      <xdr:colOff>629280</xdr:colOff>
      <xdr:row>80</xdr:row>
      <xdr:rowOff>166680</xdr:rowOff>
    </xdr:to>
    <xdr:grpSp>
      <xdr:nvGrpSpPr>
        <xdr:cNvPr id="592" name="Grupo 593"/>
        <xdr:cNvGrpSpPr/>
      </xdr:nvGrpSpPr>
      <xdr:grpSpPr>
        <a:xfrm>
          <a:off x="1740600" y="12682440"/>
          <a:ext cx="10303560" cy="2886120"/>
          <a:chOff x="1740600" y="12682440"/>
          <a:chExt cx="10303560" cy="2886120"/>
        </a:xfrm>
      </xdr:grpSpPr>
      <xdr:sp>
        <xdr:nvSpPr>
          <xdr:cNvPr id="593" name="Line 139"/>
          <xdr:cNvSpPr/>
        </xdr:nvSpPr>
        <xdr:spPr>
          <a:xfrm>
            <a:off x="9339480" y="13665240"/>
            <a:ext cx="2009880" cy="360"/>
          </a:xfrm>
          <a:prstGeom prst="line">
            <a:avLst/>
          </a:prstGeom>
          <a:ln w="25400">
            <a:solidFill>
              <a:srgbClr val="e7e6e6">
                <a:lumMod val="10000"/>
              </a:srgbClr>
            </a:solidFill>
            <a:round/>
          </a:ln>
        </xdr:spPr>
        <xdr:style>
          <a:lnRef idx="0"/>
          <a:fillRef idx="0"/>
          <a:effectRef idx="0"/>
          <a:fontRef idx="minor"/>
        </xdr:style>
      </xdr:sp>
      <xdr:grpSp>
        <xdr:nvGrpSpPr>
          <xdr:cNvPr id="594" name="Grupo 595"/>
          <xdr:cNvGrpSpPr/>
        </xdr:nvGrpSpPr>
        <xdr:grpSpPr>
          <a:xfrm>
            <a:off x="2401920" y="13674600"/>
            <a:ext cx="192600" cy="701640"/>
            <a:chOff x="2401920" y="13674600"/>
            <a:chExt cx="192600" cy="701640"/>
          </a:xfrm>
        </xdr:grpSpPr>
        <xdr:sp>
          <xdr:nvSpPr>
            <xdr:cNvPr id="595" name="Line 16"/>
            <xdr:cNvSpPr/>
          </xdr:nvSpPr>
          <xdr:spPr>
            <a:xfrm>
              <a:off x="2491920" y="14200200"/>
              <a:ext cx="360" cy="176040"/>
            </a:xfrm>
            <a:prstGeom prst="line">
              <a:avLst/>
            </a:prstGeom>
            <a:ln w="25400">
              <a:solidFill>
                <a:srgbClr val="ff0000"/>
              </a:solidFill>
              <a:round/>
            </a:ln>
          </xdr:spPr>
          <xdr:style>
            <a:lnRef idx="0"/>
            <a:fillRef idx="0"/>
            <a:effectRef idx="0"/>
            <a:fontRef idx="minor"/>
          </xdr:style>
        </xdr:sp>
        <xdr:sp>
          <xdr:nvSpPr>
            <xdr:cNvPr id="596" name="Oval 145"/>
            <xdr:cNvSpPr/>
          </xdr:nvSpPr>
          <xdr:spPr>
            <a:xfrm>
              <a:off x="2403720" y="13849200"/>
              <a:ext cx="190800" cy="234720"/>
            </a:xfrm>
            <a:prstGeom prst="ellipse">
              <a:avLst/>
            </a:prstGeom>
            <a:noFill/>
            <a:ln w="12700">
              <a:solidFill>
                <a:srgbClr val="ffc000"/>
              </a:solidFill>
              <a:round/>
            </a:ln>
          </xdr:spPr>
          <xdr:style>
            <a:lnRef idx="0"/>
            <a:fillRef idx="0"/>
            <a:effectRef idx="0"/>
            <a:fontRef idx="minor"/>
          </xdr:style>
        </xdr:sp>
        <xdr:sp>
          <xdr:nvSpPr>
            <xdr:cNvPr id="597" name="Oval 146"/>
            <xdr:cNvSpPr/>
          </xdr:nvSpPr>
          <xdr:spPr>
            <a:xfrm>
              <a:off x="2401920" y="13965480"/>
              <a:ext cx="190800" cy="234720"/>
            </a:xfrm>
            <a:prstGeom prst="ellipse">
              <a:avLst/>
            </a:prstGeom>
            <a:noFill/>
            <a:ln w="12700">
              <a:solidFill>
                <a:srgbClr val="ff0000"/>
              </a:solidFill>
              <a:round/>
            </a:ln>
          </xdr:spPr>
          <xdr:style>
            <a:lnRef idx="0"/>
            <a:fillRef idx="0"/>
            <a:effectRef idx="0"/>
            <a:fontRef idx="minor"/>
          </xdr:style>
        </xdr:sp>
        <xdr:sp>
          <xdr:nvSpPr>
            <xdr:cNvPr id="598" name="Line 147"/>
            <xdr:cNvSpPr/>
          </xdr:nvSpPr>
          <xdr:spPr>
            <a:xfrm>
              <a:off x="2488320" y="13674600"/>
              <a:ext cx="360" cy="176040"/>
            </a:xfrm>
            <a:prstGeom prst="line">
              <a:avLst/>
            </a:prstGeom>
            <a:ln w="25400">
              <a:solidFill>
                <a:srgbClr val="ffc000"/>
              </a:solidFill>
              <a:round/>
            </a:ln>
          </xdr:spPr>
          <xdr:style>
            <a:lnRef idx="0"/>
            <a:fillRef idx="0"/>
            <a:effectRef idx="0"/>
            <a:fontRef idx="minor"/>
          </xdr:style>
        </xdr:sp>
        <xdr:sp>
          <xdr:nvSpPr>
            <xdr:cNvPr id="599" name="400 Rectángulo redondeado"/>
            <xdr:cNvSpPr/>
          </xdr:nvSpPr>
          <xdr:spPr>
            <a:xfrm>
              <a:off x="2466720" y="14263920"/>
              <a:ext cx="48600" cy="5220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600" name="422 Rectángulo redondeado"/>
            <xdr:cNvSpPr/>
          </xdr:nvSpPr>
          <xdr:spPr>
            <a:xfrm>
              <a:off x="2463480" y="13727160"/>
              <a:ext cx="48600" cy="522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sp>
        <xdr:nvSpPr>
          <xdr:cNvPr id="601" name="Line 139"/>
          <xdr:cNvSpPr/>
        </xdr:nvSpPr>
        <xdr:spPr>
          <a:xfrm>
            <a:off x="1968480" y="14384520"/>
            <a:ext cx="1089000" cy="360"/>
          </a:xfrm>
          <a:prstGeom prst="line">
            <a:avLst/>
          </a:prstGeom>
          <a:ln w="25400">
            <a:solidFill>
              <a:srgbClr val="ff0000"/>
            </a:solidFill>
            <a:round/>
          </a:ln>
        </xdr:spPr>
        <xdr:style>
          <a:lnRef idx="0"/>
          <a:fillRef idx="0"/>
          <a:effectRef idx="0"/>
          <a:fontRef idx="minor"/>
        </xdr:style>
      </xdr:sp>
      <xdr:sp>
        <xdr:nvSpPr>
          <xdr:cNvPr id="602" name="Text Box 154"/>
          <xdr:cNvSpPr/>
        </xdr:nvSpPr>
        <xdr:spPr>
          <a:xfrm>
            <a:off x="1773000" y="14196600"/>
            <a:ext cx="552600" cy="1774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El Río 110 kV</a:t>
            </a:r>
            <a:endParaRPr b="0" lang="en-GB" sz="600" spc="-1" strike="noStrike">
              <a:latin typeface="Times New Roman"/>
            </a:endParaRPr>
          </a:p>
        </xdr:txBody>
      </xdr:sp>
      <xdr:sp>
        <xdr:nvSpPr>
          <xdr:cNvPr id="603" name="Line 139"/>
          <xdr:cNvSpPr/>
        </xdr:nvSpPr>
        <xdr:spPr>
          <a:xfrm>
            <a:off x="1932120" y="13665600"/>
            <a:ext cx="3166200" cy="360"/>
          </a:xfrm>
          <a:prstGeom prst="line">
            <a:avLst/>
          </a:prstGeom>
          <a:ln w="25400">
            <a:solidFill>
              <a:srgbClr val="ffc000"/>
            </a:solidFill>
            <a:round/>
          </a:ln>
        </xdr:spPr>
        <xdr:style>
          <a:lnRef idx="0"/>
          <a:fillRef idx="0"/>
          <a:effectRef idx="0"/>
          <a:fontRef idx="minor"/>
        </xdr:style>
      </xdr:sp>
      <xdr:sp>
        <xdr:nvSpPr>
          <xdr:cNvPr id="604" name="Line 139"/>
          <xdr:cNvSpPr/>
        </xdr:nvSpPr>
        <xdr:spPr>
          <a:xfrm>
            <a:off x="2556720" y="12955680"/>
            <a:ext cx="1887840" cy="360"/>
          </a:xfrm>
          <a:prstGeom prst="line">
            <a:avLst/>
          </a:prstGeom>
          <a:ln w="25400">
            <a:solidFill>
              <a:srgbClr val="e7e6e6">
                <a:lumMod val="10000"/>
              </a:srgbClr>
            </a:solidFill>
            <a:round/>
          </a:ln>
        </xdr:spPr>
        <xdr:style>
          <a:lnRef idx="0"/>
          <a:fillRef idx="0"/>
          <a:effectRef idx="0"/>
          <a:fontRef idx="minor"/>
        </xdr:style>
      </xdr:sp>
      <xdr:sp>
        <xdr:nvSpPr>
          <xdr:cNvPr id="605" name="Text Box 154"/>
          <xdr:cNvSpPr/>
        </xdr:nvSpPr>
        <xdr:spPr>
          <a:xfrm>
            <a:off x="2147400" y="13016520"/>
            <a:ext cx="532440" cy="2455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TR 02 33 MVA</a:t>
            </a:r>
            <a:endParaRPr b="0" lang="en-GB" sz="600" spc="-1" strike="noStrike">
              <a:latin typeface="Times New Roman"/>
            </a:endParaRPr>
          </a:p>
        </xdr:txBody>
      </xdr:sp>
      <xdr:sp>
        <xdr:nvSpPr>
          <xdr:cNvPr id="606" name="Text Box 154"/>
          <xdr:cNvSpPr/>
        </xdr:nvSpPr>
        <xdr:spPr>
          <a:xfrm>
            <a:off x="1985400" y="12765960"/>
            <a:ext cx="792720" cy="1818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El Río 13,8 kV</a:t>
            </a:r>
            <a:endParaRPr b="0" lang="en-GB" sz="600" spc="-1" strike="noStrike">
              <a:latin typeface="Times New Roman"/>
            </a:endParaRPr>
          </a:p>
        </xdr:txBody>
      </xdr:sp>
      <xdr:sp>
        <xdr:nvSpPr>
          <xdr:cNvPr id="607" name="Line 16"/>
          <xdr:cNvSpPr/>
        </xdr:nvSpPr>
        <xdr:spPr>
          <a:xfrm>
            <a:off x="3952080" y="12685320"/>
            <a:ext cx="360" cy="270000"/>
          </a:xfrm>
          <a:prstGeom prst="line">
            <a:avLst/>
          </a:prstGeom>
          <a:ln w="25400">
            <a:solidFill>
              <a:srgbClr val="000000"/>
            </a:solidFill>
            <a:round/>
            <a:headEnd len="med" type="triangle" w="med"/>
          </a:ln>
        </xdr:spPr>
        <xdr:style>
          <a:lnRef idx="0"/>
          <a:fillRef idx="0"/>
          <a:effectRef idx="0"/>
          <a:fontRef idx="minor"/>
        </xdr:style>
      </xdr:sp>
      <xdr:sp>
        <xdr:nvSpPr>
          <xdr:cNvPr id="608" name="400 Rectángulo redondeado"/>
          <xdr:cNvSpPr/>
        </xdr:nvSpPr>
        <xdr:spPr>
          <a:xfrm>
            <a:off x="3927960" y="12847680"/>
            <a:ext cx="48600" cy="507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nvGrpSpPr>
          <xdr:cNvPr id="609" name="Grupo 604"/>
          <xdr:cNvGrpSpPr/>
        </xdr:nvGrpSpPr>
        <xdr:grpSpPr>
          <a:xfrm>
            <a:off x="2446920" y="12951000"/>
            <a:ext cx="444960" cy="700200"/>
            <a:chOff x="2446920" y="12951000"/>
            <a:chExt cx="444960" cy="700200"/>
          </a:xfrm>
        </xdr:grpSpPr>
        <xdr:sp>
          <xdr:nvSpPr>
            <xdr:cNvPr id="610" name="Line 16"/>
            <xdr:cNvSpPr/>
          </xdr:nvSpPr>
          <xdr:spPr>
            <a:xfrm>
              <a:off x="2788920" y="13475520"/>
              <a:ext cx="360" cy="175680"/>
            </a:xfrm>
            <a:prstGeom prst="line">
              <a:avLst/>
            </a:prstGeom>
            <a:ln w="25400">
              <a:solidFill>
                <a:srgbClr val="ffc000"/>
              </a:solidFill>
              <a:round/>
            </a:ln>
          </xdr:spPr>
          <xdr:style>
            <a:lnRef idx="0"/>
            <a:fillRef idx="0"/>
            <a:effectRef idx="0"/>
            <a:fontRef idx="minor"/>
          </xdr:style>
        </xdr:sp>
        <xdr:sp>
          <xdr:nvSpPr>
            <xdr:cNvPr id="611" name="Oval 145"/>
            <xdr:cNvSpPr/>
          </xdr:nvSpPr>
          <xdr:spPr>
            <a:xfrm>
              <a:off x="2701080" y="13125240"/>
              <a:ext cx="190800" cy="234000"/>
            </a:xfrm>
            <a:prstGeom prst="ellipse">
              <a:avLst/>
            </a:prstGeom>
            <a:noFill/>
            <a:ln w="12700">
              <a:solidFill>
                <a:srgbClr val="e7e6e6">
                  <a:lumMod val="10000"/>
                </a:srgbClr>
              </a:solidFill>
              <a:round/>
            </a:ln>
          </xdr:spPr>
          <xdr:style>
            <a:lnRef idx="0"/>
            <a:fillRef idx="0"/>
            <a:effectRef idx="0"/>
            <a:fontRef idx="minor"/>
          </xdr:style>
        </xdr:sp>
        <xdr:sp>
          <xdr:nvSpPr>
            <xdr:cNvPr id="612" name="Oval 146"/>
            <xdr:cNvSpPr/>
          </xdr:nvSpPr>
          <xdr:spPr>
            <a:xfrm>
              <a:off x="2698920" y="13241160"/>
              <a:ext cx="190800" cy="234000"/>
            </a:xfrm>
            <a:prstGeom prst="ellipse">
              <a:avLst/>
            </a:prstGeom>
            <a:noFill/>
            <a:ln w="12700">
              <a:solidFill>
                <a:srgbClr val="ffc000"/>
              </a:solidFill>
              <a:round/>
            </a:ln>
          </xdr:spPr>
          <xdr:style>
            <a:lnRef idx="0"/>
            <a:fillRef idx="0"/>
            <a:effectRef idx="0"/>
            <a:fontRef idx="minor"/>
          </xdr:style>
        </xdr:sp>
        <xdr:sp>
          <xdr:nvSpPr>
            <xdr:cNvPr id="613" name="Line 147"/>
            <xdr:cNvSpPr/>
          </xdr:nvSpPr>
          <xdr:spPr>
            <a:xfrm>
              <a:off x="2785320" y="12951000"/>
              <a:ext cx="360" cy="175680"/>
            </a:xfrm>
            <a:prstGeom prst="line">
              <a:avLst/>
            </a:prstGeom>
            <a:ln w="25400">
              <a:solidFill>
                <a:srgbClr val="e7e6e6">
                  <a:lumMod val="10000"/>
                </a:srgbClr>
              </a:solidFill>
              <a:round/>
            </a:ln>
          </xdr:spPr>
          <xdr:style>
            <a:lnRef idx="0"/>
            <a:fillRef idx="0"/>
            <a:effectRef idx="0"/>
            <a:fontRef idx="minor"/>
          </xdr:style>
        </xdr:sp>
        <xdr:sp>
          <xdr:nvSpPr>
            <xdr:cNvPr id="614" name="400 Rectángulo redondeado"/>
            <xdr:cNvSpPr/>
          </xdr:nvSpPr>
          <xdr:spPr>
            <a:xfrm>
              <a:off x="2769840" y="13522320"/>
              <a:ext cx="48600" cy="522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615" name="422 Rectángulo redondeado"/>
            <xdr:cNvSpPr/>
          </xdr:nvSpPr>
          <xdr:spPr>
            <a:xfrm>
              <a:off x="2763000" y="13003200"/>
              <a:ext cx="48600" cy="522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616" name="Oval 145"/>
            <xdr:cNvSpPr/>
          </xdr:nvSpPr>
          <xdr:spPr>
            <a:xfrm>
              <a:off x="2610000" y="13189320"/>
              <a:ext cx="190800" cy="234000"/>
            </a:xfrm>
            <a:prstGeom prst="ellipse">
              <a:avLst/>
            </a:prstGeom>
            <a:noFill/>
            <a:ln w="12700">
              <a:solidFill>
                <a:srgbClr val="e7e6e6">
                  <a:lumMod val="10000"/>
                </a:srgbClr>
              </a:solidFill>
              <a:round/>
            </a:ln>
          </xdr:spPr>
          <xdr:style>
            <a:lnRef idx="0"/>
            <a:fillRef idx="0"/>
            <a:effectRef idx="0"/>
            <a:fontRef idx="minor"/>
          </xdr:style>
        </xdr:sp>
        <xdr:sp>
          <xdr:nvSpPr>
            <xdr:cNvPr id="617" name="Line 147"/>
            <xdr:cNvSpPr/>
          </xdr:nvSpPr>
          <xdr:spPr>
            <a:xfrm flipH="1">
              <a:off x="2478960" y="13306680"/>
              <a:ext cx="130320" cy="360"/>
            </a:xfrm>
            <a:prstGeom prst="line">
              <a:avLst/>
            </a:prstGeom>
            <a:ln w="25400">
              <a:solidFill>
                <a:srgbClr val="e7e6e6">
                  <a:lumMod val="10000"/>
                </a:srgbClr>
              </a:solidFill>
              <a:round/>
            </a:ln>
          </xdr:spPr>
          <xdr:style>
            <a:lnRef idx="0"/>
            <a:fillRef idx="0"/>
            <a:effectRef idx="0"/>
            <a:fontRef idx="minor"/>
          </xdr:style>
        </xdr:sp>
        <xdr:sp>
          <xdr:nvSpPr>
            <xdr:cNvPr id="618" name="Elipse 742"/>
            <xdr:cNvSpPr/>
          </xdr:nvSpPr>
          <xdr:spPr>
            <a:xfrm>
              <a:off x="2446920" y="13284720"/>
              <a:ext cx="51480" cy="46440"/>
            </a:xfrm>
            <a:prstGeom prst="ellipse">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grpSp>
        <xdr:nvGrpSpPr>
          <xdr:cNvPr id="619" name="Grupo 605"/>
          <xdr:cNvGrpSpPr/>
        </xdr:nvGrpSpPr>
        <xdr:grpSpPr>
          <a:xfrm>
            <a:off x="3273120" y="12963960"/>
            <a:ext cx="444960" cy="700200"/>
            <a:chOff x="3273120" y="12963960"/>
            <a:chExt cx="444960" cy="700200"/>
          </a:xfrm>
        </xdr:grpSpPr>
        <xdr:sp>
          <xdr:nvSpPr>
            <xdr:cNvPr id="620" name="Line 16"/>
            <xdr:cNvSpPr/>
          </xdr:nvSpPr>
          <xdr:spPr>
            <a:xfrm>
              <a:off x="3615120" y="13488480"/>
              <a:ext cx="360" cy="175680"/>
            </a:xfrm>
            <a:prstGeom prst="line">
              <a:avLst/>
            </a:prstGeom>
            <a:ln w="25400">
              <a:solidFill>
                <a:srgbClr val="ffc000"/>
              </a:solidFill>
              <a:round/>
            </a:ln>
          </xdr:spPr>
          <xdr:style>
            <a:lnRef idx="0"/>
            <a:fillRef idx="0"/>
            <a:effectRef idx="0"/>
            <a:fontRef idx="minor"/>
          </xdr:style>
        </xdr:sp>
        <xdr:sp>
          <xdr:nvSpPr>
            <xdr:cNvPr id="621" name="Oval 145"/>
            <xdr:cNvSpPr/>
          </xdr:nvSpPr>
          <xdr:spPr>
            <a:xfrm>
              <a:off x="3527280" y="13138200"/>
              <a:ext cx="190800" cy="234000"/>
            </a:xfrm>
            <a:prstGeom prst="ellipse">
              <a:avLst/>
            </a:prstGeom>
            <a:noFill/>
            <a:ln w="12700">
              <a:solidFill>
                <a:srgbClr val="e7e6e6">
                  <a:lumMod val="10000"/>
                </a:srgbClr>
              </a:solidFill>
              <a:round/>
            </a:ln>
          </xdr:spPr>
          <xdr:style>
            <a:lnRef idx="0"/>
            <a:fillRef idx="0"/>
            <a:effectRef idx="0"/>
            <a:fontRef idx="minor"/>
          </xdr:style>
        </xdr:sp>
        <xdr:sp>
          <xdr:nvSpPr>
            <xdr:cNvPr id="622" name="Oval 146"/>
            <xdr:cNvSpPr/>
          </xdr:nvSpPr>
          <xdr:spPr>
            <a:xfrm>
              <a:off x="3525120" y="13254120"/>
              <a:ext cx="190800" cy="234000"/>
            </a:xfrm>
            <a:prstGeom prst="ellipse">
              <a:avLst/>
            </a:prstGeom>
            <a:noFill/>
            <a:ln w="12700">
              <a:solidFill>
                <a:srgbClr val="ffc000"/>
              </a:solidFill>
              <a:round/>
            </a:ln>
          </xdr:spPr>
          <xdr:style>
            <a:lnRef idx="0"/>
            <a:fillRef idx="0"/>
            <a:effectRef idx="0"/>
            <a:fontRef idx="minor"/>
          </xdr:style>
        </xdr:sp>
        <xdr:sp>
          <xdr:nvSpPr>
            <xdr:cNvPr id="623" name="Line 147"/>
            <xdr:cNvSpPr/>
          </xdr:nvSpPr>
          <xdr:spPr>
            <a:xfrm>
              <a:off x="3611520" y="12963960"/>
              <a:ext cx="360" cy="175680"/>
            </a:xfrm>
            <a:prstGeom prst="line">
              <a:avLst/>
            </a:prstGeom>
            <a:ln w="25400">
              <a:solidFill>
                <a:srgbClr val="e7e6e6">
                  <a:lumMod val="10000"/>
                </a:srgbClr>
              </a:solidFill>
              <a:round/>
            </a:ln>
          </xdr:spPr>
          <xdr:style>
            <a:lnRef idx="0"/>
            <a:fillRef idx="0"/>
            <a:effectRef idx="0"/>
            <a:fontRef idx="minor"/>
          </xdr:style>
        </xdr:sp>
        <xdr:sp>
          <xdr:nvSpPr>
            <xdr:cNvPr id="624" name="400 Rectángulo redondeado"/>
            <xdr:cNvSpPr/>
          </xdr:nvSpPr>
          <xdr:spPr>
            <a:xfrm>
              <a:off x="3596040" y="13535640"/>
              <a:ext cx="48600" cy="522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625" name="422 Rectángulo redondeado"/>
            <xdr:cNvSpPr/>
          </xdr:nvSpPr>
          <xdr:spPr>
            <a:xfrm>
              <a:off x="3589200" y="13016520"/>
              <a:ext cx="48600" cy="522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626" name="Oval 145"/>
            <xdr:cNvSpPr/>
          </xdr:nvSpPr>
          <xdr:spPr>
            <a:xfrm>
              <a:off x="3436200" y="13202280"/>
              <a:ext cx="190800" cy="234000"/>
            </a:xfrm>
            <a:prstGeom prst="ellipse">
              <a:avLst/>
            </a:prstGeom>
            <a:noFill/>
            <a:ln w="12700">
              <a:solidFill>
                <a:srgbClr val="e7e6e6">
                  <a:lumMod val="10000"/>
                </a:srgbClr>
              </a:solidFill>
              <a:round/>
            </a:ln>
          </xdr:spPr>
          <xdr:style>
            <a:lnRef idx="0"/>
            <a:fillRef idx="0"/>
            <a:effectRef idx="0"/>
            <a:fontRef idx="minor"/>
          </xdr:style>
        </xdr:sp>
        <xdr:sp>
          <xdr:nvSpPr>
            <xdr:cNvPr id="627" name="Line 147"/>
            <xdr:cNvSpPr/>
          </xdr:nvSpPr>
          <xdr:spPr>
            <a:xfrm flipH="1">
              <a:off x="3305160" y="13320000"/>
              <a:ext cx="130320" cy="360"/>
            </a:xfrm>
            <a:prstGeom prst="line">
              <a:avLst/>
            </a:prstGeom>
            <a:ln w="25400">
              <a:solidFill>
                <a:srgbClr val="e7e6e6">
                  <a:lumMod val="10000"/>
                </a:srgbClr>
              </a:solidFill>
              <a:round/>
            </a:ln>
          </xdr:spPr>
          <xdr:style>
            <a:lnRef idx="0"/>
            <a:fillRef idx="0"/>
            <a:effectRef idx="0"/>
            <a:fontRef idx="minor"/>
          </xdr:style>
        </xdr:sp>
        <xdr:sp>
          <xdr:nvSpPr>
            <xdr:cNvPr id="628" name="Elipse 733"/>
            <xdr:cNvSpPr/>
          </xdr:nvSpPr>
          <xdr:spPr>
            <a:xfrm>
              <a:off x="3273120" y="13298040"/>
              <a:ext cx="51480" cy="46440"/>
            </a:xfrm>
            <a:prstGeom prst="ellipse">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629" name="Text Box 154"/>
          <xdr:cNvSpPr/>
        </xdr:nvSpPr>
        <xdr:spPr>
          <a:xfrm>
            <a:off x="3003120" y="13016880"/>
            <a:ext cx="532440" cy="2455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TR 01 33 MVA</a:t>
            </a:r>
            <a:endParaRPr b="0" lang="en-GB" sz="600" spc="-1" strike="noStrike">
              <a:latin typeface="Times New Roman"/>
            </a:endParaRPr>
          </a:p>
        </xdr:txBody>
      </xdr:sp>
      <xdr:grpSp>
        <xdr:nvGrpSpPr>
          <xdr:cNvPr id="630" name="Grupo 607"/>
          <xdr:cNvGrpSpPr/>
        </xdr:nvGrpSpPr>
        <xdr:grpSpPr>
          <a:xfrm>
            <a:off x="3948840" y="12955320"/>
            <a:ext cx="444960" cy="700200"/>
            <a:chOff x="3948840" y="12955320"/>
            <a:chExt cx="444960" cy="700200"/>
          </a:xfrm>
        </xdr:grpSpPr>
        <xdr:sp>
          <xdr:nvSpPr>
            <xdr:cNvPr id="631" name="Line 16"/>
            <xdr:cNvSpPr/>
          </xdr:nvSpPr>
          <xdr:spPr>
            <a:xfrm>
              <a:off x="4290840" y="13479840"/>
              <a:ext cx="360" cy="175680"/>
            </a:xfrm>
            <a:prstGeom prst="line">
              <a:avLst/>
            </a:prstGeom>
            <a:ln w="25400">
              <a:solidFill>
                <a:srgbClr val="ffc000"/>
              </a:solidFill>
              <a:round/>
            </a:ln>
          </xdr:spPr>
          <xdr:style>
            <a:lnRef idx="0"/>
            <a:fillRef idx="0"/>
            <a:effectRef idx="0"/>
            <a:fontRef idx="minor"/>
          </xdr:style>
        </xdr:sp>
        <xdr:sp>
          <xdr:nvSpPr>
            <xdr:cNvPr id="632" name="Oval 145"/>
            <xdr:cNvSpPr/>
          </xdr:nvSpPr>
          <xdr:spPr>
            <a:xfrm>
              <a:off x="4203000" y="13129560"/>
              <a:ext cx="190800" cy="234000"/>
            </a:xfrm>
            <a:prstGeom prst="ellipse">
              <a:avLst/>
            </a:prstGeom>
            <a:noFill/>
            <a:ln w="12700">
              <a:solidFill>
                <a:srgbClr val="e7e6e6">
                  <a:lumMod val="10000"/>
                </a:srgbClr>
              </a:solidFill>
              <a:round/>
            </a:ln>
          </xdr:spPr>
          <xdr:style>
            <a:lnRef idx="0"/>
            <a:fillRef idx="0"/>
            <a:effectRef idx="0"/>
            <a:fontRef idx="minor"/>
          </xdr:style>
        </xdr:sp>
        <xdr:sp>
          <xdr:nvSpPr>
            <xdr:cNvPr id="633" name="Oval 146"/>
            <xdr:cNvSpPr/>
          </xdr:nvSpPr>
          <xdr:spPr>
            <a:xfrm>
              <a:off x="4200840" y="13245480"/>
              <a:ext cx="190800" cy="234000"/>
            </a:xfrm>
            <a:prstGeom prst="ellipse">
              <a:avLst/>
            </a:prstGeom>
            <a:noFill/>
            <a:ln w="12700">
              <a:solidFill>
                <a:srgbClr val="ffc000"/>
              </a:solidFill>
              <a:round/>
            </a:ln>
          </xdr:spPr>
          <xdr:style>
            <a:lnRef idx="0"/>
            <a:fillRef idx="0"/>
            <a:effectRef idx="0"/>
            <a:fontRef idx="minor"/>
          </xdr:style>
        </xdr:sp>
        <xdr:sp>
          <xdr:nvSpPr>
            <xdr:cNvPr id="634" name="Line 147"/>
            <xdr:cNvSpPr/>
          </xdr:nvSpPr>
          <xdr:spPr>
            <a:xfrm>
              <a:off x="4287240" y="12955320"/>
              <a:ext cx="360" cy="175680"/>
            </a:xfrm>
            <a:prstGeom prst="line">
              <a:avLst/>
            </a:prstGeom>
            <a:ln w="25400">
              <a:solidFill>
                <a:srgbClr val="e7e6e6">
                  <a:lumMod val="10000"/>
                </a:srgbClr>
              </a:solidFill>
              <a:round/>
            </a:ln>
          </xdr:spPr>
          <xdr:style>
            <a:lnRef idx="0"/>
            <a:fillRef idx="0"/>
            <a:effectRef idx="0"/>
            <a:fontRef idx="minor"/>
          </xdr:style>
        </xdr:sp>
        <xdr:sp>
          <xdr:nvSpPr>
            <xdr:cNvPr id="635" name="400 Rectángulo redondeado"/>
            <xdr:cNvSpPr/>
          </xdr:nvSpPr>
          <xdr:spPr>
            <a:xfrm>
              <a:off x="4271760" y="13526640"/>
              <a:ext cx="48600" cy="522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636" name="422 Rectángulo redondeado"/>
            <xdr:cNvSpPr/>
          </xdr:nvSpPr>
          <xdr:spPr>
            <a:xfrm>
              <a:off x="4264920" y="13007880"/>
              <a:ext cx="48600" cy="522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637" name="Oval 145"/>
            <xdr:cNvSpPr/>
          </xdr:nvSpPr>
          <xdr:spPr>
            <a:xfrm>
              <a:off x="4111920" y="13193640"/>
              <a:ext cx="190800" cy="234000"/>
            </a:xfrm>
            <a:prstGeom prst="ellipse">
              <a:avLst/>
            </a:prstGeom>
            <a:noFill/>
            <a:ln w="12700">
              <a:solidFill>
                <a:srgbClr val="e7e6e6">
                  <a:lumMod val="10000"/>
                </a:srgbClr>
              </a:solidFill>
              <a:round/>
            </a:ln>
          </xdr:spPr>
          <xdr:style>
            <a:lnRef idx="0"/>
            <a:fillRef idx="0"/>
            <a:effectRef idx="0"/>
            <a:fontRef idx="minor"/>
          </xdr:style>
        </xdr:sp>
        <xdr:sp>
          <xdr:nvSpPr>
            <xdr:cNvPr id="638" name="Line 147"/>
            <xdr:cNvSpPr/>
          </xdr:nvSpPr>
          <xdr:spPr>
            <a:xfrm flipH="1">
              <a:off x="3981240" y="13311360"/>
              <a:ext cx="129960" cy="360"/>
            </a:xfrm>
            <a:prstGeom prst="line">
              <a:avLst/>
            </a:prstGeom>
            <a:ln w="25400">
              <a:solidFill>
                <a:srgbClr val="e7e6e6">
                  <a:lumMod val="10000"/>
                </a:srgbClr>
              </a:solidFill>
              <a:round/>
            </a:ln>
          </xdr:spPr>
          <xdr:style>
            <a:lnRef idx="0"/>
            <a:fillRef idx="0"/>
            <a:effectRef idx="0"/>
            <a:fontRef idx="minor"/>
          </xdr:style>
        </xdr:sp>
        <xdr:sp>
          <xdr:nvSpPr>
            <xdr:cNvPr id="639" name="Elipse 724"/>
            <xdr:cNvSpPr/>
          </xdr:nvSpPr>
          <xdr:spPr>
            <a:xfrm>
              <a:off x="3948840" y="13289400"/>
              <a:ext cx="51480" cy="46440"/>
            </a:xfrm>
            <a:prstGeom prst="ellipse">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640" name="Text Box 154"/>
          <xdr:cNvSpPr/>
        </xdr:nvSpPr>
        <xdr:spPr>
          <a:xfrm>
            <a:off x="4401720" y="13007880"/>
            <a:ext cx="532440" cy="2455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TR 03 28 MVA</a:t>
            </a:r>
            <a:endParaRPr b="0" lang="en-GB" sz="600" spc="-1" strike="noStrike">
              <a:latin typeface="Times New Roman"/>
            </a:endParaRPr>
          </a:p>
        </xdr:txBody>
      </xdr:sp>
      <xdr:sp>
        <xdr:nvSpPr>
          <xdr:cNvPr id="641" name="Text Box 154"/>
          <xdr:cNvSpPr/>
        </xdr:nvSpPr>
        <xdr:spPr>
          <a:xfrm>
            <a:off x="1740600" y="13452840"/>
            <a:ext cx="576360" cy="19116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El Río 34,5 kV</a:t>
            </a:r>
            <a:endParaRPr b="0" lang="en-GB" sz="600" spc="-1" strike="noStrike">
              <a:latin typeface="Times New Roman"/>
            </a:endParaRPr>
          </a:p>
        </xdr:txBody>
      </xdr:sp>
      <xdr:grpSp>
        <xdr:nvGrpSpPr>
          <xdr:cNvPr id="642" name="Grupo 610"/>
          <xdr:cNvGrpSpPr/>
        </xdr:nvGrpSpPr>
        <xdr:grpSpPr>
          <a:xfrm>
            <a:off x="4474080" y="13674960"/>
            <a:ext cx="796680" cy="958320"/>
            <a:chOff x="4474080" y="13674960"/>
            <a:chExt cx="796680" cy="958320"/>
          </a:xfrm>
        </xdr:grpSpPr>
        <xdr:grpSp>
          <xdr:nvGrpSpPr>
            <xdr:cNvPr id="643" name="Grupo 712"/>
            <xdr:cNvGrpSpPr/>
          </xdr:nvGrpSpPr>
          <xdr:grpSpPr>
            <a:xfrm>
              <a:off x="4495320" y="13674960"/>
              <a:ext cx="775440" cy="958320"/>
              <a:chOff x="4495320" y="13674960"/>
              <a:chExt cx="775440" cy="958320"/>
            </a:xfrm>
          </xdr:grpSpPr>
          <xdr:sp>
            <xdr:nvSpPr>
              <xdr:cNvPr id="644" name="Line 16"/>
              <xdr:cNvSpPr/>
            </xdr:nvSpPr>
            <xdr:spPr>
              <a:xfrm>
                <a:off x="4495320" y="13674960"/>
                <a:ext cx="360" cy="678600"/>
              </a:xfrm>
              <a:prstGeom prst="line">
                <a:avLst/>
              </a:prstGeom>
              <a:ln w="25400">
                <a:solidFill>
                  <a:srgbClr val="ffc000"/>
                </a:solidFill>
                <a:round/>
              </a:ln>
            </xdr:spPr>
            <xdr:style>
              <a:lnRef idx="0"/>
              <a:fillRef idx="0"/>
              <a:effectRef idx="0"/>
              <a:fontRef idx="minor"/>
            </xdr:style>
          </xdr:sp>
          <xdr:sp>
            <xdr:nvSpPr>
              <xdr:cNvPr id="645" name="400 Rectángulo redondeado"/>
              <xdr:cNvSpPr/>
            </xdr:nvSpPr>
            <xdr:spPr>
              <a:xfrm>
                <a:off x="5222160" y="14587920"/>
                <a:ext cx="48600" cy="453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sp>
          <xdr:nvSpPr>
            <xdr:cNvPr id="646" name="400 Rectángulo redondeado"/>
            <xdr:cNvSpPr/>
          </xdr:nvSpPr>
          <xdr:spPr>
            <a:xfrm>
              <a:off x="4474080" y="13712760"/>
              <a:ext cx="48600" cy="453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sp>
        <xdr:nvSpPr>
          <xdr:cNvPr id="647" name="Line 16"/>
          <xdr:cNvSpPr/>
        </xdr:nvSpPr>
        <xdr:spPr>
          <a:xfrm flipH="1">
            <a:off x="4483080" y="14366520"/>
            <a:ext cx="772920" cy="360"/>
          </a:xfrm>
          <a:prstGeom prst="line">
            <a:avLst/>
          </a:prstGeom>
          <a:ln w="25400">
            <a:solidFill>
              <a:srgbClr val="ffc000"/>
            </a:solidFill>
            <a:round/>
          </a:ln>
        </xdr:spPr>
        <xdr:style>
          <a:lnRef idx="0"/>
          <a:fillRef idx="0"/>
          <a:effectRef idx="0"/>
          <a:fontRef idx="minor"/>
        </xdr:style>
      </xdr:sp>
      <xdr:sp>
        <xdr:nvSpPr>
          <xdr:cNvPr id="648" name="Line 16"/>
          <xdr:cNvSpPr/>
        </xdr:nvSpPr>
        <xdr:spPr>
          <a:xfrm>
            <a:off x="5244840" y="14365440"/>
            <a:ext cx="360" cy="309240"/>
          </a:xfrm>
          <a:prstGeom prst="line">
            <a:avLst/>
          </a:prstGeom>
          <a:ln w="25400">
            <a:solidFill>
              <a:srgbClr val="ffc000"/>
            </a:solidFill>
            <a:round/>
          </a:ln>
        </xdr:spPr>
        <xdr:style>
          <a:lnRef idx="0"/>
          <a:fillRef idx="0"/>
          <a:effectRef idx="0"/>
          <a:fontRef idx="minor"/>
        </xdr:style>
      </xdr:sp>
      <xdr:sp>
        <xdr:nvSpPr>
          <xdr:cNvPr id="649" name="Line 139"/>
          <xdr:cNvSpPr/>
        </xdr:nvSpPr>
        <xdr:spPr>
          <a:xfrm>
            <a:off x="4731120" y="14675760"/>
            <a:ext cx="1979280" cy="360"/>
          </a:xfrm>
          <a:prstGeom prst="line">
            <a:avLst/>
          </a:prstGeom>
          <a:ln w="25400">
            <a:solidFill>
              <a:srgbClr val="ffc000"/>
            </a:solidFill>
            <a:round/>
          </a:ln>
        </xdr:spPr>
        <xdr:style>
          <a:lnRef idx="0"/>
          <a:fillRef idx="0"/>
          <a:effectRef idx="0"/>
          <a:fontRef idx="minor"/>
        </xdr:style>
      </xdr:sp>
      <xdr:sp>
        <xdr:nvSpPr>
          <xdr:cNvPr id="650" name="Line 16"/>
          <xdr:cNvSpPr/>
        </xdr:nvSpPr>
        <xdr:spPr>
          <a:xfrm>
            <a:off x="4965480" y="13673520"/>
            <a:ext cx="360" cy="274680"/>
          </a:xfrm>
          <a:prstGeom prst="line">
            <a:avLst/>
          </a:prstGeom>
          <a:ln w="25400">
            <a:solidFill>
              <a:srgbClr val="ffc000"/>
            </a:solidFill>
            <a:round/>
          </a:ln>
        </xdr:spPr>
        <xdr:style>
          <a:lnRef idx="0"/>
          <a:fillRef idx="0"/>
          <a:effectRef idx="0"/>
          <a:fontRef idx="minor"/>
        </xdr:style>
      </xdr:sp>
      <xdr:sp>
        <xdr:nvSpPr>
          <xdr:cNvPr id="651" name="400 Rectángulo redondeado"/>
          <xdr:cNvSpPr/>
        </xdr:nvSpPr>
        <xdr:spPr>
          <a:xfrm>
            <a:off x="4943880" y="13715640"/>
            <a:ext cx="48600" cy="5112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652" name="Line 16"/>
          <xdr:cNvSpPr/>
        </xdr:nvSpPr>
        <xdr:spPr>
          <a:xfrm flipH="1">
            <a:off x="4956120" y="13942800"/>
            <a:ext cx="1947600" cy="360"/>
          </a:xfrm>
          <a:prstGeom prst="line">
            <a:avLst/>
          </a:prstGeom>
          <a:ln w="25400">
            <a:solidFill>
              <a:srgbClr val="ffc000"/>
            </a:solidFill>
            <a:round/>
          </a:ln>
        </xdr:spPr>
        <xdr:style>
          <a:lnRef idx="0"/>
          <a:fillRef idx="0"/>
          <a:effectRef idx="0"/>
          <a:fontRef idx="minor"/>
        </xdr:style>
      </xdr:sp>
      <xdr:sp>
        <xdr:nvSpPr>
          <xdr:cNvPr id="653" name="Line 16"/>
          <xdr:cNvSpPr/>
        </xdr:nvSpPr>
        <xdr:spPr>
          <a:xfrm>
            <a:off x="6409080" y="14363640"/>
            <a:ext cx="360" cy="309240"/>
          </a:xfrm>
          <a:prstGeom prst="line">
            <a:avLst/>
          </a:prstGeom>
          <a:ln w="25400">
            <a:solidFill>
              <a:srgbClr val="ffc000"/>
            </a:solidFill>
            <a:round/>
          </a:ln>
        </xdr:spPr>
        <xdr:style>
          <a:lnRef idx="0"/>
          <a:fillRef idx="0"/>
          <a:effectRef idx="0"/>
          <a:fontRef idx="minor"/>
        </xdr:style>
      </xdr:sp>
      <xdr:sp>
        <xdr:nvSpPr>
          <xdr:cNvPr id="654" name="400 Rectángulo redondeado"/>
          <xdr:cNvSpPr/>
        </xdr:nvSpPr>
        <xdr:spPr>
          <a:xfrm>
            <a:off x="6384600" y="14555520"/>
            <a:ext cx="48600" cy="5112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655" name="Line 16"/>
          <xdr:cNvSpPr/>
        </xdr:nvSpPr>
        <xdr:spPr>
          <a:xfrm flipH="1">
            <a:off x="6415200" y="14379840"/>
            <a:ext cx="1229040" cy="360"/>
          </a:xfrm>
          <a:prstGeom prst="line">
            <a:avLst/>
          </a:prstGeom>
          <a:ln w="25400">
            <a:solidFill>
              <a:srgbClr val="ffc000"/>
            </a:solidFill>
            <a:round/>
          </a:ln>
        </xdr:spPr>
        <xdr:style>
          <a:lnRef idx="0"/>
          <a:fillRef idx="0"/>
          <a:effectRef idx="0"/>
          <a:fontRef idx="minor"/>
        </xdr:style>
      </xdr:sp>
      <xdr:sp>
        <xdr:nvSpPr>
          <xdr:cNvPr id="656" name="Line 139"/>
          <xdr:cNvSpPr/>
        </xdr:nvSpPr>
        <xdr:spPr>
          <a:xfrm>
            <a:off x="6749280" y="13668120"/>
            <a:ext cx="2018880" cy="360"/>
          </a:xfrm>
          <a:prstGeom prst="line">
            <a:avLst/>
          </a:prstGeom>
          <a:ln w="25400">
            <a:solidFill>
              <a:srgbClr val="ffc000"/>
            </a:solidFill>
            <a:round/>
          </a:ln>
        </xdr:spPr>
        <xdr:style>
          <a:lnRef idx="0"/>
          <a:fillRef idx="0"/>
          <a:effectRef idx="0"/>
          <a:fontRef idx="minor"/>
        </xdr:style>
      </xdr:sp>
      <xdr:sp>
        <xdr:nvSpPr>
          <xdr:cNvPr id="657" name="Line 16"/>
          <xdr:cNvSpPr/>
        </xdr:nvSpPr>
        <xdr:spPr>
          <a:xfrm>
            <a:off x="6906960" y="13678920"/>
            <a:ext cx="360" cy="274680"/>
          </a:xfrm>
          <a:prstGeom prst="line">
            <a:avLst/>
          </a:prstGeom>
          <a:ln w="25400">
            <a:solidFill>
              <a:srgbClr val="ffc000"/>
            </a:solidFill>
            <a:round/>
          </a:ln>
        </xdr:spPr>
        <xdr:style>
          <a:lnRef idx="0"/>
          <a:fillRef idx="0"/>
          <a:effectRef idx="0"/>
          <a:fontRef idx="minor"/>
        </xdr:style>
      </xdr:sp>
      <xdr:sp>
        <xdr:nvSpPr>
          <xdr:cNvPr id="658" name="400 Rectángulo redondeado"/>
          <xdr:cNvSpPr/>
        </xdr:nvSpPr>
        <xdr:spPr>
          <a:xfrm>
            <a:off x="6885360" y="13721040"/>
            <a:ext cx="48600" cy="5112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659" name="Line 16"/>
          <xdr:cNvSpPr/>
        </xdr:nvSpPr>
        <xdr:spPr>
          <a:xfrm>
            <a:off x="7628760" y="13678920"/>
            <a:ext cx="360" cy="695520"/>
          </a:xfrm>
          <a:prstGeom prst="line">
            <a:avLst/>
          </a:prstGeom>
          <a:ln w="25400">
            <a:solidFill>
              <a:srgbClr val="ffc000"/>
            </a:solidFill>
            <a:round/>
          </a:ln>
        </xdr:spPr>
        <xdr:style>
          <a:lnRef idx="0"/>
          <a:fillRef idx="0"/>
          <a:effectRef idx="0"/>
          <a:fontRef idx="minor"/>
        </xdr:style>
      </xdr:sp>
      <xdr:sp>
        <xdr:nvSpPr>
          <xdr:cNvPr id="660" name="400 Rectángulo redondeado"/>
          <xdr:cNvSpPr/>
        </xdr:nvSpPr>
        <xdr:spPr>
          <a:xfrm>
            <a:off x="7607160" y="13721040"/>
            <a:ext cx="48600" cy="5112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661" name="Line 139"/>
          <xdr:cNvSpPr/>
        </xdr:nvSpPr>
        <xdr:spPr>
          <a:xfrm>
            <a:off x="8046000" y="14388840"/>
            <a:ext cx="3321360" cy="360"/>
          </a:xfrm>
          <a:prstGeom prst="line">
            <a:avLst/>
          </a:prstGeom>
          <a:ln w="25400">
            <a:solidFill>
              <a:srgbClr val="ff0000"/>
            </a:solidFill>
            <a:round/>
          </a:ln>
        </xdr:spPr>
        <xdr:style>
          <a:lnRef idx="0"/>
          <a:fillRef idx="0"/>
          <a:effectRef idx="0"/>
          <a:fontRef idx="minor"/>
        </xdr:style>
      </xdr:sp>
      <xdr:sp>
        <xdr:nvSpPr>
          <xdr:cNvPr id="662" name="Text Box 154"/>
          <xdr:cNvSpPr/>
        </xdr:nvSpPr>
        <xdr:spPr>
          <a:xfrm>
            <a:off x="11310840" y="14298840"/>
            <a:ext cx="733320" cy="1206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Unión 110 kV</a:t>
            </a:r>
            <a:endParaRPr b="0" lang="en-GB" sz="600" spc="-1" strike="noStrike">
              <a:latin typeface="Times New Roman"/>
            </a:endParaRPr>
          </a:p>
        </xdr:txBody>
      </xdr:sp>
      <xdr:grpSp>
        <xdr:nvGrpSpPr>
          <xdr:cNvPr id="663" name="Grupo 627"/>
          <xdr:cNvGrpSpPr/>
        </xdr:nvGrpSpPr>
        <xdr:grpSpPr>
          <a:xfrm>
            <a:off x="11045880" y="13397760"/>
            <a:ext cx="48600" cy="279360"/>
            <a:chOff x="11045880" y="13397760"/>
            <a:chExt cx="48600" cy="279360"/>
          </a:xfrm>
        </xdr:grpSpPr>
        <xdr:sp>
          <xdr:nvSpPr>
            <xdr:cNvPr id="664" name="Line 16"/>
            <xdr:cNvSpPr/>
          </xdr:nvSpPr>
          <xdr:spPr>
            <a:xfrm>
              <a:off x="11069640" y="13397760"/>
              <a:ext cx="360" cy="279360"/>
            </a:xfrm>
            <a:prstGeom prst="line">
              <a:avLst/>
            </a:prstGeom>
            <a:ln w="25400">
              <a:solidFill>
                <a:srgbClr val="000000"/>
              </a:solidFill>
              <a:round/>
              <a:headEnd len="med" type="triangle" w="med"/>
            </a:ln>
          </xdr:spPr>
          <xdr:style>
            <a:lnRef idx="0"/>
            <a:fillRef idx="0"/>
            <a:effectRef idx="0"/>
            <a:fontRef idx="minor"/>
          </xdr:style>
        </xdr:sp>
        <xdr:sp>
          <xdr:nvSpPr>
            <xdr:cNvPr id="665" name="400 Rectángulo redondeado"/>
            <xdr:cNvSpPr/>
          </xdr:nvSpPr>
          <xdr:spPr>
            <a:xfrm>
              <a:off x="11045880" y="13565520"/>
              <a:ext cx="48600" cy="525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grpSp>
        <xdr:nvGrpSpPr>
          <xdr:cNvPr id="666" name="Grupo 628"/>
          <xdr:cNvGrpSpPr/>
        </xdr:nvGrpSpPr>
        <xdr:grpSpPr>
          <a:xfrm>
            <a:off x="10730160" y="13663800"/>
            <a:ext cx="444960" cy="727200"/>
            <a:chOff x="10730160" y="13663800"/>
            <a:chExt cx="444960" cy="727200"/>
          </a:xfrm>
        </xdr:grpSpPr>
        <xdr:sp>
          <xdr:nvSpPr>
            <xdr:cNvPr id="667" name="Line 16"/>
            <xdr:cNvSpPr/>
          </xdr:nvSpPr>
          <xdr:spPr>
            <a:xfrm>
              <a:off x="11072160" y="14188320"/>
              <a:ext cx="360" cy="202680"/>
            </a:xfrm>
            <a:prstGeom prst="line">
              <a:avLst/>
            </a:prstGeom>
            <a:ln w="25400">
              <a:solidFill>
                <a:srgbClr val="ff0000"/>
              </a:solidFill>
              <a:round/>
            </a:ln>
          </xdr:spPr>
          <xdr:style>
            <a:lnRef idx="0"/>
            <a:fillRef idx="0"/>
            <a:effectRef idx="0"/>
            <a:fontRef idx="minor"/>
          </xdr:style>
        </xdr:sp>
        <xdr:sp>
          <xdr:nvSpPr>
            <xdr:cNvPr id="668" name="Oval 145"/>
            <xdr:cNvSpPr/>
          </xdr:nvSpPr>
          <xdr:spPr>
            <a:xfrm>
              <a:off x="10984320" y="13838400"/>
              <a:ext cx="190800" cy="234000"/>
            </a:xfrm>
            <a:prstGeom prst="ellipse">
              <a:avLst/>
            </a:prstGeom>
            <a:noFill/>
            <a:ln w="12700">
              <a:solidFill>
                <a:srgbClr val="e7e6e6">
                  <a:lumMod val="10000"/>
                </a:srgbClr>
              </a:solidFill>
              <a:round/>
            </a:ln>
          </xdr:spPr>
          <xdr:style>
            <a:lnRef idx="0"/>
            <a:fillRef idx="0"/>
            <a:effectRef idx="0"/>
            <a:fontRef idx="minor"/>
          </xdr:style>
        </xdr:sp>
        <xdr:sp>
          <xdr:nvSpPr>
            <xdr:cNvPr id="669" name="Oval 146"/>
            <xdr:cNvSpPr/>
          </xdr:nvSpPr>
          <xdr:spPr>
            <a:xfrm>
              <a:off x="10982160" y="13954320"/>
              <a:ext cx="190800" cy="234000"/>
            </a:xfrm>
            <a:prstGeom prst="ellipse">
              <a:avLst/>
            </a:prstGeom>
            <a:noFill/>
            <a:ln w="12700">
              <a:solidFill>
                <a:srgbClr val="ff0000"/>
              </a:solidFill>
              <a:round/>
            </a:ln>
          </xdr:spPr>
          <xdr:style>
            <a:lnRef idx="0"/>
            <a:fillRef idx="0"/>
            <a:effectRef idx="0"/>
            <a:fontRef idx="minor"/>
          </xdr:style>
        </xdr:sp>
        <xdr:sp>
          <xdr:nvSpPr>
            <xdr:cNvPr id="670" name="Line 147"/>
            <xdr:cNvSpPr/>
          </xdr:nvSpPr>
          <xdr:spPr>
            <a:xfrm>
              <a:off x="11068560" y="13663800"/>
              <a:ext cx="360" cy="176040"/>
            </a:xfrm>
            <a:prstGeom prst="line">
              <a:avLst/>
            </a:prstGeom>
            <a:ln w="25400">
              <a:solidFill>
                <a:srgbClr val="e7e6e6">
                  <a:lumMod val="10000"/>
                </a:srgbClr>
              </a:solidFill>
              <a:round/>
            </a:ln>
          </xdr:spPr>
          <xdr:style>
            <a:lnRef idx="0"/>
            <a:fillRef idx="0"/>
            <a:effectRef idx="0"/>
            <a:fontRef idx="minor"/>
          </xdr:style>
        </xdr:sp>
        <xdr:sp>
          <xdr:nvSpPr>
            <xdr:cNvPr id="671" name="400 Rectángulo redondeado"/>
            <xdr:cNvSpPr/>
          </xdr:nvSpPr>
          <xdr:spPr>
            <a:xfrm>
              <a:off x="11053440" y="14235480"/>
              <a:ext cx="48600" cy="518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672" name="422 Rectángulo redondeado"/>
            <xdr:cNvSpPr/>
          </xdr:nvSpPr>
          <xdr:spPr>
            <a:xfrm>
              <a:off x="11046600" y="13716720"/>
              <a:ext cx="48600" cy="518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673" name="Oval 145"/>
            <xdr:cNvSpPr/>
          </xdr:nvSpPr>
          <xdr:spPr>
            <a:xfrm>
              <a:off x="10893240" y="13902480"/>
              <a:ext cx="190800" cy="234000"/>
            </a:xfrm>
            <a:prstGeom prst="ellipse">
              <a:avLst/>
            </a:prstGeom>
            <a:noFill/>
            <a:ln w="12700">
              <a:solidFill>
                <a:srgbClr val="e7e6e6">
                  <a:lumMod val="10000"/>
                </a:srgbClr>
              </a:solidFill>
              <a:round/>
            </a:ln>
          </xdr:spPr>
          <xdr:style>
            <a:lnRef idx="0"/>
            <a:fillRef idx="0"/>
            <a:effectRef idx="0"/>
            <a:fontRef idx="minor"/>
          </xdr:style>
        </xdr:sp>
        <xdr:sp>
          <xdr:nvSpPr>
            <xdr:cNvPr id="674" name="Line 147"/>
            <xdr:cNvSpPr/>
          </xdr:nvSpPr>
          <xdr:spPr>
            <a:xfrm flipH="1">
              <a:off x="10762560" y="14019840"/>
              <a:ext cx="129960" cy="360"/>
            </a:xfrm>
            <a:prstGeom prst="line">
              <a:avLst/>
            </a:prstGeom>
            <a:ln w="25400">
              <a:solidFill>
                <a:srgbClr val="e7e6e6">
                  <a:lumMod val="10000"/>
                </a:srgbClr>
              </a:solidFill>
              <a:round/>
            </a:ln>
          </xdr:spPr>
          <xdr:style>
            <a:lnRef idx="0"/>
            <a:fillRef idx="0"/>
            <a:effectRef idx="0"/>
            <a:fontRef idx="minor"/>
          </xdr:style>
        </xdr:sp>
        <xdr:sp>
          <xdr:nvSpPr>
            <xdr:cNvPr id="675" name="Elipse 709"/>
            <xdr:cNvSpPr/>
          </xdr:nvSpPr>
          <xdr:spPr>
            <a:xfrm>
              <a:off x="10730160" y="13997880"/>
              <a:ext cx="51480" cy="46440"/>
            </a:xfrm>
            <a:prstGeom prst="ellipse">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676" name="Text Box 154"/>
          <xdr:cNvSpPr/>
        </xdr:nvSpPr>
        <xdr:spPr>
          <a:xfrm>
            <a:off x="11160720" y="13749480"/>
            <a:ext cx="556920" cy="2455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T01-UNI 50MVA</a:t>
            </a:r>
            <a:endParaRPr b="0" lang="en-GB" sz="600" spc="-1" strike="noStrike">
              <a:latin typeface="Times New Roman"/>
            </a:endParaRPr>
          </a:p>
        </xdr:txBody>
      </xdr:sp>
      <xdr:grpSp>
        <xdr:nvGrpSpPr>
          <xdr:cNvPr id="677" name="Grupo 630"/>
          <xdr:cNvGrpSpPr/>
        </xdr:nvGrpSpPr>
        <xdr:grpSpPr>
          <a:xfrm>
            <a:off x="9834840" y="13675680"/>
            <a:ext cx="444960" cy="713520"/>
            <a:chOff x="9834840" y="13675680"/>
            <a:chExt cx="444960" cy="713520"/>
          </a:xfrm>
        </xdr:grpSpPr>
        <xdr:sp>
          <xdr:nvSpPr>
            <xdr:cNvPr id="678" name="Line 16"/>
            <xdr:cNvSpPr/>
          </xdr:nvSpPr>
          <xdr:spPr>
            <a:xfrm>
              <a:off x="10176840" y="14186880"/>
              <a:ext cx="360" cy="202320"/>
            </a:xfrm>
            <a:prstGeom prst="line">
              <a:avLst/>
            </a:prstGeom>
            <a:ln w="25400">
              <a:solidFill>
                <a:srgbClr val="ff0000"/>
              </a:solidFill>
              <a:round/>
            </a:ln>
          </xdr:spPr>
          <xdr:style>
            <a:lnRef idx="0"/>
            <a:fillRef idx="0"/>
            <a:effectRef idx="0"/>
            <a:fontRef idx="minor"/>
          </xdr:style>
        </xdr:sp>
        <xdr:sp>
          <xdr:nvSpPr>
            <xdr:cNvPr id="679" name="Oval 145"/>
            <xdr:cNvSpPr/>
          </xdr:nvSpPr>
          <xdr:spPr>
            <a:xfrm>
              <a:off x="10089000" y="13836600"/>
              <a:ext cx="190800" cy="234000"/>
            </a:xfrm>
            <a:prstGeom prst="ellipse">
              <a:avLst/>
            </a:prstGeom>
            <a:noFill/>
            <a:ln w="12700">
              <a:solidFill>
                <a:srgbClr val="e7e6e6">
                  <a:lumMod val="10000"/>
                </a:srgbClr>
              </a:solidFill>
              <a:round/>
            </a:ln>
          </xdr:spPr>
          <xdr:style>
            <a:lnRef idx="0"/>
            <a:fillRef idx="0"/>
            <a:effectRef idx="0"/>
            <a:fontRef idx="minor"/>
          </xdr:style>
        </xdr:sp>
        <xdr:sp>
          <xdr:nvSpPr>
            <xdr:cNvPr id="680" name="Oval 146"/>
            <xdr:cNvSpPr/>
          </xdr:nvSpPr>
          <xdr:spPr>
            <a:xfrm>
              <a:off x="10086840" y="13952520"/>
              <a:ext cx="190800" cy="234000"/>
            </a:xfrm>
            <a:prstGeom prst="ellipse">
              <a:avLst/>
            </a:prstGeom>
            <a:noFill/>
            <a:ln w="12700">
              <a:solidFill>
                <a:srgbClr val="ff0000"/>
              </a:solidFill>
              <a:round/>
            </a:ln>
          </xdr:spPr>
          <xdr:style>
            <a:lnRef idx="0"/>
            <a:fillRef idx="0"/>
            <a:effectRef idx="0"/>
            <a:fontRef idx="minor"/>
          </xdr:style>
        </xdr:sp>
        <xdr:sp>
          <xdr:nvSpPr>
            <xdr:cNvPr id="681" name="Line 147"/>
            <xdr:cNvSpPr/>
          </xdr:nvSpPr>
          <xdr:spPr>
            <a:xfrm>
              <a:off x="10173240" y="13675680"/>
              <a:ext cx="360" cy="162360"/>
            </a:xfrm>
            <a:prstGeom prst="line">
              <a:avLst/>
            </a:prstGeom>
            <a:ln w="25400">
              <a:solidFill>
                <a:srgbClr val="e7e6e6">
                  <a:lumMod val="10000"/>
                </a:srgbClr>
              </a:solidFill>
              <a:round/>
            </a:ln>
          </xdr:spPr>
          <xdr:style>
            <a:lnRef idx="0"/>
            <a:fillRef idx="0"/>
            <a:effectRef idx="0"/>
            <a:fontRef idx="minor"/>
          </xdr:style>
        </xdr:sp>
        <xdr:sp>
          <xdr:nvSpPr>
            <xdr:cNvPr id="682" name="400 Rectángulo redondeado"/>
            <xdr:cNvSpPr/>
          </xdr:nvSpPr>
          <xdr:spPr>
            <a:xfrm>
              <a:off x="10153080" y="14233680"/>
              <a:ext cx="48600" cy="518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683" name="422 Rectángulo redondeado"/>
            <xdr:cNvSpPr/>
          </xdr:nvSpPr>
          <xdr:spPr>
            <a:xfrm>
              <a:off x="10150920" y="13714920"/>
              <a:ext cx="48600" cy="518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684" name="Oval 145"/>
            <xdr:cNvSpPr/>
          </xdr:nvSpPr>
          <xdr:spPr>
            <a:xfrm>
              <a:off x="9997920" y="13900680"/>
              <a:ext cx="190800" cy="234000"/>
            </a:xfrm>
            <a:prstGeom prst="ellipse">
              <a:avLst/>
            </a:prstGeom>
            <a:noFill/>
            <a:ln w="12700">
              <a:solidFill>
                <a:srgbClr val="e7e6e6">
                  <a:lumMod val="10000"/>
                </a:srgbClr>
              </a:solidFill>
              <a:round/>
            </a:ln>
          </xdr:spPr>
          <xdr:style>
            <a:lnRef idx="0"/>
            <a:fillRef idx="0"/>
            <a:effectRef idx="0"/>
            <a:fontRef idx="minor"/>
          </xdr:style>
        </xdr:sp>
        <xdr:sp>
          <xdr:nvSpPr>
            <xdr:cNvPr id="685" name="Line 147"/>
            <xdr:cNvSpPr/>
          </xdr:nvSpPr>
          <xdr:spPr>
            <a:xfrm flipH="1">
              <a:off x="9866880" y="14018400"/>
              <a:ext cx="130320" cy="360"/>
            </a:xfrm>
            <a:prstGeom prst="line">
              <a:avLst/>
            </a:prstGeom>
            <a:ln w="25400">
              <a:solidFill>
                <a:srgbClr val="e7e6e6">
                  <a:lumMod val="10000"/>
                </a:srgbClr>
              </a:solidFill>
              <a:round/>
            </a:ln>
          </xdr:spPr>
          <xdr:style>
            <a:lnRef idx="0"/>
            <a:fillRef idx="0"/>
            <a:effectRef idx="0"/>
            <a:fontRef idx="minor"/>
          </xdr:style>
        </xdr:sp>
        <xdr:sp>
          <xdr:nvSpPr>
            <xdr:cNvPr id="686" name="Elipse 700"/>
            <xdr:cNvSpPr/>
          </xdr:nvSpPr>
          <xdr:spPr>
            <a:xfrm>
              <a:off x="9834840" y="13996440"/>
              <a:ext cx="51480" cy="46440"/>
            </a:xfrm>
            <a:prstGeom prst="ellipse">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687" name="Text Box 154"/>
          <xdr:cNvSpPr/>
        </xdr:nvSpPr>
        <xdr:spPr>
          <a:xfrm>
            <a:off x="10235880" y="13745520"/>
            <a:ext cx="556920" cy="2455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T02-UNI 50MVA</a:t>
            </a:r>
            <a:endParaRPr b="0" lang="en-GB" sz="600" spc="-1" strike="noStrike">
              <a:latin typeface="Times New Roman"/>
            </a:endParaRPr>
          </a:p>
        </xdr:txBody>
      </xdr:sp>
      <xdr:grpSp>
        <xdr:nvGrpSpPr>
          <xdr:cNvPr id="688" name="Grupo 632"/>
          <xdr:cNvGrpSpPr/>
        </xdr:nvGrpSpPr>
        <xdr:grpSpPr>
          <a:xfrm>
            <a:off x="9098640" y="13677840"/>
            <a:ext cx="445320" cy="711720"/>
            <a:chOff x="9098640" y="13677840"/>
            <a:chExt cx="445320" cy="711720"/>
          </a:xfrm>
        </xdr:grpSpPr>
        <xdr:sp>
          <xdr:nvSpPr>
            <xdr:cNvPr id="689" name="Line 16"/>
            <xdr:cNvSpPr/>
          </xdr:nvSpPr>
          <xdr:spPr>
            <a:xfrm>
              <a:off x="9441000" y="14186880"/>
              <a:ext cx="360" cy="202680"/>
            </a:xfrm>
            <a:prstGeom prst="line">
              <a:avLst/>
            </a:prstGeom>
            <a:ln w="25400">
              <a:solidFill>
                <a:srgbClr val="ff0000"/>
              </a:solidFill>
              <a:round/>
            </a:ln>
          </xdr:spPr>
          <xdr:style>
            <a:lnRef idx="0"/>
            <a:fillRef idx="0"/>
            <a:effectRef idx="0"/>
            <a:fontRef idx="minor"/>
          </xdr:style>
        </xdr:sp>
        <xdr:sp>
          <xdr:nvSpPr>
            <xdr:cNvPr id="690" name="Oval 145"/>
            <xdr:cNvSpPr/>
          </xdr:nvSpPr>
          <xdr:spPr>
            <a:xfrm>
              <a:off x="9353160" y="13836960"/>
              <a:ext cx="190800" cy="234000"/>
            </a:xfrm>
            <a:prstGeom prst="ellipse">
              <a:avLst/>
            </a:prstGeom>
            <a:noFill/>
            <a:ln w="12700">
              <a:solidFill>
                <a:srgbClr val="e7e6e6">
                  <a:lumMod val="10000"/>
                </a:srgbClr>
              </a:solidFill>
              <a:round/>
            </a:ln>
          </xdr:spPr>
          <xdr:style>
            <a:lnRef idx="0"/>
            <a:fillRef idx="0"/>
            <a:effectRef idx="0"/>
            <a:fontRef idx="minor"/>
          </xdr:style>
        </xdr:sp>
        <xdr:sp>
          <xdr:nvSpPr>
            <xdr:cNvPr id="691" name="Oval 146"/>
            <xdr:cNvSpPr/>
          </xdr:nvSpPr>
          <xdr:spPr>
            <a:xfrm>
              <a:off x="9351000" y="13952880"/>
              <a:ext cx="190800" cy="234000"/>
            </a:xfrm>
            <a:prstGeom prst="ellipse">
              <a:avLst/>
            </a:prstGeom>
            <a:noFill/>
            <a:ln w="12700">
              <a:solidFill>
                <a:srgbClr val="ff0000"/>
              </a:solidFill>
              <a:round/>
            </a:ln>
          </xdr:spPr>
          <xdr:style>
            <a:lnRef idx="0"/>
            <a:fillRef idx="0"/>
            <a:effectRef idx="0"/>
            <a:fontRef idx="minor"/>
          </xdr:style>
        </xdr:sp>
        <xdr:sp>
          <xdr:nvSpPr>
            <xdr:cNvPr id="692" name="Line 147"/>
            <xdr:cNvSpPr/>
          </xdr:nvSpPr>
          <xdr:spPr>
            <a:xfrm>
              <a:off x="9437400" y="13677840"/>
              <a:ext cx="360" cy="160560"/>
            </a:xfrm>
            <a:prstGeom prst="line">
              <a:avLst/>
            </a:prstGeom>
            <a:ln w="25400">
              <a:solidFill>
                <a:srgbClr val="e7e6e6">
                  <a:lumMod val="10000"/>
                </a:srgbClr>
              </a:solidFill>
              <a:round/>
            </a:ln>
          </xdr:spPr>
          <xdr:style>
            <a:lnRef idx="0"/>
            <a:fillRef idx="0"/>
            <a:effectRef idx="0"/>
            <a:fontRef idx="minor"/>
          </xdr:style>
        </xdr:sp>
        <xdr:sp>
          <xdr:nvSpPr>
            <xdr:cNvPr id="693" name="400 Rectángulo redondeado"/>
            <xdr:cNvSpPr/>
          </xdr:nvSpPr>
          <xdr:spPr>
            <a:xfrm>
              <a:off x="9417240" y="14234040"/>
              <a:ext cx="48600" cy="518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694" name="422 Rectángulo redondeado"/>
            <xdr:cNvSpPr/>
          </xdr:nvSpPr>
          <xdr:spPr>
            <a:xfrm>
              <a:off x="9415080" y="13715280"/>
              <a:ext cx="48600" cy="518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695" name="Oval 145"/>
            <xdr:cNvSpPr/>
          </xdr:nvSpPr>
          <xdr:spPr>
            <a:xfrm>
              <a:off x="9261720" y="13901040"/>
              <a:ext cx="190800" cy="234000"/>
            </a:xfrm>
            <a:prstGeom prst="ellipse">
              <a:avLst/>
            </a:prstGeom>
            <a:noFill/>
            <a:ln w="12700">
              <a:solidFill>
                <a:srgbClr val="e7e6e6">
                  <a:lumMod val="10000"/>
                </a:srgbClr>
              </a:solidFill>
              <a:round/>
            </a:ln>
          </xdr:spPr>
          <xdr:style>
            <a:lnRef idx="0"/>
            <a:fillRef idx="0"/>
            <a:effectRef idx="0"/>
            <a:fontRef idx="minor"/>
          </xdr:style>
        </xdr:sp>
        <xdr:sp>
          <xdr:nvSpPr>
            <xdr:cNvPr id="696" name="Line 147"/>
            <xdr:cNvSpPr/>
          </xdr:nvSpPr>
          <xdr:spPr>
            <a:xfrm flipH="1">
              <a:off x="9131040" y="14018400"/>
              <a:ext cx="130320" cy="360"/>
            </a:xfrm>
            <a:prstGeom prst="line">
              <a:avLst/>
            </a:prstGeom>
            <a:ln w="25400">
              <a:solidFill>
                <a:srgbClr val="e7e6e6">
                  <a:lumMod val="10000"/>
                </a:srgbClr>
              </a:solidFill>
              <a:round/>
            </a:ln>
          </xdr:spPr>
          <xdr:style>
            <a:lnRef idx="0"/>
            <a:fillRef idx="0"/>
            <a:effectRef idx="0"/>
            <a:fontRef idx="minor"/>
          </xdr:style>
        </xdr:sp>
        <xdr:sp>
          <xdr:nvSpPr>
            <xdr:cNvPr id="697" name="Elipse 691"/>
            <xdr:cNvSpPr/>
          </xdr:nvSpPr>
          <xdr:spPr>
            <a:xfrm>
              <a:off x="9098640" y="13996440"/>
              <a:ext cx="51480" cy="46440"/>
            </a:xfrm>
            <a:prstGeom prst="ellipse">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698" name="Text Box 154"/>
          <xdr:cNvSpPr/>
        </xdr:nvSpPr>
        <xdr:spPr>
          <a:xfrm>
            <a:off x="9457920" y="13733640"/>
            <a:ext cx="556920" cy="2455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T03-UNI 50MVA</a:t>
            </a:r>
            <a:endParaRPr b="0" lang="en-GB" sz="600" spc="-1" strike="noStrike">
              <a:latin typeface="Times New Roman"/>
            </a:endParaRPr>
          </a:p>
        </xdr:txBody>
      </xdr:sp>
      <xdr:sp>
        <xdr:nvSpPr>
          <xdr:cNvPr id="699" name="Text Box 154"/>
          <xdr:cNvSpPr/>
        </xdr:nvSpPr>
        <xdr:spPr>
          <a:xfrm>
            <a:off x="11109240" y="13448520"/>
            <a:ext cx="759960" cy="1774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Unión 13,8 kV</a:t>
            </a:r>
            <a:endParaRPr b="0" lang="en-GB" sz="600" spc="-1" strike="noStrike">
              <a:latin typeface="Times New Roman"/>
            </a:endParaRPr>
          </a:p>
        </xdr:txBody>
      </xdr:sp>
      <xdr:sp>
        <xdr:nvSpPr>
          <xdr:cNvPr id="700" name="Text Box 154"/>
          <xdr:cNvSpPr/>
        </xdr:nvSpPr>
        <xdr:spPr>
          <a:xfrm>
            <a:off x="7788240" y="13904280"/>
            <a:ext cx="563400" cy="2098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T06-UNI 150 MVA</a:t>
            </a:r>
            <a:endParaRPr b="0" lang="en-GB" sz="600" spc="-1" strike="noStrike">
              <a:latin typeface="Times New Roman"/>
            </a:endParaRPr>
          </a:p>
        </xdr:txBody>
      </xdr:sp>
      <xdr:sp>
        <xdr:nvSpPr>
          <xdr:cNvPr id="701" name="Text Box 154"/>
          <xdr:cNvSpPr/>
        </xdr:nvSpPr>
        <xdr:spPr>
          <a:xfrm>
            <a:off x="2571840" y="13928400"/>
            <a:ext cx="576360" cy="2455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T-ERI05 150 MVA</a:t>
            </a:r>
            <a:endParaRPr b="0" lang="en-GB" sz="600" spc="-1" strike="noStrike">
              <a:latin typeface="Times New Roman"/>
            </a:endParaRPr>
          </a:p>
        </xdr:txBody>
      </xdr:sp>
      <xdr:sp>
        <xdr:nvSpPr>
          <xdr:cNvPr id="702" name="Text Box 154"/>
          <xdr:cNvSpPr/>
        </xdr:nvSpPr>
        <xdr:spPr>
          <a:xfrm>
            <a:off x="4362840" y="14389200"/>
            <a:ext cx="576360" cy="950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LN-501</a:t>
            </a:r>
            <a:endParaRPr b="0" lang="en-GB" sz="600" spc="-1" strike="noStrike">
              <a:latin typeface="Times New Roman"/>
            </a:endParaRPr>
          </a:p>
        </xdr:txBody>
      </xdr:sp>
      <xdr:sp>
        <xdr:nvSpPr>
          <xdr:cNvPr id="703" name="Text Box 154"/>
          <xdr:cNvSpPr/>
        </xdr:nvSpPr>
        <xdr:spPr>
          <a:xfrm>
            <a:off x="6803280" y="14387400"/>
            <a:ext cx="601560" cy="1094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LN-502</a:t>
            </a:r>
            <a:endParaRPr b="0" lang="en-GB" sz="600" spc="-1" strike="noStrike">
              <a:latin typeface="Times New Roman"/>
            </a:endParaRPr>
          </a:p>
        </xdr:txBody>
      </xdr:sp>
      <xdr:sp>
        <xdr:nvSpPr>
          <xdr:cNvPr id="704" name="Text Box 154"/>
          <xdr:cNvSpPr/>
        </xdr:nvSpPr>
        <xdr:spPr>
          <a:xfrm>
            <a:off x="5553000" y="13731120"/>
            <a:ext cx="576360" cy="1926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LN-530</a:t>
            </a:r>
            <a:endParaRPr b="0" lang="en-GB" sz="600" spc="-1" strike="noStrike">
              <a:latin typeface="Times New Roman"/>
            </a:endParaRPr>
          </a:p>
        </xdr:txBody>
      </xdr:sp>
      <xdr:sp>
        <xdr:nvSpPr>
          <xdr:cNvPr id="705" name="Text Box 154"/>
          <xdr:cNvSpPr/>
        </xdr:nvSpPr>
        <xdr:spPr>
          <a:xfrm>
            <a:off x="7345440" y="13459320"/>
            <a:ext cx="757440" cy="1868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Unión 34,5 kV</a:t>
            </a:r>
            <a:endParaRPr b="0" lang="en-GB" sz="600" spc="-1" strike="noStrike">
              <a:latin typeface="Times New Roman"/>
            </a:endParaRPr>
          </a:p>
        </xdr:txBody>
      </xdr:sp>
      <xdr:sp>
        <xdr:nvSpPr>
          <xdr:cNvPr id="706" name="Text Box 154"/>
          <xdr:cNvSpPr/>
        </xdr:nvSpPr>
        <xdr:spPr>
          <a:xfrm>
            <a:off x="4068720" y="14568840"/>
            <a:ext cx="747360" cy="1771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Magdalena 34,5 kV</a:t>
            </a:r>
            <a:endParaRPr b="0" lang="en-GB" sz="600" spc="-1" strike="noStrike">
              <a:latin typeface="Times New Roman"/>
            </a:endParaRPr>
          </a:p>
        </xdr:txBody>
      </xdr:sp>
      <xdr:grpSp>
        <xdr:nvGrpSpPr>
          <xdr:cNvPr id="707" name="Grupo 642"/>
          <xdr:cNvGrpSpPr/>
        </xdr:nvGrpSpPr>
        <xdr:grpSpPr>
          <a:xfrm>
            <a:off x="5687280" y="14669280"/>
            <a:ext cx="444960" cy="670320"/>
            <a:chOff x="5687280" y="14669280"/>
            <a:chExt cx="444960" cy="670320"/>
          </a:xfrm>
        </xdr:grpSpPr>
        <xdr:sp>
          <xdr:nvSpPr>
            <xdr:cNvPr id="708" name="Line 16"/>
            <xdr:cNvSpPr/>
          </xdr:nvSpPr>
          <xdr:spPr>
            <a:xfrm flipV="1">
              <a:off x="5789880" y="14669280"/>
              <a:ext cx="360" cy="168120"/>
            </a:xfrm>
            <a:prstGeom prst="line">
              <a:avLst/>
            </a:prstGeom>
            <a:ln w="25400">
              <a:solidFill>
                <a:srgbClr val="ffc000"/>
              </a:solidFill>
              <a:round/>
            </a:ln>
          </xdr:spPr>
          <xdr:style>
            <a:lnRef idx="0"/>
            <a:fillRef idx="0"/>
            <a:effectRef idx="0"/>
            <a:fontRef idx="minor"/>
          </xdr:style>
        </xdr:sp>
        <xdr:sp>
          <xdr:nvSpPr>
            <xdr:cNvPr id="709" name="Oval 145"/>
            <xdr:cNvSpPr/>
          </xdr:nvSpPr>
          <xdr:spPr>
            <a:xfrm rot="10800000">
              <a:off x="5687280" y="14949000"/>
              <a:ext cx="190800" cy="224280"/>
            </a:xfrm>
            <a:prstGeom prst="ellipse">
              <a:avLst/>
            </a:prstGeom>
            <a:noFill/>
            <a:ln w="12700">
              <a:solidFill>
                <a:srgbClr val="e7e6e6">
                  <a:lumMod val="10000"/>
                </a:srgbClr>
              </a:solidFill>
              <a:round/>
            </a:ln>
          </xdr:spPr>
          <xdr:style>
            <a:lnRef idx="0"/>
            <a:fillRef idx="0"/>
            <a:effectRef idx="0"/>
            <a:fontRef idx="minor"/>
          </xdr:style>
        </xdr:sp>
        <xdr:sp>
          <xdr:nvSpPr>
            <xdr:cNvPr id="710" name="Oval 146"/>
            <xdr:cNvSpPr/>
          </xdr:nvSpPr>
          <xdr:spPr>
            <a:xfrm rot="10800000">
              <a:off x="5689440" y="14838120"/>
              <a:ext cx="190800" cy="224280"/>
            </a:xfrm>
            <a:prstGeom prst="ellipse">
              <a:avLst/>
            </a:prstGeom>
            <a:noFill/>
            <a:ln w="12700">
              <a:solidFill>
                <a:srgbClr val="ffc000"/>
              </a:solidFill>
              <a:round/>
            </a:ln>
          </xdr:spPr>
          <xdr:style>
            <a:lnRef idx="0"/>
            <a:fillRef idx="0"/>
            <a:effectRef idx="0"/>
            <a:fontRef idx="minor"/>
          </xdr:style>
        </xdr:sp>
        <xdr:sp>
          <xdr:nvSpPr>
            <xdr:cNvPr id="711" name="Line 147"/>
            <xdr:cNvSpPr/>
          </xdr:nvSpPr>
          <xdr:spPr>
            <a:xfrm flipV="1">
              <a:off x="5793480" y="15171480"/>
              <a:ext cx="360" cy="168120"/>
            </a:xfrm>
            <a:prstGeom prst="line">
              <a:avLst/>
            </a:prstGeom>
            <a:ln w="25400">
              <a:solidFill>
                <a:srgbClr val="e7e6e6">
                  <a:lumMod val="10000"/>
                </a:srgbClr>
              </a:solidFill>
              <a:round/>
            </a:ln>
          </xdr:spPr>
          <xdr:style>
            <a:lnRef idx="0"/>
            <a:fillRef idx="0"/>
            <a:effectRef idx="0"/>
            <a:fontRef idx="minor"/>
          </xdr:style>
        </xdr:sp>
        <xdr:sp>
          <xdr:nvSpPr>
            <xdr:cNvPr id="712" name="400 Rectángulo redondeado"/>
            <xdr:cNvSpPr/>
          </xdr:nvSpPr>
          <xdr:spPr>
            <a:xfrm rot="10800000">
              <a:off x="5772960" y="14743440"/>
              <a:ext cx="48600" cy="4968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713" name="422 Rectángulo redondeado"/>
            <xdr:cNvSpPr/>
          </xdr:nvSpPr>
          <xdr:spPr>
            <a:xfrm rot="10800000">
              <a:off x="5767560" y="15240240"/>
              <a:ext cx="48600" cy="49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714" name="Oval 145"/>
            <xdr:cNvSpPr/>
          </xdr:nvSpPr>
          <xdr:spPr>
            <a:xfrm rot="10800000">
              <a:off x="5778360" y="14887800"/>
              <a:ext cx="190800" cy="224280"/>
            </a:xfrm>
            <a:prstGeom prst="ellipse">
              <a:avLst/>
            </a:prstGeom>
            <a:noFill/>
            <a:ln w="12700">
              <a:solidFill>
                <a:srgbClr val="e7e6e6">
                  <a:lumMod val="10000"/>
                </a:srgbClr>
              </a:solidFill>
              <a:round/>
            </a:ln>
          </xdr:spPr>
          <xdr:style>
            <a:lnRef idx="0"/>
            <a:fillRef idx="0"/>
            <a:effectRef idx="0"/>
            <a:fontRef idx="minor"/>
          </xdr:style>
        </xdr:sp>
        <xdr:sp>
          <xdr:nvSpPr>
            <xdr:cNvPr id="715" name="Line 147"/>
            <xdr:cNvSpPr/>
          </xdr:nvSpPr>
          <xdr:spPr>
            <a:xfrm>
              <a:off x="5969520" y="14999040"/>
              <a:ext cx="130320" cy="360"/>
            </a:xfrm>
            <a:prstGeom prst="line">
              <a:avLst/>
            </a:prstGeom>
            <a:ln w="25400">
              <a:solidFill>
                <a:srgbClr val="e7e6e6">
                  <a:lumMod val="10000"/>
                </a:srgbClr>
              </a:solidFill>
              <a:round/>
            </a:ln>
          </xdr:spPr>
          <xdr:style>
            <a:lnRef idx="0"/>
            <a:fillRef idx="0"/>
            <a:effectRef idx="0"/>
            <a:fontRef idx="minor"/>
          </xdr:style>
        </xdr:sp>
        <xdr:sp>
          <xdr:nvSpPr>
            <xdr:cNvPr id="716" name="Elipse 682"/>
            <xdr:cNvSpPr/>
          </xdr:nvSpPr>
          <xdr:spPr>
            <a:xfrm rot="10800000">
              <a:off x="6080760" y="14976000"/>
              <a:ext cx="51480" cy="44280"/>
            </a:xfrm>
            <a:prstGeom prst="ellipse">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717" name="Line 139"/>
          <xdr:cNvSpPr/>
        </xdr:nvSpPr>
        <xdr:spPr>
          <a:xfrm>
            <a:off x="5371920" y="15345720"/>
            <a:ext cx="922680" cy="360"/>
          </a:xfrm>
          <a:prstGeom prst="line">
            <a:avLst/>
          </a:prstGeom>
          <a:ln w="25400">
            <a:solidFill>
              <a:srgbClr val="e7e6e6">
                <a:lumMod val="10000"/>
              </a:srgbClr>
            </a:solidFill>
            <a:round/>
          </a:ln>
        </xdr:spPr>
        <xdr:style>
          <a:lnRef idx="0"/>
          <a:fillRef idx="0"/>
          <a:effectRef idx="0"/>
          <a:fontRef idx="minor"/>
        </xdr:style>
      </xdr:sp>
      <xdr:grpSp>
        <xdr:nvGrpSpPr>
          <xdr:cNvPr id="718" name="Grupo 644"/>
          <xdr:cNvGrpSpPr/>
        </xdr:nvGrpSpPr>
        <xdr:grpSpPr>
          <a:xfrm>
            <a:off x="5768640" y="15328440"/>
            <a:ext cx="51480" cy="240120"/>
            <a:chOff x="5768640" y="15328440"/>
            <a:chExt cx="51480" cy="240120"/>
          </a:xfrm>
        </xdr:grpSpPr>
        <xdr:sp>
          <xdr:nvSpPr>
            <xdr:cNvPr id="719" name="Line 16"/>
            <xdr:cNvSpPr/>
          </xdr:nvSpPr>
          <xdr:spPr>
            <a:xfrm flipV="1">
              <a:off x="5794560" y="15328440"/>
              <a:ext cx="360" cy="240120"/>
            </a:xfrm>
            <a:prstGeom prst="line">
              <a:avLst/>
            </a:prstGeom>
            <a:ln w="25400">
              <a:solidFill>
                <a:srgbClr val="000000"/>
              </a:solidFill>
              <a:round/>
              <a:headEnd len="med" type="triangle" w="med"/>
            </a:ln>
          </xdr:spPr>
          <xdr:style>
            <a:lnRef idx="0"/>
            <a:fillRef idx="0"/>
            <a:effectRef idx="0"/>
            <a:fontRef idx="minor"/>
          </xdr:style>
        </xdr:sp>
        <xdr:sp>
          <xdr:nvSpPr>
            <xdr:cNvPr id="720" name="400 Rectángulo redondeado"/>
            <xdr:cNvSpPr/>
          </xdr:nvSpPr>
          <xdr:spPr>
            <a:xfrm rot="10800000">
              <a:off x="5768640" y="15379920"/>
              <a:ext cx="51480" cy="450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721" name="Text Box 154"/>
          <xdr:cNvSpPr/>
        </xdr:nvSpPr>
        <xdr:spPr>
          <a:xfrm>
            <a:off x="5070240" y="14859720"/>
            <a:ext cx="639000" cy="3042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T-MGD01  39,15 MVA</a:t>
            </a:r>
            <a:endParaRPr b="0" lang="en-GB" sz="600" spc="-1" strike="noStrike">
              <a:latin typeface="Times New Roman"/>
            </a:endParaRPr>
          </a:p>
        </xdr:txBody>
      </xdr:sp>
      <xdr:sp>
        <xdr:nvSpPr>
          <xdr:cNvPr id="722" name="Text Box 154"/>
          <xdr:cNvSpPr/>
        </xdr:nvSpPr>
        <xdr:spPr>
          <a:xfrm>
            <a:off x="6175440" y="15198840"/>
            <a:ext cx="1127880" cy="1674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Magdalena 13,8 kV</a:t>
            </a:r>
            <a:endParaRPr b="0" lang="en-GB" sz="600" spc="-1" strike="noStrike">
              <a:latin typeface="Times New Roman"/>
            </a:endParaRPr>
          </a:p>
        </xdr:txBody>
      </xdr:sp>
      <xdr:grpSp>
        <xdr:nvGrpSpPr>
          <xdr:cNvPr id="723" name="Grupo 647"/>
          <xdr:cNvGrpSpPr/>
        </xdr:nvGrpSpPr>
        <xdr:grpSpPr>
          <a:xfrm>
            <a:off x="8377920" y="13680360"/>
            <a:ext cx="192960" cy="701640"/>
            <a:chOff x="8377920" y="13680360"/>
            <a:chExt cx="192960" cy="701640"/>
          </a:xfrm>
        </xdr:grpSpPr>
        <xdr:sp>
          <xdr:nvSpPr>
            <xdr:cNvPr id="724" name="Line 16"/>
            <xdr:cNvSpPr/>
          </xdr:nvSpPr>
          <xdr:spPr>
            <a:xfrm>
              <a:off x="8467920" y="14205960"/>
              <a:ext cx="360" cy="176040"/>
            </a:xfrm>
            <a:prstGeom prst="line">
              <a:avLst/>
            </a:prstGeom>
            <a:ln w="25400">
              <a:solidFill>
                <a:srgbClr val="ff0000"/>
              </a:solidFill>
              <a:round/>
            </a:ln>
          </xdr:spPr>
          <xdr:style>
            <a:lnRef idx="0"/>
            <a:fillRef idx="0"/>
            <a:effectRef idx="0"/>
            <a:fontRef idx="minor"/>
          </xdr:style>
        </xdr:sp>
        <xdr:sp>
          <xdr:nvSpPr>
            <xdr:cNvPr id="725" name="Oval 145"/>
            <xdr:cNvSpPr/>
          </xdr:nvSpPr>
          <xdr:spPr>
            <a:xfrm>
              <a:off x="8380080" y="13854960"/>
              <a:ext cx="190800" cy="234720"/>
            </a:xfrm>
            <a:prstGeom prst="ellipse">
              <a:avLst/>
            </a:prstGeom>
            <a:noFill/>
            <a:ln w="12700">
              <a:solidFill>
                <a:srgbClr val="ffc000"/>
              </a:solidFill>
              <a:round/>
            </a:ln>
          </xdr:spPr>
          <xdr:style>
            <a:lnRef idx="0"/>
            <a:fillRef idx="0"/>
            <a:effectRef idx="0"/>
            <a:fontRef idx="minor"/>
          </xdr:style>
        </xdr:sp>
        <xdr:sp>
          <xdr:nvSpPr>
            <xdr:cNvPr id="726" name="Oval 146"/>
            <xdr:cNvSpPr/>
          </xdr:nvSpPr>
          <xdr:spPr>
            <a:xfrm>
              <a:off x="8377920" y="13971240"/>
              <a:ext cx="190800" cy="234720"/>
            </a:xfrm>
            <a:prstGeom prst="ellipse">
              <a:avLst/>
            </a:prstGeom>
            <a:noFill/>
            <a:ln w="12700">
              <a:solidFill>
                <a:srgbClr val="ff0000"/>
              </a:solidFill>
              <a:round/>
            </a:ln>
          </xdr:spPr>
          <xdr:style>
            <a:lnRef idx="0"/>
            <a:fillRef idx="0"/>
            <a:effectRef idx="0"/>
            <a:fontRef idx="minor"/>
          </xdr:style>
        </xdr:sp>
        <xdr:sp>
          <xdr:nvSpPr>
            <xdr:cNvPr id="727" name="Line 147"/>
            <xdr:cNvSpPr/>
          </xdr:nvSpPr>
          <xdr:spPr>
            <a:xfrm>
              <a:off x="8464320" y="13680360"/>
              <a:ext cx="360" cy="176040"/>
            </a:xfrm>
            <a:prstGeom prst="line">
              <a:avLst/>
            </a:prstGeom>
            <a:ln w="25400">
              <a:solidFill>
                <a:srgbClr val="ffc000"/>
              </a:solidFill>
              <a:round/>
            </a:ln>
          </xdr:spPr>
          <xdr:style>
            <a:lnRef idx="0"/>
            <a:fillRef idx="0"/>
            <a:effectRef idx="0"/>
            <a:fontRef idx="minor"/>
          </xdr:style>
        </xdr:sp>
        <xdr:sp>
          <xdr:nvSpPr>
            <xdr:cNvPr id="728" name="400 Rectángulo redondeado"/>
            <xdr:cNvSpPr/>
          </xdr:nvSpPr>
          <xdr:spPr>
            <a:xfrm>
              <a:off x="8442720" y="14269680"/>
              <a:ext cx="48600" cy="5220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729" name="422 Rectángulo redondeado"/>
            <xdr:cNvSpPr/>
          </xdr:nvSpPr>
          <xdr:spPr>
            <a:xfrm>
              <a:off x="8439480" y="13732920"/>
              <a:ext cx="48600" cy="522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sp>
        <xdr:nvSpPr>
          <xdr:cNvPr id="730" name="400 Rectángulo redondeado"/>
          <xdr:cNvSpPr/>
        </xdr:nvSpPr>
        <xdr:spPr>
          <a:xfrm>
            <a:off x="3140640" y="12925440"/>
            <a:ext cx="48600" cy="50760"/>
          </a:xfrm>
          <a:prstGeom prst="roundRect">
            <a:avLst>
              <a:gd name="adj" fmla="val 16667"/>
            </a:avLst>
          </a:prstGeom>
          <a:solidFill>
            <a:schemeClr val="bg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731" name="Line 16"/>
          <xdr:cNvSpPr/>
        </xdr:nvSpPr>
        <xdr:spPr>
          <a:xfrm>
            <a:off x="2887560" y="12682440"/>
            <a:ext cx="360" cy="270000"/>
          </a:xfrm>
          <a:prstGeom prst="line">
            <a:avLst/>
          </a:prstGeom>
          <a:ln w="25400">
            <a:solidFill>
              <a:srgbClr val="000000"/>
            </a:solidFill>
            <a:round/>
            <a:headEnd len="med" type="triangle" w="med"/>
          </a:ln>
        </xdr:spPr>
        <xdr:style>
          <a:lnRef idx="0"/>
          <a:fillRef idx="0"/>
          <a:effectRef idx="0"/>
          <a:fontRef idx="minor"/>
        </xdr:style>
      </xdr:sp>
      <xdr:sp>
        <xdr:nvSpPr>
          <xdr:cNvPr id="732" name="400 Rectángulo redondeado"/>
          <xdr:cNvSpPr/>
        </xdr:nvSpPr>
        <xdr:spPr>
          <a:xfrm>
            <a:off x="2863800" y="12844440"/>
            <a:ext cx="48600" cy="507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nvGrpSpPr>
          <xdr:cNvPr id="733" name="Grupo 651"/>
          <xdr:cNvGrpSpPr/>
        </xdr:nvGrpSpPr>
        <xdr:grpSpPr>
          <a:xfrm>
            <a:off x="10153440" y="13389120"/>
            <a:ext cx="48600" cy="279360"/>
            <a:chOff x="10153440" y="13389120"/>
            <a:chExt cx="48600" cy="279360"/>
          </a:xfrm>
        </xdr:grpSpPr>
        <xdr:sp>
          <xdr:nvSpPr>
            <xdr:cNvPr id="734" name="Line 16"/>
            <xdr:cNvSpPr/>
          </xdr:nvSpPr>
          <xdr:spPr>
            <a:xfrm>
              <a:off x="10177200" y="13389120"/>
              <a:ext cx="360" cy="279360"/>
            </a:xfrm>
            <a:prstGeom prst="line">
              <a:avLst/>
            </a:prstGeom>
            <a:ln w="25400">
              <a:solidFill>
                <a:srgbClr val="000000"/>
              </a:solidFill>
              <a:round/>
              <a:headEnd len="med" type="triangle" w="med"/>
            </a:ln>
          </xdr:spPr>
          <xdr:style>
            <a:lnRef idx="0"/>
            <a:fillRef idx="0"/>
            <a:effectRef idx="0"/>
            <a:fontRef idx="minor"/>
          </xdr:style>
        </xdr:sp>
        <xdr:sp>
          <xdr:nvSpPr>
            <xdr:cNvPr id="735" name="400 Rectángulo redondeado"/>
            <xdr:cNvSpPr/>
          </xdr:nvSpPr>
          <xdr:spPr>
            <a:xfrm>
              <a:off x="10153440" y="13556880"/>
              <a:ext cx="48600" cy="525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grpSp>
        <xdr:nvGrpSpPr>
          <xdr:cNvPr id="736" name="Grupo 652"/>
          <xdr:cNvGrpSpPr/>
        </xdr:nvGrpSpPr>
        <xdr:grpSpPr>
          <a:xfrm>
            <a:off x="9414360" y="13383360"/>
            <a:ext cx="48600" cy="279360"/>
            <a:chOff x="9414360" y="13383360"/>
            <a:chExt cx="48600" cy="279360"/>
          </a:xfrm>
        </xdr:grpSpPr>
        <xdr:sp>
          <xdr:nvSpPr>
            <xdr:cNvPr id="737" name="Line 16"/>
            <xdr:cNvSpPr/>
          </xdr:nvSpPr>
          <xdr:spPr>
            <a:xfrm>
              <a:off x="9438120" y="13383360"/>
              <a:ext cx="360" cy="279360"/>
            </a:xfrm>
            <a:prstGeom prst="line">
              <a:avLst/>
            </a:prstGeom>
            <a:ln w="25400">
              <a:solidFill>
                <a:srgbClr val="000000"/>
              </a:solidFill>
              <a:round/>
              <a:headEnd len="med" type="triangle" w="med"/>
            </a:ln>
          </xdr:spPr>
          <xdr:style>
            <a:lnRef idx="0"/>
            <a:fillRef idx="0"/>
            <a:effectRef idx="0"/>
            <a:fontRef idx="minor"/>
          </xdr:style>
        </xdr:sp>
        <xdr:sp>
          <xdr:nvSpPr>
            <xdr:cNvPr id="738" name="400 Rectángulo redondeado"/>
            <xdr:cNvSpPr/>
          </xdr:nvSpPr>
          <xdr:spPr>
            <a:xfrm>
              <a:off x="9414360" y="13550760"/>
              <a:ext cx="48600" cy="525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739" name="Text Box 188"/>
          <xdr:cNvSpPr/>
        </xdr:nvSpPr>
        <xdr:spPr>
          <a:xfrm>
            <a:off x="3002400" y="12804480"/>
            <a:ext cx="346680" cy="925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400" spc="-1" strike="noStrike">
                <a:solidFill>
                  <a:srgbClr val="000000"/>
                </a:solidFill>
                <a:latin typeface="Arial"/>
                <a:ea typeface="MS PGothic"/>
              </a:rPr>
              <a:t>N.A.</a:t>
            </a:r>
            <a:endParaRPr b="0" lang="en-GB" sz="400" spc="-1" strike="noStrike">
              <a:latin typeface="Times New Roman"/>
            </a:endParaRPr>
          </a:p>
        </xdr:txBody>
      </xdr:sp>
      <xdr:sp>
        <xdr:nvSpPr>
          <xdr:cNvPr id="740" name="Text Box 188"/>
          <xdr:cNvSpPr/>
        </xdr:nvSpPr>
        <xdr:spPr>
          <a:xfrm>
            <a:off x="9603000" y="13498200"/>
            <a:ext cx="346680" cy="925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400" spc="-1" strike="noStrike">
                <a:solidFill>
                  <a:srgbClr val="000000"/>
                </a:solidFill>
                <a:latin typeface="Arial"/>
                <a:ea typeface="MS PGothic"/>
              </a:rPr>
              <a:t>N.A.</a:t>
            </a:r>
            <a:endParaRPr b="0" lang="en-GB" sz="400" spc="-1" strike="noStrike">
              <a:latin typeface="Times New Roman"/>
            </a:endParaRPr>
          </a:p>
        </xdr:txBody>
      </xdr:sp>
      <xdr:sp>
        <xdr:nvSpPr>
          <xdr:cNvPr id="741" name="Text Box 188"/>
          <xdr:cNvSpPr/>
        </xdr:nvSpPr>
        <xdr:spPr>
          <a:xfrm>
            <a:off x="10468800" y="13498200"/>
            <a:ext cx="346680" cy="925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400" spc="-1" strike="noStrike">
                <a:solidFill>
                  <a:srgbClr val="000000"/>
                </a:solidFill>
                <a:latin typeface="Arial"/>
                <a:ea typeface="MS PGothic"/>
              </a:rPr>
              <a:t>N.A.</a:t>
            </a:r>
            <a:endParaRPr b="0" lang="en-GB" sz="400" spc="-1" strike="noStrike">
              <a:latin typeface="Times New Roman"/>
            </a:endParaRPr>
          </a:p>
        </xdr:txBody>
      </xdr:sp>
      <xdr:sp>
        <xdr:nvSpPr>
          <xdr:cNvPr id="742" name="400 Rectángulo redondeado"/>
          <xdr:cNvSpPr/>
        </xdr:nvSpPr>
        <xdr:spPr>
          <a:xfrm>
            <a:off x="3796200" y="12925440"/>
            <a:ext cx="48600" cy="50760"/>
          </a:xfrm>
          <a:prstGeom prst="roundRect">
            <a:avLst>
              <a:gd name="adj" fmla="val 16667"/>
            </a:avLst>
          </a:prstGeom>
          <a:solidFill>
            <a:schemeClr val="bg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743" name="Text Box 188"/>
          <xdr:cNvSpPr/>
        </xdr:nvSpPr>
        <xdr:spPr>
          <a:xfrm>
            <a:off x="3620520" y="12804480"/>
            <a:ext cx="346680" cy="925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400" spc="-1" strike="noStrike">
                <a:solidFill>
                  <a:srgbClr val="000000"/>
                </a:solidFill>
                <a:latin typeface="Arial"/>
                <a:ea typeface="MS PGothic"/>
              </a:rPr>
              <a:t>N.A.</a:t>
            </a:r>
            <a:endParaRPr b="0" lang="en-GB" sz="400" spc="-1" strike="noStrike">
              <a:latin typeface="Times New Roman"/>
            </a:endParaRPr>
          </a:p>
        </xdr:txBody>
      </xdr:sp>
      <xdr:sp>
        <xdr:nvSpPr>
          <xdr:cNvPr id="744" name="Line 16"/>
          <xdr:cNvSpPr/>
        </xdr:nvSpPr>
        <xdr:spPr>
          <a:xfrm>
            <a:off x="3506760" y="12685320"/>
            <a:ext cx="360" cy="270000"/>
          </a:xfrm>
          <a:prstGeom prst="line">
            <a:avLst/>
          </a:prstGeom>
          <a:ln w="25400">
            <a:solidFill>
              <a:srgbClr val="000000"/>
            </a:solidFill>
            <a:round/>
            <a:headEnd len="med" type="triangle" w="med"/>
          </a:ln>
        </xdr:spPr>
        <xdr:style>
          <a:lnRef idx="0"/>
          <a:fillRef idx="0"/>
          <a:effectRef idx="0"/>
          <a:fontRef idx="minor"/>
        </xdr:style>
      </xdr:sp>
      <xdr:sp>
        <xdr:nvSpPr>
          <xdr:cNvPr id="745" name="400 Rectángulo redondeado"/>
          <xdr:cNvSpPr/>
        </xdr:nvSpPr>
        <xdr:spPr>
          <a:xfrm>
            <a:off x="3482640" y="12847680"/>
            <a:ext cx="48600" cy="507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746" name="400 Rectángulo redondeado"/>
          <xdr:cNvSpPr/>
        </xdr:nvSpPr>
        <xdr:spPr>
          <a:xfrm>
            <a:off x="9735120" y="13633920"/>
            <a:ext cx="48600" cy="52200"/>
          </a:xfrm>
          <a:prstGeom prst="roundRect">
            <a:avLst>
              <a:gd name="adj" fmla="val 16667"/>
            </a:avLst>
          </a:prstGeom>
          <a:solidFill>
            <a:schemeClr val="bg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747" name="400 Rectángulo redondeado"/>
          <xdr:cNvSpPr/>
        </xdr:nvSpPr>
        <xdr:spPr>
          <a:xfrm>
            <a:off x="10622160" y="13639680"/>
            <a:ext cx="48600" cy="50400"/>
          </a:xfrm>
          <a:prstGeom prst="roundRect">
            <a:avLst>
              <a:gd name="adj" fmla="val 16667"/>
            </a:avLst>
          </a:prstGeom>
          <a:solidFill>
            <a:schemeClr val="bg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6</xdr:col>
      <xdr:colOff>105120</xdr:colOff>
      <xdr:row>54</xdr:row>
      <xdr:rowOff>12960</xdr:rowOff>
    </xdr:from>
    <xdr:to>
      <xdr:col>6</xdr:col>
      <xdr:colOff>262440</xdr:colOff>
      <xdr:row>55</xdr:row>
      <xdr:rowOff>124200</xdr:rowOff>
    </xdr:to>
    <xdr:sp>
      <xdr:nvSpPr>
        <xdr:cNvPr id="748" name="Rectángulo 749"/>
        <xdr:cNvSpPr/>
      </xdr:nvSpPr>
      <xdr:spPr>
        <a:xfrm>
          <a:off x="5134320" y="10366560"/>
          <a:ext cx="157320" cy="301680"/>
        </a:xfrm>
        <a:prstGeom prst="rect">
          <a:avLst/>
        </a:prstGeom>
        <a:solidFill>
          <a:schemeClr val="bg1"/>
        </a:solidFill>
        <a:ln>
          <a:solidFill>
            <a:srgbClr val="ffffff"/>
          </a:solid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4</xdr:col>
      <xdr:colOff>405720</xdr:colOff>
      <xdr:row>54</xdr:row>
      <xdr:rowOff>16560</xdr:rowOff>
    </xdr:from>
    <xdr:to>
      <xdr:col>4</xdr:col>
      <xdr:colOff>563040</xdr:colOff>
      <xdr:row>55</xdr:row>
      <xdr:rowOff>127800</xdr:rowOff>
    </xdr:to>
    <xdr:sp>
      <xdr:nvSpPr>
        <xdr:cNvPr id="749" name="Rectángulo 750"/>
        <xdr:cNvSpPr/>
      </xdr:nvSpPr>
      <xdr:spPr>
        <a:xfrm>
          <a:off x="3758400" y="10370160"/>
          <a:ext cx="157320" cy="301680"/>
        </a:xfrm>
        <a:prstGeom prst="rect">
          <a:avLst/>
        </a:prstGeom>
        <a:solidFill>
          <a:schemeClr val="bg1"/>
        </a:solidFill>
        <a:ln>
          <a:solidFill>
            <a:srgbClr val="ffffff"/>
          </a:solid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14</xdr:col>
      <xdr:colOff>693360</xdr:colOff>
      <xdr:row>55</xdr:row>
      <xdr:rowOff>81720</xdr:rowOff>
    </xdr:from>
    <xdr:to>
      <xdr:col>15</xdr:col>
      <xdr:colOff>182880</xdr:colOff>
      <xdr:row>59</xdr:row>
      <xdr:rowOff>53280</xdr:rowOff>
    </xdr:to>
    <xdr:grpSp>
      <xdr:nvGrpSpPr>
        <xdr:cNvPr id="750" name="Grupo 751"/>
        <xdr:cNvGrpSpPr/>
      </xdr:nvGrpSpPr>
      <xdr:grpSpPr>
        <a:xfrm>
          <a:off x="13784400" y="10625760"/>
          <a:ext cx="327960" cy="752760"/>
          <a:chOff x="13784400" y="10625760"/>
          <a:chExt cx="327960" cy="752760"/>
        </a:xfrm>
      </xdr:grpSpPr>
      <xdr:sp>
        <xdr:nvSpPr>
          <xdr:cNvPr id="751" name="Oval 40"/>
          <xdr:cNvSpPr/>
        </xdr:nvSpPr>
        <xdr:spPr>
          <a:xfrm rot="10800000">
            <a:off x="13824720" y="10738440"/>
            <a:ext cx="232560" cy="218160"/>
          </a:xfrm>
          <a:prstGeom prst="ellipse">
            <a:avLst/>
          </a:prstGeom>
          <a:noFill/>
          <a:ln w="12700">
            <a:solidFill>
              <a:srgbClr val="000000"/>
            </a:solidFill>
            <a:round/>
          </a:ln>
        </xdr:spPr>
        <xdr:style>
          <a:lnRef idx="0"/>
          <a:fillRef idx="0"/>
          <a:effectRef idx="0"/>
          <a:fontRef idx="minor"/>
        </xdr:style>
      </xdr:sp>
      <xdr:sp>
        <xdr:nvSpPr>
          <xdr:cNvPr id="752" name="Oval 41"/>
          <xdr:cNvSpPr/>
        </xdr:nvSpPr>
        <xdr:spPr>
          <a:xfrm rot="10800000">
            <a:off x="13821120" y="10625760"/>
            <a:ext cx="232560" cy="210240"/>
          </a:xfrm>
          <a:prstGeom prst="ellipse">
            <a:avLst/>
          </a:prstGeom>
          <a:noFill/>
          <a:ln w="12700">
            <a:solidFill>
              <a:srgbClr val="ffc000"/>
            </a:solidFill>
            <a:round/>
          </a:ln>
        </xdr:spPr>
        <xdr:style>
          <a:lnRef idx="0"/>
          <a:fillRef idx="0"/>
          <a:effectRef idx="0"/>
          <a:fontRef idx="minor"/>
        </xdr:style>
      </xdr:sp>
      <xdr:sp>
        <xdr:nvSpPr>
          <xdr:cNvPr id="753" name="Line 99"/>
          <xdr:cNvSpPr/>
        </xdr:nvSpPr>
        <xdr:spPr>
          <a:xfrm>
            <a:off x="13784400" y="11106720"/>
            <a:ext cx="327960" cy="360"/>
          </a:xfrm>
          <a:prstGeom prst="line">
            <a:avLst/>
          </a:prstGeom>
          <a:ln w="25400">
            <a:solidFill>
              <a:srgbClr val="000000"/>
            </a:solidFill>
            <a:round/>
          </a:ln>
        </xdr:spPr>
        <xdr:style>
          <a:lnRef idx="0"/>
          <a:fillRef idx="0"/>
          <a:effectRef idx="0"/>
          <a:fontRef idx="minor"/>
        </xdr:style>
      </xdr:sp>
      <xdr:sp>
        <xdr:nvSpPr>
          <xdr:cNvPr id="754" name="Line 280"/>
          <xdr:cNvSpPr/>
        </xdr:nvSpPr>
        <xdr:spPr>
          <a:xfrm>
            <a:off x="13939920" y="10958040"/>
            <a:ext cx="360" cy="420480"/>
          </a:xfrm>
          <a:prstGeom prst="line">
            <a:avLst/>
          </a:prstGeom>
          <a:ln w="15875">
            <a:solidFill>
              <a:srgbClr val="000000"/>
            </a:solidFill>
            <a:round/>
            <a:tailEnd len="med" type="triangle" w="med"/>
          </a:ln>
        </xdr:spPr>
        <xdr:style>
          <a:lnRef idx="0"/>
          <a:fillRef idx="0"/>
          <a:effectRef idx="0"/>
          <a:fontRef idx="minor"/>
        </xdr:style>
      </xdr:sp>
      <xdr:sp>
        <xdr:nvSpPr>
          <xdr:cNvPr id="755" name="455 Rectángulo redondeado"/>
          <xdr:cNvSpPr/>
        </xdr:nvSpPr>
        <xdr:spPr>
          <a:xfrm rot="5400000">
            <a:off x="13922640" y="11151000"/>
            <a:ext cx="40320" cy="53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756" name="455 Rectángulo redondeado"/>
          <xdr:cNvSpPr/>
        </xdr:nvSpPr>
        <xdr:spPr>
          <a:xfrm rot="5400000">
            <a:off x="13922640" y="11000160"/>
            <a:ext cx="40320" cy="53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15</xdr:col>
      <xdr:colOff>42480</xdr:colOff>
      <xdr:row>54</xdr:row>
      <xdr:rowOff>105840</xdr:rowOff>
    </xdr:from>
    <xdr:to>
      <xdr:col>15</xdr:col>
      <xdr:colOff>42480</xdr:colOff>
      <xdr:row>55</xdr:row>
      <xdr:rowOff>84600</xdr:rowOff>
    </xdr:to>
    <xdr:cxnSp>
      <xdr:nvCxnSpPr>
        <xdr:cNvPr id="757" name="Conector recto 758"/>
        <xdr:cNvCxnSpPr/>
      </xdr:nvCxnSpPr>
      <xdr:spPr>
        <a:xfrm>
          <a:off x="13971960" y="10459440"/>
          <a:ext cx="360" cy="169560"/>
        </a:xfrm>
        <a:prstGeom prst="straightConnector1">
          <a:avLst/>
        </a:prstGeom>
        <a:ln w="12700">
          <a:solidFill>
            <a:srgbClr val="ffc000"/>
          </a:solidFill>
        </a:ln>
      </xdr:spPr>
    </xdr:cxnSp>
    <xdr:clientData/>
  </xdr:twoCellAnchor>
  <xdr:twoCellAnchor editAs="twoCell">
    <xdr:from>
      <xdr:col>15</xdr:col>
      <xdr:colOff>34200</xdr:colOff>
      <xdr:row>54</xdr:row>
      <xdr:rowOff>114120</xdr:rowOff>
    </xdr:from>
    <xdr:to>
      <xdr:col>15</xdr:col>
      <xdr:colOff>428760</xdr:colOff>
      <xdr:row>54</xdr:row>
      <xdr:rowOff>114120</xdr:rowOff>
    </xdr:to>
    <xdr:cxnSp>
      <xdr:nvCxnSpPr>
        <xdr:cNvPr id="758" name="Conector recto 759"/>
        <xdr:cNvCxnSpPr/>
      </xdr:nvCxnSpPr>
      <xdr:spPr>
        <a:xfrm flipH="1">
          <a:off x="13963680" y="10467720"/>
          <a:ext cx="394920" cy="360"/>
        </a:xfrm>
        <a:prstGeom prst="straightConnector1">
          <a:avLst/>
        </a:prstGeom>
        <a:ln w="12700">
          <a:solidFill>
            <a:srgbClr val="ffc000"/>
          </a:solidFill>
        </a:ln>
      </xdr:spPr>
    </xdr:cxnSp>
    <xdr:clientData/>
  </xdr:twoCellAnchor>
  <xdr:twoCellAnchor editAs="twoCell">
    <xdr:from>
      <xdr:col>15</xdr:col>
      <xdr:colOff>20880</xdr:colOff>
      <xdr:row>54</xdr:row>
      <xdr:rowOff>173160</xdr:rowOff>
    </xdr:from>
    <xdr:to>
      <xdr:col>15</xdr:col>
      <xdr:colOff>61560</xdr:colOff>
      <xdr:row>55</xdr:row>
      <xdr:rowOff>22320</xdr:rowOff>
    </xdr:to>
    <xdr:sp>
      <xdr:nvSpPr>
        <xdr:cNvPr id="759" name="452 Rectángulo redondeado"/>
        <xdr:cNvSpPr/>
      </xdr:nvSpPr>
      <xdr:spPr>
        <a:xfrm>
          <a:off x="13950360" y="10526760"/>
          <a:ext cx="4068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14</xdr:col>
      <xdr:colOff>148680</xdr:colOff>
      <xdr:row>55</xdr:row>
      <xdr:rowOff>91080</xdr:rowOff>
    </xdr:from>
    <xdr:to>
      <xdr:col>15</xdr:col>
      <xdr:colOff>19440</xdr:colOff>
      <xdr:row>56</xdr:row>
      <xdr:rowOff>167400</xdr:rowOff>
    </xdr:to>
    <xdr:sp>
      <xdr:nvSpPr>
        <xdr:cNvPr id="760" name="61 CuadroTexto"/>
        <xdr:cNvSpPr/>
      </xdr:nvSpPr>
      <xdr:spPr>
        <a:xfrm>
          <a:off x="13239720" y="10635120"/>
          <a:ext cx="709200" cy="26712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500" spc="-1" strike="noStrike">
              <a:solidFill>
                <a:srgbClr val="000000"/>
              </a:solidFill>
              <a:latin typeface="Arial"/>
            </a:rPr>
            <a:t>T-STV02-Prov</a:t>
          </a:r>
          <a:endParaRPr b="0" lang="en-GB" sz="500" spc="-1" strike="noStrike">
            <a:latin typeface="Times New Roman"/>
          </a:endParaRPr>
        </a:p>
        <a:p>
          <a:pPr algn="ctr">
            <a:lnSpc>
              <a:spcPct val="100000"/>
            </a:lnSpc>
            <a:tabLst>
              <a:tab algn="l" pos="0"/>
            </a:tabLst>
          </a:pPr>
          <a:r>
            <a:rPr b="0" lang="es-CO" sz="500" spc="-1" strike="noStrike">
              <a:solidFill>
                <a:srgbClr val="000000"/>
              </a:solidFill>
              <a:latin typeface="Arial"/>
            </a:rPr>
            <a:t>4 MVA</a:t>
          </a:r>
          <a:endParaRPr b="0" lang="en-GB" sz="500" spc="-1" strike="noStrike">
            <a:latin typeface="Times New Roman"/>
          </a:endParaRPr>
        </a:p>
        <a:p>
          <a:pPr algn="ctr">
            <a:lnSpc>
              <a:spcPct val="100000"/>
            </a:lnSpc>
            <a:tabLst>
              <a:tab algn="l" pos="0"/>
            </a:tabLst>
          </a:pPr>
          <a:r>
            <a:rPr b="0" lang="es-CO" sz="500" spc="-1" strike="noStrike">
              <a:solidFill>
                <a:srgbClr val="000000"/>
              </a:solidFill>
              <a:latin typeface="Arial"/>
            </a:rPr>
            <a:t>34,5/13,8 KV</a:t>
          </a:r>
          <a:endParaRPr b="0" lang="en-GB" sz="500" spc="-1" strike="noStrike">
            <a:latin typeface="Times New Roman"/>
          </a:endParaRPr>
        </a:p>
      </xdr:txBody>
    </xdr:sp>
    <xdr:clientData/>
  </xdr:twoCellAnchor>
  <xdr:twoCellAnchor editAs="twoCell">
    <xdr:from>
      <xdr:col>7</xdr:col>
      <xdr:colOff>9360</xdr:colOff>
      <xdr:row>95</xdr:row>
      <xdr:rowOff>47520</xdr:rowOff>
    </xdr:from>
    <xdr:to>
      <xdr:col>8</xdr:col>
      <xdr:colOff>75600</xdr:colOff>
      <xdr:row>99</xdr:row>
      <xdr:rowOff>145800</xdr:rowOff>
    </xdr:to>
    <xdr:grpSp>
      <xdr:nvGrpSpPr>
        <xdr:cNvPr id="761" name="Grupo 762"/>
        <xdr:cNvGrpSpPr/>
      </xdr:nvGrpSpPr>
      <xdr:grpSpPr>
        <a:xfrm>
          <a:off x="5876640" y="18344880"/>
          <a:ext cx="904680" cy="860400"/>
          <a:chOff x="5876640" y="18344880"/>
          <a:chExt cx="904680" cy="860400"/>
        </a:xfrm>
      </xdr:grpSpPr>
      <xdr:grpSp>
        <xdr:nvGrpSpPr>
          <xdr:cNvPr id="762" name="Grupo 763"/>
          <xdr:cNvGrpSpPr/>
        </xdr:nvGrpSpPr>
        <xdr:grpSpPr>
          <a:xfrm>
            <a:off x="5908320" y="18344880"/>
            <a:ext cx="873000" cy="860400"/>
            <a:chOff x="5908320" y="18344880"/>
            <a:chExt cx="873000" cy="860400"/>
          </a:xfrm>
        </xdr:grpSpPr>
        <xdr:sp>
          <xdr:nvSpPr>
            <xdr:cNvPr id="763" name="Oval 40"/>
            <xdr:cNvSpPr/>
          </xdr:nvSpPr>
          <xdr:spPr>
            <a:xfrm rot="10800000">
              <a:off x="6540480" y="18591840"/>
              <a:ext cx="194760" cy="209160"/>
            </a:xfrm>
            <a:prstGeom prst="ellipse">
              <a:avLst/>
            </a:prstGeom>
            <a:noFill/>
            <a:ln w="12700">
              <a:solidFill>
                <a:srgbClr val="000000"/>
              </a:solidFill>
              <a:round/>
            </a:ln>
          </xdr:spPr>
          <xdr:style>
            <a:lnRef idx="0"/>
            <a:fillRef idx="0"/>
            <a:effectRef idx="0"/>
            <a:fontRef idx="minor"/>
          </xdr:style>
        </xdr:sp>
        <xdr:sp>
          <xdr:nvSpPr>
            <xdr:cNvPr id="764" name="Oval 41"/>
            <xdr:cNvSpPr/>
          </xdr:nvSpPr>
          <xdr:spPr>
            <a:xfrm rot="10800000">
              <a:off x="6537600" y="18480240"/>
              <a:ext cx="194760" cy="209160"/>
            </a:xfrm>
            <a:prstGeom prst="ellipse">
              <a:avLst/>
            </a:prstGeom>
            <a:noFill/>
            <a:ln w="12700">
              <a:solidFill>
                <a:srgbClr val="ffc000"/>
              </a:solidFill>
              <a:round/>
            </a:ln>
          </xdr:spPr>
          <xdr:style>
            <a:lnRef idx="0"/>
            <a:fillRef idx="0"/>
            <a:effectRef idx="0"/>
            <a:fontRef idx="minor"/>
          </xdr:style>
        </xdr:sp>
        <xdr:sp>
          <xdr:nvSpPr>
            <xdr:cNvPr id="765" name="Line 206"/>
            <xdr:cNvSpPr/>
          </xdr:nvSpPr>
          <xdr:spPr>
            <a:xfrm>
              <a:off x="6629400" y="18344880"/>
              <a:ext cx="360" cy="132120"/>
            </a:xfrm>
            <a:prstGeom prst="line">
              <a:avLst/>
            </a:prstGeom>
            <a:ln w="15875">
              <a:solidFill>
                <a:srgbClr val="ffc000"/>
              </a:solidFill>
              <a:round/>
            </a:ln>
          </xdr:spPr>
          <xdr:style>
            <a:lnRef idx="0"/>
            <a:fillRef idx="0"/>
            <a:effectRef idx="0"/>
            <a:fontRef idx="minor"/>
          </xdr:style>
        </xdr:sp>
        <xdr:sp>
          <xdr:nvSpPr>
            <xdr:cNvPr id="766" name="452 Rectángulo redondeado"/>
            <xdr:cNvSpPr/>
          </xdr:nvSpPr>
          <xdr:spPr>
            <a:xfrm>
              <a:off x="6607440" y="18380520"/>
              <a:ext cx="4464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767" name="Line 99"/>
            <xdr:cNvSpPr/>
          </xdr:nvSpPr>
          <xdr:spPr>
            <a:xfrm>
              <a:off x="6506640" y="18942480"/>
              <a:ext cx="274680" cy="360"/>
            </a:xfrm>
            <a:prstGeom prst="line">
              <a:avLst/>
            </a:prstGeom>
            <a:ln w="25400">
              <a:solidFill>
                <a:srgbClr val="000000"/>
              </a:solidFill>
              <a:round/>
            </a:ln>
          </xdr:spPr>
          <xdr:style>
            <a:lnRef idx="0"/>
            <a:fillRef idx="0"/>
            <a:effectRef idx="0"/>
            <a:fontRef idx="minor"/>
          </xdr:style>
        </xdr:sp>
        <xdr:sp>
          <xdr:nvSpPr>
            <xdr:cNvPr id="768" name="Line 280"/>
            <xdr:cNvSpPr/>
          </xdr:nvSpPr>
          <xdr:spPr>
            <a:xfrm>
              <a:off x="6636960" y="18802800"/>
              <a:ext cx="360" cy="402480"/>
            </a:xfrm>
            <a:prstGeom prst="line">
              <a:avLst/>
            </a:prstGeom>
            <a:ln w="15875">
              <a:solidFill>
                <a:srgbClr val="000000"/>
              </a:solidFill>
              <a:round/>
              <a:tailEnd len="med" type="triangle" w="med"/>
            </a:ln>
          </xdr:spPr>
          <xdr:style>
            <a:lnRef idx="0"/>
            <a:fillRef idx="0"/>
            <a:effectRef idx="0"/>
            <a:fontRef idx="minor"/>
          </xdr:style>
        </xdr:sp>
        <xdr:sp>
          <xdr:nvSpPr>
            <xdr:cNvPr id="769" name="455 Rectángulo redondeado"/>
            <xdr:cNvSpPr/>
          </xdr:nvSpPr>
          <xdr:spPr>
            <a:xfrm rot="5400000">
              <a:off x="6619320" y="18990720"/>
              <a:ext cx="39960" cy="446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770" name="455 Rectángulo redondeado"/>
            <xdr:cNvSpPr/>
          </xdr:nvSpPr>
          <xdr:spPr>
            <a:xfrm rot="5400000">
              <a:off x="6619320" y="18848520"/>
              <a:ext cx="39960" cy="446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771" name="61 CuadroTexto"/>
            <xdr:cNvSpPr/>
          </xdr:nvSpPr>
          <xdr:spPr>
            <a:xfrm>
              <a:off x="5908320" y="18478080"/>
              <a:ext cx="70704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T-CCZ01</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12,5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grpSp>
      <xdr:sp>
        <xdr:nvSpPr>
          <xdr:cNvPr id="772" name="Text Box 188"/>
          <xdr:cNvSpPr/>
        </xdr:nvSpPr>
        <xdr:spPr>
          <a:xfrm>
            <a:off x="5876640" y="18880920"/>
            <a:ext cx="680400" cy="12276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Campo de la Cruz 13,8 kV</a:t>
            </a:r>
            <a:endParaRPr b="0" lang="en-GB" sz="600" spc="-1" strike="noStrike">
              <a:latin typeface="Times New Roman"/>
            </a:endParaRPr>
          </a:p>
        </xdr:txBody>
      </xdr:sp>
    </xdr:grpSp>
    <xdr:clientData/>
  </xdr:twoCellAnchor>
  <xdr:twoCellAnchor editAs="twoCell">
    <xdr:from>
      <xdr:col>7</xdr:col>
      <xdr:colOff>692280</xdr:colOff>
      <xdr:row>95</xdr:row>
      <xdr:rowOff>44280</xdr:rowOff>
    </xdr:from>
    <xdr:to>
      <xdr:col>8</xdr:col>
      <xdr:colOff>276120</xdr:colOff>
      <xdr:row>95</xdr:row>
      <xdr:rowOff>44280</xdr:rowOff>
    </xdr:to>
    <xdr:cxnSp>
      <xdr:nvCxnSpPr>
        <xdr:cNvPr id="773" name="Conector recto 774"/>
        <xdr:cNvCxnSpPr/>
      </xdr:nvCxnSpPr>
      <xdr:spPr>
        <a:xfrm flipH="1">
          <a:off x="6559560" y="18341640"/>
          <a:ext cx="422640" cy="360"/>
        </a:xfrm>
        <a:prstGeom prst="straightConnector1">
          <a:avLst/>
        </a:prstGeom>
        <a:ln w="12700">
          <a:solidFill>
            <a:srgbClr val="ffc000"/>
          </a:solidFill>
        </a:ln>
      </xdr:spPr>
    </xdr:cxnSp>
    <xdr:clientData/>
  </xdr:twoCellAnchor>
  <xdr:twoCellAnchor editAs="twoCell">
    <xdr:from>
      <xdr:col>7</xdr:col>
      <xdr:colOff>699480</xdr:colOff>
      <xdr:row>94</xdr:row>
      <xdr:rowOff>139680</xdr:rowOff>
    </xdr:from>
    <xdr:to>
      <xdr:col>7</xdr:col>
      <xdr:colOff>699480</xdr:colOff>
      <xdr:row>95</xdr:row>
      <xdr:rowOff>41760</xdr:rowOff>
    </xdr:to>
    <xdr:cxnSp>
      <xdr:nvCxnSpPr>
        <xdr:cNvPr id="774" name="Conector recto 775"/>
        <xdr:cNvCxnSpPr/>
      </xdr:nvCxnSpPr>
      <xdr:spPr>
        <a:xfrm flipV="1">
          <a:off x="6566760" y="18246600"/>
          <a:ext cx="360" cy="92880"/>
        </a:xfrm>
        <a:prstGeom prst="straightConnector1">
          <a:avLst/>
        </a:prstGeom>
        <a:ln w="12700">
          <a:solidFill>
            <a:srgbClr val="ffc000"/>
          </a:solidFill>
        </a:ln>
      </xdr:spPr>
    </xdr:cxnSp>
    <xdr:clientData/>
  </xdr:twoCellAnchor>
  <xdr:twoCellAnchor editAs="twoCell">
    <xdr:from>
      <xdr:col>2</xdr:col>
      <xdr:colOff>198720</xdr:colOff>
      <xdr:row>9</xdr:row>
      <xdr:rowOff>173160</xdr:rowOff>
    </xdr:from>
    <xdr:to>
      <xdr:col>11</xdr:col>
      <xdr:colOff>190080</xdr:colOff>
      <xdr:row>39</xdr:row>
      <xdr:rowOff>111600</xdr:rowOff>
    </xdr:to>
    <xdr:grpSp>
      <xdr:nvGrpSpPr>
        <xdr:cNvPr id="775" name="Grupo 776"/>
        <xdr:cNvGrpSpPr/>
      </xdr:nvGrpSpPr>
      <xdr:grpSpPr>
        <a:xfrm>
          <a:off x="1875240" y="1906560"/>
          <a:ext cx="8575200" cy="5653440"/>
          <a:chOff x="1875240" y="1906560"/>
          <a:chExt cx="8575200" cy="5653440"/>
        </a:xfrm>
      </xdr:grpSpPr>
      <xdr:sp>
        <xdr:nvSpPr>
          <xdr:cNvPr id="776" name="CuadroTexto 777"/>
          <xdr:cNvSpPr/>
        </xdr:nvSpPr>
        <xdr:spPr>
          <a:xfrm>
            <a:off x="2184480" y="7067880"/>
            <a:ext cx="2555640" cy="4921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SABANALARGA 220 kV</a:t>
            </a:r>
            <a:endParaRPr b="0" lang="en-GB" sz="700" spc="-1" strike="noStrike">
              <a:latin typeface="Times New Roman"/>
            </a:endParaRPr>
          </a:p>
        </xdr:txBody>
      </xdr:sp>
      <xdr:sp>
        <xdr:nvSpPr>
          <xdr:cNvPr id="777" name="Elipse 49"/>
          <xdr:cNvSpPr/>
        </xdr:nvSpPr>
        <xdr:spPr>
          <a:xfrm>
            <a:off x="6573240" y="2384280"/>
            <a:ext cx="187200" cy="147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778" name="Elipse 50"/>
          <xdr:cNvSpPr/>
        </xdr:nvSpPr>
        <xdr:spPr>
          <a:xfrm>
            <a:off x="6573960" y="2293920"/>
            <a:ext cx="187200" cy="147600"/>
          </a:xfrm>
          <a:prstGeom prst="ellipse">
            <a:avLst/>
          </a:prstGeom>
          <a:noFill/>
          <a:ln w="19050">
            <a:solidFill>
              <a:srgbClr val="003db8"/>
            </a:solidFill>
          </a:ln>
        </xdr:spPr>
        <xdr:style>
          <a:lnRef idx="2">
            <a:schemeClr val="accent1">
              <a:shade val="50000"/>
            </a:schemeClr>
          </a:lnRef>
          <a:fillRef idx="1">
            <a:schemeClr val="accent1"/>
          </a:fillRef>
          <a:effectRef idx="0">
            <a:schemeClr val="accent1"/>
          </a:effectRef>
          <a:fontRef idx="minor"/>
        </xdr:style>
      </xdr:sp>
      <xdr:cxnSp>
        <xdr:nvCxnSpPr>
          <xdr:cNvPr id="779" name="174 Conector recto de flecha"/>
          <xdr:cNvCxnSpPr/>
        </xdr:nvCxnSpPr>
        <xdr:spPr>
          <a:xfrm>
            <a:off x="6666840" y="2535120"/>
            <a:ext cx="360" cy="142920"/>
          </a:xfrm>
          <a:prstGeom prst="straightConnector1">
            <a:avLst/>
          </a:prstGeom>
          <a:ln w="19050">
            <a:solidFill>
              <a:srgbClr val="ff0000"/>
            </a:solidFill>
          </a:ln>
        </xdr:spPr>
      </xdr:cxnSp>
      <xdr:cxnSp>
        <xdr:nvCxnSpPr>
          <xdr:cNvPr id="780" name="Conector recto de flecha 173"/>
          <xdr:cNvCxnSpPr/>
        </xdr:nvCxnSpPr>
        <xdr:spPr>
          <a:xfrm flipV="1">
            <a:off x="6665400" y="2133720"/>
            <a:ext cx="360" cy="165240"/>
          </a:xfrm>
          <a:prstGeom prst="straightConnector1">
            <a:avLst/>
          </a:prstGeom>
          <a:ln w="19050">
            <a:solidFill>
              <a:srgbClr val="003db8"/>
            </a:solidFill>
            <a:round/>
          </a:ln>
        </xdr:spPr>
      </xdr:cxnSp>
      <xdr:sp>
        <xdr:nvSpPr>
          <xdr:cNvPr id="781" name="Rectángulo: esquinas redondeadas 782"/>
          <xdr:cNvSpPr/>
        </xdr:nvSpPr>
        <xdr:spPr>
          <a:xfrm rot="10800000">
            <a:off x="6630840" y="2169000"/>
            <a:ext cx="72360" cy="56880"/>
          </a:xfrm>
          <a:prstGeom prst="roundRect">
            <a:avLst>
              <a:gd name="adj" fmla="val 16667"/>
            </a:avLst>
          </a:prstGeom>
          <a:solidFill>
            <a:srgbClr val="003db8"/>
          </a:solidFill>
          <a:ln w="19050">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782" name="Rectángulo: esquinas redondeadas 783"/>
          <xdr:cNvSpPr/>
        </xdr:nvSpPr>
        <xdr:spPr>
          <a:xfrm rot="10800000">
            <a:off x="6627600" y="2575080"/>
            <a:ext cx="72360" cy="56880"/>
          </a:xfrm>
          <a:prstGeom prst="roundRect">
            <a:avLst>
              <a:gd name="adj" fmla="val 16667"/>
            </a:avLst>
          </a:prstGeom>
          <a:solidFill>
            <a:srgbClr val="ff0000"/>
          </a:solidFill>
          <a:ln w="19050">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783" name="Elipse 49"/>
          <xdr:cNvSpPr/>
        </xdr:nvSpPr>
        <xdr:spPr>
          <a:xfrm>
            <a:off x="6913440" y="2384280"/>
            <a:ext cx="187200" cy="147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784" name="Elipse 50"/>
          <xdr:cNvSpPr/>
        </xdr:nvSpPr>
        <xdr:spPr>
          <a:xfrm>
            <a:off x="6914160" y="2293920"/>
            <a:ext cx="187200" cy="147600"/>
          </a:xfrm>
          <a:prstGeom prst="ellipse">
            <a:avLst/>
          </a:prstGeom>
          <a:noFill/>
          <a:ln w="19050">
            <a:solidFill>
              <a:srgbClr val="003db8"/>
            </a:solidFill>
          </a:ln>
        </xdr:spPr>
        <xdr:style>
          <a:lnRef idx="2">
            <a:schemeClr val="accent1">
              <a:shade val="50000"/>
            </a:schemeClr>
          </a:lnRef>
          <a:fillRef idx="1">
            <a:schemeClr val="accent1"/>
          </a:fillRef>
          <a:effectRef idx="0">
            <a:schemeClr val="accent1"/>
          </a:effectRef>
          <a:fontRef idx="minor"/>
        </xdr:style>
      </xdr:sp>
      <xdr:cxnSp>
        <xdr:nvCxnSpPr>
          <xdr:cNvPr id="785" name="174 Conector recto de flecha"/>
          <xdr:cNvCxnSpPr/>
        </xdr:nvCxnSpPr>
        <xdr:spPr>
          <a:xfrm>
            <a:off x="7007040" y="2535120"/>
            <a:ext cx="360" cy="142920"/>
          </a:xfrm>
          <a:prstGeom prst="straightConnector1">
            <a:avLst/>
          </a:prstGeom>
          <a:ln w="19050">
            <a:solidFill>
              <a:srgbClr val="ff0000"/>
            </a:solidFill>
          </a:ln>
        </xdr:spPr>
      </xdr:cxnSp>
      <xdr:cxnSp>
        <xdr:nvCxnSpPr>
          <xdr:cNvPr id="786" name="Conector recto de flecha 173"/>
          <xdr:cNvCxnSpPr/>
        </xdr:nvCxnSpPr>
        <xdr:spPr>
          <a:xfrm flipV="1">
            <a:off x="7005600" y="2133720"/>
            <a:ext cx="360" cy="165240"/>
          </a:xfrm>
          <a:prstGeom prst="straightConnector1">
            <a:avLst/>
          </a:prstGeom>
          <a:ln w="19050">
            <a:solidFill>
              <a:srgbClr val="003db8"/>
            </a:solidFill>
            <a:round/>
          </a:ln>
        </xdr:spPr>
      </xdr:cxnSp>
      <xdr:sp>
        <xdr:nvSpPr>
          <xdr:cNvPr id="787" name="Rectángulo: esquinas redondeadas 788"/>
          <xdr:cNvSpPr/>
        </xdr:nvSpPr>
        <xdr:spPr>
          <a:xfrm rot="10800000">
            <a:off x="6971040" y="2169000"/>
            <a:ext cx="72360" cy="56880"/>
          </a:xfrm>
          <a:prstGeom prst="roundRect">
            <a:avLst>
              <a:gd name="adj" fmla="val 16667"/>
            </a:avLst>
          </a:prstGeom>
          <a:solidFill>
            <a:srgbClr val="003db8"/>
          </a:solidFill>
          <a:ln w="19050">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788" name="Rectángulo: esquinas redondeadas 789"/>
          <xdr:cNvSpPr/>
        </xdr:nvSpPr>
        <xdr:spPr>
          <a:xfrm rot="10800000">
            <a:off x="6967800" y="2575080"/>
            <a:ext cx="72360" cy="56880"/>
          </a:xfrm>
          <a:prstGeom prst="roundRect">
            <a:avLst>
              <a:gd name="adj" fmla="val 16667"/>
            </a:avLst>
          </a:prstGeom>
          <a:solidFill>
            <a:srgbClr val="ff0000"/>
          </a:solidFill>
          <a:ln w="19050">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789" name="2 Conector recto"/>
          <xdr:cNvCxnSpPr/>
        </xdr:nvCxnSpPr>
        <xdr:spPr>
          <a:xfrm flipH="1">
            <a:off x="5794560" y="2131200"/>
            <a:ext cx="1825920" cy="360"/>
          </a:xfrm>
          <a:prstGeom prst="straightConnector1">
            <a:avLst/>
          </a:prstGeom>
          <a:ln w="38100">
            <a:solidFill>
              <a:srgbClr val="003db8"/>
            </a:solidFill>
          </a:ln>
        </xdr:spPr>
      </xdr:cxnSp>
      <xdr:sp>
        <xdr:nvSpPr>
          <xdr:cNvPr id="790" name="CuadroTexto 791"/>
          <xdr:cNvSpPr/>
        </xdr:nvSpPr>
        <xdr:spPr>
          <a:xfrm>
            <a:off x="6650640" y="1926360"/>
            <a:ext cx="1298160" cy="19404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TERMOFLORES 220 kV</a:t>
            </a:r>
            <a:endParaRPr b="0" lang="en-GB" sz="700" spc="-1" strike="noStrike">
              <a:latin typeface="Times New Roman"/>
            </a:endParaRPr>
          </a:p>
        </xdr:txBody>
      </xdr:sp>
      <xdr:sp>
        <xdr:nvSpPr>
          <xdr:cNvPr id="791" name="CuadroTexto 792"/>
          <xdr:cNvSpPr/>
        </xdr:nvSpPr>
        <xdr:spPr>
          <a:xfrm>
            <a:off x="7066800" y="2264040"/>
            <a:ext cx="569880" cy="35928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2 x 150</a:t>
            </a:r>
            <a:endParaRPr b="0" lang="en-GB" sz="700" spc="-1" strike="noStrike">
              <a:latin typeface="Times New Roman"/>
            </a:endParaRPr>
          </a:p>
          <a:p>
            <a:pPr>
              <a:lnSpc>
                <a:spcPct val="100000"/>
              </a:lnSpc>
            </a:pPr>
            <a:r>
              <a:rPr b="0" lang="es-MX" sz="700" spc="-1" strike="noStrike">
                <a:solidFill>
                  <a:srgbClr val="000000"/>
                </a:solidFill>
                <a:latin typeface="Calibri"/>
              </a:rPr>
              <a:t>MVA</a:t>
            </a:r>
            <a:endParaRPr b="0" lang="en-GB" sz="700" spc="-1" strike="noStrike">
              <a:latin typeface="Times New Roman"/>
            </a:endParaRPr>
          </a:p>
        </xdr:txBody>
      </xdr:sp>
      <xdr:cxnSp>
        <xdr:nvCxnSpPr>
          <xdr:cNvPr id="792" name="2 Conector recto"/>
          <xdr:cNvCxnSpPr/>
        </xdr:nvCxnSpPr>
        <xdr:spPr>
          <a:xfrm>
            <a:off x="4432680" y="2683800"/>
            <a:ext cx="4408200" cy="360"/>
          </a:xfrm>
          <a:prstGeom prst="straightConnector1">
            <a:avLst/>
          </a:prstGeom>
          <a:ln w="38100">
            <a:solidFill>
              <a:srgbClr val="ff0000"/>
            </a:solidFill>
          </a:ln>
        </xdr:spPr>
      </xdr:cxnSp>
      <xdr:sp>
        <xdr:nvSpPr>
          <xdr:cNvPr id="793" name="CuadroTexto 794"/>
          <xdr:cNvSpPr/>
        </xdr:nvSpPr>
        <xdr:spPr>
          <a:xfrm>
            <a:off x="7788240" y="2481480"/>
            <a:ext cx="1246680" cy="19296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TERMOFLORES 110 kV</a:t>
            </a:r>
            <a:endParaRPr b="0" lang="en-GB" sz="700" spc="-1" strike="noStrike">
              <a:latin typeface="Times New Roman"/>
            </a:endParaRPr>
          </a:p>
        </xdr:txBody>
      </xdr:sp>
      <xdr:cxnSp>
        <xdr:nvCxnSpPr>
          <xdr:cNvPr id="794" name="2 Conector recto"/>
          <xdr:cNvCxnSpPr/>
        </xdr:nvCxnSpPr>
        <xdr:spPr>
          <a:xfrm>
            <a:off x="7979400" y="3252240"/>
            <a:ext cx="981720" cy="360"/>
          </a:xfrm>
          <a:prstGeom prst="straightConnector1">
            <a:avLst/>
          </a:prstGeom>
          <a:ln w="38100">
            <a:solidFill>
              <a:srgbClr val="ff0000"/>
            </a:solidFill>
          </a:ln>
        </xdr:spPr>
      </xdr:cxnSp>
      <xdr:cxnSp>
        <xdr:nvCxnSpPr>
          <xdr:cNvPr id="795" name="2 Conector recto"/>
          <xdr:cNvCxnSpPr/>
        </xdr:nvCxnSpPr>
        <xdr:spPr>
          <a:xfrm>
            <a:off x="8281440" y="2676240"/>
            <a:ext cx="360" cy="575640"/>
          </a:xfrm>
          <a:prstGeom prst="straightConnector1">
            <a:avLst/>
          </a:prstGeom>
          <a:ln w="19050">
            <a:solidFill>
              <a:srgbClr val="ff0000"/>
            </a:solidFill>
          </a:ln>
        </xdr:spPr>
      </xdr:cxnSp>
      <xdr:sp>
        <xdr:nvSpPr>
          <xdr:cNvPr id="796" name="Rectángulo: esquinas redondeadas 797"/>
          <xdr:cNvSpPr/>
        </xdr:nvSpPr>
        <xdr:spPr>
          <a:xfrm>
            <a:off x="8249400" y="272304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797" name="Rectángulo: esquinas redondeadas 798"/>
          <xdr:cNvSpPr/>
        </xdr:nvSpPr>
        <xdr:spPr>
          <a:xfrm>
            <a:off x="8250480" y="315540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798" name="CuadroTexto 799"/>
          <xdr:cNvSpPr/>
        </xdr:nvSpPr>
        <xdr:spPr>
          <a:xfrm>
            <a:off x="8904240" y="3067560"/>
            <a:ext cx="609480" cy="3247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LAS FLORES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799" name="2 Conector recto"/>
          <xdr:cNvCxnSpPr/>
        </xdr:nvCxnSpPr>
        <xdr:spPr>
          <a:xfrm>
            <a:off x="8526960" y="2676960"/>
            <a:ext cx="360" cy="575640"/>
          </a:xfrm>
          <a:prstGeom prst="straightConnector1">
            <a:avLst/>
          </a:prstGeom>
          <a:ln w="19050">
            <a:solidFill>
              <a:srgbClr val="ff0000"/>
            </a:solidFill>
          </a:ln>
        </xdr:spPr>
      </xdr:cxnSp>
      <xdr:sp>
        <xdr:nvSpPr>
          <xdr:cNvPr id="800" name="Rectángulo: esquinas redondeadas 801"/>
          <xdr:cNvSpPr/>
        </xdr:nvSpPr>
        <xdr:spPr>
          <a:xfrm>
            <a:off x="8494920" y="272376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01" name="Rectángulo: esquinas redondeadas 802"/>
          <xdr:cNvSpPr/>
        </xdr:nvSpPr>
        <xdr:spPr>
          <a:xfrm>
            <a:off x="8495640" y="315612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802" name="2 Conector recto"/>
          <xdr:cNvCxnSpPr/>
        </xdr:nvCxnSpPr>
        <xdr:spPr>
          <a:xfrm>
            <a:off x="8279280" y="3247560"/>
            <a:ext cx="360" cy="575640"/>
          </a:xfrm>
          <a:prstGeom prst="straightConnector1">
            <a:avLst/>
          </a:prstGeom>
          <a:ln w="19050">
            <a:solidFill>
              <a:srgbClr val="ff0000"/>
            </a:solidFill>
          </a:ln>
        </xdr:spPr>
      </xdr:cxnSp>
      <xdr:sp>
        <xdr:nvSpPr>
          <xdr:cNvPr id="803" name="Rectángulo: esquinas redondeadas 804"/>
          <xdr:cNvSpPr/>
        </xdr:nvSpPr>
        <xdr:spPr>
          <a:xfrm>
            <a:off x="8247240" y="329436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04" name="Rectángulo: esquinas redondeadas 805"/>
          <xdr:cNvSpPr/>
        </xdr:nvSpPr>
        <xdr:spPr>
          <a:xfrm>
            <a:off x="8244360" y="372708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805" name="2 Conector recto"/>
          <xdr:cNvCxnSpPr/>
        </xdr:nvCxnSpPr>
        <xdr:spPr>
          <a:xfrm>
            <a:off x="7972920" y="3827520"/>
            <a:ext cx="867960" cy="360"/>
          </a:xfrm>
          <a:prstGeom prst="straightConnector1">
            <a:avLst/>
          </a:prstGeom>
          <a:ln w="38100">
            <a:solidFill>
              <a:srgbClr val="ff0000"/>
            </a:solidFill>
          </a:ln>
        </xdr:spPr>
      </xdr:cxnSp>
      <xdr:sp>
        <xdr:nvSpPr>
          <xdr:cNvPr id="806" name="CuadroTexto 807"/>
          <xdr:cNvSpPr/>
        </xdr:nvSpPr>
        <xdr:spPr>
          <a:xfrm>
            <a:off x="8782560" y="3673080"/>
            <a:ext cx="856440" cy="4201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EL RÍO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807" name="2 Conector recto"/>
          <xdr:cNvCxnSpPr/>
        </xdr:nvCxnSpPr>
        <xdr:spPr>
          <a:xfrm>
            <a:off x="8278920" y="3820320"/>
            <a:ext cx="360" cy="2322000"/>
          </a:xfrm>
          <a:prstGeom prst="straightConnector1">
            <a:avLst/>
          </a:prstGeom>
          <a:ln w="19050">
            <a:solidFill>
              <a:srgbClr val="ff0000"/>
            </a:solidFill>
          </a:ln>
        </xdr:spPr>
      </xdr:cxnSp>
      <xdr:sp>
        <xdr:nvSpPr>
          <xdr:cNvPr id="808" name="Rectángulo: esquinas redondeadas 809"/>
          <xdr:cNvSpPr/>
        </xdr:nvSpPr>
        <xdr:spPr>
          <a:xfrm>
            <a:off x="8246880" y="386712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09" name="Rectángulo: esquinas redondeadas 810"/>
          <xdr:cNvSpPr/>
        </xdr:nvSpPr>
        <xdr:spPr>
          <a:xfrm>
            <a:off x="8245080" y="604584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810" name="2 Conector recto"/>
          <xdr:cNvCxnSpPr/>
        </xdr:nvCxnSpPr>
        <xdr:spPr>
          <a:xfrm>
            <a:off x="6776280" y="6129360"/>
            <a:ext cx="2575080" cy="360"/>
          </a:xfrm>
          <a:prstGeom prst="straightConnector1">
            <a:avLst/>
          </a:prstGeom>
          <a:ln w="38100">
            <a:solidFill>
              <a:srgbClr val="ff0000"/>
            </a:solidFill>
          </a:ln>
        </xdr:spPr>
      </xdr:cxnSp>
      <xdr:sp>
        <xdr:nvSpPr>
          <xdr:cNvPr id="811" name="CuadroTexto 812"/>
          <xdr:cNvSpPr/>
        </xdr:nvSpPr>
        <xdr:spPr>
          <a:xfrm>
            <a:off x="8863920" y="5814720"/>
            <a:ext cx="618840" cy="35136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TEBSA</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812" name="2 Conector recto"/>
          <xdr:cNvCxnSpPr/>
        </xdr:nvCxnSpPr>
        <xdr:spPr>
          <a:xfrm>
            <a:off x="6796080" y="6680880"/>
            <a:ext cx="3579840" cy="360"/>
          </a:xfrm>
          <a:prstGeom prst="straightConnector1">
            <a:avLst/>
          </a:prstGeom>
          <a:ln w="38100">
            <a:solidFill>
              <a:srgbClr val="003db8"/>
            </a:solidFill>
          </a:ln>
        </xdr:spPr>
      </xdr:cxnSp>
      <xdr:sp>
        <xdr:nvSpPr>
          <xdr:cNvPr id="813" name="CuadroTexto 814"/>
          <xdr:cNvSpPr/>
        </xdr:nvSpPr>
        <xdr:spPr>
          <a:xfrm>
            <a:off x="7086600" y="6252480"/>
            <a:ext cx="343800" cy="38484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100</a:t>
            </a:r>
            <a:endParaRPr b="0" lang="en-GB" sz="700" spc="-1" strike="noStrike">
              <a:latin typeface="Times New Roman"/>
            </a:endParaRPr>
          </a:p>
          <a:p>
            <a:pPr>
              <a:lnSpc>
                <a:spcPct val="100000"/>
              </a:lnSpc>
            </a:pPr>
            <a:r>
              <a:rPr b="0" lang="es-MX" sz="700" spc="-1" strike="noStrike">
                <a:solidFill>
                  <a:srgbClr val="000000"/>
                </a:solidFill>
                <a:latin typeface="Calibri"/>
              </a:rPr>
              <a:t>MVA</a:t>
            </a:r>
            <a:endParaRPr b="0" lang="en-GB" sz="700" spc="-1" strike="noStrike">
              <a:latin typeface="Times New Roman"/>
            </a:endParaRPr>
          </a:p>
        </xdr:txBody>
      </xdr:sp>
      <xdr:sp>
        <xdr:nvSpPr>
          <xdr:cNvPr id="814" name="CuadroTexto 815"/>
          <xdr:cNvSpPr/>
        </xdr:nvSpPr>
        <xdr:spPr>
          <a:xfrm>
            <a:off x="7864560" y="6258960"/>
            <a:ext cx="343800" cy="384840"/>
          </a:xfrm>
          <a:prstGeom prst="rect">
            <a:avLst/>
          </a:prstGeom>
          <a:noFill/>
          <a:ln w="1905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100</a:t>
            </a:r>
            <a:endParaRPr b="0" lang="en-GB" sz="700" spc="-1" strike="noStrike">
              <a:latin typeface="Times New Roman"/>
            </a:endParaRPr>
          </a:p>
          <a:p>
            <a:pPr>
              <a:lnSpc>
                <a:spcPct val="100000"/>
              </a:lnSpc>
            </a:pPr>
            <a:r>
              <a:rPr b="0" lang="es-MX" sz="700" spc="-1" strike="noStrike">
                <a:solidFill>
                  <a:srgbClr val="000000"/>
                </a:solidFill>
                <a:latin typeface="Calibri"/>
              </a:rPr>
              <a:t>MVA</a:t>
            </a:r>
            <a:endParaRPr b="0" lang="en-GB" sz="700" spc="-1" strike="noStrike">
              <a:latin typeface="Times New Roman"/>
            </a:endParaRPr>
          </a:p>
        </xdr:txBody>
      </xdr:sp>
      <xdr:sp>
        <xdr:nvSpPr>
          <xdr:cNvPr id="815" name="Oval 84"/>
          <xdr:cNvSpPr/>
        </xdr:nvSpPr>
        <xdr:spPr>
          <a:xfrm flipH="1" rot="10800000">
            <a:off x="7494840" y="6284160"/>
            <a:ext cx="176760" cy="133200"/>
          </a:xfrm>
          <a:prstGeom prst="ellipse">
            <a:avLst/>
          </a:prstGeom>
          <a:noFill/>
          <a:ln w="19050">
            <a:solidFill>
              <a:srgbClr val="ff0000"/>
            </a:solidFill>
            <a:round/>
          </a:ln>
        </xdr:spPr>
        <xdr:style>
          <a:lnRef idx="0"/>
          <a:fillRef idx="0"/>
          <a:effectRef idx="0"/>
          <a:fontRef idx="minor"/>
        </xdr:style>
      </xdr:sp>
      <xdr:sp>
        <xdr:nvSpPr>
          <xdr:cNvPr id="816" name="Oval 85"/>
          <xdr:cNvSpPr/>
        </xdr:nvSpPr>
        <xdr:spPr>
          <a:xfrm flipH="1" rot="10800000">
            <a:off x="7494840" y="6384240"/>
            <a:ext cx="176760" cy="133200"/>
          </a:xfrm>
          <a:prstGeom prst="ellipse">
            <a:avLst/>
          </a:prstGeom>
          <a:noFill/>
          <a:ln w="19050">
            <a:solidFill>
              <a:srgbClr val="003db8"/>
            </a:solidFill>
            <a:round/>
          </a:ln>
        </xdr:spPr>
        <xdr:style>
          <a:lnRef idx="0"/>
          <a:fillRef idx="0"/>
          <a:effectRef idx="0"/>
          <a:fontRef idx="minor"/>
        </xdr:style>
      </xdr:sp>
      <xdr:sp>
        <xdr:nvSpPr>
          <xdr:cNvPr id="817" name="Oval 84"/>
          <xdr:cNvSpPr/>
        </xdr:nvSpPr>
        <xdr:spPr>
          <a:xfrm flipH="1" rot="10800000">
            <a:off x="7594560" y="6340680"/>
            <a:ext cx="172080" cy="133200"/>
          </a:xfrm>
          <a:prstGeom prst="ellipse">
            <a:avLst/>
          </a:prstGeom>
          <a:noFill/>
          <a:ln w="19050">
            <a:solidFill>
              <a:srgbClr val="ffc000"/>
            </a:solidFill>
            <a:round/>
          </a:ln>
        </xdr:spPr>
        <xdr:style>
          <a:lnRef idx="0"/>
          <a:fillRef idx="0"/>
          <a:effectRef idx="0"/>
          <a:fontRef idx="minor"/>
        </xdr:style>
      </xdr:sp>
      <xdr:sp>
        <xdr:nvSpPr>
          <xdr:cNvPr id="818" name="Line 179"/>
          <xdr:cNvSpPr/>
        </xdr:nvSpPr>
        <xdr:spPr>
          <a:xfrm>
            <a:off x="7577280" y="6518880"/>
            <a:ext cx="360" cy="154800"/>
          </a:xfrm>
          <a:prstGeom prst="line">
            <a:avLst/>
          </a:prstGeom>
          <a:ln w="28575">
            <a:solidFill>
              <a:srgbClr val="003db8"/>
            </a:solidFill>
            <a:round/>
          </a:ln>
        </xdr:spPr>
        <xdr:style>
          <a:lnRef idx="0"/>
          <a:fillRef idx="0"/>
          <a:effectRef idx="0"/>
          <a:fontRef idx="minor"/>
        </xdr:style>
      </xdr:sp>
      <xdr:sp>
        <xdr:nvSpPr>
          <xdr:cNvPr id="819" name="Line 179"/>
          <xdr:cNvSpPr/>
        </xdr:nvSpPr>
        <xdr:spPr>
          <a:xfrm>
            <a:off x="7578720" y="6136920"/>
            <a:ext cx="360" cy="147600"/>
          </a:xfrm>
          <a:prstGeom prst="line">
            <a:avLst/>
          </a:prstGeom>
          <a:ln w="19050">
            <a:solidFill>
              <a:srgbClr val="ff0000"/>
            </a:solidFill>
            <a:round/>
          </a:ln>
        </xdr:spPr>
        <xdr:style>
          <a:lnRef idx="0"/>
          <a:fillRef idx="0"/>
          <a:effectRef idx="0"/>
          <a:fontRef idx="minor"/>
        </xdr:style>
      </xdr:sp>
      <xdr:sp>
        <xdr:nvSpPr>
          <xdr:cNvPr id="820" name="Line 179"/>
          <xdr:cNvSpPr/>
        </xdr:nvSpPr>
        <xdr:spPr>
          <a:xfrm flipH="1">
            <a:off x="7765200" y="6403320"/>
            <a:ext cx="131760" cy="360"/>
          </a:xfrm>
          <a:prstGeom prst="line">
            <a:avLst/>
          </a:prstGeom>
          <a:ln w="19050">
            <a:solidFill>
              <a:srgbClr val="ffc000"/>
            </a:solidFill>
            <a:round/>
          </a:ln>
        </xdr:spPr>
        <xdr:style>
          <a:lnRef idx="0"/>
          <a:fillRef idx="0"/>
          <a:effectRef idx="0"/>
          <a:fontRef idx="minor"/>
        </xdr:style>
      </xdr:sp>
      <xdr:cxnSp>
        <xdr:nvCxnSpPr>
          <xdr:cNvPr id="821" name="2 Conector recto"/>
          <xdr:cNvCxnSpPr/>
        </xdr:nvCxnSpPr>
        <xdr:spPr>
          <a:xfrm flipV="1">
            <a:off x="7902720" y="6325920"/>
            <a:ext cx="360" cy="156240"/>
          </a:xfrm>
          <a:prstGeom prst="straightConnector1">
            <a:avLst/>
          </a:prstGeom>
          <a:ln w="19050">
            <a:solidFill>
              <a:srgbClr val="ffc000"/>
            </a:solidFill>
          </a:ln>
        </xdr:spPr>
      </xdr:cxnSp>
      <xdr:sp>
        <xdr:nvSpPr>
          <xdr:cNvPr id="822" name="Oval 84"/>
          <xdr:cNvSpPr/>
        </xdr:nvSpPr>
        <xdr:spPr>
          <a:xfrm flipH="1" rot="10800000">
            <a:off x="8196120" y="6285960"/>
            <a:ext cx="176760" cy="133200"/>
          </a:xfrm>
          <a:prstGeom prst="ellipse">
            <a:avLst/>
          </a:prstGeom>
          <a:noFill/>
          <a:ln w="19050">
            <a:solidFill>
              <a:srgbClr val="ff0000"/>
            </a:solidFill>
            <a:round/>
          </a:ln>
        </xdr:spPr>
        <xdr:style>
          <a:lnRef idx="0"/>
          <a:fillRef idx="0"/>
          <a:effectRef idx="0"/>
          <a:fontRef idx="minor"/>
        </xdr:style>
      </xdr:sp>
      <xdr:sp>
        <xdr:nvSpPr>
          <xdr:cNvPr id="823" name="Oval 85"/>
          <xdr:cNvSpPr/>
        </xdr:nvSpPr>
        <xdr:spPr>
          <a:xfrm flipH="1" rot="10800000">
            <a:off x="8196120" y="6385680"/>
            <a:ext cx="176760" cy="133200"/>
          </a:xfrm>
          <a:prstGeom prst="ellipse">
            <a:avLst/>
          </a:prstGeom>
          <a:noFill/>
          <a:ln w="19050">
            <a:solidFill>
              <a:srgbClr val="003db8"/>
            </a:solidFill>
            <a:round/>
          </a:ln>
        </xdr:spPr>
        <xdr:style>
          <a:lnRef idx="0"/>
          <a:fillRef idx="0"/>
          <a:effectRef idx="0"/>
          <a:fontRef idx="minor"/>
        </xdr:style>
      </xdr:sp>
      <xdr:sp>
        <xdr:nvSpPr>
          <xdr:cNvPr id="824" name="Oval 84"/>
          <xdr:cNvSpPr/>
        </xdr:nvSpPr>
        <xdr:spPr>
          <a:xfrm flipH="1" rot="10800000">
            <a:off x="8295840" y="6342120"/>
            <a:ext cx="172080" cy="133200"/>
          </a:xfrm>
          <a:prstGeom prst="ellipse">
            <a:avLst/>
          </a:prstGeom>
          <a:noFill/>
          <a:ln w="19050">
            <a:solidFill>
              <a:srgbClr val="ffc000"/>
            </a:solidFill>
            <a:round/>
          </a:ln>
        </xdr:spPr>
        <xdr:style>
          <a:lnRef idx="0"/>
          <a:fillRef idx="0"/>
          <a:effectRef idx="0"/>
          <a:fontRef idx="minor"/>
        </xdr:style>
      </xdr:sp>
      <xdr:sp>
        <xdr:nvSpPr>
          <xdr:cNvPr id="825" name="Line 179"/>
          <xdr:cNvSpPr/>
        </xdr:nvSpPr>
        <xdr:spPr>
          <a:xfrm>
            <a:off x="8278920" y="6520320"/>
            <a:ext cx="360" cy="155160"/>
          </a:xfrm>
          <a:prstGeom prst="line">
            <a:avLst/>
          </a:prstGeom>
          <a:ln w="28575">
            <a:solidFill>
              <a:srgbClr val="003db8"/>
            </a:solidFill>
            <a:round/>
          </a:ln>
        </xdr:spPr>
        <xdr:style>
          <a:lnRef idx="0"/>
          <a:fillRef idx="0"/>
          <a:effectRef idx="0"/>
          <a:fontRef idx="minor"/>
        </xdr:style>
      </xdr:sp>
      <xdr:sp>
        <xdr:nvSpPr>
          <xdr:cNvPr id="826" name="Line 179"/>
          <xdr:cNvSpPr/>
        </xdr:nvSpPr>
        <xdr:spPr>
          <a:xfrm>
            <a:off x="8280000" y="6138360"/>
            <a:ext cx="360" cy="147960"/>
          </a:xfrm>
          <a:prstGeom prst="line">
            <a:avLst/>
          </a:prstGeom>
          <a:ln w="19050">
            <a:solidFill>
              <a:srgbClr val="ff0000"/>
            </a:solidFill>
            <a:round/>
          </a:ln>
        </xdr:spPr>
        <xdr:style>
          <a:lnRef idx="0"/>
          <a:fillRef idx="0"/>
          <a:effectRef idx="0"/>
          <a:fontRef idx="minor"/>
        </xdr:style>
      </xdr:sp>
      <xdr:sp>
        <xdr:nvSpPr>
          <xdr:cNvPr id="827" name="Line 179"/>
          <xdr:cNvSpPr/>
        </xdr:nvSpPr>
        <xdr:spPr>
          <a:xfrm flipH="1">
            <a:off x="8466840" y="6404760"/>
            <a:ext cx="129960" cy="360"/>
          </a:xfrm>
          <a:prstGeom prst="line">
            <a:avLst/>
          </a:prstGeom>
          <a:ln w="19050">
            <a:solidFill>
              <a:srgbClr val="ffc000"/>
            </a:solidFill>
            <a:round/>
          </a:ln>
        </xdr:spPr>
        <xdr:style>
          <a:lnRef idx="0"/>
          <a:fillRef idx="0"/>
          <a:effectRef idx="0"/>
          <a:fontRef idx="minor"/>
        </xdr:style>
      </xdr:sp>
      <xdr:cxnSp>
        <xdr:nvCxnSpPr>
          <xdr:cNvPr id="828" name="2 Conector recto"/>
          <xdr:cNvCxnSpPr/>
        </xdr:nvCxnSpPr>
        <xdr:spPr>
          <a:xfrm flipV="1">
            <a:off x="8602920" y="6327360"/>
            <a:ext cx="360" cy="156600"/>
          </a:xfrm>
          <a:prstGeom prst="straightConnector1">
            <a:avLst/>
          </a:prstGeom>
          <a:ln w="19050">
            <a:solidFill>
              <a:srgbClr val="ffc000"/>
            </a:solidFill>
          </a:ln>
        </xdr:spPr>
      </xdr:cxnSp>
      <xdr:sp>
        <xdr:nvSpPr>
          <xdr:cNvPr id="829" name="CuadroTexto 830"/>
          <xdr:cNvSpPr/>
        </xdr:nvSpPr>
        <xdr:spPr>
          <a:xfrm>
            <a:off x="8582400" y="6258960"/>
            <a:ext cx="343800" cy="384840"/>
          </a:xfrm>
          <a:prstGeom prst="rect">
            <a:avLst/>
          </a:prstGeom>
          <a:noFill/>
          <a:ln w="1905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100</a:t>
            </a:r>
            <a:endParaRPr b="0" lang="en-GB" sz="700" spc="-1" strike="noStrike">
              <a:latin typeface="Times New Roman"/>
            </a:endParaRPr>
          </a:p>
          <a:p>
            <a:pPr>
              <a:lnSpc>
                <a:spcPct val="100000"/>
              </a:lnSpc>
            </a:pPr>
            <a:r>
              <a:rPr b="0" lang="es-MX" sz="700" spc="-1" strike="noStrike">
                <a:solidFill>
                  <a:srgbClr val="000000"/>
                </a:solidFill>
                <a:latin typeface="Calibri"/>
              </a:rPr>
              <a:t>MVA</a:t>
            </a:r>
            <a:endParaRPr b="0" lang="en-GB" sz="700" spc="-1" strike="noStrike">
              <a:latin typeface="Times New Roman"/>
            </a:endParaRPr>
          </a:p>
        </xdr:txBody>
      </xdr:sp>
      <xdr:sp>
        <xdr:nvSpPr>
          <xdr:cNvPr id="830" name="Oval 84"/>
          <xdr:cNvSpPr/>
        </xdr:nvSpPr>
        <xdr:spPr>
          <a:xfrm flipH="1" rot="10800000">
            <a:off x="8914680" y="6285960"/>
            <a:ext cx="189360" cy="133200"/>
          </a:xfrm>
          <a:prstGeom prst="ellipse">
            <a:avLst/>
          </a:prstGeom>
          <a:noFill/>
          <a:ln w="19050">
            <a:solidFill>
              <a:srgbClr val="ff0000"/>
            </a:solidFill>
            <a:round/>
          </a:ln>
        </xdr:spPr>
        <xdr:style>
          <a:lnRef idx="0"/>
          <a:fillRef idx="0"/>
          <a:effectRef idx="0"/>
          <a:fontRef idx="minor"/>
        </xdr:style>
      </xdr:sp>
      <xdr:sp>
        <xdr:nvSpPr>
          <xdr:cNvPr id="831" name="Oval 85"/>
          <xdr:cNvSpPr/>
        </xdr:nvSpPr>
        <xdr:spPr>
          <a:xfrm flipH="1" rot="10800000">
            <a:off x="8914680" y="6385680"/>
            <a:ext cx="189360" cy="133200"/>
          </a:xfrm>
          <a:prstGeom prst="ellipse">
            <a:avLst/>
          </a:prstGeom>
          <a:noFill/>
          <a:ln w="19050">
            <a:solidFill>
              <a:srgbClr val="003db8"/>
            </a:solidFill>
            <a:round/>
          </a:ln>
        </xdr:spPr>
        <xdr:style>
          <a:lnRef idx="0"/>
          <a:fillRef idx="0"/>
          <a:effectRef idx="0"/>
          <a:fontRef idx="minor"/>
        </xdr:style>
      </xdr:sp>
      <xdr:sp>
        <xdr:nvSpPr>
          <xdr:cNvPr id="832" name="Oval 84"/>
          <xdr:cNvSpPr/>
        </xdr:nvSpPr>
        <xdr:spPr>
          <a:xfrm flipH="1" rot="10800000">
            <a:off x="9026280" y="6342120"/>
            <a:ext cx="172080" cy="133200"/>
          </a:xfrm>
          <a:prstGeom prst="ellipse">
            <a:avLst/>
          </a:prstGeom>
          <a:noFill/>
          <a:ln w="19050">
            <a:solidFill>
              <a:srgbClr val="ffc000"/>
            </a:solidFill>
            <a:round/>
          </a:ln>
        </xdr:spPr>
        <xdr:style>
          <a:lnRef idx="0"/>
          <a:fillRef idx="0"/>
          <a:effectRef idx="0"/>
          <a:fontRef idx="minor"/>
        </xdr:style>
      </xdr:sp>
      <xdr:sp>
        <xdr:nvSpPr>
          <xdr:cNvPr id="833" name="Line 179"/>
          <xdr:cNvSpPr/>
        </xdr:nvSpPr>
        <xdr:spPr>
          <a:xfrm>
            <a:off x="9009360" y="6520320"/>
            <a:ext cx="360" cy="155160"/>
          </a:xfrm>
          <a:prstGeom prst="line">
            <a:avLst/>
          </a:prstGeom>
          <a:ln w="28575">
            <a:solidFill>
              <a:srgbClr val="003db8"/>
            </a:solidFill>
            <a:round/>
          </a:ln>
        </xdr:spPr>
        <xdr:style>
          <a:lnRef idx="0"/>
          <a:fillRef idx="0"/>
          <a:effectRef idx="0"/>
          <a:fontRef idx="minor"/>
        </xdr:style>
      </xdr:sp>
      <xdr:sp>
        <xdr:nvSpPr>
          <xdr:cNvPr id="834" name="Line 179"/>
          <xdr:cNvSpPr/>
        </xdr:nvSpPr>
        <xdr:spPr>
          <a:xfrm>
            <a:off x="9010440" y="6138360"/>
            <a:ext cx="360" cy="147960"/>
          </a:xfrm>
          <a:prstGeom prst="line">
            <a:avLst/>
          </a:prstGeom>
          <a:ln w="19050">
            <a:solidFill>
              <a:srgbClr val="ff0000"/>
            </a:solidFill>
            <a:round/>
          </a:ln>
        </xdr:spPr>
        <xdr:style>
          <a:lnRef idx="0"/>
          <a:fillRef idx="0"/>
          <a:effectRef idx="0"/>
          <a:fontRef idx="minor"/>
        </xdr:style>
      </xdr:sp>
      <xdr:sp>
        <xdr:nvSpPr>
          <xdr:cNvPr id="835" name="Line 179"/>
          <xdr:cNvSpPr/>
        </xdr:nvSpPr>
        <xdr:spPr>
          <a:xfrm flipH="1">
            <a:off x="9196920" y="6404760"/>
            <a:ext cx="130320" cy="360"/>
          </a:xfrm>
          <a:prstGeom prst="line">
            <a:avLst/>
          </a:prstGeom>
          <a:ln w="19050">
            <a:solidFill>
              <a:srgbClr val="ffc000"/>
            </a:solidFill>
            <a:round/>
          </a:ln>
        </xdr:spPr>
        <xdr:style>
          <a:lnRef idx="0"/>
          <a:fillRef idx="0"/>
          <a:effectRef idx="0"/>
          <a:fontRef idx="minor"/>
        </xdr:style>
      </xdr:sp>
      <xdr:cxnSp>
        <xdr:nvCxnSpPr>
          <xdr:cNvPr id="836" name="2 Conector recto"/>
          <xdr:cNvCxnSpPr/>
        </xdr:nvCxnSpPr>
        <xdr:spPr>
          <a:xfrm flipV="1">
            <a:off x="9333360" y="6327360"/>
            <a:ext cx="360" cy="156600"/>
          </a:xfrm>
          <a:prstGeom prst="straightConnector1">
            <a:avLst/>
          </a:prstGeom>
          <a:ln w="19050">
            <a:solidFill>
              <a:srgbClr val="ffc000"/>
            </a:solidFill>
          </a:ln>
        </xdr:spPr>
      </xdr:cxnSp>
      <xdr:sp>
        <xdr:nvSpPr>
          <xdr:cNvPr id="837" name="Rectángulo: esquinas redondeadas 838"/>
          <xdr:cNvSpPr/>
        </xdr:nvSpPr>
        <xdr:spPr>
          <a:xfrm>
            <a:off x="7541640" y="616860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38" name="Rectángulo: esquinas redondeadas 839"/>
          <xdr:cNvSpPr/>
        </xdr:nvSpPr>
        <xdr:spPr>
          <a:xfrm>
            <a:off x="8249760" y="616860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39" name="Rectángulo: esquinas redondeadas 840"/>
          <xdr:cNvSpPr/>
        </xdr:nvSpPr>
        <xdr:spPr>
          <a:xfrm>
            <a:off x="8963280" y="6168600"/>
            <a:ext cx="849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40" name="Rectángulo: esquinas redondeadas 841"/>
          <xdr:cNvSpPr/>
        </xdr:nvSpPr>
        <xdr:spPr>
          <a:xfrm>
            <a:off x="7539840" y="6581880"/>
            <a:ext cx="72360" cy="56880"/>
          </a:xfrm>
          <a:prstGeom prst="roundRect">
            <a:avLst>
              <a:gd name="adj" fmla="val 16667"/>
            </a:avLst>
          </a:prstGeom>
          <a:solidFill>
            <a:srgbClr val="003db8"/>
          </a:solidFill>
          <a:ln w="19050">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841" name="Rectángulo: esquinas redondeadas 842"/>
          <xdr:cNvSpPr/>
        </xdr:nvSpPr>
        <xdr:spPr>
          <a:xfrm>
            <a:off x="8243640" y="6581160"/>
            <a:ext cx="72360" cy="56880"/>
          </a:xfrm>
          <a:prstGeom prst="roundRect">
            <a:avLst>
              <a:gd name="adj" fmla="val 16667"/>
            </a:avLst>
          </a:prstGeom>
          <a:solidFill>
            <a:srgbClr val="003db8"/>
          </a:solidFill>
          <a:ln w="19050">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842" name="Rectángulo: esquinas redondeadas 843"/>
          <xdr:cNvSpPr/>
        </xdr:nvSpPr>
        <xdr:spPr>
          <a:xfrm>
            <a:off x="8961120" y="6581160"/>
            <a:ext cx="84960" cy="56880"/>
          </a:xfrm>
          <a:prstGeom prst="roundRect">
            <a:avLst>
              <a:gd name="adj" fmla="val 16667"/>
            </a:avLst>
          </a:prstGeom>
          <a:solidFill>
            <a:srgbClr val="003db8"/>
          </a:solidFill>
          <a:ln w="19050">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843" name="CuadroTexto 844"/>
          <xdr:cNvSpPr/>
        </xdr:nvSpPr>
        <xdr:spPr>
          <a:xfrm>
            <a:off x="7809480" y="6687000"/>
            <a:ext cx="1153080" cy="3121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TEBSA 220kV</a:t>
            </a:r>
            <a:endParaRPr b="0" lang="en-GB" sz="700" spc="-1" strike="noStrike">
              <a:latin typeface="Times New Roman"/>
            </a:endParaRPr>
          </a:p>
        </xdr:txBody>
      </xdr:sp>
      <xdr:cxnSp>
        <xdr:nvCxnSpPr>
          <xdr:cNvPr id="844" name="2 Conector recto"/>
          <xdr:cNvCxnSpPr/>
        </xdr:nvCxnSpPr>
        <xdr:spPr>
          <a:xfrm>
            <a:off x="8396280" y="4978800"/>
            <a:ext cx="609840" cy="360"/>
          </a:xfrm>
          <a:prstGeom prst="straightConnector1">
            <a:avLst/>
          </a:prstGeom>
          <a:ln w="38100">
            <a:solidFill>
              <a:srgbClr val="ff0000"/>
            </a:solidFill>
          </a:ln>
        </xdr:spPr>
      </xdr:cxnSp>
      <xdr:cxnSp>
        <xdr:nvCxnSpPr>
          <xdr:cNvPr id="845" name="2 Conector recto"/>
          <xdr:cNvCxnSpPr/>
        </xdr:nvCxnSpPr>
        <xdr:spPr>
          <a:xfrm>
            <a:off x="8527680" y="3821760"/>
            <a:ext cx="360" cy="1170000"/>
          </a:xfrm>
          <a:prstGeom prst="straightConnector1">
            <a:avLst/>
          </a:prstGeom>
          <a:ln w="19050">
            <a:solidFill>
              <a:srgbClr val="ff0000"/>
            </a:solidFill>
          </a:ln>
        </xdr:spPr>
      </xdr:cxnSp>
      <xdr:sp>
        <xdr:nvSpPr>
          <xdr:cNvPr id="846" name="Rectángulo: esquinas redondeadas 847"/>
          <xdr:cNvSpPr/>
        </xdr:nvSpPr>
        <xdr:spPr>
          <a:xfrm>
            <a:off x="8495640" y="386856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47" name="Rectángulo: esquinas redondeadas 848"/>
          <xdr:cNvSpPr/>
        </xdr:nvSpPr>
        <xdr:spPr>
          <a:xfrm>
            <a:off x="8496360" y="487980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48" name="CuadroTexto 849"/>
          <xdr:cNvSpPr/>
        </xdr:nvSpPr>
        <xdr:spPr>
          <a:xfrm>
            <a:off x="8616600" y="4674240"/>
            <a:ext cx="905400" cy="3247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MAGDALENA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849" name="2 Conector recto"/>
          <xdr:cNvCxnSpPr/>
        </xdr:nvCxnSpPr>
        <xdr:spPr>
          <a:xfrm>
            <a:off x="8526960" y="4980960"/>
            <a:ext cx="360" cy="1139040"/>
          </a:xfrm>
          <a:prstGeom prst="straightConnector1">
            <a:avLst/>
          </a:prstGeom>
          <a:ln w="19050">
            <a:solidFill>
              <a:srgbClr val="ff0000"/>
            </a:solidFill>
          </a:ln>
        </xdr:spPr>
      </xdr:cxnSp>
      <xdr:sp>
        <xdr:nvSpPr>
          <xdr:cNvPr id="850" name="Rectángulo: esquinas redondeadas 851"/>
          <xdr:cNvSpPr/>
        </xdr:nvSpPr>
        <xdr:spPr>
          <a:xfrm>
            <a:off x="8494920" y="501804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51" name="Rectángulo: esquinas redondeadas 852"/>
          <xdr:cNvSpPr/>
        </xdr:nvSpPr>
        <xdr:spPr>
          <a:xfrm>
            <a:off x="8495640" y="604152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852" name="2 Conector recto"/>
          <xdr:cNvCxnSpPr/>
        </xdr:nvCxnSpPr>
        <xdr:spPr>
          <a:xfrm>
            <a:off x="8646840" y="5546160"/>
            <a:ext cx="415440" cy="360"/>
          </a:xfrm>
          <a:prstGeom prst="straightConnector1">
            <a:avLst/>
          </a:prstGeom>
          <a:ln w="38100">
            <a:solidFill>
              <a:srgbClr val="ff0000"/>
            </a:solidFill>
          </a:ln>
        </xdr:spPr>
      </xdr:cxnSp>
      <xdr:cxnSp>
        <xdr:nvCxnSpPr>
          <xdr:cNvPr id="853" name="2 Conector recto"/>
          <xdr:cNvCxnSpPr/>
        </xdr:nvCxnSpPr>
        <xdr:spPr>
          <a:xfrm>
            <a:off x="8779680" y="4983840"/>
            <a:ext cx="360" cy="558720"/>
          </a:xfrm>
          <a:prstGeom prst="straightConnector1">
            <a:avLst/>
          </a:prstGeom>
          <a:ln w="19050">
            <a:solidFill>
              <a:srgbClr val="ff0000"/>
            </a:solidFill>
          </a:ln>
        </xdr:spPr>
      </xdr:cxnSp>
      <xdr:sp>
        <xdr:nvSpPr>
          <xdr:cNvPr id="854" name="Rectángulo: esquinas redondeadas 855"/>
          <xdr:cNvSpPr/>
        </xdr:nvSpPr>
        <xdr:spPr>
          <a:xfrm>
            <a:off x="8747280" y="502416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55" name="Rectángulo: esquinas redondeadas 856"/>
          <xdr:cNvSpPr/>
        </xdr:nvSpPr>
        <xdr:spPr>
          <a:xfrm>
            <a:off x="8748360" y="544680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56" name="CuadroTexto 857"/>
          <xdr:cNvSpPr/>
        </xdr:nvSpPr>
        <xdr:spPr>
          <a:xfrm>
            <a:off x="9005040" y="5352480"/>
            <a:ext cx="614520" cy="3463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UNIÓN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857" name="2 Conector recto"/>
          <xdr:cNvCxnSpPr/>
        </xdr:nvCxnSpPr>
        <xdr:spPr>
          <a:xfrm>
            <a:off x="8773560" y="5539320"/>
            <a:ext cx="360" cy="580680"/>
          </a:xfrm>
          <a:prstGeom prst="straightConnector1">
            <a:avLst/>
          </a:prstGeom>
          <a:ln w="19050">
            <a:solidFill>
              <a:srgbClr val="ff0000"/>
            </a:solidFill>
          </a:ln>
        </xdr:spPr>
      </xdr:cxnSp>
      <xdr:sp>
        <xdr:nvSpPr>
          <xdr:cNvPr id="858" name="Rectángulo: esquinas redondeadas 859"/>
          <xdr:cNvSpPr/>
        </xdr:nvSpPr>
        <xdr:spPr>
          <a:xfrm>
            <a:off x="8741520" y="559224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59" name="Rectángulo: esquinas redondeadas 860"/>
          <xdr:cNvSpPr/>
        </xdr:nvSpPr>
        <xdr:spPr>
          <a:xfrm>
            <a:off x="8742600" y="604152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860" name="2 Conector recto"/>
          <xdr:cNvCxnSpPr/>
        </xdr:nvCxnSpPr>
        <xdr:spPr>
          <a:xfrm>
            <a:off x="7575120" y="5553360"/>
            <a:ext cx="360" cy="575640"/>
          </a:xfrm>
          <a:prstGeom prst="straightConnector1">
            <a:avLst/>
          </a:prstGeom>
          <a:ln w="19050">
            <a:solidFill>
              <a:srgbClr val="ff0000"/>
            </a:solidFill>
          </a:ln>
        </xdr:spPr>
      </xdr:cxnSp>
      <xdr:sp>
        <xdr:nvSpPr>
          <xdr:cNvPr id="861" name="Rectángulo: esquinas redondeadas 862"/>
          <xdr:cNvSpPr/>
        </xdr:nvSpPr>
        <xdr:spPr>
          <a:xfrm>
            <a:off x="7543080" y="560016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62" name="Rectángulo: esquinas redondeadas 863"/>
          <xdr:cNvSpPr/>
        </xdr:nvSpPr>
        <xdr:spPr>
          <a:xfrm>
            <a:off x="7543800" y="603252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863" name="2 Conector recto"/>
          <xdr:cNvCxnSpPr/>
        </xdr:nvCxnSpPr>
        <xdr:spPr>
          <a:xfrm>
            <a:off x="7820640" y="5554080"/>
            <a:ext cx="360" cy="575640"/>
          </a:xfrm>
          <a:prstGeom prst="straightConnector1">
            <a:avLst/>
          </a:prstGeom>
          <a:ln w="19050">
            <a:solidFill>
              <a:srgbClr val="ff0000"/>
            </a:solidFill>
          </a:ln>
        </xdr:spPr>
      </xdr:cxnSp>
      <xdr:sp>
        <xdr:nvSpPr>
          <xdr:cNvPr id="864" name="Rectángulo: esquinas redondeadas 865"/>
          <xdr:cNvSpPr/>
        </xdr:nvSpPr>
        <xdr:spPr>
          <a:xfrm>
            <a:off x="7788240" y="5600880"/>
            <a:ext cx="7380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65" name="Rectángulo: esquinas redondeadas 866"/>
          <xdr:cNvSpPr/>
        </xdr:nvSpPr>
        <xdr:spPr>
          <a:xfrm>
            <a:off x="7789320" y="6033600"/>
            <a:ext cx="7380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866" name="2 Conector recto"/>
          <xdr:cNvCxnSpPr/>
        </xdr:nvCxnSpPr>
        <xdr:spPr>
          <a:xfrm>
            <a:off x="7373880" y="5549040"/>
            <a:ext cx="682560" cy="360"/>
          </a:xfrm>
          <a:prstGeom prst="straightConnector1">
            <a:avLst/>
          </a:prstGeom>
          <a:ln w="38100">
            <a:solidFill>
              <a:srgbClr val="ff0000"/>
            </a:solidFill>
          </a:ln>
        </xdr:spPr>
      </xdr:cxnSp>
      <xdr:sp>
        <xdr:nvSpPr>
          <xdr:cNvPr id="867" name="CuadroTexto 868"/>
          <xdr:cNvSpPr/>
        </xdr:nvSpPr>
        <xdr:spPr>
          <a:xfrm>
            <a:off x="7307280" y="5241960"/>
            <a:ext cx="833400" cy="36360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VEINTE DE JULIO</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868" name="2 Conector recto"/>
          <xdr:cNvCxnSpPr/>
        </xdr:nvCxnSpPr>
        <xdr:spPr>
          <a:xfrm>
            <a:off x="6903000" y="5554080"/>
            <a:ext cx="360" cy="575640"/>
          </a:xfrm>
          <a:prstGeom prst="straightConnector1">
            <a:avLst/>
          </a:prstGeom>
          <a:ln w="19050">
            <a:solidFill>
              <a:srgbClr val="ff0000"/>
            </a:solidFill>
          </a:ln>
        </xdr:spPr>
      </xdr:cxnSp>
      <xdr:sp>
        <xdr:nvSpPr>
          <xdr:cNvPr id="869" name="Rectángulo: esquinas redondeadas 870"/>
          <xdr:cNvSpPr/>
        </xdr:nvSpPr>
        <xdr:spPr>
          <a:xfrm>
            <a:off x="6870600" y="560088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70" name="Rectángulo: esquinas redondeadas 871"/>
          <xdr:cNvSpPr/>
        </xdr:nvSpPr>
        <xdr:spPr>
          <a:xfrm>
            <a:off x="6871680" y="603324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871" name="2 Conector recto"/>
          <xdr:cNvCxnSpPr/>
        </xdr:nvCxnSpPr>
        <xdr:spPr>
          <a:xfrm>
            <a:off x="5886360" y="5547600"/>
            <a:ext cx="1173960" cy="360"/>
          </a:xfrm>
          <a:prstGeom prst="straightConnector1">
            <a:avLst/>
          </a:prstGeom>
          <a:ln w="38100">
            <a:solidFill>
              <a:srgbClr val="ff0000"/>
            </a:solidFill>
          </a:ln>
        </xdr:spPr>
      </xdr:cxnSp>
      <xdr:sp>
        <xdr:nvSpPr>
          <xdr:cNvPr id="872" name="CuadroTexto 873"/>
          <xdr:cNvSpPr/>
        </xdr:nvSpPr>
        <xdr:spPr>
          <a:xfrm>
            <a:off x="5952240" y="5351400"/>
            <a:ext cx="1013760" cy="1573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CORDIALIDAD 110 kV</a:t>
            </a:r>
            <a:endParaRPr b="0" lang="en-GB" sz="700" spc="-1" strike="noStrike">
              <a:latin typeface="Times New Roman"/>
            </a:endParaRPr>
          </a:p>
        </xdr:txBody>
      </xdr:sp>
      <xdr:cxnSp>
        <xdr:nvCxnSpPr>
          <xdr:cNvPr id="873" name="2 Conector recto"/>
          <xdr:cNvCxnSpPr/>
        </xdr:nvCxnSpPr>
        <xdr:spPr>
          <a:xfrm>
            <a:off x="6036480" y="5557320"/>
            <a:ext cx="360" cy="575640"/>
          </a:xfrm>
          <a:prstGeom prst="straightConnector1">
            <a:avLst/>
          </a:prstGeom>
          <a:ln w="19050">
            <a:solidFill>
              <a:srgbClr val="ff0000"/>
            </a:solidFill>
          </a:ln>
        </xdr:spPr>
      </xdr:cxnSp>
      <xdr:sp>
        <xdr:nvSpPr>
          <xdr:cNvPr id="874" name="Rectángulo: esquinas redondeadas 875"/>
          <xdr:cNvSpPr/>
        </xdr:nvSpPr>
        <xdr:spPr>
          <a:xfrm>
            <a:off x="6004440" y="560412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75" name="Rectángulo: esquinas redondeadas 876"/>
          <xdr:cNvSpPr/>
        </xdr:nvSpPr>
        <xdr:spPr>
          <a:xfrm>
            <a:off x="6005520" y="603648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76" name="CuadroTexto 877"/>
          <xdr:cNvSpPr/>
        </xdr:nvSpPr>
        <xdr:spPr>
          <a:xfrm>
            <a:off x="5193000" y="5825160"/>
            <a:ext cx="847440" cy="35820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gn="ctr">
              <a:lnSpc>
                <a:spcPct val="100000"/>
              </a:lnSpc>
            </a:pPr>
            <a:r>
              <a:rPr b="0" lang="es-MX" sz="700" spc="-1" strike="noStrike">
                <a:solidFill>
                  <a:srgbClr val="000000"/>
                </a:solidFill>
                <a:latin typeface="Calibri"/>
              </a:rPr>
              <a:t>CARACOLÍ </a:t>
            </a:r>
            <a:endParaRPr b="0" lang="en-GB" sz="700" spc="-1" strike="noStrike">
              <a:latin typeface="Times New Roman"/>
            </a:endParaRPr>
          </a:p>
          <a:p>
            <a:pPr algn="ct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877" name="2 Conector recto"/>
          <xdr:cNvCxnSpPr/>
        </xdr:nvCxnSpPr>
        <xdr:spPr>
          <a:xfrm>
            <a:off x="4790880" y="6129360"/>
            <a:ext cx="1489680" cy="360"/>
          </a:xfrm>
          <a:prstGeom prst="straightConnector1">
            <a:avLst/>
          </a:prstGeom>
          <a:ln w="38100">
            <a:solidFill>
              <a:srgbClr val="ff0000"/>
            </a:solidFill>
          </a:ln>
        </xdr:spPr>
      </xdr:cxnSp>
      <xdr:sp>
        <xdr:nvSpPr>
          <xdr:cNvPr id="878" name="Elipse 49"/>
          <xdr:cNvSpPr/>
        </xdr:nvSpPr>
        <xdr:spPr>
          <a:xfrm rot="10800000">
            <a:off x="5609160" y="6281280"/>
            <a:ext cx="187200" cy="147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879" name="Elipse 50"/>
          <xdr:cNvSpPr/>
        </xdr:nvSpPr>
        <xdr:spPr>
          <a:xfrm rot="10800000">
            <a:off x="5608440" y="6371640"/>
            <a:ext cx="187200" cy="147600"/>
          </a:xfrm>
          <a:prstGeom prst="ellipse">
            <a:avLst/>
          </a:prstGeom>
          <a:noFill/>
          <a:ln w="19050">
            <a:solidFill>
              <a:srgbClr val="003db8"/>
            </a:solidFill>
          </a:ln>
        </xdr:spPr>
        <xdr:style>
          <a:lnRef idx="2">
            <a:schemeClr val="accent1">
              <a:shade val="50000"/>
            </a:schemeClr>
          </a:lnRef>
          <a:fillRef idx="1">
            <a:schemeClr val="accent1"/>
          </a:fillRef>
          <a:effectRef idx="0">
            <a:schemeClr val="accent1"/>
          </a:effectRef>
          <a:fontRef idx="minor"/>
        </xdr:style>
      </xdr:sp>
      <xdr:cxnSp>
        <xdr:nvCxnSpPr>
          <xdr:cNvPr id="880" name="174 Conector recto de flecha"/>
          <xdr:cNvCxnSpPr/>
        </xdr:nvCxnSpPr>
        <xdr:spPr>
          <a:xfrm flipV="1">
            <a:off x="5702400" y="6128280"/>
            <a:ext cx="360" cy="149760"/>
          </a:xfrm>
          <a:prstGeom prst="straightConnector1">
            <a:avLst/>
          </a:prstGeom>
          <a:ln w="19050">
            <a:solidFill>
              <a:srgbClr val="ff0000"/>
            </a:solidFill>
          </a:ln>
        </xdr:spPr>
      </xdr:cxnSp>
      <xdr:cxnSp>
        <xdr:nvCxnSpPr>
          <xdr:cNvPr id="881" name="Conector recto de flecha 173"/>
          <xdr:cNvCxnSpPr/>
        </xdr:nvCxnSpPr>
        <xdr:spPr>
          <a:xfrm>
            <a:off x="5703840" y="6514200"/>
            <a:ext cx="360" cy="164880"/>
          </a:xfrm>
          <a:prstGeom prst="straightConnector1">
            <a:avLst/>
          </a:prstGeom>
          <a:ln w="19050">
            <a:solidFill>
              <a:srgbClr val="003db8"/>
            </a:solidFill>
            <a:round/>
          </a:ln>
        </xdr:spPr>
      </xdr:cxnSp>
      <xdr:sp>
        <xdr:nvSpPr>
          <xdr:cNvPr id="882" name="Rectángulo: esquinas redondeadas 883"/>
          <xdr:cNvSpPr/>
        </xdr:nvSpPr>
        <xdr:spPr>
          <a:xfrm>
            <a:off x="5666400" y="6587280"/>
            <a:ext cx="72360" cy="56880"/>
          </a:xfrm>
          <a:prstGeom prst="roundRect">
            <a:avLst>
              <a:gd name="adj" fmla="val 16667"/>
            </a:avLst>
          </a:prstGeom>
          <a:solidFill>
            <a:srgbClr val="003db8"/>
          </a:solidFill>
          <a:ln w="19050">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883" name="Rectángulo: esquinas redondeadas 884"/>
          <xdr:cNvSpPr/>
        </xdr:nvSpPr>
        <xdr:spPr>
          <a:xfrm>
            <a:off x="5662440" y="616284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84" name="Elipse 49"/>
          <xdr:cNvSpPr/>
        </xdr:nvSpPr>
        <xdr:spPr>
          <a:xfrm rot="10800000">
            <a:off x="5949360" y="6281280"/>
            <a:ext cx="187200" cy="147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885" name="Elipse 50"/>
          <xdr:cNvSpPr/>
        </xdr:nvSpPr>
        <xdr:spPr>
          <a:xfrm rot="10800000">
            <a:off x="5948640" y="6371640"/>
            <a:ext cx="187200" cy="147600"/>
          </a:xfrm>
          <a:prstGeom prst="ellipse">
            <a:avLst/>
          </a:prstGeom>
          <a:noFill/>
          <a:ln w="19050">
            <a:solidFill>
              <a:srgbClr val="003db8"/>
            </a:solidFill>
          </a:ln>
        </xdr:spPr>
        <xdr:style>
          <a:lnRef idx="2">
            <a:schemeClr val="accent1">
              <a:shade val="50000"/>
            </a:schemeClr>
          </a:lnRef>
          <a:fillRef idx="1">
            <a:schemeClr val="accent1"/>
          </a:fillRef>
          <a:effectRef idx="0">
            <a:schemeClr val="accent1"/>
          </a:effectRef>
          <a:fontRef idx="minor"/>
        </xdr:style>
      </xdr:sp>
      <xdr:cxnSp>
        <xdr:nvCxnSpPr>
          <xdr:cNvPr id="886" name="174 Conector recto de flecha"/>
          <xdr:cNvCxnSpPr/>
        </xdr:nvCxnSpPr>
        <xdr:spPr>
          <a:xfrm flipV="1">
            <a:off x="6037920" y="6116760"/>
            <a:ext cx="360" cy="161280"/>
          </a:xfrm>
          <a:prstGeom prst="straightConnector1">
            <a:avLst/>
          </a:prstGeom>
          <a:ln w="19050">
            <a:solidFill>
              <a:srgbClr val="ff0000"/>
            </a:solidFill>
          </a:ln>
        </xdr:spPr>
      </xdr:cxnSp>
      <xdr:cxnSp>
        <xdr:nvCxnSpPr>
          <xdr:cNvPr id="887" name="Conector recto de flecha 173"/>
          <xdr:cNvCxnSpPr/>
        </xdr:nvCxnSpPr>
        <xdr:spPr>
          <a:xfrm>
            <a:off x="6044040" y="6514200"/>
            <a:ext cx="360" cy="172440"/>
          </a:xfrm>
          <a:prstGeom prst="straightConnector1">
            <a:avLst/>
          </a:prstGeom>
          <a:ln w="19050">
            <a:solidFill>
              <a:srgbClr val="003db8"/>
            </a:solidFill>
            <a:round/>
          </a:ln>
        </xdr:spPr>
      </xdr:cxnSp>
      <xdr:sp>
        <xdr:nvSpPr>
          <xdr:cNvPr id="888" name="Rectángulo: esquinas redondeadas 889"/>
          <xdr:cNvSpPr/>
        </xdr:nvSpPr>
        <xdr:spPr>
          <a:xfrm>
            <a:off x="6006600" y="6587280"/>
            <a:ext cx="72360" cy="56880"/>
          </a:xfrm>
          <a:prstGeom prst="roundRect">
            <a:avLst>
              <a:gd name="adj" fmla="val 16667"/>
            </a:avLst>
          </a:prstGeom>
          <a:solidFill>
            <a:srgbClr val="003db8"/>
          </a:solidFill>
          <a:ln w="19050">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889" name="Rectángulo: esquinas redondeadas 890"/>
          <xdr:cNvSpPr/>
        </xdr:nvSpPr>
        <xdr:spPr>
          <a:xfrm>
            <a:off x="6002640" y="616284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890" name="2 Conector recto"/>
          <xdr:cNvCxnSpPr/>
        </xdr:nvCxnSpPr>
        <xdr:spPr>
          <a:xfrm>
            <a:off x="5407560" y="6681960"/>
            <a:ext cx="996840" cy="360"/>
          </a:xfrm>
          <a:prstGeom prst="straightConnector1">
            <a:avLst/>
          </a:prstGeom>
          <a:ln w="38100">
            <a:solidFill>
              <a:srgbClr val="003db8"/>
            </a:solidFill>
          </a:ln>
        </xdr:spPr>
      </xdr:cxnSp>
      <xdr:sp>
        <xdr:nvSpPr>
          <xdr:cNvPr id="891" name="CuadroTexto 892"/>
          <xdr:cNvSpPr/>
        </xdr:nvSpPr>
        <xdr:spPr>
          <a:xfrm>
            <a:off x="4891680" y="6734520"/>
            <a:ext cx="947880" cy="22716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CARACOLÍ 220 kV</a:t>
            </a:r>
            <a:endParaRPr b="0" lang="en-GB" sz="700" spc="-1" strike="noStrike">
              <a:latin typeface="Times New Roman"/>
            </a:endParaRPr>
          </a:p>
        </xdr:txBody>
      </xdr:sp>
      <xdr:cxnSp>
        <xdr:nvCxnSpPr>
          <xdr:cNvPr id="892" name="2 Conector recto"/>
          <xdr:cNvCxnSpPr/>
        </xdr:nvCxnSpPr>
        <xdr:spPr>
          <a:xfrm>
            <a:off x="5250600" y="3788640"/>
            <a:ext cx="360" cy="2341440"/>
          </a:xfrm>
          <a:prstGeom prst="straightConnector1">
            <a:avLst/>
          </a:prstGeom>
          <a:ln w="19050">
            <a:solidFill>
              <a:srgbClr val="ff0000"/>
            </a:solidFill>
          </a:ln>
        </xdr:spPr>
      </xdr:cxnSp>
      <xdr:sp>
        <xdr:nvSpPr>
          <xdr:cNvPr id="893" name="Rectángulo: esquinas redondeadas 894"/>
          <xdr:cNvSpPr/>
        </xdr:nvSpPr>
        <xdr:spPr>
          <a:xfrm>
            <a:off x="5218560" y="560124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94" name="Rectángulo: esquinas redondeadas 895"/>
          <xdr:cNvSpPr/>
        </xdr:nvSpPr>
        <xdr:spPr>
          <a:xfrm>
            <a:off x="5219640" y="603396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895" name="2 Conector recto"/>
          <xdr:cNvCxnSpPr/>
        </xdr:nvCxnSpPr>
        <xdr:spPr>
          <a:xfrm>
            <a:off x="5250240" y="6136200"/>
            <a:ext cx="360" cy="380520"/>
          </a:xfrm>
          <a:prstGeom prst="straightConnector1">
            <a:avLst/>
          </a:prstGeom>
          <a:ln w="19050">
            <a:solidFill>
              <a:srgbClr val="ff0000"/>
            </a:solidFill>
          </a:ln>
        </xdr:spPr>
      </xdr:cxnSp>
      <xdr:sp>
        <xdr:nvSpPr>
          <xdr:cNvPr id="896" name="Rectángulo: esquinas redondeadas 897"/>
          <xdr:cNvSpPr/>
        </xdr:nvSpPr>
        <xdr:spPr>
          <a:xfrm>
            <a:off x="5222880" y="616860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897" name="Rectángulo: esquinas redondeadas 898"/>
          <xdr:cNvSpPr/>
        </xdr:nvSpPr>
        <xdr:spPr>
          <a:xfrm>
            <a:off x="5218920" y="642060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898" name="2 Conector recto"/>
          <xdr:cNvCxnSpPr/>
        </xdr:nvCxnSpPr>
        <xdr:spPr>
          <a:xfrm>
            <a:off x="3979080" y="6523920"/>
            <a:ext cx="1406880" cy="360"/>
          </a:xfrm>
          <a:prstGeom prst="straightConnector1">
            <a:avLst/>
          </a:prstGeom>
          <a:ln w="38100">
            <a:solidFill>
              <a:srgbClr val="ff0000"/>
            </a:solidFill>
          </a:ln>
        </xdr:spPr>
      </xdr:cxnSp>
      <xdr:sp>
        <xdr:nvSpPr>
          <xdr:cNvPr id="899" name="CuadroTexto 900"/>
          <xdr:cNvSpPr/>
        </xdr:nvSpPr>
        <xdr:spPr>
          <a:xfrm>
            <a:off x="4326840" y="6220440"/>
            <a:ext cx="584640" cy="3391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gn="ctr">
              <a:lnSpc>
                <a:spcPct val="100000"/>
              </a:lnSpc>
            </a:pPr>
            <a:r>
              <a:rPr b="0" lang="es-MX" sz="700" spc="-1" strike="noStrike">
                <a:solidFill>
                  <a:srgbClr val="000000"/>
                </a:solidFill>
                <a:latin typeface="Calibri"/>
              </a:rPr>
              <a:t>MALAMBO </a:t>
            </a:r>
            <a:endParaRPr b="0" lang="en-GB" sz="700" spc="-1" strike="noStrike">
              <a:latin typeface="Times New Roman"/>
            </a:endParaRPr>
          </a:p>
          <a:p>
            <a:pPr algn="ct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900" name="2 Conector recto"/>
          <xdr:cNvCxnSpPr/>
        </xdr:nvCxnSpPr>
        <xdr:spPr>
          <a:xfrm>
            <a:off x="5005800" y="6124680"/>
            <a:ext cx="360" cy="392040"/>
          </a:xfrm>
          <a:prstGeom prst="straightConnector1">
            <a:avLst/>
          </a:prstGeom>
          <a:ln w="19050">
            <a:solidFill>
              <a:srgbClr val="ff0000"/>
            </a:solidFill>
          </a:ln>
        </xdr:spPr>
      </xdr:cxnSp>
      <xdr:sp>
        <xdr:nvSpPr>
          <xdr:cNvPr id="901" name="Rectángulo: esquinas redondeadas 902"/>
          <xdr:cNvSpPr/>
        </xdr:nvSpPr>
        <xdr:spPr>
          <a:xfrm>
            <a:off x="4978440" y="617256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02" name="Rectángulo: esquinas redondeadas 903"/>
          <xdr:cNvSpPr/>
        </xdr:nvSpPr>
        <xdr:spPr>
          <a:xfrm>
            <a:off x="4974480" y="642060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903" name="2 Conector recto"/>
          <xdr:cNvCxnSpPr/>
        </xdr:nvCxnSpPr>
        <xdr:spPr>
          <a:xfrm>
            <a:off x="5005800" y="5554440"/>
            <a:ext cx="360" cy="575640"/>
          </a:xfrm>
          <a:prstGeom prst="straightConnector1">
            <a:avLst/>
          </a:prstGeom>
          <a:ln w="19050">
            <a:solidFill>
              <a:srgbClr val="ff0000"/>
            </a:solidFill>
          </a:ln>
        </xdr:spPr>
      </xdr:cxnSp>
      <xdr:sp>
        <xdr:nvSpPr>
          <xdr:cNvPr id="904" name="Rectángulo: esquinas redondeadas 905"/>
          <xdr:cNvSpPr/>
        </xdr:nvSpPr>
        <xdr:spPr>
          <a:xfrm>
            <a:off x="4973760" y="560124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05" name="Rectángulo: esquinas redondeadas 906"/>
          <xdr:cNvSpPr/>
        </xdr:nvSpPr>
        <xdr:spPr>
          <a:xfrm>
            <a:off x="4974480" y="603360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906" name="2 Conector recto"/>
          <xdr:cNvCxnSpPr/>
        </xdr:nvCxnSpPr>
        <xdr:spPr>
          <a:xfrm>
            <a:off x="4449600" y="5548320"/>
            <a:ext cx="936360" cy="360"/>
          </a:xfrm>
          <a:prstGeom prst="straightConnector1">
            <a:avLst/>
          </a:prstGeom>
          <a:ln w="38100">
            <a:solidFill>
              <a:srgbClr val="ff0000"/>
            </a:solidFill>
          </a:ln>
        </xdr:spPr>
      </xdr:cxnSp>
      <xdr:sp>
        <xdr:nvSpPr>
          <xdr:cNvPr id="907" name="CuadroTexto 908"/>
          <xdr:cNvSpPr/>
        </xdr:nvSpPr>
        <xdr:spPr>
          <a:xfrm>
            <a:off x="4296960" y="5254920"/>
            <a:ext cx="847440" cy="37620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SILENCIO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908" name="2 Conector recto"/>
          <xdr:cNvCxnSpPr/>
        </xdr:nvCxnSpPr>
        <xdr:spPr>
          <a:xfrm>
            <a:off x="5003640" y="4969440"/>
            <a:ext cx="360" cy="575640"/>
          </a:xfrm>
          <a:prstGeom prst="straightConnector1">
            <a:avLst/>
          </a:prstGeom>
          <a:ln w="19050">
            <a:solidFill>
              <a:srgbClr val="ff0000"/>
            </a:solidFill>
          </a:ln>
        </xdr:spPr>
      </xdr:cxnSp>
      <xdr:sp>
        <xdr:nvSpPr>
          <xdr:cNvPr id="909" name="Rectángulo: esquinas redondeadas 910"/>
          <xdr:cNvSpPr/>
        </xdr:nvSpPr>
        <xdr:spPr>
          <a:xfrm>
            <a:off x="4971600" y="501624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10" name="Rectángulo: esquinas redondeadas 911"/>
          <xdr:cNvSpPr/>
        </xdr:nvSpPr>
        <xdr:spPr>
          <a:xfrm>
            <a:off x="4972320" y="544860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911" name="2 Conector recto"/>
          <xdr:cNvCxnSpPr/>
        </xdr:nvCxnSpPr>
        <xdr:spPr>
          <a:xfrm>
            <a:off x="4471920" y="4963320"/>
            <a:ext cx="657000" cy="360"/>
          </a:xfrm>
          <a:prstGeom prst="straightConnector1">
            <a:avLst/>
          </a:prstGeom>
          <a:ln w="38100">
            <a:solidFill>
              <a:srgbClr val="ff0000"/>
            </a:solidFill>
          </a:ln>
        </xdr:spPr>
      </xdr:cxnSp>
      <xdr:sp>
        <xdr:nvSpPr>
          <xdr:cNvPr id="912" name="CuadroTexto 913"/>
          <xdr:cNvSpPr/>
        </xdr:nvSpPr>
        <xdr:spPr>
          <a:xfrm>
            <a:off x="4133880" y="4637520"/>
            <a:ext cx="600120" cy="4705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gn="ctr">
              <a:lnSpc>
                <a:spcPct val="100000"/>
              </a:lnSpc>
            </a:pPr>
            <a:r>
              <a:rPr b="0" lang="es-MX" sz="700" spc="-1" strike="noStrike">
                <a:solidFill>
                  <a:srgbClr val="000000"/>
                </a:solidFill>
                <a:latin typeface="Calibri"/>
              </a:rPr>
              <a:t>CENTRO </a:t>
            </a:r>
            <a:endParaRPr b="0" lang="en-GB" sz="700" spc="-1" strike="noStrike">
              <a:latin typeface="Times New Roman"/>
            </a:endParaRPr>
          </a:p>
          <a:p>
            <a:pPr algn="ct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913" name="2 Conector recto"/>
          <xdr:cNvCxnSpPr/>
        </xdr:nvCxnSpPr>
        <xdr:spPr>
          <a:xfrm>
            <a:off x="4747320" y="4384800"/>
            <a:ext cx="360" cy="575640"/>
          </a:xfrm>
          <a:prstGeom prst="straightConnector1">
            <a:avLst/>
          </a:prstGeom>
          <a:ln w="19050">
            <a:solidFill>
              <a:srgbClr val="ff0000"/>
            </a:solidFill>
          </a:ln>
        </xdr:spPr>
      </xdr:cxnSp>
      <xdr:sp>
        <xdr:nvSpPr>
          <xdr:cNvPr id="914" name="Rectángulo: esquinas redondeadas 915"/>
          <xdr:cNvSpPr/>
        </xdr:nvSpPr>
        <xdr:spPr>
          <a:xfrm>
            <a:off x="4714920" y="443160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15" name="Rectángulo: esquinas redondeadas 916"/>
          <xdr:cNvSpPr/>
        </xdr:nvSpPr>
        <xdr:spPr>
          <a:xfrm>
            <a:off x="4716000" y="486432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916" name="2 Conector recto"/>
          <xdr:cNvCxnSpPr/>
        </xdr:nvCxnSpPr>
        <xdr:spPr>
          <a:xfrm>
            <a:off x="4460760" y="4378680"/>
            <a:ext cx="449640" cy="360"/>
          </a:xfrm>
          <a:prstGeom prst="straightConnector1">
            <a:avLst/>
          </a:prstGeom>
          <a:ln w="38100">
            <a:solidFill>
              <a:srgbClr val="ff0000"/>
            </a:solidFill>
          </a:ln>
        </xdr:spPr>
      </xdr:cxnSp>
      <xdr:sp>
        <xdr:nvSpPr>
          <xdr:cNvPr id="917" name="CuadroTexto 918"/>
          <xdr:cNvSpPr/>
        </xdr:nvSpPr>
        <xdr:spPr>
          <a:xfrm>
            <a:off x="4158000" y="4077720"/>
            <a:ext cx="596880" cy="43704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gn="ctr">
              <a:lnSpc>
                <a:spcPct val="100000"/>
              </a:lnSpc>
            </a:pPr>
            <a:r>
              <a:rPr b="0" lang="es-MX" sz="700" spc="-1" strike="noStrike">
                <a:solidFill>
                  <a:srgbClr val="000000"/>
                </a:solidFill>
                <a:latin typeface="Calibri"/>
              </a:rPr>
              <a:t>ESTADIO </a:t>
            </a:r>
            <a:endParaRPr b="0" lang="en-GB" sz="700" spc="-1" strike="noStrike">
              <a:latin typeface="Times New Roman"/>
            </a:endParaRPr>
          </a:p>
          <a:p>
            <a:pPr algn="ct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918" name="2 Conector recto"/>
          <xdr:cNvCxnSpPr/>
        </xdr:nvCxnSpPr>
        <xdr:spPr>
          <a:xfrm>
            <a:off x="4747320" y="3799800"/>
            <a:ext cx="360" cy="575640"/>
          </a:xfrm>
          <a:prstGeom prst="straightConnector1">
            <a:avLst/>
          </a:prstGeom>
          <a:ln w="19050">
            <a:solidFill>
              <a:srgbClr val="ff0000"/>
            </a:solidFill>
          </a:ln>
        </xdr:spPr>
      </xdr:cxnSp>
      <xdr:sp>
        <xdr:nvSpPr>
          <xdr:cNvPr id="919" name="Rectángulo: esquinas redondeadas 920"/>
          <xdr:cNvSpPr/>
        </xdr:nvSpPr>
        <xdr:spPr>
          <a:xfrm>
            <a:off x="4714920" y="384660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20" name="Rectángulo: esquinas redondeadas 921"/>
          <xdr:cNvSpPr/>
        </xdr:nvSpPr>
        <xdr:spPr>
          <a:xfrm>
            <a:off x="4716000" y="427932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921" name="2 Conector recto"/>
          <xdr:cNvCxnSpPr/>
        </xdr:nvCxnSpPr>
        <xdr:spPr>
          <a:xfrm>
            <a:off x="4460760" y="3793680"/>
            <a:ext cx="931320" cy="360"/>
          </a:xfrm>
          <a:prstGeom prst="straightConnector1">
            <a:avLst/>
          </a:prstGeom>
          <a:ln w="38100">
            <a:solidFill>
              <a:srgbClr val="ff0000"/>
            </a:solidFill>
          </a:ln>
        </xdr:spPr>
      </xdr:cxnSp>
      <xdr:sp>
        <xdr:nvSpPr>
          <xdr:cNvPr id="922" name="CuadroTexto 923"/>
          <xdr:cNvSpPr/>
        </xdr:nvSpPr>
        <xdr:spPr>
          <a:xfrm>
            <a:off x="4179600" y="3462120"/>
            <a:ext cx="679680" cy="46980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OASIS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sp>
        <xdr:nvSpPr>
          <xdr:cNvPr id="923" name="Rectángulo: esquinas redondeadas 924"/>
          <xdr:cNvSpPr/>
        </xdr:nvSpPr>
        <xdr:spPr>
          <a:xfrm>
            <a:off x="5216040" y="384660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24" name="Rectángulo: esquinas redondeadas 925"/>
          <xdr:cNvSpPr/>
        </xdr:nvSpPr>
        <xdr:spPr>
          <a:xfrm>
            <a:off x="5216040" y="544752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925" name="2 Conector recto"/>
          <xdr:cNvCxnSpPr/>
        </xdr:nvCxnSpPr>
        <xdr:spPr>
          <a:xfrm>
            <a:off x="5250600" y="2683080"/>
            <a:ext cx="360" cy="1114560"/>
          </a:xfrm>
          <a:prstGeom prst="straightConnector1">
            <a:avLst/>
          </a:prstGeom>
          <a:ln w="19050">
            <a:solidFill>
              <a:srgbClr val="ff0000"/>
            </a:solidFill>
          </a:ln>
        </xdr:spPr>
      </xdr:cxnSp>
      <xdr:sp>
        <xdr:nvSpPr>
          <xdr:cNvPr id="926" name="Rectángulo: esquinas redondeadas 927"/>
          <xdr:cNvSpPr/>
        </xdr:nvSpPr>
        <xdr:spPr>
          <a:xfrm>
            <a:off x="5218560" y="272592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27" name="Rectángulo: esquinas redondeadas 928"/>
          <xdr:cNvSpPr/>
        </xdr:nvSpPr>
        <xdr:spPr>
          <a:xfrm>
            <a:off x="5219640" y="370116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928" name="2 Conector recto"/>
          <xdr:cNvCxnSpPr/>
        </xdr:nvCxnSpPr>
        <xdr:spPr>
          <a:xfrm>
            <a:off x="5003280" y="2683080"/>
            <a:ext cx="360" cy="1114560"/>
          </a:xfrm>
          <a:prstGeom prst="straightConnector1">
            <a:avLst/>
          </a:prstGeom>
          <a:ln w="19050">
            <a:solidFill>
              <a:srgbClr val="ff0000"/>
            </a:solidFill>
          </a:ln>
        </xdr:spPr>
      </xdr:cxnSp>
      <xdr:sp>
        <xdr:nvSpPr>
          <xdr:cNvPr id="929" name="Rectángulo: esquinas redondeadas 930"/>
          <xdr:cNvSpPr/>
        </xdr:nvSpPr>
        <xdr:spPr>
          <a:xfrm>
            <a:off x="4971240" y="272592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30" name="Rectángulo: esquinas redondeadas 931"/>
          <xdr:cNvSpPr/>
        </xdr:nvSpPr>
        <xdr:spPr>
          <a:xfrm>
            <a:off x="4972320" y="370116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931" name="2 Conector recto"/>
          <xdr:cNvCxnSpPr/>
        </xdr:nvCxnSpPr>
        <xdr:spPr>
          <a:xfrm>
            <a:off x="4748760" y="2683080"/>
            <a:ext cx="360" cy="1114560"/>
          </a:xfrm>
          <a:prstGeom prst="straightConnector1">
            <a:avLst/>
          </a:prstGeom>
          <a:ln w="19050">
            <a:solidFill>
              <a:srgbClr val="ff0000"/>
            </a:solidFill>
          </a:ln>
        </xdr:spPr>
      </xdr:cxnSp>
      <xdr:sp>
        <xdr:nvSpPr>
          <xdr:cNvPr id="932" name="Rectángulo: esquinas redondeadas 933"/>
          <xdr:cNvSpPr/>
        </xdr:nvSpPr>
        <xdr:spPr>
          <a:xfrm>
            <a:off x="4716720" y="272592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33" name="Rectángulo: esquinas redondeadas 934"/>
          <xdr:cNvSpPr/>
        </xdr:nvSpPr>
        <xdr:spPr>
          <a:xfrm>
            <a:off x="4717440" y="370116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934" name="2 Conector recto"/>
          <xdr:cNvCxnSpPr/>
        </xdr:nvCxnSpPr>
        <xdr:spPr>
          <a:xfrm>
            <a:off x="4230360" y="6132240"/>
            <a:ext cx="360" cy="384480"/>
          </a:xfrm>
          <a:prstGeom prst="straightConnector1">
            <a:avLst/>
          </a:prstGeom>
          <a:ln w="19050">
            <a:solidFill>
              <a:srgbClr val="ff0000"/>
            </a:solidFill>
          </a:ln>
        </xdr:spPr>
      </xdr:cxnSp>
      <xdr:sp>
        <xdr:nvSpPr>
          <xdr:cNvPr id="935" name="Rectángulo: esquinas redondeadas 936"/>
          <xdr:cNvSpPr/>
        </xdr:nvSpPr>
        <xdr:spPr>
          <a:xfrm>
            <a:off x="4198320" y="616464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36" name="Rectángulo: esquinas redondeadas 937"/>
          <xdr:cNvSpPr/>
        </xdr:nvSpPr>
        <xdr:spPr>
          <a:xfrm>
            <a:off x="4199400" y="642024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937" name="2 Conector recto"/>
          <xdr:cNvCxnSpPr/>
        </xdr:nvCxnSpPr>
        <xdr:spPr>
          <a:xfrm>
            <a:off x="3371400" y="6128640"/>
            <a:ext cx="1041120" cy="360"/>
          </a:xfrm>
          <a:prstGeom prst="straightConnector1">
            <a:avLst/>
          </a:prstGeom>
          <a:ln w="38100">
            <a:solidFill>
              <a:srgbClr val="ff0000"/>
            </a:solidFill>
          </a:ln>
        </xdr:spPr>
      </xdr:cxnSp>
      <xdr:sp>
        <xdr:nvSpPr>
          <xdr:cNvPr id="938" name="CuadroTexto 939"/>
          <xdr:cNvSpPr/>
        </xdr:nvSpPr>
        <xdr:spPr>
          <a:xfrm>
            <a:off x="3366720" y="5919120"/>
            <a:ext cx="1112400" cy="24768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BARANOA 110 kV</a:t>
            </a:r>
            <a:endParaRPr b="0" lang="en-GB" sz="700" spc="-1" strike="noStrike">
              <a:latin typeface="Times New Roman"/>
            </a:endParaRPr>
          </a:p>
        </xdr:txBody>
      </xdr:sp>
      <xdr:sp>
        <xdr:nvSpPr>
          <xdr:cNvPr id="939" name="CuadroTexto 940"/>
          <xdr:cNvSpPr/>
        </xdr:nvSpPr>
        <xdr:spPr>
          <a:xfrm>
            <a:off x="2693520" y="6221880"/>
            <a:ext cx="1045080" cy="35244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gn="ctr">
              <a:lnSpc>
                <a:spcPct val="100000"/>
              </a:lnSpc>
            </a:pPr>
            <a:r>
              <a:rPr b="0" lang="es-MX" sz="700" spc="-1" strike="noStrike">
                <a:solidFill>
                  <a:srgbClr val="000000"/>
                </a:solidFill>
                <a:latin typeface="Calibri"/>
              </a:rPr>
              <a:t>SABANALARGA </a:t>
            </a:r>
            <a:endParaRPr b="0" lang="en-GB" sz="700" spc="-1" strike="noStrike">
              <a:latin typeface="Times New Roman"/>
            </a:endParaRPr>
          </a:p>
          <a:p>
            <a:pPr algn="ct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940" name="2 Conector recto"/>
          <xdr:cNvCxnSpPr/>
        </xdr:nvCxnSpPr>
        <xdr:spPr>
          <a:xfrm>
            <a:off x="2162160" y="7057080"/>
            <a:ext cx="1324080" cy="360"/>
          </a:xfrm>
          <a:prstGeom prst="straightConnector1">
            <a:avLst/>
          </a:prstGeom>
          <a:ln w="38100">
            <a:solidFill>
              <a:srgbClr val="003db8"/>
            </a:solidFill>
          </a:ln>
        </xdr:spPr>
      </xdr:cxnSp>
      <xdr:cxnSp>
        <xdr:nvCxnSpPr>
          <xdr:cNvPr id="941" name="2 Conector recto"/>
          <xdr:cNvCxnSpPr/>
        </xdr:nvCxnSpPr>
        <xdr:spPr>
          <a:xfrm>
            <a:off x="2208960" y="6522480"/>
            <a:ext cx="277200" cy="360"/>
          </a:xfrm>
          <a:prstGeom prst="straightConnector1">
            <a:avLst/>
          </a:prstGeom>
          <a:ln w="38100">
            <a:solidFill>
              <a:srgbClr val="ffc000"/>
            </a:solidFill>
          </a:ln>
        </xdr:spPr>
      </xdr:cxnSp>
      <xdr:cxnSp>
        <xdr:nvCxnSpPr>
          <xdr:cNvPr id="942" name="2 Conector recto"/>
          <xdr:cNvCxnSpPr/>
        </xdr:nvCxnSpPr>
        <xdr:spPr>
          <a:xfrm>
            <a:off x="2585520" y="6522480"/>
            <a:ext cx="1080720" cy="360"/>
          </a:xfrm>
          <a:prstGeom prst="straightConnector1">
            <a:avLst/>
          </a:prstGeom>
          <a:ln w="38100">
            <a:solidFill>
              <a:srgbClr val="ff0000"/>
            </a:solidFill>
          </a:ln>
        </xdr:spPr>
      </xdr:cxnSp>
      <xdr:cxnSp>
        <xdr:nvCxnSpPr>
          <xdr:cNvPr id="943" name="2 Conector recto"/>
          <xdr:cNvCxnSpPr/>
        </xdr:nvCxnSpPr>
        <xdr:spPr>
          <a:xfrm>
            <a:off x="3561120" y="6132960"/>
            <a:ext cx="360" cy="384480"/>
          </a:xfrm>
          <a:prstGeom prst="straightConnector1">
            <a:avLst/>
          </a:prstGeom>
          <a:ln w="19050">
            <a:solidFill>
              <a:srgbClr val="ff0000"/>
            </a:solidFill>
          </a:ln>
        </xdr:spPr>
      </xdr:cxnSp>
      <xdr:sp>
        <xdr:nvSpPr>
          <xdr:cNvPr id="944" name="Rectángulo: esquinas redondeadas 945"/>
          <xdr:cNvSpPr/>
        </xdr:nvSpPr>
        <xdr:spPr>
          <a:xfrm>
            <a:off x="3529080" y="616536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45" name="Rectángulo: esquinas redondeadas 946"/>
          <xdr:cNvSpPr/>
        </xdr:nvSpPr>
        <xdr:spPr>
          <a:xfrm>
            <a:off x="3530160" y="642096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46" name="Oval 84"/>
          <xdr:cNvSpPr/>
        </xdr:nvSpPr>
        <xdr:spPr>
          <a:xfrm rot="10800000">
            <a:off x="3262680" y="6665040"/>
            <a:ext cx="176760" cy="133200"/>
          </a:xfrm>
          <a:prstGeom prst="ellipse">
            <a:avLst/>
          </a:prstGeom>
          <a:noFill/>
          <a:ln w="19050">
            <a:solidFill>
              <a:srgbClr val="ff0000"/>
            </a:solidFill>
            <a:round/>
          </a:ln>
        </xdr:spPr>
        <xdr:style>
          <a:lnRef idx="0"/>
          <a:fillRef idx="0"/>
          <a:effectRef idx="0"/>
          <a:fontRef idx="minor"/>
        </xdr:style>
      </xdr:sp>
      <xdr:sp>
        <xdr:nvSpPr>
          <xdr:cNvPr id="947" name="Oval 85"/>
          <xdr:cNvSpPr/>
        </xdr:nvSpPr>
        <xdr:spPr>
          <a:xfrm rot="10800000">
            <a:off x="3262680" y="6764760"/>
            <a:ext cx="176760" cy="133200"/>
          </a:xfrm>
          <a:prstGeom prst="ellipse">
            <a:avLst/>
          </a:prstGeom>
          <a:noFill/>
          <a:ln w="19050">
            <a:solidFill>
              <a:srgbClr val="003db8"/>
            </a:solidFill>
            <a:round/>
          </a:ln>
        </xdr:spPr>
        <xdr:style>
          <a:lnRef idx="0"/>
          <a:fillRef idx="0"/>
          <a:effectRef idx="0"/>
          <a:fontRef idx="minor"/>
        </xdr:style>
      </xdr:sp>
      <xdr:sp>
        <xdr:nvSpPr>
          <xdr:cNvPr id="948" name="Line 179"/>
          <xdr:cNvSpPr/>
        </xdr:nvSpPr>
        <xdr:spPr>
          <a:xfrm>
            <a:off x="3356640" y="6899400"/>
            <a:ext cx="360" cy="155160"/>
          </a:xfrm>
          <a:prstGeom prst="line">
            <a:avLst/>
          </a:prstGeom>
          <a:ln w="19050">
            <a:solidFill>
              <a:srgbClr val="003db8"/>
            </a:solidFill>
            <a:round/>
          </a:ln>
        </xdr:spPr>
        <xdr:style>
          <a:lnRef idx="0"/>
          <a:fillRef idx="0"/>
          <a:effectRef idx="0"/>
          <a:fontRef idx="minor"/>
        </xdr:style>
      </xdr:sp>
      <xdr:sp>
        <xdr:nvSpPr>
          <xdr:cNvPr id="949" name="Line 179"/>
          <xdr:cNvSpPr/>
        </xdr:nvSpPr>
        <xdr:spPr>
          <a:xfrm>
            <a:off x="3355560" y="6517440"/>
            <a:ext cx="360" cy="147960"/>
          </a:xfrm>
          <a:prstGeom prst="line">
            <a:avLst/>
          </a:prstGeom>
          <a:ln w="28575">
            <a:solidFill>
              <a:srgbClr val="ff0000"/>
            </a:solidFill>
            <a:round/>
          </a:ln>
        </xdr:spPr>
        <xdr:style>
          <a:lnRef idx="0"/>
          <a:fillRef idx="0"/>
          <a:effectRef idx="0"/>
          <a:fontRef idx="minor"/>
        </xdr:style>
      </xdr:sp>
      <xdr:sp>
        <xdr:nvSpPr>
          <xdr:cNvPr id="950" name="Rectángulo: esquinas redondeadas 951"/>
          <xdr:cNvSpPr/>
        </xdr:nvSpPr>
        <xdr:spPr>
          <a:xfrm>
            <a:off x="3321000" y="655956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51" name="Rectángulo: esquinas redondeadas 952"/>
          <xdr:cNvSpPr/>
        </xdr:nvSpPr>
        <xdr:spPr>
          <a:xfrm>
            <a:off x="3321000" y="6959160"/>
            <a:ext cx="72360" cy="568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952" name="Oval 84"/>
          <xdr:cNvSpPr/>
        </xdr:nvSpPr>
        <xdr:spPr>
          <a:xfrm flipH="1" rot="10800000">
            <a:off x="2723040" y="6665400"/>
            <a:ext cx="176760" cy="133200"/>
          </a:xfrm>
          <a:prstGeom prst="ellipse">
            <a:avLst/>
          </a:prstGeom>
          <a:noFill/>
          <a:ln w="19050">
            <a:solidFill>
              <a:srgbClr val="ff0000"/>
            </a:solidFill>
            <a:round/>
          </a:ln>
        </xdr:spPr>
        <xdr:style>
          <a:lnRef idx="0"/>
          <a:fillRef idx="0"/>
          <a:effectRef idx="0"/>
          <a:fontRef idx="minor"/>
        </xdr:style>
      </xdr:sp>
      <xdr:sp>
        <xdr:nvSpPr>
          <xdr:cNvPr id="953" name="Oval 85"/>
          <xdr:cNvSpPr/>
        </xdr:nvSpPr>
        <xdr:spPr>
          <a:xfrm flipH="1" rot="10800000">
            <a:off x="2723040" y="6765480"/>
            <a:ext cx="176760" cy="133200"/>
          </a:xfrm>
          <a:prstGeom prst="ellipse">
            <a:avLst/>
          </a:prstGeom>
          <a:noFill/>
          <a:ln w="19050">
            <a:solidFill>
              <a:srgbClr val="003db8"/>
            </a:solidFill>
            <a:round/>
          </a:ln>
        </xdr:spPr>
        <xdr:style>
          <a:lnRef idx="0"/>
          <a:fillRef idx="0"/>
          <a:effectRef idx="0"/>
          <a:fontRef idx="minor"/>
        </xdr:style>
      </xdr:sp>
      <xdr:sp>
        <xdr:nvSpPr>
          <xdr:cNvPr id="954" name="Oval 84"/>
          <xdr:cNvSpPr/>
        </xdr:nvSpPr>
        <xdr:spPr>
          <a:xfrm flipH="1" rot="10800000">
            <a:off x="2822760" y="6721920"/>
            <a:ext cx="172080" cy="133200"/>
          </a:xfrm>
          <a:prstGeom prst="ellipse">
            <a:avLst/>
          </a:prstGeom>
          <a:noFill/>
          <a:ln w="19050">
            <a:solidFill>
              <a:srgbClr val="000000"/>
            </a:solidFill>
            <a:round/>
          </a:ln>
        </xdr:spPr>
        <xdr:style>
          <a:lnRef idx="0"/>
          <a:fillRef idx="0"/>
          <a:effectRef idx="0"/>
          <a:fontRef idx="minor"/>
        </xdr:style>
      </xdr:sp>
      <xdr:sp>
        <xdr:nvSpPr>
          <xdr:cNvPr id="955" name="Line 179"/>
          <xdr:cNvSpPr/>
        </xdr:nvSpPr>
        <xdr:spPr>
          <a:xfrm>
            <a:off x="2805840" y="6900120"/>
            <a:ext cx="360" cy="154800"/>
          </a:xfrm>
          <a:prstGeom prst="line">
            <a:avLst/>
          </a:prstGeom>
          <a:ln w="19050">
            <a:solidFill>
              <a:srgbClr val="003db8"/>
            </a:solidFill>
            <a:round/>
          </a:ln>
        </xdr:spPr>
        <xdr:style>
          <a:lnRef idx="0"/>
          <a:fillRef idx="0"/>
          <a:effectRef idx="0"/>
          <a:fontRef idx="minor"/>
        </xdr:style>
      </xdr:sp>
      <xdr:sp>
        <xdr:nvSpPr>
          <xdr:cNvPr id="956" name="Line 179"/>
          <xdr:cNvSpPr/>
        </xdr:nvSpPr>
        <xdr:spPr>
          <a:xfrm>
            <a:off x="2807280" y="6518160"/>
            <a:ext cx="360" cy="147600"/>
          </a:xfrm>
          <a:prstGeom prst="line">
            <a:avLst/>
          </a:prstGeom>
          <a:ln w="28575">
            <a:solidFill>
              <a:srgbClr val="ff0000"/>
            </a:solidFill>
            <a:round/>
          </a:ln>
        </xdr:spPr>
        <xdr:style>
          <a:lnRef idx="0"/>
          <a:fillRef idx="0"/>
          <a:effectRef idx="0"/>
          <a:fontRef idx="minor"/>
        </xdr:style>
      </xdr:sp>
      <xdr:sp>
        <xdr:nvSpPr>
          <xdr:cNvPr id="957" name="Line 179"/>
          <xdr:cNvSpPr/>
        </xdr:nvSpPr>
        <xdr:spPr>
          <a:xfrm flipH="1">
            <a:off x="2993760" y="6784560"/>
            <a:ext cx="130320" cy="360"/>
          </a:xfrm>
          <a:prstGeom prst="line">
            <a:avLst/>
          </a:prstGeom>
          <a:ln w="19050">
            <a:solidFill>
              <a:srgbClr val="000000"/>
            </a:solidFill>
            <a:round/>
          </a:ln>
        </xdr:spPr>
        <xdr:style>
          <a:lnRef idx="0"/>
          <a:fillRef idx="0"/>
          <a:effectRef idx="0"/>
          <a:fontRef idx="minor"/>
        </xdr:style>
      </xdr:sp>
      <xdr:cxnSp>
        <xdr:nvCxnSpPr>
          <xdr:cNvPr id="958" name="2 Conector recto"/>
          <xdr:cNvCxnSpPr/>
        </xdr:nvCxnSpPr>
        <xdr:spPr>
          <a:xfrm flipV="1">
            <a:off x="3115800" y="6707160"/>
            <a:ext cx="360" cy="156240"/>
          </a:xfrm>
          <a:prstGeom prst="straightConnector1">
            <a:avLst/>
          </a:prstGeom>
          <a:ln w="19050">
            <a:solidFill>
              <a:srgbClr val="000000"/>
            </a:solidFill>
          </a:ln>
        </xdr:spPr>
      </xdr:cxnSp>
      <xdr:sp>
        <xdr:nvSpPr>
          <xdr:cNvPr id="959" name="Rectángulo: esquinas redondeadas 960"/>
          <xdr:cNvSpPr/>
        </xdr:nvSpPr>
        <xdr:spPr>
          <a:xfrm>
            <a:off x="2772360" y="655956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60" name="Rectángulo: esquinas redondeadas 961"/>
          <xdr:cNvSpPr/>
        </xdr:nvSpPr>
        <xdr:spPr>
          <a:xfrm>
            <a:off x="2769480" y="6959160"/>
            <a:ext cx="72360" cy="568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961" name="Oval 84"/>
          <xdr:cNvSpPr/>
        </xdr:nvSpPr>
        <xdr:spPr>
          <a:xfrm flipH="1" rot="10800000">
            <a:off x="2253600" y="6666120"/>
            <a:ext cx="176760" cy="133200"/>
          </a:xfrm>
          <a:prstGeom prst="ellipse">
            <a:avLst/>
          </a:prstGeom>
          <a:noFill/>
          <a:ln w="19050">
            <a:solidFill>
              <a:srgbClr val="ffc000"/>
            </a:solidFill>
            <a:round/>
          </a:ln>
        </xdr:spPr>
        <xdr:style>
          <a:lnRef idx="0"/>
          <a:fillRef idx="0"/>
          <a:effectRef idx="0"/>
          <a:fontRef idx="minor"/>
        </xdr:style>
      </xdr:sp>
      <xdr:sp>
        <xdr:nvSpPr>
          <xdr:cNvPr id="962" name="Oval 85"/>
          <xdr:cNvSpPr/>
        </xdr:nvSpPr>
        <xdr:spPr>
          <a:xfrm flipH="1" rot="10800000">
            <a:off x="2253600" y="6765840"/>
            <a:ext cx="176760" cy="133200"/>
          </a:xfrm>
          <a:prstGeom prst="ellipse">
            <a:avLst/>
          </a:prstGeom>
          <a:noFill/>
          <a:ln w="19050">
            <a:solidFill>
              <a:srgbClr val="003db8"/>
            </a:solidFill>
            <a:round/>
          </a:ln>
        </xdr:spPr>
        <xdr:style>
          <a:lnRef idx="0"/>
          <a:fillRef idx="0"/>
          <a:effectRef idx="0"/>
          <a:fontRef idx="minor"/>
        </xdr:style>
      </xdr:sp>
      <xdr:sp>
        <xdr:nvSpPr>
          <xdr:cNvPr id="963" name="Line 179"/>
          <xdr:cNvSpPr/>
        </xdr:nvSpPr>
        <xdr:spPr>
          <a:xfrm>
            <a:off x="2336400" y="6900480"/>
            <a:ext cx="360" cy="155160"/>
          </a:xfrm>
          <a:prstGeom prst="line">
            <a:avLst/>
          </a:prstGeom>
          <a:ln w="19050">
            <a:solidFill>
              <a:srgbClr val="003db8"/>
            </a:solidFill>
            <a:round/>
          </a:ln>
        </xdr:spPr>
        <xdr:style>
          <a:lnRef idx="0"/>
          <a:fillRef idx="0"/>
          <a:effectRef idx="0"/>
          <a:fontRef idx="minor"/>
        </xdr:style>
      </xdr:sp>
      <xdr:sp>
        <xdr:nvSpPr>
          <xdr:cNvPr id="964" name="Line 179"/>
          <xdr:cNvSpPr/>
        </xdr:nvSpPr>
        <xdr:spPr>
          <a:xfrm>
            <a:off x="2337480" y="6518520"/>
            <a:ext cx="360" cy="147960"/>
          </a:xfrm>
          <a:prstGeom prst="line">
            <a:avLst/>
          </a:prstGeom>
          <a:ln w="28575">
            <a:solidFill>
              <a:srgbClr val="ffc000"/>
            </a:solidFill>
            <a:round/>
          </a:ln>
        </xdr:spPr>
        <xdr:style>
          <a:lnRef idx="0"/>
          <a:fillRef idx="0"/>
          <a:effectRef idx="0"/>
          <a:fontRef idx="minor"/>
        </xdr:style>
      </xdr:sp>
      <xdr:sp>
        <xdr:nvSpPr>
          <xdr:cNvPr id="965" name="Rectángulo: esquinas redondeadas 966"/>
          <xdr:cNvSpPr/>
        </xdr:nvSpPr>
        <xdr:spPr>
          <a:xfrm>
            <a:off x="2302920" y="6560280"/>
            <a:ext cx="72360" cy="56880"/>
          </a:xfrm>
          <a:prstGeom prst="roundRect">
            <a:avLst>
              <a:gd name="adj" fmla="val 16667"/>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xdr:style>
      </xdr:sp>
      <xdr:sp>
        <xdr:nvSpPr>
          <xdr:cNvPr id="966" name="Rectángulo: esquinas redondeadas 967"/>
          <xdr:cNvSpPr/>
        </xdr:nvSpPr>
        <xdr:spPr>
          <a:xfrm>
            <a:off x="2300040" y="6959520"/>
            <a:ext cx="72360" cy="568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cxnSp>
        <xdr:nvCxnSpPr>
          <xdr:cNvPr id="967" name="2 Conector recto"/>
          <xdr:cNvCxnSpPr/>
        </xdr:nvCxnSpPr>
        <xdr:spPr>
          <a:xfrm>
            <a:off x="2811240" y="5553720"/>
            <a:ext cx="360" cy="961560"/>
          </a:xfrm>
          <a:prstGeom prst="straightConnector1">
            <a:avLst/>
          </a:prstGeom>
          <a:ln w="19050">
            <a:solidFill>
              <a:srgbClr val="ff0000"/>
            </a:solidFill>
          </a:ln>
        </xdr:spPr>
      </xdr:cxnSp>
      <xdr:sp>
        <xdr:nvSpPr>
          <xdr:cNvPr id="968" name="Rectángulo: esquinas redondeadas 969"/>
          <xdr:cNvSpPr/>
        </xdr:nvSpPr>
        <xdr:spPr>
          <a:xfrm>
            <a:off x="2779200" y="560052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69" name="Rectángulo: esquinas redondeadas 970"/>
          <xdr:cNvSpPr/>
        </xdr:nvSpPr>
        <xdr:spPr>
          <a:xfrm>
            <a:off x="2780280" y="642492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970" name="2 Conector recto"/>
          <xdr:cNvCxnSpPr/>
        </xdr:nvCxnSpPr>
        <xdr:spPr>
          <a:xfrm>
            <a:off x="2585160" y="5547600"/>
            <a:ext cx="479520" cy="360"/>
          </a:xfrm>
          <a:prstGeom prst="straightConnector1">
            <a:avLst/>
          </a:prstGeom>
          <a:ln w="38100">
            <a:solidFill>
              <a:srgbClr val="ff0000"/>
            </a:solidFill>
          </a:ln>
        </xdr:spPr>
      </xdr:cxnSp>
      <xdr:sp>
        <xdr:nvSpPr>
          <xdr:cNvPr id="971" name="CuadroTexto 972"/>
          <xdr:cNvSpPr/>
        </xdr:nvSpPr>
        <xdr:spPr>
          <a:xfrm>
            <a:off x="2458440" y="5189040"/>
            <a:ext cx="743760" cy="37404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gn="ctr">
              <a:lnSpc>
                <a:spcPct val="100000"/>
              </a:lnSpc>
            </a:pPr>
            <a:r>
              <a:rPr b="0" lang="es-MX" sz="700" spc="-1" strike="noStrike">
                <a:solidFill>
                  <a:srgbClr val="000000"/>
                </a:solidFill>
                <a:latin typeface="Calibri"/>
              </a:rPr>
              <a:t>SALAMINA</a:t>
            </a:r>
            <a:endParaRPr b="0" lang="en-GB" sz="700" spc="-1" strike="noStrike">
              <a:latin typeface="Times New Roman"/>
            </a:endParaRPr>
          </a:p>
          <a:p>
            <a:pPr algn="ct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972" name="2 Conector recto"/>
          <xdr:cNvCxnSpPr/>
        </xdr:nvCxnSpPr>
        <xdr:spPr>
          <a:xfrm>
            <a:off x="2117160" y="4575600"/>
            <a:ext cx="914760" cy="360"/>
          </a:xfrm>
          <a:prstGeom prst="straightConnector1">
            <a:avLst/>
          </a:prstGeom>
          <a:ln w="38100">
            <a:solidFill>
              <a:srgbClr val="003db8"/>
            </a:solidFill>
          </a:ln>
        </xdr:spPr>
      </xdr:cxnSp>
      <xdr:sp>
        <xdr:nvSpPr>
          <xdr:cNvPr id="973" name="Oval 84"/>
          <xdr:cNvSpPr/>
        </xdr:nvSpPr>
        <xdr:spPr>
          <a:xfrm rot="10800000">
            <a:off x="2814480" y="4190760"/>
            <a:ext cx="176760" cy="133200"/>
          </a:xfrm>
          <a:prstGeom prst="ellipse">
            <a:avLst/>
          </a:prstGeom>
          <a:noFill/>
          <a:ln w="19050">
            <a:solidFill>
              <a:srgbClr val="ff0000"/>
            </a:solidFill>
            <a:round/>
          </a:ln>
        </xdr:spPr>
        <xdr:style>
          <a:lnRef idx="0"/>
          <a:fillRef idx="0"/>
          <a:effectRef idx="0"/>
          <a:fontRef idx="minor"/>
        </xdr:style>
      </xdr:sp>
      <xdr:sp>
        <xdr:nvSpPr>
          <xdr:cNvPr id="974" name="Oval 85"/>
          <xdr:cNvSpPr/>
        </xdr:nvSpPr>
        <xdr:spPr>
          <a:xfrm rot="10800000">
            <a:off x="2814480" y="4290480"/>
            <a:ext cx="176760" cy="133200"/>
          </a:xfrm>
          <a:prstGeom prst="ellipse">
            <a:avLst/>
          </a:prstGeom>
          <a:noFill/>
          <a:ln w="19050">
            <a:solidFill>
              <a:srgbClr val="003db8"/>
            </a:solidFill>
            <a:round/>
          </a:ln>
        </xdr:spPr>
        <xdr:style>
          <a:lnRef idx="0"/>
          <a:fillRef idx="0"/>
          <a:effectRef idx="0"/>
          <a:fontRef idx="minor"/>
        </xdr:style>
      </xdr:sp>
      <xdr:sp>
        <xdr:nvSpPr>
          <xdr:cNvPr id="975" name="Line 179"/>
          <xdr:cNvSpPr/>
        </xdr:nvSpPr>
        <xdr:spPr>
          <a:xfrm>
            <a:off x="2908440" y="4425120"/>
            <a:ext cx="360" cy="155160"/>
          </a:xfrm>
          <a:prstGeom prst="line">
            <a:avLst/>
          </a:prstGeom>
          <a:ln w="28575">
            <a:solidFill>
              <a:srgbClr val="003db8"/>
            </a:solidFill>
            <a:round/>
          </a:ln>
        </xdr:spPr>
        <xdr:style>
          <a:lnRef idx="0"/>
          <a:fillRef idx="0"/>
          <a:effectRef idx="0"/>
          <a:fontRef idx="minor"/>
        </xdr:style>
      </xdr:sp>
      <xdr:sp>
        <xdr:nvSpPr>
          <xdr:cNvPr id="976" name="Line 179"/>
          <xdr:cNvSpPr/>
        </xdr:nvSpPr>
        <xdr:spPr>
          <a:xfrm>
            <a:off x="2907000" y="4043160"/>
            <a:ext cx="360" cy="147960"/>
          </a:xfrm>
          <a:prstGeom prst="line">
            <a:avLst/>
          </a:prstGeom>
          <a:ln w="28575">
            <a:solidFill>
              <a:srgbClr val="ff0000"/>
            </a:solidFill>
            <a:round/>
          </a:ln>
        </xdr:spPr>
        <xdr:style>
          <a:lnRef idx="0"/>
          <a:fillRef idx="0"/>
          <a:effectRef idx="0"/>
          <a:fontRef idx="minor"/>
        </xdr:style>
      </xdr:sp>
      <xdr:sp>
        <xdr:nvSpPr>
          <xdr:cNvPr id="977" name="Rectángulo: esquinas redondeadas 978"/>
          <xdr:cNvSpPr/>
        </xdr:nvSpPr>
        <xdr:spPr>
          <a:xfrm>
            <a:off x="2872800" y="4085640"/>
            <a:ext cx="72360" cy="56880"/>
          </a:xfrm>
          <a:prstGeom prst="roundRect">
            <a:avLst>
              <a:gd name="adj" fmla="val 16667"/>
            </a:avLst>
          </a:prstGeom>
          <a:solidFill>
            <a:srgbClr val="ff0000"/>
          </a:solidFill>
          <a:ln w="19050">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78" name="Rectángulo: esquinas redondeadas 979"/>
          <xdr:cNvSpPr/>
        </xdr:nvSpPr>
        <xdr:spPr>
          <a:xfrm>
            <a:off x="2872800" y="4484880"/>
            <a:ext cx="72360" cy="56880"/>
          </a:xfrm>
          <a:prstGeom prst="roundRect">
            <a:avLst>
              <a:gd name="adj" fmla="val 16667"/>
            </a:avLst>
          </a:prstGeom>
          <a:solidFill>
            <a:srgbClr val="003db8"/>
          </a:solidFill>
          <a:ln w="19050">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979" name="Oval 84"/>
          <xdr:cNvSpPr/>
        </xdr:nvSpPr>
        <xdr:spPr>
          <a:xfrm flipH="1" rot="10800000">
            <a:off x="2274840" y="4191480"/>
            <a:ext cx="176760" cy="133200"/>
          </a:xfrm>
          <a:prstGeom prst="ellipse">
            <a:avLst/>
          </a:prstGeom>
          <a:noFill/>
          <a:ln w="19050">
            <a:solidFill>
              <a:srgbClr val="ff0000"/>
            </a:solidFill>
            <a:round/>
          </a:ln>
        </xdr:spPr>
        <xdr:style>
          <a:lnRef idx="0"/>
          <a:fillRef idx="0"/>
          <a:effectRef idx="0"/>
          <a:fontRef idx="minor"/>
        </xdr:style>
      </xdr:sp>
      <xdr:sp>
        <xdr:nvSpPr>
          <xdr:cNvPr id="980" name="Oval 85"/>
          <xdr:cNvSpPr/>
        </xdr:nvSpPr>
        <xdr:spPr>
          <a:xfrm flipH="1" rot="10800000">
            <a:off x="2274840" y="4291200"/>
            <a:ext cx="176760" cy="133200"/>
          </a:xfrm>
          <a:prstGeom prst="ellipse">
            <a:avLst/>
          </a:prstGeom>
          <a:noFill/>
          <a:ln w="19050">
            <a:solidFill>
              <a:srgbClr val="003db8"/>
            </a:solidFill>
            <a:round/>
          </a:ln>
        </xdr:spPr>
        <xdr:style>
          <a:lnRef idx="0"/>
          <a:fillRef idx="0"/>
          <a:effectRef idx="0"/>
          <a:fontRef idx="minor"/>
        </xdr:style>
      </xdr:sp>
      <xdr:sp>
        <xdr:nvSpPr>
          <xdr:cNvPr id="981" name="Oval 84"/>
          <xdr:cNvSpPr/>
        </xdr:nvSpPr>
        <xdr:spPr>
          <a:xfrm flipH="1" rot="10800000">
            <a:off x="2374560" y="4247640"/>
            <a:ext cx="172080" cy="133200"/>
          </a:xfrm>
          <a:prstGeom prst="ellipse">
            <a:avLst/>
          </a:prstGeom>
          <a:noFill/>
          <a:ln w="19050">
            <a:solidFill>
              <a:srgbClr val="000000"/>
            </a:solidFill>
            <a:round/>
          </a:ln>
        </xdr:spPr>
        <xdr:style>
          <a:lnRef idx="0"/>
          <a:fillRef idx="0"/>
          <a:effectRef idx="0"/>
          <a:fontRef idx="minor"/>
        </xdr:style>
      </xdr:sp>
      <xdr:sp>
        <xdr:nvSpPr>
          <xdr:cNvPr id="982" name="Line 179"/>
          <xdr:cNvSpPr/>
        </xdr:nvSpPr>
        <xdr:spPr>
          <a:xfrm>
            <a:off x="2357640" y="4425840"/>
            <a:ext cx="360" cy="155160"/>
          </a:xfrm>
          <a:prstGeom prst="line">
            <a:avLst/>
          </a:prstGeom>
          <a:ln w="28575">
            <a:solidFill>
              <a:srgbClr val="003db8"/>
            </a:solidFill>
            <a:round/>
          </a:ln>
        </xdr:spPr>
        <xdr:style>
          <a:lnRef idx="0"/>
          <a:fillRef idx="0"/>
          <a:effectRef idx="0"/>
          <a:fontRef idx="minor"/>
        </xdr:style>
      </xdr:sp>
      <xdr:sp>
        <xdr:nvSpPr>
          <xdr:cNvPr id="983" name="Line 179"/>
          <xdr:cNvSpPr/>
        </xdr:nvSpPr>
        <xdr:spPr>
          <a:xfrm>
            <a:off x="2358720" y="4043880"/>
            <a:ext cx="360" cy="147960"/>
          </a:xfrm>
          <a:prstGeom prst="line">
            <a:avLst/>
          </a:prstGeom>
          <a:ln w="28575">
            <a:solidFill>
              <a:srgbClr val="ff0000"/>
            </a:solidFill>
            <a:round/>
          </a:ln>
        </xdr:spPr>
        <xdr:style>
          <a:lnRef idx="0"/>
          <a:fillRef idx="0"/>
          <a:effectRef idx="0"/>
          <a:fontRef idx="minor"/>
        </xdr:style>
      </xdr:sp>
      <xdr:sp>
        <xdr:nvSpPr>
          <xdr:cNvPr id="984" name="Line 179"/>
          <xdr:cNvSpPr/>
        </xdr:nvSpPr>
        <xdr:spPr>
          <a:xfrm flipH="1">
            <a:off x="2540880" y="4307040"/>
            <a:ext cx="141840" cy="360"/>
          </a:xfrm>
          <a:prstGeom prst="line">
            <a:avLst/>
          </a:prstGeom>
          <a:ln w="19050">
            <a:solidFill>
              <a:srgbClr val="000000"/>
            </a:solidFill>
            <a:round/>
          </a:ln>
        </xdr:spPr>
        <xdr:style>
          <a:lnRef idx="0"/>
          <a:fillRef idx="0"/>
          <a:effectRef idx="0"/>
          <a:fontRef idx="minor"/>
        </xdr:style>
      </xdr:sp>
      <xdr:cxnSp>
        <xdr:nvCxnSpPr>
          <xdr:cNvPr id="985" name="2 Conector recto"/>
          <xdr:cNvCxnSpPr/>
        </xdr:nvCxnSpPr>
        <xdr:spPr>
          <a:xfrm flipV="1">
            <a:off x="2679840" y="4232880"/>
            <a:ext cx="360" cy="156240"/>
          </a:xfrm>
          <a:prstGeom prst="straightConnector1">
            <a:avLst/>
          </a:prstGeom>
          <a:ln w="19050">
            <a:solidFill>
              <a:srgbClr val="000000"/>
            </a:solidFill>
          </a:ln>
        </xdr:spPr>
      </xdr:cxnSp>
      <xdr:sp>
        <xdr:nvSpPr>
          <xdr:cNvPr id="986" name="Rectángulo: esquinas redondeadas 987"/>
          <xdr:cNvSpPr/>
        </xdr:nvSpPr>
        <xdr:spPr>
          <a:xfrm>
            <a:off x="2324160" y="4085640"/>
            <a:ext cx="72360" cy="56880"/>
          </a:xfrm>
          <a:prstGeom prst="roundRect">
            <a:avLst>
              <a:gd name="adj" fmla="val 16667"/>
            </a:avLst>
          </a:prstGeom>
          <a:solidFill>
            <a:srgbClr val="ff0000"/>
          </a:solidFill>
          <a:ln w="19050">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87" name="Rectángulo: esquinas redondeadas 988"/>
          <xdr:cNvSpPr/>
        </xdr:nvSpPr>
        <xdr:spPr>
          <a:xfrm>
            <a:off x="2321280" y="4484880"/>
            <a:ext cx="72360" cy="56880"/>
          </a:xfrm>
          <a:prstGeom prst="roundRect">
            <a:avLst>
              <a:gd name="adj" fmla="val 16667"/>
            </a:avLst>
          </a:prstGeom>
          <a:solidFill>
            <a:srgbClr val="003db8"/>
          </a:solidFill>
          <a:ln w="19050">
            <a:solidFill>
              <a:srgbClr val="003db8"/>
            </a:solidFill>
          </a:ln>
        </xdr:spPr>
        <xdr:style>
          <a:lnRef idx="2">
            <a:schemeClr val="accent1">
              <a:shade val="15000"/>
            </a:schemeClr>
          </a:lnRef>
          <a:fillRef idx="1">
            <a:schemeClr val="accent1"/>
          </a:fillRef>
          <a:effectRef idx="0">
            <a:schemeClr val="accent1"/>
          </a:effectRef>
          <a:fontRef idx="minor"/>
        </xdr:style>
      </xdr:sp>
      <xdr:cxnSp>
        <xdr:nvCxnSpPr>
          <xdr:cNvPr id="988" name="2 Conector recto"/>
          <xdr:cNvCxnSpPr/>
        </xdr:nvCxnSpPr>
        <xdr:spPr>
          <a:xfrm>
            <a:off x="2163600" y="4044600"/>
            <a:ext cx="931320" cy="360"/>
          </a:xfrm>
          <a:prstGeom prst="straightConnector1">
            <a:avLst/>
          </a:prstGeom>
          <a:ln w="38100">
            <a:solidFill>
              <a:srgbClr val="ff0000"/>
            </a:solidFill>
          </a:ln>
        </xdr:spPr>
      </xdr:cxnSp>
      <xdr:sp>
        <xdr:nvSpPr>
          <xdr:cNvPr id="989" name="CuadroTexto 990"/>
          <xdr:cNvSpPr/>
        </xdr:nvSpPr>
        <xdr:spPr>
          <a:xfrm>
            <a:off x="2892240" y="3744000"/>
            <a:ext cx="1115640" cy="5497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NUEVA BARRANQUILLA</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sp>
        <xdr:nvSpPr>
          <xdr:cNvPr id="990" name="CuadroTexto 991"/>
          <xdr:cNvSpPr/>
        </xdr:nvSpPr>
        <xdr:spPr>
          <a:xfrm>
            <a:off x="2124720" y="4596120"/>
            <a:ext cx="1115640" cy="3517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NUEVA BARRANQUILLA</a:t>
            </a:r>
            <a:endParaRPr b="0" lang="en-GB" sz="700" spc="-1" strike="noStrike">
              <a:latin typeface="Times New Roman"/>
            </a:endParaRPr>
          </a:p>
          <a:p>
            <a:pPr>
              <a:lnSpc>
                <a:spcPct val="100000"/>
              </a:lnSpc>
            </a:pPr>
            <a:r>
              <a:rPr b="0" lang="es-MX" sz="700" spc="-1" strike="noStrike">
                <a:solidFill>
                  <a:srgbClr val="000000"/>
                </a:solidFill>
                <a:latin typeface="Calibri"/>
              </a:rPr>
              <a:t>220 kV</a:t>
            </a:r>
            <a:endParaRPr b="0" lang="en-GB" sz="700" spc="-1" strike="noStrike">
              <a:latin typeface="Times New Roman"/>
            </a:endParaRPr>
          </a:p>
        </xdr:txBody>
      </xdr:sp>
      <xdr:cxnSp>
        <xdr:nvCxnSpPr>
          <xdr:cNvPr id="991" name="2 Conector recto"/>
          <xdr:cNvCxnSpPr/>
        </xdr:nvCxnSpPr>
        <xdr:spPr>
          <a:xfrm>
            <a:off x="2145600" y="2892600"/>
            <a:ext cx="498600" cy="360"/>
          </a:xfrm>
          <a:prstGeom prst="straightConnector1">
            <a:avLst/>
          </a:prstGeom>
          <a:ln w="38100">
            <a:solidFill>
              <a:srgbClr val="ff0000"/>
            </a:solidFill>
          </a:ln>
        </xdr:spPr>
      </xdr:cxnSp>
      <xdr:cxnSp>
        <xdr:nvCxnSpPr>
          <xdr:cNvPr id="992" name="2 Conector recto"/>
          <xdr:cNvCxnSpPr/>
        </xdr:nvCxnSpPr>
        <xdr:spPr>
          <a:xfrm>
            <a:off x="2358360" y="2894760"/>
            <a:ext cx="360" cy="1190880"/>
          </a:xfrm>
          <a:prstGeom prst="straightConnector1">
            <a:avLst/>
          </a:prstGeom>
          <a:ln w="19050">
            <a:solidFill>
              <a:srgbClr val="ff0000"/>
            </a:solidFill>
          </a:ln>
        </xdr:spPr>
      </xdr:cxnSp>
      <xdr:sp>
        <xdr:nvSpPr>
          <xdr:cNvPr id="993" name="Rectángulo: esquinas redondeadas 994"/>
          <xdr:cNvSpPr/>
        </xdr:nvSpPr>
        <xdr:spPr>
          <a:xfrm>
            <a:off x="2326320" y="293184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94" name="Rectángulo: esquinas redondeadas 995"/>
          <xdr:cNvSpPr/>
        </xdr:nvSpPr>
        <xdr:spPr>
          <a:xfrm>
            <a:off x="2327400" y="395532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995" name="2 Conector recto"/>
          <xdr:cNvCxnSpPr/>
        </xdr:nvCxnSpPr>
        <xdr:spPr>
          <a:xfrm>
            <a:off x="2717640" y="3446280"/>
            <a:ext cx="360" cy="605520"/>
          </a:xfrm>
          <a:prstGeom prst="straightConnector1">
            <a:avLst/>
          </a:prstGeom>
          <a:ln w="19050">
            <a:solidFill>
              <a:srgbClr val="ff0000"/>
            </a:solidFill>
          </a:ln>
        </xdr:spPr>
      </xdr:cxnSp>
      <xdr:sp>
        <xdr:nvSpPr>
          <xdr:cNvPr id="996" name="Rectángulo: esquinas redondeadas 997"/>
          <xdr:cNvSpPr/>
        </xdr:nvSpPr>
        <xdr:spPr>
          <a:xfrm>
            <a:off x="2685600" y="349920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997" name="Rectángulo: esquinas redondeadas 998"/>
          <xdr:cNvSpPr/>
        </xdr:nvSpPr>
        <xdr:spPr>
          <a:xfrm>
            <a:off x="2686680" y="394848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998" name="2 Conector recto"/>
          <xdr:cNvCxnSpPr/>
        </xdr:nvCxnSpPr>
        <xdr:spPr>
          <a:xfrm>
            <a:off x="2532600" y="3447720"/>
            <a:ext cx="567000" cy="360"/>
          </a:xfrm>
          <a:prstGeom prst="straightConnector1">
            <a:avLst/>
          </a:prstGeom>
          <a:ln w="38100">
            <a:solidFill>
              <a:srgbClr val="ff0000"/>
            </a:solidFill>
          </a:ln>
        </xdr:spPr>
      </xdr:cxnSp>
      <xdr:cxnSp>
        <xdr:nvCxnSpPr>
          <xdr:cNvPr id="999" name="2 Conector recto"/>
          <xdr:cNvCxnSpPr/>
        </xdr:nvCxnSpPr>
        <xdr:spPr>
          <a:xfrm>
            <a:off x="2908440" y="3448440"/>
            <a:ext cx="360" cy="603360"/>
          </a:xfrm>
          <a:prstGeom prst="straightConnector1">
            <a:avLst/>
          </a:prstGeom>
          <a:ln w="19050">
            <a:solidFill>
              <a:srgbClr val="ff0000"/>
            </a:solidFill>
          </a:ln>
        </xdr:spPr>
      </xdr:cxnSp>
      <xdr:sp>
        <xdr:nvSpPr>
          <xdr:cNvPr id="1000" name="Rectángulo: esquinas redondeadas 1001"/>
          <xdr:cNvSpPr/>
        </xdr:nvSpPr>
        <xdr:spPr>
          <a:xfrm>
            <a:off x="2876400" y="350136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001" name="Rectángulo: esquinas redondeadas 1002"/>
          <xdr:cNvSpPr/>
        </xdr:nvSpPr>
        <xdr:spPr>
          <a:xfrm>
            <a:off x="2877480" y="395064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002" name="CuadroTexto 1003"/>
          <xdr:cNvSpPr/>
        </xdr:nvSpPr>
        <xdr:spPr>
          <a:xfrm>
            <a:off x="2594880" y="3141360"/>
            <a:ext cx="925560" cy="40968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NORTE</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sp>
        <xdr:nvSpPr>
          <xdr:cNvPr id="1003" name="CuadroTexto 1004"/>
          <xdr:cNvSpPr/>
        </xdr:nvSpPr>
        <xdr:spPr>
          <a:xfrm>
            <a:off x="1985040" y="2541600"/>
            <a:ext cx="807840" cy="35856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gn="ctr">
              <a:lnSpc>
                <a:spcPct val="100000"/>
              </a:lnSpc>
            </a:pPr>
            <a:r>
              <a:rPr b="0" lang="es-MX" sz="700" spc="-1" strike="noStrike">
                <a:solidFill>
                  <a:srgbClr val="000000"/>
                </a:solidFill>
                <a:latin typeface="Calibri"/>
              </a:rPr>
              <a:t>JUAN MINA </a:t>
            </a:r>
            <a:endParaRPr b="0" lang="en-GB" sz="700" spc="-1" strike="noStrike">
              <a:latin typeface="Times New Roman"/>
            </a:endParaRPr>
          </a:p>
          <a:p>
            <a:pPr algn="ct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1004" name="2 Conector recto"/>
          <xdr:cNvCxnSpPr/>
        </xdr:nvCxnSpPr>
        <xdr:spPr>
          <a:xfrm>
            <a:off x="5006520" y="3802680"/>
            <a:ext cx="360" cy="1201680"/>
          </a:xfrm>
          <a:prstGeom prst="straightConnector1">
            <a:avLst/>
          </a:prstGeom>
          <a:ln w="19050">
            <a:solidFill>
              <a:srgbClr val="ff0000"/>
            </a:solidFill>
          </a:ln>
        </xdr:spPr>
      </xdr:cxnSp>
      <xdr:sp>
        <xdr:nvSpPr>
          <xdr:cNvPr id="1005" name="Rectángulo: esquinas redondeadas 1006"/>
          <xdr:cNvSpPr/>
        </xdr:nvSpPr>
        <xdr:spPr>
          <a:xfrm>
            <a:off x="4974480" y="384552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006" name="Rectángulo: esquinas redondeadas 1007"/>
          <xdr:cNvSpPr/>
        </xdr:nvSpPr>
        <xdr:spPr>
          <a:xfrm>
            <a:off x="4975560" y="486504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007" name="CuadroTexto 1008"/>
          <xdr:cNvSpPr/>
        </xdr:nvSpPr>
        <xdr:spPr>
          <a:xfrm>
            <a:off x="3389400" y="6647760"/>
            <a:ext cx="556920" cy="36936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2 x 90</a:t>
            </a:r>
            <a:endParaRPr b="0" lang="en-GB" sz="700" spc="-1" strike="noStrike">
              <a:latin typeface="Times New Roman"/>
            </a:endParaRPr>
          </a:p>
          <a:p>
            <a:pPr>
              <a:lnSpc>
                <a:spcPct val="100000"/>
              </a:lnSpc>
            </a:pPr>
            <a:r>
              <a:rPr b="0" lang="es-MX" sz="700" spc="-1" strike="noStrike">
                <a:solidFill>
                  <a:srgbClr val="000000"/>
                </a:solidFill>
                <a:latin typeface="Calibri"/>
              </a:rPr>
              <a:t>MVA</a:t>
            </a:r>
            <a:endParaRPr b="0" lang="en-GB" sz="700" spc="-1" strike="noStrike">
              <a:latin typeface="Times New Roman"/>
            </a:endParaRPr>
          </a:p>
        </xdr:txBody>
      </xdr:sp>
      <xdr:sp>
        <xdr:nvSpPr>
          <xdr:cNvPr id="1008" name="CuadroTexto 1009"/>
          <xdr:cNvSpPr/>
        </xdr:nvSpPr>
        <xdr:spPr>
          <a:xfrm>
            <a:off x="1875240" y="6628320"/>
            <a:ext cx="343800" cy="38484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60</a:t>
            </a:r>
            <a:endParaRPr b="0" lang="en-GB" sz="700" spc="-1" strike="noStrike">
              <a:latin typeface="Times New Roman"/>
            </a:endParaRPr>
          </a:p>
          <a:p>
            <a:pPr>
              <a:lnSpc>
                <a:spcPct val="100000"/>
              </a:lnSpc>
            </a:pPr>
            <a:r>
              <a:rPr b="0" lang="es-MX" sz="700" spc="-1" strike="noStrike">
                <a:solidFill>
                  <a:srgbClr val="000000"/>
                </a:solidFill>
                <a:latin typeface="Calibri"/>
              </a:rPr>
              <a:t>MVA</a:t>
            </a:r>
            <a:endParaRPr b="0" lang="en-GB" sz="700" spc="-1" strike="noStrike">
              <a:latin typeface="Times New Roman"/>
            </a:endParaRPr>
          </a:p>
        </xdr:txBody>
      </xdr:sp>
      <xdr:sp>
        <xdr:nvSpPr>
          <xdr:cNvPr id="1009" name="CuadroTexto 1010"/>
          <xdr:cNvSpPr/>
        </xdr:nvSpPr>
        <xdr:spPr>
          <a:xfrm>
            <a:off x="2981160" y="4228560"/>
            <a:ext cx="562320" cy="32004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2 x 100</a:t>
            </a:r>
            <a:endParaRPr b="0" lang="en-GB" sz="700" spc="-1" strike="noStrike">
              <a:latin typeface="Times New Roman"/>
            </a:endParaRPr>
          </a:p>
          <a:p>
            <a:pPr>
              <a:lnSpc>
                <a:spcPct val="100000"/>
              </a:lnSpc>
            </a:pPr>
            <a:r>
              <a:rPr b="0" lang="es-MX" sz="700" spc="-1" strike="noStrike">
                <a:solidFill>
                  <a:srgbClr val="000000"/>
                </a:solidFill>
                <a:latin typeface="Calibri"/>
              </a:rPr>
              <a:t>MVA</a:t>
            </a:r>
            <a:endParaRPr b="0" lang="en-GB" sz="700" spc="-1" strike="noStrike">
              <a:latin typeface="Times New Roman"/>
            </a:endParaRPr>
          </a:p>
        </xdr:txBody>
      </xdr:sp>
      <xdr:sp>
        <xdr:nvSpPr>
          <xdr:cNvPr id="1010" name="CuadroTexto 1011"/>
          <xdr:cNvSpPr/>
        </xdr:nvSpPr>
        <xdr:spPr>
          <a:xfrm>
            <a:off x="6104160" y="6253920"/>
            <a:ext cx="509400" cy="32328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2 x 150</a:t>
            </a:r>
            <a:endParaRPr b="0" lang="en-GB" sz="700" spc="-1" strike="noStrike">
              <a:latin typeface="Times New Roman"/>
            </a:endParaRPr>
          </a:p>
          <a:p>
            <a:pPr>
              <a:lnSpc>
                <a:spcPct val="100000"/>
              </a:lnSpc>
            </a:pPr>
            <a:r>
              <a:rPr b="0" lang="es-MX" sz="700" spc="-1" strike="noStrike">
                <a:solidFill>
                  <a:srgbClr val="000000"/>
                </a:solidFill>
                <a:latin typeface="Calibri"/>
              </a:rPr>
              <a:t>MVA</a:t>
            </a:r>
            <a:endParaRPr b="0" lang="en-GB" sz="700" spc="-1" strike="noStrike">
              <a:latin typeface="Times New Roman"/>
            </a:endParaRPr>
          </a:p>
        </xdr:txBody>
      </xdr:sp>
      <xdr:sp>
        <xdr:nvSpPr>
          <xdr:cNvPr id="1011" name="Oval 85"/>
          <xdr:cNvSpPr/>
        </xdr:nvSpPr>
        <xdr:spPr>
          <a:xfrm rot="10800000">
            <a:off x="6062760" y="1915560"/>
            <a:ext cx="176760" cy="133200"/>
          </a:xfrm>
          <a:prstGeom prst="ellipse">
            <a:avLst/>
          </a:prstGeom>
          <a:noFill/>
          <a:ln w="28575">
            <a:solidFill>
              <a:srgbClr val="003db8"/>
            </a:solidFill>
            <a:round/>
          </a:ln>
        </xdr:spPr>
        <xdr:style>
          <a:lnRef idx="0"/>
          <a:fillRef idx="0"/>
          <a:effectRef idx="0"/>
          <a:fontRef idx="minor"/>
        </xdr:style>
      </xdr:sp>
      <xdr:sp>
        <xdr:nvSpPr>
          <xdr:cNvPr id="1012" name="Line 179"/>
          <xdr:cNvSpPr/>
        </xdr:nvSpPr>
        <xdr:spPr>
          <a:xfrm>
            <a:off x="6150600" y="2045880"/>
            <a:ext cx="360" cy="95760"/>
          </a:xfrm>
          <a:prstGeom prst="line">
            <a:avLst/>
          </a:prstGeom>
          <a:ln w="28575">
            <a:solidFill>
              <a:srgbClr val="003db8"/>
            </a:solidFill>
            <a:round/>
          </a:ln>
        </xdr:spPr>
        <xdr:style>
          <a:lnRef idx="0"/>
          <a:fillRef idx="0"/>
          <a:effectRef idx="0"/>
          <a:fontRef idx="minor"/>
        </xdr:style>
      </xdr:sp>
      <xdr:sp>
        <xdr:nvSpPr>
          <xdr:cNvPr id="1013" name="CuadroTexto 1014"/>
          <xdr:cNvSpPr/>
        </xdr:nvSpPr>
        <xdr:spPr>
          <a:xfrm>
            <a:off x="6058440" y="1906560"/>
            <a:ext cx="159480" cy="123480"/>
          </a:xfrm>
          <a:prstGeom prst="rect">
            <a:avLst/>
          </a:prstGeom>
          <a:noFill/>
          <a:ln w="0">
            <a:noFill/>
          </a:ln>
        </xdr:spPr>
        <xdr:style>
          <a:lnRef idx="0"/>
          <a:fillRef idx="0"/>
          <a:effectRef idx="0"/>
          <a:fontRef idx="minor"/>
        </xdr:style>
        <xdr:txBody>
          <a:bodyPr wrap="none" horzOverflow="clip" vertOverflow="clip" lIns="90000" rIns="90000" tIns="45000" bIns="45000" anchor="ctr">
            <a:noAutofit/>
          </a:bodyPr>
          <a:p>
            <a:pPr algn="ctr">
              <a:lnSpc>
                <a:spcPct val="100000"/>
              </a:lnSpc>
            </a:pPr>
            <a:r>
              <a:rPr b="0" lang="es-MX" sz="800" spc="-1" strike="noStrike">
                <a:solidFill>
                  <a:srgbClr val="002060"/>
                </a:solidFill>
                <a:latin typeface="Calibri"/>
              </a:rPr>
              <a:t>G</a:t>
            </a:r>
            <a:endParaRPr b="0" lang="en-GB" sz="800" spc="-1" strike="noStrike">
              <a:latin typeface="Times New Roman"/>
            </a:endParaRPr>
          </a:p>
        </xdr:txBody>
      </xdr:sp>
      <xdr:sp>
        <xdr:nvSpPr>
          <xdr:cNvPr id="1014" name="Oval 85"/>
          <xdr:cNvSpPr/>
        </xdr:nvSpPr>
        <xdr:spPr>
          <a:xfrm rot="10800000">
            <a:off x="6329160" y="1915920"/>
            <a:ext cx="176760" cy="133200"/>
          </a:xfrm>
          <a:prstGeom prst="ellipse">
            <a:avLst/>
          </a:prstGeom>
          <a:noFill/>
          <a:ln w="28575">
            <a:solidFill>
              <a:srgbClr val="003db8"/>
            </a:solidFill>
            <a:round/>
          </a:ln>
        </xdr:spPr>
        <xdr:style>
          <a:lnRef idx="0"/>
          <a:fillRef idx="0"/>
          <a:effectRef idx="0"/>
          <a:fontRef idx="minor"/>
        </xdr:style>
      </xdr:sp>
      <xdr:sp>
        <xdr:nvSpPr>
          <xdr:cNvPr id="1015" name="Line 179"/>
          <xdr:cNvSpPr/>
        </xdr:nvSpPr>
        <xdr:spPr>
          <a:xfrm>
            <a:off x="6417000" y="2045880"/>
            <a:ext cx="360" cy="95760"/>
          </a:xfrm>
          <a:prstGeom prst="line">
            <a:avLst/>
          </a:prstGeom>
          <a:ln w="28575">
            <a:solidFill>
              <a:srgbClr val="003db8"/>
            </a:solidFill>
            <a:round/>
          </a:ln>
        </xdr:spPr>
        <xdr:style>
          <a:lnRef idx="0"/>
          <a:fillRef idx="0"/>
          <a:effectRef idx="0"/>
          <a:fontRef idx="minor"/>
        </xdr:style>
      </xdr:sp>
      <xdr:sp>
        <xdr:nvSpPr>
          <xdr:cNvPr id="1016" name="CuadroTexto 1017"/>
          <xdr:cNvSpPr/>
        </xdr:nvSpPr>
        <xdr:spPr>
          <a:xfrm>
            <a:off x="6324840" y="1906560"/>
            <a:ext cx="159480" cy="132840"/>
          </a:xfrm>
          <a:prstGeom prst="rect">
            <a:avLst/>
          </a:prstGeom>
          <a:noFill/>
          <a:ln w="0">
            <a:noFill/>
          </a:ln>
        </xdr:spPr>
        <xdr:style>
          <a:lnRef idx="0"/>
          <a:fillRef idx="0"/>
          <a:effectRef idx="0"/>
          <a:fontRef idx="minor"/>
        </xdr:style>
        <xdr:txBody>
          <a:bodyPr wrap="none" horzOverflow="clip" vertOverflow="clip" lIns="90000" rIns="90000" tIns="45000" bIns="45000" anchor="ctr">
            <a:noAutofit/>
          </a:bodyPr>
          <a:p>
            <a:pPr algn="ctr">
              <a:lnSpc>
                <a:spcPct val="100000"/>
              </a:lnSpc>
            </a:pPr>
            <a:r>
              <a:rPr b="0" lang="es-MX" sz="700" spc="-1" strike="noStrike">
                <a:solidFill>
                  <a:srgbClr val="002060"/>
                </a:solidFill>
                <a:latin typeface="Calibri"/>
              </a:rPr>
              <a:t>G</a:t>
            </a:r>
            <a:endParaRPr b="0" lang="en-GB" sz="700" spc="-1" strike="noStrike">
              <a:latin typeface="Times New Roman"/>
            </a:endParaRPr>
          </a:p>
        </xdr:txBody>
      </xdr:sp>
      <xdr:sp>
        <xdr:nvSpPr>
          <xdr:cNvPr id="1017" name="Oval 85"/>
          <xdr:cNvSpPr/>
        </xdr:nvSpPr>
        <xdr:spPr>
          <a:xfrm rot="10800000">
            <a:off x="6117480" y="2454120"/>
            <a:ext cx="176760" cy="133200"/>
          </a:xfrm>
          <a:prstGeom prst="ellipse">
            <a:avLst/>
          </a:prstGeom>
          <a:noFill/>
          <a:ln w="19050">
            <a:solidFill>
              <a:srgbClr val="ff0000"/>
            </a:solidFill>
            <a:round/>
          </a:ln>
        </xdr:spPr>
        <xdr:style>
          <a:lnRef idx="0"/>
          <a:fillRef idx="0"/>
          <a:effectRef idx="0"/>
          <a:fontRef idx="minor"/>
        </xdr:style>
      </xdr:sp>
      <xdr:sp>
        <xdr:nvSpPr>
          <xdr:cNvPr id="1018" name="Line 179"/>
          <xdr:cNvSpPr/>
        </xdr:nvSpPr>
        <xdr:spPr>
          <a:xfrm>
            <a:off x="6205680" y="2584080"/>
            <a:ext cx="360" cy="96120"/>
          </a:xfrm>
          <a:prstGeom prst="line">
            <a:avLst/>
          </a:prstGeom>
          <a:ln w="19050">
            <a:solidFill>
              <a:srgbClr val="ff0000"/>
            </a:solidFill>
            <a:round/>
          </a:ln>
        </xdr:spPr>
        <xdr:style>
          <a:lnRef idx="0"/>
          <a:fillRef idx="0"/>
          <a:effectRef idx="0"/>
          <a:fontRef idx="minor"/>
        </xdr:style>
      </xdr:sp>
      <xdr:sp>
        <xdr:nvSpPr>
          <xdr:cNvPr id="1019" name="CuadroTexto 1020"/>
          <xdr:cNvSpPr/>
        </xdr:nvSpPr>
        <xdr:spPr>
          <a:xfrm>
            <a:off x="6113160" y="2445120"/>
            <a:ext cx="159480" cy="132840"/>
          </a:xfrm>
          <a:prstGeom prst="rect">
            <a:avLst/>
          </a:prstGeom>
          <a:noFill/>
          <a:ln w="19050">
            <a:noFill/>
          </a:ln>
        </xdr:spPr>
        <xdr:style>
          <a:lnRef idx="0"/>
          <a:fillRef idx="0"/>
          <a:effectRef idx="0"/>
          <a:fontRef idx="minor"/>
        </xdr:style>
        <xdr:txBody>
          <a:bodyPr wrap="none" horzOverflow="clip" vertOverflow="clip" lIns="90000" rIns="90000" tIns="45000" bIns="45000" anchor="ctr">
            <a:noAutofit/>
          </a:bodyPr>
          <a:p>
            <a:pPr algn="ctr">
              <a:lnSpc>
                <a:spcPct val="100000"/>
              </a:lnSpc>
            </a:pPr>
            <a:r>
              <a:rPr b="0" lang="es-MX" sz="900" spc="-1" strike="noStrike">
                <a:solidFill>
                  <a:srgbClr val="ff0000"/>
                </a:solidFill>
                <a:latin typeface="Calibri"/>
              </a:rPr>
              <a:t>G</a:t>
            </a:r>
            <a:endParaRPr b="0" lang="en-GB" sz="900" spc="-1" strike="noStrike">
              <a:latin typeface="Times New Roman"/>
            </a:endParaRPr>
          </a:p>
        </xdr:txBody>
      </xdr:sp>
      <xdr:sp>
        <xdr:nvSpPr>
          <xdr:cNvPr id="1020" name="Oval 85"/>
          <xdr:cNvSpPr/>
        </xdr:nvSpPr>
        <xdr:spPr>
          <a:xfrm rot="10800000">
            <a:off x="7520760" y="2454120"/>
            <a:ext cx="176760" cy="133200"/>
          </a:xfrm>
          <a:prstGeom prst="ellipse">
            <a:avLst/>
          </a:prstGeom>
          <a:noFill/>
          <a:ln w="19050">
            <a:solidFill>
              <a:srgbClr val="ff0000"/>
            </a:solidFill>
            <a:round/>
          </a:ln>
        </xdr:spPr>
        <xdr:style>
          <a:lnRef idx="0"/>
          <a:fillRef idx="0"/>
          <a:effectRef idx="0"/>
          <a:fontRef idx="minor"/>
        </xdr:style>
      </xdr:sp>
      <xdr:sp>
        <xdr:nvSpPr>
          <xdr:cNvPr id="1021" name="Line 179"/>
          <xdr:cNvSpPr/>
        </xdr:nvSpPr>
        <xdr:spPr>
          <a:xfrm>
            <a:off x="7608600" y="2584080"/>
            <a:ext cx="360" cy="96120"/>
          </a:xfrm>
          <a:prstGeom prst="line">
            <a:avLst/>
          </a:prstGeom>
          <a:ln w="19050">
            <a:solidFill>
              <a:srgbClr val="ff0000"/>
            </a:solidFill>
            <a:round/>
          </a:ln>
        </xdr:spPr>
        <xdr:style>
          <a:lnRef idx="0"/>
          <a:fillRef idx="0"/>
          <a:effectRef idx="0"/>
          <a:fontRef idx="minor"/>
        </xdr:style>
      </xdr:sp>
      <xdr:sp>
        <xdr:nvSpPr>
          <xdr:cNvPr id="1022" name="CuadroTexto 1023"/>
          <xdr:cNvSpPr/>
        </xdr:nvSpPr>
        <xdr:spPr>
          <a:xfrm>
            <a:off x="7516440" y="2445120"/>
            <a:ext cx="159480" cy="132840"/>
          </a:xfrm>
          <a:prstGeom prst="rect">
            <a:avLst/>
          </a:prstGeom>
          <a:noFill/>
          <a:ln w="19050">
            <a:noFill/>
          </a:ln>
        </xdr:spPr>
        <xdr:style>
          <a:lnRef idx="0"/>
          <a:fillRef idx="0"/>
          <a:effectRef idx="0"/>
          <a:fontRef idx="minor"/>
        </xdr:style>
        <xdr:txBody>
          <a:bodyPr wrap="none" horzOverflow="clip" vertOverflow="clip" lIns="90000" rIns="90000" tIns="45000" bIns="45000" anchor="ctr">
            <a:noAutofit/>
          </a:bodyPr>
          <a:p>
            <a:pPr algn="ctr">
              <a:lnSpc>
                <a:spcPct val="100000"/>
              </a:lnSpc>
            </a:pPr>
            <a:r>
              <a:rPr b="0" lang="es-MX" sz="800" spc="-1" strike="noStrike">
                <a:solidFill>
                  <a:srgbClr val="ff0000"/>
                </a:solidFill>
                <a:latin typeface="Calibri"/>
              </a:rPr>
              <a:t>G</a:t>
            </a:r>
            <a:endParaRPr b="0" lang="en-GB" sz="800" spc="-1" strike="noStrike">
              <a:latin typeface="Times New Roman"/>
            </a:endParaRPr>
          </a:p>
        </xdr:txBody>
      </xdr:sp>
      <xdr:sp>
        <xdr:nvSpPr>
          <xdr:cNvPr id="1023" name="Oval 84"/>
          <xdr:cNvSpPr/>
        </xdr:nvSpPr>
        <xdr:spPr>
          <a:xfrm rot="10800000">
            <a:off x="9611280" y="6276600"/>
            <a:ext cx="176760" cy="133200"/>
          </a:xfrm>
          <a:prstGeom prst="ellipse">
            <a:avLst/>
          </a:prstGeom>
          <a:noFill/>
          <a:ln w="19050">
            <a:solidFill>
              <a:srgbClr val="ff0000"/>
            </a:solidFill>
            <a:round/>
          </a:ln>
        </xdr:spPr>
        <xdr:style>
          <a:lnRef idx="0"/>
          <a:fillRef idx="0"/>
          <a:effectRef idx="0"/>
          <a:fontRef idx="minor"/>
        </xdr:style>
      </xdr:sp>
      <xdr:sp>
        <xdr:nvSpPr>
          <xdr:cNvPr id="1024" name="Oval 85"/>
          <xdr:cNvSpPr/>
        </xdr:nvSpPr>
        <xdr:spPr>
          <a:xfrm rot="10800000">
            <a:off x="9611280" y="6376680"/>
            <a:ext cx="176760" cy="133200"/>
          </a:xfrm>
          <a:prstGeom prst="ellipse">
            <a:avLst/>
          </a:prstGeom>
          <a:noFill/>
          <a:ln w="19050">
            <a:solidFill>
              <a:srgbClr val="003db8"/>
            </a:solidFill>
            <a:round/>
          </a:ln>
        </xdr:spPr>
        <xdr:style>
          <a:lnRef idx="0"/>
          <a:fillRef idx="0"/>
          <a:effectRef idx="0"/>
          <a:fontRef idx="minor"/>
        </xdr:style>
      </xdr:sp>
      <xdr:sp>
        <xdr:nvSpPr>
          <xdr:cNvPr id="1025" name="Line 179"/>
          <xdr:cNvSpPr/>
        </xdr:nvSpPr>
        <xdr:spPr>
          <a:xfrm>
            <a:off x="9705240" y="6511320"/>
            <a:ext cx="360" cy="154800"/>
          </a:xfrm>
          <a:prstGeom prst="line">
            <a:avLst/>
          </a:prstGeom>
          <a:ln w="28575">
            <a:solidFill>
              <a:srgbClr val="003db8"/>
            </a:solidFill>
            <a:round/>
          </a:ln>
        </xdr:spPr>
        <xdr:style>
          <a:lnRef idx="0"/>
          <a:fillRef idx="0"/>
          <a:effectRef idx="0"/>
          <a:fontRef idx="minor"/>
        </xdr:style>
      </xdr:sp>
      <xdr:sp>
        <xdr:nvSpPr>
          <xdr:cNvPr id="1026" name="Line 179"/>
          <xdr:cNvSpPr/>
        </xdr:nvSpPr>
        <xdr:spPr>
          <a:xfrm>
            <a:off x="9703800" y="6129360"/>
            <a:ext cx="360" cy="147600"/>
          </a:xfrm>
          <a:prstGeom prst="line">
            <a:avLst/>
          </a:prstGeom>
          <a:ln w="12700">
            <a:solidFill>
              <a:srgbClr val="ff0000"/>
            </a:solidFill>
            <a:round/>
          </a:ln>
        </xdr:spPr>
        <xdr:style>
          <a:lnRef idx="0"/>
          <a:fillRef idx="0"/>
          <a:effectRef idx="0"/>
          <a:fontRef idx="minor"/>
        </xdr:style>
      </xdr:sp>
      <xdr:sp>
        <xdr:nvSpPr>
          <xdr:cNvPr id="1027" name="Rectángulo: esquinas redondeadas 1028"/>
          <xdr:cNvSpPr/>
        </xdr:nvSpPr>
        <xdr:spPr>
          <a:xfrm>
            <a:off x="9669600" y="6171480"/>
            <a:ext cx="72360" cy="568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028" name="Rectángulo: esquinas redondeadas 1029"/>
          <xdr:cNvSpPr/>
        </xdr:nvSpPr>
        <xdr:spPr>
          <a:xfrm>
            <a:off x="9669600" y="6570720"/>
            <a:ext cx="72360" cy="56880"/>
          </a:xfrm>
          <a:prstGeom prst="roundRect">
            <a:avLst>
              <a:gd name="adj" fmla="val 16667"/>
            </a:avLst>
          </a:prstGeom>
          <a:solidFill>
            <a:srgbClr val="003db8"/>
          </a:solidFill>
          <a:ln w="19050">
            <a:solidFill>
              <a:srgbClr val="003db8"/>
            </a:solidFill>
          </a:ln>
        </xdr:spPr>
        <xdr:style>
          <a:lnRef idx="2">
            <a:schemeClr val="accent1">
              <a:shade val="15000"/>
            </a:schemeClr>
          </a:lnRef>
          <a:fillRef idx="1">
            <a:schemeClr val="accent1"/>
          </a:fillRef>
          <a:effectRef idx="0">
            <a:schemeClr val="accent1"/>
          </a:effectRef>
          <a:fontRef idx="minor"/>
        </xdr:style>
      </xdr:sp>
      <xdr:cxnSp>
        <xdr:nvCxnSpPr>
          <xdr:cNvPr id="1029" name="2 Conector recto"/>
          <xdr:cNvCxnSpPr/>
        </xdr:nvCxnSpPr>
        <xdr:spPr>
          <a:xfrm>
            <a:off x="9506880" y="6130440"/>
            <a:ext cx="385200" cy="360"/>
          </a:xfrm>
          <a:prstGeom prst="straightConnector1">
            <a:avLst/>
          </a:prstGeom>
          <a:ln w="38100">
            <a:solidFill>
              <a:srgbClr val="ff0000"/>
            </a:solidFill>
          </a:ln>
        </xdr:spPr>
      </xdr:cxnSp>
      <xdr:sp>
        <xdr:nvSpPr>
          <xdr:cNvPr id="1030" name="Oval 85"/>
          <xdr:cNvSpPr/>
        </xdr:nvSpPr>
        <xdr:spPr>
          <a:xfrm rot="10800000">
            <a:off x="9615600" y="5904720"/>
            <a:ext cx="176760" cy="133200"/>
          </a:xfrm>
          <a:prstGeom prst="ellipse">
            <a:avLst/>
          </a:prstGeom>
          <a:noFill/>
          <a:ln w="19050">
            <a:solidFill>
              <a:srgbClr val="ff0000"/>
            </a:solidFill>
            <a:round/>
          </a:ln>
        </xdr:spPr>
        <xdr:style>
          <a:lnRef idx="0"/>
          <a:fillRef idx="0"/>
          <a:effectRef idx="0"/>
          <a:fontRef idx="minor"/>
        </xdr:style>
      </xdr:sp>
      <xdr:sp>
        <xdr:nvSpPr>
          <xdr:cNvPr id="1031" name="Line 179"/>
          <xdr:cNvSpPr/>
        </xdr:nvSpPr>
        <xdr:spPr>
          <a:xfrm>
            <a:off x="9703440" y="6034680"/>
            <a:ext cx="360" cy="95760"/>
          </a:xfrm>
          <a:prstGeom prst="line">
            <a:avLst/>
          </a:prstGeom>
          <a:ln w="28575">
            <a:solidFill>
              <a:srgbClr val="ff0000"/>
            </a:solidFill>
            <a:round/>
          </a:ln>
        </xdr:spPr>
        <xdr:style>
          <a:lnRef idx="0"/>
          <a:fillRef idx="0"/>
          <a:effectRef idx="0"/>
          <a:fontRef idx="minor"/>
        </xdr:style>
      </xdr:sp>
      <xdr:sp>
        <xdr:nvSpPr>
          <xdr:cNvPr id="1032" name="CuadroTexto 1033"/>
          <xdr:cNvSpPr/>
        </xdr:nvSpPr>
        <xdr:spPr>
          <a:xfrm>
            <a:off x="9611280" y="5895360"/>
            <a:ext cx="159480" cy="111960"/>
          </a:xfrm>
          <a:prstGeom prst="rect">
            <a:avLst/>
          </a:prstGeom>
          <a:noFill/>
          <a:ln w="0">
            <a:noFill/>
          </a:ln>
        </xdr:spPr>
        <xdr:style>
          <a:lnRef idx="0"/>
          <a:fillRef idx="0"/>
          <a:effectRef idx="0"/>
          <a:fontRef idx="minor"/>
        </xdr:style>
        <xdr:txBody>
          <a:bodyPr wrap="none" horzOverflow="clip" vertOverflow="clip" lIns="90000" rIns="90000" tIns="45000" bIns="45000" anchor="ctr">
            <a:noAutofit/>
          </a:bodyPr>
          <a:p>
            <a:pPr algn="ctr">
              <a:lnSpc>
                <a:spcPct val="100000"/>
              </a:lnSpc>
            </a:pPr>
            <a:r>
              <a:rPr b="0" lang="es-MX" sz="800" spc="-1" strike="noStrike">
                <a:solidFill>
                  <a:srgbClr val="ff0000"/>
                </a:solidFill>
                <a:latin typeface="Calibri"/>
              </a:rPr>
              <a:t>G</a:t>
            </a:r>
            <a:endParaRPr b="0" lang="en-GB" sz="800" spc="-1" strike="noStrike">
              <a:latin typeface="Times New Roman"/>
            </a:endParaRPr>
          </a:p>
        </xdr:txBody>
      </xdr:sp>
      <xdr:sp>
        <xdr:nvSpPr>
          <xdr:cNvPr id="1033" name="Oval 85"/>
          <xdr:cNvSpPr/>
        </xdr:nvSpPr>
        <xdr:spPr>
          <a:xfrm rot="10800000">
            <a:off x="7143120" y="5904720"/>
            <a:ext cx="176760" cy="133200"/>
          </a:xfrm>
          <a:prstGeom prst="ellipse">
            <a:avLst/>
          </a:prstGeom>
          <a:noFill/>
          <a:ln w="19050">
            <a:solidFill>
              <a:srgbClr val="ff0000"/>
            </a:solidFill>
            <a:round/>
          </a:ln>
        </xdr:spPr>
        <xdr:style>
          <a:lnRef idx="0"/>
          <a:fillRef idx="0"/>
          <a:effectRef idx="0"/>
          <a:fontRef idx="minor"/>
        </xdr:style>
      </xdr:sp>
      <xdr:sp>
        <xdr:nvSpPr>
          <xdr:cNvPr id="1034" name="Line 179"/>
          <xdr:cNvSpPr/>
        </xdr:nvSpPr>
        <xdr:spPr>
          <a:xfrm>
            <a:off x="7230960" y="6034680"/>
            <a:ext cx="360" cy="95760"/>
          </a:xfrm>
          <a:prstGeom prst="line">
            <a:avLst/>
          </a:prstGeom>
          <a:ln w="19050">
            <a:solidFill>
              <a:srgbClr val="ff0000"/>
            </a:solidFill>
            <a:round/>
          </a:ln>
        </xdr:spPr>
        <xdr:style>
          <a:lnRef idx="0"/>
          <a:fillRef idx="0"/>
          <a:effectRef idx="0"/>
          <a:fontRef idx="minor"/>
        </xdr:style>
      </xdr:sp>
      <xdr:sp>
        <xdr:nvSpPr>
          <xdr:cNvPr id="1035" name="CuadroTexto 1036"/>
          <xdr:cNvSpPr/>
        </xdr:nvSpPr>
        <xdr:spPr>
          <a:xfrm>
            <a:off x="7138800" y="5895360"/>
            <a:ext cx="159480" cy="134280"/>
          </a:xfrm>
          <a:prstGeom prst="rect">
            <a:avLst/>
          </a:prstGeom>
          <a:noFill/>
          <a:ln w="19050">
            <a:noFill/>
          </a:ln>
        </xdr:spPr>
        <xdr:style>
          <a:lnRef idx="0"/>
          <a:fillRef idx="0"/>
          <a:effectRef idx="0"/>
          <a:fontRef idx="minor"/>
        </xdr:style>
        <xdr:txBody>
          <a:bodyPr wrap="none" horzOverflow="clip" vertOverflow="clip" lIns="90000" rIns="90000" tIns="45000" bIns="45000" anchor="ctr">
            <a:noAutofit/>
          </a:bodyPr>
          <a:p>
            <a:pPr algn="ctr">
              <a:lnSpc>
                <a:spcPct val="100000"/>
              </a:lnSpc>
            </a:pPr>
            <a:r>
              <a:rPr b="0" lang="es-MX" sz="800" spc="-1" strike="noStrike">
                <a:solidFill>
                  <a:srgbClr val="ff0000"/>
                </a:solidFill>
                <a:latin typeface="Calibri"/>
              </a:rPr>
              <a:t>G</a:t>
            </a:r>
            <a:endParaRPr b="0" lang="en-GB" sz="800" spc="-1" strike="noStrike">
              <a:latin typeface="Times New Roman"/>
            </a:endParaRPr>
          </a:p>
        </xdr:txBody>
      </xdr:sp>
      <xdr:sp>
        <xdr:nvSpPr>
          <xdr:cNvPr id="1036" name="Oval 85"/>
          <xdr:cNvSpPr/>
        </xdr:nvSpPr>
        <xdr:spPr>
          <a:xfrm rot="10800000">
            <a:off x="7947720" y="5904720"/>
            <a:ext cx="176760" cy="133200"/>
          </a:xfrm>
          <a:prstGeom prst="ellipse">
            <a:avLst/>
          </a:prstGeom>
          <a:noFill/>
          <a:ln w="19050">
            <a:solidFill>
              <a:srgbClr val="ff0000"/>
            </a:solidFill>
            <a:round/>
          </a:ln>
        </xdr:spPr>
        <xdr:style>
          <a:lnRef idx="0"/>
          <a:fillRef idx="0"/>
          <a:effectRef idx="0"/>
          <a:fontRef idx="minor"/>
        </xdr:style>
      </xdr:sp>
      <xdr:sp>
        <xdr:nvSpPr>
          <xdr:cNvPr id="1037" name="Line 179"/>
          <xdr:cNvSpPr/>
        </xdr:nvSpPr>
        <xdr:spPr>
          <a:xfrm>
            <a:off x="8035920" y="6034680"/>
            <a:ext cx="360" cy="95760"/>
          </a:xfrm>
          <a:prstGeom prst="line">
            <a:avLst/>
          </a:prstGeom>
          <a:ln w="19050">
            <a:solidFill>
              <a:srgbClr val="ff0000"/>
            </a:solidFill>
            <a:round/>
          </a:ln>
        </xdr:spPr>
        <xdr:style>
          <a:lnRef idx="0"/>
          <a:fillRef idx="0"/>
          <a:effectRef idx="0"/>
          <a:fontRef idx="minor"/>
        </xdr:style>
      </xdr:sp>
      <xdr:sp>
        <xdr:nvSpPr>
          <xdr:cNvPr id="1038" name="CuadroTexto 1039"/>
          <xdr:cNvSpPr/>
        </xdr:nvSpPr>
        <xdr:spPr>
          <a:xfrm>
            <a:off x="7943760" y="5895360"/>
            <a:ext cx="159480" cy="132840"/>
          </a:xfrm>
          <a:prstGeom prst="rect">
            <a:avLst/>
          </a:prstGeom>
          <a:noFill/>
          <a:ln w="19050">
            <a:noFill/>
          </a:ln>
        </xdr:spPr>
        <xdr:style>
          <a:lnRef idx="0"/>
          <a:fillRef idx="0"/>
          <a:effectRef idx="0"/>
          <a:fontRef idx="minor"/>
        </xdr:style>
        <xdr:txBody>
          <a:bodyPr wrap="none" horzOverflow="clip" vertOverflow="clip" lIns="90000" rIns="90000" tIns="45000" bIns="45000" anchor="ctr">
            <a:noAutofit/>
          </a:bodyPr>
          <a:p>
            <a:pPr algn="ctr">
              <a:lnSpc>
                <a:spcPct val="100000"/>
              </a:lnSpc>
            </a:pPr>
            <a:r>
              <a:rPr b="0" lang="es-MX" sz="800" spc="-1" strike="noStrike">
                <a:solidFill>
                  <a:srgbClr val="ff0000"/>
                </a:solidFill>
                <a:latin typeface="Calibri"/>
              </a:rPr>
              <a:t>G</a:t>
            </a:r>
            <a:endParaRPr b="0" lang="en-GB" sz="800" spc="-1" strike="noStrike">
              <a:latin typeface="Times New Roman"/>
            </a:endParaRPr>
          </a:p>
        </xdr:txBody>
      </xdr:sp>
      <xdr:sp>
        <xdr:nvSpPr>
          <xdr:cNvPr id="1039" name="Oval 85"/>
          <xdr:cNvSpPr/>
        </xdr:nvSpPr>
        <xdr:spPr>
          <a:xfrm rot="10800000">
            <a:off x="8542440" y="6789960"/>
            <a:ext cx="176760" cy="133200"/>
          </a:xfrm>
          <a:prstGeom prst="ellipse">
            <a:avLst/>
          </a:prstGeom>
          <a:noFill/>
          <a:ln w="28575">
            <a:solidFill>
              <a:srgbClr val="003db8"/>
            </a:solidFill>
            <a:round/>
          </a:ln>
        </xdr:spPr>
        <xdr:style>
          <a:lnRef idx="0"/>
          <a:fillRef idx="0"/>
          <a:effectRef idx="0"/>
          <a:fontRef idx="minor"/>
        </xdr:style>
      </xdr:sp>
      <xdr:sp>
        <xdr:nvSpPr>
          <xdr:cNvPr id="1040" name="Line 179"/>
          <xdr:cNvSpPr/>
        </xdr:nvSpPr>
        <xdr:spPr>
          <a:xfrm>
            <a:off x="8630280" y="6688080"/>
            <a:ext cx="360" cy="95760"/>
          </a:xfrm>
          <a:prstGeom prst="line">
            <a:avLst/>
          </a:prstGeom>
          <a:ln w="28575">
            <a:solidFill>
              <a:srgbClr val="003db8"/>
            </a:solidFill>
            <a:round/>
          </a:ln>
        </xdr:spPr>
        <xdr:style>
          <a:lnRef idx="0"/>
          <a:fillRef idx="0"/>
          <a:effectRef idx="0"/>
          <a:fontRef idx="minor"/>
        </xdr:style>
      </xdr:sp>
      <xdr:sp>
        <xdr:nvSpPr>
          <xdr:cNvPr id="1041" name="CuadroTexto 1042"/>
          <xdr:cNvSpPr/>
        </xdr:nvSpPr>
        <xdr:spPr>
          <a:xfrm>
            <a:off x="8538120" y="6784200"/>
            <a:ext cx="159480" cy="132840"/>
          </a:xfrm>
          <a:prstGeom prst="rect">
            <a:avLst/>
          </a:prstGeom>
          <a:noFill/>
          <a:ln w="19050">
            <a:noFill/>
          </a:ln>
        </xdr:spPr>
        <xdr:style>
          <a:lnRef idx="0"/>
          <a:fillRef idx="0"/>
          <a:effectRef idx="0"/>
          <a:fontRef idx="minor"/>
        </xdr:style>
        <xdr:txBody>
          <a:bodyPr wrap="none" horzOverflow="clip" vertOverflow="clip" lIns="90000" rIns="90000" tIns="45000" bIns="45000" anchor="ctr">
            <a:noAutofit/>
          </a:bodyPr>
          <a:p>
            <a:pPr algn="ctr">
              <a:lnSpc>
                <a:spcPct val="100000"/>
              </a:lnSpc>
            </a:pPr>
            <a:r>
              <a:rPr b="0" lang="es-MX" sz="700" spc="-1" strike="noStrike">
                <a:solidFill>
                  <a:srgbClr val="002060"/>
                </a:solidFill>
                <a:latin typeface="Calibri"/>
              </a:rPr>
              <a:t>G</a:t>
            </a:r>
            <a:endParaRPr b="0" lang="en-GB" sz="700" spc="-1" strike="noStrike">
              <a:latin typeface="Times New Roman"/>
            </a:endParaRPr>
          </a:p>
        </xdr:txBody>
      </xdr:sp>
      <xdr:cxnSp>
        <xdr:nvCxnSpPr>
          <xdr:cNvPr id="1042" name="2 Conector recto"/>
          <xdr:cNvCxnSpPr/>
        </xdr:nvCxnSpPr>
        <xdr:spPr>
          <a:xfrm>
            <a:off x="9344160" y="7174080"/>
            <a:ext cx="474480" cy="360"/>
          </a:xfrm>
          <a:prstGeom prst="straightConnector1">
            <a:avLst/>
          </a:prstGeom>
          <a:ln w="38100">
            <a:solidFill>
              <a:srgbClr val="ff0000"/>
            </a:solidFill>
          </a:ln>
        </xdr:spPr>
      </xdr:cxnSp>
      <xdr:cxnSp>
        <xdr:nvCxnSpPr>
          <xdr:cNvPr id="1043" name="2 Conector recto"/>
          <xdr:cNvCxnSpPr/>
        </xdr:nvCxnSpPr>
        <xdr:spPr>
          <a:xfrm>
            <a:off x="9344160" y="6988680"/>
            <a:ext cx="474480" cy="360"/>
          </a:xfrm>
          <a:prstGeom prst="straightConnector1">
            <a:avLst/>
          </a:prstGeom>
          <a:ln w="38100">
            <a:solidFill>
              <a:srgbClr val="003db8"/>
            </a:solidFill>
          </a:ln>
        </xdr:spPr>
      </xdr:cxnSp>
      <xdr:sp>
        <xdr:nvSpPr>
          <xdr:cNvPr id="1044" name="CuadroTexto 1045"/>
          <xdr:cNvSpPr/>
        </xdr:nvSpPr>
        <xdr:spPr>
          <a:xfrm>
            <a:off x="9821880" y="6863400"/>
            <a:ext cx="628560" cy="27720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900" spc="-1" strike="noStrike">
                <a:solidFill>
                  <a:srgbClr val="000000"/>
                </a:solidFill>
                <a:latin typeface="Calibri"/>
              </a:rPr>
              <a:t>220kV</a:t>
            </a:r>
            <a:endParaRPr b="0" lang="en-GB" sz="900" spc="-1" strike="noStrike">
              <a:latin typeface="Times New Roman"/>
            </a:endParaRPr>
          </a:p>
        </xdr:txBody>
      </xdr:sp>
      <xdr:sp>
        <xdr:nvSpPr>
          <xdr:cNvPr id="1045" name="CuadroTexto 1046"/>
          <xdr:cNvSpPr/>
        </xdr:nvSpPr>
        <xdr:spPr>
          <a:xfrm>
            <a:off x="9820080" y="7063200"/>
            <a:ext cx="628560" cy="27720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900" spc="-1" strike="noStrike">
                <a:solidFill>
                  <a:srgbClr val="000000"/>
                </a:solidFill>
                <a:latin typeface="Calibri"/>
              </a:rPr>
              <a:t>110kV</a:t>
            </a:r>
            <a:endParaRPr b="0" lang="en-GB" sz="900" spc="-1" strike="noStrike">
              <a:latin typeface="Times New Roman"/>
            </a:endParaRPr>
          </a:p>
        </xdr:txBody>
      </xdr:sp>
      <xdr:cxnSp>
        <xdr:nvCxnSpPr>
          <xdr:cNvPr id="1046" name="2 Conector recto"/>
          <xdr:cNvCxnSpPr/>
        </xdr:nvCxnSpPr>
        <xdr:spPr>
          <a:xfrm>
            <a:off x="9316440" y="7377120"/>
            <a:ext cx="474120" cy="360"/>
          </a:xfrm>
          <a:prstGeom prst="straightConnector1">
            <a:avLst/>
          </a:prstGeom>
          <a:ln w="38100">
            <a:solidFill>
              <a:srgbClr val="ffc000"/>
            </a:solidFill>
          </a:ln>
        </xdr:spPr>
      </xdr:cxnSp>
      <xdr:sp>
        <xdr:nvSpPr>
          <xdr:cNvPr id="1047" name="CuadroTexto 1048"/>
          <xdr:cNvSpPr/>
        </xdr:nvSpPr>
        <xdr:spPr>
          <a:xfrm>
            <a:off x="9814320" y="7264800"/>
            <a:ext cx="628560" cy="27720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900" spc="-1" strike="noStrike">
                <a:solidFill>
                  <a:srgbClr val="000000"/>
                </a:solidFill>
                <a:latin typeface="Calibri"/>
              </a:rPr>
              <a:t>34,5kV</a:t>
            </a:r>
            <a:endParaRPr b="0" lang="en-GB" sz="900" spc="-1" strike="noStrike">
              <a:latin typeface="Times New Roman"/>
            </a:endParaRPr>
          </a:p>
        </xdr:txBody>
      </xdr:sp>
      <xdr:sp>
        <xdr:nvSpPr>
          <xdr:cNvPr id="1048" name="Rectángulo 1049"/>
          <xdr:cNvSpPr/>
        </xdr:nvSpPr>
        <xdr:spPr>
          <a:xfrm>
            <a:off x="9203760" y="6833520"/>
            <a:ext cx="1231200" cy="726480"/>
          </a:xfrm>
          <a:prstGeom prst="rect">
            <a:avLst/>
          </a:prstGeom>
          <a:noFill/>
          <a:ln w="3175">
            <a:solidFill>
              <a:srgbClr val="000000"/>
            </a:solidFill>
          </a:ln>
        </xdr:spPr>
        <xdr:style>
          <a:lnRef idx="2">
            <a:schemeClr val="accent1">
              <a:shade val="15000"/>
            </a:schemeClr>
          </a:lnRef>
          <a:fillRef idx="1">
            <a:schemeClr val="accent1"/>
          </a:fillRef>
          <a:effectRef idx="0">
            <a:schemeClr val="accent1"/>
          </a:effectRef>
          <a:fontRef idx="minor"/>
        </xdr:style>
      </xdr:sp>
      <xdr:sp>
        <xdr:nvSpPr>
          <xdr:cNvPr id="1049" name="Oval 85"/>
          <xdr:cNvSpPr/>
        </xdr:nvSpPr>
        <xdr:spPr>
          <a:xfrm rot="10800000">
            <a:off x="5829840" y="2461680"/>
            <a:ext cx="176760" cy="133200"/>
          </a:xfrm>
          <a:prstGeom prst="ellipse">
            <a:avLst/>
          </a:prstGeom>
          <a:noFill/>
          <a:ln w="19050">
            <a:solidFill>
              <a:srgbClr val="ff0000"/>
            </a:solidFill>
            <a:round/>
          </a:ln>
        </xdr:spPr>
        <xdr:style>
          <a:lnRef idx="0"/>
          <a:fillRef idx="0"/>
          <a:effectRef idx="0"/>
          <a:fontRef idx="minor"/>
        </xdr:style>
      </xdr:sp>
      <xdr:sp>
        <xdr:nvSpPr>
          <xdr:cNvPr id="1050" name="Line 179"/>
          <xdr:cNvSpPr/>
        </xdr:nvSpPr>
        <xdr:spPr>
          <a:xfrm>
            <a:off x="5918040" y="2591640"/>
            <a:ext cx="360" cy="96120"/>
          </a:xfrm>
          <a:prstGeom prst="line">
            <a:avLst/>
          </a:prstGeom>
          <a:ln w="19050">
            <a:solidFill>
              <a:srgbClr val="ff0000"/>
            </a:solidFill>
            <a:round/>
          </a:ln>
        </xdr:spPr>
        <xdr:style>
          <a:lnRef idx="0"/>
          <a:fillRef idx="0"/>
          <a:effectRef idx="0"/>
          <a:fontRef idx="minor"/>
        </xdr:style>
      </xdr:sp>
      <xdr:sp>
        <xdr:nvSpPr>
          <xdr:cNvPr id="1051" name="CuadroTexto 1052"/>
          <xdr:cNvSpPr/>
        </xdr:nvSpPr>
        <xdr:spPr>
          <a:xfrm>
            <a:off x="5825520" y="2452680"/>
            <a:ext cx="159480" cy="132840"/>
          </a:xfrm>
          <a:prstGeom prst="rect">
            <a:avLst/>
          </a:prstGeom>
          <a:noFill/>
          <a:ln w="19050">
            <a:noFill/>
          </a:ln>
        </xdr:spPr>
        <xdr:style>
          <a:lnRef idx="0"/>
          <a:fillRef idx="0"/>
          <a:effectRef idx="0"/>
          <a:fontRef idx="minor"/>
        </xdr:style>
        <xdr:txBody>
          <a:bodyPr wrap="none" horzOverflow="clip" vertOverflow="clip" lIns="90000" rIns="90000" tIns="45000" bIns="45000" anchor="ctr">
            <a:noAutofit/>
          </a:bodyPr>
          <a:p>
            <a:pPr algn="ctr">
              <a:lnSpc>
                <a:spcPct val="100000"/>
              </a:lnSpc>
            </a:pPr>
            <a:r>
              <a:rPr b="0" lang="es-MX" sz="800" spc="-1" strike="noStrike">
                <a:solidFill>
                  <a:srgbClr val="ff0000"/>
                </a:solidFill>
                <a:latin typeface="Calibri"/>
              </a:rPr>
              <a:t>G</a:t>
            </a:r>
            <a:endParaRPr b="0" lang="en-GB" sz="800" spc="-1" strike="noStrike">
              <a:latin typeface="Times New Roman"/>
            </a:endParaRPr>
          </a:p>
        </xdr:txBody>
      </xdr:sp>
    </xdr:grpSp>
    <xdr:clientData/>
  </xdr:twoCellAnchor>
  <xdr:twoCellAnchor editAs="twoCell">
    <xdr:from>
      <xdr:col>15</xdr:col>
      <xdr:colOff>766080</xdr:colOff>
      <xdr:row>0</xdr:row>
      <xdr:rowOff>-72000</xdr:rowOff>
    </xdr:from>
    <xdr:to>
      <xdr:col>22</xdr:col>
      <xdr:colOff>354960</xdr:colOff>
      <xdr:row>49</xdr:row>
      <xdr:rowOff>39240</xdr:rowOff>
    </xdr:to>
    <xdr:grpSp>
      <xdr:nvGrpSpPr>
        <xdr:cNvPr id="1052" name="Grupo 1053"/>
        <xdr:cNvGrpSpPr/>
      </xdr:nvGrpSpPr>
      <xdr:grpSpPr>
        <a:xfrm>
          <a:off x="12667680" y="1955880"/>
          <a:ext cx="9512280" cy="5456160"/>
          <a:chOff x="12667680" y="1955880"/>
          <a:chExt cx="9512280" cy="5456160"/>
        </a:xfrm>
      </xdr:grpSpPr>
      <xdr:sp>
        <xdr:nvSpPr>
          <xdr:cNvPr id="1053" name="Rectángulo 1054"/>
          <xdr:cNvSpPr/>
        </xdr:nvSpPr>
        <xdr:spPr>
          <a:xfrm rot="5400000">
            <a:off x="17733960" y="4198680"/>
            <a:ext cx="105480" cy="472320"/>
          </a:xfrm>
          <a:prstGeom prst="rect">
            <a:avLst/>
          </a:prstGeom>
          <a:pattFill prst="horz">
            <a:fgClr>
              <a:srgbClr val="00b050"/>
            </a:fgClr>
            <a:bgClr>
              <a:srgbClr val="ffffff"/>
            </a:bgClr>
          </a:pattFill>
          <a:ln>
            <a:noFill/>
          </a:ln>
        </xdr:spPr>
        <xdr:style>
          <a:lnRef idx="2">
            <a:schemeClr val="accent1">
              <a:shade val="15000"/>
            </a:schemeClr>
          </a:lnRef>
          <a:fillRef idx="1">
            <a:schemeClr val="accent1"/>
          </a:fillRef>
          <a:effectRef idx="0">
            <a:schemeClr val="accent1"/>
          </a:effectRef>
          <a:fontRef idx="minor"/>
        </xdr:style>
      </xdr:sp>
      <xdr:sp>
        <xdr:nvSpPr>
          <xdr:cNvPr id="1054" name="Rectángulo 1055"/>
          <xdr:cNvSpPr/>
        </xdr:nvSpPr>
        <xdr:spPr>
          <a:xfrm rot="5400000">
            <a:off x="17733960" y="4410000"/>
            <a:ext cx="105480" cy="472320"/>
          </a:xfrm>
          <a:prstGeom prst="rect">
            <a:avLst/>
          </a:prstGeom>
          <a:pattFill prst="horz">
            <a:fgClr>
              <a:srgbClr val="00b050"/>
            </a:fgClr>
            <a:bgClr>
              <a:srgbClr val="ffffff"/>
            </a:bgClr>
          </a:pattFill>
          <a:ln>
            <a:noFill/>
          </a:ln>
        </xdr:spPr>
        <xdr:style>
          <a:lnRef idx="2">
            <a:schemeClr val="accent1">
              <a:shade val="15000"/>
            </a:schemeClr>
          </a:lnRef>
          <a:fillRef idx="1">
            <a:schemeClr val="accent1"/>
          </a:fillRef>
          <a:effectRef idx="0">
            <a:schemeClr val="accent1"/>
          </a:effectRef>
          <a:fontRef idx="minor"/>
        </xdr:style>
      </xdr:sp>
      <xdr:sp>
        <xdr:nvSpPr>
          <xdr:cNvPr id="1055" name="Rectángulo 1056"/>
          <xdr:cNvSpPr/>
        </xdr:nvSpPr>
        <xdr:spPr>
          <a:xfrm>
            <a:off x="19432440" y="3835800"/>
            <a:ext cx="507600" cy="552240"/>
          </a:xfrm>
          <a:prstGeom prst="rect">
            <a:avLst/>
          </a:prstGeom>
          <a:pattFill prst="wdUpDiag">
            <a:fgClr>
              <a:srgbClr val="ffd966"/>
            </a:fgClr>
            <a:bgClr>
              <a:srgbClr val="ffffff"/>
            </a:bgClr>
          </a:pattFill>
          <a:ln>
            <a:noFill/>
          </a:ln>
        </xdr:spPr>
        <xdr:style>
          <a:lnRef idx="2">
            <a:schemeClr val="accent1">
              <a:shade val="15000"/>
            </a:schemeClr>
          </a:lnRef>
          <a:fillRef idx="1">
            <a:schemeClr val="accent1"/>
          </a:fillRef>
          <a:effectRef idx="0">
            <a:schemeClr val="accent1"/>
          </a:effectRef>
          <a:fontRef idx="minor"/>
        </xdr:style>
      </xdr:sp>
      <xdr:sp>
        <xdr:nvSpPr>
          <xdr:cNvPr id="1056" name="Rectángulo 1057"/>
          <xdr:cNvSpPr/>
        </xdr:nvSpPr>
        <xdr:spPr>
          <a:xfrm rot="16200000">
            <a:off x="14530320" y="5215320"/>
            <a:ext cx="177480" cy="1243080"/>
          </a:xfrm>
          <a:prstGeom prst="rect">
            <a:avLst/>
          </a:prstGeom>
          <a:pattFill prst="wdUpDiag">
            <a:fgClr>
              <a:srgbClr val="4472c4"/>
            </a:fgClr>
            <a:bgClr>
              <a:srgbClr val="ffffff"/>
            </a:bgClr>
          </a:pattFill>
          <a:ln>
            <a:noFill/>
          </a:ln>
        </xdr:spPr>
        <xdr:style>
          <a:lnRef idx="2">
            <a:schemeClr val="accent1">
              <a:shade val="15000"/>
            </a:schemeClr>
          </a:lnRef>
          <a:fillRef idx="1">
            <a:schemeClr val="accent1"/>
          </a:fillRef>
          <a:effectRef idx="0">
            <a:schemeClr val="accent1"/>
          </a:effectRef>
          <a:fontRef idx="minor"/>
        </xdr:style>
      </xdr:sp>
      <xdr:sp>
        <xdr:nvSpPr>
          <xdr:cNvPr id="1057" name="Rectángulo 1058"/>
          <xdr:cNvSpPr/>
        </xdr:nvSpPr>
        <xdr:spPr>
          <a:xfrm rot="16200000">
            <a:off x="13678200" y="2588400"/>
            <a:ext cx="177480" cy="862200"/>
          </a:xfrm>
          <a:prstGeom prst="rect">
            <a:avLst/>
          </a:prstGeom>
          <a:pattFill prst="wdUpDiag">
            <a:fgClr>
              <a:srgbClr val="4472c4"/>
            </a:fgClr>
            <a:bgClr>
              <a:srgbClr val="ffffff"/>
            </a:bgClr>
          </a:pattFill>
          <a:ln>
            <a:noFill/>
          </a:ln>
        </xdr:spPr>
        <xdr:style>
          <a:lnRef idx="2">
            <a:schemeClr val="accent1">
              <a:shade val="15000"/>
            </a:schemeClr>
          </a:lnRef>
          <a:fillRef idx="1">
            <a:schemeClr val="accent1"/>
          </a:fillRef>
          <a:effectRef idx="0">
            <a:schemeClr val="accent1"/>
          </a:effectRef>
          <a:fontRef idx="minor"/>
        </xdr:style>
      </xdr:sp>
      <xdr:sp>
        <xdr:nvSpPr>
          <xdr:cNvPr id="1058" name="Rectángulo 1059"/>
          <xdr:cNvSpPr/>
        </xdr:nvSpPr>
        <xdr:spPr>
          <a:xfrm>
            <a:off x="13342320" y="2776680"/>
            <a:ext cx="193680" cy="251280"/>
          </a:xfrm>
          <a:prstGeom prst="rect">
            <a:avLst/>
          </a:prstGeom>
          <a:pattFill prst="wdUpDiag">
            <a:fgClr>
              <a:srgbClr val="4472c4"/>
            </a:fgClr>
            <a:bgClr>
              <a:srgbClr val="ffffff"/>
            </a:bgClr>
          </a:pattFill>
          <a:ln>
            <a:noFill/>
          </a:ln>
        </xdr:spPr>
        <xdr:style>
          <a:lnRef idx="2">
            <a:schemeClr val="accent1">
              <a:shade val="15000"/>
            </a:schemeClr>
          </a:lnRef>
          <a:fillRef idx="1">
            <a:schemeClr val="accent1"/>
          </a:fillRef>
          <a:effectRef idx="0">
            <a:schemeClr val="accent1"/>
          </a:effectRef>
          <a:fontRef idx="minor"/>
        </xdr:style>
      </xdr:sp>
      <xdr:sp>
        <xdr:nvSpPr>
          <xdr:cNvPr id="1059" name="Rectángulo 1060"/>
          <xdr:cNvSpPr/>
        </xdr:nvSpPr>
        <xdr:spPr>
          <a:xfrm>
            <a:off x="15040440" y="5833800"/>
            <a:ext cx="193680" cy="251280"/>
          </a:xfrm>
          <a:prstGeom prst="rect">
            <a:avLst/>
          </a:prstGeom>
          <a:pattFill prst="wdUpDiag">
            <a:fgClr>
              <a:srgbClr val="4472c4"/>
            </a:fgClr>
            <a:bgClr>
              <a:srgbClr val="ffffff"/>
            </a:bgClr>
          </a:pattFill>
          <a:ln>
            <a:noFill/>
          </a:ln>
        </xdr:spPr>
        <xdr:style>
          <a:lnRef idx="2">
            <a:schemeClr val="accent1">
              <a:shade val="15000"/>
            </a:schemeClr>
          </a:lnRef>
          <a:fillRef idx="1">
            <a:schemeClr val="accent1"/>
          </a:fillRef>
          <a:effectRef idx="0">
            <a:schemeClr val="accent1"/>
          </a:effectRef>
          <a:fontRef idx="minor"/>
        </xdr:style>
      </xdr:sp>
      <xdr:sp>
        <xdr:nvSpPr>
          <xdr:cNvPr id="1060" name="Rectángulo 1061"/>
          <xdr:cNvSpPr/>
        </xdr:nvSpPr>
        <xdr:spPr>
          <a:xfrm>
            <a:off x="13997520" y="3022200"/>
            <a:ext cx="193680" cy="2829240"/>
          </a:xfrm>
          <a:prstGeom prst="rect">
            <a:avLst/>
          </a:prstGeom>
          <a:pattFill prst="wdUpDiag">
            <a:fgClr>
              <a:srgbClr val="4472c4"/>
            </a:fgClr>
            <a:bgClr>
              <a:srgbClr val="ffffff"/>
            </a:bgClr>
          </a:pattFill>
          <a:ln>
            <a:noFill/>
          </a:ln>
        </xdr:spPr>
        <xdr:style>
          <a:lnRef idx="2">
            <a:schemeClr val="accent1">
              <a:shade val="15000"/>
            </a:schemeClr>
          </a:lnRef>
          <a:fillRef idx="1">
            <a:schemeClr val="accent1"/>
          </a:fillRef>
          <a:effectRef idx="0">
            <a:schemeClr val="accent1"/>
          </a:effectRef>
          <a:fontRef idx="minor"/>
        </xdr:style>
      </xdr:sp>
      <xdr:grpSp>
        <xdr:nvGrpSpPr>
          <xdr:cNvPr id="1061" name="Grupo 1062"/>
          <xdr:cNvGrpSpPr/>
        </xdr:nvGrpSpPr>
        <xdr:grpSpPr>
          <a:xfrm>
            <a:off x="16602480" y="2361240"/>
            <a:ext cx="155880" cy="372240"/>
            <a:chOff x="16602480" y="2361240"/>
            <a:chExt cx="155880" cy="372240"/>
          </a:xfrm>
        </xdr:grpSpPr>
        <xdr:grpSp>
          <xdr:nvGrpSpPr>
            <xdr:cNvPr id="1062" name="Grupo 1"/>
            <xdr:cNvGrpSpPr/>
          </xdr:nvGrpSpPr>
          <xdr:grpSpPr>
            <a:xfrm>
              <a:off x="16602480" y="2361240"/>
              <a:ext cx="155880" cy="230760"/>
              <a:chOff x="16602480" y="2361240"/>
              <a:chExt cx="155880" cy="230760"/>
            </a:xfrm>
          </xdr:grpSpPr>
          <xdr:sp>
            <xdr:nvSpPr>
              <xdr:cNvPr id="1063" name="Elipse 49"/>
              <xdr:cNvSpPr/>
            </xdr:nvSpPr>
            <xdr:spPr>
              <a:xfrm>
                <a:off x="16602480" y="2448720"/>
                <a:ext cx="155520" cy="14328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1064" name="Elipse 50"/>
              <xdr:cNvSpPr/>
            </xdr:nvSpPr>
            <xdr:spPr>
              <a:xfrm>
                <a:off x="16602840" y="2361240"/>
                <a:ext cx="155520" cy="143280"/>
              </a:xfrm>
              <a:prstGeom prst="ellipse">
                <a:avLst/>
              </a:prstGeom>
              <a:noFill/>
              <a:ln w="19050">
                <a:solidFill>
                  <a:srgbClr val="003db8"/>
                </a:solidFill>
              </a:ln>
            </xdr:spPr>
            <xdr:style>
              <a:lnRef idx="2">
                <a:schemeClr val="accent1">
                  <a:shade val="50000"/>
                </a:schemeClr>
              </a:lnRef>
              <a:fillRef idx="1">
                <a:schemeClr val="accent1"/>
              </a:fillRef>
              <a:effectRef idx="0">
                <a:schemeClr val="accent1"/>
              </a:effectRef>
              <a:fontRef idx="minor"/>
            </xdr:style>
          </xdr:sp>
        </xdr:grpSp>
        <xdr:cxnSp>
          <xdr:nvCxnSpPr>
            <xdr:cNvPr id="1065" name="174 Conector recto de flecha"/>
            <xdr:cNvCxnSpPr/>
          </xdr:nvCxnSpPr>
          <xdr:spPr>
            <a:xfrm>
              <a:off x="16680240" y="2595240"/>
              <a:ext cx="360" cy="138600"/>
            </a:xfrm>
            <a:prstGeom prst="straightConnector1">
              <a:avLst/>
            </a:prstGeom>
            <a:ln w="19050">
              <a:solidFill>
                <a:srgbClr val="ff0000"/>
              </a:solidFill>
            </a:ln>
          </xdr:spPr>
        </xdr:cxnSp>
      </xdr:grpSp>
      <xdr:cxnSp>
        <xdr:nvCxnSpPr>
          <xdr:cNvPr id="1066" name="Conector recto de flecha 173"/>
          <xdr:cNvCxnSpPr/>
        </xdr:nvCxnSpPr>
        <xdr:spPr>
          <a:xfrm flipV="1">
            <a:off x="16679160" y="2205720"/>
            <a:ext cx="360" cy="160200"/>
          </a:xfrm>
          <a:prstGeom prst="straightConnector1">
            <a:avLst/>
          </a:prstGeom>
          <a:ln w="19050">
            <a:solidFill>
              <a:srgbClr val="003db8"/>
            </a:solidFill>
            <a:round/>
          </a:ln>
        </xdr:spPr>
      </xdr:cxnSp>
      <xdr:sp>
        <xdr:nvSpPr>
          <xdr:cNvPr id="1067" name="Rectángulo: esquinas redondeadas 1064"/>
          <xdr:cNvSpPr/>
        </xdr:nvSpPr>
        <xdr:spPr>
          <a:xfrm rot="10800000">
            <a:off x="16650360" y="2240280"/>
            <a:ext cx="60120" cy="550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1068" name="Rectángulo: esquinas redondeadas 1065"/>
          <xdr:cNvSpPr/>
        </xdr:nvSpPr>
        <xdr:spPr>
          <a:xfrm rot="10800000">
            <a:off x="16653600" y="265212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grpSp>
        <xdr:nvGrpSpPr>
          <xdr:cNvPr id="1069" name="Grupo 1066"/>
          <xdr:cNvGrpSpPr/>
        </xdr:nvGrpSpPr>
        <xdr:grpSpPr>
          <a:xfrm>
            <a:off x="16885800" y="2361240"/>
            <a:ext cx="155880" cy="372240"/>
            <a:chOff x="16885800" y="2361240"/>
            <a:chExt cx="155880" cy="372240"/>
          </a:xfrm>
        </xdr:grpSpPr>
        <xdr:grpSp>
          <xdr:nvGrpSpPr>
            <xdr:cNvPr id="1070" name="Grupo 1"/>
            <xdr:cNvGrpSpPr/>
          </xdr:nvGrpSpPr>
          <xdr:grpSpPr>
            <a:xfrm>
              <a:off x="16885800" y="2361240"/>
              <a:ext cx="155880" cy="230760"/>
              <a:chOff x="16885800" y="2361240"/>
              <a:chExt cx="155880" cy="230760"/>
            </a:xfrm>
          </xdr:grpSpPr>
          <xdr:sp>
            <xdr:nvSpPr>
              <xdr:cNvPr id="1071" name="Elipse 49"/>
              <xdr:cNvSpPr/>
            </xdr:nvSpPr>
            <xdr:spPr>
              <a:xfrm>
                <a:off x="16885800" y="2448720"/>
                <a:ext cx="155520" cy="14328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1072" name="Elipse 50"/>
              <xdr:cNvSpPr/>
            </xdr:nvSpPr>
            <xdr:spPr>
              <a:xfrm>
                <a:off x="16886160" y="2361240"/>
                <a:ext cx="155520" cy="143280"/>
              </a:xfrm>
              <a:prstGeom prst="ellipse">
                <a:avLst/>
              </a:prstGeom>
              <a:noFill/>
              <a:ln w="19050">
                <a:solidFill>
                  <a:srgbClr val="003db8"/>
                </a:solidFill>
              </a:ln>
            </xdr:spPr>
            <xdr:style>
              <a:lnRef idx="2">
                <a:schemeClr val="accent1">
                  <a:shade val="50000"/>
                </a:schemeClr>
              </a:lnRef>
              <a:fillRef idx="1">
                <a:schemeClr val="accent1"/>
              </a:fillRef>
              <a:effectRef idx="0">
                <a:schemeClr val="accent1"/>
              </a:effectRef>
              <a:fontRef idx="minor"/>
            </xdr:style>
          </xdr:sp>
        </xdr:grpSp>
        <xdr:cxnSp>
          <xdr:nvCxnSpPr>
            <xdr:cNvPr id="1073" name="174 Conector recto de flecha"/>
            <xdr:cNvCxnSpPr/>
          </xdr:nvCxnSpPr>
          <xdr:spPr>
            <a:xfrm>
              <a:off x="16963200" y="2595240"/>
              <a:ext cx="360" cy="138600"/>
            </a:xfrm>
            <a:prstGeom prst="straightConnector1">
              <a:avLst/>
            </a:prstGeom>
            <a:ln w="19050">
              <a:solidFill>
                <a:srgbClr val="ff0000"/>
              </a:solidFill>
            </a:ln>
          </xdr:spPr>
        </xdr:cxnSp>
      </xdr:grpSp>
      <xdr:cxnSp>
        <xdr:nvCxnSpPr>
          <xdr:cNvPr id="1074" name="Conector recto de flecha 173"/>
          <xdr:cNvCxnSpPr/>
        </xdr:nvCxnSpPr>
        <xdr:spPr>
          <a:xfrm flipV="1">
            <a:off x="16962120" y="2205720"/>
            <a:ext cx="360" cy="160200"/>
          </a:xfrm>
          <a:prstGeom prst="straightConnector1">
            <a:avLst/>
          </a:prstGeom>
          <a:ln w="19050">
            <a:solidFill>
              <a:srgbClr val="003db8"/>
            </a:solidFill>
            <a:round/>
          </a:ln>
        </xdr:spPr>
      </xdr:cxnSp>
      <xdr:sp>
        <xdr:nvSpPr>
          <xdr:cNvPr id="1075" name="Rectángulo: esquinas redondeadas 1068"/>
          <xdr:cNvSpPr/>
        </xdr:nvSpPr>
        <xdr:spPr>
          <a:xfrm rot="10800000">
            <a:off x="16933320" y="2240280"/>
            <a:ext cx="60120" cy="550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1076" name="Rectángulo: esquinas redondeadas 1069"/>
          <xdr:cNvSpPr/>
        </xdr:nvSpPr>
        <xdr:spPr>
          <a:xfrm rot="10800000">
            <a:off x="16936560" y="265212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077" name="CuadroTexto 1070"/>
          <xdr:cNvSpPr/>
        </xdr:nvSpPr>
        <xdr:spPr>
          <a:xfrm>
            <a:off x="17019360" y="2330640"/>
            <a:ext cx="524160" cy="3607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2 x 150</a:t>
            </a:r>
            <a:endParaRPr b="0" lang="en-GB" sz="700" spc="-1" strike="noStrike">
              <a:latin typeface="Times New Roman"/>
            </a:endParaRPr>
          </a:p>
          <a:p>
            <a:pPr>
              <a:lnSpc>
                <a:spcPct val="100000"/>
              </a:lnSpc>
            </a:pPr>
            <a:r>
              <a:rPr b="0" lang="es-MX" sz="700" spc="-1" strike="noStrike">
                <a:solidFill>
                  <a:srgbClr val="000000"/>
                </a:solidFill>
                <a:latin typeface="Calibri"/>
              </a:rPr>
              <a:t>MVA</a:t>
            </a:r>
            <a:endParaRPr b="0" lang="en-GB" sz="700" spc="-1" strike="noStrike">
              <a:latin typeface="Times New Roman"/>
            </a:endParaRPr>
          </a:p>
        </xdr:txBody>
      </xdr:sp>
      <xdr:cxnSp>
        <xdr:nvCxnSpPr>
          <xdr:cNvPr id="1078" name="2 Conector recto"/>
          <xdr:cNvCxnSpPr/>
        </xdr:nvCxnSpPr>
        <xdr:spPr>
          <a:xfrm>
            <a:off x="14821200" y="2739600"/>
            <a:ext cx="3666960" cy="360"/>
          </a:xfrm>
          <a:prstGeom prst="straightConnector1">
            <a:avLst/>
          </a:prstGeom>
          <a:ln w="38100">
            <a:solidFill>
              <a:srgbClr val="ff0000"/>
            </a:solidFill>
          </a:ln>
        </xdr:spPr>
      </xdr:cxnSp>
      <xdr:sp>
        <xdr:nvSpPr>
          <xdr:cNvPr id="1079" name="CuadroTexto 1072"/>
          <xdr:cNvSpPr/>
        </xdr:nvSpPr>
        <xdr:spPr>
          <a:xfrm>
            <a:off x="17565840" y="2527560"/>
            <a:ext cx="1108800" cy="14004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TERMOFLORES 110 kV</a:t>
            </a:r>
            <a:endParaRPr b="0" lang="en-GB" sz="700" spc="-1" strike="noStrike">
              <a:latin typeface="Times New Roman"/>
            </a:endParaRPr>
          </a:p>
        </xdr:txBody>
      </xdr:sp>
      <xdr:cxnSp>
        <xdr:nvCxnSpPr>
          <xdr:cNvPr id="1080" name="2 Conector recto"/>
          <xdr:cNvCxnSpPr/>
        </xdr:nvCxnSpPr>
        <xdr:spPr>
          <a:xfrm>
            <a:off x="17771400" y="3291480"/>
            <a:ext cx="816840" cy="360"/>
          </a:xfrm>
          <a:prstGeom prst="straightConnector1">
            <a:avLst/>
          </a:prstGeom>
          <a:ln w="38100">
            <a:solidFill>
              <a:srgbClr val="ff0000"/>
            </a:solidFill>
          </a:ln>
        </xdr:spPr>
      </xdr:cxnSp>
      <xdr:cxnSp>
        <xdr:nvCxnSpPr>
          <xdr:cNvPr id="1081" name="2 Conector recto"/>
          <xdr:cNvCxnSpPr/>
        </xdr:nvCxnSpPr>
        <xdr:spPr>
          <a:xfrm>
            <a:off x="18022680" y="2732400"/>
            <a:ext cx="360" cy="558720"/>
          </a:xfrm>
          <a:prstGeom prst="straightConnector1">
            <a:avLst/>
          </a:prstGeom>
          <a:ln w="19050">
            <a:solidFill>
              <a:srgbClr val="ff0000"/>
            </a:solidFill>
          </a:ln>
        </xdr:spPr>
      </xdr:cxnSp>
      <xdr:sp>
        <xdr:nvSpPr>
          <xdr:cNvPr id="1082" name="Rectángulo: esquinas redondeadas 1075"/>
          <xdr:cNvSpPr/>
        </xdr:nvSpPr>
        <xdr:spPr>
          <a:xfrm>
            <a:off x="17996040" y="277776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083" name="Rectángulo: esquinas redondeadas 1076"/>
          <xdr:cNvSpPr/>
        </xdr:nvSpPr>
        <xdr:spPr>
          <a:xfrm>
            <a:off x="17996760" y="319788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084" name="CuadroTexto 1077"/>
          <xdr:cNvSpPr/>
        </xdr:nvSpPr>
        <xdr:spPr>
          <a:xfrm>
            <a:off x="18285840" y="3005640"/>
            <a:ext cx="496440" cy="31500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LAS FLORES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1085" name="2 Conector recto"/>
          <xdr:cNvCxnSpPr/>
        </xdr:nvCxnSpPr>
        <xdr:spPr>
          <a:xfrm>
            <a:off x="18226800" y="2733120"/>
            <a:ext cx="360" cy="558720"/>
          </a:xfrm>
          <a:prstGeom prst="straightConnector1">
            <a:avLst/>
          </a:prstGeom>
          <a:ln w="19050">
            <a:solidFill>
              <a:srgbClr val="ff0000"/>
            </a:solidFill>
          </a:ln>
        </xdr:spPr>
      </xdr:cxnSp>
      <xdr:sp>
        <xdr:nvSpPr>
          <xdr:cNvPr id="1086" name="Rectángulo: esquinas redondeadas 1079"/>
          <xdr:cNvSpPr/>
        </xdr:nvSpPr>
        <xdr:spPr>
          <a:xfrm>
            <a:off x="18200160" y="277848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087" name="Rectángulo: esquinas redondeadas 1080"/>
          <xdr:cNvSpPr/>
        </xdr:nvSpPr>
        <xdr:spPr>
          <a:xfrm>
            <a:off x="18201240" y="319860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088" name="2 Conector recto"/>
          <xdr:cNvCxnSpPr/>
        </xdr:nvCxnSpPr>
        <xdr:spPr>
          <a:xfrm>
            <a:off x="18020880" y="3287160"/>
            <a:ext cx="360" cy="559080"/>
          </a:xfrm>
          <a:prstGeom prst="straightConnector1">
            <a:avLst/>
          </a:prstGeom>
          <a:ln w="19050">
            <a:solidFill>
              <a:srgbClr val="ff0000"/>
            </a:solidFill>
          </a:ln>
        </xdr:spPr>
      </xdr:cxnSp>
      <xdr:sp>
        <xdr:nvSpPr>
          <xdr:cNvPr id="1089" name="Rectángulo: esquinas redondeadas 1082"/>
          <xdr:cNvSpPr/>
        </xdr:nvSpPr>
        <xdr:spPr>
          <a:xfrm>
            <a:off x="17994240" y="333288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090" name="Rectángulo: esquinas redondeadas 1083"/>
          <xdr:cNvSpPr/>
        </xdr:nvSpPr>
        <xdr:spPr>
          <a:xfrm>
            <a:off x="17992080" y="37526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091" name="2 Conector recto"/>
          <xdr:cNvCxnSpPr/>
        </xdr:nvCxnSpPr>
        <xdr:spPr>
          <a:xfrm>
            <a:off x="17766000" y="3850200"/>
            <a:ext cx="2145960" cy="360"/>
          </a:xfrm>
          <a:prstGeom prst="straightConnector1">
            <a:avLst/>
          </a:prstGeom>
          <a:ln w="38100">
            <a:solidFill>
              <a:srgbClr val="ff0000"/>
            </a:solidFill>
          </a:ln>
        </xdr:spPr>
      </xdr:cxnSp>
      <xdr:sp>
        <xdr:nvSpPr>
          <xdr:cNvPr id="1092" name="CuadroTexto 1085"/>
          <xdr:cNvSpPr/>
        </xdr:nvSpPr>
        <xdr:spPr>
          <a:xfrm>
            <a:off x="18147600" y="3541680"/>
            <a:ext cx="704520" cy="39060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EL RÍO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sp>
        <xdr:nvSpPr>
          <xdr:cNvPr id="1093" name="Rectángulo: esquinas redondeadas 1086"/>
          <xdr:cNvSpPr/>
        </xdr:nvSpPr>
        <xdr:spPr>
          <a:xfrm>
            <a:off x="17992440" y="60044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094" name="2 Conector recto"/>
          <xdr:cNvCxnSpPr/>
        </xdr:nvCxnSpPr>
        <xdr:spPr>
          <a:xfrm>
            <a:off x="16771320" y="6085080"/>
            <a:ext cx="2373120" cy="360"/>
          </a:xfrm>
          <a:prstGeom prst="straightConnector1">
            <a:avLst/>
          </a:prstGeom>
          <a:ln w="38100">
            <a:solidFill>
              <a:srgbClr val="ff0000"/>
            </a:solidFill>
          </a:ln>
        </xdr:spPr>
      </xdr:cxnSp>
      <xdr:sp>
        <xdr:nvSpPr>
          <xdr:cNvPr id="1095" name="CuadroTexto 1088"/>
          <xdr:cNvSpPr/>
        </xdr:nvSpPr>
        <xdr:spPr>
          <a:xfrm>
            <a:off x="18466920" y="5862240"/>
            <a:ext cx="388440" cy="24228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TEBSA</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1096" name="2 Conector recto"/>
          <xdr:cNvCxnSpPr/>
        </xdr:nvCxnSpPr>
        <xdr:spPr>
          <a:xfrm>
            <a:off x="17048520" y="6620760"/>
            <a:ext cx="2907720" cy="360"/>
          </a:xfrm>
          <a:prstGeom prst="straightConnector1">
            <a:avLst/>
          </a:prstGeom>
          <a:ln w="38100">
            <a:solidFill>
              <a:srgbClr val="003db8"/>
            </a:solidFill>
          </a:ln>
        </xdr:spPr>
      </xdr:cxnSp>
      <xdr:sp>
        <xdr:nvSpPr>
          <xdr:cNvPr id="1097" name="CuadroTexto 1090"/>
          <xdr:cNvSpPr/>
        </xdr:nvSpPr>
        <xdr:spPr>
          <a:xfrm>
            <a:off x="17032680" y="6198480"/>
            <a:ext cx="285840" cy="37368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100</a:t>
            </a:r>
            <a:endParaRPr b="0" lang="en-GB" sz="700" spc="-1" strike="noStrike">
              <a:latin typeface="Times New Roman"/>
            </a:endParaRPr>
          </a:p>
          <a:p>
            <a:pPr>
              <a:lnSpc>
                <a:spcPct val="100000"/>
              </a:lnSpc>
            </a:pPr>
            <a:r>
              <a:rPr b="0" lang="es-MX" sz="700" spc="-1" strike="noStrike">
                <a:solidFill>
                  <a:srgbClr val="000000"/>
                </a:solidFill>
                <a:latin typeface="Calibri"/>
              </a:rPr>
              <a:t>MVA</a:t>
            </a:r>
            <a:endParaRPr b="0" lang="en-GB" sz="700" spc="-1" strike="noStrike">
              <a:latin typeface="Times New Roman"/>
            </a:endParaRPr>
          </a:p>
        </xdr:txBody>
      </xdr:sp>
      <xdr:sp>
        <xdr:nvSpPr>
          <xdr:cNvPr id="1098" name="CuadroTexto 1091"/>
          <xdr:cNvSpPr/>
        </xdr:nvSpPr>
        <xdr:spPr>
          <a:xfrm>
            <a:off x="17630280" y="6196680"/>
            <a:ext cx="285840" cy="37368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100</a:t>
            </a:r>
            <a:endParaRPr b="0" lang="en-GB" sz="700" spc="-1" strike="noStrike">
              <a:latin typeface="Times New Roman"/>
            </a:endParaRPr>
          </a:p>
          <a:p>
            <a:pPr>
              <a:lnSpc>
                <a:spcPct val="100000"/>
              </a:lnSpc>
            </a:pPr>
            <a:r>
              <a:rPr b="0" lang="es-MX" sz="700" spc="-1" strike="noStrike">
                <a:solidFill>
                  <a:srgbClr val="000000"/>
                </a:solidFill>
                <a:latin typeface="Calibri"/>
              </a:rPr>
              <a:t>MVA</a:t>
            </a:r>
            <a:endParaRPr b="0" lang="en-GB" sz="700" spc="-1" strike="noStrike">
              <a:latin typeface="Times New Roman"/>
            </a:endParaRPr>
          </a:p>
        </xdr:txBody>
      </xdr:sp>
      <xdr:sp>
        <xdr:nvSpPr>
          <xdr:cNvPr id="1099" name="Oval 84"/>
          <xdr:cNvSpPr/>
        </xdr:nvSpPr>
        <xdr:spPr>
          <a:xfrm flipH="1" rot="10800000">
            <a:off x="17368920" y="6235560"/>
            <a:ext cx="147240" cy="129600"/>
          </a:xfrm>
          <a:prstGeom prst="ellipse">
            <a:avLst/>
          </a:prstGeom>
          <a:noFill/>
          <a:ln w="19050">
            <a:solidFill>
              <a:srgbClr val="ff0000"/>
            </a:solidFill>
            <a:round/>
          </a:ln>
        </xdr:spPr>
        <xdr:style>
          <a:lnRef idx="0"/>
          <a:fillRef idx="0"/>
          <a:effectRef idx="0"/>
          <a:fontRef idx="minor"/>
        </xdr:style>
      </xdr:sp>
      <xdr:sp>
        <xdr:nvSpPr>
          <xdr:cNvPr id="1100" name="Oval 85"/>
          <xdr:cNvSpPr/>
        </xdr:nvSpPr>
        <xdr:spPr>
          <a:xfrm flipH="1" rot="10800000">
            <a:off x="17368920" y="6332400"/>
            <a:ext cx="147240" cy="129600"/>
          </a:xfrm>
          <a:prstGeom prst="ellipse">
            <a:avLst/>
          </a:prstGeom>
          <a:noFill/>
          <a:ln w="19050">
            <a:solidFill>
              <a:srgbClr val="003db8"/>
            </a:solidFill>
            <a:round/>
          </a:ln>
        </xdr:spPr>
        <xdr:style>
          <a:lnRef idx="0"/>
          <a:fillRef idx="0"/>
          <a:effectRef idx="0"/>
          <a:fontRef idx="minor"/>
        </xdr:style>
      </xdr:sp>
      <xdr:sp>
        <xdr:nvSpPr>
          <xdr:cNvPr id="1101" name="Oval 84"/>
          <xdr:cNvSpPr/>
        </xdr:nvSpPr>
        <xdr:spPr>
          <a:xfrm flipH="1" rot="10800000">
            <a:off x="17452080" y="6289920"/>
            <a:ext cx="143280" cy="129600"/>
          </a:xfrm>
          <a:prstGeom prst="ellipse">
            <a:avLst/>
          </a:prstGeom>
          <a:noFill/>
          <a:ln w="19050">
            <a:solidFill>
              <a:srgbClr val="ffc000"/>
            </a:solidFill>
            <a:round/>
          </a:ln>
        </xdr:spPr>
        <xdr:style>
          <a:lnRef idx="0"/>
          <a:fillRef idx="0"/>
          <a:effectRef idx="0"/>
          <a:fontRef idx="minor"/>
        </xdr:style>
      </xdr:sp>
      <xdr:sp>
        <xdr:nvSpPr>
          <xdr:cNvPr id="1102" name="Line 179"/>
          <xdr:cNvSpPr/>
        </xdr:nvSpPr>
        <xdr:spPr>
          <a:xfrm>
            <a:off x="17438040" y="6463440"/>
            <a:ext cx="360" cy="150480"/>
          </a:xfrm>
          <a:prstGeom prst="line">
            <a:avLst/>
          </a:prstGeom>
          <a:ln w="19050">
            <a:solidFill>
              <a:srgbClr val="003db8"/>
            </a:solidFill>
            <a:round/>
          </a:ln>
        </xdr:spPr>
        <xdr:style>
          <a:lnRef idx="0"/>
          <a:fillRef idx="0"/>
          <a:effectRef idx="0"/>
          <a:fontRef idx="minor"/>
        </xdr:style>
      </xdr:sp>
      <xdr:sp>
        <xdr:nvSpPr>
          <xdr:cNvPr id="1103" name="Line 179"/>
          <xdr:cNvSpPr/>
        </xdr:nvSpPr>
        <xdr:spPr>
          <a:xfrm>
            <a:off x="17439120" y="6092640"/>
            <a:ext cx="360" cy="143280"/>
          </a:xfrm>
          <a:prstGeom prst="line">
            <a:avLst/>
          </a:prstGeom>
          <a:ln w="19050">
            <a:solidFill>
              <a:srgbClr val="ff0000"/>
            </a:solidFill>
            <a:round/>
          </a:ln>
        </xdr:spPr>
        <xdr:style>
          <a:lnRef idx="0"/>
          <a:fillRef idx="0"/>
          <a:effectRef idx="0"/>
          <a:fontRef idx="minor"/>
        </xdr:style>
      </xdr:sp>
      <xdr:sp>
        <xdr:nvSpPr>
          <xdr:cNvPr id="1104" name="Line 179"/>
          <xdr:cNvSpPr/>
        </xdr:nvSpPr>
        <xdr:spPr>
          <a:xfrm flipH="1">
            <a:off x="17594280" y="6351120"/>
            <a:ext cx="108360" cy="360"/>
          </a:xfrm>
          <a:prstGeom prst="line">
            <a:avLst/>
          </a:prstGeom>
          <a:ln w="19050">
            <a:solidFill>
              <a:srgbClr val="ffc000"/>
            </a:solidFill>
            <a:round/>
          </a:ln>
        </xdr:spPr>
        <xdr:style>
          <a:lnRef idx="0"/>
          <a:fillRef idx="0"/>
          <a:effectRef idx="0"/>
          <a:fontRef idx="minor"/>
        </xdr:style>
      </xdr:sp>
      <xdr:cxnSp>
        <xdr:nvCxnSpPr>
          <xdr:cNvPr id="1105" name="2 Conector recto"/>
          <xdr:cNvCxnSpPr/>
        </xdr:nvCxnSpPr>
        <xdr:spPr>
          <a:xfrm flipV="1">
            <a:off x="17707680" y="6275880"/>
            <a:ext cx="360" cy="151920"/>
          </a:xfrm>
          <a:prstGeom prst="straightConnector1">
            <a:avLst/>
          </a:prstGeom>
          <a:ln w="19050">
            <a:solidFill>
              <a:srgbClr val="ffc000"/>
            </a:solidFill>
          </a:ln>
        </xdr:spPr>
      </xdr:cxnSp>
      <xdr:sp>
        <xdr:nvSpPr>
          <xdr:cNvPr id="1106" name="Oval 84"/>
          <xdr:cNvSpPr/>
        </xdr:nvSpPr>
        <xdr:spPr>
          <a:xfrm flipH="1" rot="10800000">
            <a:off x="17951400" y="6237000"/>
            <a:ext cx="147240" cy="129600"/>
          </a:xfrm>
          <a:prstGeom prst="ellipse">
            <a:avLst/>
          </a:prstGeom>
          <a:noFill/>
          <a:ln w="19050">
            <a:solidFill>
              <a:srgbClr val="ff0000"/>
            </a:solidFill>
            <a:round/>
          </a:ln>
        </xdr:spPr>
        <xdr:style>
          <a:lnRef idx="0"/>
          <a:fillRef idx="0"/>
          <a:effectRef idx="0"/>
          <a:fontRef idx="minor"/>
        </xdr:style>
      </xdr:sp>
      <xdr:sp>
        <xdr:nvSpPr>
          <xdr:cNvPr id="1107" name="Oval 85"/>
          <xdr:cNvSpPr/>
        </xdr:nvSpPr>
        <xdr:spPr>
          <a:xfrm flipH="1" rot="10800000">
            <a:off x="17951400" y="6333840"/>
            <a:ext cx="147240" cy="129600"/>
          </a:xfrm>
          <a:prstGeom prst="ellipse">
            <a:avLst/>
          </a:prstGeom>
          <a:noFill/>
          <a:ln w="19050">
            <a:solidFill>
              <a:srgbClr val="003db8"/>
            </a:solidFill>
            <a:round/>
          </a:ln>
        </xdr:spPr>
        <xdr:style>
          <a:lnRef idx="0"/>
          <a:fillRef idx="0"/>
          <a:effectRef idx="0"/>
          <a:fontRef idx="minor"/>
        </xdr:style>
      </xdr:sp>
      <xdr:sp>
        <xdr:nvSpPr>
          <xdr:cNvPr id="1108" name="Oval 84"/>
          <xdr:cNvSpPr/>
        </xdr:nvSpPr>
        <xdr:spPr>
          <a:xfrm flipH="1" rot="10800000">
            <a:off x="18034560" y="6291720"/>
            <a:ext cx="143280" cy="129600"/>
          </a:xfrm>
          <a:prstGeom prst="ellipse">
            <a:avLst/>
          </a:prstGeom>
          <a:noFill/>
          <a:ln w="19050">
            <a:solidFill>
              <a:srgbClr val="ffc000"/>
            </a:solidFill>
            <a:round/>
          </a:ln>
        </xdr:spPr>
        <xdr:style>
          <a:lnRef idx="0"/>
          <a:fillRef idx="0"/>
          <a:effectRef idx="0"/>
          <a:fontRef idx="minor"/>
        </xdr:style>
      </xdr:sp>
      <xdr:sp>
        <xdr:nvSpPr>
          <xdr:cNvPr id="1109" name="Line 179"/>
          <xdr:cNvSpPr/>
        </xdr:nvSpPr>
        <xdr:spPr>
          <a:xfrm>
            <a:off x="18020520" y="6464880"/>
            <a:ext cx="360" cy="150480"/>
          </a:xfrm>
          <a:prstGeom prst="line">
            <a:avLst/>
          </a:prstGeom>
          <a:ln w="19050">
            <a:solidFill>
              <a:srgbClr val="003db8"/>
            </a:solidFill>
            <a:round/>
          </a:ln>
        </xdr:spPr>
        <xdr:style>
          <a:lnRef idx="0"/>
          <a:fillRef idx="0"/>
          <a:effectRef idx="0"/>
          <a:fontRef idx="minor"/>
        </xdr:style>
      </xdr:sp>
      <xdr:sp>
        <xdr:nvSpPr>
          <xdr:cNvPr id="1110" name="Line 179"/>
          <xdr:cNvSpPr/>
        </xdr:nvSpPr>
        <xdr:spPr>
          <a:xfrm>
            <a:off x="18021600" y="6094080"/>
            <a:ext cx="360" cy="143640"/>
          </a:xfrm>
          <a:prstGeom prst="line">
            <a:avLst/>
          </a:prstGeom>
          <a:ln w="19050">
            <a:solidFill>
              <a:srgbClr val="ff0000"/>
            </a:solidFill>
            <a:round/>
          </a:ln>
        </xdr:spPr>
        <xdr:style>
          <a:lnRef idx="0"/>
          <a:fillRef idx="0"/>
          <a:effectRef idx="0"/>
          <a:fontRef idx="minor"/>
        </xdr:style>
      </xdr:sp>
      <xdr:sp>
        <xdr:nvSpPr>
          <xdr:cNvPr id="1111" name="Line 179"/>
          <xdr:cNvSpPr/>
        </xdr:nvSpPr>
        <xdr:spPr>
          <a:xfrm flipH="1">
            <a:off x="18176760" y="6352920"/>
            <a:ext cx="108360" cy="360"/>
          </a:xfrm>
          <a:prstGeom prst="line">
            <a:avLst/>
          </a:prstGeom>
          <a:ln w="19050">
            <a:solidFill>
              <a:srgbClr val="ffc000"/>
            </a:solidFill>
            <a:round/>
          </a:ln>
        </xdr:spPr>
        <xdr:style>
          <a:lnRef idx="0"/>
          <a:fillRef idx="0"/>
          <a:effectRef idx="0"/>
          <a:fontRef idx="minor"/>
        </xdr:style>
      </xdr:sp>
      <xdr:cxnSp>
        <xdr:nvCxnSpPr>
          <xdr:cNvPr id="1112" name="2 Conector recto"/>
          <xdr:cNvCxnSpPr/>
        </xdr:nvCxnSpPr>
        <xdr:spPr>
          <a:xfrm flipV="1">
            <a:off x="18290160" y="6277680"/>
            <a:ext cx="360" cy="151920"/>
          </a:xfrm>
          <a:prstGeom prst="straightConnector1">
            <a:avLst/>
          </a:prstGeom>
          <a:ln w="19050">
            <a:solidFill>
              <a:srgbClr val="ffc000"/>
            </a:solidFill>
          </a:ln>
        </xdr:spPr>
      </xdr:cxnSp>
      <xdr:sp>
        <xdr:nvSpPr>
          <xdr:cNvPr id="1113" name="CuadroTexto 1106"/>
          <xdr:cNvSpPr/>
        </xdr:nvSpPr>
        <xdr:spPr>
          <a:xfrm>
            <a:off x="18227520" y="6196680"/>
            <a:ext cx="285840" cy="37368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100</a:t>
            </a:r>
            <a:endParaRPr b="0" lang="en-GB" sz="700" spc="-1" strike="noStrike">
              <a:latin typeface="Times New Roman"/>
            </a:endParaRPr>
          </a:p>
          <a:p>
            <a:pPr>
              <a:lnSpc>
                <a:spcPct val="100000"/>
              </a:lnSpc>
            </a:pPr>
            <a:r>
              <a:rPr b="0" lang="es-MX" sz="700" spc="-1" strike="noStrike">
                <a:solidFill>
                  <a:srgbClr val="000000"/>
                </a:solidFill>
                <a:latin typeface="Calibri"/>
              </a:rPr>
              <a:t>MVA</a:t>
            </a:r>
            <a:endParaRPr b="0" lang="en-GB" sz="700" spc="-1" strike="noStrike">
              <a:latin typeface="Times New Roman"/>
            </a:endParaRPr>
          </a:p>
        </xdr:txBody>
      </xdr:sp>
      <xdr:sp>
        <xdr:nvSpPr>
          <xdr:cNvPr id="1114" name="Oval 84"/>
          <xdr:cNvSpPr/>
        </xdr:nvSpPr>
        <xdr:spPr>
          <a:xfrm flipH="1" rot="10800000">
            <a:off x="18548640" y="6237000"/>
            <a:ext cx="147240" cy="129600"/>
          </a:xfrm>
          <a:prstGeom prst="ellipse">
            <a:avLst/>
          </a:prstGeom>
          <a:noFill/>
          <a:ln w="19050">
            <a:solidFill>
              <a:srgbClr val="ff0000"/>
            </a:solidFill>
            <a:round/>
          </a:ln>
        </xdr:spPr>
        <xdr:style>
          <a:lnRef idx="0"/>
          <a:fillRef idx="0"/>
          <a:effectRef idx="0"/>
          <a:fontRef idx="minor"/>
        </xdr:style>
      </xdr:sp>
      <xdr:sp>
        <xdr:nvSpPr>
          <xdr:cNvPr id="1115" name="Oval 85"/>
          <xdr:cNvSpPr/>
        </xdr:nvSpPr>
        <xdr:spPr>
          <a:xfrm flipH="1" rot="10800000">
            <a:off x="18548640" y="6333840"/>
            <a:ext cx="147240" cy="129600"/>
          </a:xfrm>
          <a:prstGeom prst="ellipse">
            <a:avLst/>
          </a:prstGeom>
          <a:noFill/>
          <a:ln w="19050">
            <a:solidFill>
              <a:srgbClr val="003db8"/>
            </a:solidFill>
            <a:round/>
          </a:ln>
        </xdr:spPr>
        <xdr:style>
          <a:lnRef idx="0"/>
          <a:fillRef idx="0"/>
          <a:effectRef idx="0"/>
          <a:fontRef idx="minor"/>
        </xdr:style>
      </xdr:sp>
      <xdr:sp>
        <xdr:nvSpPr>
          <xdr:cNvPr id="1116" name="Oval 84"/>
          <xdr:cNvSpPr/>
        </xdr:nvSpPr>
        <xdr:spPr>
          <a:xfrm flipH="1" rot="10800000">
            <a:off x="18631800" y="6291720"/>
            <a:ext cx="143280" cy="129600"/>
          </a:xfrm>
          <a:prstGeom prst="ellipse">
            <a:avLst/>
          </a:prstGeom>
          <a:noFill/>
          <a:ln w="19050">
            <a:solidFill>
              <a:srgbClr val="ffc000"/>
            </a:solidFill>
            <a:round/>
          </a:ln>
        </xdr:spPr>
        <xdr:style>
          <a:lnRef idx="0"/>
          <a:fillRef idx="0"/>
          <a:effectRef idx="0"/>
          <a:fontRef idx="minor"/>
        </xdr:style>
      </xdr:sp>
      <xdr:sp>
        <xdr:nvSpPr>
          <xdr:cNvPr id="1117" name="Line 179"/>
          <xdr:cNvSpPr/>
        </xdr:nvSpPr>
        <xdr:spPr>
          <a:xfrm>
            <a:off x="18617760" y="6464880"/>
            <a:ext cx="360" cy="150480"/>
          </a:xfrm>
          <a:prstGeom prst="line">
            <a:avLst/>
          </a:prstGeom>
          <a:ln w="19050">
            <a:solidFill>
              <a:srgbClr val="003db8"/>
            </a:solidFill>
            <a:round/>
          </a:ln>
        </xdr:spPr>
        <xdr:style>
          <a:lnRef idx="0"/>
          <a:fillRef idx="0"/>
          <a:effectRef idx="0"/>
          <a:fontRef idx="minor"/>
        </xdr:style>
      </xdr:sp>
      <xdr:sp>
        <xdr:nvSpPr>
          <xdr:cNvPr id="1118" name="Line 179"/>
          <xdr:cNvSpPr/>
        </xdr:nvSpPr>
        <xdr:spPr>
          <a:xfrm>
            <a:off x="18618840" y="6094080"/>
            <a:ext cx="360" cy="143640"/>
          </a:xfrm>
          <a:prstGeom prst="line">
            <a:avLst/>
          </a:prstGeom>
          <a:ln w="19050">
            <a:solidFill>
              <a:srgbClr val="ff0000"/>
            </a:solidFill>
            <a:round/>
          </a:ln>
        </xdr:spPr>
        <xdr:style>
          <a:lnRef idx="0"/>
          <a:fillRef idx="0"/>
          <a:effectRef idx="0"/>
          <a:fontRef idx="minor"/>
        </xdr:style>
      </xdr:sp>
      <xdr:sp>
        <xdr:nvSpPr>
          <xdr:cNvPr id="1119" name="Line 179"/>
          <xdr:cNvSpPr/>
        </xdr:nvSpPr>
        <xdr:spPr>
          <a:xfrm flipH="1">
            <a:off x="18774000" y="6352920"/>
            <a:ext cx="108360" cy="360"/>
          </a:xfrm>
          <a:prstGeom prst="line">
            <a:avLst/>
          </a:prstGeom>
          <a:ln w="19050">
            <a:solidFill>
              <a:srgbClr val="ffc000"/>
            </a:solidFill>
            <a:round/>
          </a:ln>
        </xdr:spPr>
        <xdr:style>
          <a:lnRef idx="0"/>
          <a:fillRef idx="0"/>
          <a:effectRef idx="0"/>
          <a:fontRef idx="minor"/>
        </xdr:style>
      </xdr:sp>
      <xdr:cxnSp>
        <xdr:nvCxnSpPr>
          <xdr:cNvPr id="1120" name="2 Conector recto"/>
          <xdr:cNvCxnSpPr/>
        </xdr:nvCxnSpPr>
        <xdr:spPr>
          <a:xfrm flipV="1">
            <a:off x="18887400" y="6277680"/>
            <a:ext cx="360" cy="151920"/>
          </a:xfrm>
          <a:prstGeom prst="straightConnector1">
            <a:avLst/>
          </a:prstGeom>
          <a:ln w="19050">
            <a:solidFill>
              <a:srgbClr val="ffc000"/>
            </a:solidFill>
          </a:ln>
        </xdr:spPr>
      </xdr:cxnSp>
      <xdr:sp>
        <xdr:nvSpPr>
          <xdr:cNvPr id="1121" name="Rectángulo: esquinas redondeadas 1114"/>
          <xdr:cNvSpPr/>
        </xdr:nvSpPr>
        <xdr:spPr>
          <a:xfrm>
            <a:off x="17408520" y="61232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22" name="Rectángulo: esquinas redondeadas 1115"/>
          <xdr:cNvSpPr/>
        </xdr:nvSpPr>
        <xdr:spPr>
          <a:xfrm>
            <a:off x="17996400" y="61232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23" name="Rectángulo: esquinas redondeadas 1116"/>
          <xdr:cNvSpPr/>
        </xdr:nvSpPr>
        <xdr:spPr>
          <a:xfrm>
            <a:off x="18590040" y="61232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24" name="Rectángulo: esquinas redondeadas 1117"/>
          <xdr:cNvSpPr/>
        </xdr:nvSpPr>
        <xdr:spPr>
          <a:xfrm>
            <a:off x="17406720" y="6524640"/>
            <a:ext cx="60120" cy="550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1125" name="Rectángulo: esquinas redondeadas 1118"/>
          <xdr:cNvSpPr/>
        </xdr:nvSpPr>
        <xdr:spPr>
          <a:xfrm>
            <a:off x="17991360" y="6523920"/>
            <a:ext cx="60120" cy="550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1126" name="Rectángulo: esquinas redondeadas 1119"/>
          <xdr:cNvSpPr/>
        </xdr:nvSpPr>
        <xdr:spPr>
          <a:xfrm>
            <a:off x="18588240" y="6523920"/>
            <a:ext cx="60120" cy="550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1127" name="CuadroTexto 1120"/>
          <xdr:cNvSpPr/>
        </xdr:nvSpPr>
        <xdr:spPr>
          <a:xfrm>
            <a:off x="17320680" y="6629400"/>
            <a:ext cx="958320" cy="12888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TEBSA220 kV</a:t>
            </a:r>
            <a:endParaRPr b="0" lang="en-GB" sz="700" spc="-1" strike="noStrike">
              <a:latin typeface="Times New Roman"/>
            </a:endParaRPr>
          </a:p>
        </xdr:txBody>
      </xdr:sp>
      <xdr:cxnSp>
        <xdr:nvCxnSpPr>
          <xdr:cNvPr id="1128" name="2 Conector recto"/>
          <xdr:cNvCxnSpPr/>
        </xdr:nvCxnSpPr>
        <xdr:spPr>
          <a:xfrm>
            <a:off x="18118440" y="4968360"/>
            <a:ext cx="496800" cy="360"/>
          </a:xfrm>
          <a:prstGeom prst="straightConnector1">
            <a:avLst/>
          </a:prstGeom>
          <a:ln w="38100">
            <a:solidFill>
              <a:srgbClr val="ff0000"/>
            </a:solidFill>
          </a:ln>
        </xdr:spPr>
      </xdr:cxnSp>
      <xdr:cxnSp>
        <xdr:nvCxnSpPr>
          <xdr:cNvPr id="1129" name="2 Conector recto"/>
          <xdr:cNvCxnSpPr/>
        </xdr:nvCxnSpPr>
        <xdr:spPr>
          <a:xfrm>
            <a:off x="18227520" y="3844800"/>
            <a:ext cx="360" cy="1135800"/>
          </a:xfrm>
          <a:prstGeom prst="straightConnector1">
            <a:avLst/>
          </a:prstGeom>
          <a:ln w="19050">
            <a:solidFill>
              <a:srgbClr val="ff0000"/>
            </a:solidFill>
          </a:ln>
        </xdr:spPr>
      </xdr:cxnSp>
      <xdr:sp>
        <xdr:nvSpPr>
          <xdr:cNvPr id="1130" name="Rectángulo: esquinas redondeadas 1123"/>
          <xdr:cNvSpPr/>
        </xdr:nvSpPr>
        <xdr:spPr>
          <a:xfrm>
            <a:off x="18200880" y="389016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31" name="Rectángulo: esquinas redondeadas 1124"/>
          <xdr:cNvSpPr/>
        </xdr:nvSpPr>
        <xdr:spPr>
          <a:xfrm>
            <a:off x="18201600" y="487188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32" name="CuadroTexto 1125"/>
          <xdr:cNvSpPr/>
        </xdr:nvSpPr>
        <xdr:spPr>
          <a:xfrm>
            <a:off x="18233280" y="4671720"/>
            <a:ext cx="858960" cy="40140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MAGDALENA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1133" name="2 Conector recto"/>
          <xdr:cNvCxnSpPr/>
        </xdr:nvCxnSpPr>
        <xdr:spPr>
          <a:xfrm>
            <a:off x="18226800" y="4970160"/>
            <a:ext cx="360" cy="1106280"/>
          </a:xfrm>
          <a:prstGeom prst="straightConnector1">
            <a:avLst/>
          </a:prstGeom>
          <a:ln w="19050">
            <a:solidFill>
              <a:srgbClr val="ff0000"/>
            </a:solidFill>
          </a:ln>
        </xdr:spPr>
      </xdr:cxnSp>
      <xdr:sp>
        <xdr:nvSpPr>
          <xdr:cNvPr id="1134" name="Rectángulo: esquinas redondeadas 1127"/>
          <xdr:cNvSpPr/>
        </xdr:nvSpPr>
        <xdr:spPr>
          <a:xfrm>
            <a:off x="18200160" y="500616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35" name="Rectángulo: esquinas redondeadas 1128"/>
          <xdr:cNvSpPr/>
        </xdr:nvSpPr>
        <xdr:spPr>
          <a:xfrm>
            <a:off x="18201240" y="600012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136" name="2 Conector recto"/>
          <xdr:cNvCxnSpPr/>
        </xdr:nvCxnSpPr>
        <xdr:spPr>
          <a:xfrm>
            <a:off x="18326880" y="5519160"/>
            <a:ext cx="335160" cy="360"/>
          </a:xfrm>
          <a:prstGeom prst="straightConnector1">
            <a:avLst/>
          </a:prstGeom>
          <a:ln w="38100">
            <a:solidFill>
              <a:srgbClr val="ff0000"/>
            </a:solidFill>
          </a:ln>
        </xdr:spPr>
      </xdr:cxnSp>
      <xdr:cxnSp>
        <xdr:nvCxnSpPr>
          <xdr:cNvPr id="1137" name="2 Conector recto"/>
          <xdr:cNvCxnSpPr/>
        </xdr:nvCxnSpPr>
        <xdr:spPr>
          <a:xfrm>
            <a:off x="18437040" y="4973040"/>
            <a:ext cx="360" cy="542520"/>
          </a:xfrm>
          <a:prstGeom prst="straightConnector1">
            <a:avLst/>
          </a:prstGeom>
          <a:ln w="19050">
            <a:solidFill>
              <a:srgbClr val="ff0000"/>
            </a:solidFill>
          </a:ln>
        </xdr:spPr>
      </xdr:cxnSp>
      <xdr:sp>
        <xdr:nvSpPr>
          <xdr:cNvPr id="1138" name="Rectángulo: esquinas redondeadas 1131"/>
          <xdr:cNvSpPr/>
        </xdr:nvSpPr>
        <xdr:spPr>
          <a:xfrm>
            <a:off x="18410400" y="501228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39" name="Rectángulo: esquinas redondeadas 1132"/>
          <xdr:cNvSpPr/>
        </xdr:nvSpPr>
        <xdr:spPr>
          <a:xfrm>
            <a:off x="18411120" y="542232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40" name="CuadroTexto 1133"/>
          <xdr:cNvSpPr/>
        </xdr:nvSpPr>
        <xdr:spPr>
          <a:xfrm>
            <a:off x="18442080" y="5215320"/>
            <a:ext cx="525600" cy="36576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UNIÓN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1141" name="2 Conector recto"/>
          <xdr:cNvCxnSpPr/>
        </xdr:nvCxnSpPr>
        <xdr:spPr>
          <a:xfrm>
            <a:off x="18432360" y="5512320"/>
            <a:ext cx="360" cy="564120"/>
          </a:xfrm>
          <a:prstGeom prst="straightConnector1">
            <a:avLst/>
          </a:prstGeom>
          <a:ln w="19050">
            <a:solidFill>
              <a:srgbClr val="ff0000"/>
            </a:solidFill>
          </a:ln>
        </xdr:spPr>
      </xdr:cxnSp>
      <xdr:sp>
        <xdr:nvSpPr>
          <xdr:cNvPr id="1142" name="Rectángulo: esquinas redondeadas 1135"/>
          <xdr:cNvSpPr/>
        </xdr:nvSpPr>
        <xdr:spPr>
          <a:xfrm>
            <a:off x="18405720" y="556380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43" name="Rectángulo: esquinas redondeadas 1136"/>
          <xdr:cNvSpPr/>
        </xdr:nvSpPr>
        <xdr:spPr>
          <a:xfrm>
            <a:off x="18406440" y="600012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144" name="2 Conector recto"/>
          <xdr:cNvCxnSpPr/>
        </xdr:nvCxnSpPr>
        <xdr:spPr>
          <a:xfrm>
            <a:off x="17435880" y="5526000"/>
            <a:ext cx="360" cy="558720"/>
          </a:xfrm>
          <a:prstGeom prst="straightConnector1">
            <a:avLst/>
          </a:prstGeom>
          <a:ln w="19050">
            <a:solidFill>
              <a:srgbClr val="ff0000"/>
            </a:solidFill>
          </a:ln>
        </xdr:spPr>
      </xdr:cxnSp>
      <xdr:sp>
        <xdr:nvSpPr>
          <xdr:cNvPr id="1145" name="Rectángulo: esquinas redondeadas 1138"/>
          <xdr:cNvSpPr/>
        </xdr:nvSpPr>
        <xdr:spPr>
          <a:xfrm>
            <a:off x="17409240" y="557136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46" name="Rectángulo: esquinas redondeadas 1139"/>
          <xdr:cNvSpPr/>
        </xdr:nvSpPr>
        <xdr:spPr>
          <a:xfrm>
            <a:off x="17410320" y="599148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147" name="2 Conector recto"/>
          <xdr:cNvCxnSpPr/>
        </xdr:nvCxnSpPr>
        <xdr:spPr>
          <a:xfrm>
            <a:off x="17640360" y="5526720"/>
            <a:ext cx="360" cy="558720"/>
          </a:xfrm>
          <a:prstGeom prst="straightConnector1">
            <a:avLst/>
          </a:prstGeom>
          <a:ln w="19050">
            <a:solidFill>
              <a:srgbClr val="ff0000"/>
            </a:solidFill>
          </a:ln>
        </xdr:spPr>
      </xdr:cxnSp>
      <xdr:sp>
        <xdr:nvSpPr>
          <xdr:cNvPr id="1148" name="Rectángulo: esquinas redondeadas 1141"/>
          <xdr:cNvSpPr/>
        </xdr:nvSpPr>
        <xdr:spPr>
          <a:xfrm>
            <a:off x="17613720" y="557208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49" name="Rectángulo: esquinas redondeadas 1142"/>
          <xdr:cNvSpPr/>
        </xdr:nvSpPr>
        <xdr:spPr>
          <a:xfrm>
            <a:off x="17614440" y="599220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150" name="2 Conector recto"/>
          <xdr:cNvCxnSpPr/>
        </xdr:nvCxnSpPr>
        <xdr:spPr>
          <a:xfrm>
            <a:off x="17268840" y="5521680"/>
            <a:ext cx="566640" cy="360"/>
          </a:xfrm>
          <a:prstGeom prst="straightConnector1">
            <a:avLst/>
          </a:prstGeom>
          <a:ln w="38100">
            <a:solidFill>
              <a:srgbClr val="ff0000"/>
            </a:solidFill>
          </a:ln>
        </xdr:spPr>
      </xdr:cxnSp>
      <xdr:sp>
        <xdr:nvSpPr>
          <xdr:cNvPr id="1151" name="CuadroTexto 1144"/>
          <xdr:cNvSpPr/>
        </xdr:nvSpPr>
        <xdr:spPr>
          <a:xfrm>
            <a:off x="17193240" y="5223240"/>
            <a:ext cx="814680" cy="3823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VEINTE DE JULIO</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1152" name="2 Conector recto"/>
          <xdr:cNvCxnSpPr/>
        </xdr:nvCxnSpPr>
        <xdr:spPr>
          <a:xfrm>
            <a:off x="16876800" y="5526360"/>
            <a:ext cx="360" cy="559080"/>
          </a:xfrm>
          <a:prstGeom prst="straightConnector1">
            <a:avLst/>
          </a:prstGeom>
          <a:ln w="19050">
            <a:solidFill>
              <a:srgbClr val="ff0000"/>
            </a:solidFill>
          </a:ln>
        </xdr:spPr>
      </xdr:cxnSp>
      <xdr:sp>
        <xdr:nvSpPr>
          <xdr:cNvPr id="1153" name="Rectángulo: esquinas redondeadas 1146"/>
          <xdr:cNvSpPr/>
        </xdr:nvSpPr>
        <xdr:spPr>
          <a:xfrm>
            <a:off x="16850160" y="557208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54" name="Rectángulo: esquinas redondeadas 1147"/>
          <xdr:cNvSpPr/>
        </xdr:nvSpPr>
        <xdr:spPr>
          <a:xfrm>
            <a:off x="16850880" y="599220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155" name="2 Conector recto"/>
          <xdr:cNvCxnSpPr/>
        </xdr:nvCxnSpPr>
        <xdr:spPr>
          <a:xfrm>
            <a:off x="16030800" y="5520240"/>
            <a:ext cx="977040" cy="360"/>
          </a:xfrm>
          <a:prstGeom prst="straightConnector1">
            <a:avLst/>
          </a:prstGeom>
          <a:ln w="38100">
            <a:solidFill>
              <a:srgbClr val="ff0000"/>
            </a:solidFill>
          </a:ln>
        </xdr:spPr>
      </xdr:cxnSp>
      <xdr:sp>
        <xdr:nvSpPr>
          <xdr:cNvPr id="1156" name="CuadroTexto 1149"/>
          <xdr:cNvSpPr/>
        </xdr:nvSpPr>
        <xdr:spPr>
          <a:xfrm>
            <a:off x="16012440" y="5322240"/>
            <a:ext cx="1011600" cy="19764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CORDIALIDAD 110 kV</a:t>
            </a:r>
            <a:endParaRPr b="0" lang="en-GB" sz="700" spc="-1" strike="noStrike">
              <a:latin typeface="Times New Roman"/>
            </a:endParaRPr>
          </a:p>
        </xdr:txBody>
      </xdr:sp>
      <xdr:cxnSp>
        <xdr:nvCxnSpPr>
          <xdr:cNvPr id="1157" name="2 Conector recto"/>
          <xdr:cNvCxnSpPr/>
        </xdr:nvCxnSpPr>
        <xdr:spPr>
          <a:xfrm>
            <a:off x="16155720" y="5529600"/>
            <a:ext cx="360" cy="559080"/>
          </a:xfrm>
          <a:prstGeom prst="straightConnector1">
            <a:avLst/>
          </a:prstGeom>
          <a:ln w="19050">
            <a:solidFill>
              <a:srgbClr val="ff0000"/>
            </a:solidFill>
          </a:ln>
        </xdr:spPr>
      </xdr:cxnSp>
      <xdr:sp>
        <xdr:nvSpPr>
          <xdr:cNvPr id="1158" name="Rectángulo: esquinas redondeadas 1151"/>
          <xdr:cNvSpPr/>
        </xdr:nvSpPr>
        <xdr:spPr>
          <a:xfrm>
            <a:off x="16129080" y="557532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59" name="Rectángulo: esquinas redondeadas 1152"/>
          <xdr:cNvSpPr/>
        </xdr:nvSpPr>
        <xdr:spPr>
          <a:xfrm>
            <a:off x="16130160" y="599508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60" name="CuadroTexto 1153"/>
          <xdr:cNvSpPr/>
        </xdr:nvSpPr>
        <xdr:spPr>
          <a:xfrm>
            <a:off x="15547680" y="5769000"/>
            <a:ext cx="705240" cy="36900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CARACOLÍ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1161" name="2 Conector recto"/>
          <xdr:cNvCxnSpPr/>
        </xdr:nvCxnSpPr>
        <xdr:spPr>
          <a:xfrm>
            <a:off x="15027120" y="6085080"/>
            <a:ext cx="1332000" cy="360"/>
          </a:xfrm>
          <a:prstGeom prst="straightConnector1">
            <a:avLst/>
          </a:prstGeom>
          <a:ln w="38100">
            <a:solidFill>
              <a:srgbClr val="ff0000"/>
            </a:solidFill>
          </a:ln>
        </xdr:spPr>
      </xdr:cxnSp>
      <xdr:grpSp>
        <xdr:nvGrpSpPr>
          <xdr:cNvPr id="1162" name="Grupo 1155"/>
          <xdr:cNvGrpSpPr/>
        </xdr:nvGrpSpPr>
        <xdr:grpSpPr>
          <a:xfrm>
            <a:off x="15800040" y="6084360"/>
            <a:ext cx="155880" cy="379440"/>
            <a:chOff x="15800040" y="6084360"/>
            <a:chExt cx="155880" cy="379440"/>
          </a:xfrm>
        </xdr:grpSpPr>
        <xdr:grpSp>
          <xdr:nvGrpSpPr>
            <xdr:cNvPr id="1163" name="Grupo 1"/>
            <xdr:cNvGrpSpPr/>
          </xdr:nvGrpSpPr>
          <xdr:grpSpPr>
            <a:xfrm>
              <a:off x="15800040" y="6233040"/>
              <a:ext cx="155880" cy="230760"/>
              <a:chOff x="15800040" y="6233040"/>
              <a:chExt cx="155880" cy="230760"/>
            </a:xfrm>
          </xdr:grpSpPr>
          <xdr:sp>
            <xdr:nvSpPr>
              <xdr:cNvPr id="1164" name="Elipse 49"/>
              <xdr:cNvSpPr/>
            </xdr:nvSpPr>
            <xdr:spPr>
              <a:xfrm rot="10800000">
                <a:off x="15800400" y="6233040"/>
                <a:ext cx="155520" cy="14328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1165" name="Elipse 50"/>
              <xdr:cNvSpPr/>
            </xdr:nvSpPr>
            <xdr:spPr>
              <a:xfrm rot="10800000">
                <a:off x="15800040" y="6320520"/>
                <a:ext cx="155520" cy="143280"/>
              </a:xfrm>
              <a:prstGeom prst="ellipse">
                <a:avLst/>
              </a:prstGeom>
              <a:noFill/>
              <a:ln w="19050">
                <a:solidFill>
                  <a:srgbClr val="003db8"/>
                </a:solidFill>
              </a:ln>
            </xdr:spPr>
            <xdr:style>
              <a:lnRef idx="2">
                <a:schemeClr val="accent1">
                  <a:shade val="50000"/>
                </a:schemeClr>
              </a:lnRef>
              <a:fillRef idx="1">
                <a:schemeClr val="accent1"/>
              </a:fillRef>
              <a:effectRef idx="0">
                <a:schemeClr val="accent1"/>
              </a:effectRef>
              <a:fontRef idx="minor"/>
            </xdr:style>
          </xdr:sp>
        </xdr:grpSp>
        <xdr:cxnSp>
          <xdr:nvCxnSpPr>
            <xdr:cNvPr id="1166" name="174 Conector recto de flecha"/>
            <xdr:cNvCxnSpPr/>
          </xdr:nvCxnSpPr>
          <xdr:spPr>
            <a:xfrm flipV="1">
              <a:off x="15877800" y="6084360"/>
              <a:ext cx="360" cy="145440"/>
            </a:xfrm>
            <a:prstGeom prst="straightConnector1">
              <a:avLst/>
            </a:prstGeom>
            <a:ln w="19050">
              <a:solidFill>
                <a:srgbClr val="ff0000"/>
              </a:solidFill>
            </a:ln>
          </xdr:spPr>
        </xdr:cxnSp>
      </xdr:grpSp>
      <xdr:cxnSp>
        <xdr:nvCxnSpPr>
          <xdr:cNvPr id="1167" name="Conector recto de flecha 173"/>
          <xdr:cNvCxnSpPr/>
        </xdr:nvCxnSpPr>
        <xdr:spPr>
          <a:xfrm>
            <a:off x="15878880" y="6458760"/>
            <a:ext cx="360" cy="160200"/>
          </a:xfrm>
          <a:prstGeom prst="straightConnector1">
            <a:avLst/>
          </a:prstGeom>
          <a:ln w="19050">
            <a:solidFill>
              <a:srgbClr val="003db8"/>
            </a:solidFill>
            <a:round/>
          </a:ln>
        </xdr:spPr>
      </xdr:cxnSp>
      <xdr:sp>
        <xdr:nvSpPr>
          <xdr:cNvPr id="1168" name="Rectángulo: esquinas redondeadas 1157"/>
          <xdr:cNvSpPr/>
        </xdr:nvSpPr>
        <xdr:spPr>
          <a:xfrm>
            <a:off x="15847920" y="6529680"/>
            <a:ext cx="60120" cy="550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1169" name="Rectángulo: esquinas redondeadas 1158"/>
          <xdr:cNvSpPr/>
        </xdr:nvSpPr>
        <xdr:spPr>
          <a:xfrm>
            <a:off x="15844680" y="61178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grpSp>
        <xdr:nvGrpSpPr>
          <xdr:cNvPr id="1170" name="Grupo 1159"/>
          <xdr:cNvGrpSpPr/>
        </xdr:nvGrpSpPr>
        <xdr:grpSpPr>
          <a:xfrm>
            <a:off x="16083000" y="6073200"/>
            <a:ext cx="155880" cy="390600"/>
            <a:chOff x="16083000" y="6073200"/>
            <a:chExt cx="155880" cy="390600"/>
          </a:xfrm>
        </xdr:grpSpPr>
        <xdr:grpSp>
          <xdr:nvGrpSpPr>
            <xdr:cNvPr id="1171" name="Grupo 1"/>
            <xdr:cNvGrpSpPr/>
          </xdr:nvGrpSpPr>
          <xdr:grpSpPr>
            <a:xfrm>
              <a:off x="16083000" y="6233040"/>
              <a:ext cx="155880" cy="230760"/>
              <a:chOff x="16083000" y="6233040"/>
              <a:chExt cx="155880" cy="230760"/>
            </a:xfrm>
          </xdr:grpSpPr>
          <xdr:sp>
            <xdr:nvSpPr>
              <xdr:cNvPr id="1172" name="Elipse 49"/>
              <xdr:cNvSpPr/>
            </xdr:nvSpPr>
            <xdr:spPr>
              <a:xfrm rot="10800000">
                <a:off x="16083360" y="6233040"/>
                <a:ext cx="155520" cy="14328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1173" name="Elipse 50"/>
              <xdr:cNvSpPr/>
            </xdr:nvSpPr>
            <xdr:spPr>
              <a:xfrm rot="10800000">
                <a:off x="16083000" y="6320520"/>
                <a:ext cx="155520" cy="143280"/>
              </a:xfrm>
              <a:prstGeom prst="ellipse">
                <a:avLst/>
              </a:prstGeom>
              <a:noFill/>
              <a:ln w="19050">
                <a:solidFill>
                  <a:srgbClr val="003db8"/>
                </a:solidFill>
              </a:ln>
            </xdr:spPr>
            <xdr:style>
              <a:lnRef idx="2">
                <a:schemeClr val="accent1">
                  <a:shade val="50000"/>
                </a:schemeClr>
              </a:lnRef>
              <a:fillRef idx="1">
                <a:schemeClr val="accent1"/>
              </a:fillRef>
              <a:effectRef idx="0">
                <a:schemeClr val="accent1"/>
              </a:effectRef>
              <a:fontRef idx="minor"/>
            </xdr:style>
          </xdr:sp>
        </xdr:grpSp>
        <xdr:cxnSp>
          <xdr:nvCxnSpPr>
            <xdr:cNvPr id="1174" name="174 Conector recto de flecha"/>
            <xdr:cNvCxnSpPr/>
          </xdr:nvCxnSpPr>
          <xdr:spPr>
            <a:xfrm flipV="1">
              <a:off x="16156800" y="6073200"/>
              <a:ext cx="360" cy="156600"/>
            </a:xfrm>
            <a:prstGeom prst="straightConnector1">
              <a:avLst/>
            </a:prstGeom>
            <a:ln w="19050">
              <a:solidFill>
                <a:srgbClr val="ff0000"/>
              </a:solidFill>
            </a:ln>
          </xdr:spPr>
        </xdr:cxnSp>
      </xdr:grpSp>
      <xdr:cxnSp>
        <xdr:nvCxnSpPr>
          <xdr:cNvPr id="1175" name="Conector recto de flecha 173"/>
          <xdr:cNvCxnSpPr/>
        </xdr:nvCxnSpPr>
        <xdr:spPr>
          <a:xfrm>
            <a:off x="16162200" y="6458760"/>
            <a:ext cx="360" cy="167760"/>
          </a:xfrm>
          <a:prstGeom prst="straightConnector1">
            <a:avLst/>
          </a:prstGeom>
          <a:ln w="28575">
            <a:solidFill>
              <a:srgbClr val="003db8"/>
            </a:solidFill>
            <a:round/>
          </a:ln>
        </xdr:spPr>
      </xdr:cxnSp>
      <xdr:sp>
        <xdr:nvSpPr>
          <xdr:cNvPr id="1176" name="Rectángulo: esquinas redondeadas 1161"/>
          <xdr:cNvSpPr/>
        </xdr:nvSpPr>
        <xdr:spPr>
          <a:xfrm>
            <a:off x="16130880" y="6529680"/>
            <a:ext cx="60120" cy="550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1177" name="Rectángulo: esquinas redondeadas 1162"/>
          <xdr:cNvSpPr/>
        </xdr:nvSpPr>
        <xdr:spPr>
          <a:xfrm>
            <a:off x="16127640" y="61178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178" name="2 Conector recto"/>
          <xdr:cNvCxnSpPr/>
        </xdr:nvCxnSpPr>
        <xdr:spPr>
          <a:xfrm>
            <a:off x="15615000" y="6621840"/>
            <a:ext cx="846720" cy="360"/>
          </a:xfrm>
          <a:prstGeom prst="straightConnector1">
            <a:avLst/>
          </a:prstGeom>
          <a:ln w="38100">
            <a:solidFill>
              <a:srgbClr val="003db8"/>
            </a:solidFill>
          </a:ln>
        </xdr:spPr>
      </xdr:cxnSp>
      <xdr:sp>
        <xdr:nvSpPr>
          <xdr:cNvPr id="1179" name="CuadroTexto 1164"/>
          <xdr:cNvSpPr/>
        </xdr:nvSpPr>
        <xdr:spPr>
          <a:xfrm>
            <a:off x="15419520" y="6662880"/>
            <a:ext cx="788400" cy="22068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CARACOLÍ 220 kV</a:t>
            </a:r>
            <a:endParaRPr b="0" lang="en-GB" sz="700" spc="-1" strike="noStrike">
              <a:latin typeface="Times New Roman"/>
            </a:endParaRPr>
          </a:p>
        </xdr:txBody>
      </xdr:sp>
      <xdr:cxnSp>
        <xdr:nvCxnSpPr>
          <xdr:cNvPr id="1180" name="2 Conector recto"/>
          <xdr:cNvCxnSpPr/>
        </xdr:nvCxnSpPr>
        <xdr:spPr>
          <a:xfrm>
            <a:off x="19421640" y="4415400"/>
            <a:ext cx="583560" cy="360"/>
          </a:xfrm>
          <a:prstGeom prst="straightConnector1">
            <a:avLst/>
          </a:prstGeom>
          <a:ln w="38100">
            <a:solidFill>
              <a:srgbClr val="003db8"/>
            </a:solidFill>
          </a:ln>
        </xdr:spPr>
      </xdr:cxnSp>
      <xdr:sp>
        <xdr:nvSpPr>
          <xdr:cNvPr id="1181" name="CuadroTexto 1166"/>
          <xdr:cNvSpPr/>
        </xdr:nvSpPr>
        <xdr:spPr>
          <a:xfrm>
            <a:off x="19552320" y="4426920"/>
            <a:ext cx="477360" cy="4183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EL RÍO </a:t>
            </a:r>
            <a:endParaRPr b="0" lang="en-GB" sz="700" spc="-1" strike="noStrike">
              <a:latin typeface="Times New Roman"/>
            </a:endParaRPr>
          </a:p>
          <a:p>
            <a:pPr>
              <a:lnSpc>
                <a:spcPct val="100000"/>
              </a:lnSpc>
            </a:pPr>
            <a:r>
              <a:rPr b="0" lang="es-MX" sz="700" spc="-1" strike="noStrike">
                <a:solidFill>
                  <a:srgbClr val="000000"/>
                </a:solidFill>
                <a:latin typeface="Calibri"/>
              </a:rPr>
              <a:t>220 kV</a:t>
            </a:r>
            <a:endParaRPr b="0" lang="en-GB" sz="700" spc="-1" strike="noStrike">
              <a:latin typeface="Times New Roman"/>
            </a:endParaRPr>
          </a:p>
        </xdr:txBody>
      </xdr:sp>
      <xdr:cxnSp>
        <xdr:nvCxnSpPr>
          <xdr:cNvPr id="1182" name="2 Conector recto"/>
          <xdr:cNvCxnSpPr/>
        </xdr:nvCxnSpPr>
        <xdr:spPr>
          <a:xfrm>
            <a:off x="15501960" y="3812760"/>
            <a:ext cx="360" cy="2273400"/>
          </a:xfrm>
          <a:prstGeom prst="straightConnector1">
            <a:avLst/>
          </a:prstGeom>
          <a:ln w="19050">
            <a:solidFill>
              <a:srgbClr val="ff0000"/>
            </a:solidFill>
          </a:ln>
        </xdr:spPr>
      </xdr:cxnSp>
      <xdr:sp>
        <xdr:nvSpPr>
          <xdr:cNvPr id="1183" name="Rectángulo: esquinas redondeadas 1168"/>
          <xdr:cNvSpPr/>
        </xdr:nvSpPr>
        <xdr:spPr>
          <a:xfrm>
            <a:off x="15475320" y="55724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84" name="Rectángulo: esquinas redondeadas 1169"/>
          <xdr:cNvSpPr/>
        </xdr:nvSpPr>
        <xdr:spPr>
          <a:xfrm>
            <a:off x="15476040" y="599256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185" name="2 Conector recto"/>
          <xdr:cNvCxnSpPr/>
        </xdr:nvCxnSpPr>
        <xdr:spPr>
          <a:xfrm>
            <a:off x="15501240" y="6091920"/>
            <a:ext cx="360" cy="369360"/>
          </a:xfrm>
          <a:prstGeom prst="straightConnector1">
            <a:avLst/>
          </a:prstGeom>
          <a:ln w="19050">
            <a:solidFill>
              <a:srgbClr val="ff0000"/>
            </a:solidFill>
          </a:ln>
        </xdr:spPr>
      </xdr:cxnSp>
      <xdr:sp>
        <xdr:nvSpPr>
          <xdr:cNvPr id="1186" name="Rectángulo: esquinas redondeadas 1171"/>
          <xdr:cNvSpPr/>
        </xdr:nvSpPr>
        <xdr:spPr>
          <a:xfrm>
            <a:off x="15478920" y="612360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87" name="Rectángulo: esquinas redondeadas 1172"/>
          <xdr:cNvSpPr/>
        </xdr:nvSpPr>
        <xdr:spPr>
          <a:xfrm>
            <a:off x="15475680" y="63680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188" name="2 Conector recto"/>
          <xdr:cNvCxnSpPr/>
        </xdr:nvCxnSpPr>
        <xdr:spPr>
          <a:xfrm>
            <a:off x="14443560" y="6468480"/>
            <a:ext cx="1170720" cy="360"/>
          </a:xfrm>
          <a:prstGeom prst="straightConnector1">
            <a:avLst/>
          </a:prstGeom>
          <a:ln w="38100">
            <a:solidFill>
              <a:srgbClr val="ff0000"/>
            </a:solidFill>
          </a:ln>
        </xdr:spPr>
      </xdr:cxnSp>
      <xdr:sp>
        <xdr:nvSpPr>
          <xdr:cNvPr id="1189" name="CuadroTexto 1174"/>
          <xdr:cNvSpPr/>
        </xdr:nvSpPr>
        <xdr:spPr>
          <a:xfrm>
            <a:off x="14656320" y="6152760"/>
            <a:ext cx="664920" cy="31824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MALAMBO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1190" name="2 Conector recto"/>
          <xdr:cNvCxnSpPr/>
        </xdr:nvCxnSpPr>
        <xdr:spPr>
          <a:xfrm>
            <a:off x="15298200" y="6080760"/>
            <a:ext cx="360" cy="380520"/>
          </a:xfrm>
          <a:prstGeom prst="straightConnector1">
            <a:avLst/>
          </a:prstGeom>
          <a:ln w="19050">
            <a:solidFill>
              <a:srgbClr val="ff0000"/>
            </a:solidFill>
          </a:ln>
        </xdr:spPr>
      </xdr:cxnSp>
      <xdr:sp>
        <xdr:nvSpPr>
          <xdr:cNvPr id="1191" name="Rectángulo: esquinas redondeadas 1176"/>
          <xdr:cNvSpPr/>
        </xdr:nvSpPr>
        <xdr:spPr>
          <a:xfrm>
            <a:off x="15275520" y="612720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92" name="Rectángulo: esquinas redondeadas 1177"/>
          <xdr:cNvSpPr/>
        </xdr:nvSpPr>
        <xdr:spPr>
          <a:xfrm>
            <a:off x="15272280" y="63680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193" name="2 Conector recto"/>
          <xdr:cNvCxnSpPr/>
        </xdr:nvCxnSpPr>
        <xdr:spPr>
          <a:xfrm>
            <a:off x="15298200" y="5527080"/>
            <a:ext cx="360" cy="558720"/>
          </a:xfrm>
          <a:prstGeom prst="straightConnector1">
            <a:avLst/>
          </a:prstGeom>
          <a:ln w="19050">
            <a:solidFill>
              <a:srgbClr val="ff0000"/>
            </a:solidFill>
          </a:ln>
        </xdr:spPr>
      </xdr:cxnSp>
      <xdr:sp>
        <xdr:nvSpPr>
          <xdr:cNvPr id="1194" name="Rectángulo: esquinas redondeadas 1179"/>
          <xdr:cNvSpPr/>
        </xdr:nvSpPr>
        <xdr:spPr>
          <a:xfrm>
            <a:off x="15271560" y="55724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195" name="Rectángulo: esquinas redondeadas 1180"/>
          <xdr:cNvSpPr/>
        </xdr:nvSpPr>
        <xdr:spPr>
          <a:xfrm>
            <a:off x="15272280" y="599256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196" name="2 Conector recto"/>
          <xdr:cNvCxnSpPr/>
        </xdr:nvCxnSpPr>
        <xdr:spPr>
          <a:xfrm>
            <a:off x="14835240" y="5520960"/>
            <a:ext cx="779040" cy="360"/>
          </a:xfrm>
          <a:prstGeom prst="straightConnector1">
            <a:avLst/>
          </a:prstGeom>
          <a:ln w="38100">
            <a:solidFill>
              <a:srgbClr val="ff0000"/>
            </a:solidFill>
          </a:ln>
        </xdr:spPr>
      </xdr:cxnSp>
      <xdr:sp>
        <xdr:nvSpPr>
          <xdr:cNvPr id="1197" name="CuadroTexto 1182"/>
          <xdr:cNvSpPr/>
        </xdr:nvSpPr>
        <xdr:spPr>
          <a:xfrm>
            <a:off x="14378400" y="5302080"/>
            <a:ext cx="705240" cy="3319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SILENCIO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1198" name="2 Conector recto"/>
          <xdr:cNvCxnSpPr/>
        </xdr:nvCxnSpPr>
        <xdr:spPr>
          <a:xfrm>
            <a:off x="15296040" y="4959000"/>
            <a:ext cx="360" cy="558720"/>
          </a:xfrm>
          <a:prstGeom prst="straightConnector1">
            <a:avLst/>
          </a:prstGeom>
          <a:ln w="19050">
            <a:solidFill>
              <a:srgbClr val="ff0000"/>
            </a:solidFill>
          </a:ln>
        </xdr:spPr>
      </xdr:cxnSp>
      <xdr:sp>
        <xdr:nvSpPr>
          <xdr:cNvPr id="1199" name="Rectángulo: esquinas redondeadas 1184"/>
          <xdr:cNvSpPr/>
        </xdr:nvSpPr>
        <xdr:spPr>
          <a:xfrm>
            <a:off x="15269400" y="500436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00" name="Rectángulo: esquinas redondeadas 1185"/>
          <xdr:cNvSpPr/>
        </xdr:nvSpPr>
        <xdr:spPr>
          <a:xfrm>
            <a:off x="15270480" y="542448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201" name="2 Conector recto"/>
          <xdr:cNvCxnSpPr/>
        </xdr:nvCxnSpPr>
        <xdr:spPr>
          <a:xfrm>
            <a:off x="14853960" y="4952880"/>
            <a:ext cx="546840" cy="360"/>
          </a:xfrm>
          <a:prstGeom prst="straightConnector1">
            <a:avLst/>
          </a:prstGeom>
          <a:ln w="38100">
            <a:solidFill>
              <a:srgbClr val="ff0000"/>
            </a:solidFill>
          </a:ln>
        </xdr:spPr>
      </xdr:cxnSp>
      <xdr:sp>
        <xdr:nvSpPr>
          <xdr:cNvPr id="1202" name="CuadroTexto 1187"/>
          <xdr:cNvSpPr/>
        </xdr:nvSpPr>
        <xdr:spPr>
          <a:xfrm>
            <a:off x="14402520" y="4751280"/>
            <a:ext cx="955800" cy="37908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CENTRO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1203" name="2 Conector recto"/>
          <xdr:cNvCxnSpPr/>
        </xdr:nvCxnSpPr>
        <xdr:spPr>
          <a:xfrm>
            <a:off x="15082920" y="4391280"/>
            <a:ext cx="360" cy="559080"/>
          </a:xfrm>
          <a:prstGeom prst="straightConnector1">
            <a:avLst/>
          </a:prstGeom>
          <a:ln w="19050">
            <a:solidFill>
              <a:srgbClr val="ff0000"/>
            </a:solidFill>
          </a:ln>
        </xdr:spPr>
      </xdr:cxnSp>
      <xdr:sp>
        <xdr:nvSpPr>
          <xdr:cNvPr id="1204" name="Rectángulo: esquinas redondeadas 1189"/>
          <xdr:cNvSpPr/>
        </xdr:nvSpPr>
        <xdr:spPr>
          <a:xfrm>
            <a:off x="15056280" y="44366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05" name="Rectángulo: esquinas redondeadas 1190"/>
          <xdr:cNvSpPr/>
        </xdr:nvSpPr>
        <xdr:spPr>
          <a:xfrm>
            <a:off x="15057000" y="485676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206" name="2 Conector recto"/>
          <xdr:cNvCxnSpPr/>
        </xdr:nvCxnSpPr>
        <xdr:spPr>
          <a:xfrm>
            <a:off x="14844600" y="4385520"/>
            <a:ext cx="374040" cy="360"/>
          </a:xfrm>
          <a:prstGeom prst="straightConnector1">
            <a:avLst/>
          </a:prstGeom>
          <a:ln w="38100">
            <a:solidFill>
              <a:srgbClr val="ff0000"/>
            </a:solidFill>
          </a:ln>
        </xdr:spPr>
      </xdr:cxnSp>
      <xdr:sp>
        <xdr:nvSpPr>
          <xdr:cNvPr id="1207" name="CuadroTexto 1192"/>
          <xdr:cNvSpPr/>
        </xdr:nvSpPr>
        <xdr:spPr>
          <a:xfrm>
            <a:off x="14426280" y="4181400"/>
            <a:ext cx="705240" cy="3499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ESTADIO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1208" name="2 Conector recto"/>
          <xdr:cNvCxnSpPr/>
        </xdr:nvCxnSpPr>
        <xdr:spPr>
          <a:xfrm>
            <a:off x="15082920" y="3823560"/>
            <a:ext cx="360" cy="558720"/>
          </a:xfrm>
          <a:prstGeom prst="straightConnector1">
            <a:avLst/>
          </a:prstGeom>
          <a:ln w="19050">
            <a:solidFill>
              <a:srgbClr val="ff0000"/>
            </a:solidFill>
          </a:ln>
        </xdr:spPr>
      </xdr:cxnSp>
      <xdr:sp>
        <xdr:nvSpPr>
          <xdr:cNvPr id="1209" name="Rectángulo: esquinas redondeadas 1194"/>
          <xdr:cNvSpPr/>
        </xdr:nvSpPr>
        <xdr:spPr>
          <a:xfrm>
            <a:off x="15056280" y="386892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10" name="Rectángulo: esquinas redondeadas 1195"/>
          <xdr:cNvSpPr/>
        </xdr:nvSpPr>
        <xdr:spPr>
          <a:xfrm>
            <a:off x="15057000" y="42890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211" name="2 Conector recto"/>
          <xdr:cNvCxnSpPr/>
        </xdr:nvCxnSpPr>
        <xdr:spPr>
          <a:xfrm>
            <a:off x="14844600" y="3817440"/>
            <a:ext cx="775080" cy="360"/>
          </a:xfrm>
          <a:prstGeom prst="straightConnector1">
            <a:avLst/>
          </a:prstGeom>
          <a:ln w="38100">
            <a:solidFill>
              <a:srgbClr val="ff0000"/>
            </a:solidFill>
          </a:ln>
        </xdr:spPr>
      </xdr:cxnSp>
      <xdr:sp>
        <xdr:nvSpPr>
          <xdr:cNvPr id="1212" name="CuadroTexto 1197"/>
          <xdr:cNvSpPr/>
        </xdr:nvSpPr>
        <xdr:spPr>
          <a:xfrm>
            <a:off x="14423400" y="3615840"/>
            <a:ext cx="840960" cy="39240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OASIS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sp>
        <xdr:nvSpPr>
          <xdr:cNvPr id="1213" name="Rectángulo: esquinas redondeadas 1198"/>
          <xdr:cNvSpPr/>
        </xdr:nvSpPr>
        <xdr:spPr>
          <a:xfrm>
            <a:off x="15473160" y="386892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14" name="Rectángulo: esquinas redondeadas 1199"/>
          <xdr:cNvSpPr/>
        </xdr:nvSpPr>
        <xdr:spPr>
          <a:xfrm>
            <a:off x="15473160" y="54230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215" name="2 Conector recto"/>
          <xdr:cNvCxnSpPr/>
        </xdr:nvCxnSpPr>
        <xdr:spPr>
          <a:xfrm>
            <a:off x="15501960" y="2739240"/>
            <a:ext cx="360" cy="1081800"/>
          </a:xfrm>
          <a:prstGeom prst="straightConnector1">
            <a:avLst/>
          </a:prstGeom>
          <a:ln w="19050">
            <a:solidFill>
              <a:srgbClr val="ff0000"/>
            </a:solidFill>
          </a:ln>
        </xdr:spPr>
      </xdr:cxnSp>
      <xdr:sp>
        <xdr:nvSpPr>
          <xdr:cNvPr id="1216" name="Rectángulo: esquinas redondeadas 1201"/>
          <xdr:cNvSpPr/>
        </xdr:nvSpPr>
        <xdr:spPr>
          <a:xfrm>
            <a:off x="15475320" y="27806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17" name="Rectángulo: esquinas redondeadas 1202"/>
          <xdr:cNvSpPr/>
        </xdr:nvSpPr>
        <xdr:spPr>
          <a:xfrm>
            <a:off x="15476040" y="372780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218" name="2 Conector recto"/>
          <xdr:cNvCxnSpPr/>
        </xdr:nvCxnSpPr>
        <xdr:spPr>
          <a:xfrm>
            <a:off x="15296040" y="2739240"/>
            <a:ext cx="360" cy="1081800"/>
          </a:xfrm>
          <a:prstGeom prst="straightConnector1">
            <a:avLst/>
          </a:prstGeom>
          <a:ln w="19050">
            <a:solidFill>
              <a:srgbClr val="ff0000"/>
            </a:solidFill>
          </a:ln>
        </xdr:spPr>
      </xdr:cxnSp>
      <xdr:sp>
        <xdr:nvSpPr>
          <xdr:cNvPr id="1219" name="Rectángulo: esquinas redondeadas 1204"/>
          <xdr:cNvSpPr/>
        </xdr:nvSpPr>
        <xdr:spPr>
          <a:xfrm>
            <a:off x="15269400" y="27806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20" name="Rectángulo: esquinas redondeadas 1205"/>
          <xdr:cNvSpPr/>
        </xdr:nvSpPr>
        <xdr:spPr>
          <a:xfrm>
            <a:off x="15270120" y="372780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221" name="2 Conector recto"/>
          <xdr:cNvCxnSpPr/>
        </xdr:nvCxnSpPr>
        <xdr:spPr>
          <a:xfrm>
            <a:off x="15084360" y="2739240"/>
            <a:ext cx="360" cy="1081800"/>
          </a:xfrm>
          <a:prstGeom prst="straightConnector1">
            <a:avLst/>
          </a:prstGeom>
          <a:ln w="19050">
            <a:solidFill>
              <a:srgbClr val="ff0000"/>
            </a:solidFill>
          </a:ln>
        </xdr:spPr>
      </xdr:cxnSp>
      <xdr:sp>
        <xdr:nvSpPr>
          <xdr:cNvPr id="1222" name="Rectángulo: esquinas redondeadas 1207"/>
          <xdr:cNvSpPr/>
        </xdr:nvSpPr>
        <xdr:spPr>
          <a:xfrm>
            <a:off x="15057360" y="27806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23" name="Rectángulo: esquinas redondeadas 1208"/>
          <xdr:cNvSpPr/>
        </xdr:nvSpPr>
        <xdr:spPr>
          <a:xfrm>
            <a:off x="15058440" y="372780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224" name="2 Conector recto"/>
          <xdr:cNvCxnSpPr/>
        </xdr:nvCxnSpPr>
        <xdr:spPr>
          <a:xfrm>
            <a:off x="14653080" y="6087960"/>
            <a:ext cx="360" cy="373320"/>
          </a:xfrm>
          <a:prstGeom prst="straightConnector1">
            <a:avLst/>
          </a:prstGeom>
          <a:ln w="19050">
            <a:solidFill>
              <a:srgbClr val="ff0000"/>
            </a:solidFill>
          </a:ln>
        </xdr:spPr>
      </xdr:cxnSp>
      <xdr:sp>
        <xdr:nvSpPr>
          <xdr:cNvPr id="1225" name="Rectángulo: esquinas redondeadas 1210"/>
          <xdr:cNvSpPr/>
        </xdr:nvSpPr>
        <xdr:spPr>
          <a:xfrm>
            <a:off x="14626440" y="61196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26" name="Rectángulo: esquinas redondeadas 1211"/>
          <xdr:cNvSpPr/>
        </xdr:nvSpPr>
        <xdr:spPr>
          <a:xfrm>
            <a:off x="14627160" y="636768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227" name="2 Conector recto"/>
          <xdr:cNvCxnSpPr/>
        </xdr:nvCxnSpPr>
        <xdr:spPr>
          <a:xfrm>
            <a:off x="13938120" y="6084360"/>
            <a:ext cx="866160" cy="360"/>
          </a:xfrm>
          <a:prstGeom prst="straightConnector1">
            <a:avLst/>
          </a:prstGeom>
          <a:ln w="38100">
            <a:solidFill>
              <a:srgbClr val="ff0000"/>
            </a:solidFill>
          </a:ln>
        </xdr:spPr>
      </xdr:cxnSp>
      <xdr:sp>
        <xdr:nvSpPr>
          <xdr:cNvPr id="1228" name="CuadroTexto 1213"/>
          <xdr:cNvSpPr/>
        </xdr:nvSpPr>
        <xdr:spPr>
          <a:xfrm>
            <a:off x="13981680" y="5899680"/>
            <a:ext cx="953280" cy="2383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BARANOA 110 kV</a:t>
            </a:r>
            <a:endParaRPr b="0" lang="en-GB" sz="700" spc="-1" strike="noStrike">
              <a:latin typeface="Times New Roman"/>
            </a:endParaRPr>
          </a:p>
        </xdr:txBody>
      </xdr:sp>
      <xdr:sp>
        <xdr:nvSpPr>
          <xdr:cNvPr id="1229" name="CuadroTexto 1214"/>
          <xdr:cNvSpPr/>
        </xdr:nvSpPr>
        <xdr:spPr>
          <a:xfrm>
            <a:off x="13361760" y="6181560"/>
            <a:ext cx="969120" cy="3319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SABANALARGA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1230" name="2 Conector recto"/>
          <xdr:cNvCxnSpPr/>
        </xdr:nvCxnSpPr>
        <xdr:spPr>
          <a:xfrm>
            <a:off x="12864960" y="6986160"/>
            <a:ext cx="1389240" cy="360"/>
          </a:xfrm>
          <a:prstGeom prst="straightConnector1">
            <a:avLst/>
          </a:prstGeom>
          <a:ln w="38100">
            <a:solidFill>
              <a:srgbClr val="003db8"/>
            </a:solidFill>
          </a:ln>
        </xdr:spPr>
      </xdr:cxnSp>
      <xdr:cxnSp>
        <xdr:nvCxnSpPr>
          <xdr:cNvPr id="1231" name="2 Conector recto"/>
          <xdr:cNvCxnSpPr/>
        </xdr:nvCxnSpPr>
        <xdr:spPr>
          <a:xfrm>
            <a:off x="12970800" y="6467040"/>
            <a:ext cx="230760" cy="360"/>
          </a:xfrm>
          <a:prstGeom prst="straightConnector1">
            <a:avLst/>
          </a:prstGeom>
          <a:ln w="38100">
            <a:solidFill>
              <a:srgbClr val="ffc000"/>
            </a:solidFill>
          </a:ln>
        </xdr:spPr>
      </xdr:cxnSp>
      <xdr:cxnSp>
        <xdr:nvCxnSpPr>
          <xdr:cNvPr id="1232" name="2 Conector recto"/>
          <xdr:cNvCxnSpPr/>
        </xdr:nvCxnSpPr>
        <xdr:spPr>
          <a:xfrm>
            <a:off x="13284360" y="6467040"/>
            <a:ext cx="899280" cy="360"/>
          </a:xfrm>
          <a:prstGeom prst="straightConnector1">
            <a:avLst/>
          </a:prstGeom>
          <a:ln w="38100">
            <a:solidFill>
              <a:srgbClr val="ff0000"/>
            </a:solidFill>
          </a:ln>
        </xdr:spPr>
      </xdr:cxnSp>
      <xdr:cxnSp>
        <xdr:nvCxnSpPr>
          <xdr:cNvPr id="1233" name="2 Conector recto"/>
          <xdr:cNvCxnSpPr/>
        </xdr:nvCxnSpPr>
        <xdr:spPr>
          <a:xfrm>
            <a:off x="14096160" y="6088680"/>
            <a:ext cx="360" cy="373320"/>
          </a:xfrm>
          <a:prstGeom prst="straightConnector1">
            <a:avLst/>
          </a:prstGeom>
          <a:ln w="19050">
            <a:solidFill>
              <a:srgbClr val="ff0000"/>
            </a:solidFill>
          </a:ln>
        </xdr:spPr>
      </xdr:cxnSp>
      <xdr:sp>
        <xdr:nvSpPr>
          <xdr:cNvPr id="1234" name="Rectángulo: esquinas redondeadas 1219"/>
          <xdr:cNvSpPr/>
        </xdr:nvSpPr>
        <xdr:spPr>
          <a:xfrm>
            <a:off x="14069520" y="612036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35" name="Rectángulo: esquinas redondeadas 1220"/>
          <xdr:cNvSpPr/>
        </xdr:nvSpPr>
        <xdr:spPr>
          <a:xfrm>
            <a:off x="14070240" y="636840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36" name="Oval 84"/>
          <xdr:cNvSpPr/>
        </xdr:nvSpPr>
        <xdr:spPr>
          <a:xfrm rot="10800000">
            <a:off x="13847760" y="6604920"/>
            <a:ext cx="147240" cy="129600"/>
          </a:xfrm>
          <a:prstGeom prst="ellipse">
            <a:avLst/>
          </a:prstGeom>
          <a:noFill/>
          <a:ln w="19050">
            <a:solidFill>
              <a:srgbClr val="ff0000"/>
            </a:solidFill>
            <a:round/>
          </a:ln>
        </xdr:spPr>
        <xdr:style>
          <a:lnRef idx="0"/>
          <a:fillRef idx="0"/>
          <a:effectRef idx="0"/>
          <a:fontRef idx="minor"/>
        </xdr:style>
      </xdr:sp>
      <xdr:sp>
        <xdr:nvSpPr>
          <xdr:cNvPr id="1237" name="Oval 85"/>
          <xdr:cNvSpPr/>
        </xdr:nvSpPr>
        <xdr:spPr>
          <a:xfrm rot="10800000">
            <a:off x="13847760" y="6702120"/>
            <a:ext cx="147240" cy="129600"/>
          </a:xfrm>
          <a:prstGeom prst="ellipse">
            <a:avLst/>
          </a:prstGeom>
          <a:noFill/>
          <a:ln w="19050">
            <a:solidFill>
              <a:srgbClr val="003db8"/>
            </a:solidFill>
            <a:round/>
          </a:ln>
        </xdr:spPr>
        <xdr:style>
          <a:lnRef idx="0"/>
          <a:fillRef idx="0"/>
          <a:effectRef idx="0"/>
          <a:fontRef idx="minor"/>
        </xdr:style>
      </xdr:sp>
      <xdr:sp>
        <xdr:nvSpPr>
          <xdr:cNvPr id="1238" name="Line 179"/>
          <xdr:cNvSpPr/>
        </xdr:nvSpPr>
        <xdr:spPr>
          <a:xfrm>
            <a:off x="13925880" y="6832800"/>
            <a:ext cx="360" cy="150840"/>
          </a:xfrm>
          <a:prstGeom prst="line">
            <a:avLst/>
          </a:prstGeom>
          <a:ln w="28575">
            <a:solidFill>
              <a:srgbClr val="003db8"/>
            </a:solidFill>
            <a:round/>
          </a:ln>
        </xdr:spPr>
        <xdr:style>
          <a:lnRef idx="0"/>
          <a:fillRef idx="0"/>
          <a:effectRef idx="0"/>
          <a:fontRef idx="minor"/>
        </xdr:style>
      </xdr:sp>
      <xdr:sp>
        <xdr:nvSpPr>
          <xdr:cNvPr id="1239" name="Line 179"/>
          <xdr:cNvSpPr/>
        </xdr:nvSpPr>
        <xdr:spPr>
          <a:xfrm>
            <a:off x="13924800" y="6462000"/>
            <a:ext cx="360" cy="143640"/>
          </a:xfrm>
          <a:prstGeom prst="line">
            <a:avLst/>
          </a:prstGeom>
          <a:ln w="28575">
            <a:solidFill>
              <a:srgbClr val="ff0000"/>
            </a:solidFill>
            <a:round/>
          </a:ln>
        </xdr:spPr>
        <xdr:style>
          <a:lnRef idx="0"/>
          <a:fillRef idx="0"/>
          <a:effectRef idx="0"/>
          <a:fontRef idx="minor"/>
        </xdr:style>
      </xdr:sp>
      <xdr:sp>
        <xdr:nvSpPr>
          <xdr:cNvPr id="1240" name="Rectángulo: esquinas redondeadas 1225"/>
          <xdr:cNvSpPr/>
        </xdr:nvSpPr>
        <xdr:spPr>
          <a:xfrm>
            <a:off x="13896360" y="65030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41" name="Rectángulo: esquinas redondeadas 1226"/>
          <xdr:cNvSpPr/>
        </xdr:nvSpPr>
        <xdr:spPr>
          <a:xfrm>
            <a:off x="13896360" y="6890760"/>
            <a:ext cx="60120" cy="550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grpSp>
        <xdr:nvGrpSpPr>
          <xdr:cNvPr id="1242" name="Grupo 1227"/>
          <xdr:cNvGrpSpPr/>
        </xdr:nvGrpSpPr>
        <xdr:grpSpPr>
          <a:xfrm>
            <a:off x="13398840" y="6462720"/>
            <a:ext cx="333360" cy="521280"/>
            <a:chOff x="13398840" y="6462720"/>
            <a:chExt cx="333360" cy="521280"/>
          </a:xfrm>
        </xdr:grpSpPr>
        <xdr:sp>
          <xdr:nvSpPr>
            <xdr:cNvPr id="1243" name="Oval 84"/>
            <xdr:cNvSpPr/>
          </xdr:nvSpPr>
          <xdr:spPr>
            <a:xfrm flipV="1">
              <a:off x="13398840" y="6605280"/>
              <a:ext cx="147240" cy="129600"/>
            </a:xfrm>
            <a:prstGeom prst="ellipse">
              <a:avLst/>
            </a:prstGeom>
            <a:noFill/>
            <a:ln w="19050">
              <a:solidFill>
                <a:srgbClr val="ff0000"/>
              </a:solidFill>
              <a:round/>
            </a:ln>
          </xdr:spPr>
          <xdr:style>
            <a:lnRef idx="0"/>
            <a:fillRef idx="0"/>
            <a:effectRef idx="0"/>
            <a:fontRef idx="minor"/>
          </xdr:style>
        </xdr:sp>
        <xdr:sp>
          <xdr:nvSpPr>
            <xdr:cNvPr id="1244" name="Oval 85"/>
            <xdr:cNvSpPr/>
          </xdr:nvSpPr>
          <xdr:spPr>
            <a:xfrm flipV="1">
              <a:off x="13398840" y="6702120"/>
              <a:ext cx="147240" cy="129600"/>
            </a:xfrm>
            <a:prstGeom prst="ellipse">
              <a:avLst/>
            </a:prstGeom>
            <a:noFill/>
            <a:ln w="19050">
              <a:solidFill>
                <a:srgbClr val="003db8"/>
              </a:solidFill>
              <a:round/>
            </a:ln>
          </xdr:spPr>
          <xdr:style>
            <a:lnRef idx="0"/>
            <a:fillRef idx="0"/>
            <a:effectRef idx="0"/>
            <a:fontRef idx="minor"/>
          </xdr:style>
        </xdr:sp>
        <xdr:sp>
          <xdr:nvSpPr>
            <xdr:cNvPr id="1245" name="Oval 84"/>
            <xdr:cNvSpPr/>
          </xdr:nvSpPr>
          <xdr:spPr>
            <a:xfrm flipV="1">
              <a:off x="13481280" y="6660000"/>
              <a:ext cx="143280" cy="129600"/>
            </a:xfrm>
            <a:prstGeom prst="ellipse">
              <a:avLst/>
            </a:prstGeom>
            <a:noFill/>
            <a:ln w="19050">
              <a:solidFill>
                <a:srgbClr val="000000"/>
              </a:solidFill>
              <a:round/>
            </a:ln>
          </xdr:spPr>
          <xdr:style>
            <a:lnRef idx="0"/>
            <a:fillRef idx="0"/>
            <a:effectRef idx="0"/>
            <a:fontRef idx="minor"/>
          </xdr:style>
        </xdr:sp>
        <xdr:sp>
          <xdr:nvSpPr>
            <xdr:cNvPr id="1246" name="Line 179"/>
            <xdr:cNvSpPr/>
          </xdr:nvSpPr>
          <xdr:spPr>
            <a:xfrm>
              <a:off x="13467600" y="6833520"/>
              <a:ext cx="360" cy="150480"/>
            </a:xfrm>
            <a:prstGeom prst="line">
              <a:avLst/>
            </a:prstGeom>
            <a:ln w="19050">
              <a:solidFill>
                <a:srgbClr val="003db8"/>
              </a:solidFill>
              <a:round/>
            </a:ln>
          </xdr:spPr>
          <xdr:style>
            <a:lnRef idx="0"/>
            <a:fillRef idx="0"/>
            <a:effectRef idx="0"/>
            <a:fontRef idx="minor"/>
          </xdr:style>
        </xdr:sp>
        <xdr:sp>
          <xdr:nvSpPr>
            <xdr:cNvPr id="1247" name="Line 179"/>
            <xdr:cNvSpPr/>
          </xdr:nvSpPr>
          <xdr:spPr>
            <a:xfrm>
              <a:off x="13468680" y="6462720"/>
              <a:ext cx="360" cy="143280"/>
            </a:xfrm>
            <a:prstGeom prst="line">
              <a:avLst/>
            </a:prstGeom>
            <a:ln w="19050">
              <a:solidFill>
                <a:srgbClr val="ff0000"/>
              </a:solidFill>
              <a:round/>
            </a:ln>
          </xdr:spPr>
          <xdr:style>
            <a:lnRef idx="0"/>
            <a:fillRef idx="0"/>
            <a:effectRef idx="0"/>
            <a:fontRef idx="minor"/>
          </xdr:style>
        </xdr:sp>
        <xdr:sp>
          <xdr:nvSpPr>
            <xdr:cNvPr id="1248" name="Line 179"/>
            <xdr:cNvSpPr/>
          </xdr:nvSpPr>
          <xdr:spPr>
            <a:xfrm flipH="1">
              <a:off x="13623840" y="6721200"/>
              <a:ext cx="108360" cy="360"/>
            </a:xfrm>
            <a:prstGeom prst="line">
              <a:avLst/>
            </a:prstGeom>
            <a:ln w="19050">
              <a:solidFill>
                <a:srgbClr val="000000"/>
              </a:solidFill>
              <a:round/>
            </a:ln>
          </xdr:spPr>
          <xdr:style>
            <a:lnRef idx="0"/>
            <a:fillRef idx="0"/>
            <a:effectRef idx="0"/>
            <a:fontRef idx="minor"/>
          </xdr:style>
        </xdr:sp>
      </xdr:grpSp>
      <xdr:cxnSp>
        <xdr:nvCxnSpPr>
          <xdr:cNvPr id="1249" name="2 Conector recto"/>
          <xdr:cNvCxnSpPr/>
        </xdr:nvCxnSpPr>
        <xdr:spPr>
          <a:xfrm flipV="1">
            <a:off x="13725360" y="6646320"/>
            <a:ext cx="360" cy="151560"/>
          </a:xfrm>
          <a:prstGeom prst="straightConnector1">
            <a:avLst/>
          </a:prstGeom>
          <a:ln w="28575">
            <a:solidFill>
              <a:srgbClr val="000000"/>
            </a:solidFill>
          </a:ln>
        </xdr:spPr>
      </xdr:cxnSp>
      <xdr:sp>
        <xdr:nvSpPr>
          <xdr:cNvPr id="1250" name="Rectángulo: esquinas redondeadas 1229"/>
          <xdr:cNvSpPr/>
        </xdr:nvSpPr>
        <xdr:spPr>
          <a:xfrm>
            <a:off x="13439520" y="65030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51" name="Rectángulo: esquinas redondeadas 1230"/>
          <xdr:cNvSpPr/>
        </xdr:nvSpPr>
        <xdr:spPr>
          <a:xfrm>
            <a:off x="13437360" y="6890760"/>
            <a:ext cx="60120" cy="550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1252" name="Oval 84"/>
          <xdr:cNvSpPr/>
        </xdr:nvSpPr>
        <xdr:spPr>
          <a:xfrm flipH="1" rot="10800000">
            <a:off x="13007520" y="6606000"/>
            <a:ext cx="147240" cy="129600"/>
          </a:xfrm>
          <a:prstGeom prst="ellipse">
            <a:avLst/>
          </a:prstGeom>
          <a:noFill/>
          <a:ln w="19050">
            <a:solidFill>
              <a:srgbClr val="ffc000"/>
            </a:solidFill>
            <a:round/>
          </a:ln>
        </xdr:spPr>
        <xdr:style>
          <a:lnRef idx="0"/>
          <a:fillRef idx="0"/>
          <a:effectRef idx="0"/>
          <a:fontRef idx="minor"/>
        </xdr:style>
      </xdr:sp>
      <xdr:sp>
        <xdr:nvSpPr>
          <xdr:cNvPr id="1253" name="Oval 85"/>
          <xdr:cNvSpPr/>
        </xdr:nvSpPr>
        <xdr:spPr>
          <a:xfrm flipH="1" rot="10800000">
            <a:off x="13007520" y="6703200"/>
            <a:ext cx="147240" cy="129600"/>
          </a:xfrm>
          <a:prstGeom prst="ellipse">
            <a:avLst/>
          </a:prstGeom>
          <a:noFill/>
          <a:ln w="19050">
            <a:solidFill>
              <a:srgbClr val="003db8"/>
            </a:solidFill>
            <a:round/>
          </a:ln>
        </xdr:spPr>
        <xdr:style>
          <a:lnRef idx="0"/>
          <a:fillRef idx="0"/>
          <a:effectRef idx="0"/>
          <a:fontRef idx="minor"/>
        </xdr:style>
      </xdr:sp>
      <xdr:sp>
        <xdr:nvSpPr>
          <xdr:cNvPr id="1254" name="Line 179"/>
          <xdr:cNvSpPr/>
        </xdr:nvSpPr>
        <xdr:spPr>
          <a:xfrm>
            <a:off x="13076640" y="6833880"/>
            <a:ext cx="360" cy="150840"/>
          </a:xfrm>
          <a:prstGeom prst="line">
            <a:avLst/>
          </a:prstGeom>
          <a:ln w="19050">
            <a:solidFill>
              <a:srgbClr val="003db8"/>
            </a:solidFill>
            <a:round/>
          </a:ln>
        </xdr:spPr>
        <xdr:style>
          <a:lnRef idx="0"/>
          <a:fillRef idx="0"/>
          <a:effectRef idx="0"/>
          <a:fontRef idx="minor"/>
        </xdr:style>
      </xdr:sp>
      <xdr:sp>
        <xdr:nvSpPr>
          <xdr:cNvPr id="1255" name="Line 179"/>
          <xdr:cNvSpPr/>
        </xdr:nvSpPr>
        <xdr:spPr>
          <a:xfrm>
            <a:off x="13077720" y="6463080"/>
            <a:ext cx="360" cy="143640"/>
          </a:xfrm>
          <a:prstGeom prst="line">
            <a:avLst/>
          </a:prstGeom>
          <a:ln w="19050">
            <a:solidFill>
              <a:srgbClr val="ffc000"/>
            </a:solidFill>
            <a:round/>
          </a:ln>
        </xdr:spPr>
        <xdr:style>
          <a:lnRef idx="0"/>
          <a:fillRef idx="0"/>
          <a:effectRef idx="0"/>
          <a:fontRef idx="minor"/>
        </xdr:style>
      </xdr:sp>
      <xdr:sp>
        <xdr:nvSpPr>
          <xdr:cNvPr id="1256" name="Rectángulo: esquinas redondeadas 1235"/>
          <xdr:cNvSpPr/>
        </xdr:nvSpPr>
        <xdr:spPr>
          <a:xfrm>
            <a:off x="13048920" y="6503760"/>
            <a:ext cx="60120" cy="55080"/>
          </a:xfrm>
          <a:prstGeom prst="roundRect">
            <a:avLst>
              <a:gd name="adj" fmla="val 16667"/>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xdr:style>
      </xdr:sp>
      <xdr:sp>
        <xdr:nvSpPr>
          <xdr:cNvPr id="1257" name="Rectángulo: esquinas redondeadas 1236"/>
          <xdr:cNvSpPr/>
        </xdr:nvSpPr>
        <xdr:spPr>
          <a:xfrm>
            <a:off x="13046760" y="6891480"/>
            <a:ext cx="60120" cy="550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cxnSp>
        <xdr:nvCxnSpPr>
          <xdr:cNvPr id="1258" name="2 Conector recto"/>
          <xdr:cNvCxnSpPr/>
        </xdr:nvCxnSpPr>
        <xdr:spPr>
          <a:xfrm>
            <a:off x="13372200" y="5526360"/>
            <a:ext cx="360" cy="933480"/>
          </a:xfrm>
          <a:prstGeom prst="straightConnector1">
            <a:avLst/>
          </a:prstGeom>
          <a:ln w="19050">
            <a:solidFill>
              <a:srgbClr val="ff0000"/>
            </a:solidFill>
          </a:ln>
        </xdr:spPr>
      </xdr:cxnSp>
      <xdr:sp>
        <xdr:nvSpPr>
          <xdr:cNvPr id="1259" name="Rectángulo: esquinas redondeadas 1238"/>
          <xdr:cNvSpPr/>
        </xdr:nvSpPr>
        <xdr:spPr>
          <a:xfrm>
            <a:off x="13345560" y="557172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60" name="Rectángulo: esquinas redondeadas 1239"/>
          <xdr:cNvSpPr/>
        </xdr:nvSpPr>
        <xdr:spPr>
          <a:xfrm>
            <a:off x="13346280" y="637236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261" name="2 Conector recto"/>
          <xdr:cNvCxnSpPr/>
        </xdr:nvCxnSpPr>
        <xdr:spPr>
          <a:xfrm>
            <a:off x="13183920" y="5520240"/>
            <a:ext cx="399240" cy="360"/>
          </a:xfrm>
          <a:prstGeom prst="straightConnector1">
            <a:avLst/>
          </a:prstGeom>
          <a:ln w="38100">
            <a:solidFill>
              <a:srgbClr val="ff0000"/>
            </a:solidFill>
          </a:ln>
        </xdr:spPr>
      </xdr:cxnSp>
      <xdr:sp>
        <xdr:nvSpPr>
          <xdr:cNvPr id="1262" name="CuadroTexto 1241"/>
          <xdr:cNvSpPr/>
        </xdr:nvSpPr>
        <xdr:spPr>
          <a:xfrm>
            <a:off x="13107600" y="5229720"/>
            <a:ext cx="869760" cy="4237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SALAMINA</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1263" name="2 Conector recto"/>
          <xdr:cNvCxnSpPr/>
        </xdr:nvCxnSpPr>
        <xdr:spPr>
          <a:xfrm>
            <a:off x="12705480" y="4415040"/>
            <a:ext cx="763560" cy="360"/>
          </a:xfrm>
          <a:prstGeom prst="straightConnector1">
            <a:avLst/>
          </a:prstGeom>
          <a:ln w="38100">
            <a:solidFill>
              <a:srgbClr val="003db8"/>
            </a:solidFill>
          </a:ln>
        </xdr:spPr>
      </xdr:cxnSp>
      <xdr:sp>
        <xdr:nvSpPr>
          <xdr:cNvPr id="1264" name="Oval 84"/>
          <xdr:cNvSpPr/>
        </xdr:nvSpPr>
        <xdr:spPr>
          <a:xfrm rot="10800000">
            <a:off x="13287960" y="4041000"/>
            <a:ext cx="147240" cy="129600"/>
          </a:xfrm>
          <a:prstGeom prst="ellipse">
            <a:avLst/>
          </a:prstGeom>
          <a:noFill/>
          <a:ln w="19050">
            <a:solidFill>
              <a:srgbClr val="ff0000"/>
            </a:solidFill>
            <a:round/>
          </a:ln>
        </xdr:spPr>
        <xdr:style>
          <a:lnRef idx="0"/>
          <a:fillRef idx="0"/>
          <a:effectRef idx="0"/>
          <a:fontRef idx="minor"/>
        </xdr:style>
      </xdr:sp>
      <xdr:sp>
        <xdr:nvSpPr>
          <xdr:cNvPr id="1265" name="Oval 85"/>
          <xdr:cNvSpPr/>
        </xdr:nvSpPr>
        <xdr:spPr>
          <a:xfrm rot="10800000">
            <a:off x="13287960" y="4138200"/>
            <a:ext cx="147240" cy="129600"/>
          </a:xfrm>
          <a:prstGeom prst="ellipse">
            <a:avLst/>
          </a:prstGeom>
          <a:noFill/>
          <a:ln w="19050">
            <a:solidFill>
              <a:srgbClr val="003db8"/>
            </a:solidFill>
            <a:round/>
          </a:ln>
        </xdr:spPr>
        <xdr:style>
          <a:lnRef idx="0"/>
          <a:fillRef idx="0"/>
          <a:effectRef idx="0"/>
          <a:fontRef idx="minor"/>
        </xdr:style>
      </xdr:sp>
      <xdr:sp>
        <xdr:nvSpPr>
          <xdr:cNvPr id="1266" name="Line 179"/>
          <xdr:cNvSpPr/>
        </xdr:nvSpPr>
        <xdr:spPr>
          <a:xfrm>
            <a:off x="13366080" y="4269240"/>
            <a:ext cx="360" cy="150480"/>
          </a:xfrm>
          <a:prstGeom prst="line">
            <a:avLst/>
          </a:prstGeom>
          <a:ln w="19050">
            <a:solidFill>
              <a:srgbClr val="003db8"/>
            </a:solidFill>
            <a:round/>
          </a:ln>
        </xdr:spPr>
        <xdr:style>
          <a:lnRef idx="0"/>
          <a:fillRef idx="0"/>
          <a:effectRef idx="0"/>
          <a:fontRef idx="minor"/>
        </xdr:style>
      </xdr:sp>
      <xdr:sp>
        <xdr:nvSpPr>
          <xdr:cNvPr id="1267" name="Line 179"/>
          <xdr:cNvSpPr/>
        </xdr:nvSpPr>
        <xdr:spPr>
          <a:xfrm>
            <a:off x="13365000" y="3898080"/>
            <a:ext cx="360" cy="143640"/>
          </a:xfrm>
          <a:prstGeom prst="line">
            <a:avLst/>
          </a:prstGeom>
          <a:ln w="19050">
            <a:solidFill>
              <a:srgbClr val="ff0000"/>
            </a:solidFill>
            <a:round/>
          </a:ln>
        </xdr:spPr>
        <xdr:style>
          <a:lnRef idx="0"/>
          <a:fillRef idx="0"/>
          <a:effectRef idx="0"/>
          <a:fontRef idx="minor"/>
        </xdr:style>
      </xdr:sp>
      <xdr:sp>
        <xdr:nvSpPr>
          <xdr:cNvPr id="1268" name="Rectángulo: esquinas redondeadas 1247"/>
          <xdr:cNvSpPr/>
        </xdr:nvSpPr>
        <xdr:spPr>
          <a:xfrm>
            <a:off x="13336560" y="393912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69" name="Rectángulo: esquinas redondeadas 1248"/>
          <xdr:cNvSpPr/>
        </xdr:nvSpPr>
        <xdr:spPr>
          <a:xfrm>
            <a:off x="13336560" y="4327200"/>
            <a:ext cx="60120" cy="550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grpSp>
        <xdr:nvGrpSpPr>
          <xdr:cNvPr id="1270" name="Grupo 1249"/>
          <xdr:cNvGrpSpPr/>
        </xdr:nvGrpSpPr>
        <xdr:grpSpPr>
          <a:xfrm>
            <a:off x="12839040" y="3898800"/>
            <a:ext cx="339120" cy="521280"/>
            <a:chOff x="12839040" y="3898800"/>
            <a:chExt cx="339120" cy="521280"/>
          </a:xfrm>
        </xdr:grpSpPr>
        <xdr:sp>
          <xdr:nvSpPr>
            <xdr:cNvPr id="1271" name="Oval 84"/>
            <xdr:cNvSpPr/>
          </xdr:nvSpPr>
          <xdr:spPr>
            <a:xfrm flipV="1">
              <a:off x="12839040" y="4041360"/>
              <a:ext cx="147240" cy="129600"/>
            </a:xfrm>
            <a:prstGeom prst="ellipse">
              <a:avLst/>
            </a:prstGeom>
            <a:noFill/>
            <a:ln w="19050">
              <a:solidFill>
                <a:srgbClr val="ff0000"/>
              </a:solidFill>
              <a:round/>
            </a:ln>
          </xdr:spPr>
          <xdr:style>
            <a:lnRef idx="0"/>
            <a:fillRef idx="0"/>
            <a:effectRef idx="0"/>
            <a:fontRef idx="minor"/>
          </xdr:style>
        </xdr:sp>
        <xdr:sp>
          <xdr:nvSpPr>
            <xdr:cNvPr id="1272" name="Oval 85"/>
            <xdr:cNvSpPr/>
          </xdr:nvSpPr>
          <xdr:spPr>
            <a:xfrm flipV="1">
              <a:off x="12839040" y="4138560"/>
              <a:ext cx="147240" cy="129600"/>
            </a:xfrm>
            <a:prstGeom prst="ellipse">
              <a:avLst/>
            </a:prstGeom>
            <a:noFill/>
            <a:ln w="19050">
              <a:solidFill>
                <a:srgbClr val="003db8"/>
              </a:solidFill>
              <a:round/>
            </a:ln>
          </xdr:spPr>
          <xdr:style>
            <a:lnRef idx="0"/>
            <a:fillRef idx="0"/>
            <a:effectRef idx="0"/>
            <a:fontRef idx="minor"/>
          </xdr:style>
        </xdr:sp>
        <xdr:sp>
          <xdr:nvSpPr>
            <xdr:cNvPr id="1273" name="Oval 84"/>
            <xdr:cNvSpPr/>
          </xdr:nvSpPr>
          <xdr:spPr>
            <a:xfrm flipV="1">
              <a:off x="12921480" y="4096080"/>
              <a:ext cx="143280" cy="129600"/>
            </a:xfrm>
            <a:prstGeom prst="ellipse">
              <a:avLst/>
            </a:prstGeom>
            <a:noFill/>
            <a:ln w="19050">
              <a:solidFill>
                <a:srgbClr val="000000"/>
              </a:solidFill>
              <a:round/>
            </a:ln>
          </xdr:spPr>
          <xdr:style>
            <a:lnRef idx="0"/>
            <a:fillRef idx="0"/>
            <a:effectRef idx="0"/>
            <a:fontRef idx="minor"/>
          </xdr:style>
        </xdr:sp>
        <xdr:sp>
          <xdr:nvSpPr>
            <xdr:cNvPr id="1274" name="Line 179"/>
            <xdr:cNvSpPr/>
          </xdr:nvSpPr>
          <xdr:spPr>
            <a:xfrm>
              <a:off x="12907800" y="4269600"/>
              <a:ext cx="360" cy="150480"/>
            </a:xfrm>
            <a:prstGeom prst="line">
              <a:avLst/>
            </a:prstGeom>
            <a:ln w="19050">
              <a:solidFill>
                <a:srgbClr val="003db8"/>
              </a:solidFill>
              <a:round/>
            </a:ln>
          </xdr:spPr>
          <xdr:style>
            <a:lnRef idx="0"/>
            <a:fillRef idx="0"/>
            <a:effectRef idx="0"/>
            <a:fontRef idx="minor"/>
          </xdr:style>
        </xdr:sp>
        <xdr:sp>
          <xdr:nvSpPr>
            <xdr:cNvPr id="1275" name="Line 179"/>
            <xdr:cNvSpPr/>
          </xdr:nvSpPr>
          <xdr:spPr>
            <a:xfrm>
              <a:off x="12908880" y="3898800"/>
              <a:ext cx="360" cy="143640"/>
            </a:xfrm>
            <a:prstGeom prst="line">
              <a:avLst/>
            </a:prstGeom>
            <a:ln w="19050">
              <a:solidFill>
                <a:srgbClr val="ff0000"/>
              </a:solidFill>
              <a:round/>
            </a:ln>
          </xdr:spPr>
          <xdr:style>
            <a:lnRef idx="0"/>
            <a:fillRef idx="0"/>
            <a:effectRef idx="0"/>
            <a:fontRef idx="minor"/>
          </xdr:style>
        </xdr:sp>
        <xdr:sp>
          <xdr:nvSpPr>
            <xdr:cNvPr id="1276" name="Line 179"/>
            <xdr:cNvSpPr/>
          </xdr:nvSpPr>
          <xdr:spPr>
            <a:xfrm flipH="1">
              <a:off x="13060440" y="4154040"/>
              <a:ext cx="117720" cy="360"/>
            </a:xfrm>
            <a:prstGeom prst="line">
              <a:avLst/>
            </a:prstGeom>
            <a:ln w="19050">
              <a:solidFill>
                <a:srgbClr val="000000"/>
              </a:solidFill>
              <a:round/>
            </a:ln>
          </xdr:spPr>
          <xdr:style>
            <a:lnRef idx="0"/>
            <a:fillRef idx="0"/>
            <a:effectRef idx="0"/>
            <a:fontRef idx="minor"/>
          </xdr:style>
        </xdr:sp>
      </xdr:grpSp>
      <xdr:cxnSp>
        <xdr:nvCxnSpPr>
          <xdr:cNvPr id="1277" name="2 Conector recto"/>
          <xdr:cNvCxnSpPr/>
        </xdr:nvCxnSpPr>
        <xdr:spPr>
          <a:xfrm flipV="1">
            <a:off x="13176000" y="4082400"/>
            <a:ext cx="360" cy="151560"/>
          </a:xfrm>
          <a:prstGeom prst="straightConnector1">
            <a:avLst/>
          </a:prstGeom>
          <a:ln w="28575">
            <a:solidFill>
              <a:srgbClr val="000000"/>
            </a:solidFill>
          </a:ln>
        </xdr:spPr>
      </xdr:cxnSp>
      <xdr:sp>
        <xdr:nvSpPr>
          <xdr:cNvPr id="1278" name="Rectángulo: esquinas redondeadas 1251"/>
          <xdr:cNvSpPr/>
        </xdr:nvSpPr>
        <xdr:spPr>
          <a:xfrm>
            <a:off x="12879720" y="393912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79" name="Rectángulo: esquinas redondeadas 1252"/>
          <xdr:cNvSpPr/>
        </xdr:nvSpPr>
        <xdr:spPr>
          <a:xfrm>
            <a:off x="12877560" y="4327200"/>
            <a:ext cx="60120" cy="550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cxnSp>
        <xdr:nvCxnSpPr>
          <xdr:cNvPr id="1280" name="2 Conector recto"/>
          <xdr:cNvCxnSpPr/>
        </xdr:nvCxnSpPr>
        <xdr:spPr>
          <a:xfrm>
            <a:off x="12746160" y="3899520"/>
            <a:ext cx="775440" cy="360"/>
          </a:xfrm>
          <a:prstGeom prst="straightConnector1">
            <a:avLst/>
          </a:prstGeom>
          <a:ln w="38100">
            <a:solidFill>
              <a:srgbClr val="ff0000"/>
            </a:solidFill>
          </a:ln>
        </xdr:spPr>
      </xdr:cxnSp>
      <xdr:sp>
        <xdr:nvSpPr>
          <xdr:cNvPr id="1281" name="CuadroTexto 1254"/>
          <xdr:cNvSpPr/>
        </xdr:nvSpPr>
        <xdr:spPr>
          <a:xfrm>
            <a:off x="13355280" y="3504600"/>
            <a:ext cx="754560" cy="43920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NUEVA </a:t>
            </a:r>
            <a:endParaRPr b="0" lang="en-GB" sz="700" spc="-1" strike="noStrike">
              <a:latin typeface="Times New Roman"/>
            </a:endParaRPr>
          </a:p>
          <a:p>
            <a:pPr>
              <a:lnSpc>
                <a:spcPct val="100000"/>
              </a:lnSpc>
            </a:pPr>
            <a:r>
              <a:rPr b="0" lang="es-MX" sz="700" spc="-1" strike="noStrike">
                <a:solidFill>
                  <a:srgbClr val="000000"/>
                </a:solidFill>
                <a:latin typeface="Calibri"/>
              </a:rPr>
              <a:t>BARRANQUILLA</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sp>
        <xdr:nvSpPr>
          <xdr:cNvPr id="1282" name="CuadroTexto 1255"/>
          <xdr:cNvSpPr/>
        </xdr:nvSpPr>
        <xdr:spPr>
          <a:xfrm>
            <a:off x="12714120" y="4435200"/>
            <a:ext cx="1072080" cy="32436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NUEVA BARRANQUILLA</a:t>
            </a:r>
            <a:endParaRPr b="0" lang="en-GB" sz="700" spc="-1" strike="noStrike">
              <a:latin typeface="Times New Roman"/>
            </a:endParaRPr>
          </a:p>
          <a:p>
            <a:pPr>
              <a:lnSpc>
                <a:spcPct val="100000"/>
              </a:lnSpc>
            </a:pPr>
            <a:r>
              <a:rPr b="0" lang="es-MX" sz="700" spc="-1" strike="noStrike">
                <a:solidFill>
                  <a:srgbClr val="000000"/>
                </a:solidFill>
                <a:latin typeface="Calibri"/>
              </a:rPr>
              <a:t>220 kV</a:t>
            </a:r>
            <a:endParaRPr b="0" lang="en-GB" sz="700" spc="-1" strike="noStrike">
              <a:latin typeface="Times New Roman"/>
            </a:endParaRPr>
          </a:p>
        </xdr:txBody>
      </xdr:sp>
      <xdr:cxnSp>
        <xdr:nvCxnSpPr>
          <xdr:cNvPr id="1283" name="2 Conector recto"/>
          <xdr:cNvCxnSpPr/>
        </xdr:nvCxnSpPr>
        <xdr:spPr>
          <a:xfrm>
            <a:off x="12731400" y="2781000"/>
            <a:ext cx="804960" cy="360"/>
          </a:xfrm>
          <a:prstGeom prst="straightConnector1">
            <a:avLst/>
          </a:prstGeom>
          <a:ln w="38100">
            <a:solidFill>
              <a:srgbClr val="ff0000"/>
            </a:solidFill>
          </a:ln>
        </xdr:spPr>
      </xdr:cxnSp>
      <xdr:cxnSp>
        <xdr:nvCxnSpPr>
          <xdr:cNvPr id="1284" name="2 Conector recto"/>
          <xdr:cNvCxnSpPr/>
        </xdr:nvCxnSpPr>
        <xdr:spPr>
          <a:xfrm>
            <a:off x="12908520" y="2783160"/>
            <a:ext cx="360" cy="1156320"/>
          </a:xfrm>
          <a:prstGeom prst="straightConnector1">
            <a:avLst/>
          </a:prstGeom>
          <a:ln w="19050">
            <a:solidFill>
              <a:srgbClr val="ff0000"/>
            </a:solidFill>
          </a:ln>
        </xdr:spPr>
      </xdr:cxnSp>
      <xdr:sp>
        <xdr:nvSpPr>
          <xdr:cNvPr id="1285" name="Rectángulo: esquinas redondeadas 1258"/>
          <xdr:cNvSpPr/>
        </xdr:nvSpPr>
        <xdr:spPr>
          <a:xfrm>
            <a:off x="12881880" y="281916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86" name="Rectángulo: esquinas redondeadas 1259"/>
          <xdr:cNvSpPr/>
        </xdr:nvSpPr>
        <xdr:spPr>
          <a:xfrm>
            <a:off x="12882600" y="381276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287" name="2 Conector recto"/>
          <xdr:cNvCxnSpPr/>
        </xdr:nvCxnSpPr>
        <xdr:spPr>
          <a:xfrm>
            <a:off x="13207320" y="3318480"/>
            <a:ext cx="360" cy="587880"/>
          </a:xfrm>
          <a:prstGeom prst="straightConnector1">
            <a:avLst/>
          </a:prstGeom>
          <a:ln w="19050">
            <a:solidFill>
              <a:srgbClr val="ff0000"/>
            </a:solidFill>
          </a:ln>
        </xdr:spPr>
      </xdr:cxnSp>
      <xdr:sp>
        <xdr:nvSpPr>
          <xdr:cNvPr id="1288" name="Rectángulo: esquinas redondeadas 1261"/>
          <xdr:cNvSpPr/>
        </xdr:nvSpPr>
        <xdr:spPr>
          <a:xfrm>
            <a:off x="13180680" y="336996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89" name="Rectángulo: esquinas redondeadas 1262"/>
          <xdr:cNvSpPr/>
        </xdr:nvSpPr>
        <xdr:spPr>
          <a:xfrm>
            <a:off x="13181760" y="380628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290" name="2 Conector recto"/>
          <xdr:cNvCxnSpPr/>
        </xdr:nvCxnSpPr>
        <xdr:spPr>
          <a:xfrm>
            <a:off x="13053240" y="3319920"/>
            <a:ext cx="471960" cy="360"/>
          </a:xfrm>
          <a:prstGeom prst="straightConnector1">
            <a:avLst/>
          </a:prstGeom>
          <a:ln w="38100">
            <a:solidFill>
              <a:srgbClr val="ff0000"/>
            </a:solidFill>
          </a:ln>
        </xdr:spPr>
      </xdr:cxnSp>
      <xdr:cxnSp>
        <xdr:nvCxnSpPr>
          <xdr:cNvPr id="1291" name="2 Conector recto"/>
          <xdr:cNvCxnSpPr/>
        </xdr:nvCxnSpPr>
        <xdr:spPr>
          <a:xfrm>
            <a:off x="13366440" y="3320640"/>
            <a:ext cx="360" cy="585720"/>
          </a:xfrm>
          <a:prstGeom prst="straightConnector1">
            <a:avLst/>
          </a:prstGeom>
          <a:ln w="19050">
            <a:solidFill>
              <a:srgbClr val="ff0000"/>
            </a:solidFill>
          </a:ln>
        </xdr:spPr>
      </xdr:cxnSp>
      <xdr:sp>
        <xdr:nvSpPr>
          <xdr:cNvPr id="1292" name="Rectángulo: esquinas redondeadas 1265"/>
          <xdr:cNvSpPr/>
        </xdr:nvSpPr>
        <xdr:spPr>
          <a:xfrm>
            <a:off x="13339800" y="337212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93" name="Rectángulo: esquinas redondeadas 1266"/>
          <xdr:cNvSpPr/>
        </xdr:nvSpPr>
        <xdr:spPr>
          <a:xfrm>
            <a:off x="13340520" y="38084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94" name="CuadroTexto 1267"/>
          <xdr:cNvSpPr/>
        </xdr:nvSpPr>
        <xdr:spPr>
          <a:xfrm>
            <a:off x="13008600" y="3029400"/>
            <a:ext cx="788040" cy="41904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NORTE</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sp>
        <xdr:nvSpPr>
          <xdr:cNvPr id="1295" name="CuadroTexto 1268"/>
          <xdr:cNvSpPr/>
        </xdr:nvSpPr>
        <xdr:spPr>
          <a:xfrm>
            <a:off x="12754080" y="2501640"/>
            <a:ext cx="791640" cy="43236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JUAN MINA </a:t>
            </a:r>
            <a:endParaRPr b="0" lang="en-GB" sz="700" spc="-1" strike="noStrike">
              <a:latin typeface="Times New Roman"/>
            </a:endParaRPr>
          </a:p>
          <a:p>
            <a:pP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cxnSp>
        <xdr:nvCxnSpPr>
          <xdr:cNvPr id="1296" name="2 Conector recto"/>
          <xdr:cNvCxnSpPr/>
        </xdr:nvCxnSpPr>
        <xdr:spPr>
          <a:xfrm>
            <a:off x="15298920" y="3826080"/>
            <a:ext cx="360" cy="1166760"/>
          </a:xfrm>
          <a:prstGeom prst="straightConnector1">
            <a:avLst/>
          </a:prstGeom>
          <a:ln w="19050">
            <a:solidFill>
              <a:srgbClr val="ff0000"/>
            </a:solidFill>
          </a:ln>
        </xdr:spPr>
      </xdr:cxnSp>
      <xdr:sp>
        <xdr:nvSpPr>
          <xdr:cNvPr id="1297" name="Rectángulo: esquinas redondeadas 1270"/>
          <xdr:cNvSpPr/>
        </xdr:nvSpPr>
        <xdr:spPr>
          <a:xfrm>
            <a:off x="15272280" y="38678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98" name="Rectángulo: esquinas redondeadas 1271"/>
          <xdr:cNvSpPr/>
        </xdr:nvSpPr>
        <xdr:spPr>
          <a:xfrm>
            <a:off x="15273000" y="48578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299" name="CuadroTexto 1272"/>
          <xdr:cNvSpPr/>
        </xdr:nvSpPr>
        <xdr:spPr>
          <a:xfrm>
            <a:off x="13968360" y="6570720"/>
            <a:ext cx="555840" cy="40320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2 x 90</a:t>
            </a:r>
            <a:endParaRPr b="0" lang="en-GB" sz="700" spc="-1" strike="noStrike">
              <a:latin typeface="Times New Roman"/>
            </a:endParaRPr>
          </a:p>
          <a:p>
            <a:pPr>
              <a:lnSpc>
                <a:spcPct val="100000"/>
              </a:lnSpc>
            </a:pPr>
            <a:r>
              <a:rPr b="0" lang="es-MX" sz="700" spc="-1" strike="noStrike">
                <a:solidFill>
                  <a:srgbClr val="000000"/>
                </a:solidFill>
                <a:latin typeface="Calibri"/>
              </a:rPr>
              <a:t>MVA</a:t>
            </a:r>
            <a:endParaRPr b="0" lang="en-GB" sz="700" spc="-1" strike="noStrike">
              <a:latin typeface="Times New Roman"/>
            </a:endParaRPr>
          </a:p>
        </xdr:txBody>
      </xdr:sp>
      <xdr:sp>
        <xdr:nvSpPr>
          <xdr:cNvPr id="1300" name="CuadroTexto 1273"/>
          <xdr:cNvSpPr/>
        </xdr:nvSpPr>
        <xdr:spPr>
          <a:xfrm>
            <a:off x="12667680" y="6590880"/>
            <a:ext cx="285840" cy="37368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60</a:t>
            </a:r>
            <a:endParaRPr b="0" lang="en-GB" sz="700" spc="-1" strike="noStrike">
              <a:latin typeface="Times New Roman"/>
            </a:endParaRPr>
          </a:p>
          <a:p>
            <a:pPr>
              <a:lnSpc>
                <a:spcPct val="100000"/>
              </a:lnSpc>
            </a:pPr>
            <a:r>
              <a:rPr b="0" lang="es-MX" sz="700" spc="-1" strike="noStrike">
                <a:solidFill>
                  <a:srgbClr val="000000"/>
                </a:solidFill>
                <a:latin typeface="Calibri"/>
              </a:rPr>
              <a:t>MVA</a:t>
            </a:r>
            <a:endParaRPr b="0" lang="en-GB" sz="700" spc="-1" strike="noStrike">
              <a:latin typeface="Times New Roman"/>
            </a:endParaRPr>
          </a:p>
        </xdr:txBody>
      </xdr:sp>
      <xdr:sp>
        <xdr:nvSpPr>
          <xdr:cNvPr id="1301" name="CuadroTexto 1274"/>
          <xdr:cNvSpPr/>
        </xdr:nvSpPr>
        <xdr:spPr>
          <a:xfrm>
            <a:off x="13386240" y="4017600"/>
            <a:ext cx="557640" cy="39600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2 x 100</a:t>
            </a:r>
            <a:endParaRPr b="0" lang="en-GB" sz="700" spc="-1" strike="noStrike">
              <a:latin typeface="Times New Roman"/>
            </a:endParaRPr>
          </a:p>
          <a:p>
            <a:pPr>
              <a:lnSpc>
                <a:spcPct val="100000"/>
              </a:lnSpc>
            </a:pPr>
            <a:r>
              <a:rPr b="0" lang="es-MX" sz="700" spc="-1" strike="noStrike">
                <a:solidFill>
                  <a:srgbClr val="000000"/>
                </a:solidFill>
                <a:latin typeface="Calibri"/>
              </a:rPr>
              <a:t>MVA</a:t>
            </a:r>
            <a:endParaRPr b="0" lang="en-GB" sz="700" spc="-1" strike="noStrike">
              <a:latin typeface="Times New Roman"/>
            </a:endParaRPr>
          </a:p>
        </xdr:txBody>
      </xdr:sp>
      <xdr:sp>
        <xdr:nvSpPr>
          <xdr:cNvPr id="1302" name="CuadroTexto 1275"/>
          <xdr:cNvSpPr/>
        </xdr:nvSpPr>
        <xdr:spPr>
          <a:xfrm>
            <a:off x="16228080" y="6221880"/>
            <a:ext cx="566280" cy="36324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2 x 150</a:t>
            </a:r>
            <a:endParaRPr b="0" lang="en-GB" sz="700" spc="-1" strike="noStrike">
              <a:latin typeface="Times New Roman"/>
            </a:endParaRPr>
          </a:p>
          <a:p>
            <a:pPr>
              <a:lnSpc>
                <a:spcPct val="100000"/>
              </a:lnSpc>
            </a:pPr>
            <a:r>
              <a:rPr b="0" lang="es-MX" sz="700" spc="-1" strike="noStrike">
                <a:solidFill>
                  <a:srgbClr val="000000"/>
                </a:solidFill>
                <a:latin typeface="Calibri"/>
              </a:rPr>
              <a:t>MVA</a:t>
            </a:r>
            <a:endParaRPr b="0" lang="en-GB" sz="700" spc="-1" strike="noStrike">
              <a:latin typeface="Times New Roman"/>
            </a:endParaRPr>
          </a:p>
        </xdr:txBody>
      </xdr:sp>
      <xdr:cxnSp>
        <xdr:nvCxnSpPr>
          <xdr:cNvPr id="1303" name="2 Conector recto"/>
          <xdr:cNvCxnSpPr/>
        </xdr:nvCxnSpPr>
        <xdr:spPr>
          <a:xfrm>
            <a:off x="13902480" y="4665960"/>
            <a:ext cx="387000" cy="360"/>
          </a:xfrm>
          <a:prstGeom prst="straightConnector1">
            <a:avLst/>
          </a:prstGeom>
          <a:ln w="38100">
            <a:solidFill>
              <a:srgbClr val="ff0000"/>
            </a:solidFill>
          </a:ln>
        </xdr:spPr>
      </xdr:cxnSp>
      <xdr:cxnSp>
        <xdr:nvCxnSpPr>
          <xdr:cNvPr id="1304" name="2 Conector recto"/>
          <xdr:cNvCxnSpPr/>
        </xdr:nvCxnSpPr>
        <xdr:spPr>
          <a:xfrm>
            <a:off x="14099760" y="3021120"/>
            <a:ext cx="360" cy="1671120"/>
          </a:xfrm>
          <a:prstGeom prst="straightConnector1">
            <a:avLst/>
          </a:prstGeom>
          <a:ln w="19050">
            <a:solidFill>
              <a:srgbClr val="ff0000"/>
            </a:solidFill>
            <a:prstDash val="sysDash"/>
          </a:ln>
        </xdr:spPr>
      </xdr:cxnSp>
      <xdr:sp>
        <xdr:nvSpPr>
          <xdr:cNvPr id="1305" name="Rectángulo: esquinas redondeadas 1278"/>
          <xdr:cNvSpPr/>
        </xdr:nvSpPr>
        <xdr:spPr>
          <a:xfrm>
            <a:off x="14063400" y="457776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306" name="2 Conector recto"/>
          <xdr:cNvCxnSpPr/>
        </xdr:nvCxnSpPr>
        <xdr:spPr>
          <a:xfrm>
            <a:off x="14098320" y="4681800"/>
            <a:ext cx="360" cy="1175760"/>
          </a:xfrm>
          <a:prstGeom prst="straightConnector1">
            <a:avLst/>
          </a:prstGeom>
          <a:ln w="19050">
            <a:solidFill>
              <a:srgbClr val="ff0000"/>
            </a:solidFill>
            <a:prstDash val="sysDash"/>
          </a:ln>
        </xdr:spPr>
      </xdr:cxnSp>
      <xdr:sp>
        <xdr:nvSpPr>
          <xdr:cNvPr id="1307" name="Rectángulo: esquinas redondeadas 1280"/>
          <xdr:cNvSpPr/>
        </xdr:nvSpPr>
        <xdr:spPr>
          <a:xfrm>
            <a:off x="14064120" y="470592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308" name="Rectángulo: esquinas redondeadas 1281"/>
          <xdr:cNvSpPr/>
        </xdr:nvSpPr>
        <xdr:spPr>
          <a:xfrm>
            <a:off x="13395960" y="281988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309" name="Rectángulo: esquinas redondeadas 1282"/>
          <xdr:cNvSpPr/>
        </xdr:nvSpPr>
        <xdr:spPr>
          <a:xfrm>
            <a:off x="15094080" y="599328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310" name="2 Conector recto"/>
          <xdr:cNvCxnSpPr/>
        </xdr:nvCxnSpPr>
        <xdr:spPr>
          <a:xfrm>
            <a:off x="13429080" y="2788920"/>
            <a:ext cx="360" cy="239760"/>
          </a:xfrm>
          <a:prstGeom prst="straightConnector1">
            <a:avLst/>
          </a:prstGeom>
          <a:ln w="19050">
            <a:solidFill>
              <a:srgbClr val="ff0000"/>
            </a:solidFill>
            <a:prstDash val="sysDash"/>
          </a:ln>
        </xdr:spPr>
      </xdr:cxnSp>
      <xdr:cxnSp>
        <xdr:nvCxnSpPr>
          <xdr:cNvPr id="1311" name="2 Conector recto"/>
          <xdr:cNvCxnSpPr/>
        </xdr:nvCxnSpPr>
        <xdr:spPr>
          <a:xfrm flipH="1">
            <a:off x="13426200" y="3020400"/>
            <a:ext cx="681120" cy="360"/>
          </a:xfrm>
          <a:prstGeom prst="straightConnector1">
            <a:avLst/>
          </a:prstGeom>
          <a:ln w="19050">
            <a:solidFill>
              <a:srgbClr val="ff0000"/>
            </a:solidFill>
            <a:prstDash val="sysDash"/>
          </a:ln>
        </xdr:spPr>
      </xdr:cxnSp>
      <xdr:cxnSp>
        <xdr:nvCxnSpPr>
          <xdr:cNvPr id="1312" name="2 Conector recto"/>
          <xdr:cNvCxnSpPr/>
        </xdr:nvCxnSpPr>
        <xdr:spPr>
          <a:xfrm>
            <a:off x="15124320" y="5845320"/>
            <a:ext cx="360" cy="239760"/>
          </a:xfrm>
          <a:prstGeom prst="straightConnector1">
            <a:avLst/>
          </a:prstGeom>
          <a:ln w="19050">
            <a:solidFill>
              <a:srgbClr val="ff0000"/>
            </a:solidFill>
            <a:prstDash val="sysDash"/>
          </a:ln>
        </xdr:spPr>
      </xdr:cxnSp>
      <xdr:cxnSp>
        <xdr:nvCxnSpPr>
          <xdr:cNvPr id="1313" name="2 Conector recto"/>
          <xdr:cNvCxnSpPr/>
        </xdr:nvCxnSpPr>
        <xdr:spPr>
          <a:xfrm flipH="1">
            <a:off x="14094720" y="5849280"/>
            <a:ext cx="1037160" cy="360"/>
          </a:xfrm>
          <a:prstGeom prst="straightConnector1">
            <a:avLst/>
          </a:prstGeom>
          <a:ln w="19050">
            <a:solidFill>
              <a:srgbClr val="ff0000"/>
            </a:solidFill>
            <a:prstDash val="sysDash"/>
          </a:ln>
        </xdr:spPr>
      </xdr:cxnSp>
      <xdr:sp>
        <xdr:nvSpPr>
          <xdr:cNvPr id="1314" name="CuadroTexto 1287"/>
          <xdr:cNvSpPr/>
        </xdr:nvSpPr>
        <xdr:spPr>
          <a:xfrm>
            <a:off x="13304520" y="4725360"/>
            <a:ext cx="705240" cy="37476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gn="r">
              <a:lnSpc>
                <a:spcPct val="100000"/>
              </a:lnSpc>
            </a:pPr>
            <a:r>
              <a:rPr b="0" lang="es-MX" sz="700" spc="-1" strike="noStrike">
                <a:solidFill>
                  <a:srgbClr val="000000"/>
                </a:solidFill>
                <a:latin typeface="Calibri"/>
              </a:rPr>
              <a:t>GALAPA</a:t>
            </a:r>
            <a:endParaRPr b="0" lang="en-GB" sz="700" spc="-1" strike="noStrike">
              <a:latin typeface="Times New Roman"/>
            </a:endParaRPr>
          </a:p>
          <a:p>
            <a:pPr algn="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sp>
        <xdr:nvSpPr>
          <xdr:cNvPr id="1315" name="Rectángulo: esquinas redondeadas 1288"/>
          <xdr:cNvSpPr/>
        </xdr:nvSpPr>
        <xdr:spPr>
          <a:xfrm>
            <a:off x="17989560" y="59990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316" name="Rectángulo: esquinas redondeadas 1289"/>
          <xdr:cNvSpPr/>
        </xdr:nvSpPr>
        <xdr:spPr>
          <a:xfrm>
            <a:off x="17989560" y="389592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317" name="2 Conector recto"/>
          <xdr:cNvCxnSpPr/>
        </xdr:nvCxnSpPr>
        <xdr:spPr>
          <a:xfrm>
            <a:off x="18021240" y="3851280"/>
            <a:ext cx="360" cy="585000"/>
          </a:xfrm>
          <a:prstGeom prst="straightConnector1">
            <a:avLst/>
          </a:prstGeom>
          <a:ln w="19050">
            <a:solidFill>
              <a:srgbClr val="ff0000"/>
            </a:solidFill>
          </a:ln>
        </xdr:spPr>
      </xdr:cxnSp>
      <xdr:cxnSp>
        <xdr:nvCxnSpPr>
          <xdr:cNvPr id="1318" name="2 Conector recto"/>
          <xdr:cNvCxnSpPr/>
        </xdr:nvCxnSpPr>
        <xdr:spPr>
          <a:xfrm>
            <a:off x="18018000" y="4636440"/>
            <a:ext cx="360" cy="1449720"/>
          </a:xfrm>
          <a:prstGeom prst="straightConnector1">
            <a:avLst/>
          </a:prstGeom>
          <a:ln w="19050">
            <a:solidFill>
              <a:srgbClr val="ff0000"/>
            </a:solidFill>
          </a:ln>
        </xdr:spPr>
      </xdr:cxnSp>
      <xdr:sp>
        <xdr:nvSpPr>
          <xdr:cNvPr id="1319" name="CuadroTexto 1292"/>
          <xdr:cNvSpPr/>
        </xdr:nvSpPr>
        <xdr:spPr>
          <a:xfrm>
            <a:off x="16947720" y="4381200"/>
            <a:ext cx="600120" cy="3787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gn="r">
              <a:lnSpc>
                <a:spcPct val="100000"/>
              </a:lnSpc>
            </a:pPr>
            <a:r>
              <a:rPr b="0" lang="es-MX" sz="700" spc="-1" strike="noStrike">
                <a:solidFill>
                  <a:srgbClr val="000000"/>
                </a:solidFill>
                <a:latin typeface="Calibri"/>
              </a:rPr>
              <a:t>PALERMO</a:t>
            </a:r>
            <a:endParaRPr b="0" lang="en-GB" sz="700" spc="-1" strike="noStrike">
              <a:latin typeface="Times New Roman"/>
            </a:endParaRPr>
          </a:p>
          <a:p>
            <a:pPr algn="r">
              <a:lnSpc>
                <a:spcPct val="100000"/>
              </a:lnSpc>
            </a:pPr>
            <a:r>
              <a:rPr b="0" lang="es-MX" sz="700" spc="-1" strike="noStrike">
                <a:solidFill>
                  <a:srgbClr val="000000"/>
                </a:solidFill>
                <a:latin typeface="Calibri"/>
              </a:rPr>
              <a:t>110 kV</a:t>
            </a:r>
            <a:endParaRPr b="0" lang="en-GB" sz="700" spc="-1" strike="noStrike">
              <a:latin typeface="Times New Roman"/>
            </a:endParaRPr>
          </a:p>
        </xdr:txBody>
      </xdr:sp>
      <xdr:grpSp>
        <xdr:nvGrpSpPr>
          <xdr:cNvPr id="1320" name="Grupo 1293"/>
          <xdr:cNvGrpSpPr/>
        </xdr:nvGrpSpPr>
        <xdr:grpSpPr>
          <a:xfrm>
            <a:off x="19455120" y="3851280"/>
            <a:ext cx="155880" cy="394920"/>
            <a:chOff x="19455120" y="3851280"/>
            <a:chExt cx="155880" cy="394920"/>
          </a:xfrm>
        </xdr:grpSpPr>
        <xdr:grpSp>
          <xdr:nvGrpSpPr>
            <xdr:cNvPr id="1321" name="Grupo 1"/>
            <xdr:cNvGrpSpPr/>
          </xdr:nvGrpSpPr>
          <xdr:grpSpPr>
            <a:xfrm>
              <a:off x="19455120" y="4015080"/>
              <a:ext cx="155880" cy="231120"/>
              <a:chOff x="19455120" y="4015080"/>
              <a:chExt cx="155880" cy="231120"/>
            </a:xfrm>
          </xdr:grpSpPr>
          <xdr:sp>
            <xdr:nvSpPr>
              <xdr:cNvPr id="1322" name="Elipse 49"/>
              <xdr:cNvSpPr/>
            </xdr:nvSpPr>
            <xdr:spPr>
              <a:xfrm rot="10800000">
                <a:off x="19455480" y="4015080"/>
                <a:ext cx="155520" cy="14328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1323" name="Elipse 50"/>
              <xdr:cNvSpPr/>
            </xdr:nvSpPr>
            <xdr:spPr>
              <a:xfrm rot="10800000">
                <a:off x="19455120" y="4102920"/>
                <a:ext cx="155520" cy="143280"/>
              </a:xfrm>
              <a:prstGeom prst="ellipse">
                <a:avLst/>
              </a:prstGeom>
              <a:noFill/>
              <a:ln w="19050">
                <a:solidFill>
                  <a:srgbClr val="003db8"/>
                </a:solidFill>
              </a:ln>
            </xdr:spPr>
            <xdr:style>
              <a:lnRef idx="2">
                <a:schemeClr val="accent1">
                  <a:shade val="50000"/>
                </a:schemeClr>
              </a:lnRef>
              <a:fillRef idx="1">
                <a:schemeClr val="accent1"/>
              </a:fillRef>
              <a:effectRef idx="0">
                <a:schemeClr val="accent1"/>
              </a:effectRef>
              <a:fontRef idx="minor"/>
            </xdr:style>
          </xdr:sp>
        </xdr:grpSp>
        <xdr:cxnSp>
          <xdr:nvCxnSpPr>
            <xdr:cNvPr id="1324" name="174 Conector recto de flecha"/>
            <xdr:cNvCxnSpPr/>
          </xdr:nvCxnSpPr>
          <xdr:spPr>
            <a:xfrm flipV="1">
              <a:off x="19532880" y="3851280"/>
              <a:ext cx="360" cy="160560"/>
            </a:xfrm>
            <a:prstGeom prst="straightConnector1">
              <a:avLst/>
            </a:prstGeom>
            <a:ln w="19050">
              <a:solidFill>
                <a:srgbClr val="ff0000"/>
              </a:solidFill>
            </a:ln>
          </xdr:spPr>
        </xdr:cxnSp>
      </xdr:grpSp>
      <xdr:cxnSp>
        <xdr:nvCxnSpPr>
          <xdr:cNvPr id="1325" name="Conector recto de flecha 173"/>
          <xdr:cNvCxnSpPr/>
        </xdr:nvCxnSpPr>
        <xdr:spPr>
          <a:xfrm>
            <a:off x="19534320" y="4241160"/>
            <a:ext cx="360" cy="175320"/>
          </a:xfrm>
          <a:prstGeom prst="straightConnector1">
            <a:avLst/>
          </a:prstGeom>
          <a:ln w="19050">
            <a:solidFill>
              <a:srgbClr val="003db8"/>
            </a:solidFill>
            <a:round/>
          </a:ln>
        </xdr:spPr>
      </xdr:cxnSp>
      <xdr:sp>
        <xdr:nvSpPr>
          <xdr:cNvPr id="1326" name="Rectángulo: esquinas redondeadas 1295"/>
          <xdr:cNvSpPr/>
        </xdr:nvSpPr>
        <xdr:spPr>
          <a:xfrm>
            <a:off x="19503000" y="4312080"/>
            <a:ext cx="60120" cy="550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1327" name="Rectángulo: esquinas redondeadas 1296"/>
          <xdr:cNvSpPr/>
        </xdr:nvSpPr>
        <xdr:spPr>
          <a:xfrm>
            <a:off x="19499760" y="39002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grpSp>
        <xdr:nvGrpSpPr>
          <xdr:cNvPr id="1328" name="Grupo 1297"/>
          <xdr:cNvGrpSpPr/>
        </xdr:nvGrpSpPr>
        <xdr:grpSpPr>
          <a:xfrm>
            <a:off x="19721880" y="3855600"/>
            <a:ext cx="155880" cy="390600"/>
            <a:chOff x="19721880" y="3855600"/>
            <a:chExt cx="155880" cy="390600"/>
          </a:xfrm>
        </xdr:grpSpPr>
        <xdr:grpSp>
          <xdr:nvGrpSpPr>
            <xdr:cNvPr id="1329" name="Grupo 1"/>
            <xdr:cNvGrpSpPr/>
          </xdr:nvGrpSpPr>
          <xdr:grpSpPr>
            <a:xfrm>
              <a:off x="19721880" y="4015080"/>
              <a:ext cx="155880" cy="231120"/>
              <a:chOff x="19721880" y="4015080"/>
              <a:chExt cx="155880" cy="231120"/>
            </a:xfrm>
          </xdr:grpSpPr>
          <xdr:sp>
            <xdr:nvSpPr>
              <xdr:cNvPr id="1330" name="Elipse 49"/>
              <xdr:cNvSpPr/>
            </xdr:nvSpPr>
            <xdr:spPr>
              <a:xfrm rot="10800000">
                <a:off x="19722240" y="4015080"/>
                <a:ext cx="155520" cy="14328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1331" name="Elipse 50"/>
              <xdr:cNvSpPr/>
            </xdr:nvSpPr>
            <xdr:spPr>
              <a:xfrm rot="10800000">
                <a:off x="19721880" y="4102920"/>
                <a:ext cx="155520" cy="143280"/>
              </a:xfrm>
              <a:prstGeom prst="ellipse">
                <a:avLst/>
              </a:prstGeom>
              <a:noFill/>
              <a:ln w="19050">
                <a:solidFill>
                  <a:srgbClr val="003db8"/>
                </a:solidFill>
              </a:ln>
            </xdr:spPr>
            <xdr:style>
              <a:lnRef idx="2">
                <a:schemeClr val="accent1">
                  <a:shade val="50000"/>
                </a:schemeClr>
              </a:lnRef>
              <a:fillRef idx="1">
                <a:schemeClr val="accent1"/>
              </a:fillRef>
              <a:effectRef idx="0">
                <a:schemeClr val="accent1"/>
              </a:effectRef>
              <a:fontRef idx="minor"/>
            </xdr:style>
          </xdr:sp>
        </xdr:grpSp>
        <xdr:cxnSp>
          <xdr:nvCxnSpPr>
            <xdr:cNvPr id="1332" name="174 Conector recto de flecha"/>
            <xdr:cNvCxnSpPr/>
          </xdr:nvCxnSpPr>
          <xdr:spPr>
            <a:xfrm flipV="1">
              <a:off x="19795680" y="3855600"/>
              <a:ext cx="360" cy="156240"/>
            </a:xfrm>
            <a:prstGeom prst="straightConnector1">
              <a:avLst/>
            </a:prstGeom>
            <a:ln w="19050">
              <a:solidFill>
                <a:srgbClr val="ff0000"/>
              </a:solidFill>
            </a:ln>
          </xdr:spPr>
        </xdr:cxnSp>
      </xdr:grpSp>
      <xdr:cxnSp>
        <xdr:nvCxnSpPr>
          <xdr:cNvPr id="1333" name="Conector recto de flecha 173"/>
          <xdr:cNvCxnSpPr/>
        </xdr:nvCxnSpPr>
        <xdr:spPr>
          <a:xfrm>
            <a:off x="19800720" y="4241160"/>
            <a:ext cx="360" cy="167760"/>
          </a:xfrm>
          <a:prstGeom prst="straightConnector1">
            <a:avLst/>
          </a:prstGeom>
          <a:ln w="19050">
            <a:solidFill>
              <a:srgbClr val="003db8"/>
            </a:solidFill>
            <a:round/>
          </a:ln>
        </xdr:spPr>
      </xdr:cxnSp>
      <xdr:sp>
        <xdr:nvSpPr>
          <xdr:cNvPr id="1334" name="Rectángulo: esquinas redondeadas 1299"/>
          <xdr:cNvSpPr/>
        </xdr:nvSpPr>
        <xdr:spPr>
          <a:xfrm>
            <a:off x="19769760" y="4312080"/>
            <a:ext cx="60120" cy="550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sp>
        <xdr:nvSpPr>
          <xdr:cNvPr id="1335" name="Rectángulo: esquinas redondeadas 1300"/>
          <xdr:cNvSpPr/>
        </xdr:nvSpPr>
        <xdr:spPr>
          <a:xfrm>
            <a:off x="19766520" y="390024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336" name="CuadroTexto 1301"/>
          <xdr:cNvSpPr/>
        </xdr:nvSpPr>
        <xdr:spPr>
          <a:xfrm>
            <a:off x="18894240" y="4035240"/>
            <a:ext cx="539280" cy="40104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gn="r">
              <a:lnSpc>
                <a:spcPct val="100000"/>
              </a:lnSpc>
            </a:pPr>
            <a:r>
              <a:rPr b="0" lang="es-MX" sz="700" spc="-1" strike="noStrike">
                <a:solidFill>
                  <a:srgbClr val="000000"/>
                </a:solidFill>
                <a:latin typeface="Calibri"/>
              </a:rPr>
              <a:t>2 x 150</a:t>
            </a:r>
            <a:endParaRPr b="0" lang="en-GB" sz="700" spc="-1" strike="noStrike">
              <a:latin typeface="Times New Roman"/>
            </a:endParaRPr>
          </a:p>
          <a:p>
            <a:pPr algn="r">
              <a:lnSpc>
                <a:spcPct val="100000"/>
              </a:lnSpc>
            </a:pPr>
            <a:r>
              <a:rPr b="0" lang="es-MX" sz="700" spc="-1" strike="noStrike">
                <a:solidFill>
                  <a:srgbClr val="000000"/>
                </a:solidFill>
                <a:latin typeface="Calibri"/>
              </a:rPr>
              <a:t>MVA</a:t>
            </a:r>
            <a:endParaRPr b="0" lang="en-GB" sz="700" spc="-1" strike="noStrike">
              <a:latin typeface="Times New Roman"/>
            </a:endParaRPr>
          </a:p>
        </xdr:txBody>
      </xdr:sp>
      <xdr:sp>
        <xdr:nvSpPr>
          <xdr:cNvPr id="1337" name="Rectángulo 1302"/>
          <xdr:cNvSpPr/>
        </xdr:nvSpPr>
        <xdr:spPr>
          <a:xfrm>
            <a:off x="20584800" y="6415560"/>
            <a:ext cx="265680" cy="162000"/>
          </a:xfrm>
          <a:prstGeom prst="rect">
            <a:avLst/>
          </a:prstGeom>
          <a:pattFill prst="horz">
            <a:fgClr>
              <a:srgbClr val="00b050"/>
            </a:fgClr>
            <a:bgClr>
              <a:srgbClr val="ffffff"/>
            </a:bgClr>
          </a:pattFill>
          <a:ln>
            <a:noFill/>
          </a:ln>
        </xdr:spPr>
        <xdr:style>
          <a:lnRef idx="2">
            <a:schemeClr val="accent1">
              <a:shade val="15000"/>
            </a:schemeClr>
          </a:lnRef>
          <a:fillRef idx="1">
            <a:schemeClr val="accent1"/>
          </a:fillRef>
          <a:effectRef idx="0">
            <a:schemeClr val="accent1"/>
          </a:effectRef>
          <a:fontRef idx="minor"/>
        </xdr:style>
      </xdr:sp>
      <xdr:sp>
        <xdr:nvSpPr>
          <xdr:cNvPr id="1338" name="Rectángulo 1303"/>
          <xdr:cNvSpPr/>
        </xdr:nvSpPr>
        <xdr:spPr>
          <a:xfrm>
            <a:off x="20587320" y="6151320"/>
            <a:ext cx="264960" cy="162000"/>
          </a:xfrm>
          <a:prstGeom prst="rect">
            <a:avLst/>
          </a:prstGeom>
          <a:pattFill prst="wdUpDiag">
            <a:fgClr>
              <a:srgbClr val="4472c4"/>
            </a:fgClr>
            <a:bgClr>
              <a:srgbClr val="ffffff"/>
            </a:bgClr>
          </a:pattFill>
          <a:ln>
            <a:noFill/>
          </a:ln>
        </xdr:spPr>
        <xdr:style>
          <a:lnRef idx="2">
            <a:schemeClr val="accent1">
              <a:shade val="15000"/>
            </a:schemeClr>
          </a:lnRef>
          <a:fillRef idx="1">
            <a:schemeClr val="accent1"/>
          </a:fillRef>
          <a:effectRef idx="0">
            <a:schemeClr val="accent1"/>
          </a:effectRef>
          <a:fontRef idx="minor"/>
        </xdr:style>
      </xdr:sp>
      <xdr:sp>
        <xdr:nvSpPr>
          <xdr:cNvPr id="1339" name="CuadroTexto 1304"/>
          <xdr:cNvSpPr/>
        </xdr:nvSpPr>
        <xdr:spPr>
          <a:xfrm>
            <a:off x="20874960" y="6382800"/>
            <a:ext cx="1206720" cy="39816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Nueva Subestación </a:t>
            </a:r>
            <a:endParaRPr b="0" lang="en-GB" sz="700" spc="-1" strike="noStrike">
              <a:latin typeface="Times New Roman"/>
            </a:endParaRPr>
          </a:p>
          <a:p>
            <a:pPr>
              <a:lnSpc>
                <a:spcPct val="100000"/>
              </a:lnSpc>
            </a:pPr>
            <a:r>
              <a:rPr b="0" lang="es-MX" sz="700" spc="-1" strike="noStrike">
                <a:solidFill>
                  <a:srgbClr val="000000"/>
                </a:solidFill>
                <a:latin typeface="Calibri"/>
              </a:rPr>
              <a:t>Guacamayal 110kV</a:t>
            </a:r>
            <a:endParaRPr b="0" lang="en-GB" sz="700" spc="-1" strike="noStrike">
              <a:latin typeface="Times New Roman"/>
            </a:endParaRPr>
          </a:p>
        </xdr:txBody>
      </xdr:sp>
      <xdr:sp>
        <xdr:nvSpPr>
          <xdr:cNvPr id="1340" name="CuadroTexto 1305"/>
          <xdr:cNvSpPr/>
        </xdr:nvSpPr>
        <xdr:spPr>
          <a:xfrm>
            <a:off x="20875320" y="6116040"/>
            <a:ext cx="1304640" cy="31752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Nueva Subestación </a:t>
            </a:r>
            <a:endParaRPr b="0" lang="en-GB" sz="700" spc="-1" strike="noStrike">
              <a:latin typeface="Times New Roman"/>
            </a:endParaRPr>
          </a:p>
          <a:p>
            <a:pPr>
              <a:lnSpc>
                <a:spcPct val="100000"/>
              </a:lnSpc>
            </a:pPr>
            <a:r>
              <a:rPr b="0" lang="es-MX" sz="700" spc="-1" strike="noStrike">
                <a:solidFill>
                  <a:srgbClr val="000000"/>
                </a:solidFill>
                <a:latin typeface="Calibri"/>
              </a:rPr>
              <a:t>Galapa 110kV</a:t>
            </a:r>
            <a:endParaRPr b="0" lang="en-GB" sz="700" spc="-1" strike="noStrike">
              <a:latin typeface="Times New Roman"/>
            </a:endParaRPr>
          </a:p>
        </xdr:txBody>
      </xdr:sp>
      <xdr:sp>
        <xdr:nvSpPr>
          <xdr:cNvPr id="1341" name="Rectángulo 1306"/>
          <xdr:cNvSpPr/>
        </xdr:nvSpPr>
        <xdr:spPr>
          <a:xfrm>
            <a:off x="20584800" y="5881320"/>
            <a:ext cx="264960" cy="162000"/>
          </a:xfrm>
          <a:prstGeom prst="rect">
            <a:avLst/>
          </a:prstGeom>
          <a:pattFill prst="wdUpDiag">
            <a:fgClr>
              <a:srgbClr val="ffd966"/>
            </a:fgClr>
            <a:bgClr>
              <a:srgbClr val="ffffff"/>
            </a:bgClr>
          </a:pattFill>
          <a:ln>
            <a:noFill/>
          </a:ln>
        </xdr:spPr>
        <xdr:style>
          <a:lnRef idx="2">
            <a:schemeClr val="accent1">
              <a:shade val="15000"/>
            </a:schemeClr>
          </a:lnRef>
          <a:fillRef idx="1">
            <a:schemeClr val="accent1"/>
          </a:fillRef>
          <a:effectRef idx="0">
            <a:schemeClr val="accent1"/>
          </a:effectRef>
          <a:fontRef idx="minor"/>
        </xdr:style>
      </xdr:sp>
      <xdr:sp>
        <xdr:nvSpPr>
          <xdr:cNvPr id="1342" name="CuadroTexto 1307"/>
          <xdr:cNvSpPr/>
        </xdr:nvSpPr>
        <xdr:spPr>
          <a:xfrm>
            <a:off x="20887560" y="5787000"/>
            <a:ext cx="1258920" cy="35748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Nueva Subestación </a:t>
            </a:r>
            <a:endParaRPr b="0" lang="en-GB" sz="700" spc="-1" strike="noStrike">
              <a:latin typeface="Times New Roman"/>
            </a:endParaRPr>
          </a:p>
          <a:p>
            <a:pPr>
              <a:lnSpc>
                <a:spcPct val="100000"/>
              </a:lnSpc>
            </a:pPr>
            <a:r>
              <a:rPr b="0" lang="es-MX" sz="700" spc="-1" strike="noStrike">
                <a:solidFill>
                  <a:srgbClr val="000000"/>
                </a:solidFill>
                <a:latin typeface="Calibri"/>
              </a:rPr>
              <a:t>El Río 110kV</a:t>
            </a:r>
            <a:endParaRPr b="0" lang="en-GB" sz="700" spc="-1" strike="noStrike">
              <a:latin typeface="Times New Roman"/>
            </a:endParaRPr>
          </a:p>
        </xdr:txBody>
      </xdr:sp>
      <xdr:cxnSp>
        <xdr:nvCxnSpPr>
          <xdr:cNvPr id="1343" name="2 Conector recto"/>
          <xdr:cNvCxnSpPr/>
        </xdr:nvCxnSpPr>
        <xdr:spPr>
          <a:xfrm flipH="1">
            <a:off x="17544240" y="4646880"/>
            <a:ext cx="483480" cy="360"/>
          </a:xfrm>
          <a:prstGeom prst="straightConnector1">
            <a:avLst/>
          </a:prstGeom>
          <a:ln w="19050">
            <a:solidFill>
              <a:srgbClr val="ff0000"/>
            </a:solidFill>
            <a:prstDash val="sysDash"/>
          </a:ln>
        </xdr:spPr>
      </xdr:cxnSp>
      <xdr:sp>
        <xdr:nvSpPr>
          <xdr:cNvPr id="1344" name="Rectángulo: esquinas redondeadas 1309"/>
          <xdr:cNvSpPr/>
        </xdr:nvSpPr>
        <xdr:spPr>
          <a:xfrm>
            <a:off x="17578440" y="461556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cxnSp>
        <xdr:nvCxnSpPr>
          <xdr:cNvPr id="1345" name="2 Conector recto"/>
          <xdr:cNvCxnSpPr/>
        </xdr:nvCxnSpPr>
        <xdr:spPr>
          <a:xfrm>
            <a:off x="17539560" y="4340520"/>
            <a:ext cx="360" cy="404280"/>
          </a:xfrm>
          <a:prstGeom prst="straightConnector1">
            <a:avLst/>
          </a:prstGeom>
          <a:ln w="38100">
            <a:solidFill>
              <a:srgbClr val="ff0000"/>
            </a:solidFill>
          </a:ln>
        </xdr:spPr>
      </xdr:cxnSp>
      <xdr:cxnSp>
        <xdr:nvCxnSpPr>
          <xdr:cNvPr id="1346" name="2 Conector recto"/>
          <xdr:cNvCxnSpPr/>
        </xdr:nvCxnSpPr>
        <xdr:spPr>
          <a:xfrm flipH="1">
            <a:off x="17544240" y="4435200"/>
            <a:ext cx="483480" cy="360"/>
          </a:xfrm>
          <a:prstGeom prst="straightConnector1">
            <a:avLst/>
          </a:prstGeom>
          <a:ln w="19050">
            <a:solidFill>
              <a:srgbClr val="ff0000"/>
            </a:solidFill>
            <a:prstDash val="sysDash"/>
          </a:ln>
        </xdr:spPr>
      </xdr:cxnSp>
      <xdr:sp>
        <xdr:nvSpPr>
          <xdr:cNvPr id="1347" name="Rectángulo: esquinas redondeadas 1312"/>
          <xdr:cNvSpPr/>
        </xdr:nvSpPr>
        <xdr:spPr>
          <a:xfrm>
            <a:off x="17575560" y="441108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348" name="Elipse 1313"/>
          <xdr:cNvSpPr/>
        </xdr:nvSpPr>
        <xdr:spPr>
          <a:xfrm>
            <a:off x="18003240" y="4624200"/>
            <a:ext cx="34920" cy="32040"/>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349" name="Elipse 1314"/>
          <xdr:cNvSpPr/>
        </xdr:nvSpPr>
        <xdr:spPr>
          <a:xfrm>
            <a:off x="18003240" y="4413960"/>
            <a:ext cx="34920" cy="32040"/>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350" name="Oval 85"/>
          <xdr:cNvSpPr/>
        </xdr:nvSpPr>
        <xdr:spPr>
          <a:xfrm rot="10800000">
            <a:off x="16222320" y="2527560"/>
            <a:ext cx="147240" cy="129600"/>
          </a:xfrm>
          <a:prstGeom prst="ellipse">
            <a:avLst/>
          </a:prstGeom>
          <a:noFill/>
          <a:ln w="19050">
            <a:solidFill>
              <a:srgbClr val="ff0000"/>
            </a:solidFill>
            <a:round/>
          </a:ln>
        </xdr:spPr>
        <xdr:style>
          <a:lnRef idx="0"/>
          <a:fillRef idx="0"/>
          <a:effectRef idx="0"/>
          <a:fontRef idx="minor"/>
        </xdr:style>
      </xdr:sp>
      <xdr:sp>
        <xdr:nvSpPr>
          <xdr:cNvPr id="1351" name="Line 179"/>
          <xdr:cNvSpPr/>
        </xdr:nvSpPr>
        <xdr:spPr>
          <a:xfrm>
            <a:off x="16295760" y="2653920"/>
            <a:ext cx="360" cy="93240"/>
          </a:xfrm>
          <a:prstGeom prst="line">
            <a:avLst/>
          </a:prstGeom>
          <a:ln w="28575">
            <a:solidFill>
              <a:srgbClr val="ff0000"/>
            </a:solidFill>
            <a:round/>
          </a:ln>
        </xdr:spPr>
        <xdr:style>
          <a:lnRef idx="0"/>
          <a:fillRef idx="0"/>
          <a:effectRef idx="0"/>
          <a:fontRef idx="minor"/>
        </xdr:style>
      </xdr:sp>
      <xdr:sp>
        <xdr:nvSpPr>
          <xdr:cNvPr id="1352" name="CuadroTexto 1317"/>
          <xdr:cNvSpPr/>
        </xdr:nvSpPr>
        <xdr:spPr>
          <a:xfrm>
            <a:off x="16219080" y="2518920"/>
            <a:ext cx="132480" cy="128880"/>
          </a:xfrm>
          <a:prstGeom prst="rect">
            <a:avLst/>
          </a:prstGeom>
          <a:noFill/>
          <a:ln w="0">
            <a:noFill/>
          </a:ln>
        </xdr:spPr>
        <xdr:style>
          <a:lnRef idx="0"/>
          <a:fillRef idx="0"/>
          <a:effectRef idx="0"/>
          <a:fontRef idx="minor"/>
        </xdr:style>
        <xdr:txBody>
          <a:bodyPr wrap="none" horzOverflow="clip" vertOverflow="clip" lIns="90000" rIns="90000" tIns="45000" bIns="45000" anchor="ctr">
            <a:noAutofit/>
          </a:bodyPr>
          <a:p>
            <a:pPr algn="ctr">
              <a:lnSpc>
                <a:spcPct val="100000"/>
              </a:lnSpc>
            </a:pPr>
            <a:r>
              <a:rPr b="0" lang="es-MX" sz="800" spc="-1" strike="noStrike">
                <a:solidFill>
                  <a:srgbClr val="ff0000"/>
                </a:solidFill>
                <a:latin typeface="Calibri"/>
              </a:rPr>
              <a:t>G</a:t>
            </a:r>
            <a:endParaRPr b="0" lang="en-GB" sz="800" spc="-1" strike="noStrike">
              <a:latin typeface="Times New Roman"/>
            </a:endParaRPr>
          </a:p>
        </xdr:txBody>
      </xdr:sp>
      <xdr:sp>
        <xdr:nvSpPr>
          <xdr:cNvPr id="1353" name="Oval 85"/>
          <xdr:cNvSpPr/>
        </xdr:nvSpPr>
        <xdr:spPr>
          <a:xfrm rot="10800000">
            <a:off x="17389800" y="2527560"/>
            <a:ext cx="147240" cy="129600"/>
          </a:xfrm>
          <a:prstGeom prst="ellipse">
            <a:avLst/>
          </a:prstGeom>
          <a:noFill/>
          <a:ln w="19050">
            <a:solidFill>
              <a:srgbClr val="ff0000"/>
            </a:solidFill>
            <a:round/>
          </a:ln>
        </xdr:spPr>
        <xdr:style>
          <a:lnRef idx="0"/>
          <a:fillRef idx="0"/>
          <a:effectRef idx="0"/>
          <a:fontRef idx="minor"/>
        </xdr:style>
      </xdr:sp>
      <xdr:sp>
        <xdr:nvSpPr>
          <xdr:cNvPr id="1354" name="Line 179"/>
          <xdr:cNvSpPr/>
        </xdr:nvSpPr>
        <xdr:spPr>
          <a:xfrm>
            <a:off x="17463240" y="2653920"/>
            <a:ext cx="360" cy="93240"/>
          </a:xfrm>
          <a:prstGeom prst="line">
            <a:avLst/>
          </a:prstGeom>
          <a:ln w="19050">
            <a:solidFill>
              <a:srgbClr val="ff0000"/>
            </a:solidFill>
            <a:round/>
          </a:ln>
        </xdr:spPr>
        <xdr:style>
          <a:lnRef idx="0"/>
          <a:fillRef idx="0"/>
          <a:effectRef idx="0"/>
          <a:fontRef idx="minor"/>
        </xdr:style>
      </xdr:sp>
      <xdr:sp>
        <xdr:nvSpPr>
          <xdr:cNvPr id="1355" name="CuadroTexto 1320"/>
          <xdr:cNvSpPr/>
        </xdr:nvSpPr>
        <xdr:spPr>
          <a:xfrm>
            <a:off x="17386560" y="2518920"/>
            <a:ext cx="132480" cy="128880"/>
          </a:xfrm>
          <a:prstGeom prst="rect">
            <a:avLst/>
          </a:prstGeom>
          <a:noFill/>
          <a:ln w="0">
            <a:noFill/>
          </a:ln>
        </xdr:spPr>
        <xdr:style>
          <a:lnRef idx="0"/>
          <a:fillRef idx="0"/>
          <a:effectRef idx="0"/>
          <a:fontRef idx="minor"/>
        </xdr:style>
        <xdr:txBody>
          <a:bodyPr wrap="none" horzOverflow="clip" vertOverflow="clip" lIns="90000" rIns="90000" tIns="45000" bIns="45000" anchor="ctr">
            <a:noAutofit/>
          </a:bodyPr>
          <a:p>
            <a:pPr algn="ctr">
              <a:lnSpc>
                <a:spcPct val="100000"/>
              </a:lnSpc>
            </a:pPr>
            <a:r>
              <a:rPr b="0" lang="es-MX" sz="800" spc="-1" strike="noStrike">
                <a:solidFill>
                  <a:srgbClr val="ff0000"/>
                </a:solidFill>
                <a:latin typeface="Calibri"/>
              </a:rPr>
              <a:t>G</a:t>
            </a:r>
            <a:endParaRPr b="0" lang="en-GB" sz="800" spc="-1" strike="noStrike">
              <a:latin typeface="Times New Roman"/>
            </a:endParaRPr>
          </a:p>
        </xdr:txBody>
      </xdr:sp>
      <xdr:sp>
        <xdr:nvSpPr>
          <xdr:cNvPr id="1356" name="Oval 85"/>
          <xdr:cNvSpPr/>
        </xdr:nvSpPr>
        <xdr:spPr>
          <a:xfrm rot="10800000">
            <a:off x="17105040" y="5866920"/>
            <a:ext cx="147240" cy="129600"/>
          </a:xfrm>
          <a:prstGeom prst="ellipse">
            <a:avLst/>
          </a:prstGeom>
          <a:noFill/>
          <a:ln w="19050">
            <a:solidFill>
              <a:srgbClr val="ff0000"/>
            </a:solidFill>
            <a:round/>
          </a:ln>
        </xdr:spPr>
        <xdr:style>
          <a:lnRef idx="0"/>
          <a:fillRef idx="0"/>
          <a:effectRef idx="0"/>
          <a:fontRef idx="minor"/>
        </xdr:style>
      </xdr:sp>
      <xdr:sp>
        <xdr:nvSpPr>
          <xdr:cNvPr id="1357" name="Line 179"/>
          <xdr:cNvSpPr/>
        </xdr:nvSpPr>
        <xdr:spPr>
          <a:xfrm>
            <a:off x="17178120" y="5993280"/>
            <a:ext cx="360" cy="93240"/>
          </a:xfrm>
          <a:prstGeom prst="line">
            <a:avLst/>
          </a:prstGeom>
          <a:ln w="28575">
            <a:solidFill>
              <a:srgbClr val="ff0000"/>
            </a:solidFill>
            <a:round/>
          </a:ln>
        </xdr:spPr>
        <xdr:style>
          <a:lnRef idx="0"/>
          <a:fillRef idx="0"/>
          <a:effectRef idx="0"/>
          <a:fontRef idx="minor"/>
        </xdr:style>
      </xdr:sp>
      <xdr:sp>
        <xdr:nvSpPr>
          <xdr:cNvPr id="1358" name="CuadroTexto 1323"/>
          <xdr:cNvSpPr/>
        </xdr:nvSpPr>
        <xdr:spPr>
          <a:xfrm>
            <a:off x="17101440" y="5858280"/>
            <a:ext cx="132480" cy="128880"/>
          </a:xfrm>
          <a:prstGeom prst="rect">
            <a:avLst/>
          </a:prstGeom>
          <a:noFill/>
          <a:ln w="0">
            <a:noFill/>
          </a:ln>
        </xdr:spPr>
        <xdr:style>
          <a:lnRef idx="0"/>
          <a:fillRef idx="0"/>
          <a:effectRef idx="0"/>
          <a:fontRef idx="minor"/>
        </xdr:style>
        <xdr:txBody>
          <a:bodyPr wrap="none" horzOverflow="clip" vertOverflow="clip" lIns="90000" rIns="90000" tIns="45000" bIns="45000" anchor="ctr">
            <a:noAutofit/>
          </a:bodyPr>
          <a:p>
            <a:pPr algn="ctr">
              <a:lnSpc>
                <a:spcPct val="100000"/>
              </a:lnSpc>
            </a:pPr>
            <a:r>
              <a:rPr b="0" lang="es-MX" sz="700" spc="-1" strike="noStrike">
                <a:solidFill>
                  <a:srgbClr val="ff0000"/>
                </a:solidFill>
                <a:latin typeface="Calibri"/>
              </a:rPr>
              <a:t>G</a:t>
            </a:r>
            <a:endParaRPr b="0" lang="en-GB" sz="700" spc="-1" strike="noStrike">
              <a:latin typeface="Times New Roman"/>
            </a:endParaRPr>
          </a:p>
        </xdr:txBody>
      </xdr:sp>
      <xdr:sp>
        <xdr:nvSpPr>
          <xdr:cNvPr id="1359" name="Oval 85"/>
          <xdr:cNvSpPr/>
        </xdr:nvSpPr>
        <xdr:spPr>
          <a:xfrm rot="10800000">
            <a:off x="17773560" y="5866920"/>
            <a:ext cx="147240" cy="129600"/>
          </a:xfrm>
          <a:prstGeom prst="ellipse">
            <a:avLst/>
          </a:prstGeom>
          <a:noFill/>
          <a:ln w="19050">
            <a:solidFill>
              <a:srgbClr val="ff0000"/>
            </a:solidFill>
            <a:round/>
          </a:ln>
        </xdr:spPr>
        <xdr:style>
          <a:lnRef idx="0"/>
          <a:fillRef idx="0"/>
          <a:effectRef idx="0"/>
          <a:fontRef idx="minor"/>
        </xdr:style>
      </xdr:sp>
      <xdr:sp>
        <xdr:nvSpPr>
          <xdr:cNvPr id="1360" name="Line 179"/>
          <xdr:cNvSpPr/>
        </xdr:nvSpPr>
        <xdr:spPr>
          <a:xfrm>
            <a:off x="17847000" y="5993280"/>
            <a:ext cx="360" cy="93240"/>
          </a:xfrm>
          <a:prstGeom prst="line">
            <a:avLst/>
          </a:prstGeom>
          <a:ln w="28575">
            <a:solidFill>
              <a:srgbClr val="ff0000"/>
            </a:solidFill>
            <a:round/>
          </a:ln>
        </xdr:spPr>
        <xdr:style>
          <a:lnRef idx="0"/>
          <a:fillRef idx="0"/>
          <a:effectRef idx="0"/>
          <a:fontRef idx="minor"/>
        </xdr:style>
      </xdr:sp>
      <xdr:sp>
        <xdr:nvSpPr>
          <xdr:cNvPr id="1361" name="CuadroTexto 1326"/>
          <xdr:cNvSpPr/>
        </xdr:nvSpPr>
        <xdr:spPr>
          <a:xfrm>
            <a:off x="17769960" y="5858280"/>
            <a:ext cx="132480" cy="128880"/>
          </a:xfrm>
          <a:prstGeom prst="rect">
            <a:avLst/>
          </a:prstGeom>
          <a:noFill/>
          <a:ln w="0">
            <a:noFill/>
          </a:ln>
        </xdr:spPr>
        <xdr:style>
          <a:lnRef idx="0"/>
          <a:fillRef idx="0"/>
          <a:effectRef idx="0"/>
          <a:fontRef idx="minor"/>
        </xdr:style>
        <xdr:txBody>
          <a:bodyPr wrap="none" horzOverflow="clip" vertOverflow="clip" lIns="90000" rIns="90000" tIns="45000" bIns="45000" anchor="ctr">
            <a:noAutofit/>
          </a:bodyPr>
          <a:p>
            <a:pPr algn="ctr">
              <a:lnSpc>
                <a:spcPct val="100000"/>
              </a:lnSpc>
            </a:pPr>
            <a:r>
              <a:rPr b="0" lang="es-MX" sz="700" spc="-1" strike="noStrike">
                <a:solidFill>
                  <a:srgbClr val="ff0000"/>
                </a:solidFill>
                <a:latin typeface="Calibri"/>
              </a:rPr>
              <a:t>G</a:t>
            </a:r>
            <a:endParaRPr b="0" lang="en-GB" sz="700" spc="-1" strike="noStrike">
              <a:latin typeface="Times New Roman"/>
            </a:endParaRPr>
          </a:p>
        </xdr:txBody>
      </xdr:sp>
      <xdr:sp>
        <xdr:nvSpPr>
          <xdr:cNvPr id="1362" name="Oval 85"/>
          <xdr:cNvSpPr/>
        </xdr:nvSpPr>
        <xdr:spPr>
          <a:xfrm rot="10800000">
            <a:off x="18281520" y="6717960"/>
            <a:ext cx="147240" cy="129600"/>
          </a:xfrm>
          <a:prstGeom prst="ellipse">
            <a:avLst/>
          </a:prstGeom>
          <a:noFill/>
          <a:ln w="19050">
            <a:solidFill>
              <a:srgbClr val="003db8"/>
            </a:solidFill>
            <a:round/>
          </a:ln>
        </xdr:spPr>
        <xdr:style>
          <a:lnRef idx="0"/>
          <a:fillRef idx="0"/>
          <a:effectRef idx="0"/>
          <a:fontRef idx="minor"/>
        </xdr:style>
      </xdr:sp>
      <xdr:sp>
        <xdr:nvSpPr>
          <xdr:cNvPr id="1363" name="Line 179"/>
          <xdr:cNvSpPr/>
        </xdr:nvSpPr>
        <xdr:spPr>
          <a:xfrm>
            <a:off x="18354960" y="6619320"/>
            <a:ext cx="360" cy="92880"/>
          </a:xfrm>
          <a:prstGeom prst="line">
            <a:avLst/>
          </a:prstGeom>
          <a:ln w="19050">
            <a:solidFill>
              <a:srgbClr val="003db8"/>
            </a:solidFill>
            <a:round/>
          </a:ln>
        </xdr:spPr>
        <xdr:style>
          <a:lnRef idx="0"/>
          <a:fillRef idx="0"/>
          <a:effectRef idx="0"/>
          <a:fontRef idx="minor"/>
        </xdr:style>
      </xdr:sp>
      <xdr:sp>
        <xdr:nvSpPr>
          <xdr:cNvPr id="1364" name="CuadroTexto 1329"/>
          <xdr:cNvSpPr/>
        </xdr:nvSpPr>
        <xdr:spPr>
          <a:xfrm>
            <a:off x="18278280" y="6712560"/>
            <a:ext cx="132480" cy="128880"/>
          </a:xfrm>
          <a:prstGeom prst="rect">
            <a:avLst/>
          </a:prstGeom>
          <a:noFill/>
          <a:ln w="0">
            <a:noFill/>
          </a:ln>
        </xdr:spPr>
        <xdr:style>
          <a:lnRef idx="0"/>
          <a:fillRef idx="0"/>
          <a:effectRef idx="0"/>
          <a:fontRef idx="minor"/>
        </xdr:style>
        <xdr:txBody>
          <a:bodyPr wrap="none" horzOverflow="clip" vertOverflow="clip" lIns="90000" rIns="90000" tIns="45000" bIns="45000" anchor="ctr">
            <a:noAutofit/>
          </a:bodyPr>
          <a:p>
            <a:pPr algn="ctr">
              <a:lnSpc>
                <a:spcPct val="100000"/>
              </a:lnSpc>
            </a:pPr>
            <a:r>
              <a:rPr b="0" lang="es-MX" sz="700" spc="-1" strike="noStrike">
                <a:solidFill>
                  <a:srgbClr val="002060"/>
                </a:solidFill>
                <a:latin typeface="Calibri"/>
              </a:rPr>
              <a:t>G</a:t>
            </a:r>
            <a:endParaRPr b="0" lang="en-GB" sz="700" spc="-1" strike="noStrike">
              <a:latin typeface="Times New Roman"/>
            </a:endParaRPr>
          </a:p>
        </xdr:txBody>
      </xdr:sp>
      <xdr:grpSp>
        <xdr:nvGrpSpPr>
          <xdr:cNvPr id="1365" name="Grupo 1330"/>
          <xdr:cNvGrpSpPr/>
        </xdr:nvGrpSpPr>
        <xdr:grpSpPr>
          <a:xfrm>
            <a:off x="19501560" y="6085080"/>
            <a:ext cx="147240" cy="526320"/>
            <a:chOff x="19501560" y="6085080"/>
            <a:chExt cx="147240" cy="526320"/>
          </a:xfrm>
        </xdr:grpSpPr>
        <xdr:sp>
          <xdr:nvSpPr>
            <xdr:cNvPr id="1366" name="Oval 84"/>
            <xdr:cNvSpPr/>
          </xdr:nvSpPr>
          <xdr:spPr>
            <a:xfrm rot="10800000">
              <a:off x="19501560" y="6228000"/>
              <a:ext cx="147240" cy="129600"/>
            </a:xfrm>
            <a:prstGeom prst="ellipse">
              <a:avLst/>
            </a:prstGeom>
            <a:noFill/>
            <a:ln w="19050">
              <a:solidFill>
                <a:srgbClr val="ff0000"/>
              </a:solidFill>
              <a:round/>
            </a:ln>
          </xdr:spPr>
          <xdr:style>
            <a:lnRef idx="0"/>
            <a:fillRef idx="0"/>
            <a:effectRef idx="0"/>
            <a:fontRef idx="minor"/>
          </xdr:style>
        </xdr:sp>
        <xdr:sp>
          <xdr:nvSpPr>
            <xdr:cNvPr id="1367" name="Oval 85"/>
            <xdr:cNvSpPr/>
          </xdr:nvSpPr>
          <xdr:spPr>
            <a:xfrm rot="10800000">
              <a:off x="19501560" y="6324840"/>
              <a:ext cx="147240" cy="129600"/>
            </a:xfrm>
            <a:prstGeom prst="ellipse">
              <a:avLst/>
            </a:prstGeom>
            <a:noFill/>
            <a:ln w="19050">
              <a:solidFill>
                <a:srgbClr val="003db8"/>
              </a:solidFill>
              <a:round/>
            </a:ln>
          </xdr:spPr>
          <xdr:style>
            <a:lnRef idx="0"/>
            <a:fillRef idx="0"/>
            <a:effectRef idx="0"/>
            <a:fontRef idx="minor"/>
          </xdr:style>
        </xdr:sp>
        <xdr:sp>
          <xdr:nvSpPr>
            <xdr:cNvPr id="1368" name="Line 179"/>
            <xdr:cNvSpPr/>
          </xdr:nvSpPr>
          <xdr:spPr>
            <a:xfrm>
              <a:off x="19579680" y="6455880"/>
              <a:ext cx="360" cy="155520"/>
            </a:xfrm>
            <a:prstGeom prst="line">
              <a:avLst/>
            </a:prstGeom>
            <a:ln w="19050">
              <a:solidFill>
                <a:srgbClr val="003db8"/>
              </a:solidFill>
              <a:round/>
            </a:ln>
          </xdr:spPr>
          <xdr:style>
            <a:lnRef idx="0"/>
            <a:fillRef idx="0"/>
            <a:effectRef idx="0"/>
            <a:fontRef idx="minor"/>
          </xdr:style>
        </xdr:sp>
        <xdr:sp>
          <xdr:nvSpPr>
            <xdr:cNvPr id="1369" name="Line 179"/>
            <xdr:cNvSpPr/>
          </xdr:nvSpPr>
          <xdr:spPr>
            <a:xfrm>
              <a:off x="19578600" y="6085080"/>
              <a:ext cx="360" cy="143640"/>
            </a:xfrm>
            <a:prstGeom prst="line">
              <a:avLst/>
            </a:prstGeom>
            <a:ln w="19050">
              <a:solidFill>
                <a:srgbClr val="ff0000"/>
              </a:solidFill>
              <a:round/>
            </a:ln>
          </xdr:spPr>
          <xdr:style>
            <a:lnRef idx="0"/>
            <a:fillRef idx="0"/>
            <a:effectRef idx="0"/>
            <a:fontRef idx="minor"/>
          </xdr:style>
        </xdr:sp>
      </xdr:grpSp>
      <xdr:sp>
        <xdr:nvSpPr>
          <xdr:cNvPr id="1370" name="Rectángulo: esquinas redondeadas 1331"/>
          <xdr:cNvSpPr/>
        </xdr:nvSpPr>
        <xdr:spPr>
          <a:xfrm>
            <a:off x="19550160" y="6126120"/>
            <a:ext cx="60120" cy="55080"/>
          </a:xfrm>
          <a:prstGeom prst="roundRect">
            <a:avLst>
              <a:gd name="adj" fmla="val 16667"/>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xdr:style>
      </xdr:sp>
      <xdr:sp>
        <xdr:nvSpPr>
          <xdr:cNvPr id="1371" name="Rectángulo: esquinas redondeadas 1332"/>
          <xdr:cNvSpPr/>
        </xdr:nvSpPr>
        <xdr:spPr>
          <a:xfrm>
            <a:off x="19550160" y="6513840"/>
            <a:ext cx="60120" cy="55080"/>
          </a:xfrm>
          <a:prstGeom prst="roundRect">
            <a:avLst>
              <a:gd name="adj" fmla="val 16667"/>
            </a:avLst>
          </a:prstGeom>
          <a:solidFill>
            <a:srgbClr val="003db8"/>
          </a:solidFill>
          <a:ln>
            <a:solidFill>
              <a:srgbClr val="003db8"/>
            </a:solidFill>
          </a:ln>
        </xdr:spPr>
        <xdr:style>
          <a:lnRef idx="2">
            <a:schemeClr val="accent1">
              <a:shade val="15000"/>
            </a:schemeClr>
          </a:lnRef>
          <a:fillRef idx="1">
            <a:schemeClr val="accent1"/>
          </a:fillRef>
          <a:effectRef idx="0">
            <a:schemeClr val="accent1"/>
          </a:effectRef>
          <a:fontRef idx="minor"/>
        </xdr:style>
      </xdr:sp>
      <xdr:cxnSp>
        <xdr:nvCxnSpPr>
          <xdr:cNvPr id="1372" name="2 Conector recto"/>
          <xdr:cNvCxnSpPr/>
        </xdr:nvCxnSpPr>
        <xdr:spPr>
          <a:xfrm>
            <a:off x="19414800" y="6086160"/>
            <a:ext cx="320400" cy="360"/>
          </a:xfrm>
          <a:prstGeom prst="straightConnector1">
            <a:avLst/>
          </a:prstGeom>
          <a:ln w="38100">
            <a:solidFill>
              <a:srgbClr val="ff0000"/>
            </a:solidFill>
          </a:ln>
        </xdr:spPr>
      </xdr:cxnSp>
      <xdr:grpSp>
        <xdr:nvGrpSpPr>
          <xdr:cNvPr id="1373" name="Grupo 1334"/>
          <xdr:cNvGrpSpPr/>
        </xdr:nvGrpSpPr>
        <xdr:grpSpPr>
          <a:xfrm>
            <a:off x="19505160" y="5866920"/>
            <a:ext cx="147240" cy="219600"/>
            <a:chOff x="19505160" y="5866920"/>
            <a:chExt cx="147240" cy="219600"/>
          </a:xfrm>
        </xdr:grpSpPr>
        <xdr:sp>
          <xdr:nvSpPr>
            <xdr:cNvPr id="1374" name="Oval 85"/>
            <xdr:cNvSpPr/>
          </xdr:nvSpPr>
          <xdr:spPr>
            <a:xfrm rot="10800000">
              <a:off x="19505160" y="5866920"/>
              <a:ext cx="147240" cy="129600"/>
            </a:xfrm>
            <a:prstGeom prst="ellipse">
              <a:avLst/>
            </a:prstGeom>
            <a:noFill/>
            <a:ln w="19050">
              <a:solidFill>
                <a:srgbClr val="ff0000"/>
              </a:solidFill>
              <a:round/>
            </a:ln>
          </xdr:spPr>
          <xdr:style>
            <a:lnRef idx="0"/>
            <a:fillRef idx="0"/>
            <a:effectRef idx="0"/>
            <a:fontRef idx="minor"/>
          </xdr:style>
        </xdr:sp>
        <xdr:sp>
          <xdr:nvSpPr>
            <xdr:cNvPr id="1375" name="Line 179"/>
            <xdr:cNvSpPr/>
          </xdr:nvSpPr>
          <xdr:spPr>
            <a:xfrm>
              <a:off x="19578600" y="5993280"/>
              <a:ext cx="360" cy="93240"/>
            </a:xfrm>
            <a:prstGeom prst="line">
              <a:avLst/>
            </a:prstGeom>
            <a:ln w="19050">
              <a:solidFill>
                <a:srgbClr val="ff0000"/>
              </a:solidFill>
              <a:round/>
            </a:ln>
          </xdr:spPr>
          <xdr:style>
            <a:lnRef idx="0"/>
            <a:fillRef idx="0"/>
            <a:effectRef idx="0"/>
            <a:fontRef idx="minor"/>
          </xdr:style>
        </xdr:sp>
      </xdr:grpSp>
      <xdr:sp>
        <xdr:nvSpPr>
          <xdr:cNvPr id="1376" name="CuadroTexto 1335"/>
          <xdr:cNvSpPr/>
        </xdr:nvSpPr>
        <xdr:spPr>
          <a:xfrm>
            <a:off x="19501560" y="5858280"/>
            <a:ext cx="132480" cy="128880"/>
          </a:xfrm>
          <a:prstGeom prst="rect">
            <a:avLst/>
          </a:prstGeom>
          <a:noFill/>
          <a:ln w="0">
            <a:noFill/>
          </a:ln>
        </xdr:spPr>
        <xdr:style>
          <a:lnRef idx="0"/>
          <a:fillRef idx="0"/>
          <a:effectRef idx="0"/>
          <a:fontRef idx="minor"/>
        </xdr:style>
        <xdr:txBody>
          <a:bodyPr wrap="none" horzOverflow="clip" vertOverflow="clip" lIns="90000" rIns="90000" tIns="45000" bIns="45000" anchor="ctr">
            <a:noAutofit/>
          </a:bodyPr>
          <a:p>
            <a:pPr algn="ctr">
              <a:lnSpc>
                <a:spcPct val="100000"/>
              </a:lnSpc>
            </a:pPr>
            <a:r>
              <a:rPr b="0" lang="es-MX" sz="700" spc="-1" strike="noStrike">
                <a:solidFill>
                  <a:srgbClr val="ff0000"/>
                </a:solidFill>
                <a:latin typeface="Calibri"/>
              </a:rPr>
              <a:t>G</a:t>
            </a:r>
            <a:endParaRPr b="0" lang="en-GB" sz="700" spc="-1" strike="noStrike">
              <a:latin typeface="Times New Roman"/>
            </a:endParaRPr>
          </a:p>
        </xdr:txBody>
      </xdr:sp>
      <xdr:cxnSp>
        <xdr:nvCxnSpPr>
          <xdr:cNvPr id="1377" name="2 Conector recto"/>
          <xdr:cNvCxnSpPr/>
        </xdr:nvCxnSpPr>
        <xdr:spPr>
          <a:xfrm>
            <a:off x="19355040" y="7036920"/>
            <a:ext cx="442080" cy="360"/>
          </a:xfrm>
          <a:prstGeom prst="straightConnector1">
            <a:avLst/>
          </a:prstGeom>
          <a:ln w="38100">
            <a:solidFill>
              <a:srgbClr val="ff0000"/>
            </a:solidFill>
          </a:ln>
        </xdr:spPr>
      </xdr:cxnSp>
      <xdr:cxnSp>
        <xdr:nvCxnSpPr>
          <xdr:cNvPr id="1378" name="2 Conector recto"/>
          <xdr:cNvCxnSpPr/>
        </xdr:nvCxnSpPr>
        <xdr:spPr>
          <a:xfrm>
            <a:off x="19355040" y="6856560"/>
            <a:ext cx="442080" cy="360"/>
          </a:xfrm>
          <a:prstGeom prst="straightConnector1">
            <a:avLst/>
          </a:prstGeom>
          <a:ln w="38100">
            <a:solidFill>
              <a:srgbClr val="003db8"/>
            </a:solidFill>
          </a:ln>
        </xdr:spPr>
      </xdr:cxnSp>
      <xdr:sp>
        <xdr:nvSpPr>
          <xdr:cNvPr id="1379" name="CuadroTexto 1338"/>
          <xdr:cNvSpPr/>
        </xdr:nvSpPr>
        <xdr:spPr>
          <a:xfrm>
            <a:off x="19800000" y="6734520"/>
            <a:ext cx="573840" cy="26964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900" spc="-1" strike="noStrike">
                <a:solidFill>
                  <a:srgbClr val="000000"/>
                </a:solidFill>
                <a:latin typeface="Calibri"/>
              </a:rPr>
              <a:t>220kV</a:t>
            </a:r>
            <a:endParaRPr b="0" lang="en-GB" sz="900" spc="-1" strike="noStrike">
              <a:latin typeface="Times New Roman"/>
            </a:endParaRPr>
          </a:p>
        </xdr:txBody>
      </xdr:sp>
      <xdr:sp>
        <xdr:nvSpPr>
          <xdr:cNvPr id="1380" name="CuadroTexto 1339"/>
          <xdr:cNvSpPr/>
        </xdr:nvSpPr>
        <xdr:spPr>
          <a:xfrm>
            <a:off x="19798560" y="6929280"/>
            <a:ext cx="573840" cy="26964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900" spc="-1" strike="noStrike">
                <a:solidFill>
                  <a:srgbClr val="000000"/>
                </a:solidFill>
                <a:latin typeface="Calibri"/>
              </a:rPr>
              <a:t>110kV</a:t>
            </a:r>
            <a:endParaRPr b="0" lang="en-GB" sz="900" spc="-1" strike="noStrike">
              <a:latin typeface="Times New Roman"/>
            </a:endParaRPr>
          </a:p>
        </xdr:txBody>
      </xdr:sp>
      <xdr:cxnSp>
        <xdr:nvCxnSpPr>
          <xdr:cNvPr id="1381" name="2 Conector recto"/>
          <xdr:cNvCxnSpPr/>
        </xdr:nvCxnSpPr>
        <xdr:spPr>
          <a:xfrm>
            <a:off x="19328760" y="7234560"/>
            <a:ext cx="442440" cy="360"/>
          </a:xfrm>
          <a:prstGeom prst="straightConnector1">
            <a:avLst/>
          </a:prstGeom>
          <a:ln w="38100">
            <a:solidFill>
              <a:srgbClr val="ffc000"/>
            </a:solidFill>
          </a:ln>
        </xdr:spPr>
      </xdr:cxnSp>
      <xdr:sp>
        <xdr:nvSpPr>
          <xdr:cNvPr id="1382" name="CuadroTexto 1341"/>
          <xdr:cNvSpPr/>
        </xdr:nvSpPr>
        <xdr:spPr>
          <a:xfrm>
            <a:off x="19792800" y="7125120"/>
            <a:ext cx="573840" cy="26964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900" spc="-1" strike="noStrike">
                <a:solidFill>
                  <a:srgbClr val="000000"/>
                </a:solidFill>
                <a:latin typeface="Calibri"/>
              </a:rPr>
              <a:t>34,5kV</a:t>
            </a:r>
            <a:endParaRPr b="0" lang="en-GB" sz="900" spc="-1" strike="noStrike">
              <a:latin typeface="Times New Roman"/>
            </a:endParaRPr>
          </a:p>
        </xdr:txBody>
      </xdr:sp>
      <xdr:sp>
        <xdr:nvSpPr>
          <xdr:cNvPr id="1383" name="Rectángulo 1342"/>
          <xdr:cNvSpPr/>
        </xdr:nvSpPr>
        <xdr:spPr>
          <a:xfrm>
            <a:off x="19224000" y="6705360"/>
            <a:ext cx="1135440" cy="706680"/>
          </a:xfrm>
          <a:prstGeom prst="rect">
            <a:avLst/>
          </a:prstGeom>
          <a:noFill/>
          <a:ln w="3175">
            <a:solidFill>
              <a:srgbClr val="000000"/>
            </a:solidFill>
          </a:ln>
        </xdr:spPr>
        <xdr:style>
          <a:lnRef idx="2">
            <a:schemeClr val="accent1">
              <a:shade val="15000"/>
            </a:schemeClr>
          </a:lnRef>
          <a:fillRef idx="1">
            <a:schemeClr val="accent1"/>
          </a:fillRef>
          <a:effectRef idx="0">
            <a:schemeClr val="accent1"/>
          </a:effectRef>
          <a:fontRef idx="minor"/>
        </xdr:style>
      </xdr:sp>
      <xdr:cxnSp>
        <xdr:nvCxnSpPr>
          <xdr:cNvPr id="1384" name="2 Conector recto"/>
          <xdr:cNvCxnSpPr/>
        </xdr:nvCxnSpPr>
        <xdr:spPr>
          <a:xfrm flipH="1">
            <a:off x="15912720" y="2174400"/>
            <a:ext cx="1700640" cy="360"/>
          </a:xfrm>
          <a:prstGeom prst="straightConnector1">
            <a:avLst/>
          </a:prstGeom>
          <a:ln w="38100">
            <a:solidFill>
              <a:srgbClr val="003db8"/>
            </a:solidFill>
          </a:ln>
        </xdr:spPr>
      </xdr:cxnSp>
      <xdr:sp>
        <xdr:nvSpPr>
          <xdr:cNvPr id="1385" name="CuadroTexto 1344"/>
          <xdr:cNvSpPr/>
        </xdr:nvSpPr>
        <xdr:spPr>
          <a:xfrm>
            <a:off x="16710120" y="1974960"/>
            <a:ext cx="1212480" cy="188640"/>
          </a:xfrm>
          <a:prstGeom prst="rect">
            <a:avLst/>
          </a:prstGeom>
          <a:noFill/>
          <a:ln w="0">
            <a:noFill/>
          </a:ln>
        </xdr:spPr>
        <xdr:style>
          <a:lnRef idx="0"/>
          <a:fillRef idx="0"/>
          <a:effectRef idx="0"/>
          <a:fontRef idx="minor"/>
        </xdr:style>
        <xdr:txBody>
          <a:bodyPr wrap="none" horzOverflow="clip" vertOverflow="clip" lIns="90000" rIns="90000" tIns="45000" bIns="45000" anchor="t">
            <a:noAutofit/>
          </a:bodyPr>
          <a:p>
            <a:pPr>
              <a:lnSpc>
                <a:spcPct val="100000"/>
              </a:lnSpc>
            </a:pPr>
            <a:r>
              <a:rPr b="0" lang="es-MX" sz="700" spc="-1" strike="noStrike">
                <a:solidFill>
                  <a:srgbClr val="000000"/>
                </a:solidFill>
                <a:latin typeface="Calibri"/>
              </a:rPr>
              <a:t>TERMOFLORES 220 kV</a:t>
            </a:r>
            <a:endParaRPr b="0" lang="en-GB" sz="700" spc="-1" strike="noStrike">
              <a:latin typeface="Times New Roman"/>
            </a:endParaRPr>
          </a:p>
        </xdr:txBody>
      </xdr:sp>
      <xdr:sp>
        <xdr:nvSpPr>
          <xdr:cNvPr id="1386" name="Oval 85"/>
          <xdr:cNvSpPr/>
        </xdr:nvSpPr>
        <xdr:spPr>
          <a:xfrm rot="10800000">
            <a:off x="16162560" y="1964880"/>
            <a:ext cx="164520" cy="129600"/>
          </a:xfrm>
          <a:prstGeom prst="ellipse">
            <a:avLst/>
          </a:prstGeom>
          <a:noFill/>
          <a:ln w="28575">
            <a:solidFill>
              <a:srgbClr val="003db8"/>
            </a:solidFill>
            <a:round/>
          </a:ln>
        </xdr:spPr>
        <xdr:style>
          <a:lnRef idx="0"/>
          <a:fillRef idx="0"/>
          <a:effectRef idx="0"/>
          <a:fontRef idx="minor"/>
        </xdr:style>
      </xdr:sp>
      <xdr:sp>
        <xdr:nvSpPr>
          <xdr:cNvPr id="1387" name="Line 179"/>
          <xdr:cNvSpPr/>
        </xdr:nvSpPr>
        <xdr:spPr>
          <a:xfrm>
            <a:off x="16244640" y="2091240"/>
            <a:ext cx="360" cy="93240"/>
          </a:xfrm>
          <a:prstGeom prst="line">
            <a:avLst/>
          </a:prstGeom>
          <a:ln w="28575">
            <a:solidFill>
              <a:srgbClr val="003db8"/>
            </a:solidFill>
            <a:round/>
          </a:ln>
        </xdr:spPr>
        <xdr:style>
          <a:lnRef idx="0"/>
          <a:fillRef idx="0"/>
          <a:effectRef idx="0"/>
          <a:fontRef idx="minor"/>
        </xdr:style>
      </xdr:sp>
      <xdr:sp>
        <xdr:nvSpPr>
          <xdr:cNvPr id="1388" name="CuadroTexto 1347"/>
          <xdr:cNvSpPr/>
        </xdr:nvSpPr>
        <xdr:spPr>
          <a:xfrm>
            <a:off x="16158600" y="1955880"/>
            <a:ext cx="148320" cy="120240"/>
          </a:xfrm>
          <a:prstGeom prst="rect">
            <a:avLst/>
          </a:prstGeom>
          <a:noFill/>
          <a:ln w="0">
            <a:noFill/>
          </a:ln>
        </xdr:spPr>
        <xdr:style>
          <a:lnRef idx="0"/>
          <a:fillRef idx="0"/>
          <a:effectRef idx="0"/>
          <a:fontRef idx="minor"/>
        </xdr:style>
        <xdr:txBody>
          <a:bodyPr wrap="none" horzOverflow="clip" vertOverflow="clip" lIns="90000" rIns="90000" tIns="45000" bIns="45000" anchor="ctr">
            <a:noAutofit/>
          </a:bodyPr>
          <a:p>
            <a:pPr algn="ctr">
              <a:lnSpc>
                <a:spcPct val="100000"/>
              </a:lnSpc>
            </a:pPr>
            <a:r>
              <a:rPr b="0" lang="es-MX" sz="800" spc="-1" strike="noStrike">
                <a:solidFill>
                  <a:srgbClr val="002060"/>
                </a:solidFill>
                <a:latin typeface="Calibri"/>
              </a:rPr>
              <a:t>G</a:t>
            </a:r>
            <a:endParaRPr b="0" lang="en-GB" sz="800" spc="-1" strike="noStrike">
              <a:latin typeface="Times New Roman"/>
            </a:endParaRPr>
          </a:p>
        </xdr:txBody>
      </xdr:sp>
      <xdr:sp>
        <xdr:nvSpPr>
          <xdr:cNvPr id="1389" name="Oval 85"/>
          <xdr:cNvSpPr/>
        </xdr:nvSpPr>
        <xdr:spPr>
          <a:xfrm rot="10800000">
            <a:off x="16410600" y="1964880"/>
            <a:ext cx="164520" cy="129600"/>
          </a:xfrm>
          <a:prstGeom prst="ellipse">
            <a:avLst/>
          </a:prstGeom>
          <a:noFill/>
          <a:ln w="28575">
            <a:solidFill>
              <a:srgbClr val="003db8"/>
            </a:solidFill>
            <a:round/>
          </a:ln>
        </xdr:spPr>
        <xdr:style>
          <a:lnRef idx="0"/>
          <a:fillRef idx="0"/>
          <a:effectRef idx="0"/>
          <a:fontRef idx="minor"/>
        </xdr:style>
      </xdr:sp>
      <xdr:sp>
        <xdr:nvSpPr>
          <xdr:cNvPr id="1390" name="Line 179"/>
          <xdr:cNvSpPr/>
        </xdr:nvSpPr>
        <xdr:spPr>
          <a:xfrm>
            <a:off x="16492680" y="2091240"/>
            <a:ext cx="360" cy="93240"/>
          </a:xfrm>
          <a:prstGeom prst="line">
            <a:avLst/>
          </a:prstGeom>
          <a:ln w="28575">
            <a:solidFill>
              <a:srgbClr val="003db8"/>
            </a:solidFill>
            <a:round/>
          </a:ln>
        </xdr:spPr>
        <xdr:style>
          <a:lnRef idx="0"/>
          <a:fillRef idx="0"/>
          <a:effectRef idx="0"/>
          <a:fontRef idx="minor"/>
        </xdr:style>
      </xdr:sp>
      <xdr:sp>
        <xdr:nvSpPr>
          <xdr:cNvPr id="1391" name="CuadroTexto 1350"/>
          <xdr:cNvSpPr/>
        </xdr:nvSpPr>
        <xdr:spPr>
          <a:xfrm>
            <a:off x="16406640" y="1955880"/>
            <a:ext cx="148320" cy="129240"/>
          </a:xfrm>
          <a:prstGeom prst="rect">
            <a:avLst/>
          </a:prstGeom>
          <a:noFill/>
          <a:ln w="0">
            <a:noFill/>
          </a:ln>
        </xdr:spPr>
        <xdr:style>
          <a:lnRef idx="0"/>
          <a:fillRef idx="0"/>
          <a:effectRef idx="0"/>
          <a:fontRef idx="minor"/>
        </xdr:style>
        <xdr:txBody>
          <a:bodyPr wrap="none" horzOverflow="clip" vertOverflow="clip" lIns="90000" rIns="90000" tIns="45000" bIns="45000" anchor="ctr">
            <a:noAutofit/>
          </a:bodyPr>
          <a:p>
            <a:pPr algn="ctr">
              <a:lnSpc>
                <a:spcPct val="100000"/>
              </a:lnSpc>
            </a:pPr>
            <a:r>
              <a:rPr b="0" lang="es-MX" sz="700" spc="-1" strike="noStrike">
                <a:solidFill>
                  <a:srgbClr val="002060"/>
                </a:solidFill>
                <a:latin typeface="Calibri"/>
              </a:rPr>
              <a:t>G</a:t>
            </a:r>
            <a:endParaRPr b="0" lang="en-GB" sz="700" spc="-1" strike="noStrike">
              <a:latin typeface="Times New Roman"/>
            </a:endParaRPr>
          </a:p>
        </xdr:txBody>
      </xdr:sp>
    </xdr:grpSp>
    <xdr:clientData/>
  </xdr:twoCellAnchor>
  <xdr:twoCellAnchor editAs="twoCell">
    <xdr:from>
      <xdr:col>3</xdr:col>
      <xdr:colOff>303120</xdr:colOff>
      <xdr:row>94</xdr:row>
      <xdr:rowOff>180720</xdr:rowOff>
    </xdr:from>
    <xdr:to>
      <xdr:col>3</xdr:col>
      <xdr:colOff>447120</xdr:colOff>
      <xdr:row>95</xdr:row>
      <xdr:rowOff>140040</xdr:rowOff>
    </xdr:to>
    <xdr:sp>
      <xdr:nvSpPr>
        <xdr:cNvPr id="1392" name="Oval 41"/>
        <xdr:cNvSpPr/>
      </xdr:nvSpPr>
      <xdr:spPr>
        <a:xfrm rot="10800000">
          <a:off x="2817720" y="18287640"/>
          <a:ext cx="144000" cy="149760"/>
        </a:xfrm>
        <a:prstGeom prst="ellipse">
          <a:avLst/>
        </a:prstGeom>
        <a:noFill/>
        <a:ln w="12700">
          <a:solidFill>
            <a:srgbClr val="ffc000"/>
          </a:solidFill>
          <a:round/>
        </a:ln>
      </xdr:spPr>
      <xdr:style>
        <a:lnRef idx="0"/>
        <a:fillRef idx="0"/>
        <a:effectRef idx="0"/>
        <a:fontRef idx="minor"/>
      </xdr:style>
    </xdr:sp>
    <xdr:clientData/>
  </xdr:twoCellAnchor>
  <xdr:twoCellAnchor editAs="twoCell">
    <xdr:from>
      <xdr:col>3</xdr:col>
      <xdr:colOff>303120</xdr:colOff>
      <xdr:row>94</xdr:row>
      <xdr:rowOff>105840</xdr:rowOff>
    </xdr:from>
    <xdr:to>
      <xdr:col>3</xdr:col>
      <xdr:colOff>447120</xdr:colOff>
      <xdr:row>95</xdr:row>
      <xdr:rowOff>65160</xdr:rowOff>
    </xdr:to>
    <xdr:sp>
      <xdr:nvSpPr>
        <xdr:cNvPr id="1393" name="Oval 41"/>
        <xdr:cNvSpPr/>
      </xdr:nvSpPr>
      <xdr:spPr>
        <a:xfrm rot="10800000">
          <a:off x="2817720" y="18212760"/>
          <a:ext cx="144000" cy="149760"/>
        </a:xfrm>
        <a:prstGeom prst="ellipse">
          <a:avLst/>
        </a:prstGeom>
        <a:noFill/>
        <a:ln w="12700">
          <a:solidFill>
            <a:srgbClr val="ffc000"/>
          </a:solidFill>
          <a:round/>
        </a:ln>
      </xdr:spPr>
      <xdr:style>
        <a:lnRef idx="0"/>
        <a:fillRef idx="0"/>
        <a:effectRef idx="0"/>
        <a:fontRef idx="minor"/>
      </xdr:style>
    </xdr:sp>
    <xdr:clientData/>
  </xdr:twoCellAnchor>
  <xdr:twoCellAnchor editAs="twoCell">
    <xdr:from>
      <xdr:col>24</xdr:col>
      <xdr:colOff>583920</xdr:colOff>
      <xdr:row>79</xdr:row>
      <xdr:rowOff>123840</xdr:rowOff>
    </xdr:from>
    <xdr:to>
      <xdr:col>24</xdr:col>
      <xdr:colOff>797760</xdr:colOff>
      <xdr:row>81</xdr:row>
      <xdr:rowOff>54720</xdr:rowOff>
    </xdr:to>
    <xdr:grpSp>
      <xdr:nvGrpSpPr>
        <xdr:cNvPr id="1394" name="Grupo 1395"/>
        <xdr:cNvGrpSpPr/>
      </xdr:nvGrpSpPr>
      <xdr:grpSpPr>
        <a:xfrm>
          <a:off x="22008240" y="15384240"/>
          <a:ext cx="311760" cy="213840"/>
          <a:chOff x="22008240" y="15384240"/>
          <a:chExt cx="311760" cy="213840"/>
        </a:xfrm>
      </xdr:grpSpPr>
      <xdr:sp>
        <xdr:nvSpPr>
          <xdr:cNvPr id="1395" name="Rectángulo 1396"/>
          <xdr:cNvSpPr/>
        </xdr:nvSpPr>
        <xdr:spPr>
          <a:xfrm rot="5400000">
            <a:off x="22056480" y="15335640"/>
            <a:ext cx="213840" cy="310680"/>
          </a:xfrm>
          <a:prstGeom prst="rect">
            <a:avLst/>
          </a:prstGeom>
          <a:solidFill>
            <a:srgbClr val="ffffff"/>
          </a:solidFill>
          <a:ln>
            <a:solidFill>
              <a:srgbClr val="ffffff"/>
            </a:solidFill>
          </a:ln>
        </xdr:spPr>
        <xdr:style>
          <a:lnRef idx="2">
            <a:schemeClr val="accent1">
              <a:shade val="15000"/>
            </a:schemeClr>
          </a:lnRef>
          <a:fillRef idx="1">
            <a:schemeClr val="accent1"/>
          </a:fillRef>
          <a:effectRef idx="0">
            <a:schemeClr val="accent1"/>
          </a:effectRef>
          <a:fontRef idx="minor"/>
        </xdr:style>
      </xdr:sp>
      <xdr:sp>
        <xdr:nvSpPr>
          <xdr:cNvPr id="1396" name="Oval 41"/>
          <xdr:cNvSpPr/>
        </xdr:nvSpPr>
        <xdr:spPr>
          <a:xfrm rot="16200000">
            <a:off x="22048920" y="15366600"/>
            <a:ext cx="144720" cy="198720"/>
          </a:xfrm>
          <a:prstGeom prst="ellipse">
            <a:avLst/>
          </a:prstGeom>
          <a:noFill/>
          <a:ln w="12700">
            <a:solidFill>
              <a:srgbClr val="ffc000"/>
            </a:solidFill>
            <a:round/>
          </a:ln>
        </xdr:spPr>
        <xdr:style>
          <a:lnRef idx="0"/>
          <a:fillRef idx="0"/>
          <a:effectRef idx="0"/>
          <a:fontRef idx="minor"/>
        </xdr:style>
      </xdr:sp>
      <xdr:sp>
        <xdr:nvSpPr>
          <xdr:cNvPr id="1397" name="Oval 41"/>
          <xdr:cNvSpPr/>
        </xdr:nvSpPr>
        <xdr:spPr>
          <a:xfrm rot="16200000">
            <a:off x="22148280" y="15366600"/>
            <a:ext cx="144720" cy="198720"/>
          </a:xfrm>
          <a:prstGeom prst="ellipse">
            <a:avLst/>
          </a:prstGeom>
          <a:noFill/>
          <a:ln w="12700">
            <a:solidFill>
              <a:srgbClr val="ffc000"/>
            </a:solidFill>
            <a:round/>
          </a:ln>
        </xdr:spPr>
        <xdr:style>
          <a:lnRef idx="0"/>
          <a:fillRef idx="0"/>
          <a:effectRef idx="0"/>
          <a:fontRef idx="minor"/>
        </xdr:style>
      </xdr:sp>
    </xdr:grpSp>
    <xdr:clientData/>
  </xdr:twoCellAnchor>
  <xdr:twoCellAnchor editAs="twoCell">
    <xdr:from>
      <xdr:col>3</xdr:col>
      <xdr:colOff>216360</xdr:colOff>
      <xdr:row>94</xdr:row>
      <xdr:rowOff>140760</xdr:rowOff>
    </xdr:from>
    <xdr:to>
      <xdr:col>4</xdr:col>
      <xdr:colOff>320040</xdr:colOff>
      <xdr:row>95</xdr:row>
      <xdr:rowOff>71640</xdr:rowOff>
    </xdr:to>
    <xdr:sp>
      <xdr:nvSpPr>
        <xdr:cNvPr id="1398" name="Text Box 188"/>
        <xdr:cNvSpPr/>
      </xdr:nvSpPr>
      <xdr:spPr>
        <a:xfrm>
          <a:off x="2730960" y="18247680"/>
          <a:ext cx="94176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Regulador</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 </a:t>
          </a:r>
          <a:r>
            <a:rPr b="0" lang="es-CO" sz="600" spc="-1" strike="noStrike">
              <a:solidFill>
                <a:srgbClr val="000000"/>
              </a:solidFill>
              <a:latin typeface="Arial"/>
            </a:rPr>
            <a:t>LN-521</a:t>
          </a:r>
          <a:endParaRPr b="0" lang="en-GB" sz="600" spc="-1" strike="noStrike">
            <a:latin typeface="Times New Roman"/>
          </a:endParaRPr>
        </a:p>
      </xdr:txBody>
    </xdr:sp>
    <xdr:clientData/>
  </xdr:twoCellAnchor>
  <xdr:twoCellAnchor editAs="twoCell">
    <xdr:from>
      <xdr:col>6</xdr:col>
      <xdr:colOff>29880</xdr:colOff>
      <xdr:row>91</xdr:row>
      <xdr:rowOff>123480</xdr:rowOff>
    </xdr:from>
    <xdr:to>
      <xdr:col>6</xdr:col>
      <xdr:colOff>242640</xdr:colOff>
      <xdr:row>92</xdr:row>
      <xdr:rowOff>168120</xdr:rowOff>
    </xdr:to>
    <xdr:grpSp>
      <xdr:nvGrpSpPr>
        <xdr:cNvPr id="1399" name="Grupo 1400"/>
        <xdr:cNvGrpSpPr/>
      </xdr:nvGrpSpPr>
      <xdr:grpSpPr>
        <a:xfrm>
          <a:off x="5047920" y="17670240"/>
          <a:ext cx="235080" cy="212760"/>
          <a:chOff x="5047920" y="17670240"/>
          <a:chExt cx="235080" cy="212760"/>
        </a:xfrm>
      </xdr:grpSpPr>
      <xdr:sp>
        <xdr:nvSpPr>
          <xdr:cNvPr id="1400" name="Rectángulo 1401"/>
          <xdr:cNvSpPr/>
        </xdr:nvSpPr>
        <xdr:spPr>
          <a:xfrm rot="5400000">
            <a:off x="5058720" y="17659440"/>
            <a:ext cx="212760" cy="234360"/>
          </a:xfrm>
          <a:prstGeom prst="rect">
            <a:avLst/>
          </a:prstGeom>
          <a:solidFill>
            <a:srgbClr val="ffffff"/>
          </a:solidFill>
          <a:ln>
            <a:solidFill>
              <a:srgbClr val="ffffff"/>
            </a:solidFill>
          </a:ln>
        </xdr:spPr>
        <xdr:style>
          <a:lnRef idx="2">
            <a:schemeClr val="accent1">
              <a:shade val="15000"/>
            </a:schemeClr>
          </a:lnRef>
          <a:fillRef idx="1">
            <a:schemeClr val="accent1"/>
          </a:fillRef>
          <a:effectRef idx="0">
            <a:schemeClr val="accent1"/>
          </a:effectRef>
          <a:fontRef idx="minor"/>
        </xdr:style>
      </xdr:sp>
      <xdr:sp>
        <xdr:nvSpPr>
          <xdr:cNvPr id="1401" name="Oval 41"/>
          <xdr:cNvSpPr/>
        </xdr:nvSpPr>
        <xdr:spPr>
          <a:xfrm rot="16200000">
            <a:off x="5061240" y="17676360"/>
            <a:ext cx="144000" cy="149760"/>
          </a:xfrm>
          <a:prstGeom prst="ellipse">
            <a:avLst/>
          </a:prstGeom>
          <a:noFill/>
          <a:ln w="12700">
            <a:solidFill>
              <a:srgbClr val="ffc000"/>
            </a:solidFill>
            <a:round/>
          </a:ln>
        </xdr:spPr>
        <xdr:style>
          <a:lnRef idx="0"/>
          <a:fillRef idx="0"/>
          <a:effectRef idx="0"/>
          <a:fontRef idx="minor"/>
        </xdr:style>
      </xdr:sp>
      <xdr:sp>
        <xdr:nvSpPr>
          <xdr:cNvPr id="1402" name="Oval 41"/>
          <xdr:cNvSpPr/>
        </xdr:nvSpPr>
        <xdr:spPr>
          <a:xfrm rot="16200000">
            <a:off x="5136120" y="17676360"/>
            <a:ext cx="144000" cy="149760"/>
          </a:xfrm>
          <a:prstGeom prst="ellipse">
            <a:avLst/>
          </a:prstGeom>
          <a:noFill/>
          <a:ln w="12700">
            <a:solidFill>
              <a:srgbClr val="ffc000"/>
            </a:solidFill>
            <a:round/>
          </a:ln>
        </xdr:spPr>
        <xdr:style>
          <a:lnRef idx="0"/>
          <a:fillRef idx="0"/>
          <a:effectRef idx="0"/>
          <a:fontRef idx="minor"/>
        </xdr:style>
      </xdr:sp>
    </xdr:grpSp>
    <xdr:clientData/>
  </xdr:twoCellAnchor>
  <xdr:twoCellAnchor editAs="twoCell">
    <xdr:from>
      <xdr:col>5</xdr:col>
      <xdr:colOff>443160</xdr:colOff>
      <xdr:row>92</xdr:row>
      <xdr:rowOff>138240</xdr:rowOff>
    </xdr:from>
    <xdr:to>
      <xdr:col>6</xdr:col>
      <xdr:colOff>546840</xdr:colOff>
      <xdr:row>93</xdr:row>
      <xdr:rowOff>69120</xdr:rowOff>
    </xdr:to>
    <xdr:sp>
      <xdr:nvSpPr>
        <xdr:cNvPr id="1403" name="Text Box 188"/>
        <xdr:cNvSpPr/>
      </xdr:nvSpPr>
      <xdr:spPr>
        <a:xfrm>
          <a:off x="4634280" y="17864280"/>
          <a:ext cx="94176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Regulador</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 </a:t>
          </a:r>
          <a:r>
            <a:rPr b="0" lang="es-CO" sz="600" spc="-1" strike="noStrike">
              <a:solidFill>
                <a:srgbClr val="000000"/>
              </a:solidFill>
              <a:latin typeface="Arial"/>
            </a:rPr>
            <a:t>LN-523</a:t>
          </a:r>
          <a:endParaRPr b="0" lang="en-GB" sz="600" spc="-1" strike="noStrike">
            <a:latin typeface="Times New Roman"/>
          </a:endParaRPr>
        </a:p>
      </xdr:txBody>
    </xdr:sp>
    <xdr:clientData/>
  </xdr:twoCellAnchor>
  <xdr:twoCellAnchor editAs="twoCell">
    <xdr:from>
      <xdr:col>7</xdr:col>
      <xdr:colOff>566640</xdr:colOff>
      <xdr:row>92</xdr:row>
      <xdr:rowOff>162000</xdr:rowOff>
    </xdr:from>
    <xdr:to>
      <xdr:col>8</xdr:col>
      <xdr:colOff>17280</xdr:colOff>
      <xdr:row>94</xdr:row>
      <xdr:rowOff>10440</xdr:rowOff>
    </xdr:to>
    <xdr:grpSp>
      <xdr:nvGrpSpPr>
        <xdr:cNvPr id="1404" name="Grupo 1405"/>
        <xdr:cNvGrpSpPr/>
      </xdr:nvGrpSpPr>
      <xdr:grpSpPr>
        <a:xfrm>
          <a:off x="6433920" y="17888040"/>
          <a:ext cx="289080" cy="229320"/>
          <a:chOff x="6433920" y="17888040"/>
          <a:chExt cx="289080" cy="229320"/>
        </a:xfrm>
      </xdr:grpSpPr>
      <xdr:sp>
        <xdr:nvSpPr>
          <xdr:cNvPr id="1405" name="Rectángulo 1406"/>
          <xdr:cNvSpPr/>
        </xdr:nvSpPr>
        <xdr:spPr>
          <a:xfrm rot="10800000">
            <a:off x="6433920" y="17888040"/>
            <a:ext cx="289080" cy="228960"/>
          </a:xfrm>
          <a:prstGeom prst="rect">
            <a:avLst/>
          </a:prstGeom>
          <a:solidFill>
            <a:srgbClr val="ffffff"/>
          </a:solidFill>
          <a:ln>
            <a:solidFill>
              <a:srgbClr val="ffffff"/>
            </a:solidFill>
          </a:ln>
        </xdr:spPr>
        <xdr:style>
          <a:lnRef idx="2">
            <a:schemeClr val="accent1">
              <a:shade val="15000"/>
            </a:schemeClr>
          </a:lnRef>
          <a:fillRef idx="1">
            <a:schemeClr val="accent1"/>
          </a:fillRef>
          <a:effectRef idx="0">
            <a:schemeClr val="accent1"/>
          </a:effectRef>
          <a:fontRef idx="minor"/>
        </xdr:style>
      </xdr:sp>
      <xdr:sp>
        <xdr:nvSpPr>
          <xdr:cNvPr id="1406" name="Oval 41"/>
          <xdr:cNvSpPr/>
        </xdr:nvSpPr>
        <xdr:spPr>
          <a:xfrm>
            <a:off x="6515280" y="17893080"/>
            <a:ext cx="195840" cy="149760"/>
          </a:xfrm>
          <a:prstGeom prst="ellipse">
            <a:avLst/>
          </a:prstGeom>
          <a:noFill/>
          <a:ln w="12700">
            <a:solidFill>
              <a:srgbClr val="ffc000"/>
            </a:solidFill>
            <a:round/>
          </a:ln>
        </xdr:spPr>
        <xdr:style>
          <a:lnRef idx="0"/>
          <a:fillRef idx="0"/>
          <a:effectRef idx="0"/>
          <a:fontRef idx="minor"/>
        </xdr:style>
      </xdr:sp>
      <xdr:sp>
        <xdr:nvSpPr>
          <xdr:cNvPr id="1407" name="Oval 41"/>
          <xdr:cNvSpPr/>
        </xdr:nvSpPr>
        <xdr:spPr>
          <a:xfrm>
            <a:off x="6515280" y="17967600"/>
            <a:ext cx="195840" cy="149760"/>
          </a:xfrm>
          <a:prstGeom prst="ellipse">
            <a:avLst/>
          </a:prstGeom>
          <a:noFill/>
          <a:ln w="12700">
            <a:solidFill>
              <a:srgbClr val="ffc000"/>
            </a:solidFill>
            <a:round/>
          </a:ln>
        </xdr:spPr>
        <xdr:style>
          <a:lnRef idx="0"/>
          <a:fillRef idx="0"/>
          <a:effectRef idx="0"/>
          <a:fontRef idx="minor"/>
        </xdr:style>
      </xdr:sp>
    </xdr:grpSp>
    <xdr:clientData/>
  </xdr:twoCellAnchor>
  <xdr:twoCellAnchor editAs="twoCell">
    <xdr:from>
      <xdr:col>7</xdr:col>
      <xdr:colOff>518040</xdr:colOff>
      <xdr:row>92</xdr:row>
      <xdr:rowOff>116280</xdr:rowOff>
    </xdr:from>
    <xdr:to>
      <xdr:col>8</xdr:col>
      <xdr:colOff>621720</xdr:colOff>
      <xdr:row>93</xdr:row>
      <xdr:rowOff>47160</xdr:rowOff>
    </xdr:to>
    <xdr:sp>
      <xdr:nvSpPr>
        <xdr:cNvPr id="1408" name="Text Box 188"/>
        <xdr:cNvSpPr/>
      </xdr:nvSpPr>
      <xdr:spPr>
        <a:xfrm>
          <a:off x="6385320" y="17842320"/>
          <a:ext cx="94212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Regulador</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 </a:t>
          </a:r>
          <a:r>
            <a:rPr b="0" lang="es-CO" sz="600" spc="-1" strike="noStrike">
              <a:solidFill>
                <a:srgbClr val="000000"/>
              </a:solidFill>
              <a:latin typeface="Arial"/>
            </a:rPr>
            <a:t>LN-5115</a:t>
          </a:r>
          <a:endParaRPr b="0" lang="en-GB" sz="600" spc="-1" strike="noStrike">
            <a:latin typeface="Times New Roman"/>
          </a:endParaRPr>
        </a:p>
      </xdr:txBody>
    </xdr:sp>
    <xdr:clientData/>
  </xdr:twoCellAnchor>
  <xdr:twoCellAnchor editAs="twoCell">
    <xdr:from>
      <xdr:col>8</xdr:col>
      <xdr:colOff>935280</xdr:colOff>
      <xdr:row>90</xdr:row>
      <xdr:rowOff>14040</xdr:rowOff>
    </xdr:from>
    <xdr:to>
      <xdr:col>9</xdr:col>
      <xdr:colOff>108360</xdr:colOff>
      <xdr:row>91</xdr:row>
      <xdr:rowOff>53280</xdr:rowOff>
    </xdr:to>
    <xdr:grpSp>
      <xdr:nvGrpSpPr>
        <xdr:cNvPr id="1409" name="Grupo 1410"/>
        <xdr:cNvGrpSpPr/>
      </xdr:nvGrpSpPr>
      <xdr:grpSpPr>
        <a:xfrm>
          <a:off x="7641000" y="17359200"/>
          <a:ext cx="418680" cy="229680"/>
          <a:chOff x="7641000" y="17359200"/>
          <a:chExt cx="418680" cy="229680"/>
        </a:xfrm>
      </xdr:grpSpPr>
      <xdr:sp>
        <xdr:nvSpPr>
          <xdr:cNvPr id="1410" name="Rectángulo 1411"/>
          <xdr:cNvSpPr/>
        </xdr:nvSpPr>
        <xdr:spPr>
          <a:xfrm rot="10800000">
            <a:off x="7641000" y="17359200"/>
            <a:ext cx="418680" cy="228960"/>
          </a:xfrm>
          <a:prstGeom prst="rect">
            <a:avLst/>
          </a:prstGeom>
          <a:solidFill>
            <a:srgbClr val="ffffff"/>
          </a:solidFill>
          <a:ln>
            <a:solidFill>
              <a:srgbClr val="ffffff"/>
            </a:solidFill>
          </a:ln>
        </xdr:spPr>
        <xdr:style>
          <a:lnRef idx="2">
            <a:schemeClr val="accent1">
              <a:shade val="15000"/>
            </a:schemeClr>
          </a:lnRef>
          <a:fillRef idx="1">
            <a:schemeClr val="accent1"/>
          </a:fillRef>
          <a:effectRef idx="0">
            <a:schemeClr val="accent1"/>
          </a:effectRef>
          <a:fontRef idx="minor"/>
        </xdr:style>
      </xdr:sp>
      <xdr:sp>
        <xdr:nvSpPr>
          <xdr:cNvPr id="1411" name="Oval 41"/>
          <xdr:cNvSpPr/>
        </xdr:nvSpPr>
        <xdr:spPr>
          <a:xfrm>
            <a:off x="7758720" y="17364240"/>
            <a:ext cx="283680" cy="149760"/>
          </a:xfrm>
          <a:prstGeom prst="ellipse">
            <a:avLst/>
          </a:prstGeom>
          <a:noFill/>
          <a:ln w="12700">
            <a:solidFill>
              <a:srgbClr val="ffc000"/>
            </a:solidFill>
            <a:round/>
          </a:ln>
        </xdr:spPr>
        <xdr:style>
          <a:lnRef idx="0"/>
          <a:fillRef idx="0"/>
          <a:effectRef idx="0"/>
          <a:fontRef idx="minor"/>
        </xdr:style>
      </xdr:sp>
      <xdr:sp>
        <xdr:nvSpPr>
          <xdr:cNvPr id="1412" name="Oval 41"/>
          <xdr:cNvSpPr/>
        </xdr:nvSpPr>
        <xdr:spPr>
          <a:xfrm>
            <a:off x="7758720" y="17439120"/>
            <a:ext cx="283680" cy="149760"/>
          </a:xfrm>
          <a:prstGeom prst="ellipse">
            <a:avLst/>
          </a:prstGeom>
          <a:noFill/>
          <a:ln w="12700">
            <a:solidFill>
              <a:srgbClr val="ffc000"/>
            </a:solidFill>
            <a:round/>
          </a:ln>
        </xdr:spPr>
        <xdr:style>
          <a:lnRef idx="0"/>
          <a:fillRef idx="0"/>
          <a:effectRef idx="0"/>
          <a:fontRef idx="minor"/>
        </xdr:style>
      </xdr:sp>
    </xdr:grpSp>
    <xdr:clientData/>
  </xdr:twoCellAnchor>
  <xdr:twoCellAnchor editAs="twoCell">
    <xdr:from>
      <xdr:col>8</xdr:col>
      <xdr:colOff>347400</xdr:colOff>
      <xdr:row>90</xdr:row>
      <xdr:rowOff>71640</xdr:rowOff>
    </xdr:from>
    <xdr:to>
      <xdr:col>9</xdr:col>
      <xdr:colOff>173520</xdr:colOff>
      <xdr:row>91</xdr:row>
      <xdr:rowOff>2520</xdr:rowOff>
    </xdr:to>
    <xdr:sp>
      <xdr:nvSpPr>
        <xdr:cNvPr id="1413" name="Text Box 188"/>
        <xdr:cNvSpPr/>
      </xdr:nvSpPr>
      <xdr:spPr>
        <a:xfrm>
          <a:off x="7053120" y="17416800"/>
          <a:ext cx="107172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Regulador</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 </a:t>
          </a:r>
          <a:r>
            <a:rPr b="0" lang="es-CO" sz="600" spc="-1" strike="noStrike">
              <a:solidFill>
                <a:srgbClr val="000000"/>
              </a:solidFill>
              <a:latin typeface="Arial"/>
            </a:rPr>
            <a:t>LN-524</a:t>
          </a:r>
          <a:endParaRPr b="0" lang="en-GB" sz="600" spc="-1" strike="noStrike">
            <a:latin typeface="Times New Roman"/>
          </a:endParaRPr>
        </a:p>
      </xdr:txBody>
    </xdr:sp>
    <xdr:clientData/>
  </xdr:twoCellAnchor>
  <xdr:twoCellAnchor editAs="twoCell">
    <xdr:from>
      <xdr:col>24</xdr:col>
      <xdr:colOff>211320</xdr:colOff>
      <xdr:row>79</xdr:row>
      <xdr:rowOff>2880</xdr:rowOff>
    </xdr:from>
    <xdr:to>
      <xdr:col>25</xdr:col>
      <xdr:colOff>309600</xdr:colOff>
      <xdr:row>79</xdr:row>
      <xdr:rowOff>124200</xdr:rowOff>
    </xdr:to>
    <xdr:sp>
      <xdr:nvSpPr>
        <xdr:cNvPr id="1414" name="Text Box 188"/>
        <xdr:cNvSpPr/>
      </xdr:nvSpPr>
      <xdr:spPr>
        <a:xfrm>
          <a:off x="21684600" y="15214320"/>
          <a:ext cx="93636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Regulador</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 </a:t>
          </a:r>
          <a:r>
            <a:rPr b="0" lang="es-CO" sz="600" spc="-1" strike="noStrike">
              <a:solidFill>
                <a:srgbClr val="000000"/>
              </a:solidFill>
              <a:latin typeface="Arial"/>
            </a:rPr>
            <a:t>LN-563</a:t>
          </a:r>
          <a:endParaRPr b="0" lang="en-GB" sz="6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15</xdr:col>
      <xdr:colOff>578160</xdr:colOff>
      <xdr:row>83</xdr:row>
      <xdr:rowOff>185040</xdr:rowOff>
    </xdr:from>
    <xdr:to>
      <xdr:col>15</xdr:col>
      <xdr:colOff>578160</xdr:colOff>
      <xdr:row>84</xdr:row>
      <xdr:rowOff>165600</xdr:rowOff>
    </xdr:to>
    <xdr:sp>
      <xdr:nvSpPr>
        <xdr:cNvPr id="1415" name="Line 244"/>
        <xdr:cNvSpPr/>
      </xdr:nvSpPr>
      <xdr:spPr>
        <a:xfrm>
          <a:off x="13151160" y="16225200"/>
          <a:ext cx="0" cy="171000"/>
        </a:xfrm>
        <a:prstGeom prst="line">
          <a:avLst/>
        </a:prstGeom>
        <a:ln w="15875">
          <a:solidFill>
            <a:srgbClr val="ffc000"/>
          </a:solidFill>
          <a:round/>
        </a:ln>
      </xdr:spPr>
      <xdr:style>
        <a:lnRef idx="0"/>
        <a:fillRef idx="0"/>
        <a:effectRef idx="0"/>
        <a:fontRef idx="minor"/>
      </xdr:style>
    </xdr:sp>
    <xdr:clientData/>
  </xdr:twoCellAnchor>
  <xdr:twoCellAnchor editAs="twoCell">
    <xdr:from>
      <xdr:col>3</xdr:col>
      <xdr:colOff>754560</xdr:colOff>
      <xdr:row>54</xdr:row>
      <xdr:rowOff>66600</xdr:rowOff>
    </xdr:from>
    <xdr:to>
      <xdr:col>4</xdr:col>
      <xdr:colOff>753120</xdr:colOff>
      <xdr:row>54</xdr:row>
      <xdr:rowOff>66600</xdr:rowOff>
    </xdr:to>
    <xdr:sp>
      <xdr:nvSpPr>
        <xdr:cNvPr id="1416" name="Line 205"/>
        <xdr:cNvSpPr/>
      </xdr:nvSpPr>
      <xdr:spPr>
        <a:xfrm>
          <a:off x="3269160" y="10553760"/>
          <a:ext cx="836640" cy="0"/>
        </a:xfrm>
        <a:prstGeom prst="line">
          <a:avLst/>
        </a:prstGeom>
        <a:ln w="25400">
          <a:solidFill>
            <a:srgbClr val="ff0000"/>
          </a:solidFill>
          <a:round/>
        </a:ln>
      </xdr:spPr>
      <xdr:style>
        <a:lnRef idx="0"/>
        <a:fillRef idx="0"/>
        <a:effectRef idx="0"/>
        <a:fontRef idx="minor"/>
      </xdr:style>
    </xdr:sp>
    <xdr:clientData/>
  </xdr:twoCellAnchor>
  <xdr:twoCellAnchor editAs="twoCell">
    <xdr:from>
      <xdr:col>3</xdr:col>
      <xdr:colOff>123120</xdr:colOff>
      <xdr:row>56</xdr:row>
      <xdr:rowOff>131040</xdr:rowOff>
    </xdr:from>
    <xdr:to>
      <xdr:col>4</xdr:col>
      <xdr:colOff>99720</xdr:colOff>
      <xdr:row>57</xdr:row>
      <xdr:rowOff>175320</xdr:rowOff>
    </xdr:to>
    <xdr:sp>
      <xdr:nvSpPr>
        <xdr:cNvPr id="1417" name="Text Box 138"/>
        <xdr:cNvSpPr/>
      </xdr:nvSpPr>
      <xdr:spPr>
        <a:xfrm>
          <a:off x="2637720" y="10999080"/>
          <a:ext cx="814680" cy="2347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50/35/15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110/34,5/13,8kV</a:t>
          </a:r>
          <a:endParaRPr b="0" lang="en-GB" sz="600" spc="-1" strike="noStrike">
            <a:latin typeface="Times New Roman"/>
          </a:endParaRPr>
        </a:p>
      </xdr:txBody>
    </xdr:sp>
    <xdr:clientData/>
  </xdr:twoCellAnchor>
  <xdr:twoCellAnchor editAs="twoCell">
    <xdr:from>
      <xdr:col>3</xdr:col>
      <xdr:colOff>489960</xdr:colOff>
      <xdr:row>53</xdr:row>
      <xdr:rowOff>102600</xdr:rowOff>
    </xdr:from>
    <xdr:to>
      <xdr:col>4</xdr:col>
      <xdr:colOff>710280</xdr:colOff>
      <xdr:row>54</xdr:row>
      <xdr:rowOff>59760</xdr:rowOff>
    </xdr:to>
    <xdr:sp>
      <xdr:nvSpPr>
        <xdr:cNvPr id="1418" name="Text Box 188"/>
        <xdr:cNvSpPr/>
      </xdr:nvSpPr>
      <xdr:spPr>
        <a:xfrm>
          <a:off x="3004560" y="10398960"/>
          <a:ext cx="1058400" cy="14796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San Juan 110 kV </a:t>
          </a:r>
          <a:endParaRPr b="0" lang="en-GB" sz="600" spc="-1" strike="noStrike">
            <a:latin typeface="Times New Roman"/>
          </a:endParaRPr>
        </a:p>
      </xdr:txBody>
    </xdr:sp>
    <xdr:clientData/>
  </xdr:twoCellAnchor>
  <xdr:twoCellAnchor editAs="twoCell">
    <xdr:from>
      <xdr:col>3</xdr:col>
      <xdr:colOff>625680</xdr:colOff>
      <xdr:row>59</xdr:row>
      <xdr:rowOff>3240</xdr:rowOff>
    </xdr:from>
    <xdr:to>
      <xdr:col>6</xdr:col>
      <xdr:colOff>150480</xdr:colOff>
      <xdr:row>62</xdr:row>
      <xdr:rowOff>55800</xdr:rowOff>
    </xdr:to>
    <xdr:grpSp>
      <xdr:nvGrpSpPr>
        <xdr:cNvPr id="1419" name="Grupo 5"/>
        <xdr:cNvGrpSpPr/>
      </xdr:nvGrpSpPr>
      <xdr:grpSpPr>
        <a:xfrm>
          <a:off x="3140280" y="11442600"/>
          <a:ext cx="2039400" cy="624240"/>
          <a:chOff x="3140280" y="11442600"/>
          <a:chExt cx="2039400" cy="624240"/>
        </a:xfrm>
      </xdr:grpSpPr>
      <xdr:sp>
        <xdr:nvSpPr>
          <xdr:cNvPr id="1420" name="Line 38"/>
          <xdr:cNvSpPr/>
        </xdr:nvSpPr>
        <xdr:spPr>
          <a:xfrm>
            <a:off x="3140280" y="11442600"/>
            <a:ext cx="2039400" cy="360"/>
          </a:xfrm>
          <a:prstGeom prst="line">
            <a:avLst/>
          </a:prstGeom>
          <a:ln w="25400">
            <a:solidFill>
              <a:srgbClr val="ffc000"/>
            </a:solidFill>
            <a:round/>
          </a:ln>
        </xdr:spPr>
        <xdr:style>
          <a:lnRef idx="0"/>
          <a:fillRef idx="0"/>
          <a:effectRef idx="0"/>
          <a:fontRef idx="minor"/>
        </xdr:style>
      </xdr:sp>
      <xdr:sp>
        <xdr:nvSpPr>
          <xdr:cNvPr id="1421" name="Line 244"/>
          <xdr:cNvSpPr/>
        </xdr:nvSpPr>
        <xdr:spPr>
          <a:xfrm>
            <a:off x="3222000" y="11446560"/>
            <a:ext cx="360" cy="620280"/>
          </a:xfrm>
          <a:prstGeom prst="line">
            <a:avLst/>
          </a:prstGeom>
          <a:ln w="15875">
            <a:solidFill>
              <a:srgbClr val="ffc000"/>
            </a:solidFill>
            <a:round/>
          </a:ln>
        </xdr:spPr>
        <xdr:style>
          <a:lnRef idx="0"/>
          <a:fillRef idx="0"/>
          <a:effectRef idx="0"/>
          <a:fontRef idx="minor"/>
        </xdr:style>
      </xdr:sp>
      <xdr:sp>
        <xdr:nvSpPr>
          <xdr:cNvPr id="1422" name="455 Rectángulo redondeado"/>
          <xdr:cNvSpPr/>
        </xdr:nvSpPr>
        <xdr:spPr>
          <a:xfrm>
            <a:off x="3196080" y="11484360"/>
            <a:ext cx="4536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4</xdr:col>
      <xdr:colOff>360720</xdr:colOff>
      <xdr:row>57</xdr:row>
      <xdr:rowOff>124920</xdr:rowOff>
    </xdr:from>
    <xdr:to>
      <xdr:col>5</xdr:col>
      <xdr:colOff>259560</xdr:colOff>
      <xdr:row>57</xdr:row>
      <xdr:rowOff>124920</xdr:rowOff>
    </xdr:to>
    <xdr:sp>
      <xdr:nvSpPr>
        <xdr:cNvPr id="1423" name="Line 244"/>
        <xdr:cNvSpPr/>
      </xdr:nvSpPr>
      <xdr:spPr>
        <a:xfrm>
          <a:off x="3713400" y="11183400"/>
          <a:ext cx="737280" cy="0"/>
        </a:xfrm>
        <a:prstGeom prst="line">
          <a:avLst/>
        </a:prstGeom>
        <a:ln w="15875">
          <a:solidFill>
            <a:srgbClr val="000000"/>
          </a:solidFill>
          <a:round/>
        </a:ln>
      </xdr:spPr>
      <xdr:style>
        <a:lnRef idx="0"/>
        <a:fillRef idx="0"/>
        <a:effectRef idx="0"/>
        <a:fontRef idx="minor"/>
      </xdr:style>
    </xdr:sp>
    <xdr:clientData/>
  </xdr:twoCellAnchor>
  <xdr:twoCellAnchor editAs="twoCell">
    <xdr:from>
      <xdr:col>4</xdr:col>
      <xdr:colOff>397080</xdr:colOff>
      <xdr:row>57</xdr:row>
      <xdr:rowOff>108000</xdr:rowOff>
    </xdr:from>
    <xdr:to>
      <xdr:col>4</xdr:col>
      <xdr:colOff>437040</xdr:colOff>
      <xdr:row>57</xdr:row>
      <xdr:rowOff>147600</xdr:rowOff>
    </xdr:to>
    <xdr:sp>
      <xdr:nvSpPr>
        <xdr:cNvPr id="1424" name="455 Rectángulo redondeado"/>
        <xdr:cNvSpPr/>
      </xdr:nvSpPr>
      <xdr:spPr>
        <a:xfrm rot="16200000">
          <a:off x="3749760" y="11166120"/>
          <a:ext cx="39600" cy="39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4</xdr:col>
      <xdr:colOff>79920</xdr:colOff>
      <xdr:row>56</xdr:row>
      <xdr:rowOff>127440</xdr:rowOff>
    </xdr:from>
    <xdr:to>
      <xdr:col>4</xdr:col>
      <xdr:colOff>359280</xdr:colOff>
      <xdr:row>58</xdr:row>
      <xdr:rowOff>56520</xdr:rowOff>
    </xdr:to>
    <xdr:grpSp>
      <xdr:nvGrpSpPr>
        <xdr:cNvPr id="1425" name="Grupo 11"/>
        <xdr:cNvGrpSpPr/>
      </xdr:nvGrpSpPr>
      <xdr:grpSpPr>
        <a:xfrm>
          <a:off x="3432600" y="10995480"/>
          <a:ext cx="279360" cy="309960"/>
          <a:chOff x="3432600" y="10995480"/>
          <a:chExt cx="279360" cy="309960"/>
        </a:xfrm>
      </xdr:grpSpPr>
      <xdr:sp>
        <xdr:nvSpPr>
          <xdr:cNvPr id="1426" name="Oval 40"/>
          <xdr:cNvSpPr/>
        </xdr:nvSpPr>
        <xdr:spPr>
          <a:xfrm rot="10800000">
            <a:off x="3432600" y="11098080"/>
            <a:ext cx="175320" cy="207360"/>
          </a:xfrm>
          <a:prstGeom prst="ellipse">
            <a:avLst/>
          </a:prstGeom>
          <a:noFill/>
          <a:ln w="12700">
            <a:solidFill>
              <a:srgbClr val="ffc000"/>
            </a:solidFill>
            <a:round/>
          </a:ln>
        </xdr:spPr>
        <xdr:style>
          <a:lnRef idx="0"/>
          <a:fillRef idx="0"/>
          <a:effectRef idx="0"/>
          <a:fontRef idx="minor"/>
        </xdr:style>
      </xdr:sp>
      <xdr:sp>
        <xdr:nvSpPr>
          <xdr:cNvPr id="1427" name="Oval 41"/>
          <xdr:cNvSpPr/>
        </xdr:nvSpPr>
        <xdr:spPr>
          <a:xfrm rot="10800000">
            <a:off x="3432600" y="10995480"/>
            <a:ext cx="175320" cy="207360"/>
          </a:xfrm>
          <a:prstGeom prst="ellipse">
            <a:avLst/>
          </a:prstGeom>
          <a:noFill/>
          <a:ln w="12700">
            <a:solidFill>
              <a:srgbClr val="ff0000"/>
            </a:solidFill>
            <a:round/>
          </a:ln>
        </xdr:spPr>
        <xdr:style>
          <a:lnRef idx="0"/>
          <a:fillRef idx="0"/>
          <a:effectRef idx="0"/>
          <a:fontRef idx="minor"/>
        </xdr:style>
      </xdr:sp>
      <xdr:sp>
        <xdr:nvSpPr>
          <xdr:cNvPr id="1428" name="Oval 63"/>
          <xdr:cNvSpPr/>
        </xdr:nvSpPr>
        <xdr:spPr>
          <a:xfrm>
            <a:off x="3537360" y="11072160"/>
            <a:ext cx="174600" cy="206280"/>
          </a:xfrm>
          <a:prstGeom prst="ellipse">
            <a:avLst/>
          </a:prstGeom>
          <a:noFill/>
          <a:ln w="12700">
            <a:solidFill>
              <a:srgbClr val="000000"/>
            </a:solidFill>
            <a:round/>
          </a:ln>
        </xdr:spPr>
        <xdr:style>
          <a:lnRef idx="0"/>
          <a:fillRef idx="0"/>
          <a:effectRef idx="0"/>
          <a:fontRef idx="minor"/>
        </xdr:style>
      </xdr:sp>
    </xdr:grpSp>
    <xdr:clientData/>
  </xdr:twoCellAnchor>
  <xdr:twoCellAnchor editAs="twoCell">
    <xdr:from>
      <xdr:col>4</xdr:col>
      <xdr:colOff>162720</xdr:colOff>
      <xdr:row>58</xdr:row>
      <xdr:rowOff>57600</xdr:rowOff>
    </xdr:from>
    <xdr:to>
      <xdr:col>4</xdr:col>
      <xdr:colOff>162720</xdr:colOff>
      <xdr:row>58</xdr:row>
      <xdr:rowOff>186840</xdr:rowOff>
    </xdr:to>
    <xdr:sp>
      <xdr:nvSpPr>
        <xdr:cNvPr id="1429" name="Line 100"/>
        <xdr:cNvSpPr/>
      </xdr:nvSpPr>
      <xdr:spPr>
        <a:xfrm>
          <a:off x="3515400" y="11306520"/>
          <a:ext cx="0" cy="129240"/>
        </a:xfrm>
        <a:prstGeom prst="line">
          <a:avLst/>
        </a:prstGeom>
        <a:ln w="15875">
          <a:solidFill>
            <a:srgbClr val="ffc000"/>
          </a:solidFill>
          <a:round/>
        </a:ln>
      </xdr:spPr>
      <xdr:style>
        <a:lnRef idx="0"/>
        <a:fillRef idx="0"/>
        <a:effectRef idx="0"/>
        <a:fontRef idx="minor"/>
      </xdr:style>
    </xdr:sp>
    <xdr:clientData/>
  </xdr:twoCellAnchor>
  <xdr:twoCellAnchor editAs="twoCell">
    <xdr:from>
      <xdr:col>4</xdr:col>
      <xdr:colOff>142200</xdr:colOff>
      <xdr:row>58</xdr:row>
      <xdr:rowOff>93960</xdr:rowOff>
    </xdr:from>
    <xdr:to>
      <xdr:col>4</xdr:col>
      <xdr:colOff>182160</xdr:colOff>
      <xdr:row>58</xdr:row>
      <xdr:rowOff>133560</xdr:rowOff>
    </xdr:to>
    <xdr:sp>
      <xdr:nvSpPr>
        <xdr:cNvPr id="1430" name="455 Rectángulo redondeado"/>
        <xdr:cNvSpPr/>
      </xdr:nvSpPr>
      <xdr:spPr>
        <a:xfrm>
          <a:off x="3494880" y="11342880"/>
          <a:ext cx="3996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4</xdr:col>
      <xdr:colOff>169920</xdr:colOff>
      <xdr:row>54</xdr:row>
      <xdr:rowOff>78840</xdr:rowOff>
    </xdr:from>
    <xdr:to>
      <xdr:col>4</xdr:col>
      <xdr:colOff>169920</xdr:colOff>
      <xdr:row>56</xdr:row>
      <xdr:rowOff>122760</xdr:rowOff>
    </xdr:to>
    <xdr:sp>
      <xdr:nvSpPr>
        <xdr:cNvPr id="1431" name="Line 206"/>
        <xdr:cNvSpPr/>
      </xdr:nvSpPr>
      <xdr:spPr>
        <a:xfrm>
          <a:off x="3522600" y="10566000"/>
          <a:ext cx="0" cy="424800"/>
        </a:xfrm>
        <a:prstGeom prst="line">
          <a:avLst/>
        </a:prstGeom>
        <a:ln w="25400">
          <a:solidFill>
            <a:srgbClr val="ff0000"/>
          </a:solidFill>
          <a:round/>
        </a:ln>
      </xdr:spPr>
      <xdr:style>
        <a:lnRef idx="0"/>
        <a:fillRef idx="0"/>
        <a:effectRef idx="0"/>
        <a:fontRef idx="minor"/>
      </xdr:style>
    </xdr:sp>
    <xdr:clientData/>
  </xdr:twoCellAnchor>
  <xdr:twoCellAnchor editAs="twoCell">
    <xdr:from>
      <xdr:col>4</xdr:col>
      <xdr:colOff>150480</xdr:colOff>
      <xdr:row>56</xdr:row>
      <xdr:rowOff>25200</xdr:rowOff>
    </xdr:from>
    <xdr:to>
      <xdr:col>4</xdr:col>
      <xdr:colOff>190440</xdr:colOff>
      <xdr:row>56</xdr:row>
      <xdr:rowOff>64800</xdr:rowOff>
    </xdr:to>
    <xdr:sp>
      <xdr:nvSpPr>
        <xdr:cNvPr id="1432" name="452 Rectángulo redondeado"/>
        <xdr:cNvSpPr/>
      </xdr:nvSpPr>
      <xdr:spPr>
        <a:xfrm>
          <a:off x="3503160" y="10893240"/>
          <a:ext cx="39960" cy="3960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xdr:col>
      <xdr:colOff>247320</xdr:colOff>
      <xdr:row>60</xdr:row>
      <xdr:rowOff>63000</xdr:rowOff>
    </xdr:from>
    <xdr:to>
      <xdr:col>4</xdr:col>
      <xdr:colOff>23400</xdr:colOff>
      <xdr:row>60</xdr:row>
      <xdr:rowOff>184320</xdr:rowOff>
    </xdr:to>
    <xdr:sp>
      <xdr:nvSpPr>
        <xdr:cNvPr id="1433" name="Text Box 188"/>
        <xdr:cNvSpPr/>
      </xdr:nvSpPr>
      <xdr:spPr>
        <a:xfrm>
          <a:off x="2761920" y="11693160"/>
          <a:ext cx="61416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LN-528</a:t>
          </a:r>
          <a:endParaRPr b="0" lang="en-GB" sz="600" spc="-1" strike="noStrike">
            <a:latin typeface="Times New Roman"/>
          </a:endParaRPr>
        </a:p>
      </xdr:txBody>
    </xdr:sp>
    <xdr:clientData/>
  </xdr:twoCellAnchor>
  <xdr:twoCellAnchor editAs="twoCell">
    <xdr:from>
      <xdr:col>3</xdr:col>
      <xdr:colOff>64440</xdr:colOff>
      <xdr:row>58</xdr:row>
      <xdr:rowOff>65520</xdr:rowOff>
    </xdr:from>
    <xdr:to>
      <xdr:col>3</xdr:col>
      <xdr:colOff>687960</xdr:colOff>
      <xdr:row>59</xdr:row>
      <xdr:rowOff>86760</xdr:rowOff>
    </xdr:to>
    <xdr:sp>
      <xdr:nvSpPr>
        <xdr:cNvPr id="1434" name="Text Box 188"/>
        <xdr:cNvSpPr/>
      </xdr:nvSpPr>
      <xdr:spPr>
        <a:xfrm>
          <a:off x="2579040" y="11314440"/>
          <a:ext cx="623520" cy="211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San Juan 34,5 kV</a:t>
          </a:r>
          <a:endParaRPr b="0" lang="en-GB" sz="600" spc="-1" strike="noStrike">
            <a:latin typeface="Times New Roman"/>
          </a:endParaRPr>
        </a:p>
      </xdr:txBody>
    </xdr:sp>
    <xdr:clientData/>
  </xdr:twoCellAnchor>
  <xdr:twoCellAnchor editAs="twoCell">
    <xdr:from>
      <xdr:col>5</xdr:col>
      <xdr:colOff>303120</xdr:colOff>
      <xdr:row>60</xdr:row>
      <xdr:rowOff>111600</xdr:rowOff>
    </xdr:from>
    <xdr:to>
      <xdr:col>6</xdr:col>
      <xdr:colOff>92160</xdr:colOff>
      <xdr:row>60</xdr:row>
      <xdr:rowOff>151920</xdr:rowOff>
    </xdr:to>
    <xdr:grpSp>
      <xdr:nvGrpSpPr>
        <xdr:cNvPr id="1435" name="Grupo 21"/>
        <xdr:cNvGrpSpPr/>
      </xdr:nvGrpSpPr>
      <xdr:grpSpPr>
        <a:xfrm>
          <a:off x="4787640" y="11448360"/>
          <a:ext cx="40320" cy="627120"/>
          <a:chOff x="4787640" y="11448360"/>
          <a:chExt cx="40320" cy="627120"/>
        </a:xfrm>
      </xdr:grpSpPr>
      <xdr:sp>
        <xdr:nvSpPr>
          <xdr:cNvPr id="1436" name="Line 244"/>
          <xdr:cNvSpPr/>
        </xdr:nvSpPr>
        <xdr:spPr>
          <a:xfrm>
            <a:off x="4811760" y="11448360"/>
            <a:ext cx="360" cy="627120"/>
          </a:xfrm>
          <a:prstGeom prst="line">
            <a:avLst/>
          </a:prstGeom>
          <a:ln w="15875">
            <a:solidFill>
              <a:srgbClr val="ffc000"/>
            </a:solidFill>
            <a:round/>
          </a:ln>
        </xdr:spPr>
        <xdr:style>
          <a:lnRef idx="0"/>
          <a:fillRef idx="0"/>
          <a:effectRef idx="0"/>
          <a:fontRef idx="minor"/>
        </xdr:style>
      </xdr:sp>
      <xdr:sp>
        <xdr:nvSpPr>
          <xdr:cNvPr id="1437" name="455 Rectángulo redondeado"/>
          <xdr:cNvSpPr/>
        </xdr:nvSpPr>
        <xdr:spPr>
          <a:xfrm>
            <a:off x="4787640" y="1148616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5</xdr:col>
      <xdr:colOff>249480</xdr:colOff>
      <xdr:row>55</xdr:row>
      <xdr:rowOff>111600</xdr:rowOff>
    </xdr:from>
    <xdr:to>
      <xdr:col>5</xdr:col>
      <xdr:colOff>438840</xdr:colOff>
      <xdr:row>57</xdr:row>
      <xdr:rowOff>169560</xdr:rowOff>
    </xdr:to>
    <xdr:grpSp>
      <xdr:nvGrpSpPr>
        <xdr:cNvPr id="1438" name="Grupo 24"/>
        <xdr:cNvGrpSpPr/>
      </xdr:nvGrpSpPr>
      <xdr:grpSpPr>
        <a:xfrm>
          <a:off x="4440600" y="10789200"/>
          <a:ext cx="189360" cy="438840"/>
          <a:chOff x="4440600" y="10789200"/>
          <a:chExt cx="189360" cy="438840"/>
        </a:xfrm>
      </xdr:grpSpPr>
      <xdr:sp>
        <xdr:nvSpPr>
          <xdr:cNvPr id="1439" name="Line 280"/>
          <xdr:cNvSpPr/>
        </xdr:nvSpPr>
        <xdr:spPr>
          <a:xfrm>
            <a:off x="4440600" y="11012400"/>
            <a:ext cx="189360" cy="360"/>
          </a:xfrm>
          <a:prstGeom prst="line">
            <a:avLst/>
          </a:prstGeom>
          <a:ln w="15875">
            <a:solidFill>
              <a:srgbClr val="000000"/>
            </a:solidFill>
            <a:round/>
            <a:tailEnd len="med" type="triangle" w="med"/>
          </a:ln>
        </xdr:spPr>
        <xdr:style>
          <a:lnRef idx="0"/>
          <a:fillRef idx="0"/>
          <a:effectRef idx="0"/>
          <a:fontRef idx="minor"/>
        </xdr:style>
      </xdr:sp>
      <xdr:grpSp>
        <xdr:nvGrpSpPr>
          <xdr:cNvPr id="1440" name="Grupo 26"/>
          <xdr:cNvGrpSpPr/>
        </xdr:nvGrpSpPr>
        <xdr:grpSpPr>
          <a:xfrm>
            <a:off x="4447440" y="10789200"/>
            <a:ext cx="73800" cy="438840"/>
            <a:chOff x="4447440" y="10789200"/>
            <a:chExt cx="73800" cy="438840"/>
          </a:xfrm>
        </xdr:grpSpPr>
        <xdr:sp>
          <xdr:nvSpPr>
            <xdr:cNvPr id="1441" name="Line 99"/>
            <xdr:cNvSpPr/>
          </xdr:nvSpPr>
          <xdr:spPr>
            <a:xfrm>
              <a:off x="4447440" y="10789200"/>
              <a:ext cx="360" cy="438840"/>
            </a:xfrm>
            <a:prstGeom prst="line">
              <a:avLst/>
            </a:prstGeom>
            <a:ln w="25400">
              <a:solidFill>
                <a:srgbClr val="000000"/>
              </a:solidFill>
              <a:round/>
            </a:ln>
          </xdr:spPr>
          <xdr:style>
            <a:lnRef idx="0"/>
            <a:fillRef idx="0"/>
            <a:effectRef idx="0"/>
            <a:fontRef idx="minor"/>
          </xdr:style>
        </xdr:sp>
        <xdr:sp>
          <xdr:nvSpPr>
            <xdr:cNvPr id="1442" name="455 Rectángulo redondeado"/>
            <xdr:cNvSpPr/>
          </xdr:nvSpPr>
          <xdr:spPr>
            <a:xfrm rot="5400000">
              <a:off x="4480200" y="10991520"/>
              <a:ext cx="40680" cy="410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grpSp>
    <xdr:clientData/>
  </xdr:twoCellAnchor>
  <xdr:twoCellAnchor editAs="twoCell">
    <xdr:from>
      <xdr:col>5</xdr:col>
      <xdr:colOff>374040</xdr:colOff>
      <xdr:row>55</xdr:row>
      <xdr:rowOff>181440</xdr:rowOff>
    </xdr:from>
    <xdr:to>
      <xdr:col>6</xdr:col>
      <xdr:colOff>398160</xdr:colOff>
      <xdr:row>56</xdr:row>
      <xdr:rowOff>91800</xdr:rowOff>
    </xdr:to>
    <xdr:sp>
      <xdr:nvSpPr>
        <xdr:cNvPr id="1443" name="Text Box 188"/>
        <xdr:cNvSpPr/>
      </xdr:nvSpPr>
      <xdr:spPr>
        <a:xfrm>
          <a:off x="4565160" y="10859040"/>
          <a:ext cx="862200" cy="1008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San Juan 13,8 kV </a:t>
          </a:r>
          <a:endParaRPr b="0" lang="en-GB" sz="600" spc="-1" strike="noStrike">
            <a:latin typeface="Times New Roman"/>
          </a:endParaRPr>
        </a:p>
      </xdr:txBody>
    </xdr:sp>
    <xdr:clientData/>
  </xdr:twoCellAnchor>
  <xdr:twoCellAnchor editAs="twoCell">
    <xdr:from>
      <xdr:col>4</xdr:col>
      <xdr:colOff>83160</xdr:colOff>
      <xdr:row>61</xdr:row>
      <xdr:rowOff>109800</xdr:rowOff>
    </xdr:from>
    <xdr:to>
      <xdr:col>4</xdr:col>
      <xdr:colOff>677520</xdr:colOff>
      <xdr:row>62</xdr:row>
      <xdr:rowOff>152280</xdr:rowOff>
    </xdr:to>
    <xdr:sp>
      <xdr:nvSpPr>
        <xdr:cNvPr id="1444" name="Text Box 188"/>
        <xdr:cNvSpPr/>
      </xdr:nvSpPr>
      <xdr:spPr>
        <a:xfrm>
          <a:off x="3435840" y="11930400"/>
          <a:ext cx="59436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Villanueva 34,5 kV</a:t>
          </a:r>
          <a:endParaRPr b="0" lang="en-GB" sz="600" spc="-1" strike="noStrike">
            <a:latin typeface="Times New Roman"/>
          </a:endParaRPr>
        </a:p>
      </xdr:txBody>
    </xdr:sp>
    <xdr:clientData/>
  </xdr:twoCellAnchor>
  <xdr:twoCellAnchor editAs="twoCell">
    <xdr:from>
      <xdr:col>3</xdr:col>
      <xdr:colOff>450720</xdr:colOff>
      <xdr:row>62</xdr:row>
      <xdr:rowOff>61560</xdr:rowOff>
    </xdr:from>
    <xdr:to>
      <xdr:col>4</xdr:col>
      <xdr:colOff>214200</xdr:colOff>
      <xdr:row>62</xdr:row>
      <xdr:rowOff>61560</xdr:rowOff>
    </xdr:to>
    <xdr:sp>
      <xdr:nvSpPr>
        <xdr:cNvPr id="1445" name="Line 38"/>
        <xdr:cNvSpPr/>
      </xdr:nvSpPr>
      <xdr:spPr>
        <a:xfrm>
          <a:off x="2965320" y="12072600"/>
          <a:ext cx="601560" cy="0"/>
        </a:xfrm>
        <a:prstGeom prst="line">
          <a:avLst/>
        </a:prstGeom>
        <a:ln w="25400">
          <a:solidFill>
            <a:srgbClr val="ffc000"/>
          </a:solidFill>
          <a:round/>
        </a:ln>
      </xdr:spPr>
      <xdr:style>
        <a:lnRef idx="0"/>
        <a:fillRef idx="0"/>
        <a:effectRef idx="0"/>
        <a:fontRef idx="minor"/>
      </xdr:style>
    </xdr:sp>
    <xdr:clientData/>
  </xdr:twoCellAnchor>
  <xdr:twoCellAnchor editAs="twoCell">
    <xdr:from>
      <xdr:col>3</xdr:col>
      <xdr:colOff>677880</xdr:colOff>
      <xdr:row>61</xdr:row>
      <xdr:rowOff>176040</xdr:rowOff>
    </xdr:from>
    <xdr:to>
      <xdr:col>3</xdr:col>
      <xdr:colOff>718200</xdr:colOff>
      <xdr:row>62</xdr:row>
      <xdr:rowOff>24840</xdr:rowOff>
    </xdr:to>
    <xdr:sp>
      <xdr:nvSpPr>
        <xdr:cNvPr id="1446" name="455 Rectángulo redondeado"/>
        <xdr:cNvSpPr/>
      </xdr:nvSpPr>
      <xdr:spPr>
        <a:xfrm>
          <a:off x="3192480" y="11996640"/>
          <a:ext cx="40320" cy="3924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xdr:col>
      <xdr:colOff>617760</xdr:colOff>
      <xdr:row>63</xdr:row>
      <xdr:rowOff>127440</xdr:rowOff>
    </xdr:from>
    <xdr:to>
      <xdr:col>4</xdr:col>
      <xdr:colOff>33840</xdr:colOff>
      <xdr:row>64</xdr:row>
      <xdr:rowOff>146160</xdr:rowOff>
    </xdr:to>
    <xdr:sp>
      <xdr:nvSpPr>
        <xdr:cNvPr id="1447" name="Oval 40"/>
        <xdr:cNvSpPr/>
      </xdr:nvSpPr>
      <xdr:spPr>
        <a:xfrm rot="10800000">
          <a:off x="3132360" y="12328920"/>
          <a:ext cx="254160" cy="209160"/>
        </a:xfrm>
        <a:prstGeom prst="ellipse">
          <a:avLst/>
        </a:prstGeom>
        <a:noFill/>
        <a:ln w="12700">
          <a:solidFill>
            <a:srgbClr val="000000"/>
          </a:solidFill>
          <a:round/>
        </a:ln>
      </xdr:spPr>
      <xdr:style>
        <a:lnRef idx="0"/>
        <a:fillRef idx="0"/>
        <a:effectRef idx="0"/>
        <a:fontRef idx="minor"/>
      </xdr:style>
    </xdr:sp>
    <xdr:clientData/>
  </xdr:twoCellAnchor>
  <xdr:twoCellAnchor editAs="twoCell">
    <xdr:from>
      <xdr:col>3</xdr:col>
      <xdr:colOff>614880</xdr:colOff>
      <xdr:row>63</xdr:row>
      <xdr:rowOff>15840</xdr:rowOff>
    </xdr:from>
    <xdr:to>
      <xdr:col>4</xdr:col>
      <xdr:colOff>30960</xdr:colOff>
      <xdr:row>64</xdr:row>
      <xdr:rowOff>34560</xdr:rowOff>
    </xdr:to>
    <xdr:sp>
      <xdr:nvSpPr>
        <xdr:cNvPr id="1448" name="Oval 41"/>
        <xdr:cNvSpPr/>
      </xdr:nvSpPr>
      <xdr:spPr>
        <a:xfrm rot="10800000">
          <a:off x="3129480" y="12217320"/>
          <a:ext cx="254160" cy="209160"/>
        </a:xfrm>
        <a:prstGeom prst="ellipse">
          <a:avLst/>
        </a:prstGeom>
        <a:noFill/>
        <a:ln w="12700">
          <a:solidFill>
            <a:srgbClr val="ffc000"/>
          </a:solidFill>
          <a:round/>
        </a:ln>
      </xdr:spPr>
      <xdr:style>
        <a:lnRef idx="0"/>
        <a:fillRef idx="0"/>
        <a:effectRef idx="0"/>
        <a:fontRef idx="minor"/>
      </xdr:style>
    </xdr:sp>
    <xdr:clientData/>
  </xdr:twoCellAnchor>
  <xdr:twoCellAnchor editAs="twoCell">
    <xdr:from>
      <xdr:col>3</xdr:col>
      <xdr:colOff>698760</xdr:colOff>
      <xdr:row>62</xdr:row>
      <xdr:rowOff>70920</xdr:rowOff>
    </xdr:from>
    <xdr:to>
      <xdr:col>3</xdr:col>
      <xdr:colOff>698760</xdr:colOff>
      <xdr:row>63</xdr:row>
      <xdr:rowOff>12600</xdr:rowOff>
    </xdr:to>
    <xdr:sp>
      <xdr:nvSpPr>
        <xdr:cNvPr id="1449" name="Line 206"/>
        <xdr:cNvSpPr/>
      </xdr:nvSpPr>
      <xdr:spPr>
        <a:xfrm>
          <a:off x="3213360" y="12081960"/>
          <a:ext cx="0" cy="132120"/>
        </a:xfrm>
        <a:prstGeom prst="line">
          <a:avLst/>
        </a:prstGeom>
        <a:ln w="15875">
          <a:solidFill>
            <a:srgbClr val="ffc000"/>
          </a:solidFill>
          <a:round/>
        </a:ln>
      </xdr:spPr>
      <xdr:style>
        <a:lnRef idx="0"/>
        <a:fillRef idx="0"/>
        <a:effectRef idx="0"/>
        <a:fontRef idx="minor"/>
      </xdr:style>
    </xdr:sp>
    <xdr:clientData/>
  </xdr:twoCellAnchor>
  <xdr:twoCellAnchor editAs="twoCell">
    <xdr:from>
      <xdr:col>3</xdr:col>
      <xdr:colOff>678600</xdr:colOff>
      <xdr:row>62</xdr:row>
      <xdr:rowOff>106920</xdr:rowOff>
    </xdr:from>
    <xdr:to>
      <xdr:col>3</xdr:col>
      <xdr:colOff>719280</xdr:colOff>
      <xdr:row>62</xdr:row>
      <xdr:rowOff>146880</xdr:rowOff>
    </xdr:to>
    <xdr:sp>
      <xdr:nvSpPr>
        <xdr:cNvPr id="1450" name="452 Rectángulo redondeado"/>
        <xdr:cNvSpPr/>
      </xdr:nvSpPr>
      <xdr:spPr>
        <a:xfrm>
          <a:off x="3193200" y="12117960"/>
          <a:ext cx="406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xdr:col>
      <xdr:colOff>506160</xdr:colOff>
      <xdr:row>65</xdr:row>
      <xdr:rowOff>97200</xdr:rowOff>
    </xdr:from>
    <xdr:to>
      <xdr:col>4</xdr:col>
      <xdr:colOff>420480</xdr:colOff>
      <xdr:row>65</xdr:row>
      <xdr:rowOff>97200</xdr:rowOff>
    </xdr:to>
    <xdr:sp>
      <xdr:nvSpPr>
        <xdr:cNvPr id="1451" name="Line 99"/>
        <xdr:cNvSpPr/>
      </xdr:nvSpPr>
      <xdr:spPr>
        <a:xfrm>
          <a:off x="3020760" y="12679560"/>
          <a:ext cx="752400" cy="0"/>
        </a:xfrm>
        <a:prstGeom prst="line">
          <a:avLst/>
        </a:prstGeom>
        <a:ln w="25400">
          <a:solidFill>
            <a:srgbClr val="000000"/>
          </a:solidFill>
          <a:round/>
        </a:ln>
      </xdr:spPr>
      <xdr:style>
        <a:lnRef idx="0"/>
        <a:fillRef idx="0"/>
        <a:effectRef idx="0"/>
        <a:fontRef idx="minor"/>
      </xdr:style>
    </xdr:sp>
    <xdr:clientData/>
  </xdr:twoCellAnchor>
  <xdr:twoCellAnchor editAs="twoCell">
    <xdr:from>
      <xdr:col>3</xdr:col>
      <xdr:colOff>705600</xdr:colOff>
      <xdr:row>64</xdr:row>
      <xdr:rowOff>147960</xdr:rowOff>
    </xdr:from>
    <xdr:to>
      <xdr:col>3</xdr:col>
      <xdr:colOff>705600</xdr:colOff>
      <xdr:row>66</xdr:row>
      <xdr:rowOff>169560</xdr:rowOff>
    </xdr:to>
    <xdr:sp>
      <xdr:nvSpPr>
        <xdr:cNvPr id="1452" name="Line 280"/>
        <xdr:cNvSpPr/>
      </xdr:nvSpPr>
      <xdr:spPr>
        <a:xfrm>
          <a:off x="3220200" y="12539880"/>
          <a:ext cx="0" cy="40284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3</xdr:col>
      <xdr:colOff>683640</xdr:colOff>
      <xdr:row>65</xdr:row>
      <xdr:rowOff>141840</xdr:rowOff>
    </xdr:from>
    <xdr:to>
      <xdr:col>3</xdr:col>
      <xdr:colOff>724320</xdr:colOff>
      <xdr:row>65</xdr:row>
      <xdr:rowOff>181800</xdr:rowOff>
    </xdr:to>
    <xdr:sp>
      <xdr:nvSpPr>
        <xdr:cNvPr id="1453" name="455 Rectángulo redondeado"/>
        <xdr:cNvSpPr/>
      </xdr:nvSpPr>
      <xdr:spPr>
        <a:xfrm rot="5400000">
          <a:off x="3198600" y="12723840"/>
          <a:ext cx="3996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xdr:col>
      <xdr:colOff>687600</xdr:colOff>
      <xdr:row>65</xdr:row>
      <xdr:rowOff>5760</xdr:rowOff>
    </xdr:from>
    <xdr:to>
      <xdr:col>3</xdr:col>
      <xdr:colOff>728280</xdr:colOff>
      <xdr:row>65</xdr:row>
      <xdr:rowOff>45720</xdr:rowOff>
    </xdr:to>
    <xdr:sp>
      <xdr:nvSpPr>
        <xdr:cNvPr id="1454" name="455 Rectángulo redondeado"/>
        <xdr:cNvSpPr/>
      </xdr:nvSpPr>
      <xdr:spPr>
        <a:xfrm rot="5400000">
          <a:off x="3202560" y="12587760"/>
          <a:ext cx="3996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xdr:col>
      <xdr:colOff>732960</xdr:colOff>
      <xdr:row>63</xdr:row>
      <xdr:rowOff>26640</xdr:rowOff>
    </xdr:from>
    <xdr:to>
      <xdr:col>4</xdr:col>
      <xdr:colOff>603720</xdr:colOff>
      <xdr:row>64</xdr:row>
      <xdr:rowOff>86040</xdr:rowOff>
    </xdr:to>
    <xdr:sp>
      <xdr:nvSpPr>
        <xdr:cNvPr id="1455" name="61 CuadroTexto"/>
        <xdr:cNvSpPr/>
      </xdr:nvSpPr>
      <xdr:spPr>
        <a:xfrm>
          <a:off x="3247560" y="12228120"/>
          <a:ext cx="708840" cy="24984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T-VIN01</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28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clientData/>
  </xdr:twoCellAnchor>
  <xdr:twoCellAnchor editAs="twoCell">
    <xdr:from>
      <xdr:col>2</xdr:col>
      <xdr:colOff>736920</xdr:colOff>
      <xdr:row>64</xdr:row>
      <xdr:rowOff>187200</xdr:rowOff>
    </xdr:from>
    <xdr:to>
      <xdr:col>3</xdr:col>
      <xdr:colOff>553680</xdr:colOff>
      <xdr:row>66</xdr:row>
      <xdr:rowOff>39240</xdr:rowOff>
    </xdr:to>
    <xdr:sp>
      <xdr:nvSpPr>
        <xdr:cNvPr id="1456" name="Text Box 188"/>
        <xdr:cNvSpPr/>
      </xdr:nvSpPr>
      <xdr:spPr>
        <a:xfrm>
          <a:off x="2413440" y="12579120"/>
          <a:ext cx="654840" cy="2332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Villanueva 13,8 kV</a:t>
          </a:r>
          <a:endParaRPr b="0" lang="en-GB" sz="600" spc="-1" strike="noStrike">
            <a:latin typeface="Times New Roman"/>
          </a:endParaRPr>
        </a:p>
      </xdr:txBody>
    </xdr:sp>
    <xdr:clientData/>
  </xdr:twoCellAnchor>
  <xdr:twoCellAnchor editAs="twoCell">
    <xdr:from>
      <xdr:col>4</xdr:col>
      <xdr:colOff>210600</xdr:colOff>
      <xdr:row>65</xdr:row>
      <xdr:rowOff>91800</xdr:rowOff>
    </xdr:from>
    <xdr:to>
      <xdr:col>4</xdr:col>
      <xdr:colOff>210600</xdr:colOff>
      <xdr:row>66</xdr:row>
      <xdr:rowOff>45720</xdr:rowOff>
    </xdr:to>
    <xdr:sp>
      <xdr:nvSpPr>
        <xdr:cNvPr id="1457" name="Line 280"/>
        <xdr:cNvSpPr/>
      </xdr:nvSpPr>
      <xdr:spPr>
        <a:xfrm>
          <a:off x="3563280" y="12674160"/>
          <a:ext cx="0" cy="144720"/>
        </a:xfrm>
        <a:prstGeom prst="line">
          <a:avLst/>
        </a:prstGeom>
        <a:ln w="15875">
          <a:solidFill>
            <a:srgbClr val="000000"/>
          </a:solidFill>
          <a:round/>
        </a:ln>
      </xdr:spPr>
      <xdr:style>
        <a:lnRef idx="0"/>
        <a:fillRef idx="0"/>
        <a:effectRef idx="0"/>
        <a:fontRef idx="minor"/>
      </xdr:style>
    </xdr:sp>
    <xdr:clientData/>
  </xdr:twoCellAnchor>
  <xdr:twoCellAnchor editAs="twoCell">
    <xdr:from>
      <xdr:col>4</xdr:col>
      <xdr:colOff>192960</xdr:colOff>
      <xdr:row>65</xdr:row>
      <xdr:rowOff>138240</xdr:rowOff>
    </xdr:from>
    <xdr:to>
      <xdr:col>4</xdr:col>
      <xdr:colOff>232920</xdr:colOff>
      <xdr:row>65</xdr:row>
      <xdr:rowOff>178920</xdr:rowOff>
    </xdr:to>
    <xdr:sp>
      <xdr:nvSpPr>
        <xdr:cNvPr id="1458" name="455 Rectángulo redondeado"/>
        <xdr:cNvSpPr/>
      </xdr:nvSpPr>
      <xdr:spPr>
        <a:xfrm rot="5400000">
          <a:off x="3545280" y="12720960"/>
          <a:ext cx="40680" cy="39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4</xdr:col>
      <xdr:colOff>160920</xdr:colOff>
      <xdr:row>66</xdr:row>
      <xdr:rowOff>46440</xdr:rowOff>
    </xdr:from>
    <xdr:to>
      <xdr:col>4</xdr:col>
      <xdr:colOff>263880</xdr:colOff>
      <xdr:row>66</xdr:row>
      <xdr:rowOff>46440</xdr:rowOff>
    </xdr:to>
    <xdr:sp>
      <xdr:nvSpPr>
        <xdr:cNvPr id="1459" name="Line 280"/>
        <xdr:cNvSpPr/>
      </xdr:nvSpPr>
      <xdr:spPr>
        <a:xfrm flipH="1">
          <a:off x="3513600" y="12819600"/>
          <a:ext cx="102960" cy="0"/>
        </a:xfrm>
        <a:prstGeom prst="line">
          <a:avLst/>
        </a:prstGeom>
        <a:ln w="15875">
          <a:solidFill>
            <a:srgbClr val="000000"/>
          </a:solidFill>
          <a:round/>
        </a:ln>
      </xdr:spPr>
      <xdr:style>
        <a:lnRef idx="0"/>
        <a:fillRef idx="0"/>
        <a:effectRef idx="0"/>
        <a:fontRef idx="minor"/>
      </xdr:style>
    </xdr:sp>
    <xdr:clientData/>
  </xdr:twoCellAnchor>
  <xdr:twoCellAnchor editAs="twoCell">
    <xdr:from>
      <xdr:col>4</xdr:col>
      <xdr:colOff>211680</xdr:colOff>
      <xdr:row>66</xdr:row>
      <xdr:rowOff>74160</xdr:rowOff>
    </xdr:from>
    <xdr:to>
      <xdr:col>4</xdr:col>
      <xdr:colOff>211680</xdr:colOff>
      <xdr:row>66</xdr:row>
      <xdr:rowOff>169560</xdr:rowOff>
    </xdr:to>
    <xdr:sp>
      <xdr:nvSpPr>
        <xdr:cNvPr id="1460" name="Line 280"/>
        <xdr:cNvSpPr/>
      </xdr:nvSpPr>
      <xdr:spPr>
        <a:xfrm>
          <a:off x="3564360" y="12847320"/>
          <a:ext cx="0" cy="95400"/>
        </a:xfrm>
        <a:prstGeom prst="line">
          <a:avLst/>
        </a:prstGeom>
        <a:ln w="15875">
          <a:solidFill>
            <a:srgbClr val="000000"/>
          </a:solidFill>
          <a:round/>
        </a:ln>
      </xdr:spPr>
      <xdr:style>
        <a:lnRef idx="0"/>
        <a:fillRef idx="0"/>
        <a:effectRef idx="0"/>
        <a:fontRef idx="minor"/>
      </xdr:style>
    </xdr:sp>
    <xdr:clientData/>
  </xdr:twoCellAnchor>
  <xdr:twoCellAnchor editAs="twoCell">
    <xdr:from>
      <xdr:col>4</xdr:col>
      <xdr:colOff>149760</xdr:colOff>
      <xdr:row>66</xdr:row>
      <xdr:rowOff>164520</xdr:rowOff>
    </xdr:from>
    <xdr:to>
      <xdr:col>4</xdr:col>
      <xdr:colOff>278280</xdr:colOff>
      <xdr:row>66</xdr:row>
      <xdr:rowOff>164520</xdr:rowOff>
    </xdr:to>
    <xdr:sp>
      <xdr:nvSpPr>
        <xdr:cNvPr id="1461" name="Line 280"/>
        <xdr:cNvSpPr/>
      </xdr:nvSpPr>
      <xdr:spPr>
        <a:xfrm flipH="1">
          <a:off x="3502440" y="12937680"/>
          <a:ext cx="128520" cy="0"/>
        </a:xfrm>
        <a:prstGeom prst="line">
          <a:avLst/>
        </a:prstGeom>
        <a:ln w="15875">
          <a:solidFill>
            <a:srgbClr val="000000"/>
          </a:solidFill>
          <a:round/>
        </a:ln>
      </xdr:spPr>
      <xdr:style>
        <a:lnRef idx="0"/>
        <a:fillRef idx="0"/>
        <a:effectRef idx="0"/>
        <a:fontRef idx="minor"/>
      </xdr:style>
    </xdr:sp>
    <xdr:clientData/>
  </xdr:twoCellAnchor>
  <xdr:twoCellAnchor editAs="twoCell">
    <xdr:from>
      <xdr:col>4</xdr:col>
      <xdr:colOff>159120</xdr:colOff>
      <xdr:row>66</xdr:row>
      <xdr:rowOff>71640</xdr:rowOff>
    </xdr:from>
    <xdr:to>
      <xdr:col>4</xdr:col>
      <xdr:colOff>262440</xdr:colOff>
      <xdr:row>66</xdr:row>
      <xdr:rowOff>71640</xdr:rowOff>
    </xdr:to>
    <xdr:sp>
      <xdr:nvSpPr>
        <xdr:cNvPr id="1462" name="Line 280"/>
        <xdr:cNvSpPr/>
      </xdr:nvSpPr>
      <xdr:spPr>
        <a:xfrm flipH="1">
          <a:off x="3511800" y="12844800"/>
          <a:ext cx="103320" cy="0"/>
        </a:xfrm>
        <a:prstGeom prst="line">
          <a:avLst/>
        </a:prstGeom>
        <a:ln w="15875">
          <a:solidFill>
            <a:srgbClr val="000000"/>
          </a:solidFill>
          <a:round/>
        </a:ln>
      </xdr:spPr>
      <xdr:style>
        <a:lnRef idx="0"/>
        <a:fillRef idx="0"/>
        <a:effectRef idx="0"/>
        <a:fontRef idx="minor"/>
      </xdr:style>
    </xdr:sp>
    <xdr:clientData/>
  </xdr:twoCellAnchor>
  <xdr:twoCellAnchor editAs="twoCell">
    <xdr:from>
      <xdr:col>4</xdr:col>
      <xdr:colOff>632520</xdr:colOff>
      <xdr:row>61</xdr:row>
      <xdr:rowOff>127080</xdr:rowOff>
    </xdr:from>
    <xdr:to>
      <xdr:col>5</xdr:col>
      <xdr:colOff>464760</xdr:colOff>
      <xdr:row>62</xdr:row>
      <xdr:rowOff>169560</xdr:rowOff>
    </xdr:to>
    <xdr:sp>
      <xdr:nvSpPr>
        <xdr:cNvPr id="1463" name="Text Box 188"/>
        <xdr:cNvSpPr/>
      </xdr:nvSpPr>
      <xdr:spPr>
        <a:xfrm>
          <a:off x="3985200" y="11947680"/>
          <a:ext cx="67068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Fonseca 34,5 kV</a:t>
          </a:r>
          <a:endParaRPr b="0" lang="en-GB" sz="600" spc="-1" strike="noStrike">
            <a:latin typeface="Times New Roman"/>
          </a:endParaRPr>
        </a:p>
      </xdr:txBody>
    </xdr:sp>
    <xdr:clientData/>
  </xdr:twoCellAnchor>
  <xdr:twoCellAnchor editAs="twoCell">
    <xdr:from>
      <xdr:col>5</xdr:col>
      <xdr:colOff>369000</xdr:colOff>
      <xdr:row>62</xdr:row>
      <xdr:rowOff>68040</xdr:rowOff>
    </xdr:from>
    <xdr:to>
      <xdr:col>6</xdr:col>
      <xdr:colOff>409320</xdr:colOff>
      <xdr:row>62</xdr:row>
      <xdr:rowOff>68040</xdr:rowOff>
    </xdr:to>
    <xdr:sp>
      <xdr:nvSpPr>
        <xdr:cNvPr id="1464" name="Line 38"/>
        <xdr:cNvSpPr/>
      </xdr:nvSpPr>
      <xdr:spPr>
        <a:xfrm>
          <a:off x="4560120" y="12079080"/>
          <a:ext cx="878400" cy="0"/>
        </a:xfrm>
        <a:prstGeom prst="line">
          <a:avLst/>
        </a:prstGeom>
        <a:ln w="25400">
          <a:solidFill>
            <a:srgbClr val="ffc000"/>
          </a:solidFill>
          <a:round/>
        </a:ln>
      </xdr:spPr>
      <xdr:style>
        <a:lnRef idx="0"/>
        <a:fillRef idx="0"/>
        <a:effectRef idx="0"/>
        <a:fontRef idx="minor"/>
      </xdr:style>
    </xdr:sp>
    <xdr:clientData/>
  </xdr:twoCellAnchor>
  <xdr:twoCellAnchor editAs="twoCell">
    <xdr:from>
      <xdr:col>5</xdr:col>
      <xdr:colOff>595800</xdr:colOff>
      <xdr:row>61</xdr:row>
      <xdr:rowOff>182520</xdr:rowOff>
    </xdr:from>
    <xdr:to>
      <xdr:col>5</xdr:col>
      <xdr:colOff>636120</xdr:colOff>
      <xdr:row>62</xdr:row>
      <xdr:rowOff>31320</xdr:rowOff>
    </xdr:to>
    <xdr:sp>
      <xdr:nvSpPr>
        <xdr:cNvPr id="1465" name="455 Rectángulo redondeado"/>
        <xdr:cNvSpPr/>
      </xdr:nvSpPr>
      <xdr:spPr>
        <a:xfrm>
          <a:off x="4786920" y="12003120"/>
          <a:ext cx="40320" cy="3924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5</xdr:col>
      <xdr:colOff>504720</xdr:colOff>
      <xdr:row>62</xdr:row>
      <xdr:rowOff>77400</xdr:rowOff>
    </xdr:from>
    <xdr:to>
      <xdr:col>6</xdr:col>
      <xdr:colOff>225000</xdr:colOff>
      <xdr:row>66</xdr:row>
      <xdr:rowOff>175680</xdr:rowOff>
    </xdr:to>
    <xdr:grpSp>
      <xdr:nvGrpSpPr>
        <xdr:cNvPr id="1466" name="Grupo 52"/>
        <xdr:cNvGrpSpPr/>
      </xdr:nvGrpSpPr>
      <xdr:grpSpPr>
        <a:xfrm>
          <a:off x="4695840" y="12088440"/>
          <a:ext cx="558360" cy="860400"/>
          <a:chOff x="4695840" y="12088440"/>
          <a:chExt cx="558360" cy="860400"/>
        </a:xfrm>
      </xdr:grpSpPr>
      <xdr:sp>
        <xdr:nvSpPr>
          <xdr:cNvPr id="1467" name="Oval 40"/>
          <xdr:cNvSpPr/>
        </xdr:nvSpPr>
        <xdr:spPr>
          <a:xfrm rot="10800000">
            <a:off x="4731480" y="12335760"/>
            <a:ext cx="206280" cy="209160"/>
          </a:xfrm>
          <a:prstGeom prst="ellipse">
            <a:avLst/>
          </a:prstGeom>
          <a:noFill/>
          <a:ln w="12700">
            <a:solidFill>
              <a:srgbClr val="000000"/>
            </a:solidFill>
            <a:round/>
          </a:ln>
        </xdr:spPr>
        <xdr:style>
          <a:lnRef idx="0"/>
          <a:fillRef idx="0"/>
          <a:effectRef idx="0"/>
          <a:fontRef idx="minor"/>
        </xdr:style>
      </xdr:sp>
      <xdr:sp>
        <xdr:nvSpPr>
          <xdr:cNvPr id="1468" name="Oval 41"/>
          <xdr:cNvSpPr/>
        </xdr:nvSpPr>
        <xdr:spPr>
          <a:xfrm rot="10800000">
            <a:off x="4728240" y="12223800"/>
            <a:ext cx="206280" cy="209160"/>
          </a:xfrm>
          <a:prstGeom prst="ellipse">
            <a:avLst/>
          </a:prstGeom>
          <a:noFill/>
          <a:ln w="12700">
            <a:solidFill>
              <a:srgbClr val="ffc000"/>
            </a:solidFill>
            <a:round/>
          </a:ln>
        </xdr:spPr>
        <xdr:style>
          <a:lnRef idx="0"/>
          <a:fillRef idx="0"/>
          <a:effectRef idx="0"/>
          <a:fontRef idx="minor"/>
        </xdr:style>
      </xdr:sp>
      <xdr:sp>
        <xdr:nvSpPr>
          <xdr:cNvPr id="1469" name="Line 206"/>
          <xdr:cNvSpPr/>
        </xdr:nvSpPr>
        <xdr:spPr>
          <a:xfrm>
            <a:off x="4825800" y="12088440"/>
            <a:ext cx="360" cy="132120"/>
          </a:xfrm>
          <a:prstGeom prst="line">
            <a:avLst/>
          </a:prstGeom>
          <a:ln w="15875">
            <a:solidFill>
              <a:srgbClr val="ffc000"/>
            </a:solidFill>
            <a:round/>
          </a:ln>
        </xdr:spPr>
        <xdr:style>
          <a:lnRef idx="0"/>
          <a:fillRef idx="0"/>
          <a:effectRef idx="0"/>
          <a:fontRef idx="minor"/>
        </xdr:style>
      </xdr:sp>
      <xdr:sp>
        <xdr:nvSpPr>
          <xdr:cNvPr id="1470" name="452 Rectángulo redondeado"/>
          <xdr:cNvSpPr/>
        </xdr:nvSpPr>
        <xdr:spPr>
          <a:xfrm>
            <a:off x="4802400" y="12124440"/>
            <a:ext cx="4716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471" name="Line 99"/>
          <xdr:cNvSpPr/>
        </xdr:nvSpPr>
        <xdr:spPr>
          <a:xfrm>
            <a:off x="4695840" y="12686400"/>
            <a:ext cx="558360" cy="360"/>
          </a:xfrm>
          <a:prstGeom prst="line">
            <a:avLst/>
          </a:prstGeom>
          <a:ln w="25400">
            <a:solidFill>
              <a:srgbClr val="000000"/>
            </a:solidFill>
            <a:round/>
          </a:ln>
        </xdr:spPr>
        <xdr:style>
          <a:lnRef idx="0"/>
          <a:fillRef idx="0"/>
          <a:effectRef idx="0"/>
          <a:fontRef idx="minor"/>
        </xdr:style>
      </xdr:sp>
      <xdr:sp>
        <xdr:nvSpPr>
          <xdr:cNvPr id="1472" name="Line 280"/>
          <xdr:cNvSpPr/>
        </xdr:nvSpPr>
        <xdr:spPr>
          <a:xfrm>
            <a:off x="4833720" y="12546360"/>
            <a:ext cx="360" cy="402480"/>
          </a:xfrm>
          <a:prstGeom prst="line">
            <a:avLst/>
          </a:prstGeom>
          <a:ln w="15875">
            <a:solidFill>
              <a:srgbClr val="000000"/>
            </a:solidFill>
            <a:round/>
            <a:tailEnd len="med" type="triangle" w="med"/>
          </a:ln>
        </xdr:spPr>
        <xdr:style>
          <a:lnRef idx="0"/>
          <a:fillRef idx="0"/>
          <a:effectRef idx="0"/>
          <a:fontRef idx="minor"/>
        </xdr:style>
      </xdr:sp>
      <xdr:sp>
        <xdr:nvSpPr>
          <xdr:cNvPr id="1473" name="455 Rectángulo redondeado"/>
          <xdr:cNvSpPr/>
        </xdr:nvSpPr>
        <xdr:spPr>
          <a:xfrm rot="5400000">
            <a:off x="4813560" y="12723840"/>
            <a:ext cx="39960" cy="471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1474" name="455 Rectángulo redondeado"/>
          <xdr:cNvSpPr/>
        </xdr:nvSpPr>
        <xdr:spPr>
          <a:xfrm rot="5400000">
            <a:off x="4816440" y="12591360"/>
            <a:ext cx="39960" cy="471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4</xdr:col>
      <xdr:colOff>683640</xdr:colOff>
      <xdr:row>63</xdr:row>
      <xdr:rowOff>87480</xdr:rowOff>
    </xdr:from>
    <xdr:to>
      <xdr:col>5</xdr:col>
      <xdr:colOff>554400</xdr:colOff>
      <xdr:row>64</xdr:row>
      <xdr:rowOff>146880</xdr:rowOff>
    </xdr:to>
    <xdr:sp>
      <xdr:nvSpPr>
        <xdr:cNvPr id="1475" name="61 CuadroTexto"/>
        <xdr:cNvSpPr/>
      </xdr:nvSpPr>
      <xdr:spPr>
        <a:xfrm>
          <a:off x="4036320" y="12288960"/>
          <a:ext cx="709200" cy="24984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13,3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clientData/>
  </xdr:twoCellAnchor>
  <xdr:twoCellAnchor editAs="twoCell">
    <xdr:from>
      <xdr:col>4</xdr:col>
      <xdr:colOff>697680</xdr:colOff>
      <xdr:row>65</xdr:row>
      <xdr:rowOff>13680</xdr:rowOff>
    </xdr:from>
    <xdr:to>
      <xdr:col>5</xdr:col>
      <xdr:colOff>514440</xdr:colOff>
      <xdr:row>66</xdr:row>
      <xdr:rowOff>56160</xdr:rowOff>
    </xdr:to>
    <xdr:sp>
      <xdr:nvSpPr>
        <xdr:cNvPr id="1476" name="Text Box 188"/>
        <xdr:cNvSpPr/>
      </xdr:nvSpPr>
      <xdr:spPr>
        <a:xfrm>
          <a:off x="4050360" y="12596040"/>
          <a:ext cx="655200" cy="2332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Fonseca 13,8 kV</a:t>
          </a:r>
          <a:endParaRPr b="0" lang="en-GB" sz="600" spc="-1" strike="noStrike">
            <a:latin typeface="Times New Roman"/>
          </a:endParaRPr>
        </a:p>
      </xdr:txBody>
    </xdr:sp>
    <xdr:clientData/>
  </xdr:twoCellAnchor>
  <xdr:twoCellAnchor editAs="twoCell">
    <xdr:from>
      <xdr:col>5</xdr:col>
      <xdr:colOff>798120</xdr:colOff>
      <xdr:row>65</xdr:row>
      <xdr:rowOff>168120</xdr:rowOff>
    </xdr:from>
    <xdr:to>
      <xdr:col>6</xdr:col>
      <xdr:colOff>228240</xdr:colOff>
      <xdr:row>66</xdr:row>
      <xdr:rowOff>105840</xdr:rowOff>
    </xdr:to>
    <xdr:grpSp>
      <xdr:nvGrpSpPr>
        <xdr:cNvPr id="1477" name="Grupo 63"/>
        <xdr:cNvGrpSpPr/>
      </xdr:nvGrpSpPr>
      <xdr:grpSpPr>
        <a:xfrm>
          <a:off x="5059080" y="12680640"/>
          <a:ext cx="128520" cy="268200"/>
          <a:chOff x="5059080" y="12680640"/>
          <a:chExt cx="128520" cy="268200"/>
        </a:xfrm>
      </xdr:grpSpPr>
      <xdr:sp>
        <xdr:nvSpPr>
          <xdr:cNvPr id="1478" name="Line 280"/>
          <xdr:cNvSpPr/>
        </xdr:nvSpPr>
        <xdr:spPr>
          <a:xfrm>
            <a:off x="5119920" y="12680640"/>
            <a:ext cx="360" cy="144360"/>
          </a:xfrm>
          <a:prstGeom prst="line">
            <a:avLst/>
          </a:prstGeom>
          <a:ln w="15875">
            <a:solidFill>
              <a:srgbClr val="000000"/>
            </a:solidFill>
            <a:round/>
          </a:ln>
        </xdr:spPr>
        <xdr:style>
          <a:lnRef idx="0"/>
          <a:fillRef idx="0"/>
          <a:effectRef idx="0"/>
          <a:fontRef idx="minor"/>
        </xdr:style>
      </xdr:sp>
      <xdr:sp>
        <xdr:nvSpPr>
          <xdr:cNvPr id="1479" name="455 Rectángulo redondeado"/>
          <xdr:cNvSpPr/>
        </xdr:nvSpPr>
        <xdr:spPr>
          <a:xfrm rot="5400000">
            <a:off x="5101560" y="12727440"/>
            <a:ext cx="41040" cy="39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1480" name="Line 280"/>
          <xdr:cNvSpPr/>
        </xdr:nvSpPr>
        <xdr:spPr>
          <a:xfrm flipH="1">
            <a:off x="5070240" y="12825720"/>
            <a:ext cx="102960" cy="360"/>
          </a:xfrm>
          <a:prstGeom prst="line">
            <a:avLst/>
          </a:prstGeom>
          <a:ln w="15875">
            <a:solidFill>
              <a:srgbClr val="000000"/>
            </a:solidFill>
            <a:round/>
          </a:ln>
        </xdr:spPr>
        <xdr:style>
          <a:lnRef idx="0"/>
          <a:fillRef idx="0"/>
          <a:effectRef idx="0"/>
          <a:fontRef idx="minor"/>
        </xdr:style>
      </xdr:sp>
      <xdr:sp>
        <xdr:nvSpPr>
          <xdr:cNvPr id="1481" name="Line 280"/>
          <xdr:cNvSpPr/>
        </xdr:nvSpPr>
        <xdr:spPr>
          <a:xfrm>
            <a:off x="5121000" y="12853800"/>
            <a:ext cx="360" cy="95040"/>
          </a:xfrm>
          <a:prstGeom prst="line">
            <a:avLst/>
          </a:prstGeom>
          <a:ln w="15875">
            <a:solidFill>
              <a:srgbClr val="000000"/>
            </a:solidFill>
            <a:round/>
          </a:ln>
        </xdr:spPr>
        <xdr:style>
          <a:lnRef idx="0"/>
          <a:fillRef idx="0"/>
          <a:effectRef idx="0"/>
          <a:fontRef idx="minor"/>
        </xdr:style>
      </xdr:sp>
      <xdr:sp>
        <xdr:nvSpPr>
          <xdr:cNvPr id="1482" name="Line 280"/>
          <xdr:cNvSpPr/>
        </xdr:nvSpPr>
        <xdr:spPr>
          <a:xfrm flipH="1">
            <a:off x="5059080" y="12944160"/>
            <a:ext cx="128520" cy="360"/>
          </a:xfrm>
          <a:prstGeom prst="line">
            <a:avLst/>
          </a:prstGeom>
          <a:ln w="15875">
            <a:solidFill>
              <a:srgbClr val="000000"/>
            </a:solidFill>
            <a:round/>
          </a:ln>
        </xdr:spPr>
        <xdr:style>
          <a:lnRef idx="0"/>
          <a:fillRef idx="0"/>
          <a:effectRef idx="0"/>
          <a:fontRef idx="minor"/>
        </xdr:style>
      </xdr:sp>
      <xdr:sp>
        <xdr:nvSpPr>
          <xdr:cNvPr id="1483" name="Line 280"/>
          <xdr:cNvSpPr/>
        </xdr:nvSpPr>
        <xdr:spPr>
          <a:xfrm flipH="1">
            <a:off x="5068440" y="12851280"/>
            <a:ext cx="102960" cy="360"/>
          </a:xfrm>
          <a:prstGeom prst="line">
            <a:avLst/>
          </a:prstGeom>
          <a:ln w="15875">
            <a:solidFill>
              <a:srgbClr val="000000"/>
            </a:solidFill>
            <a:round/>
          </a:ln>
        </xdr:spPr>
        <xdr:style>
          <a:lnRef idx="0"/>
          <a:fillRef idx="0"/>
          <a:effectRef idx="0"/>
          <a:fontRef idx="minor"/>
        </xdr:style>
      </xdr:sp>
    </xdr:grpSp>
    <xdr:clientData/>
  </xdr:twoCellAnchor>
  <xdr:twoCellAnchor editAs="twoCell">
    <xdr:from>
      <xdr:col>6</xdr:col>
      <xdr:colOff>204840</xdr:colOff>
      <xdr:row>62</xdr:row>
      <xdr:rowOff>77400</xdr:rowOff>
    </xdr:from>
    <xdr:to>
      <xdr:col>7</xdr:col>
      <xdr:colOff>263880</xdr:colOff>
      <xdr:row>66</xdr:row>
      <xdr:rowOff>175680</xdr:rowOff>
    </xdr:to>
    <xdr:grpSp>
      <xdr:nvGrpSpPr>
        <xdr:cNvPr id="1484" name="Grupo 70"/>
        <xdr:cNvGrpSpPr/>
      </xdr:nvGrpSpPr>
      <xdr:grpSpPr>
        <a:xfrm>
          <a:off x="5234040" y="12088440"/>
          <a:ext cx="897120" cy="860400"/>
          <a:chOff x="5234040" y="12088440"/>
          <a:chExt cx="897120" cy="860400"/>
        </a:xfrm>
      </xdr:grpSpPr>
      <xdr:grpSp>
        <xdr:nvGrpSpPr>
          <xdr:cNvPr id="1485" name="Grupo 71"/>
          <xdr:cNvGrpSpPr/>
        </xdr:nvGrpSpPr>
        <xdr:grpSpPr>
          <a:xfrm>
            <a:off x="5234040" y="12088440"/>
            <a:ext cx="414720" cy="860400"/>
            <a:chOff x="5234040" y="12088440"/>
            <a:chExt cx="414720" cy="860400"/>
          </a:xfrm>
        </xdr:grpSpPr>
        <xdr:sp>
          <xdr:nvSpPr>
            <xdr:cNvPr id="1486" name="Oval 40"/>
            <xdr:cNvSpPr/>
          </xdr:nvSpPr>
          <xdr:spPr>
            <a:xfrm rot="10800000">
              <a:off x="5267520" y="12335400"/>
              <a:ext cx="194760" cy="209160"/>
            </a:xfrm>
            <a:prstGeom prst="ellipse">
              <a:avLst/>
            </a:prstGeom>
            <a:noFill/>
            <a:ln w="12700">
              <a:solidFill>
                <a:srgbClr val="000000"/>
              </a:solidFill>
              <a:round/>
            </a:ln>
          </xdr:spPr>
          <xdr:style>
            <a:lnRef idx="0"/>
            <a:fillRef idx="0"/>
            <a:effectRef idx="0"/>
            <a:fontRef idx="minor"/>
          </xdr:style>
        </xdr:sp>
        <xdr:sp>
          <xdr:nvSpPr>
            <xdr:cNvPr id="1487" name="Oval 41"/>
            <xdr:cNvSpPr/>
          </xdr:nvSpPr>
          <xdr:spPr>
            <a:xfrm rot="10800000">
              <a:off x="5264640" y="12223800"/>
              <a:ext cx="194760" cy="209160"/>
            </a:xfrm>
            <a:prstGeom prst="ellipse">
              <a:avLst/>
            </a:prstGeom>
            <a:noFill/>
            <a:ln w="12700">
              <a:solidFill>
                <a:srgbClr val="ffc000"/>
              </a:solidFill>
              <a:round/>
            </a:ln>
          </xdr:spPr>
          <xdr:style>
            <a:lnRef idx="0"/>
            <a:fillRef idx="0"/>
            <a:effectRef idx="0"/>
            <a:fontRef idx="minor"/>
          </xdr:style>
        </xdr:sp>
        <xdr:sp>
          <xdr:nvSpPr>
            <xdr:cNvPr id="1488" name="Line 206"/>
            <xdr:cNvSpPr/>
          </xdr:nvSpPr>
          <xdr:spPr>
            <a:xfrm>
              <a:off x="5356800" y="12088440"/>
              <a:ext cx="360" cy="132120"/>
            </a:xfrm>
            <a:prstGeom prst="line">
              <a:avLst/>
            </a:prstGeom>
            <a:ln w="15875">
              <a:solidFill>
                <a:srgbClr val="ffc000"/>
              </a:solidFill>
              <a:round/>
            </a:ln>
          </xdr:spPr>
          <xdr:style>
            <a:lnRef idx="0"/>
            <a:fillRef idx="0"/>
            <a:effectRef idx="0"/>
            <a:fontRef idx="minor"/>
          </xdr:style>
        </xdr:sp>
        <xdr:sp>
          <xdr:nvSpPr>
            <xdr:cNvPr id="1489" name="452 Rectángulo redondeado"/>
            <xdr:cNvSpPr/>
          </xdr:nvSpPr>
          <xdr:spPr>
            <a:xfrm>
              <a:off x="5334480" y="12124080"/>
              <a:ext cx="4464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490" name="Line 99"/>
            <xdr:cNvSpPr/>
          </xdr:nvSpPr>
          <xdr:spPr>
            <a:xfrm>
              <a:off x="5234040" y="12686400"/>
              <a:ext cx="414720" cy="360"/>
            </a:xfrm>
            <a:prstGeom prst="line">
              <a:avLst/>
            </a:prstGeom>
            <a:ln w="25400">
              <a:solidFill>
                <a:srgbClr val="000000"/>
              </a:solidFill>
              <a:round/>
            </a:ln>
          </xdr:spPr>
          <xdr:style>
            <a:lnRef idx="0"/>
            <a:fillRef idx="0"/>
            <a:effectRef idx="0"/>
            <a:fontRef idx="minor"/>
          </xdr:style>
        </xdr:sp>
        <xdr:sp>
          <xdr:nvSpPr>
            <xdr:cNvPr id="1491" name="Line 280"/>
            <xdr:cNvSpPr/>
          </xdr:nvSpPr>
          <xdr:spPr>
            <a:xfrm>
              <a:off x="5364000" y="12546360"/>
              <a:ext cx="360" cy="402480"/>
            </a:xfrm>
            <a:prstGeom prst="line">
              <a:avLst/>
            </a:prstGeom>
            <a:ln w="15875">
              <a:solidFill>
                <a:srgbClr val="000000"/>
              </a:solidFill>
              <a:round/>
              <a:tailEnd len="med" type="triangle" w="med"/>
            </a:ln>
          </xdr:spPr>
          <xdr:style>
            <a:lnRef idx="0"/>
            <a:fillRef idx="0"/>
            <a:effectRef idx="0"/>
            <a:fontRef idx="minor"/>
          </xdr:style>
        </xdr:sp>
        <xdr:sp>
          <xdr:nvSpPr>
            <xdr:cNvPr id="1492" name="455 Rectángulo redondeado"/>
            <xdr:cNvSpPr/>
          </xdr:nvSpPr>
          <xdr:spPr>
            <a:xfrm rot="5400000">
              <a:off x="5343840" y="12724920"/>
              <a:ext cx="39960" cy="446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1493" name="455 Rectángulo redondeado"/>
            <xdr:cNvSpPr/>
          </xdr:nvSpPr>
          <xdr:spPr>
            <a:xfrm rot="5400000">
              <a:off x="5346360" y="12592440"/>
              <a:ext cx="39960" cy="446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1494" name="61 CuadroTexto"/>
          <xdr:cNvSpPr/>
        </xdr:nvSpPr>
        <xdr:spPr>
          <a:xfrm>
            <a:off x="5439600" y="12255120"/>
            <a:ext cx="69156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13,3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grpSp>
    <xdr:clientData/>
  </xdr:twoCellAnchor>
  <xdr:twoCellAnchor editAs="twoCell">
    <xdr:from>
      <xdr:col>6</xdr:col>
      <xdr:colOff>185760</xdr:colOff>
      <xdr:row>65</xdr:row>
      <xdr:rowOff>84240</xdr:rowOff>
    </xdr:from>
    <xdr:to>
      <xdr:col>6</xdr:col>
      <xdr:colOff>225720</xdr:colOff>
      <xdr:row>65</xdr:row>
      <xdr:rowOff>124920</xdr:rowOff>
    </xdr:to>
    <xdr:sp>
      <xdr:nvSpPr>
        <xdr:cNvPr id="1495" name="455 Rectángulo redondeado"/>
        <xdr:cNvSpPr/>
      </xdr:nvSpPr>
      <xdr:spPr>
        <a:xfrm rot="5400000">
          <a:off x="5214600" y="12666960"/>
          <a:ext cx="40680" cy="39960"/>
        </a:xfrm>
        <a:prstGeom prst="roundRect">
          <a:avLst>
            <a:gd name="adj" fmla="val 16667"/>
          </a:avLst>
        </a:prstGeom>
        <a:solidFill>
          <a:schemeClr val="bg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xdr:col>
      <xdr:colOff>620280</xdr:colOff>
      <xdr:row>66</xdr:row>
      <xdr:rowOff>165600</xdr:rowOff>
    </xdr:from>
    <xdr:to>
      <xdr:col>4</xdr:col>
      <xdr:colOff>550800</xdr:colOff>
      <xdr:row>68</xdr:row>
      <xdr:rowOff>17640</xdr:rowOff>
    </xdr:to>
    <xdr:sp>
      <xdr:nvSpPr>
        <xdr:cNvPr id="1496" name="Text Box 188"/>
        <xdr:cNvSpPr/>
      </xdr:nvSpPr>
      <xdr:spPr>
        <a:xfrm>
          <a:off x="3134880" y="12938760"/>
          <a:ext cx="76860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Compesación</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3 Mvar</a:t>
          </a:r>
          <a:endParaRPr b="0" lang="en-GB" sz="600" spc="-1" strike="noStrike">
            <a:latin typeface="Times New Roman"/>
          </a:endParaRPr>
        </a:p>
      </xdr:txBody>
    </xdr:sp>
    <xdr:clientData/>
  </xdr:twoCellAnchor>
  <xdr:twoCellAnchor editAs="twoCell">
    <xdr:from>
      <xdr:col>5</xdr:col>
      <xdr:colOff>513360</xdr:colOff>
      <xdr:row>66</xdr:row>
      <xdr:rowOff>187200</xdr:rowOff>
    </xdr:from>
    <xdr:to>
      <xdr:col>6</xdr:col>
      <xdr:colOff>443880</xdr:colOff>
      <xdr:row>68</xdr:row>
      <xdr:rowOff>39240</xdr:rowOff>
    </xdr:to>
    <xdr:sp>
      <xdr:nvSpPr>
        <xdr:cNvPr id="1497" name="Text Box 188"/>
        <xdr:cNvSpPr/>
      </xdr:nvSpPr>
      <xdr:spPr>
        <a:xfrm>
          <a:off x="4704480" y="12960360"/>
          <a:ext cx="76860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Compesación</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3 Mvar</a:t>
          </a:r>
          <a:endParaRPr b="0" lang="en-GB" sz="600" spc="-1" strike="noStrike">
            <a:latin typeface="Times New Roman"/>
          </a:endParaRPr>
        </a:p>
      </xdr:txBody>
    </xdr:sp>
    <xdr:clientData/>
  </xdr:twoCellAnchor>
  <xdr:twoCellAnchor editAs="twoCell">
    <xdr:from>
      <xdr:col>6</xdr:col>
      <xdr:colOff>53640</xdr:colOff>
      <xdr:row>64</xdr:row>
      <xdr:rowOff>175320</xdr:rowOff>
    </xdr:from>
    <xdr:to>
      <xdr:col>6</xdr:col>
      <xdr:colOff>358920</xdr:colOff>
      <xdr:row>65</xdr:row>
      <xdr:rowOff>77760</xdr:rowOff>
    </xdr:to>
    <xdr:sp>
      <xdr:nvSpPr>
        <xdr:cNvPr id="1498" name="Text Box 188"/>
        <xdr:cNvSpPr/>
      </xdr:nvSpPr>
      <xdr:spPr>
        <a:xfrm>
          <a:off x="5082840" y="12567240"/>
          <a:ext cx="305280" cy="928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400" spc="-1" strike="noStrike">
              <a:solidFill>
                <a:srgbClr val="000000"/>
              </a:solidFill>
              <a:latin typeface="Arial"/>
              <a:ea typeface="MS PGothic"/>
            </a:rPr>
            <a:t>N.A.</a:t>
          </a:r>
          <a:endParaRPr b="0" lang="en-GB" sz="400" spc="-1" strike="noStrike">
            <a:latin typeface="Times New Roman"/>
          </a:endParaRPr>
        </a:p>
      </xdr:txBody>
    </xdr:sp>
    <xdr:clientData/>
  </xdr:twoCellAnchor>
  <xdr:twoCellAnchor editAs="twoCell">
    <xdr:from>
      <xdr:col>4</xdr:col>
      <xdr:colOff>502200</xdr:colOff>
      <xdr:row>54</xdr:row>
      <xdr:rowOff>57960</xdr:rowOff>
    </xdr:from>
    <xdr:to>
      <xdr:col>5</xdr:col>
      <xdr:colOff>743400</xdr:colOff>
      <xdr:row>57</xdr:row>
      <xdr:rowOff>56160</xdr:rowOff>
    </xdr:to>
    <xdr:grpSp>
      <xdr:nvGrpSpPr>
        <xdr:cNvPr id="1499" name="Grupo 85"/>
        <xdr:cNvGrpSpPr/>
      </xdr:nvGrpSpPr>
      <xdr:grpSpPr>
        <a:xfrm>
          <a:off x="3854880" y="10545120"/>
          <a:ext cx="1079640" cy="569520"/>
          <a:chOff x="3854880" y="10545120"/>
          <a:chExt cx="1079640" cy="569520"/>
        </a:xfrm>
      </xdr:grpSpPr>
      <xdr:sp>
        <xdr:nvSpPr>
          <xdr:cNvPr id="1500" name="Text Box 138"/>
          <xdr:cNvSpPr/>
        </xdr:nvSpPr>
        <xdr:spPr>
          <a:xfrm>
            <a:off x="4139640" y="10550880"/>
            <a:ext cx="794880" cy="23580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20/14/6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110/34,5/13,8kV</a:t>
            </a:r>
            <a:endParaRPr b="0" lang="en-GB" sz="600" spc="-1" strike="noStrike">
              <a:latin typeface="Times New Roman"/>
            </a:endParaRPr>
          </a:p>
        </xdr:txBody>
      </xdr:sp>
      <xdr:sp>
        <xdr:nvSpPr>
          <xdr:cNvPr id="1501" name="Line 244"/>
          <xdr:cNvSpPr/>
        </xdr:nvSpPr>
        <xdr:spPr>
          <a:xfrm>
            <a:off x="4157280" y="10861200"/>
            <a:ext cx="263880" cy="360"/>
          </a:xfrm>
          <a:prstGeom prst="line">
            <a:avLst/>
          </a:prstGeom>
          <a:ln w="15875">
            <a:solidFill>
              <a:srgbClr val="000000"/>
            </a:solidFill>
            <a:round/>
          </a:ln>
        </xdr:spPr>
        <xdr:style>
          <a:lnRef idx="0"/>
          <a:fillRef idx="0"/>
          <a:effectRef idx="0"/>
          <a:fontRef idx="minor"/>
        </xdr:style>
      </xdr:sp>
      <xdr:sp>
        <xdr:nvSpPr>
          <xdr:cNvPr id="1502" name="455 Rectángulo redondeado"/>
          <xdr:cNvSpPr/>
        </xdr:nvSpPr>
        <xdr:spPr>
          <a:xfrm rot="16200000">
            <a:off x="4197960" y="10842480"/>
            <a:ext cx="39600" cy="432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nvGrpSpPr>
          <xdr:cNvPr id="1503" name="Grupo 89"/>
          <xdr:cNvGrpSpPr/>
        </xdr:nvGrpSpPr>
        <xdr:grpSpPr>
          <a:xfrm>
            <a:off x="3854880" y="10672200"/>
            <a:ext cx="300600" cy="311760"/>
            <a:chOff x="3854880" y="10672200"/>
            <a:chExt cx="300600" cy="311760"/>
          </a:xfrm>
        </xdr:grpSpPr>
        <xdr:sp>
          <xdr:nvSpPr>
            <xdr:cNvPr id="1504" name="Oval 40"/>
            <xdr:cNvSpPr/>
          </xdr:nvSpPr>
          <xdr:spPr>
            <a:xfrm rot="10800000">
              <a:off x="3854880" y="10775520"/>
              <a:ext cx="188640" cy="208440"/>
            </a:xfrm>
            <a:prstGeom prst="ellipse">
              <a:avLst/>
            </a:prstGeom>
            <a:noFill/>
            <a:ln w="12700">
              <a:solidFill>
                <a:srgbClr val="ffc000"/>
              </a:solidFill>
              <a:round/>
            </a:ln>
          </xdr:spPr>
          <xdr:style>
            <a:lnRef idx="0"/>
            <a:fillRef idx="0"/>
            <a:effectRef idx="0"/>
            <a:fontRef idx="minor"/>
          </xdr:style>
        </xdr:sp>
        <xdr:sp>
          <xdr:nvSpPr>
            <xdr:cNvPr id="1505" name="Oval 41"/>
            <xdr:cNvSpPr/>
          </xdr:nvSpPr>
          <xdr:spPr>
            <a:xfrm rot="10800000">
              <a:off x="3854880" y="10672200"/>
              <a:ext cx="188640" cy="208440"/>
            </a:xfrm>
            <a:prstGeom prst="ellipse">
              <a:avLst/>
            </a:prstGeom>
            <a:noFill/>
            <a:ln w="12700">
              <a:solidFill>
                <a:srgbClr val="ff0000"/>
              </a:solidFill>
              <a:round/>
            </a:ln>
          </xdr:spPr>
          <xdr:style>
            <a:lnRef idx="0"/>
            <a:fillRef idx="0"/>
            <a:effectRef idx="0"/>
            <a:fontRef idx="minor"/>
          </xdr:style>
        </xdr:sp>
        <xdr:sp>
          <xdr:nvSpPr>
            <xdr:cNvPr id="1506" name="Oval 63"/>
            <xdr:cNvSpPr/>
          </xdr:nvSpPr>
          <xdr:spPr>
            <a:xfrm>
              <a:off x="3967560" y="10749240"/>
              <a:ext cx="187920" cy="207360"/>
            </a:xfrm>
            <a:prstGeom prst="ellipse">
              <a:avLst/>
            </a:prstGeom>
            <a:noFill/>
            <a:ln w="12700">
              <a:solidFill>
                <a:srgbClr val="000000"/>
              </a:solidFill>
              <a:round/>
            </a:ln>
          </xdr:spPr>
          <xdr:style>
            <a:lnRef idx="0"/>
            <a:fillRef idx="0"/>
            <a:effectRef idx="0"/>
            <a:fontRef idx="minor"/>
          </xdr:style>
        </xdr:sp>
      </xdr:grpSp>
      <xdr:sp>
        <xdr:nvSpPr>
          <xdr:cNvPr id="1507" name="Line 100"/>
          <xdr:cNvSpPr/>
        </xdr:nvSpPr>
        <xdr:spPr>
          <a:xfrm>
            <a:off x="3944160" y="10985040"/>
            <a:ext cx="360" cy="129600"/>
          </a:xfrm>
          <a:prstGeom prst="line">
            <a:avLst/>
          </a:prstGeom>
          <a:ln w="15875">
            <a:solidFill>
              <a:srgbClr val="ffc000"/>
            </a:solidFill>
            <a:round/>
          </a:ln>
        </xdr:spPr>
        <xdr:style>
          <a:lnRef idx="0"/>
          <a:fillRef idx="0"/>
          <a:effectRef idx="0"/>
          <a:fontRef idx="minor"/>
        </xdr:style>
      </xdr:sp>
      <xdr:sp>
        <xdr:nvSpPr>
          <xdr:cNvPr id="1508" name="Line 206"/>
          <xdr:cNvSpPr/>
        </xdr:nvSpPr>
        <xdr:spPr>
          <a:xfrm>
            <a:off x="3951720" y="10545120"/>
            <a:ext cx="360" cy="126000"/>
          </a:xfrm>
          <a:prstGeom prst="line">
            <a:avLst/>
          </a:prstGeom>
          <a:ln w="25400">
            <a:solidFill>
              <a:srgbClr val="ff0000"/>
            </a:solidFill>
            <a:round/>
          </a:ln>
        </xdr:spPr>
        <xdr:style>
          <a:lnRef idx="0"/>
          <a:fillRef idx="0"/>
          <a:effectRef idx="0"/>
          <a:fontRef idx="minor"/>
        </xdr:style>
      </xdr:sp>
      <xdr:sp>
        <xdr:nvSpPr>
          <xdr:cNvPr id="1509" name="452 Rectángulo redondeado"/>
          <xdr:cNvSpPr/>
        </xdr:nvSpPr>
        <xdr:spPr>
          <a:xfrm>
            <a:off x="3930840" y="10589040"/>
            <a:ext cx="43200" cy="3960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4</xdr:col>
      <xdr:colOff>507600</xdr:colOff>
      <xdr:row>57</xdr:row>
      <xdr:rowOff>57960</xdr:rowOff>
    </xdr:from>
    <xdr:to>
      <xdr:col>4</xdr:col>
      <xdr:colOff>646920</xdr:colOff>
      <xdr:row>57</xdr:row>
      <xdr:rowOff>177480</xdr:rowOff>
    </xdr:to>
    <xdr:sp>
      <xdr:nvSpPr>
        <xdr:cNvPr id="1510" name="Arco 96"/>
        <xdr:cNvSpPr/>
      </xdr:nvSpPr>
      <xdr:spPr>
        <a:xfrm rot="5400000">
          <a:off x="3870000" y="11106360"/>
          <a:ext cx="119520" cy="139320"/>
        </a:xfrm>
        <a:prstGeom prst="arc">
          <a:avLst>
            <a:gd name="adj1" fmla="val 10932143"/>
            <a:gd name="adj2" fmla="val 21419250"/>
          </a:avLst>
        </a:prstGeom>
        <a:noFill/>
        <a:ln w="15875">
          <a:solidFill>
            <a:srgbClr val="ffc000"/>
          </a:solidFill>
          <a:round/>
        </a:ln>
      </xdr:spPr>
      <xdr:style>
        <a:lnRef idx="0"/>
        <a:fillRef idx="0"/>
        <a:effectRef idx="0"/>
        <a:fontRef idx="minor"/>
      </xdr:style>
    </xdr:sp>
    <xdr:clientData/>
  </xdr:twoCellAnchor>
  <xdr:twoCellAnchor editAs="twoCell">
    <xdr:from>
      <xdr:col>4</xdr:col>
      <xdr:colOff>583200</xdr:colOff>
      <xdr:row>57</xdr:row>
      <xdr:rowOff>171360</xdr:rowOff>
    </xdr:from>
    <xdr:to>
      <xdr:col>4</xdr:col>
      <xdr:colOff>583200</xdr:colOff>
      <xdr:row>58</xdr:row>
      <xdr:rowOff>190440</xdr:rowOff>
    </xdr:to>
    <xdr:sp>
      <xdr:nvSpPr>
        <xdr:cNvPr id="1511" name="Line 100"/>
        <xdr:cNvSpPr/>
      </xdr:nvSpPr>
      <xdr:spPr>
        <a:xfrm>
          <a:off x="3935880" y="11229840"/>
          <a:ext cx="0" cy="209520"/>
        </a:xfrm>
        <a:prstGeom prst="line">
          <a:avLst/>
        </a:prstGeom>
        <a:ln w="15875">
          <a:solidFill>
            <a:srgbClr val="ffc000"/>
          </a:solidFill>
          <a:round/>
        </a:ln>
      </xdr:spPr>
      <xdr:style>
        <a:lnRef idx="0"/>
        <a:fillRef idx="0"/>
        <a:effectRef idx="0"/>
        <a:fontRef idx="minor"/>
      </xdr:style>
    </xdr:sp>
    <xdr:clientData/>
  </xdr:twoCellAnchor>
  <xdr:twoCellAnchor editAs="twoCell">
    <xdr:from>
      <xdr:col>4</xdr:col>
      <xdr:colOff>566640</xdr:colOff>
      <xdr:row>58</xdr:row>
      <xdr:rowOff>100080</xdr:rowOff>
    </xdr:from>
    <xdr:to>
      <xdr:col>4</xdr:col>
      <xdr:colOff>606600</xdr:colOff>
      <xdr:row>58</xdr:row>
      <xdr:rowOff>139680</xdr:rowOff>
    </xdr:to>
    <xdr:sp>
      <xdr:nvSpPr>
        <xdr:cNvPr id="1512" name="455 Rectángulo redondeado"/>
        <xdr:cNvSpPr/>
      </xdr:nvSpPr>
      <xdr:spPr>
        <a:xfrm>
          <a:off x="3919320" y="11349000"/>
          <a:ext cx="3996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5</xdr:col>
      <xdr:colOff>307080</xdr:colOff>
      <xdr:row>77</xdr:row>
      <xdr:rowOff>15480</xdr:rowOff>
    </xdr:from>
    <xdr:to>
      <xdr:col>5</xdr:col>
      <xdr:colOff>728280</xdr:colOff>
      <xdr:row>77</xdr:row>
      <xdr:rowOff>15480</xdr:rowOff>
    </xdr:to>
    <xdr:sp>
      <xdr:nvSpPr>
        <xdr:cNvPr id="1513" name="Line 205"/>
        <xdr:cNvSpPr/>
      </xdr:nvSpPr>
      <xdr:spPr>
        <a:xfrm>
          <a:off x="4498200" y="14912640"/>
          <a:ext cx="421200" cy="0"/>
        </a:xfrm>
        <a:prstGeom prst="line">
          <a:avLst/>
        </a:prstGeom>
        <a:ln w="25400">
          <a:solidFill>
            <a:srgbClr val="ff0000"/>
          </a:solidFill>
          <a:round/>
        </a:ln>
      </xdr:spPr>
      <xdr:style>
        <a:lnRef idx="0"/>
        <a:fillRef idx="0"/>
        <a:effectRef idx="0"/>
        <a:fontRef idx="minor"/>
      </xdr:style>
    </xdr:sp>
    <xdr:clientData/>
  </xdr:twoCellAnchor>
  <xdr:twoCellAnchor editAs="twoCell">
    <xdr:from>
      <xdr:col>4</xdr:col>
      <xdr:colOff>515160</xdr:colOff>
      <xdr:row>78</xdr:row>
      <xdr:rowOff>91800</xdr:rowOff>
    </xdr:from>
    <xdr:to>
      <xdr:col>5</xdr:col>
      <xdr:colOff>491760</xdr:colOff>
      <xdr:row>79</xdr:row>
      <xdr:rowOff>136080</xdr:rowOff>
    </xdr:to>
    <xdr:sp>
      <xdr:nvSpPr>
        <xdr:cNvPr id="1514" name="Text Box 138"/>
        <xdr:cNvSpPr/>
      </xdr:nvSpPr>
      <xdr:spPr>
        <a:xfrm>
          <a:off x="3867840" y="15179400"/>
          <a:ext cx="815040" cy="2347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25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110/34,5 kV</a:t>
          </a:r>
          <a:endParaRPr b="0" lang="en-GB" sz="600" spc="-1" strike="noStrike">
            <a:latin typeface="Times New Roman"/>
          </a:endParaRPr>
        </a:p>
      </xdr:txBody>
    </xdr:sp>
    <xdr:clientData/>
  </xdr:twoCellAnchor>
  <xdr:twoCellAnchor editAs="twoCell">
    <xdr:from>
      <xdr:col>5</xdr:col>
      <xdr:colOff>88920</xdr:colOff>
      <xdr:row>76</xdr:row>
      <xdr:rowOff>19800</xdr:rowOff>
    </xdr:from>
    <xdr:to>
      <xdr:col>6</xdr:col>
      <xdr:colOff>309240</xdr:colOff>
      <xdr:row>76</xdr:row>
      <xdr:rowOff>167400</xdr:rowOff>
    </xdr:to>
    <xdr:sp>
      <xdr:nvSpPr>
        <xdr:cNvPr id="1515" name="Text Box 188"/>
        <xdr:cNvSpPr/>
      </xdr:nvSpPr>
      <xdr:spPr>
        <a:xfrm>
          <a:off x="4280040" y="14726520"/>
          <a:ext cx="1058400" cy="14760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Cuestecitas 110 kV </a:t>
          </a:r>
          <a:endParaRPr b="0" lang="en-GB" sz="600" spc="-1" strike="noStrike">
            <a:latin typeface="Times New Roman"/>
          </a:endParaRPr>
        </a:p>
      </xdr:txBody>
    </xdr:sp>
    <xdr:clientData/>
  </xdr:twoCellAnchor>
  <xdr:twoCellAnchor editAs="twoCell">
    <xdr:from>
      <xdr:col>4</xdr:col>
      <xdr:colOff>127080</xdr:colOff>
      <xdr:row>81</xdr:row>
      <xdr:rowOff>58680</xdr:rowOff>
    </xdr:from>
    <xdr:to>
      <xdr:col>7</xdr:col>
      <xdr:colOff>412560</xdr:colOff>
      <xdr:row>85</xdr:row>
      <xdr:rowOff>32400</xdr:rowOff>
    </xdr:to>
    <xdr:grpSp>
      <xdr:nvGrpSpPr>
        <xdr:cNvPr id="1516" name="Grupo 102"/>
        <xdr:cNvGrpSpPr/>
      </xdr:nvGrpSpPr>
      <xdr:grpSpPr>
        <a:xfrm>
          <a:off x="3479760" y="15717960"/>
          <a:ext cx="2800080" cy="735480"/>
          <a:chOff x="3479760" y="15717960"/>
          <a:chExt cx="2800080" cy="735480"/>
        </a:xfrm>
      </xdr:grpSpPr>
      <xdr:sp>
        <xdr:nvSpPr>
          <xdr:cNvPr id="1517" name="Line 38"/>
          <xdr:cNvSpPr/>
        </xdr:nvSpPr>
        <xdr:spPr>
          <a:xfrm>
            <a:off x="3479760" y="15717960"/>
            <a:ext cx="2800080" cy="360"/>
          </a:xfrm>
          <a:prstGeom prst="line">
            <a:avLst/>
          </a:prstGeom>
          <a:ln w="25400">
            <a:solidFill>
              <a:srgbClr val="ffc000"/>
            </a:solidFill>
            <a:round/>
          </a:ln>
        </xdr:spPr>
        <xdr:style>
          <a:lnRef idx="0"/>
          <a:fillRef idx="0"/>
          <a:effectRef idx="0"/>
          <a:fontRef idx="minor"/>
        </xdr:style>
      </xdr:sp>
      <xdr:sp>
        <xdr:nvSpPr>
          <xdr:cNvPr id="1518" name="Line 244"/>
          <xdr:cNvSpPr/>
        </xdr:nvSpPr>
        <xdr:spPr>
          <a:xfrm>
            <a:off x="3774240" y="15721920"/>
            <a:ext cx="360" cy="731520"/>
          </a:xfrm>
          <a:prstGeom prst="line">
            <a:avLst/>
          </a:prstGeom>
          <a:ln w="15875">
            <a:solidFill>
              <a:srgbClr val="ffc000"/>
            </a:solidFill>
            <a:round/>
          </a:ln>
        </xdr:spPr>
        <xdr:style>
          <a:lnRef idx="0"/>
          <a:fillRef idx="0"/>
          <a:effectRef idx="0"/>
          <a:fontRef idx="minor"/>
        </xdr:style>
      </xdr:sp>
      <xdr:sp>
        <xdr:nvSpPr>
          <xdr:cNvPr id="1519" name="455 Rectángulo redondeado"/>
          <xdr:cNvSpPr/>
        </xdr:nvSpPr>
        <xdr:spPr>
          <a:xfrm>
            <a:off x="3752640" y="15759720"/>
            <a:ext cx="439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5</xdr:col>
      <xdr:colOff>493920</xdr:colOff>
      <xdr:row>80</xdr:row>
      <xdr:rowOff>14040</xdr:rowOff>
    </xdr:from>
    <xdr:to>
      <xdr:col>5</xdr:col>
      <xdr:colOff>493920</xdr:colOff>
      <xdr:row>81</xdr:row>
      <xdr:rowOff>52200</xdr:rowOff>
    </xdr:to>
    <xdr:sp>
      <xdr:nvSpPr>
        <xdr:cNvPr id="1520" name="Line 100"/>
        <xdr:cNvSpPr/>
      </xdr:nvSpPr>
      <xdr:spPr>
        <a:xfrm>
          <a:off x="4685040" y="15482520"/>
          <a:ext cx="0" cy="228960"/>
        </a:xfrm>
        <a:prstGeom prst="line">
          <a:avLst/>
        </a:prstGeom>
        <a:ln w="15875">
          <a:solidFill>
            <a:srgbClr val="ffc000"/>
          </a:solidFill>
          <a:round/>
        </a:ln>
      </xdr:spPr>
      <xdr:style>
        <a:lnRef idx="0"/>
        <a:fillRef idx="0"/>
        <a:effectRef idx="0"/>
        <a:fontRef idx="minor"/>
      </xdr:style>
    </xdr:sp>
    <xdr:clientData/>
  </xdr:twoCellAnchor>
  <xdr:twoCellAnchor editAs="twoCell">
    <xdr:from>
      <xdr:col>5</xdr:col>
      <xdr:colOff>473400</xdr:colOff>
      <xdr:row>80</xdr:row>
      <xdr:rowOff>139680</xdr:rowOff>
    </xdr:from>
    <xdr:to>
      <xdr:col>5</xdr:col>
      <xdr:colOff>513360</xdr:colOff>
      <xdr:row>80</xdr:row>
      <xdr:rowOff>179280</xdr:rowOff>
    </xdr:to>
    <xdr:sp>
      <xdr:nvSpPr>
        <xdr:cNvPr id="1521" name="455 Rectángulo redondeado"/>
        <xdr:cNvSpPr/>
      </xdr:nvSpPr>
      <xdr:spPr>
        <a:xfrm>
          <a:off x="4664520" y="15608160"/>
          <a:ext cx="3996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5</xdr:col>
      <xdr:colOff>501120</xdr:colOff>
      <xdr:row>77</xdr:row>
      <xdr:rowOff>20880</xdr:rowOff>
    </xdr:from>
    <xdr:to>
      <xdr:col>5</xdr:col>
      <xdr:colOff>501120</xdr:colOff>
      <xdr:row>78</xdr:row>
      <xdr:rowOff>79560</xdr:rowOff>
    </xdr:to>
    <xdr:sp>
      <xdr:nvSpPr>
        <xdr:cNvPr id="1522" name="Line 206"/>
        <xdr:cNvSpPr/>
      </xdr:nvSpPr>
      <xdr:spPr>
        <a:xfrm>
          <a:off x="4692240" y="14918040"/>
          <a:ext cx="0" cy="249120"/>
        </a:xfrm>
        <a:prstGeom prst="line">
          <a:avLst/>
        </a:prstGeom>
        <a:ln w="25400">
          <a:solidFill>
            <a:srgbClr val="ff0000"/>
          </a:solidFill>
          <a:round/>
        </a:ln>
      </xdr:spPr>
      <xdr:style>
        <a:lnRef idx="0"/>
        <a:fillRef idx="0"/>
        <a:effectRef idx="0"/>
        <a:fontRef idx="minor"/>
      </xdr:style>
    </xdr:sp>
    <xdr:clientData/>
  </xdr:twoCellAnchor>
  <xdr:twoCellAnchor editAs="twoCell">
    <xdr:from>
      <xdr:col>5</xdr:col>
      <xdr:colOff>482400</xdr:colOff>
      <xdr:row>77</xdr:row>
      <xdr:rowOff>93600</xdr:rowOff>
    </xdr:from>
    <xdr:to>
      <xdr:col>5</xdr:col>
      <xdr:colOff>522360</xdr:colOff>
      <xdr:row>77</xdr:row>
      <xdr:rowOff>133200</xdr:rowOff>
    </xdr:to>
    <xdr:sp>
      <xdr:nvSpPr>
        <xdr:cNvPr id="1523" name="452 Rectángulo redondeado"/>
        <xdr:cNvSpPr/>
      </xdr:nvSpPr>
      <xdr:spPr>
        <a:xfrm>
          <a:off x="4673520" y="14990760"/>
          <a:ext cx="39960" cy="3960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xdr:col>
      <xdr:colOff>692280</xdr:colOff>
      <xdr:row>82</xdr:row>
      <xdr:rowOff>7920</xdr:rowOff>
    </xdr:from>
    <xdr:to>
      <xdr:col>4</xdr:col>
      <xdr:colOff>468360</xdr:colOff>
      <xdr:row>82</xdr:row>
      <xdr:rowOff>129240</xdr:rowOff>
    </xdr:to>
    <xdr:sp>
      <xdr:nvSpPr>
        <xdr:cNvPr id="1524" name="Text Box 188"/>
        <xdr:cNvSpPr/>
      </xdr:nvSpPr>
      <xdr:spPr>
        <a:xfrm>
          <a:off x="3206880" y="15857640"/>
          <a:ext cx="61416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LN-564</a:t>
          </a:r>
          <a:endParaRPr b="0" lang="en-GB" sz="600" spc="-1" strike="noStrike">
            <a:latin typeface="Times New Roman"/>
          </a:endParaRPr>
        </a:p>
      </xdr:txBody>
    </xdr:sp>
    <xdr:clientData/>
  </xdr:twoCellAnchor>
  <xdr:twoCellAnchor editAs="twoCell">
    <xdr:from>
      <xdr:col>4</xdr:col>
      <xdr:colOff>110160</xdr:colOff>
      <xdr:row>79</xdr:row>
      <xdr:rowOff>183600</xdr:rowOff>
    </xdr:from>
    <xdr:to>
      <xdr:col>4</xdr:col>
      <xdr:colOff>733680</xdr:colOff>
      <xdr:row>81</xdr:row>
      <xdr:rowOff>14040</xdr:rowOff>
    </xdr:to>
    <xdr:sp>
      <xdr:nvSpPr>
        <xdr:cNvPr id="1525" name="Text Box 188"/>
        <xdr:cNvSpPr/>
      </xdr:nvSpPr>
      <xdr:spPr>
        <a:xfrm>
          <a:off x="3462840" y="15461640"/>
          <a:ext cx="623520" cy="211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Cuestecitas 34,5 kV</a:t>
          </a:r>
          <a:endParaRPr b="0" lang="en-GB" sz="600" spc="-1" strike="noStrike">
            <a:latin typeface="Times New Roman"/>
          </a:endParaRPr>
        </a:p>
      </xdr:txBody>
    </xdr:sp>
    <xdr:clientData/>
  </xdr:twoCellAnchor>
  <xdr:twoCellAnchor editAs="twoCell">
    <xdr:from>
      <xdr:col>5</xdr:col>
      <xdr:colOff>411120</xdr:colOff>
      <xdr:row>78</xdr:row>
      <xdr:rowOff>78840</xdr:rowOff>
    </xdr:from>
    <xdr:to>
      <xdr:col>5</xdr:col>
      <xdr:colOff>586440</xdr:colOff>
      <xdr:row>80</xdr:row>
      <xdr:rowOff>8280</xdr:rowOff>
    </xdr:to>
    <xdr:grpSp>
      <xdr:nvGrpSpPr>
        <xdr:cNvPr id="1526" name="Grupo 112"/>
        <xdr:cNvGrpSpPr/>
      </xdr:nvGrpSpPr>
      <xdr:grpSpPr>
        <a:xfrm>
          <a:off x="4602240" y="15166440"/>
          <a:ext cx="175320" cy="310320"/>
          <a:chOff x="4602240" y="15166440"/>
          <a:chExt cx="175320" cy="310320"/>
        </a:xfrm>
      </xdr:grpSpPr>
      <xdr:sp>
        <xdr:nvSpPr>
          <xdr:cNvPr id="1527" name="Oval 40"/>
          <xdr:cNvSpPr/>
        </xdr:nvSpPr>
        <xdr:spPr>
          <a:xfrm rot="10800000">
            <a:off x="4602240" y="15269400"/>
            <a:ext cx="175320" cy="207360"/>
          </a:xfrm>
          <a:prstGeom prst="ellipse">
            <a:avLst/>
          </a:prstGeom>
          <a:noFill/>
          <a:ln w="12700">
            <a:solidFill>
              <a:srgbClr val="ffc000"/>
            </a:solidFill>
            <a:round/>
          </a:ln>
        </xdr:spPr>
        <xdr:style>
          <a:lnRef idx="0"/>
          <a:fillRef idx="0"/>
          <a:effectRef idx="0"/>
          <a:fontRef idx="minor"/>
        </xdr:style>
      </xdr:sp>
      <xdr:sp>
        <xdr:nvSpPr>
          <xdr:cNvPr id="1528" name="Oval 41"/>
          <xdr:cNvSpPr/>
        </xdr:nvSpPr>
        <xdr:spPr>
          <a:xfrm rot="10800000">
            <a:off x="4602240" y="15166440"/>
            <a:ext cx="175320" cy="207360"/>
          </a:xfrm>
          <a:prstGeom prst="ellipse">
            <a:avLst/>
          </a:prstGeom>
          <a:noFill/>
          <a:ln w="12700">
            <a:solidFill>
              <a:srgbClr val="ff0000"/>
            </a:solidFill>
            <a:round/>
          </a:ln>
        </xdr:spPr>
        <xdr:style>
          <a:lnRef idx="0"/>
          <a:fillRef idx="0"/>
          <a:effectRef idx="0"/>
          <a:fontRef idx="minor"/>
        </xdr:style>
      </xdr:sp>
    </xdr:grpSp>
    <xdr:clientData/>
  </xdr:twoCellAnchor>
  <xdr:twoCellAnchor editAs="twoCell">
    <xdr:from>
      <xdr:col>6</xdr:col>
      <xdr:colOff>520920</xdr:colOff>
      <xdr:row>76</xdr:row>
      <xdr:rowOff>145440</xdr:rowOff>
    </xdr:from>
    <xdr:to>
      <xdr:col>8</xdr:col>
      <xdr:colOff>27360</xdr:colOff>
      <xdr:row>81</xdr:row>
      <xdr:rowOff>53280</xdr:rowOff>
    </xdr:to>
    <xdr:grpSp>
      <xdr:nvGrpSpPr>
        <xdr:cNvPr id="1529" name="Grupo 115"/>
        <xdr:cNvGrpSpPr/>
      </xdr:nvGrpSpPr>
      <xdr:grpSpPr>
        <a:xfrm>
          <a:off x="5550120" y="14852160"/>
          <a:ext cx="1182960" cy="860400"/>
          <a:chOff x="5550120" y="14852160"/>
          <a:chExt cx="1182960" cy="860400"/>
        </a:xfrm>
      </xdr:grpSpPr>
      <xdr:grpSp>
        <xdr:nvGrpSpPr>
          <xdr:cNvPr id="1530" name="Grupo 116"/>
          <xdr:cNvGrpSpPr/>
        </xdr:nvGrpSpPr>
        <xdr:grpSpPr>
          <a:xfrm>
            <a:off x="5550120" y="14852160"/>
            <a:ext cx="606600" cy="860400"/>
            <a:chOff x="5550120" y="14852160"/>
            <a:chExt cx="606600" cy="860400"/>
          </a:xfrm>
        </xdr:grpSpPr>
        <xdr:sp>
          <xdr:nvSpPr>
            <xdr:cNvPr id="1531" name="Oval 40"/>
            <xdr:cNvSpPr/>
          </xdr:nvSpPr>
          <xdr:spPr>
            <a:xfrm>
              <a:off x="5798160" y="15256440"/>
              <a:ext cx="204840" cy="209160"/>
            </a:xfrm>
            <a:prstGeom prst="ellipse">
              <a:avLst/>
            </a:prstGeom>
            <a:noFill/>
            <a:ln w="12700">
              <a:solidFill>
                <a:srgbClr val="000000"/>
              </a:solidFill>
              <a:round/>
            </a:ln>
          </xdr:spPr>
          <xdr:style>
            <a:lnRef idx="0"/>
            <a:fillRef idx="0"/>
            <a:effectRef idx="0"/>
            <a:fontRef idx="minor"/>
          </xdr:style>
        </xdr:sp>
        <xdr:sp>
          <xdr:nvSpPr>
            <xdr:cNvPr id="1532" name="Oval 41"/>
            <xdr:cNvSpPr/>
          </xdr:nvSpPr>
          <xdr:spPr>
            <a:xfrm>
              <a:off x="5801400" y="15368400"/>
              <a:ext cx="204840" cy="209160"/>
            </a:xfrm>
            <a:prstGeom prst="ellipse">
              <a:avLst/>
            </a:prstGeom>
            <a:noFill/>
            <a:ln w="12700">
              <a:solidFill>
                <a:srgbClr val="ffc000"/>
              </a:solidFill>
              <a:round/>
            </a:ln>
          </xdr:spPr>
          <xdr:style>
            <a:lnRef idx="0"/>
            <a:fillRef idx="0"/>
            <a:effectRef idx="0"/>
            <a:fontRef idx="minor"/>
          </xdr:style>
        </xdr:sp>
        <xdr:sp>
          <xdr:nvSpPr>
            <xdr:cNvPr id="1533" name="Line 206"/>
            <xdr:cNvSpPr/>
          </xdr:nvSpPr>
          <xdr:spPr>
            <a:xfrm flipV="1">
              <a:off x="5909040" y="15580440"/>
              <a:ext cx="360" cy="132120"/>
            </a:xfrm>
            <a:prstGeom prst="line">
              <a:avLst/>
            </a:prstGeom>
            <a:ln w="15875">
              <a:solidFill>
                <a:srgbClr val="ffc000"/>
              </a:solidFill>
              <a:round/>
            </a:ln>
          </xdr:spPr>
          <xdr:style>
            <a:lnRef idx="0"/>
            <a:fillRef idx="0"/>
            <a:effectRef idx="0"/>
            <a:fontRef idx="minor"/>
          </xdr:style>
        </xdr:sp>
        <xdr:sp>
          <xdr:nvSpPr>
            <xdr:cNvPr id="1534" name="452 Rectángulo redondeado"/>
            <xdr:cNvSpPr/>
          </xdr:nvSpPr>
          <xdr:spPr>
            <a:xfrm rot="10800000">
              <a:off x="5885640" y="15636960"/>
              <a:ext cx="4680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535" name="Line 99"/>
            <xdr:cNvSpPr/>
          </xdr:nvSpPr>
          <xdr:spPr>
            <a:xfrm flipH="1">
              <a:off x="5550120" y="15114600"/>
              <a:ext cx="606600" cy="360"/>
            </a:xfrm>
            <a:prstGeom prst="line">
              <a:avLst/>
            </a:prstGeom>
            <a:ln w="25400">
              <a:solidFill>
                <a:srgbClr val="000000"/>
              </a:solidFill>
              <a:round/>
            </a:ln>
          </xdr:spPr>
          <xdr:style>
            <a:lnRef idx="0"/>
            <a:fillRef idx="0"/>
            <a:effectRef idx="0"/>
            <a:fontRef idx="minor"/>
          </xdr:style>
        </xdr:sp>
        <xdr:sp>
          <xdr:nvSpPr>
            <xdr:cNvPr id="1536" name="Line 280"/>
            <xdr:cNvSpPr/>
          </xdr:nvSpPr>
          <xdr:spPr>
            <a:xfrm flipV="1">
              <a:off x="5901120" y="14852160"/>
              <a:ext cx="360" cy="402480"/>
            </a:xfrm>
            <a:prstGeom prst="line">
              <a:avLst/>
            </a:prstGeom>
            <a:ln w="15875">
              <a:solidFill>
                <a:srgbClr val="000000"/>
              </a:solidFill>
              <a:round/>
              <a:tailEnd len="med" type="triangle" w="med"/>
            </a:ln>
          </xdr:spPr>
          <xdr:style>
            <a:lnRef idx="0"/>
            <a:fillRef idx="0"/>
            <a:effectRef idx="0"/>
            <a:fontRef idx="minor"/>
          </xdr:style>
        </xdr:sp>
        <xdr:sp>
          <xdr:nvSpPr>
            <xdr:cNvPr id="1537" name="455 Rectángulo redondeado"/>
            <xdr:cNvSpPr/>
          </xdr:nvSpPr>
          <xdr:spPr>
            <a:xfrm rot="16200000">
              <a:off x="5881320" y="15030360"/>
              <a:ext cx="39960" cy="468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1538" name="455 Rectángulo redondeado"/>
            <xdr:cNvSpPr/>
          </xdr:nvSpPr>
          <xdr:spPr>
            <a:xfrm rot="16200000">
              <a:off x="5878800" y="15162840"/>
              <a:ext cx="39960" cy="468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1539" name="Text Box 188"/>
          <xdr:cNvSpPr/>
        </xdr:nvSpPr>
        <xdr:spPr>
          <a:xfrm>
            <a:off x="6032520" y="15009480"/>
            <a:ext cx="700560" cy="1890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Cuestecitas 13,8 kV</a:t>
            </a:r>
            <a:endParaRPr b="0" lang="en-GB" sz="600" spc="-1" strike="noStrike">
              <a:latin typeface="Times New Roman"/>
            </a:endParaRPr>
          </a:p>
        </xdr:txBody>
      </xdr:sp>
      <xdr:sp>
        <xdr:nvSpPr>
          <xdr:cNvPr id="1540" name="Text Box 138"/>
          <xdr:cNvSpPr/>
        </xdr:nvSpPr>
        <xdr:spPr>
          <a:xfrm>
            <a:off x="5882760" y="15268320"/>
            <a:ext cx="847800" cy="2347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12,5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34,5/13,8 kV</a:t>
            </a:r>
            <a:endParaRPr b="0" lang="en-GB" sz="600" spc="-1" strike="noStrike">
              <a:latin typeface="Times New Roman"/>
            </a:endParaRPr>
          </a:p>
        </xdr:txBody>
      </xdr:sp>
    </xdr:grpSp>
    <xdr:clientData/>
  </xdr:twoCellAnchor>
  <xdr:twoCellAnchor editAs="twoCell">
    <xdr:from>
      <xdr:col>3</xdr:col>
      <xdr:colOff>409320</xdr:colOff>
      <xdr:row>84</xdr:row>
      <xdr:rowOff>92520</xdr:rowOff>
    </xdr:from>
    <xdr:to>
      <xdr:col>6</xdr:col>
      <xdr:colOff>73080</xdr:colOff>
      <xdr:row>89</xdr:row>
      <xdr:rowOff>137160</xdr:rowOff>
    </xdr:to>
    <xdr:grpSp>
      <xdr:nvGrpSpPr>
        <xdr:cNvPr id="1541" name="Grupo 127"/>
        <xdr:cNvGrpSpPr/>
      </xdr:nvGrpSpPr>
      <xdr:grpSpPr>
        <a:xfrm>
          <a:off x="2923920" y="16323120"/>
          <a:ext cx="2178360" cy="997200"/>
          <a:chOff x="2923920" y="16323120"/>
          <a:chExt cx="2178360" cy="997200"/>
        </a:xfrm>
      </xdr:grpSpPr>
      <xdr:grpSp>
        <xdr:nvGrpSpPr>
          <xdr:cNvPr id="1542" name="Grupo 128"/>
          <xdr:cNvGrpSpPr/>
        </xdr:nvGrpSpPr>
        <xdr:grpSpPr>
          <a:xfrm>
            <a:off x="2923920" y="16323120"/>
            <a:ext cx="2178360" cy="881640"/>
            <a:chOff x="2923920" y="16323120"/>
            <a:chExt cx="2178360" cy="881640"/>
          </a:xfrm>
        </xdr:grpSpPr>
        <xdr:grpSp>
          <xdr:nvGrpSpPr>
            <xdr:cNvPr id="1543" name="Grupo 131"/>
            <xdr:cNvGrpSpPr/>
          </xdr:nvGrpSpPr>
          <xdr:grpSpPr>
            <a:xfrm>
              <a:off x="2923920" y="16323120"/>
              <a:ext cx="1653840" cy="881640"/>
              <a:chOff x="2923920" y="16323120"/>
              <a:chExt cx="1653840" cy="881640"/>
            </a:xfrm>
          </xdr:grpSpPr>
          <xdr:sp>
            <xdr:nvSpPr>
              <xdr:cNvPr id="1544" name="Text Box 188"/>
              <xdr:cNvSpPr/>
            </xdr:nvSpPr>
            <xdr:spPr>
              <a:xfrm>
                <a:off x="2923920" y="16323120"/>
                <a:ext cx="66420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Hato Nuevo 34,5 kV</a:t>
                </a:r>
                <a:endParaRPr b="0" lang="en-GB" sz="600" spc="-1" strike="noStrike">
                  <a:latin typeface="Times New Roman"/>
                </a:endParaRPr>
              </a:p>
            </xdr:txBody>
          </xdr:sp>
          <xdr:grpSp>
            <xdr:nvGrpSpPr>
              <xdr:cNvPr id="1545" name="Grupo 142"/>
              <xdr:cNvGrpSpPr/>
            </xdr:nvGrpSpPr>
            <xdr:grpSpPr>
              <a:xfrm>
                <a:off x="2936160" y="16378560"/>
                <a:ext cx="1641600" cy="826200"/>
                <a:chOff x="2936160" y="16378560"/>
                <a:chExt cx="1641600" cy="826200"/>
              </a:xfrm>
            </xdr:grpSpPr>
            <xdr:sp>
              <xdr:nvSpPr>
                <xdr:cNvPr id="1546" name="Line 38"/>
                <xdr:cNvSpPr/>
              </xdr:nvSpPr>
              <xdr:spPr>
                <a:xfrm>
                  <a:off x="3480840" y="16454520"/>
                  <a:ext cx="1024560" cy="360"/>
                </a:xfrm>
                <a:prstGeom prst="line">
                  <a:avLst/>
                </a:prstGeom>
                <a:ln w="25400">
                  <a:solidFill>
                    <a:srgbClr val="ffc000"/>
                  </a:solidFill>
                  <a:round/>
                </a:ln>
              </xdr:spPr>
              <xdr:style>
                <a:lnRef idx="0"/>
                <a:fillRef idx="0"/>
                <a:effectRef idx="0"/>
                <a:fontRef idx="minor"/>
              </xdr:style>
            </xdr:sp>
            <xdr:sp>
              <xdr:nvSpPr>
                <xdr:cNvPr id="1547" name="455 Rectángulo redondeado"/>
                <xdr:cNvSpPr/>
              </xdr:nvSpPr>
              <xdr:spPr>
                <a:xfrm>
                  <a:off x="3737880" y="16378560"/>
                  <a:ext cx="4500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nvGrpSpPr>
                <xdr:cNvPr id="1548" name="Grupo 145"/>
                <xdr:cNvGrpSpPr/>
              </xdr:nvGrpSpPr>
              <xdr:grpSpPr>
                <a:xfrm>
                  <a:off x="3632400" y="16463880"/>
                  <a:ext cx="945360" cy="601560"/>
                  <a:chOff x="3632400" y="16463880"/>
                  <a:chExt cx="945360" cy="601560"/>
                </a:xfrm>
              </xdr:grpSpPr>
              <xdr:sp>
                <xdr:nvSpPr>
                  <xdr:cNvPr id="1549" name="Oval 40"/>
                  <xdr:cNvSpPr/>
                </xdr:nvSpPr>
                <xdr:spPr>
                  <a:xfrm rot="10800000">
                    <a:off x="3666960" y="16711200"/>
                    <a:ext cx="199080" cy="209160"/>
                  </a:xfrm>
                  <a:prstGeom prst="ellipse">
                    <a:avLst/>
                  </a:prstGeom>
                  <a:noFill/>
                  <a:ln w="12700">
                    <a:solidFill>
                      <a:srgbClr val="000000"/>
                    </a:solidFill>
                    <a:round/>
                  </a:ln>
                </xdr:spPr>
                <xdr:style>
                  <a:lnRef idx="0"/>
                  <a:fillRef idx="0"/>
                  <a:effectRef idx="0"/>
                  <a:fontRef idx="minor"/>
                </xdr:style>
              </xdr:sp>
              <xdr:sp>
                <xdr:nvSpPr>
                  <xdr:cNvPr id="1550" name="Oval 41"/>
                  <xdr:cNvSpPr/>
                </xdr:nvSpPr>
                <xdr:spPr>
                  <a:xfrm rot="10800000">
                    <a:off x="3663720" y="16599240"/>
                    <a:ext cx="199080" cy="209160"/>
                  </a:xfrm>
                  <a:prstGeom prst="ellipse">
                    <a:avLst/>
                  </a:prstGeom>
                  <a:noFill/>
                  <a:ln w="12700">
                    <a:solidFill>
                      <a:srgbClr val="ffc000"/>
                    </a:solidFill>
                    <a:round/>
                  </a:ln>
                </xdr:spPr>
                <xdr:style>
                  <a:lnRef idx="0"/>
                  <a:fillRef idx="0"/>
                  <a:effectRef idx="0"/>
                  <a:fontRef idx="minor"/>
                </xdr:style>
              </xdr:sp>
              <xdr:sp>
                <xdr:nvSpPr>
                  <xdr:cNvPr id="1551" name="Line 206"/>
                  <xdr:cNvSpPr/>
                </xdr:nvSpPr>
                <xdr:spPr>
                  <a:xfrm>
                    <a:off x="3757680" y="16463880"/>
                    <a:ext cx="360" cy="132120"/>
                  </a:xfrm>
                  <a:prstGeom prst="line">
                    <a:avLst/>
                  </a:prstGeom>
                  <a:ln w="15875">
                    <a:solidFill>
                      <a:srgbClr val="ffc000"/>
                    </a:solidFill>
                    <a:round/>
                  </a:ln>
                </xdr:spPr>
                <xdr:style>
                  <a:lnRef idx="0"/>
                  <a:fillRef idx="0"/>
                  <a:effectRef idx="0"/>
                  <a:fontRef idx="minor"/>
                </xdr:style>
              </xdr:sp>
              <xdr:sp>
                <xdr:nvSpPr>
                  <xdr:cNvPr id="1552" name="452 Rectángulo redondeado"/>
                  <xdr:cNvSpPr/>
                </xdr:nvSpPr>
                <xdr:spPr>
                  <a:xfrm>
                    <a:off x="3735360" y="16499880"/>
                    <a:ext cx="4572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553" name="Line 99"/>
                  <xdr:cNvSpPr/>
                </xdr:nvSpPr>
                <xdr:spPr>
                  <a:xfrm>
                    <a:off x="3632400" y="17061840"/>
                    <a:ext cx="945360" cy="360"/>
                  </a:xfrm>
                  <a:prstGeom prst="line">
                    <a:avLst/>
                  </a:prstGeom>
                  <a:ln w="25400">
                    <a:solidFill>
                      <a:srgbClr val="000000"/>
                    </a:solidFill>
                    <a:round/>
                  </a:ln>
                </xdr:spPr>
                <xdr:style>
                  <a:lnRef idx="0"/>
                  <a:fillRef idx="0"/>
                  <a:effectRef idx="0"/>
                  <a:fontRef idx="minor"/>
                </xdr:style>
              </xdr:sp>
              <xdr:sp>
                <xdr:nvSpPr>
                  <xdr:cNvPr id="1554" name="Line 280"/>
                  <xdr:cNvSpPr/>
                </xdr:nvSpPr>
                <xdr:spPr>
                  <a:xfrm>
                    <a:off x="3765600" y="16921800"/>
                    <a:ext cx="360" cy="143640"/>
                  </a:xfrm>
                  <a:prstGeom prst="line">
                    <a:avLst/>
                  </a:prstGeom>
                  <a:ln w="15875">
                    <a:solidFill>
                      <a:srgbClr val="000000"/>
                    </a:solidFill>
                    <a:round/>
                  </a:ln>
                </xdr:spPr>
                <xdr:style>
                  <a:lnRef idx="0"/>
                  <a:fillRef idx="0"/>
                  <a:effectRef idx="0"/>
                  <a:fontRef idx="minor"/>
                </xdr:style>
              </xdr:sp>
              <xdr:sp>
                <xdr:nvSpPr>
                  <xdr:cNvPr id="1555" name="455 Rectángulo redondeado"/>
                  <xdr:cNvSpPr/>
                </xdr:nvSpPr>
                <xdr:spPr>
                  <a:xfrm rot="5400000">
                    <a:off x="3747960" y="16967520"/>
                    <a:ext cx="39960" cy="457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1556" name="61 CuadroTexto"/>
                <xdr:cNvSpPr/>
              </xdr:nvSpPr>
              <xdr:spPr>
                <a:xfrm>
                  <a:off x="2981160" y="16664400"/>
                  <a:ext cx="70704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6,5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sp>
              <xdr:nvSpPr>
                <xdr:cNvPr id="1557" name="Text Box 188"/>
                <xdr:cNvSpPr/>
              </xdr:nvSpPr>
              <xdr:spPr>
                <a:xfrm>
                  <a:off x="2936160" y="16971840"/>
                  <a:ext cx="70740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Hato Nuevo 13,8 kV</a:t>
                  </a:r>
                  <a:endParaRPr b="0" lang="en-GB" sz="600" spc="-1" strike="noStrike">
                    <a:latin typeface="Times New Roman"/>
                  </a:endParaRPr>
                </a:p>
              </xdr:txBody>
            </xdr:sp>
          </xdr:grpSp>
        </xdr:grpSp>
        <xdr:grpSp>
          <xdr:nvGrpSpPr>
            <xdr:cNvPr id="1558" name="Grupo 132"/>
            <xdr:cNvGrpSpPr/>
          </xdr:nvGrpSpPr>
          <xdr:grpSpPr>
            <a:xfrm>
              <a:off x="4242240" y="16461360"/>
              <a:ext cx="860040" cy="602280"/>
              <a:chOff x="4242240" y="16461360"/>
              <a:chExt cx="860040" cy="602280"/>
            </a:xfrm>
          </xdr:grpSpPr>
          <xdr:grpSp>
            <xdr:nvGrpSpPr>
              <xdr:cNvPr id="1559" name="Grupo 133"/>
              <xdr:cNvGrpSpPr/>
            </xdr:nvGrpSpPr>
            <xdr:grpSpPr>
              <a:xfrm>
                <a:off x="4242240" y="16461360"/>
                <a:ext cx="201960" cy="602280"/>
                <a:chOff x="4242240" y="16461360"/>
                <a:chExt cx="201960" cy="602280"/>
              </a:xfrm>
            </xdr:grpSpPr>
            <xdr:sp>
              <xdr:nvSpPr>
                <xdr:cNvPr id="1560" name="Oval 40"/>
                <xdr:cNvSpPr/>
              </xdr:nvSpPr>
              <xdr:spPr>
                <a:xfrm rot="10800000">
                  <a:off x="4245120" y="16708320"/>
                  <a:ext cx="199080" cy="209160"/>
                </a:xfrm>
                <a:prstGeom prst="ellipse">
                  <a:avLst/>
                </a:prstGeom>
                <a:noFill/>
                <a:ln w="12700">
                  <a:solidFill>
                    <a:srgbClr val="000000"/>
                  </a:solidFill>
                  <a:round/>
                </a:ln>
              </xdr:spPr>
              <xdr:style>
                <a:lnRef idx="0"/>
                <a:fillRef idx="0"/>
                <a:effectRef idx="0"/>
                <a:fontRef idx="minor"/>
              </xdr:style>
            </xdr:sp>
            <xdr:sp>
              <xdr:nvSpPr>
                <xdr:cNvPr id="1561" name="Oval 41"/>
                <xdr:cNvSpPr/>
              </xdr:nvSpPr>
              <xdr:spPr>
                <a:xfrm rot="10800000">
                  <a:off x="4242240" y="16596720"/>
                  <a:ext cx="199080" cy="209160"/>
                </a:xfrm>
                <a:prstGeom prst="ellipse">
                  <a:avLst/>
                </a:prstGeom>
                <a:noFill/>
                <a:ln w="12700">
                  <a:solidFill>
                    <a:srgbClr val="ffc000"/>
                  </a:solidFill>
                  <a:round/>
                </a:ln>
              </xdr:spPr>
              <xdr:style>
                <a:lnRef idx="0"/>
                <a:fillRef idx="0"/>
                <a:effectRef idx="0"/>
                <a:fontRef idx="minor"/>
              </xdr:style>
            </xdr:sp>
            <xdr:sp>
              <xdr:nvSpPr>
                <xdr:cNvPr id="1562" name="Line 206"/>
                <xdr:cNvSpPr/>
              </xdr:nvSpPr>
              <xdr:spPr>
                <a:xfrm>
                  <a:off x="4336200" y="16461360"/>
                  <a:ext cx="360" cy="132120"/>
                </a:xfrm>
                <a:prstGeom prst="line">
                  <a:avLst/>
                </a:prstGeom>
                <a:ln w="15875">
                  <a:solidFill>
                    <a:srgbClr val="ffc000"/>
                  </a:solidFill>
                  <a:round/>
                </a:ln>
              </xdr:spPr>
              <xdr:style>
                <a:lnRef idx="0"/>
                <a:fillRef idx="0"/>
                <a:effectRef idx="0"/>
                <a:fontRef idx="minor"/>
              </xdr:style>
            </xdr:sp>
            <xdr:sp>
              <xdr:nvSpPr>
                <xdr:cNvPr id="1563" name="452 Rectángulo redondeado"/>
                <xdr:cNvSpPr/>
              </xdr:nvSpPr>
              <xdr:spPr>
                <a:xfrm>
                  <a:off x="4313520" y="16497000"/>
                  <a:ext cx="4572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564" name="Line 280"/>
                <xdr:cNvSpPr/>
              </xdr:nvSpPr>
              <xdr:spPr>
                <a:xfrm>
                  <a:off x="4343760" y="16918920"/>
                  <a:ext cx="360" cy="144720"/>
                </a:xfrm>
                <a:prstGeom prst="line">
                  <a:avLst/>
                </a:prstGeom>
                <a:ln w="15875">
                  <a:solidFill>
                    <a:srgbClr val="000000"/>
                  </a:solidFill>
                  <a:round/>
                </a:ln>
              </xdr:spPr>
              <xdr:style>
                <a:lnRef idx="0"/>
                <a:fillRef idx="0"/>
                <a:effectRef idx="0"/>
                <a:fontRef idx="minor"/>
              </xdr:style>
            </xdr:sp>
            <xdr:sp>
              <xdr:nvSpPr>
                <xdr:cNvPr id="1565" name="455 Rectángulo redondeado"/>
                <xdr:cNvSpPr/>
              </xdr:nvSpPr>
              <xdr:spPr>
                <a:xfrm rot="5400000">
                  <a:off x="4326120" y="16964640"/>
                  <a:ext cx="39960" cy="457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1566" name="61 CuadroTexto"/>
              <xdr:cNvSpPr/>
            </xdr:nvSpPr>
            <xdr:spPr>
              <a:xfrm>
                <a:off x="4395240" y="16651440"/>
                <a:ext cx="70704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6,5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grpSp>
      </xdr:grpSp>
      <xdr:sp>
        <xdr:nvSpPr>
          <xdr:cNvPr id="1567" name="Line 280"/>
          <xdr:cNvSpPr/>
        </xdr:nvSpPr>
        <xdr:spPr>
          <a:xfrm>
            <a:off x="4019040" y="17058600"/>
            <a:ext cx="360" cy="261720"/>
          </a:xfrm>
          <a:prstGeom prst="line">
            <a:avLst/>
          </a:prstGeom>
          <a:ln w="15875">
            <a:solidFill>
              <a:srgbClr val="000000"/>
            </a:solidFill>
            <a:round/>
            <a:tailEnd len="med" type="triangle" w="med"/>
          </a:ln>
        </xdr:spPr>
        <xdr:style>
          <a:lnRef idx="0"/>
          <a:fillRef idx="0"/>
          <a:effectRef idx="0"/>
          <a:fontRef idx="minor"/>
        </xdr:style>
      </xdr:sp>
      <xdr:sp>
        <xdr:nvSpPr>
          <xdr:cNvPr id="1568" name="455 Rectángulo redondeado"/>
          <xdr:cNvSpPr/>
        </xdr:nvSpPr>
        <xdr:spPr>
          <a:xfrm rot="5400000">
            <a:off x="4002480" y="17110800"/>
            <a:ext cx="40680" cy="446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5</xdr:col>
      <xdr:colOff>185040</xdr:colOff>
      <xdr:row>84</xdr:row>
      <xdr:rowOff>90360</xdr:rowOff>
    </xdr:from>
    <xdr:to>
      <xdr:col>5</xdr:col>
      <xdr:colOff>185040</xdr:colOff>
      <xdr:row>85</xdr:row>
      <xdr:rowOff>26280</xdr:rowOff>
    </xdr:to>
    <xdr:sp>
      <xdr:nvSpPr>
        <xdr:cNvPr id="1569" name="Line 244"/>
        <xdr:cNvSpPr/>
      </xdr:nvSpPr>
      <xdr:spPr>
        <a:xfrm>
          <a:off x="4376160" y="16320960"/>
          <a:ext cx="0" cy="126360"/>
        </a:xfrm>
        <a:prstGeom prst="line">
          <a:avLst/>
        </a:prstGeom>
        <a:ln w="15875">
          <a:solidFill>
            <a:srgbClr val="ffc000"/>
          </a:solidFill>
          <a:round/>
        </a:ln>
      </xdr:spPr>
      <xdr:style>
        <a:lnRef idx="0"/>
        <a:fillRef idx="0"/>
        <a:effectRef idx="0"/>
        <a:fontRef idx="minor"/>
      </xdr:style>
    </xdr:sp>
    <xdr:clientData/>
  </xdr:twoCellAnchor>
  <xdr:twoCellAnchor editAs="twoCell">
    <xdr:from>
      <xdr:col>5</xdr:col>
      <xdr:colOff>166680</xdr:colOff>
      <xdr:row>84</xdr:row>
      <xdr:rowOff>150120</xdr:rowOff>
    </xdr:from>
    <xdr:to>
      <xdr:col>5</xdr:col>
      <xdr:colOff>207000</xdr:colOff>
      <xdr:row>84</xdr:row>
      <xdr:rowOff>189720</xdr:rowOff>
    </xdr:to>
    <xdr:sp>
      <xdr:nvSpPr>
        <xdr:cNvPr id="1570" name="455 Rectángulo redondeado"/>
        <xdr:cNvSpPr/>
      </xdr:nvSpPr>
      <xdr:spPr>
        <a:xfrm>
          <a:off x="4357800" y="1638072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5</xdr:col>
      <xdr:colOff>179280</xdr:colOff>
      <xdr:row>84</xdr:row>
      <xdr:rowOff>96480</xdr:rowOff>
    </xdr:from>
    <xdr:to>
      <xdr:col>7</xdr:col>
      <xdr:colOff>90720</xdr:colOff>
      <xdr:row>84</xdr:row>
      <xdr:rowOff>96480</xdr:rowOff>
    </xdr:to>
    <xdr:sp>
      <xdr:nvSpPr>
        <xdr:cNvPr id="1571" name="Line 244"/>
        <xdr:cNvSpPr/>
      </xdr:nvSpPr>
      <xdr:spPr>
        <a:xfrm flipH="1">
          <a:off x="4370400" y="16327080"/>
          <a:ext cx="1587600" cy="0"/>
        </a:xfrm>
        <a:prstGeom prst="line">
          <a:avLst/>
        </a:prstGeom>
        <a:ln w="15875">
          <a:solidFill>
            <a:srgbClr val="ffc000"/>
          </a:solidFill>
          <a:round/>
        </a:ln>
      </xdr:spPr>
      <xdr:style>
        <a:lnRef idx="0"/>
        <a:fillRef idx="0"/>
        <a:effectRef idx="0"/>
        <a:fontRef idx="minor"/>
      </xdr:style>
    </xdr:sp>
    <xdr:clientData/>
  </xdr:twoCellAnchor>
  <xdr:twoCellAnchor editAs="twoCell">
    <xdr:from>
      <xdr:col>6</xdr:col>
      <xdr:colOff>97200</xdr:colOff>
      <xdr:row>84</xdr:row>
      <xdr:rowOff>92520</xdr:rowOff>
    </xdr:from>
    <xdr:to>
      <xdr:col>8</xdr:col>
      <xdr:colOff>523080</xdr:colOff>
      <xdr:row>89</xdr:row>
      <xdr:rowOff>138240</xdr:rowOff>
    </xdr:to>
    <xdr:grpSp>
      <xdr:nvGrpSpPr>
        <xdr:cNvPr id="1572" name="Grupo 158"/>
        <xdr:cNvGrpSpPr/>
      </xdr:nvGrpSpPr>
      <xdr:grpSpPr>
        <a:xfrm>
          <a:off x="5126400" y="16323120"/>
          <a:ext cx="2102400" cy="998280"/>
          <a:chOff x="5126400" y="16323120"/>
          <a:chExt cx="2102400" cy="998280"/>
        </a:xfrm>
      </xdr:grpSpPr>
      <xdr:grpSp>
        <xdr:nvGrpSpPr>
          <xdr:cNvPr id="1573" name="Grupo 159"/>
          <xdr:cNvGrpSpPr/>
        </xdr:nvGrpSpPr>
        <xdr:grpSpPr>
          <a:xfrm>
            <a:off x="5126400" y="16323120"/>
            <a:ext cx="2102400" cy="882720"/>
            <a:chOff x="5126400" y="16323120"/>
            <a:chExt cx="2102400" cy="882720"/>
          </a:xfrm>
        </xdr:grpSpPr>
        <xdr:grpSp>
          <xdr:nvGrpSpPr>
            <xdr:cNvPr id="1574" name="Grupo 162"/>
            <xdr:cNvGrpSpPr/>
          </xdr:nvGrpSpPr>
          <xdr:grpSpPr>
            <a:xfrm>
              <a:off x="5126400" y="16323120"/>
              <a:ext cx="1526400" cy="882720"/>
              <a:chOff x="5126400" y="16323120"/>
              <a:chExt cx="1526400" cy="882720"/>
            </a:xfrm>
          </xdr:grpSpPr>
          <xdr:sp>
            <xdr:nvSpPr>
              <xdr:cNvPr id="1575" name="Text Box 188"/>
              <xdr:cNvSpPr/>
            </xdr:nvSpPr>
            <xdr:spPr>
              <a:xfrm>
                <a:off x="5126400" y="16323120"/>
                <a:ext cx="640800" cy="2332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Barrancas 34,5 kV</a:t>
                </a:r>
                <a:endParaRPr b="0" lang="en-GB" sz="600" spc="-1" strike="noStrike">
                  <a:latin typeface="Times New Roman"/>
                </a:endParaRPr>
              </a:p>
            </xdr:txBody>
          </xdr:sp>
          <xdr:grpSp>
            <xdr:nvGrpSpPr>
              <xdr:cNvPr id="1576" name="Grupo 173"/>
              <xdr:cNvGrpSpPr/>
            </xdr:nvGrpSpPr>
            <xdr:grpSpPr>
              <a:xfrm>
                <a:off x="5138280" y="16378560"/>
                <a:ext cx="1514520" cy="827280"/>
                <a:chOff x="5138280" y="16378560"/>
                <a:chExt cx="1514520" cy="827280"/>
              </a:xfrm>
            </xdr:grpSpPr>
            <xdr:sp>
              <xdr:nvSpPr>
                <xdr:cNvPr id="1577" name="Line 38"/>
                <xdr:cNvSpPr/>
              </xdr:nvSpPr>
              <xdr:spPr>
                <a:xfrm>
                  <a:off x="5663880" y="16454520"/>
                  <a:ext cx="988920" cy="360"/>
                </a:xfrm>
                <a:prstGeom prst="line">
                  <a:avLst/>
                </a:prstGeom>
                <a:ln w="25400">
                  <a:solidFill>
                    <a:srgbClr val="ffc000"/>
                  </a:solidFill>
                  <a:round/>
                </a:ln>
              </xdr:spPr>
              <xdr:style>
                <a:lnRef idx="0"/>
                <a:fillRef idx="0"/>
                <a:effectRef idx="0"/>
                <a:fontRef idx="minor"/>
              </xdr:style>
            </xdr:sp>
            <xdr:sp>
              <xdr:nvSpPr>
                <xdr:cNvPr id="1578" name="455 Rectángulo redondeado"/>
                <xdr:cNvSpPr/>
              </xdr:nvSpPr>
              <xdr:spPr>
                <a:xfrm>
                  <a:off x="5912280" y="16378560"/>
                  <a:ext cx="4320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nvGrpSpPr>
                <xdr:cNvPr id="1579" name="Grupo 176"/>
                <xdr:cNvGrpSpPr/>
              </xdr:nvGrpSpPr>
              <xdr:grpSpPr>
                <a:xfrm>
                  <a:off x="5810040" y="16463880"/>
                  <a:ext cx="298080" cy="602280"/>
                  <a:chOff x="5810040" y="16463880"/>
                  <a:chExt cx="298080" cy="602280"/>
                </a:xfrm>
              </xdr:grpSpPr>
              <xdr:sp>
                <xdr:nvSpPr>
                  <xdr:cNvPr id="1580" name="Oval 40"/>
                  <xdr:cNvSpPr/>
                </xdr:nvSpPr>
                <xdr:spPr>
                  <a:xfrm rot="10800000">
                    <a:off x="5843520" y="16711200"/>
                    <a:ext cx="192240" cy="209520"/>
                  </a:xfrm>
                  <a:prstGeom prst="ellipse">
                    <a:avLst/>
                  </a:prstGeom>
                  <a:noFill/>
                  <a:ln w="12700">
                    <a:solidFill>
                      <a:srgbClr val="000000"/>
                    </a:solidFill>
                    <a:round/>
                  </a:ln>
                </xdr:spPr>
                <xdr:style>
                  <a:lnRef idx="0"/>
                  <a:fillRef idx="0"/>
                  <a:effectRef idx="0"/>
                  <a:fontRef idx="minor"/>
                </xdr:style>
              </xdr:sp>
              <xdr:sp>
                <xdr:nvSpPr>
                  <xdr:cNvPr id="1581" name="Oval 41"/>
                  <xdr:cNvSpPr/>
                </xdr:nvSpPr>
                <xdr:spPr>
                  <a:xfrm rot="10800000">
                    <a:off x="5840640" y="16599240"/>
                    <a:ext cx="192240" cy="209520"/>
                  </a:xfrm>
                  <a:prstGeom prst="ellipse">
                    <a:avLst/>
                  </a:prstGeom>
                  <a:noFill/>
                  <a:ln w="12700">
                    <a:solidFill>
                      <a:srgbClr val="ffc000"/>
                    </a:solidFill>
                    <a:round/>
                  </a:ln>
                </xdr:spPr>
                <xdr:style>
                  <a:lnRef idx="0"/>
                  <a:fillRef idx="0"/>
                  <a:effectRef idx="0"/>
                  <a:fontRef idx="minor"/>
                </xdr:style>
              </xdr:sp>
              <xdr:sp>
                <xdr:nvSpPr>
                  <xdr:cNvPr id="1582" name="Line 206"/>
                  <xdr:cNvSpPr/>
                </xdr:nvSpPr>
                <xdr:spPr>
                  <a:xfrm>
                    <a:off x="5931360" y="16463880"/>
                    <a:ext cx="360" cy="132480"/>
                  </a:xfrm>
                  <a:prstGeom prst="line">
                    <a:avLst/>
                  </a:prstGeom>
                  <a:ln w="15875">
                    <a:solidFill>
                      <a:srgbClr val="ffc000"/>
                    </a:solidFill>
                    <a:round/>
                  </a:ln>
                </xdr:spPr>
                <xdr:style>
                  <a:lnRef idx="0"/>
                  <a:fillRef idx="0"/>
                  <a:effectRef idx="0"/>
                  <a:fontRef idx="minor"/>
                </xdr:style>
              </xdr:sp>
              <xdr:sp>
                <xdr:nvSpPr>
                  <xdr:cNvPr id="1583" name="452 Rectángulo redondeado"/>
                  <xdr:cNvSpPr/>
                </xdr:nvSpPr>
                <xdr:spPr>
                  <a:xfrm>
                    <a:off x="5909400" y="16499880"/>
                    <a:ext cx="4392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584" name="Line 99"/>
                  <xdr:cNvSpPr/>
                </xdr:nvSpPr>
                <xdr:spPr>
                  <a:xfrm>
                    <a:off x="5810040" y="17062560"/>
                    <a:ext cx="298080" cy="360"/>
                  </a:xfrm>
                  <a:prstGeom prst="line">
                    <a:avLst/>
                  </a:prstGeom>
                  <a:ln w="25400">
                    <a:solidFill>
                      <a:srgbClr val="000000"/>
                    </a:solidFill>
                    <a:round/>
                  </a:ln>
                </xdr:spPr>
                <xdr:style>
                  <a:lnRef idx="0"/>
                  <a:fillRef idx="0"/>
                  <a:effectRef idx="0"/>
                  <a:fontRef idx="minor"/>
                </xdr:style>
              </xdr:sp>
              <xdr:sp>
                <xdr:nvSpPr>
                  <xdr:cNvPr id="1585" name="Line 280"/>
                  <xdr:cNvSpPr/>
                </xdr:nvSpPr>
                <xdr:spPr>
                  <a:xfrm>
                    <a:off x="5938560" y="16922160"/>
                    <a:ext cx="360" cy="144000"/>
                  </a:xfrm>
                  <a:prstGeom prst="line">
                    <a:avLst/>
                  </a:prstGeom>
                  <a:ln w="15875">
                    <a:solidFill>
                      <a:srgbClr val="000000"/>
                    </a:solidFill>
                    <a:round/>
                  </a:ln>
                </xdr:spPr>
                <xdr:style>
                  <a:lnRef idx="0"/>
                  <a:fillRef idx="0"/>
                  <a:effectRef idx="0"/>
                  <a:fontRef idx="minor"/>
                </xdr:style>
              </xdr:sp>
              <xdr:sp>
                <xdr:nvSpPr>
                  <xdr:cNvPr id="1586" name="455 Rectángulo redondeado"/>
                  <xdr:cNvSpPr/>
                </xdr:nvSpPr>
                <xdr:spPr>
                  <a:xfrm rot="5400000">
                    <a:off x="5920920" y="16968600"/>
                    <a:ext cx="39960" cy="439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1587" name="61 CuadroTexto"/>
                <xdr:cNvSpPr/>
              </xdr:nvSpPr>
              <xdr:spPr>
                <a:xfrm>
                  <a:off x="5181480" y="16664760"/>
                  <a:ext cx="68220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8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sp>
              <xdr:nvSpPr>
                <xdr:cNvPr id="1588" name="Text Box 188"/>
                <xdr:cNvSpPr/>
              </xdr:nvSpPr>
              <xdr:spPr>
                <a:xfrm>
                  <a:off x="5138280" y="16972560"/>
                  <a:ext cx="682560" cy="2332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Barrancas B1 13,8 kV</a:t>
                  </a:r>
                  <a:endParaRPr b="0" lang="en-GB" sz="600" spc="-1" strike="noStrike">
                    <a:latin typeface="Times New Roman"/>
                  </a:endParaRPr>
                </a:p>
              </xdr:txBody>
            </xdr:sp>
          </xdr:grpSp>
        </xdr:grpSp>
        <xdr:grpSp>
          <xdr:nvGrpSpPr>
            <xdr:cNvPr id="1589" name="Grupo 163"/>
            <xdr:cNvGrpSpPr/>
          </xdr:nvGrpSpPr>
          <xdr:grpSpPr>
            <a:xfrm>
              <a:off x="6398640" y="16461000"/>
              <a:ext cx="830160" cy="603360"/>
              <a:chOff x="6398640" y="16461000"/>
              <a:chExt cx="830160" cy="603360"/>
            </a:xfrm>
          </xdr:grpSpPr>
          <xdr:grpSp>
            <xdr:nvGrpSpPr>
              <xdr:cNvPr id="1590" name="Grupo 164"/>
              <xdr:cNvGrpSpPr/>
            </xdr:nvGrpSpPr>
            <xdr:grpSpPr>
              <a:xfrm>
                <a:off x="6398640" y="16461000"/>
                <a:ext cx="195120" cy="603360"/>
                <a:chOff x="6398640" y="16461000"/>
                <a:chExt cx="195120" cy="603360"/>
              </a:xfrm>
            </xdr:grpSpPr>
            <xdr:sp>
              <xdr:nvSpPr>
                <xdr:cNvPr id="1591" name="Oval 40"/>
                <xdr:cNvSpPr/>
              </xdr:nvSpPr>
              <xdr:spPr>
                <a:xfrm rot="10800000">
                  <a:off x="6401520" y="16708320"/>
                  <a:ext cx="192240" cy="209520"/>
                </a:xfrm>
                <a:prstGeom prst="ellipse">
                  <a:avLst/>
                </a:prstGeom>
                <a:noFill/>
                <a:ln w="12700">
                  <a:solidFill>
                    <a:srgbClr val="000000"/>
                  </a:solidFill>
                  <a:round/>
                </a:ln>
              </xdr:spPr>
              <xdr:style>
                <a:lnRef idx="0"/>
                <a:fillRef idx="0"/>
                <a:effectRef idx="0"/>
                <a:fontRef idx="minor"/>
              </xdr:style>
            </xdr:sp>
            <xdr:sp>
              <xdr:nvSpPr>
                <xdr:cNvPr id="1592" name="Oval 41"/>
                <xdr:cNvSpPr/>
              </xdr:nvSpPr>
              <xdr:spPr>
                <a:xfrm rot="10800000">
                  <a:off x="6398640" y="16596720"/>
                  <a:ext cx="192240" cy="209520"/>
                </a:xfrm>
                <a:prstGeom prst="ellipse">
                  <a:avLst/>
                </a:prstGeom>
                <a:noFill/>
                <a:ln w="12700">
                  <a:solidFill>
                    <a:srgbClr val="ffc000"/>
                  </a:solidFill>
                  <a:round/>
                </a:ln>
              </xdr:spPr>
              <xdr:style>
                <a:lnRef idx="0"/>
                <a:fillRef idx="0"/>
                <a:effectRef idx="0"/>
                <a:fontRef idx="minor"/>
              </xdr:style>
            </xdr:sp>
            <xdr:sp>
              <xdr:nvSpPr>
                <xdr:cNvPr id="1593" name="Line 206"/>
                <xdr:cNvSpPr/>
              </xdr:nvSpPr>
              <xdr:spPr>
                <a:xfrm>
                  <a:off x="6489360" y="16461000"/>
                  <a:ext cx="360" cy="132480"/>
                </a:xfrm>
                <a:prstGeom prst="line">
                  <a:avLst/>
                </a:prstGeom>
                <a:ln w="15875">
                  <a:solidFill>
                    <a:srgbClr val="ffc000"/>
                  </a:solidFill>
                  <a:round/>
                </a:ln>
              </xdr:spPr>
              <xdr:style>
                <a:lnRef idx="0"/>
                <a:fillRef idx="0"/>
                <a:effectRef idx="0"/>
                <a:fontRef idx="minor"/>
              </xdr:style>
            </xdr:sp>
            <xdr:sp>
              <xdr:nvSpPr>
                <xdr:cNvPr id="1594" name="452 Rectángulo redondeado"/>
                <xdr:cNvSpPr/>
              </xdr:nvSpPr>
              <xdr:spPr>
                <a:xfrm>
                  <a:off x="6467400" y="16497000"/>
                  <a:ext cx="4392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595" name="Line 280"/>
                <xdr:cNvSpPr/>
              </xdr:nvSpPr>
              <xdr:spPr>
                <a:xfrm>
                  <a:off x="6496560" y="16919640"/>
                  <a:ext cx="360" cy="144720"/>
                </a:xfrm>
                <a:prstGeom prst="line">
                  <a:avLst/>
                </a:prstGeom>
                <a:ln w="15875">
                  <a:solidFill>
                    <a:srgbClr val="000000"/>
                  </a:solidFill>
                  <a:round/>
                </a:ln>
              </xdr:spPr>
              <xdr:style>
                <a:lnRef idx="0"/>
                <a:fillRef idx="0"/>
                <a:effectRef idx="0"/>
                <a:fontRef idx="minor"/>
              </xdr:style>
            </xdr:sp>
            <xdr:sp>
              <xdr:nvSpPr>
                <xdr:cNvPr id="1596" name="455 Rectángulo redondeado"/>
                <xdr:cNvSpPr/>
              </xdr:nvSpPr>
              <xdr:spPr>
                <a:xfrm rot="5400000">
                  <a:off x="6478920" y="16966080"/>
                  <a:ext cx="39960" cy="439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1597" name="61 CuadroTexto"/>
              <xdr:cNvSpPr/>
            </xdr:nvSpPr>
            <xdr:spPr>
              <a:xfrm>
                <a:off x="6546600" y="16651800"/>
                <a:ext cx="68220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4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grpSp>
      </xdr:grpSp>
      <xdr:sp>
        <xdr:nvSpPr>
          <xdr:cNvPr id="1598" name="Line 280"/>
          <xdr:cNvSpPr/>
        </xdr:nvSpPr>
        <xdr:spPr>
          <a:xfrm>
            <a:off x="5936040" y="17059320"/>
            <a:ext cx="360" cy="262080"/>
          </a:xfrm>
          <a:prstGeom prst="line">
            <a:avLst/>
          </a:prstGeom>
          <a:ln w="15875">
            <a:solidFill>
              <a:srgbClr val="000000"/>
            </a:solidFill>
            <a:round/>
            <a:tailEnd len="med" type="triangle" w="med"/>
          </a:ln>
        </xdr:spPr>
        <xdr:style>
          <a:lnRef idx="0"/>
          <a:fillRef idx="0"/>
          <a:effectRef idx="0"/>
          <a:fontRef idx="minor"/>
        </xdr:style>
      </xdr:sp>
      <xdr:sp>
        <xdr:nvSpPr>
          <xdr:cNvPr id="1599" name="455 Rectángulo redondeado"/>
          <xdr:cNvSpPr/>
        </xdr:nvSpPr>
        <xdr:spPr>
          <a:xfrm rot="5400000">
            <a:off x="5919480" y="17112600"/>
            <a:ext cx="41040" cy="432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7</xdr:col>
      <xdr:colOff>81000</xdr:colOff>
      <xdr:row>84</xdr:row>
      <xdr:rowOff>88920</xdr:rowOff>
    </xdr:from>
    <xdr:to>
      <xdr:col>7</xdr:col>
      <xdr:colOff>81000</xdr:colOff>
      <xdr:row>85</xdr:row>
      <xdr:rowOff>25200</xdr:rowOff>
    </xdr:to>
    <xdr:sp>
      <xdr:nvSpPr>
        <xdr:cNvPr id="1600" name="Line 244"/>
        <xdr:cNvSpPr/>
      </xdr:nvSpPr>
      <xdr:spPr>
        <a:xfrm>
          <a:off x="5948280" y="16319520"/>
          <a:ext cx="0" cy="126720"/>
        </a:xfrm>
        <a:prstGeom prst="line">
          <a:avLst/>
        </a:prstGeom>
        <a:ln w="15875">
          <a:solidFill>
            <a:srgbClr val="ffc000"/>
          </a:solidFill>
          <a:round/>
        </a:ln>
      </xdr:spPr>
      <xdr:style>
        <a:lnRef idx="0"/>
        <a:fillRef idx="0"/>
        <a:effectRef idx="0"/>
        <a:fontRef idx="minor"/>
      </xdr:style>
    </xdr:sp>
    <xdr:clientData/>
  </xdr:twoCellAnchor>
  <xdr:twoCellAnchor editAs="twoCell">
    <xdr:from>
      <xdr:col>7</xdr:col>
      <xdr:colOff>608040</xdr:colOff>
      <xdr:row>88</xdr:row>
      <xdr:rowOff>59760</xdr:rowOff>
    </xdr:from>
    <xdr:to>
      <xdr:col>7</xdr:col>
      <xdr:colOff>608040</xdr:colOff>
      <xdr:row>89</xdr:row>
      <xdr:rowOff>131760</xdr:rowOff>
    </xdr:to>
    <xdr:sp>
      <xdr:nvSpPr>
        <xdr:cNvPr id="1601" name="Line 280"/>
        <xdr:cNvSpPr/>
      </xdr:nvSpPr>
      <xdr:spPr>
        <a:xfrm>
          <a:off x="6475320" y="17052480"/>
          <a:ext cx="0" cy="26244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7</xdr:col>
      <xdr:colOff>713880</xdr:colOff>
      <xdr:row>87</xdr:row>
      <xdr:rowOff>134280</xdr:rowOff>
    </xdr:from>
    <xdr:to>
      <xdr:col>8</xdr:col>
      <xdr:colOff>585000</xdr:colOff>
      <xdr:row>88</xdr:row>
      <xdr:rowOff>177120</xdr:rowOff>
    </xdr:to>
    <xdr:sp>
      <xdr:nvSpPr>
        <xdr:cNvPr id="1602" name="Text Box 188"/>
        <xdr:cNvSpPr/>
      </xdr:nvSpPr>
      <xdr:spPr>
        <a:xfrm>
          <a:off x="6581160" y="16936560"/>
          <a:ext cx="709560" cy="2332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Barrancas B2 13,8 kV</a:t>
          </a:r>
          <a:endParaRPr b="0" lang="en-GB" sz="600" spc="-1" strike="noStrike">
            <a:latin typeface="Times New Roman"/>
          </a:endParaRPr>
        </a:p>
      </xdr:txBody>
    </xdr:sp>
    <xdr:clientData/>
  </xdr:twoCellAnchor>
  <xdr:twoCellAnchor editAs="twoCell">
    <xdr:from>
      <xdr:col>13</xdr:col>
      <xdr:colOff>338040</xdr:colOff>
      <xdr:row>81</xdr:row>
      <xdr:rowOff>84240</xdr:rowOff>
    </xdr:from>
    <xdr:to>
      <xdr:col>13</xdr:col>
      <xdr:colOff>451080</xdr:colOff>
      <xdr:row>85</xdr:row>
      <xdr:rowOff>3240</xdr:rowOff>
    </xdr:to>
    <xdr:sp>
      <xdr:nvSpPr>
        <xdr:cNvPr id="1603" name="Rectángulo 189"/>
        <xdr:cNvSpPr/>
      </xdr:nvSpPr>
      <xdr:spPr>
        <a:xfrm>
          <a:off x="11234520" y="15743520"/>
          <a:ext cx="113040" cy="680760"/>
        </a:xfrm>
        <a:prstGeom prst="rect">
          <a:avLst/>
        </a:prstGeom>
        <a:pattFill prst="wdUpDiag">
          <a:fgClr>
            <a:srgbClr val="f4b183"/>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12</xdr:col>
      <xdr:colOff>375840</xdr:colOff>
      <xdr:row>81</xdr:row>
      <xdr:rowOff>82080</xdr:rowOff>
    </xdr:from>
    <xdr:to>
      <xdr:col>13</xdr:col>
      <xdr:colOff>362160</xdr:colOff>
      <xdr:row>81</xdr:row>
      <xdr:rowOff>186480</xdr:rowOff>
    </xdr:to>
    <xdr:sp>
      <xdr:nvSpPr>
        <xdr:cNvPr id="1604" name="Rectángulo 190"/>
        <xdr:cNvSpPr/>
      </xdr:nvSpPr>
      <xdr:spPr>
        <a:xfrm rot="5400000">
          <a:off x="10794240" y="15381360"/>
          <a:ext cx="104400" cy="824400"/>
        </a:xfrm>
        <a:prstGeom prst="rect">
          <a:avLst/>
        </a:prstGeom>
        <a:pattFill prst="wdUpDiag">
          <a:fgClr>
            <a:srgbClr val="f4b183"/>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12</xdr:col>
      <xdr:colOff>227880</xdr:colOff>
      <xdr:row>80</xdr:row>
      <xdr:rowOff>70920</xdr:rowOff>
    </xdr:from>
    <xdr:to>
      <xdr:col>12</xdr:col>
      <xdr:colOff>378360</xdr:colOff>
      <xdr:row>81</xdr:row>
      <xdr:rowOff>186120</xdr:rowOff>
    </xdr:to>
    <xdr:sp>
      <xdr:nvSpPr>
        <xdr:cNvPr id="1605" name="Rectángulo 191"/>
        <xdr:cNvSpPr/>
      </xdr:nvSpPr>
      <xdr:spPr>
        <a:xfrm>
          <a:off x="10286280" y="15539400"/>
          <a:ext cx="150480" cy="306000"/>
        </a:xfrm>
        <a:prstGeom prst="rect">
          <a:avLst/>
        </a:prstGeom>
        <a:pattFill prst="wdUpDiag">
          <a:fgClr>
            <a:srgbClr val="f4b183"/>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11</xdr:col>
      <xdr:colOff>180360</xdr:colOff>
      <xdr:row>76</xdr:row>
      <xdr:rowOff>95040</xdr:rowOff>
    </xdr:from>
    <xdr:to>
      <xdr:col>12</xdr:col>
      <xdr:colOff>750600</xdr:colOff>
      <xdr:row>80</xdr:row>
      <xdr:rowOff>86040</xdr:rowOff>
    </xdr:to>
    <xdr:grpSp>
      <xdr:nvGrpSpPr>
        <xdr:cNvPr id="1606" name="Grupo 192"/>
        <xdr:cNvGrpSpPr/>
      </xdr:nvGrpSpPr>
      <xdr:grpSpPr>
        <a:xfrm>
          <a:off x="9400680" y="14801760"/>
          <a:ext cx="1408320" cy="752760"/>
          <a:chOff x="9400680" y="14801760"/>
          <a:chExt cx="1408320" cy="752760"/>
        </a:xfrm>
      </xdr:grpSpPr>
      <xdr:sp>
        <xdr:nvSpPr>
          <xdr:cNvPr id="1607" name="Line 205"/>
          <xdr:cNvSpPr/>
        </xdr:nvSpPr>
        <xdr:spPr>
          <a:xfrm>
            <a:off x="10050480" y="14956200"/>
            <a:ext cx="469440" cy="360"/>
          </a:xfrm>
          <a:prstGeom prst="line">
            <a:avLst/>
          </a:prstGeom>
          <a:ln w="25400">
            <a:solidFill>
              <a:srgbClr val="ff0000"/>
            </a:solidFill>
            <a:round/>
          </a:ln>
        </xdr:spPr>
        <xdr:style>
          <a:lnRef idx="0"/>
          <a:fillRef idx="0"/>
          <a:effectRef idx="0"/>
          <a:fontRef idx="minor"/>
        </xdr:style>
      </xdr:sp>
      <xdr:sp>
        <xdr:nvSpPr>
          <xdr:cNvPr id="1608" name="Text Box 138"/>
          <xdr:cNvSpPr/>
        </xdr:nvSpPr>
        <xdr:spPr>
          <a:xfrm>
            <a:off x="9400680" y="15110280"/>
            <a:ext cx="780840" cy="2347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42/37/20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110/34,5/13,8kV</a:t>
            </a:r>
            <a:endParaRPr b="0" lang="en-GB" sz="600" spc="-1" strike="noStrike">
              <a:latin typeface="Times New Roman"/>
            </a:endParaRPr>
          </a:p>
        </xdr:txBody>
      </xdr:sp>
      <xdr:sp>
        <xdr:nvSpPr>
          <xdr:cNvPr id="1609" name="Text Box 188"/>
          <xdr:cNvSpPr/>
        </xdr:nvSpPr>
        <xdr:spPr>
          <a:xfrm>
            <a:off x="9770400" y="14801760"/>
            <a:ext cx="1038600" cy="14760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Fundación 110 kV </a:t>
            </a:r>
            <a:endParaRPr b="0" lang="en-GB" sz="600" spc="-1" strike="noStrike">
              <a:latin typeface="Times New Roman"/>
            </a:endParaRPr>
          </a:p>
        </xdr:txBody>
      </xdr:sp>
      <xdr:sp>
        <xdr:nvSpPr>
          <xdr:cNvPr id="1610" name="Line 38"/>
          <xdr:cNvSpPr/>
        </xdr:nvSpPr>
        <xdr:spPr>
          <a:xfrm>
            <a:off x="9932040" y="15554160"/>
            <a:ext cx="739440" cy="360"/>
          </a:xfrm>
          <a:prstGeom prst="line">
            <a:avLst/>
          </a:prstGeom>
          <a:ln w="25400">
            <a:solidFill>
              <a:srgbClr val="ffc000"/>
            </a:solidFill>
            <a:round/>
          </a:ln>
        </xdr:spPr>
        <xdr:style>
          <a:lnRef idx="0"/>
          <a:fillRef idx="0"/>
          <a:effectRef idx="0"/>
          <a:fontRef idx="minor"/>
        </xdr:style>
      </xdr:sp>
      <xdr:sp>
        <xdr:nvSpPr>
          <xdr:cNvPr id="1611" name="Line 244"/>
          <xdr:cNvSpPr/>
        </xdr:nvSpPr>
        <xdr:spPr>
          <a:xfrm>
            <a:off x="10457280" y="15294600"/>
            <a:ext cx="139680" cy="360"/>
          </a:xfrm>
          <a:prstGeom prst="line">
            <a:avLst/>
          </a:prstGeom>
          <a:ln w="15875">
            <a:solidFill>
              <a:srgbClr val="000000"/>
            </a:solidFill>
            <a:round/>
          </a:ln>
        </xdr:spPr>
        <xdr:style>
          <a:lnRef idx="0"/>
          <a:fillRef idx="0"/>
          <a:effectRef idx="0"/>
          <a:fontRef idx="minor"/>
        </xdr:style>
      </xdr:sp>
      <xdr:sp>
        <xdr:nvSpPr>
          <xdr:cNvPr id="1612" name="455 Rectángulo redondeado"/>
          <xdr:cNvSpPr/>
        </xdr:nvSpPr>
        <xdr:spPr>
          <a:xfrm rot="16200000">
            <a:off x="10497240" y="15276240"/>
            <a:ext cx="39600" cy="424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nvGrpSpPr>
          <xdr:cNvPr id="1613" name="Grupo 199"/>
          <xdr:cNvGrpSpPr/>
        </xdr:nvGrpSpPr>
        <xdr:grpSpPr>
          <a:xfrm>
            <a:off x="10160280" y="15106680"/>
            <a:ext cx="295560" cy="309960"/>
            <a:chOff x="10160280" y="15106680"/>
            <a:chExt cx="295560" cy="309960"/>
          </a:xfrm>
        </xdr:grpSpPr>
        <xdr:sp>
          <xdr:nvSpPr>
            <xdr:cNvPr id="1614" name="Oval 40"/>
            <xdr:cNvSpPr/>
          </xdr:nvSpPr>
          <xdr:spPr>
            <a:xfrm rot="10800000">
              <a:off x="10160280" y="15209280"/>
              <a:ext cx="185400" cy="207360"/>
            </a:xfrm>
            <a:prstGeom prst="ellipse">
              <a:avLst/>
            </a:prstGeom>
            <a:noFill/>
            <a:ln w="12700">
              <a:solidFill>
                <a:srgbClr val="ffc000"/>
              </a:solidFill>
              <a:round/>
            </a:ln>
          </xdr:spPr>
          <xdr:style>
            <a:lnRef idx="0"/>
            <a:fillRef idx="0"/>
            <a:effectRef idx="0"/>
            <a:fontRef idx="minor"/>
          </xdr:style>
        </xdr:sp>
        <xdr:sp>
          <xdr:nvSpPr>
            <xdr:cNvPr id="1615" name="Oval 41"/>
            <xdr:cNvSpPr/>
          </xdr:nvSpPr>
          <xdr:spPr>
            <a:xfrm rot="10800000">
              <a:off x="10160280" y="15106680"/>
              <a:ext cx="185400" cy="207360"/>
            </a:xfrm>
            <a:prstGeom prst="ellipse">
              <a:avLst/>
            </a:prstGeom>
            <a:noFill/>
            <a:ln w="12700">
              <a:solidFill>
                <a:srgbClr val="ff0000"/>
              </a:solidFill>
              <a:round/>
            </a:ln>
          </xdr:spPr>
          <xdr:style>
            <a:lnRef idx="0"/>
            <a:fillRef idx="0"/>
            <a:effectRef idx="0"/>
            <a:fontRef idx="minor"/>
          </xdr:style>
        </xdr:sp>
        <xdr:sp>
          <xdr:nvSpPr>
            <xdr:cNvPr id="1616" name="Oval 63"/>
            <xdr:cNvSpPr/>
          </xdr:nvSpPr>
          <xdr:spPr>
            <a:xfrm>
              <a:off x="10271160" y="15183360"/>
              <a:ext cx="184680" cy="206280"/>
            </a:xfrm>
            <a:prstGeom prst="ellipse">
              <a:avLst/>
            </a:prstGeom>
            <a:noFill/>
            <a:ln w="12700">
              <a:solidFill>
                <a:srgbClr val="000000"/>
              </a:solidFill>
              <a:round/>
            </a:ln>
          </xdr:spPr>
          <xdr:style>
            <a:lnRef idx="0"/>
            <a:fillRef idx="0"/>
            <a:effectRef idx="0"/>
            <a:fontRef idx="minor"/>
          </xdr:style>
        </xdr:sp>
      </xdr:grpSp>
      <xdr:sp>
        <xdr:nvSpPr>
          <xdr:cNvPr id="1617" name="Line 100"/>
          <xdr:cNvSpPr/>
        </xdr:nvSpPr>
        <xdr:spPr>
          <a:xfrm>
            <a:off x="10248120" y="15417720"/>
            <a:ext cx="360" cy="129240"/>
          </a:xfrm>
          <a:prstGeom prst="line">
            <a:avLst/>
          </a:prstGeom>
          <a:ln w="15875">
            <a:solidFill>
              <a:srgbClr val="ffc000"/>
            </a:solidFill>
            <a:round/>
          </a:ln>
        </xdr:spPr>
        <xdr:style>
          <a:lnRef idx="0"/>
          <a:fillRef idx="0"/>
          <a:effectRef idx="0"/>
          <a:fontRef idx="minor"/>
        </xdr:style>
      </xdr:sp>
      <xdr:sp>
        <xdr:nvSpPr>
          <xdr:cNvPr id="1618" name="455 Rectángulo redondeado"/>
          <xdr:cNvSpPr/>
        </xdr:nvSpPr>
        <xdr:spPr>
          <a:xfrm>
            <a:off x="10226160" y="15454080"/>
            <a:ext cx="4248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619" name="Line 206"/>
          <xdr:cNvSpPr/>
        </xdr:nvSpPr>
        <xdr:spPr>
          <a:xfrm>
            <a:off x="10255680" y="14945400"/>
            <a:ext cx="360" cy="156600"/>
          </a:xfrm>
          <a:prstGeom prst="line">
            <a:avLst/>
          </a:prstGeom>
          <a:ln w="25400">
            <a:solidFill>
              <a:srgbClr val="ff0000"/>
            </a:solidFill>
            <a:round/>
          </a:ln>
        </xdr:spPr>
        <xdr:style>
          <a:lnRef idx="0"/>
          <a:fillRef idx="0"/>
          <a:effectRef idx="0"/>
          <a:fontRef idx="minor"/>
        </xdr:style>
      </xdr:sp>
      <xdr:sp>
        <xdr:nvSpPr>
          <xdr:cNvPr id="1620" name="452 Rectángulo redondeado"/>
          <xdr:cNvSpPr/>
        </xdr:nvSpPr>
        <xdr:spPr>
          <a:xfrm>
            <a:off x="10235160" y="15004440"/>
            <a:ext cx="42480" cy="3960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11</xdr:col>
      <xdr:colOff>121320</xdr:colOff>
      <xdr:row>79</xdr:row>
      <xdr:rowOff>147600</xdr:rowOff>
    </xdr:from>
    <xdr:to>
      <xdr:col>11</xdr:col>
      <xdr:colOff>744840</xdr:colOff>
      <xdr:row>80</xdr:row>
      <xdr:rowOff>168840</xdr:rowOff>
    </xdr:to>
    <xdr:sp>
      <xdr:nvSpPr>
        <xdr:cNvPr id="1621" name="Text Box 188"/>
        <xdr:cNvSpPr/>
      </xdr:nvSpPr>
      <xdr:spPr>
        <a:xfrm>
          <a:off x="9341640" y="15425640"/>
          <a:ext cx="623520" cy="211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Fundación 34,5 kV</a:t>
          </a:r>
          <a:endParaRPr b="0" lang="en-GB" sz="600" spc="-1" strike="noStrike">
            <a:latin typeface="Times New Roman"/>
          </a:endParaRPr>
        </a:p>
      </xdr:txBody>
    </xdr:sp>
    <xdr:clientData/>
  </xdr:twoCellAnchor>
  <xdr:twoCellAnchor editAs="twoCell">
    <xdr:from>
      <xdr:col>12</xdr:col>
      <xdr:colOff>476280</xdr:colOff>
      <xdr:row>80</xdr:row>
      <xdr:rowOff>83520</xdr:rowOff>
    </xdr:from>
    <xdr:to>
      <xdr:col>12</xdr:col>
      <xdr:colOff>476280</xdr:colOff>
      <xdr:row>81</xdr:row>
      <xdr:rowOff>32040</xdr:rowOff>
    </xdr:to>
    <xdr:sp>
      <xdr:nvSpPr>
        <xdr:cNvPr id="1622" name="Line 244"/>
        <xdr:cNvSpPr/>
      </xdr:nvSpPr>
      <xdr:spPr>
        <a:xfrm>
          <a:off x="10534680" y="15552000"/>
          <a:ext cx="0" cy="139320"/>
        </a:xfrm>
        <a:prstGeom prst="line">
          <a:avLst/>
        </a:prstGeom>
        <a:ln w="15875">
          <a:solidFill>
            <a:srgbClr val="ffc000"/>
          </a:solidFill>
          <a:round/>
        </a:ln>
      </xdr:spPr>
      <xdr:style>
        <a:lnRef idx="0"/>
        <a:fillRef idx="0"/>
        <a:effectRef idx="0"/>
        <a:fontRef idx="minor"/>
      </xdr:style>
    </xdr:sp>
    <xdr:clientData/>
  </xdr:twoCellAnchor>
  <xdr:twoCellAnchor editAs="twoCell">
    <xdr:from>
      <xdr:col>12</xdr:col>
      <xdr:colOff>457200</xdr:colOff>
      <xdr:row>80</xdr:row>
      <xdr:rowOff>123840</xdr:rowOff>
    </xdr:from>
    <xdr:to>
      <xdr:col>12</xdr:col>
      <xdr:colOff>497520</xdr:colOff>
      <xdr:row>80</xdr:row>
      <xdr:rowOff>163440</xdr:rowOff>
    </xdr:to>
    <xdr:sp>
      <xdr:nvSpPr>
        <xdr:cNvPr id="1623" name="455 Rectángulo redondeado"/>
        <xdr:cNvSpPr/>
      </xdr:nvSpPr>
      <xdr:spPr>
        <a:xfrm>
          <a:off x="10515600" y="1559232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12</xdr:col>
      <xdr:colOff>470520</xdr:colOff>
      <xdr:row>81</xdr:row>
      <xdr:rowOff>23760</xdr:rowOff>
    </xdr:from>
    <xdr:to>
      <xdr:col>13</xdr:col>
      <xdr:colOff>611640</xdr:colOff>
      <xdr:row>81</xdr:row>
      <xdr:rowOff>23760</xdr:rowOff>
    </xdr:to>
    <xdr:sp>
      <xdr:nvSpPr>
        <xdr:cNvPr id="1624" name="Line 244"/>
        <xdr:cNvSpPr/>
      </xdr:nvSpPr>
      <xdr:spPr>
        <a:xfrm flipH="1">
          <a:off x="10528920" y="15683040"/>
          <a:ext cx="979200" cy="0"/>
        </a:xfrm>
        <a:prstGeom prst="line">
          <a:avLst/>
        </a:prstGeom>
        <a:ln w="15875">
          <a:solidFill>
            <a:srgbClr val="ffc000"/>
          </a:solidFill>
          <a:round/>
        </a:ln>
      </xdr:spPr>
      <xdr:style>
        <a:lnRef idx="0"/>
        <a:fillRef idx="0"/>
        <a:effectRef idx="0"/>
        <a:fontRef idx="minor"/>
      </xdr:style>
    </xdr:sp>
    <xdr:clientData/>
  </xdr:twoCellAnchor>
  <xdr:twoCellAnchor editAs="twoCell">
    <xdr:from>
      <xdr:col>13</xdr:col>
      <xdr:colOff>72360</xdr:colOff>
      <xdr:row>80</xdr:row>
      <xdr:rowOff>85680</xdr:rowOff>
    </xdr:from>
    <xdr:to>
      <xdr:col>13</xdr:col>
      <xdr:colOff>576360</xdr:colOff>
      <xdr:row>81</xdr:row>
      <xdr:rowOff>16560</xdr:rowOff>
    </xdr:to>
    <xdr:sp>
      <xdr:nvSpPr>
        <xdr:cNvPr id="1625" name="Text Box 188"/>
        <xdr:cNvSpPr/>
      </xdr:nvSpPr>
      <xdr:spPr>
        <a:xfrm>
          <a:off x="10968840" y="15554160"/>
          <a:ext cx="504000" cy="121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LN-518</a:t>
          </a:r>
          <a:endParaRPr b="0" lang="en-GB" sz="600" spc="-1" strike="noStrike">
            <a:latin typeface="Times New Roman"/>
          </a:endParaRPr>
        </a:p>
      </xdr:txBody>
    </xdr:sp>
    <xdr:clientData/>
  </xdr:twoCellAnchor>
  <xdr:twoCellAnchor editAs="twoCell">
    <xdr:from>
      <xdr:col>12</xdr:col>
      <xdr:colOff>551520</xdr:colOff>
      <xdr:row>78</xdr:row>
      <xdr:rowOff>84240</xdr:rowOff>
    </xdr:from>
    <xdr:to>
      <xdr:col>12</xdr:col>
      <xdr:colOff>551520</xdr:colOff>
      <xdr:row>79</xdr:row>
      <xdr:rowOff>145080</xdr:rowOff>
    </xdr:to>
    <xdr:sp>
      <xdr:nvSpPr>
        <xdr:cNvPr id="1626" name="Line 99"/>
        <xdr:cNvSpPr/>
      </xdr:nvSpPr>
      <xdr:spPr>
        <a:xfrm>
          <a:off x="10609920" y="15171840"/>
          <a:ext cx="0" cy="251280"/>
        </a:xfrm>
        <a:prstGeom prst="line">
          <a:avLst/>
        </a:prstGeom>
        <a:ln w="25400">
          <a:solidFill>
            <a:srgbClr val="000000"/>
          </a:solidFill>
          <a:round/>
        </a:ln>
      </xdr:spPr>
      <xdr:style>
        <a:lnRef idx="0"/>
        <a:fillRef idx="0"/>
        <a:effectRef idx="0"/>
        <a:fontRef idx="minor"/>
      </xdr:style>
    </xdr:sp>
    <xdr:clientData/>
  </xdr:twoCellAnchor>
  <xdr:twoCellAnchor editAs="twoCell">
    <xdr:from>
      <xdr:col>12</xdr:col>
      <xdr:colOff>545040</xdr:colOff>
      <xdr:row>79</xdr:row>
      <xdr:rowOff>17640</xdr:rowOff>
    </xdr:from>
    <xdr:to>
      <xdr:col>12</xdr:col>
      <xdr:colOff>734040</xdr:colOff>
      <xdr:row>79</xdr:row>
      <xdr:rowOff>17640</xdr:rowOff>
    </xdr:to>
    <xdr:sp>
      <xdr:nvSpPr>
        <xdr:cNvPr id="1627" name="Line 280"/>
        <xdr:cNvSpPr/>
      </xdr:nvSpPr>
      <xdr:spPr>
        <a:xfrm>
          <a:off x="10603440" y="15295680"/>
          <a:ext cx="189000" cy="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12</xdr:col>
      <xdr:colOff>579600</xdr:colOff>
      <xdr:row>78</xdr:row>
      <xdr:rowOff>185400</xdr:rowOff>
    </xdr:from>
    <xdr:to>
      <xdr:col>12</xdr:col>
      <xdr:colOff>620640</xdr:colOff>
      <xdr:row>79</xdr:row>
      <xdr:rowOff>35640</xdr:rowOff>
    </xdr:to>
    <xdr:sp>
      <xdr:nvSpPr>
        <xdr:cNvPr id="1628" name="455 Rectángulo redondeado"/>
        <xdr:cNvSpPr/>
      </xdr:nvSpPr>
      <xdr:spPr>
        <a:xfrm rot="5400000">
          <a:off x="10638000" y="15272640"/>
          <a:ext cx="40680" cy="410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12</xdr:col>
      <xdr:colOff>333000</xdr:colOff>
      <xdr:row>77</xdr:row>
      <xdr:rowOff>143280</xdr:rowOff>
    </xdr:from>
    <xdr:to>
      <xdr:col>13</xdr:col>
      <xdr:colOff>397800</xdr:colOff>
      <xdr:row>78</xdr:row>
      <xdr:rowOff>53640</xdr:rowOff>
    </xdr:to>
    <xdr:sp>
      <xdr:nvSpPr>
        <xdr:cNvPr id="1629" name="Text Box 188"/>
        <xdr:cNvSpPr/>
      </xdr:nvSpPr>
      <xdr:spPr>
        <a:xfrm>
          <a:off x="10391400" y="15040440"/>
          <a:ext cx="902880" cy="1008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Fundación 13,8 kV </a:t>
          </a:r>
          <a:endParaRPr b="0" lang="en-GB" sz="600" spc="-1" strike="noStrike">
            <a:latin typeface="Times New Roman"/>
          </a:endParaRPr>
        </a:p>
      </xdr:txBody>
    </xdr:sp>
    <xdr:clientData/>
  </xdr:twoCellAnchor>
  <xdr:twoCellAnchor editAs="twoCell">
    <xdr:from>
      <xdr:col>13</xdr:col>
      <xdr:colOff>586440</xdr:colOff>
      <xdr:row>84</xdr:row>
      <xdr:rowOff>90720</xdr:rowOff>
    </xdr:from>
    <xdr:to>
      <xdr:col>13</xdr:col>
      <xdr:colOff>626760</xdr:colOff>
      <xdr:row>84</xdr:row>
      <xdr:rowOff>130320</xdr:rowOff>
    </xdr:to>
    <xdr:sp>
      <xdr:nvSpPr>
        <xdr:cNvPr id="1630" name="455 Rectángulo redondeado"/>
        <xdr:cNvSpPr/>
      </xdr:nvSpPr>
      <xdr:spPr>
        <a:xfrm>
          <a:off x="11482920" y="1632132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13</xdr:col>
      <xdr:colOff>604800</xdr:colOff>
      <xdr:row>81</xdr:row>
      <xdr:rowOff>21240</xdr:rowOff>
    </xdr:from>
    <xdr:to>
      <xdr:col>13</xdr:col>
      <xdr:colOff>604800</xdr:colOff>
      <xdr:row>85</xdr:row>
      <xdr:rowOff>6120</xdr:rowOff>
    </xdr:to>
    <xdr:sp>
      <xdr:nvSpPr>
        <xdr:cNvPr id="1631" name="Line 244"/>
        <xdr:cNvSpPr/>
      </xdr:nvSpPr>
      <xdr:spPr>
        <a:xfrm>
          <a:off x="11501280" y="15680520"/>
          <a:ext cx="0" cy="746640"/>
        </a:xfrm>
        <a:prstGeom prst="line">
          <a:avLst/>
        </a:prstGeom>
        <a:ln w="15875">
          <a:solidFill>
            <a:srgbClr val="ffc000"/>
          </a:solidFill>
          <a:round/>
        </a:ln>
      </xdr:spPr>
      <xdr:style>
        <a:lnRef idx="0"/>
        <a:fillRef idx="0"/>
        <a:effectRef idx="0"/>
        <a:fontRef idx="minor"/>
      </xdr:style>
    </xdr:sp>
    <xdr:clientData/>
  </xdr:twoCellAnchor>
  <xdr:twoCellAnchor editAs="twoCell">
    <xdr:from>
      <xdr:col>12</xdr:col>
      <xdr:colOff>119880</xdr:colOff>
      <xdr:row>84</xdr:row>
      <xdr:rowOff>56880</xdr:rowOff>
    </xdr:from>
    <xdr:to>
      <xdr:col>14</xdr:col>
      <xdr:colOff>567360</xdr:colOff>
      <xdr:row>89</xdr:row>
      <xdr:rowOff>91080</xdr:rowOff>
    </xdr:to>
    <xdr:grpSp>
      <xdr:nvGrpSpPr>
        <xdr:cNvPr id="1632" name="Grupo 218"/>
        <xdr:cNvGrpSpPr/>
      </xdr:nvGrpSpPr>
      <xdr:grpSpPr>
        <a:xfrm>
          <a:off x="10178280" y="16287480"/>
          <a:ext cx="2124000" cy="986760"/>
          <a:chOff x="10178280" y="16287480"/>
          <a:chExt cx="2124000" cy="986760"/>
        </a:xfrm>
      </xdr:grpSpPr>
      <xdr:grpSp>
        <xdr:nvGrpSpPr>
          <xdr:cNvPr id="1633" name="Grupo 219"/>
          <xdr:cNvGrpSpPr/>
        </xdr:nvGrpSpPr>
        <xdr:grpSpPr>
          <a:xfrm>
            <a:off x="10820160" y="16408440"/>
            <a:ext cx="1482120" cy="865800"/>
            <a:chOff x="10820160" y="16408440"/>
            <a:chExt cx="1482120" cy="865800"/>
          </a:xfrm>
        </xdr:grpSpPr>
        <xdr:sp>
          <xdr:nvSpPr>
            <xdr:cNvPr id="1634" name="Line 38"/>
            <xdr:cNvSpPr/>
          </xdr:nvSpPr>
          <xdr:spPr>
            <a:xfrm>
              <a:off x="10820160" y="16408440"/>
              <a:ext cx="1482120" cy="360"/>
            </a:xfrm>
            <a:prstGeom prst="line">
              <a:avLst/>
            </a:prstGeom>
            <a:ln w="25400">
              <a:solidFill>
                <a:srgbClr val="ffc000"/>
              </a:solidFill>
              <a:round/>
            </a:ln>
          </xdr:spPr>
          <xdr:style>
            <a:lnRef idx="0"/>
            <a:fillRef idx="0"/>
            <a:effectRef idx="0"/>
            <a:fontRef idx="minor"/>
          </xdr:style>
        </xdr:sp>
        <xdr:grpSp>
          <xdr:nvGrpSpPr>
            <xdr:cNvPr id="1635" name="Grupo 224"/>
            <xdr:cNvGrpSpPr/>
          </xdr:nvGrpSpPr>
          <xdr:grpSpPr>
            <a:xfrm>
              <a:off x="11222280" y="16413840"/>
              <a:ext cx="270720" cy="860400"/>
              <a:chOff x="11222280" y="16413840"/>
              <a:chExt cx="270720" cy="860400"/>
            </a:xfrm>
          </xdr:grpSpPr>
          <xdr:sp>
            <xdr:nvSpPr>
              <xdr:cNvPr id="1636" name="Oval 40"/>
              <xdr:cNvSpPr/>
            </xdr:nvSpPr>
            <xdr:spPr>
              <a:xfrm rot="10800000">
                <a:off x="11255400" y="16660800"/>
                <a:ext cx="192240" cy="209160"/>
              </a:xfrm>
              <a:prstGeom prst="ellipse">
                <a:avLst/>
              </a:prstGeom>
              <a:noFill/>
              <a:ln w="12700">
                <a:solidFill>
                  <a:srgbClr val="000000"/>
                </a:solidFill>
                <a:round/>
              </a:ln>
            </xdr:spPr>
            <xdr:style>
              <a:lnRef idx="0"/>
              <a:fillRef idx="0"/>
              <a:effectRef idx="0"/>
              <a:fontRef idx="minor"/>
            </xdr:style>
          </xdr:sp>
          <xdr:sp>
            <xdr:nvSpPr>
              <xdr:cNvPr id="1637" name="Oval 41"/>
              <xdr:cNvSpPr/>
            </xdr:nvSpPr>
            <xdr:spPr>
              <a:xfrm rot="10800000">
                <a:off x="11252520" y="16549200"/>
                <a:ext cx="192240" cy="209160"/>
              </a:xfrm>
              <a:prstGeom prst="ellipse">
                <a:avLst/>
              </a:prstGeom>
              <a:noFill/>
              <a:ln w="12700">
                <a:solidFill>
                  <a:srgbClr val="ffc000"/>
                </a:solidFill>
                <a:round/>
              </a:ln>
            </xdr:spPr>
            <xdr:style>
              <a:lnRef idx="0"/>
              <a:fillRef idx="0"/>
              <a:effectRef idx="0"/>
              <a:fontRef idx="minor"/>
            </xdr:style>
          </xdr:sp>
          <xdr:sp>
            <xdr:nvSpPr>
              <xdr:cNvPr id="1638" name="Line 206"/>
              <xdr:cNvSpPr/>
            </xdr:nvSpPr>
            <xdr:spPr>
              <a:xfrm>
                <a:off x="11343240" y="16413840"/>
                <a:ext cx="360" cy="132120"/>
              </a:xfrm>
              <a:prstGeom prst="line">
                <a:avLst/>
              </a:prstGeom>
              <a:ln w="15875">
                <a:solidFill>
                  <a:srgbClr val="ffc000"/>
                </a:solidFill>
                <a:round/>
              </a:ln>
            </xdr:spPr>
            <xdr:style>
              <a:lnRef idx="0"/>
              <a:fillRef idx="0"/>
              <a:effectRef idx="0"/>
              <a:fontRef idx="minor"/>
            </xdr:style>
          </xdr:sp>
          <xdr:sp>
            <xdr:nvSpPr>
              <xdr:cNvPr id="1639" name="452 Rectángulo redondeado"/>
              <xdr:cNvSpPr/>
            </xdr:nvSpPr>
            <xdr:spPr>
              <a:xfrm>
                <a:off x="11321640" y="16449480"/>
                <a:ext cx="4392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640" name="Line 99"/>
              <xdr:cNvSpPr/>
            </xdr:nvSpPr>
            <xdr:spPr>
              <a:xfrm>
                <a:off x="11222280" y="17011440"/>
                <a:ext cx="270720" cy="360"/>
              </a:xfrm>
              <a:prstGeom prst="line">
                <a:avLst/>
              </a:prstGeom>
              <a:ln w="25400">
                <a:solidFill>
                  <a:srgbClr val="000000"/>
                </a:solidFill>
                <a:round/>
              </a:ln>
            </xdr:spPr>
            <xdr:style>
              <a:lnRef idx="0"/>
              <a:fillRef idx="0"/>
              <a:effectRef idx="0"/>
              <a:fontRef idx="minor"/>
            </xdr:style>
          </xdr:sp>
          <xdr:sp>
            <xdr:nvSpPr>
              <xdr:cNvPr id="1641" name="Line 280"/>
              <xdr:cNvSpPr/>
            </xdr:nvSpPr>
            <xdr:spPr>
              <a:xfrm>
                <a:off x="11350440" y="16871760"/>
                <a:ext cx="360" cy="402480"/>
              </a:xfrm>
              <a:prstGeom prst="line">
                <a:avLst/>
              </a:prstGeom>
              <a:ln w="15875">
                <a:solidFill>
                  <a:srgbClr val="000000"/>
                </a:solidFill>
                <a:round/>
                <a:tailEnd len="med" type="triangle" w="med"/>
              </a:ln>
            </xdr:spPr>
            <xdr:style>
              <a:lnRef idx="0"/>
              <a:fillRef idx="0"/>
              <a:effectRef idx="0"/>
              <a:fontRef idx="minor"/>
            </xdr:style>
          </xdr:sp>
          <xdr:sp>
            <xdr:nvSpPr>
              <xdr:cNvPr id="1642" name="455 Rectángulo redondeado"/>
              <xdr:cNvSpPr/>
            </xdr:nvSpPr>
            <xdr:spPr>
              <a:xfrm rot="5400000">
                <a:off x="11332800" y="17060040"/>
                <a:ext cx="39960" cy="439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1643" name="455 Rectángulo redondeado"/>
              <xdr:cNvSpPr/>
            </xdr:nvSpPr>
            <xdr:spPr>
              <a:xfrm rot="5400000">
                <a:off x="11332800" y="16917840"/>
                <a:ext cx="39960" cy="439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grpSp>
      <xdr:sp>
        <xdr:nvSpPr>
          <xdr:cNvPr id="1644" name="61 CuadroTexto"/>
          <xdr:cNvSpPr/>
        </xdr:nvSpPr>
        <xdr:spPr>
          <a:xfrm>
            <a:off x="10615680" y="16563600"/>
            <a:ext cx="68184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12,5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sp>
        <xdr:nvSpPr>
          <xdr:cNvPr id="1645" name="Text Box 188"/>
          <xdr:cNvSpPr/>
        </xdr:nvSpPr>
        <xdr:spPr>
          <a:xfrm>
            <a:off x="10679400" y="16893720"/>
            <a:ext cx="62352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Aracataca 13,8 kV</a:t>
            </a:r>
            <a:endParaRPr b="0" lang="en-GB" sz="600" spc="-1" strike="noStrike">
              <a:latin typeface="Times New Roman"/>
            </a:endParaRPr>
          </a:p>
        </xdr:txBody>
      </xdr:sp>
      <xdr:sp>
        <xdr:nvSpPr>
          <xdr:cNvPr id="1646" name="Text Box 188"/>
          <xdr:cNvSpPr/>
        </xdr:nvSpPr>
        <xdr:spPr>
          <a:xfrm>
            <a:off x="10178280" y="16287480"/>
            <a:ext cx="888480" cy="211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Aracataca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 </a:t>
            </a:r>
            <a:r>
              <a:rPr b="0" lang="es-CO" sz="600" spc="-1" strike="noStrike">
                <a:solidFill>
                  <a:srgbClr val="000000"/>
                </a:solidFill>
                <a:latin typeface="Arial"/>
                <a:ea typeface="MS PGothic"/>
              </a:rPr>
              <a:t>34,5 kV</a:t>
            </a:r>
            <a:endParaRPr b="0" lang="en-GB" sz="600" spc="-1" strike="noStrike">
              <a:latin typeface="Times New Roman"/>
            </a:endParaRPr>
          </a:p>
        </xdr:txBody>
      </xdr:sp>
    </xdr:grpSp>
    <xdr:clientData/>
  </xdr:twoCellAnchor>
  <xdr:twoCellAnchor editAs="twoCell">
    <xdr:from>
      <xdr:col>12</xdr:col>
      <xdr:colOff>300600</xdr:colOff>
      <xdr:row>80</xdr:row>
      <xdr:rowOff>92520</xdr:rowOff>
    </xdr:from>
    <xdr:to>
      <xdr:col>12</xdr:col>
      <xdr:colOff>300600</xdr:colOff>
      <xdr:row>81</xdr:row>
      <xdr:rowOff>143640</xdr:rowOff>
    </xdr:to>
    <xdr:sp>
      <xdr:nvSpPr>
        <xdr:cNvPr id="1647" name="Line 244"/>
        <xdr:cNvSpPr/>
      </xdr:nvSpPr>
      <xdr:spPr>
        <a:xfrm>
          <a:off x="10359000" y="15561000"/>
          <a:ext cx="0" cy="241920"/>
        </a:xfrm>
        <a:prstGeom prst="line">
          <a:avLst/>
        </a:prstGeom>
        <a:ln w="15875">
          <a:solidFill>
            <a:srgbClr val="ffc000"/>
          </a:solidFill>
          <a:prstDash val="sysDash"/>
          <a:round/>
        </a:ln>
      </xdr:spPr>
      <xdr:style>
        <a:lnRef idx="0"/>
        <a:fillRef idx="0"/>
        <a:effectRef idx="0"/>
        <a:fontRef idx="minor"/>
      </xdr:style>
    </xdr:sp>
    <xdr:clientData/>
  </xdr:twoCellAnchor>
  <xdr:twoCellAnchor editAs="twoCell">
    <xdr:from>
      <xdr:col>12</xdr:col>
      <xdr:colOff>281520</xdr:colOff>
      <xdr:row>80</xdr:row>
      <xdr:rowOff>132840</xdr:rowOff>
    </xdr:from>
    <xdr:to>
      <xdr:col>12</xdr:col>
      <xdr:colOff>321840</xdr:colOff>
      <xdr:row>80</xdr:row>
      <xdr:rowOff>172440</xdr:rowOff>
    </xdr:to>
    <xdr:sp>
      <xdr:nvSpPr>
        <xdr:cNvPr id="1648" name="455 Rectángulo redondeado"/>
        <xdr:cNvSpPr/>
      </xdr:nvSpPr>
      <xdr:spPr>
        <a:xfrm>
          <a:off x="10339920" y="1560132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12</xdr:col>
      <xdr:colOff>308160</xdr:colOff>
      <xdr:row>81</xdr:row>
      <xdr:rowOff>135360</xdr:rowOff>
    </xdr:from>
    <xdr:to>
      <xdr:col>13</xdr:col>
      <xdr:colOff>399600</xdr:colOff>
      <xdr:row>81</xdr:row>
      <xdr:rowOff>135360</xdr:rowOff>
    </xdr:to>
    <xdr:sp>
      <xdr:nvSpPr>
        <xdr:cNvPr id="1649" name="Line 244"/>
        <xdr:cNvSpPr/>
      </xdr:nvSpPr>
      <xdr:spPr>
        <a:xfrm flipH="1">
          <a:off x="10366560" y="15794640"/>
          <a:ext cx="929520" cy="0"/>
        </a:xfrm>
        <a:prstGeom prst="line">
          <a:avLst/>
        </a:prstGeom>
        <a:ln w="15875">
          <a:solidFill>
            <a:srgbClr val="ffc000"/>
          </a:solidFill>
          <a:prstDash val="sysDash"/>
          <a:round/>
        </a:ln>
      </xdr:spPr>
      <xdr:style>
        <a:lnRef idx="0"/>
        <a:fillRef idx="0"/>
        <a:effectRef idx="0"/>
        <a:fontRef idx="minor"/>
      </xdr:style>
    </xdr:sp>
    <xdr:clientData/>
  </xdr:twoCellAnchor>
  <xdr:twoCellAnchor editAs="twoCell">
    <xdr:from>
      <xdr:col>13</xdr:col>
      <xdr:colOff>375480</xdr:colOff>
      <xdr:row>84</xdr:row>
      <xdr:rowOff>89640</xdr:rowOff>
    </xdr:from>
    <xdr:to>
      <xdr:col>13</xdr:col>
      <xdr:colOff>415800</xdr:colOff>
      <xdr:row>84</xdr:row>
      <xdr:rowOff>129240</xdr:rowOff>
    </xdr:to>
    <xdr:sp>
      <xdr:nvSpPr>
        <xdr:cNvPr id="1650" name="455 Rectángulo redondeado"/>
        <xdr:cNvSpPr/>
      </xdr:nvSpPr>
      <xdr:spPr>
        <a:xfrm>
          <a:off x="11271960" y="1632024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13</xdr:col>
      <xdr:colOff>393480</xdr:colOff>
      <xdr:row>81</xdr:row>
      <xdr:rowOff>138240</xdr:rowOff>
    </xdr:from>
    <xdr:to>
      <xdr:col>13</xdr:col>
      <xdr:colOff>393480</xdr:colOff>
      <xdr:row>84</xdr:row>
      <xdr:rowOff>178200</xdr:rowOff>
    </xdr:to>
    <xdr:sp>
      <xdr:nvSpPr>
        <xdr:cNvPr id="1651" name="Line 244"/>
        <xdr:cNvSpPr/>
      </xdr:nvSpPr>
      <xdr:spPr>
        <a:xfrm>
          <a:off x="11289960" y="15797520"/>
          <a:ext cx="0" cy="611280"/>
        </a:xfrm>
        <a:prstGeom prst="line">
          <a:avLst/>
        </a:prstGeom>
        <a:ln w="15875">
          <a:solidFill>
            <a:srgbClr val="ffc000"/>
          </a:solidFill>
          <a:prstDash val="sysDash"/>
          <a:round/>
        </a:ln>
      </xdr:spPr>
      <xdr:style>
        <a:lnRef idx="0"/>
        <a:fillRef idx="0"/>
        <a:effectRef idx="0"/>
        <a:fontRef idx="minor"/>
      </xdr:style>
    </xdr:sp>
    <xdr:clientData/>
  </xdr:twoCellAnchor>
  <xdr:twoCellAnchor editAs="twoCell">
    <xdr:from>
      <xdr:col>12</xdr:col>
      <xdr:colOff>456120</xdr:colOff>
      <xdr:row>82</xdr:row>
      <xdr:rowOff>17640</xdr:rowOff>
    </xdr:from>
    <xdr:to>
      <xdr:col>13</xdr:col>
      <xdr:colOff>198360</xdr:colOff>
      <xdr:row>82</xdr:row>
      <xdr:rowOff>138960</xdr:rowOff>
    </xdr:to>
    <xdr:sp>
      <xdr:nvSpPr>
        <xdr:cNvPr id="1652" name="Text Box 188"/>
        <xdr:cNvSpPr/>
      </xdr:nvSpPr>
      <xdr:spPr>
        <a:xfrm>
          <a:off x="10514520" y="15867360"/>
          <a:ext cx="58032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LN-5152 </a:t>
          </a:r>
          <a:endParaRPr b="0" lang="en-GB" sz="600" spc="-1" strike="noStrike">
            <a:latin typeface="Times New Roman"/>
          </a:endParaRPr>
        </a:p>
      </xdr:txBody>
    </xdr:sp>
    <xdr:clientData/>
  </xdr:twoCellAnchor>
  <xdr:twoCellAnchor editAs="twoCell">
    <xdr:from>
      <xdr:col>13</xdr:col>
      <xdr:colOff>183240</xdr:colOff>
      <xdr:row>83</xdr:row>
      <xdr:rowOff>185400</xdr:rowOff>
    </xdr:from>
    <xdr:to>
      <xdr:col>13</xdr:col>
      <xdr:colOff>223560</xdr:colOff>
      <xdr:row>84</xdr:row>
      <xdr:rowOff>165960</xdr:rowOff>
    </xdr:to>
    <xdr:grpSp>
      <xdr:nvGrpSpPr>
        <xdr:cNvPr id="1653" name="Grupo 239"/>
        <xdr:cNvGrpSpPr/>
      </xdr:nvGrpSpPr>
      <xdr:grpSpPr>
        <a:xfrm>
          <a:off x="11079720" y="16225560"/>
          <a:ext cx="40320" cy="171000"/>
          <a:chOff x="11079720" y="16225560"/>
          <a:chExt cx="40320" cy="171000"/>
        </a:xfrm>
      </xdr:grpSpPr>
      <xdr:sp>
        <xdr:nvSpPr>
          <xdr:cNvPr id="1654" name="455 Rectángulo redondeado"/>
          <xdr:cNvSpPr/>
        </xdr:nvSpPr>
        <xdr:spPr>
          <a:xfrm>
            <a:off x="11079720" y="1632384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655" name="Line 244"/>
          <xdr:cNvSpPr/>
        </xdr:nvSpPr>
        <xdr:spPr>
          <a:xfrm>
            <a:off x="11098080" y="16225560"/>
            <a:ext cx="360" cy="171000"/>
          </a:xfrm>
          <a:prstGeom prst="line">
            <a:avLst/>
          </a:prstGeom>
          <a:ln w="15875">
            <a:solidFill>
              <a:srgbClr val="ffc000"/>
            </a:solidFill>
            <a:round/>
          </a:ln>
        </xdr:spPr>
        <xdr:style>
          <a:lnRef idx="0"/>
          <a:fillRef idx="0"/>
          <a:effectRef idx="0"/>
          <a:fontRef idx="minor"/>
        </xdr:style>
      </xdr:sp>
    </xdr:grpSp>
    <xdr:clientData/>
  </xdr:twoCellAnchor>
  <xdr:twoCellAnchor editAs="twoCell">
    <xdr:from>
      <xdr:col>11</xdr:col>
      <xdr:colOff>733320</xdr:colOff>
      <xdr:row>84</xdr:row>
      <xdr:rowOff>-360</xdr:rowOff>
    </xdr:from>
    <xdr:to>
      <xdr:col>13</xdr:col>
      <xdr:colOff>209520</xdr:colOff>
      <xdr:row>84</xdr:row>
      <xdr:rowOff>0</xdr:rowOff>
    </xdr:to>
    <xdr:sp>
      <xdr:nvSpPr>
        <xdr:cNvPr id="1656" name="Line 244"/>
        <xdr:cNvSpPr/>
      </xdr:nvSpPr>
      <xdr:spPr>
        <a:xfrm flipH="1">
          <a:off x="9953640" y="16230240"/>
          <a:ext cx="1152360" cy="360"/>
        </a:xfrm>
        <a:prstGeom prst="line">
          <a:avLst/>
        </a:prstGeom>
        <a:ln w="15875">
          <a:solidFill>
            <a:srgbClr val="ffc000"/>
          </a:solidFill>
          <a:round/>
        </a:ln>
      </xdr:spPr>
      <xdr:style>
        <a:lnRef idx="0"/>
        <a:fillRef idx="0"/>
        <a:effectRef idx="0"/>
        <a:fontRef idx="minor"/>
      </xdr:style>
    </xdr:sp>
    <xdr:clientData/>
  </xdr:twoCellAnchor>
  <xdr:twoCellAnchor editAs="twoCell">
    <xdr:from>
      <xdr:col>11</xdr:col>
      <xdr:colOff>721440</xdr:colOff>
      <xdr:row>83</xdr:row>
      <xdr:rowOff>185400</xdr:rowOff>
    </xdr:from>
    <xdr:to>
      <xdr:col>11</xdr:col>
      <xdr:colOff>837720</xdr:colOff>
      <xdr:row>84</xdr:row>
      <xdr:rowOff>165960</xdr:rowOff>
    </xdr:to>
    <xdr:grpSp>
      <xdr:nvGrpSpPr>
        <xdr:cNvPr id="1657" name="Grupo 243"/>
        <xdr:cNvGrpSpPr/>
      </xdr:nvGrpSpPr>
      <xdr:grpSpPr>
        <a:xfrm>
          <a:off x="9941760" y="16225560"/>
          <a:ext cx="116280" cy="171000"/>
          <a:chOff x="9941760" y="16225560"/>
          <a:chExt cx="116280" cy="171000"/>
        </a:xfrm>
      </xdr:grpSpPr>
      <xdr:sp>
        <xdr:nvSpPr>
          <xdr:cNvPr id="1658" name="455 Rectángulo redondeado"/>
          <xdr:cNvSpPr/>
        </xdr:nvSpPr>
        <xdr:spPr>
          <a:xfrm>
            <a:off x="9941760" y="16323840"/>
            <a:ext cx="11628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659" name="Line 244"/>
          <xdr:cNvSpPr/>
        </xdr:nvSpPr>
        <xdr:spPr>
          <a:xfrm>
            <a:off x="9994320" y="16225560"/>
            <a:ext cx="360" cy="171000"/>
          </a:xfrm>
          <a:prstGeom prst="line">
            <a:avLst/>
          </a:prstGeom>
          <a:ln w="15875">
            <a:solidFill>
              <a:srgbClr val="ffc000"/>
            </a:solidFill>
            <a:round/>
          </a:ln>
        </xdr:spPr>
        <xdr:style>
          <a:lnRef idx="0"/>
          <a:fillRef idx="0"/>
          <a:effectRef idx="0"/>
          <a:fontRef idx="minor"/>
        </xdr:style>
      </xdr:sp>
    </xdr:grpSp>
    <xdr:clientData/>
  </xdr:twoCellAnchor>
  <xdr:twoCellAnchor editAs="twoCell">
    <xdr:from>
      <xdr:col>11</xdr:col>
      <xdr:colOff>64440</xdr:colOff>
      <xdr:row>84</xdr:row>
      <xdr:rowOff>49680</xdr:rowOff>
    </xdr:from>
    <xdr:to>
      <xdr:col>12</xdr:col>
      <xdr:colOff>162720</xdr:colOff>
      <xdr:row>89</xdr:row>
      <xdr:rowOff>93600</xdr:rowOff>
    </xdr:to>
    <xdr:grpSp>
      <xdr:nvGrpSpPr>
        <xdr:cNvPr id="1660" name="Grupo 246"/>
        <xdr:cNvGrpSpPr/>
      </xdr:nvGrpSpPr>
      <xdr:grpSpPr>
        <a:xfrm>
          <a:off x="9284760" y="16280280"/>
          <a:ext cx="936360" cy="996480"/>
          <a:chOff x="9284760" y="16280280"/>
          <a:chExt cx="936360" cy="996480"/>
        </a:xfrm>
      </xdr:grpSpPr>
      <xdr:grpSp>
        <xdr:nvGrpSpPr>
          <xdr:cNvPr id="1661" name="Grupo 247"/>
          <xdr:cNvGrpSpPr/>
        </xdr:nvGrpSpPr>
        <xdr:grpSpPr>
          <a:xfrm>
            <a:off x="9841680" y="16406640"/>
            <a:ext cx="379440" cy="870120"/>
            <a:chOff x="9841680" y="16406640"/>
            <a:chExt cx="379440" cy="870120"/>
          </a:xfrm>
        </xdr:grpSpPr>
        <xdr:sp>
          <xdr:nvSpPr>
            <xdr:cNvPr id="1662" name="Line 38"/>
            <xdr:cNvSpPr/>
          </xdr:nvSpPr>
          <xdr:spPr>
            <a:xfrm>
              <a:off x="9841680" y="16406640"/>
              <a:ext cx="379440" cy="360"/>
            </a:xfrm>
            <a:prstGeom prst="line">
              <a:avLst/>
            </a:prstGeom>
            <a:ln w="25400">
              <a:solidFill>
                <a:srgbClr val="ffc000"/>
              </a:solidFill>
              <a:round/>
            </a:ln>
          </xdr:spPr>
          <xdr:style>
            <a:lnRef idx="0"/>
            <a:fillRef idx="0"/>
            <a:effectRef idx="0"/>
            <a:fontRef idx="minor"/>
          </xdr:style>
        </xdr:sp>
        <xdr:grpSp>
          <xdr:nvGrpSpPr>
            <xdr:cNvPr id="1663" name="Grupo 252"/>
            <xdr:cNvGrpSpPr/>
          </xdr:nvGrpSpPr>
          <xdr:grpSpPr>
            <a:xfrm>
              <a:off x="9897480" y="16416000"/>
              <a:ext cx="273240" cy="860760"/>
              <a:chOff x="9897480" y="16416000"/>
              <a:chExt cx="273240" cy="860760"/>
            </a:xfrm>
          </xdr:grpSpPr>
          <xdr:sp>
            <xdr:nvSpPr>
              <xdr:cNvPr id="1664" name="Oval 40"/>
              <xdr:cNvSpPr/>
            </xdr:nvSpPr>
            <xdr:spPr>
              <a:xfrm rot="10800000">
                <a:off x="9930960" y="16663320"/>
                <a:ext cx="194040" cy="209160"/>
              </a:xfrm>
              <a:prstGeom prst="ellipse">
                <a:avLst/>
              </a:prstGeom>
              <a:noFill/>
              <a:ln w="12700">
                <a:solidFill>
                  <a:srgbClr val="000000"/>
                </a:solidFill>
                <a:round/>
              </a:ln>
            </xdr:spPr>
            <xdr:style>
              <a:lnRef idx="0"/>
              <a:fillRef idx="0"/>
              <a:effectRef idx="0"/>
              <a:fontRef idx="minor"/>
            </xdr:style>
          </xdr:sp>
          <xdr:sp>
            <xdr:nvSpPr>
              <xdr:cNvPr id="1665" name="Oval 41"/>
              <xdr:cNvSpPr/>
            </xdr:nvSpPr>
            <xdr:spPr>
              <a:xfrm rot="10800000">
                <a:off x="9928080" y="16551720"/>
                <a:ext cx="194040" cy="209160"/>
              </a:xfrm>
              <a:prstGeom prst="ellipse">
                <a:avLst/>
              </a:prstGeom>
              <a:noFill/>
              <a:ln w="12700">
                <a:solidFill>
                  <a:srgbClr val="ffc000"/>
                </a:solidFill>
                <a:round/>
              </a:ln>
            </xdr:spPr>
            <xdr:style>
              <a:lnRef idx="0"/>
              <a:fillRef idx="0"/>
              <a:effectRef idx="0"/>
              <a:fontRef idx="minor"/>
            </xdr:style>
          </xdr:sp>
          <xdr:sp>
            <xdr:nvSpPr>
              <xdr:cNvPr id="1666" name="Line 206"/>
              <xdr:cNvSpPr/>
            </xdr:nvSpPr>
            <xdr:spPr>
              <a:xfrm>
                <a:off x="10019520" y="16416000"/>
                <a:ext cx="360" cy="132120"/>
              </a:xfrm>
              <a:prstGeom prst="line">
                <a:avLst/>
              </a:prstGeom>
              <a:ln w="15875">
                <a:solidFill>
                  <a:srgbClr val="ffc000"/>
                </a:solidFill>
                <a:round/>
              </a:ln>
            </xdr:spPr>
            <xdr:style>
              <a:lnRef idx="0"/>
              <a:fillRef idx="0"/>
              <a:effectRef idx="0"/>
              <a:fontRef idx="minor"/>
            </xdr:style>
          </xdr:sp>
          <xdr:sp>
            <xdr:nvSpPr>
              <xdr:cNvPr id="1667" name="452 Rectángulo redondeado"/>
              <xdr:cNvSpPr/>
            </xdr:nvSpPr>
            <xdr:spPr>
              <a:xfrm>
                <a:off x="9997560" y="16452000"/>
                <a:ext cx="442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668" name="Line 99"/>
              <xdr:cNvSpPr/>
            </xdr:nvSpPr>
            <xdr:spPr>
              <a:xfrm>
                <a:off x="9897480" y="17013960"/>
                <a:ext cx="273240" cy="360"/>
              </a:xfrm>
              <a:prstGeom prst="line">
                <a:avLst/>
              </a:prstGeom>
              <a:ln w="25400">
                <a:solidFill>
                  <a:srgbClr val="000000"/>
                </a:solidFill>
                <a:round/>
              </a:ln>
            </xdr:spPr>
            <xdr:style>
              <a:lnRef idx="0"/>
              <a:fillRef idx="0"/>
              <a:effectRef idx="0"/>
              <a:fontRef idx="minor"/>
            </xdr:style>
          </xdr:sp>
          <xdr:sp>
            <xdr:nvSpPr>
              <xdr:cNvPr id="1669" name="Line 280"/>
              <xdr:cNvSpPr/>
            </xdr:nvSpPr>
            <xdr:spPr>
              <a:xfrm>
                <a:off x="10027080" y="16873920"/>
                <a:ext cx="360" cy="402840"/>
              </a:xfrm>
              <a:prstGeom prst="line">
                <a:avLst/>
              </a:prstGeom>
              <a:ln w="15875">
                <a:solidFill>
                  <a:srgbClr val="000000"/>
                </a:solidFill>
                <a:round/>
                <a:tailEnd len="med" type="triangle" w="med"/>
              </a:ln>
            </xdr:spPr>
            <xdr:style>
              <a:lnRef idx="0"/>
              <a:fillRef idx="0"/>
              <a:effectRef idx="0"/>
              <a:fontRef idx="minor"/>
            </xdr:style>
          </xdr:sp>
          <xdr:sp>
            <xdr:nvSpPr>
              <xdr:cNvPr id="1670" name="455 Rectángulo redondeado"/>
              <xdr:cNvSpPr/>
            </xdr:nvSpPr>
            <xdr:spPr>
              <a:xfrm rot="5400000">
                <a:off x="10009440" y="17062560"/>
                <a:ext cx="39960" cy="44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1671" name="455 Rectángulo redondeado"/>
              <xdr:cNvSpPr/>
            </xdr:nvSpPr>
            <xdr:spPr>
              <a:xfrm rot="5400000">
                <a:off x="10009440" y="16920360"/>
                <a:ext cx="39960" cy="44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grpSp>
      <xdr:sp>
        <xdr:nvSpPr>
          <xdr:cNvPr id="1672" name="61 CuadroTexto"/>
          <xdr:cNvSpPr/>
        </xdr:nvSpPr>
        <xdr:spPr>
          <a:xfrm>
            <a:off x="9284760" y="16566120"/>
            <a:ext cx="68868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6,5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sp>
        <xdr:nvSpPr>
          <xdr:cNvPr id="1673" name="Text Box 188"/>
          <xdr:cNvSpPr/>
        </xdr:nvSpPr>
        <xdr:spPr>
          <a:xfrm>
            <a:off x="9362520" y="16902720"/>
            <a:ext cx="63000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El Reten 13,8 kV</a:t>
            </a:r>
            <a:endParaRPr b="0" lang="en-GB" sz="600" spc="-1" strike="noStrike">
              <a:latin typeface="Times New Roman"/>
            </a:endParaRPr>
          </a:p>
        </xdr:txBody>
      </xdr:sp>
      <xdr:sp>
        <xdr:nvSpPr>
          <xdr:cNvPr id="1674" name="Text Box 188"/>
          <xdr:cNvSpPr/>
        </xdr:nvSpPr>
        <xdr:spPr>
          <a:xfrm>
            <a:off x="9301320" y="16280280"/>
            <a:ext cx="678600" cy="211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El Reten 34,5 kV</a:t>
            </a:r>
            <a:endParaRPr b="0" lang="en-GB" sz="600" spc="-1" strike="noStrike">
              <a:latin typeface="Times New Roman"/>
            </a:endParaRPr>
          </a:p>
        </xdr:txBody>
      </xdr:sp>
    </xdr:grpSp>
    <xdr:clientData/>
  </xdr:twoCellAnchor>
  <xdr:twoCellAnchor editAs="twoCell">
    <xdr:from>
      <xdr:col>12</xdr:col>
      <xdr:colOff>250920</xdr:colOff>
      <xdr:row>83</xdr:row>
      <xdr:rowOff>68040</xdr:rowOff>
    </xdr:from>
    <xdr:to>
      <xdr:col>12</xdr:col>
      <xdr:colOff>729360</xdr:colOff>
      <xdr:row>83</xdr:row>
      <xdr:rowOff>169920</xdr:rowOff>
    </xdr:to>
    <xdr:sp>
      <xdr:nvSpPr>
        <xdr:cNvPr id="1675" name="Text Box 188"/>
        <xdr:cNvSpPr/>
      </xdr:nvSpPr>
      <xdr:spPr>
        <a:xfrm>
          <a:off x="10309320" y="16108200"/>
          <a:ext cx="478440" cy="1018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LN-5126 </a:t>
          </a:r>
          <a:endParaRPr b="0" lang="en-GB" sz="600" spc="-1" strike="noStrike">
            <a:latin typeface="Times New Roman"/>
          </a:endParaRPr>
        </a:p>
      </xdr:txBody>
    </xdr:sp>
    <xdr:clientData/>
  </xdr:twoCellAnchor>
  <xdr:twoCellAnchor editAs="twoCell">
    <xdr:from>
      <xdr:col>14</xdr:col>
      <xdr:colOff>72000</xdr:colOff>
      <xdr:row>83</xdr:row>
      <xdr:rowOff>5040</xdr:rowOff>
    </xdr:from>
    <xdr:to>
      <xdr:col>14</xdr:col>
      <xdr:colOff>112320</xdr:colOff>
      <xdr:row>84</xdr:row>
      <xdr:rowOff>164880</xdr:rowOff>
    </xdr:to>
    <xdr:grpSp>
      <xdr:nvGrpSpPr>
        <xdr:cNvPr id="1676" name="Grupo 262"/>
        <xdr:cNvGrpSpPr/>
      </xdr:nvGrpSpPr>
      <xdr:grpSpPr>
        <a:xfrm>
          <a:off x="11806920" y="16045200"/>
          <a:ext cx="40320" cy="350280"/>
          <a:chOff x="11806920" y="16045200"/>
          <a:chExt cx="40320" cy="350280"/>
        </a:xfrm>
      </xdr:grpSpPr>
      <xdr:sp>
        <xdr:nvSpPr>
          <xdr:cNvPr id="1677" name="455 Rectángulo redondeado"/>
          <xdr:cNvSpPr/>
        </xdr:nvSpPr>
        <xdr:spPr>
          <a:xfrm>
            <a:off x="11806920" y="1632276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678" name="Line 244"/>
          <xdr:cNvSpPr/>
        </xdr:nvSpPr>
        <xdr:spPr>
          <a:xfrm>
            <a:off x="11824920" y="16045200"/>
            <a:ext cx="360" cy="350280"/>
          </a:xfrm>
          <a:prstGeom prst="line">
            <a:avLst/>
          </a:prstGeom>
          <a:ln w="19050">
            <a:solidFill>
              <a:srgbClr val="ffc000"/>
            </a:solidFill>
          </a:ln>
        </xdr:spPr>
        <xdr:style>
          <a:lnRef idx="1">
            <a:schemeClr val="accent4"/>
          </a:lnRef>
          <a:fillRef idx="0">
            <a:schemeClr val="accent4"/>
          </a:fillRef>
          <a:effectRef idx="0">
            <a:schemeClr val="accent4"/>
          </a:effectRef>
          <a:fontRef idx="minor"/>
        </xdr:style>
      </xdr:sp>
    </xdr:grpSp>
    <xdr:clientData/>
  </xdr:twoCellAnchor>
  <xdr:twoCellAnchor editAs="twoCell">
    <xdr:from>
      <xdr:col>14</xdr:col>
      <xdr:colOff>252720</xdr:colOff>
      <xdr:row>83</xdr:row>
      <xdr:rowOff>182160</xdr:rowOff>
    </xdr:from>
    <xdr:to>
      <xdr:col>14</xdr:col>
      <xdr:colOff>293040</xdr:colOff>
      <xdr:row>84</xdr:row>
      <xdr:rowOff>162360</xdr:rowOff>
    </xdr:to>
    <xdr:grpSp>
      <xdr:nvGrpSpPr>
        <xdr:cNvPr id="1679" name="Grupo 265"/>
        <xdr:cNvGrpSpPr/>
      </xdr:nvGrpSpPr>
      <xdr:grpSpPr>
        <a:xfrm>
          <a:off x="11987640" y="16222320"/>
          <a:ext cx="40320" cy="170640"/>
          <a:chOff x="11987640" y="16222320"/>
          <a:chExt cx="40320" cy="170640"/>
        </a:xfrm>
      </xdr:grpSpPr>
      <xdr:sp>
        <xdr:nvSpPr>
          <xdr:cNvPr id="1680" name="455 Rectángulo redondeado"/>
          <xdr:cNvSpPr/>
        </xdr:nvSpPr>
        <xdr:spPr>
          <a:xfrm>
            <a:off x="11987640" y="1632060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681" name="Line 244"/>
          <xdr:cNvSpPr/>
        </xdr:nvSpPr>
        <xdr:spPr>
          <a:xfrm>
            <a:off x="12006000" y="16222320"/>
            <a:ext cx="360" cy="170640"/>
          </a:xfrm>
          <a:prstGeom prst="line">
            <a:avLst/>
          </a:prstGeom>
          <a:ln w="15875">
            <a:solidFill>
              <a:srgbClr val="ffc000"/>
            </a:solidFill>
            <a:round/>
          </a:ln>
        </xdr:spPr>
        <xdr:style>
          <a:lnRef idx="0"/>
          <a:fillRef idx="0"/>
          <a:effectRef idx="0"/>
          <a:fontRef idx="minor"/>
        </xdr:style>
      </xdr:sp>
    </xdr:grpSp>
    <xdr:clientData/>
  </xdr:twoCellAnchor>
  <xdr:twoCellAnchor editAs="twoCell">
    <xdr:from>
      <xdr:col>14</xdr:col>
      <xdr:colOff>270360</xdr:colOff>
      <xdr:row>83</xdr:row>
      <xdr:rowOff>188280</xdr:rowOff>
    </xdr:from>
    <xdr:to>
      <xdr:col>15</xdr:col>
      <xdr:colOff>580680</xdr:colOff>
      <xdr:row>83</xdr:row>
      <xdr:rowOff>188280</xdr:rowOff>
    </xdr:to>
    <xdr:sp>
      <xdr:nvSpPr>
        <xdr:cNvPr id="1682" name="Line 244"/>
        <xdr:cNvSpPr/>
      </xdr:nvSpPr>
      <xdr:spPr>
        <a:xfrm flipH="1">
          <a:off x="12005280" y="16228440"/>
          <a:ext cx="1148400" cy="0"/>
        </a:xfrm>
        <a:prstGeom prst="line">
          <a:avLst/>
        </a:prstGeom>
        <a:ln w="15875">
          <a:solidFill>
            <a:srgbClr val="ffc000"/>
          </a:solidFill>
          <a:round/>
        </a:ln>
      </xdr:spPr>
      <xdr:style>
        <a:lnRef idx="0"/>
        <a:fillRef idx="0"/>
        <a:effectRef idx="0"/>
        <a:fontRef idx="minor"/>
      </xdr:style>
    </xdr:sp>
    <xdr:clientData/>
  </xdr:twoCellAnchor>
  <xdr:twoCellAnchor editAs="twoCell">
    <xdr:from>
      <xdr:col>15</xdr:col>
      <xdr:colOff>557640</xdr:colOff>
      <xdr:row>84</xdr:row>
      <xdr:rowOff>92880</xdr:rowOff>
    </xdr:from>
    <xdr:to>
      <xdr:col>15</xdr:col>
      <xdr:colOff>603000</xdr:colOff>
      <xdr:row>84</xdr:row>
      <xdr:rowOff>132480</xdr:rowOff>
    </xdr:to>
    <xdr:sp>
      <xdr:nvSpPr>
        <xdr:cNvPr id="1683" name="455 Rectángulo redondeado"/>
        <xdr:cNvSpPr/>
      </xdr:nvSpPr>
      <xdr:spPr>
        <a:xfrm>
          <a:off x="13130640" y="16323480"/>
          <a:ext cx="45360" cy="39600"/>
        </a:xfrm>
        <a:prstGeom prst="roundRect">
          <a:avLst>
            <a:gd name="adj" fmla="val 16667"/>
          </a:avLst>
        </a:prstGeom>
        <a:solidFill>
          <a:schemeClr val="bg1"/>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14</xdr:col>
      <xdr:colOff>88560</xdr:colOff>
      <xdr:row>83</xdr:row>
      <xdr:rowOff>12240</xdr:rowOff>
    </xdr:from>
    <xdr:to>
      <xdr:col>16</xdr:col>
      <xdr:colOff>21240</xdr:colOff>
      <xdr:row>83</xdr:row>
      <xdr:rowOff>12240</xdr:rowOff>
    </xdr:to>
    <xdr:sp>
      <xdr:nvSpPr>
        <xdr:cNvPr id="1684" name="Line 244"/>
        <xdr:cNvSpPr/>
      </xdr:nvSpPr>
      <xdr:spPr>
        <a:xfrm flipH="1">
          <a:off x="11823480" y="16052400"/>
          <a:ext cx="1608840" cy="0"/>
        </a:xfrm>
        <a:prstGeom prst="line">
          <a:avLst/>
        </a:prstGeom>
        <a:ln w="19050">
          <a:solidFill>
            <a:srgbClr val="ffc000"/>
          </a:solidFill>
        </a:ln>
      </xdr:spPr>
      <xdr:style>
        <a:lnRef idx="1">
          <a:schemeClr val="accent4"/>
        </a:lnRef>
        <a:fillRef idx="0">
          <a:schemeClr val="accent4"/>
        </a:fillRef>
        <a:effectRef idx="0">
          <a:schemeClr val="accent4"/>
        </a:effectRef>
        <a:fontRef idx="minor"/>
      </xdr:style>
    </xdr:sp>
    <xdr:clientData/>
  </xdr:twoCellAnchor>
  <xdr:twoCellAnchor editAs="twoCell">
    <xdr:from>
      <xdr:col>15</xdr:col>
      <xdr:colOff>759960</xdr:colOff>
      <xdr:row>83</xdr:row>
      <xdr:rowOff>9360</xdr:rowOff>
    </xdr:from>
    <xdr:to>
      <xdr:col>16</xdr:col>
      <xdr:colOff>38160</xdr:colOff>
      <xdr:row>84</xdr:row>
      <xdr:rowOff>171360</xdr:rowOff>
    </xdr:to>
    <xdr:grpSp>
      <xdr:nvGrpSpPr>
        <xdr:cNvPr id="1685" name="Grupo 271"/>
        <xdr:cNvGrpSpPr/>
      </xdr:nvGrpSpPr>
      <xdr:grpSpPr>
        <a:xfrm>
          <a:off x="13332960" y="16049520"/>
          <a:ext cx="116280" cy="352440"/>
          <a:chOff x="13332960" y="16049520"/>
          <a:chExt cx="116280" cy="352440"/>
        </a:xfrm>
      </xdr:grpSpPr>
      <xdr:sp>
        <xdr:nvSpPr>
          <xdr:cNvPr id="1686" name="455 Rectángulo redondeado"/>
          <xdr:cNvSpPr/>
        </xdr:nvSpPr>
        <xdr:spPr>
          <a:xfrm>
            <a:off x="13332960" y="16329240"/>
            <a:ext cx="11628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687" name="Line 244"/>
          <xdr:cNvSpPr/>
        </xdr:nvSpPr>
        <xdr:spPr>
          <a:xfrm>
            <a:off x="13385520" y="16049520"/>
            <a:ext cx="360" cy="352440"/>
          </a:xfrm>
          <a:prstGeom prst="line">
            <a:avLst/>
          </a:prstGeom>
          <a:ln w="19050">
            <a:solidFill>
              <a:srgbClr val="ffc000"/>
            </a:solidFill>
          </a:ln>
        </xdr:spPr>
        <xdr:style>
          <a:lnRef idx="1">
            <a:schemeClr val="accent4"/>
          </a:lnRef>
          <a:fillRef idx="0">
            <a:schemeClr val="accent4"/>
          </a:fillRef>
          <a:effectRef idx="0">
            <a:schemeClr val="accent4"/>
          </a:effectRef>
          <a:fontRef idx="minor"/>
        </xdr:style>
      </xdr:sp>
    </xdr:grpSp>
    <xdr:clientData/>
  </xdr:twoCellAnchor>
  <xdr:twoCellAnchor editAs="twoCell">
    <xdr:from>
      <xdr:col>14</xdr:col>
      <xdr:colOff>566280</xdr:colOff>
      <xdr:row>84</xdr:row>
      <xdr:rowOff>31320</xdr:rowOff>
    </xdr:from>
    <xdr:to>
      <xdr:col>15</xdr:col>
      <xdr:colOff>308520</xdr:colOff>
      <xdr:row>84</xdr:row>
      <xdr:rowOff>136440</xdr:rowOff>
    </xdr:to>
    <xdr:sp>
      <xdr:nvSpPr>
        <xdr:cNvPr id="1688" name="Text Box 188"/>
        <xdr:cNvSpPr/>
      </xdr:nvSpPr>
      <xdr:spPr>
        <a:xfrm>
          <a:off x="12301200" y="16261920"/>
          <a:ext cx="580320" cy="1051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LN-5116</a:t>
          </a:r>
          <a:endParaRPr b="0" lang="en-GB" sz="600" spc="-1" strike="noStrike">
            <a:latin typeface="Times New Roman"/>
          </a:endParaRPr>
        </a:p>
      </xdr:txBody>
    </xdr:sp>
    <xdr:clientData/>
  </xdr:twoCellAnchor>
  <xdr:twoCellAnchor editAs="twoCell">
    <xdr:from>
      <xdr:col>15</xdr:col>
      <xdr:colOff>431280</xdr:colOff>
      <xdr:row>84</xdr:row>
      <xdr:rowOff>173520</xdr:rowOff>
    </xdr:from>
    <xdr:to>
      <xdr:col>16</xdr:col>
      <xdr:colOff>721800</xdr:colOff>
      <xdr:row>84</xdr:row>
      <xdr:rowOff>173520</xdr:rowOff>
    </xdr:to>
    <xdr:sp>
      <xdr:nvSpPr>
        <xdr:cNvPr id="1689" name="Line 38"/>
        <xdr:cNvSpPr/>
      </xdr:nvSpPr>
      <xdr:spPr>
        <a:xfrm>
          <a:off x="13004280" y="16404120"/>
          <a:ext cx="1128600" cy="0"/>
        </a:xfrm>
        <a:prstGeom prst="line">
          <a:avLst/>
        </a:prstGeom>
        <a:ln w="25400">
          <a:solidFill>
            <a:srgbClr val="ffc000"/>
          </a:solidFill>
          <a:round/>
        </a:ln>
      </xdr:spPr>
      <xdr:style>
        <a:lnRef idx="0"/>
        <a:fillRef idx="0"/>
        <a:effectRef idx="0"/>
        <a:fontRef idx="minor"/>
      </xdr:style>
    </xdr:sp>
    <xdr:clientData/>
  </xdr:twoCellAnchor>
  <xdr:twoCellAnchor editAs="twoCell">
    <xdr:from>
      <xdr:col>16</xdr:col>
      <xdr:colOff>162000</xdr:colOff>
      <xdr:row>86</xdr:row>
      <xdr:rowOff>41040</xdr:rowOff>
    </xdr:from>
    <xdr:to>
      <xdr:col>16</xdr:col>
      <xdr:colOff>340200</xdr:colOff>
      <xdr:row>87</xdr:row>
      <xdr:rowOff>59760</xdr:rowOff>
    </xdr:to>
    <xdr:sp>
      <xdr:nvSpPr>
        <xdr:cNvPr id="1690" name="Oval 40"/>
        <xdr:cNvSpPr/>
      </xdr:nvSpPr>
      <xdr:spPr>
        <a:xfrm rot="10800000">
          <a:off x="13573080" y="16652520"/>
          <a:ext cx="178200" cy="209520"/>
        </a:xfrm>
        <a:prstGeom prst="ellipse">
          <a:avLst/>
        </a:prstGeom>
        <a:noFill/>
        <a:ln w="12700">
          <a:solidFill>
            <a:srgbClr val="000000"/>
          </a:solidFill>
          <a:round/>
        </a:ln>
      </xdr:spPr>
      <xdr:style>
        <a:lnRef idx="0"/>
        <a:fillRef idx="0"/>
        <a:effectRef idx="0"/>
        <a:fontRef idx="minor"/>
      </xdr:style>
    </xdr:sp>
    <xdr:clientData/>
  </xdr:twoCellAnchor>
  <xdr:twoCellAnchor editAs="twoCell">
    <xdr:from>
      <xdr:col>16</xdr:col>
      <xdr:colOff>159480</xdr:colOff>
      <xdr:row>85</xdr:row>
      <xdr:rowOff>119880</xdr:rowOff>
    </xdr:from>
    <xdr:to>
      <xdr:col>16</xdr:col>
      <xdr:colOff>337680</xdr:colOff>
      <xdr:row>86</xdr:row>
      <xdr:rowOff>138600</xdr:rowOff>
    </xdr:to>
    <xdr:sp>
      <xdr:nvSpPr>
        <xdr:cNvPr id="1691" name="Oval 41"/>
        <xdr:cNvSpPr/>
      </xdr:nvSpPr>
      <xdr:spPr>
        <a:xfrm rot="10800000">
          <a:off x="13570560" y="16540920"/>
          <a:ext cx="178200" cy="209160"/>
        </a:xfrm>
        <a:prstGeom prst="ellipse">
          <a:avLst/>
        </a:prstGeom>
        <a:noFill/>
        <a:ln w="12700">
          <a:solidFill>
            <a:srgbClr val="ffc000"/>
          </a:solidFill>
          <a:round/>
        </a:ln>
      </xdr:spPr>
      <xdr:style>
        <a:lnRef idx="0"/>
        <a:fillRef idx="0"/>
        <a:effectRef idx="0"/>
        <a:fontRef idx="minor"/>
      </xdr:style>
    </xdr:sp>
    <xdr:clientData/>
  </xdr:twoCellAnchor>
  <xdr:twoCellAnchor editAs="twoCell">
    <xdr:from>
      <xdr:col>16</xdr:col>
      <xdr:colOff>243360</xdr:colOff>
      <xdr:row>84</xdr:row>
      <xdr:rowOff>174960</xdr:rowOff>
    </xdr:from>
    <xdr:to>
      <xdr:col>16</xdr:col>
      <xdr:colOff>243360</xdr:colOff>
      <xdr:row>85</xdr:row>
      <xdr:rowOff>116640</xdr:rowOff>
    </xdr:to>
    <xdr:sp>
      <xdr:nvSpPr>
        <xdr:cNvPr id="1692" name="Line 206"/>
        <xdr:cNvSpPr/>
      </xdr:nvSpPr>
      <xdr:spPr>
        <a:xfrm>
          <a:off x="13654440" y="16405560"/>
          <a:ext cx="0" cy="132120"/>
        </a:xfrm>
        <a:prstGeom prst="line">
          <a:avLst/>
        </a:prstGeom>
        <a:ln w="15875">
          <a:solidFill>
            <a:srgbClr val="ffc000"/>
          </a:solidFill>
          <a:round/>
        </a:ln>
      </xdr:spPr>
      <xdr:style>
        <a:lnRef idx="0"/>
        <a:fillRef idx="0"/>
        <a:effectRef idx="0"/>
        <a:fontRef idx="minor"/>
      </xdr:style>
    </xdr:sp>
    <xdr:clientData/>
  </xdr:twoCellAnchor>
  <xdr:twoCellAnchor editAs="twoCell">
    <xdr:from>
      <xdr:col>16</xdr:col>
      <xdr:colOff>223200</xdr:colOff>
      <xdr:row>85</xdr:row>
      <xdr:rowOff>20160</xdr:rowOff>
    </xdr:from>
    <xdr:to>
      <xdr:col>16</xdr:col>
      <xdr:colOff>263880</xdr:colOff>
      <xdr:row>85</xdr:row>
      <xdr:rowOff>60120</xdr:rowOff>
    </xdr:to>
    <xdr:sp>
      <xdr:nvSpPr>
        <xdr:cNvPr id="1693" name="452 Rectángulo redondeado"/>
        <xdr:cNvSpPr/>
      </xdr:nvSpPr>
      <xdr:spPr>
        <a:xfrm>
          <a:off x="13634280" y="16441200"/>
          <a:ext cx="406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16</xdr:col>
      <xdr:colOff>48600</xdr:colOff>
      <xdr:row>88</xdr:row>
      <xdr:rowOff>18720</xdr:rowOff>
    </xdr:from>
    <xdr:to>
      <xdr:col>16</xdr:col>
      <xdr:colOff>474120</xdr:colOff>
      <xdr:row>88</xdr:row>
      <xdr:rowOff>18720</xdr:rowOff>
    </xdr:to>
    <xdr:sp>
      <xdr:nvSpPr>
        <xdr:cNvPr id="1694" name="Line 99"/>
        <xdr:cNvSpPr/>
      </xdr:nvSpPr>
      <xdr:spPr>
        <a:xfrm>
          <a:off x="13459680" y="17011440"/>
          <a:ext cx="425520" cy="0"/>
        </a:xfrm>
        <a:prstGeom prst="line">
          <a:avLst/>
        </a:prstGeom>
        <a:ln w="25400">
          <a:solidFill>
            <a:srgbClr val="000000"/>
          </a:solidFill>
          <a:round/>
        </a:ln>
      </xdr:spPr>
      <xdr:style>
        <a:lnRef idx="0"/>
        <a:fillRef idx="0"/>
        <a:effectRef idx="0"/>
        <a:fontRef idx="minor"/>
      </xdr:style>
    </xdr:sp>
    <xdr:clientData/>
  </xdr:twoCellAnchor>
  <xdr:twoCellAnchor editAs="twoCell">
    <xdr:from>
      <xdr:col>16</xdr:col>
      <xdr:colOff>250200</xdr:colOff>
      <xdr:row>87</xdr:row>
      <xdr:rowOff>61200</xdr:rowOff>
    </xdr:from>
    <xdr:to>
      <xdr:col>16</xdr:col>
      <xdr:colOff>250200</xdr:colOff>
      <xdr:row>88</xdr:row>
      <xdr:rowOff>21600</xdr:rowOff>
    </xdr:to>
    <xdr:sp>
      <xdr:nvSpPr>
        <xdr:cNvPr id="1695" name="Line 280"/>
        <xdr:cNvSpPr/>
      </xdr:nvSpPr>
      <xdr:spPr>
        <a:xfrm>
          <a:off x="13661280" y="16863480"/>
          <a:ext cx="0" cy="150840"/>
        </a:xfrm>
        <a:prstGeom prst="line">
          <a:avLst/>
        </a:prstGeom>
        <a:ln w="15875">
          <a:solidFill>
            <a:srgbClr val="000000"/>
          </a:solidFill>
          <a:round/>
        </a:ln>
      </xdr:spPr>
      <xdr:style>
        <a:lnRef idx="0"/>
        <a:fillRef idx="0"/>
        <a:effectRef idx="0"/>
        <a:fontRef idx="minor"/>
      </xdr:style>
    </xdr:sp>
    <xdr:clientData/>
  </xdr:twoCellAnchor>
  <xdr:twoCellAnchor editAs="twoCell">
    <xdr:from>
      <xdr:col>16</xdr:col>
      <xdr:colOff>236520</xdr:colOff>
      <xdr:row>88</xdr:row>
      <xdr:rowOff>86400</xdr:rowOff>
    </xdr:from>
    <xdr:to>
      <xdr:col>16</xdr:col>
      <xdr:colOff>277200</xdr:colOff>
      <xdr:row>88</xdr:row>
      <xdr:rowOff>126360</xdr:rowOff>
    </xdr:to>
    <xdr:sp>
      <xdr:nvSpPr>
        <xdr:cNvPr id="1696" name="455 Rectángulo redondeado"/>
        <xdr:cNvSpPr/>
      </xdr:nvSpPr>
      <xdr:spPr>
        <a:xfrm rot="5400000">
          <a:off x="13647960" y="17078760"/>
          <a:ext cx="3996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16</xdr:col>
      <xdr:colOff>232200</xdr:colOff>
      <xdr:row>87</xdr:row>
      <xdr:rowOff>109800</xdr:rowOff>
    </xdr:from>
    <xdr:to>
      <xdr:col>16</xdr:col>
      <xdr:colOff>272880</xdr:colOff>
      <xdr:row>87</xdr:row>
      <xdr:rowOff>149760</xdr:rowOff>
    </xdr:to>
    <xdr:sp>
      <xdr:nvSpPr>
        <xdr:cNvPr id="1697" name="455 Rectángulo redondeado"/>
        <xdr:cNvSpPr/>
      </xdr:nvSpPr>
      <xdr:spPr>
        <a:xfrm rot="5400000">
          <a:off x="13643640" y="16911720"/>
          <a:ext cx="3996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15</xdr:col>
      <xdr:colOff>346680</xdr:colOff>
      <xdr:row>85</xdr:row>
      <xdr:rowOff>154440</xdr:rowOff>
    </xdr:from>
    <xdr:to>
      <xdr:col>16</xdr:col>
      <xdr:colOff>217440</xdr:colOff>
      <xdr:row>87</xdr:row>
      <xdr:rowOff>23400</xdr:rowOff>
    </xdr:to>
    <xdr:sp>
      <xdr:nvSpPr>
        <xdr:cNvPr id="1698" name="61 CuadroTexto"/>
        <xdr:cNvSpPr/>
      </xdr:nvSpPr>
      <xdr:spPr>
        <a:xfrm>
          <a:off x="12919680" y="16575480"/>
          <a:ext cx="70884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12,5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clientData/>
  </xdr:twoCellAnchor>
  <xdr:twoCellAnchor editAs="twoCell">
    <xdr:from>
      <xdr:col>16</xdr:col>
      <xdr:colOff>380880</xdr:colOff>
      <xdr:row>87</xdr:row>
      <xdr:rowOff>66960</xdr:rowOff>
    </xdr:from>
    <xdr:to>
      <xdr:col>17</xdr:col>
      <xdr:colOff>235440</xdr:colOff>
      <xdr:row>88</xdr:row>
      <xdr:rowOff>109440</xdr:rowOff>
    </xdr:to>
    <xdr:sp>
      <xdr:nvSpPr>
        <xdr:cNvPr id="1699" name="Text Box 188"/>
        <xdr:cNvSpPr/>
      </xdr:nvSpPr>
      <xdr:spPr>
        <a:xfrm>
          <a:off x="13791960" y="16869240"/>
          <a:ext cx="69300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Guacamayal 13,8 kV</a:t>
          </a:r>
          <a:endParaRPr b="0" lang="en-GB" sz="600" spc="-1" strike="noStrike">
            <a:latin typeface="Times New Roman"/>
          </a:endParaRPr>
        </a:p>
      </xdr:txBody>
    </xdr:sp>
    <xdr:clientData/>
  </xdr:twoCellAnchor>
  <xdr:twoCellAnchor editAs="twoCell">
    <xdr:from>
      <xdr:col>16</xdr:col>
      <xdr:colOff>456840</xdr:colOff>
      <xdr:row>84</xdr:row>
      <xdr:rowOff>38880</xdr:rowOff>
    </xdr:from>
    <xdr:to>
      <xdr:col>17</xdr:col>
      <xdr:colOff>606600</xdr:colOff>
      <xdr:row>85</xdr:row>
      <xdr:rowOff>60120</xdr:rowOff>
    </xdr:to>
    <xdr:sp>
      <xdr:nvSpPr>
        <xdr:cNvPr id="1700" name="Text Box 188"/>
        <xdr:cNvSpPr/>
      </xdr:nvSpPr>
      <xdr:spPr>
        <a:xfrm>
          <a:off x="13867920" y="16269480"/>
          <a:ext cx="988200" cy="211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Guacamayal</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34,5 kV</a:t>
          </a:r>
          <a:endParaRPr b="0" lang="en-GB" sz="600" spc="-1" strike="noStrike">
            <a:latin typeface="Times New Roman"/>
          </a:endParaRPr>
        </a:p>
      </xdr:txBody>
    </xdr:sp>
    <xdr:clientData/>
  </xdr:twoCellAnchor>
  <xdr:twoCellAnchor editAs="twoCell">
    <xdr:from>
      <xdr:col>16</xdr:col>
      <xdr:colOff>252360</xdr:colOff>
      <xdr:row>88</xdr:row>
      <xdr:rowOff>16200</xdr:rowOff>
    </xdr:from>
    <xdr:to>
      <xdr:col>16</xdr:col>
      <xdr:colOff>252360</xdr:colOff>
      <xdr:row>89</xdr:row>
      <xdr:rowOff>108000</xdr:rowOff>
    </xdr:to>
    <xdr:sp>
      <xdr:nvSpPr>
        <xdr:cNvPr id="1701" name="Line 280"/>
        <xdr:cNvSpPr/>
      </xdr:nvSpPr>
      <xdr:spPr>
        <a:xfrm>
          <a:off x="13663440" y="17008920"/>
          <a:ext cx="0" cy="28224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14</xdr:col>
      <xdr:colOff>560160</xdr:colOff>
      <xdr:row>82</xdr:row>
      <xdr:rowOff>65160</xdr:rowOff>
    </xdr:from>
    <xdr:to>
      <xdr:col>15</xdr:col>
      <xdr:colOff>302400</xdr:colOff>
      <xdr:row>82</xdr:row>
      <xdr:rowOff>186480</xdr:rowOff>
    </xdr:to>
    <xdr:sp>
      <xdr:nvSpPr>
        <xdr:cNvPr id="1702" name="Text Box 188"/>
        <xdr:cNvSpPr/>
      </xdr:nvSpPr>
      <xdr:spPr>
        <a:xfrm>
          <a:off x="12295080" y="15914880"/>
          <a:ext cx="58032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LN-5153</a:t>
          </a:r>
          <a:endParaRPr b="0" lang="en-GB" sz="600" spc="-1" strike="noStrike">
            <a:latin typeface="Times New Roman"/>
          </a:endParaRPr>
        </a:p>
      </xdr:txBody>
    </xdr:sp>
    <xdr:clientData/>
  </xdr:twoCellAnchor>
  <xdr:twoCellAnchor editAs="twoCell">
    <xdr:from>
      <xdr:col>11</xdr:col>
      <xdr:colOff>572400</xdr:colOff>
      <xdr:row>79</xdr:row>
      <xdr:rowOff>155520</xdr:rowOff>
    </xdr:from>
    <xdr:to>
      <xdr:col>12</xdr:col>
      <xdr:colOff>186840</xdr:colOff>
      <xdr:row>83</xdr:row>
      <xdr:rowOff>92880</xdr:rowOff>
    </xdr:to>
    <xdr:grpSp>
      <xdr:nvGrpSpPr>
        <xdr:cNvPr id="1703" name="Grupo 289"/>
        <xdr:cNvGrpSpPr/>
      </xdr:nvGrpSpPr>
      <xdr:grpSpPr>
        <a:xfrm>
          <a:off x="9669240" y="15557040"/>
          <a:ext cx="699480" cy="452520"/>
          <a:chOff x="9669240" y="15557040"/>
          <a:chExt cx="699480" cy="452520"/>
        </a:xfrm>
      </xdr:grpSpPr>
      <xdr:sp>
        <xdr:nvSpPr>
          <xdr:cNvPr id="1704" name="Line 280"/>
          <xdr:cNvSpPr/>
        </xdr:nvSpPr>
        <xdr:spPr>
          <a:xfrm>
            <a:off x="10028160" y="15557040"/>
            <a:ext cx="360" cy="258840"/>
          </a:xfrm>
          <a:prstGeom prst="line">
            <a:avLst/>
          </a:prstGeom>
          <a:ln w="15875">
            <a:solidFill>
              <a:srgbClr val="ffc000"/>
            </a:solidFill>
            <a:round/>
            <a:tailEnd len="med" type="triangle" w="med"/>
          </a:ln>
        </xdr:spPr>
        <xdr:style>
          <a:lnRef idx="0"/>
          <a:fillRef idx="0"/>
          <a:effectRef idx="0"/>
          <a:fontRef idx="minor"/>
        </xdr:style>
      </xdr:sp>
      <xdr:sp>
        <xdr:nvSpPr>
          <xdr:cNvPr id="1705" name="455 Rectángulo redondeado"/>
          <xdr:cNvSpPr/>
        </xdr:nvSpPr>
        <xdr:spPr>
          <a:xfrm rot="5400000">
            <a:off x="10010160" y="15633720"/>
            <a:ext cx="40680" cy="450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706" name="Text Box 188"/>
          <xdr:cNvSpPr/>
        </xdr:nvSpPr>
        <xdr:spPr>
          <a:xfrm>
            <a:off x="9669240" y="15797880"/>
            <a:ext cx="699480" cy="211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Linea 519 coolechera</a:t>
            </a:r>
            <a:endParaRPr b="0" lang="en-GB" sz="600" spc="-1" strike="noStrike">
              <a:latin typeface="Times New Roman"/>
            </a:endParaRPr>
          </a:p>
        </xdr:txBody>
      </xdr:sp>
    </xdr:grpSp>
    <xdr:clientData/>
  </xdr:twoCellAnchor>
  <xdr:twoCellAnchor editAs="twoCell">
    <xdr:from>
      <xdr:col>13</xdr:col>
      <xdr:colOff>581040</xdr:colOff>
      <xdr:row>84</xdr:row>
      <xdr:rowOff>81720</xdr:rowOff>
    </xdr:from>
    <xdr:to>
      <xdr:col>14</xdr:col>
      <xdr:colOff>249480</xdr:colOff>
      <xdr:row>88</xdr:row>
      <xdr:rowOff>19440</xdr:rowOff>
    </xdr:to>
    <xdr:grpSp>
      <xdr:nvGrpSpPr>
        <xdr:cNvPr id="1707" name="Grupo 293"/>
        <xdr:cNvGrpSpPr/>
      </xdr:nvGrpSpPr>
      <xdr:grpSpPr>
        <a:xfrm>
          <a:off x="11381040" y="16408800"/>
          <a:ext cx="699840" cy="506880"/>
          <a:chOff x="11381040" y="16408800"/>
          <a:chExt cx="699840" cy="506880"/>
        </a:xfrm>
      </xdr:grpSpPr>
      <xdr:sp>
        <xdr:nvSpPr>
          <xdr:cNvPr id="1708" name="Line 280"/>
          <xdr:cNvSpPr/>
        </xdr:nvSpPr>
        <xdr:spPr>
          <a:xfrm>
            <a:off x="11720160" y="16408800"/>
            <a:ext cx="360" cy="258840"/>
          </a:xfrm>
          <a:prstGeom prst="line">
            <a:avLst/>
          </a:prstGeom>
          <a:ln w="15875">
            <a:solidFill>
              <a:srgbClr val="ffc000"/>
            </a:solidFill>
            <a:round/>
            <a:tailEnd len="med" type="triangle" w="med"/>
          </a:ln>
        </xdr:spPr>
        <xdr:style>
          <a:lnRef idx="0"/>
          <a:fillRef idx="0"/>
          <a:effectRef idx="0"/>
          <a:fontRef idx="minor"/>
        </xdr:style>
      </xdr:sp>
      <xdr:sp>
        <xdr:nvSpPr>
          <xdr:cNvPr id="1709" name="455 Rectángulo redondeado"/>
          <xdr:cNvSpPr/>
        </xdr:nvSpPr>
        <xdr:spPr>
          <a:xfrm rot="5400000">
            <a:off x="11702520" y="16485480"/>
            <a:ext cx="40680" cy="450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710" name="Text Box 188"/>
          <xdr:cNvSpPr/>
        </xdr:nvSpPr>
        <xdr:spPr>
          <a:xfrm>
            <a:off x="11381040" y="16704000"/>
            <a:ext cx="699840" cy="211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Carga asociada LN518</a:t>
            </a:r>
            <a:endParaRPr b="0" lang="en-GB" sz="600" spc="-1" strike="noStrike">
              <a:latin typeface="Times New Roman"/>
            </a:endParaRPr>
          </a:p>
        </xdr:txBody>
      </xdr:sp>
    </xdr:grpSp>
    <xdr:clientData/>
  </xdr:twoCellAnchor>
  <xdr:twoCellAnchor editAs="twoCell">
    <xdr:from>
      <xdr:col>14</xdr:col>
      <xdr:colOff>300600</xdr:colOff>
      <xdr:row>84</xdr:row>
      <xdr:rowOff>84240</xdr:rowOff>
    </xdr:from>
    <xdr:to>
      <xdr:col>14</xdr:col>
      <xdr:colOff>807480</xdr:colOff>
      <xdr:row>88</xdr:row>
      <xdr:rowOff>21600</xdr:rowOff>
    </xdr:to>
    <xdr:grpSp>
      <xdr:nvGrpSpPr>
        <xdr:cNvPr id="1711" name="Grupo 297"/>
        <xdr:cNvGrpSpPr/>
      </xdr:nvGrpSpPr>
      <xdr:grpSpPr>
        <a:xfrm>
          <a:off x="11939400" y="16410960"/>
          <a:ext cx="699480" cy="506880"/>
          <a:chOff x="11939400" y="16410960"/>
          <a:chExt cx="699480" cy="506880"/>
        </a:xfrm>
      </xdr:grpSpPr>
      <xdr:sp>
        <xdr:nvSpPr>
          <xdr:cNvPr id="1712" name="Line 280"/>
          <xdr:cNvSpPr/>
        </xdr:nvSpPr>
        <xdr:spPr>
          <a:xfrm>
            <a:off x="12278160" y="16410960"/>
            <a:ext cx="360" cy="259200"/>
          </a:xfrm>
          <a:prstGeom prst="line">
            <a:avLst/>
          </a:prstGeom>
          <a:ln w="15875">
            <a:solidFill>
              <a:srgbClr val="ffc000"/>
            </a:solidFill>
            <a:round/>
            <a:tailEnd len="med" type="triangle" w="med"/>
          </a:ln>
        </xdr:spPr>
        <xdr:style>
          <a:lnRef idx="0"/>
          <a:fillRef idx="0"/>
          <a:effectRef idx="0"/>
          <a:fontRef idx="minor"/>
        </xdr:style>
      </xdr:sp>
      <xdr:sp>
        <xdr:nvSpPr>
          <xdr:cNvPr id="1713" name="455 Rectángulo redondeado"/>
          <xdr:cNvSpPr/>
        </xdr:nvSpPr>
        <xdr:spPr>
          <a:xfrm rot="5400000">
            <a:off x="12260160" y="16487640"/>
            <a:ext cx="40680" cy="450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714" name="Text Box 188"/>
          <xdr:cNvSpPr/>
        </xdr:nvSpPr>
        <xdr:spPr>
          <a:xfrm>
            <a:off x="11939400" y="16706160"/>
            <a:ext cx="699480" cy="211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Molino chimila ARA502</a:t>
            </a:r>
            <a:endParaRPr b="0" lang="en-GB" sz="600" spc="-1" strike="noStrike">
              <a:latin typeface="Times New Roman"/>
            </a:endParaRPr>
          </a:p>
        </xdr:txBody>
      </xdr:sp>
    </xdr:grpSp>
    <xdr:clientData/>
  </xdr:twoCellAnchor>
  <xdr:twoCellAnchor editAs="twoCell">
    <xdr:from>
      <xdr:col>20</xdr:col>
      <xdr:colOff>551520</xdr:colOff>
      <xdr:row>76</xdr:row>
      <xdr:rowOff>95040</xdr:rowOff>
    </xdr:from>
    <xdr:to>
      <xdr:col>22</xdr:col>
      <xdr:colOff>872280</xdr:colOff>
      <xdr:row>80</xdr:row>
      <xdr:rowOff>86040</xdr:rowOff>
    </xdr:to>
    <xdr:grpSp>
      <xdr:nvGrpSpPr>
        <xdr:cNvPr id="1715" name="Grupo 301"/>
        <xdr:cNvGrpSpPr/>
      </xdr:nvGrpSpPr>
      <xdr:grpSpPr>
        <a:xfrm>
          <a:off x="17315640" y="14801760"/>
          <a:ext cx="1996920" cy="752760"/>
          <a:chOff x="17315640" y="14801760"/>
          <a:chExt cx="1996920" cy="752760"/>
        </a:xfrm>
      </xdr:grpSpPr>
      <xdr:sp>
        <xdr:nvSpPr>
          <xdr:cNvPr id="1716" name="Line 205"/>
          <xdr:cNvSpPr/>
        </xdr:nvSpPr>
        <xdr:spPr>
          <a:xfrm>
            <a:off x="17981280" y="14956200"/>
            <a:ext cx="480960" cy="360"/>
          </a:xfrm>
          <a:prstGeom prst="line">
            <a:avLst/>
          </a:prstGeom>
          <a:ln w="25400">
            <a:solidFill>
              <a:srgbClr val="ff0000"/>
            </a:solidFill>
            <a:round/>
          </a:ln>
        </xdr:spPr>
        <xdr:style>
          <a:lnRef idx="0"/>
          <a:fillRef idx="0"/>
          <a:effectRef idx="0"/>
          <a:fontRef idx="minor"/>
        </xdr:style>
      </xdr:sp>
      <xdr:sp>
        <xdr:nvSpPr>
          <xdr:cNvPr id="1717" name="Text Box 138"/>
          <xdr:cNvSpPr/>
        </xdr:nvSpPr>
        <xdr:spPr>
          <a:xfrm>
            <a:off x="17315640" y="15110280"/>
            <a:ext cx="799560" cy="2347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33/21/15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110/34,5/13,8kV</a:t>
            </a:r>
            <a:endParaRPr b="0" lang="en-GB" sz="600" spc="-1" strike="noStrike">
              <a:latin typeface="Times New Roman"/>
            </a:endParaRPr>
          </a:p>
        </xdr:txBody>
      </xdr:sp>
      <xdr:sp>
        <xdr:nvSpPr>
          <xdr:cNvPr id="1718" name="Text Box 188"/>
          <xdr:cNvSpPr/>
        </xdr:nvSpPr>
        <xdr:spPr>
          <a:xfrm>
            <a:off x="17694720" y="14801760"/>
            <a:ext cx="1063440" cy="14760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Río Córdoba 110 kV </a:t>
            </a:r>
            <a:endParaRPr b="0" lang="en-GB" sz="600" spc="-1" strike="noStrike">
              <a:latin typeface="Times New Roman"/>
            </a:endParaRPr>
          </a:p>
        </xdr:txBody>
      </xdr:sp>
      <xdr:sp>
        <xdr:nvSpPr>
          <xdr:cNvPr id="1719" name="Line 38"/>
          <xdr:cNvSpPr/>
        </xdr:nvSpPr>
        <xdr:spPr>
          <a:xfrm>
            <a:off x="17859960" y="15554160"/>
            <a:ext cx="1452600" cy="360"/>
          </a:xfrm>
          <a:prstGeom prst="line">
            <a:avLst/>
          </a:prstGeom>
          <a:ln w="25400">
            <a:solidFill>
              <a:srgbClr val="ffc000"/>
            </a:solidFill>
            <a:round/>
          </a:ln>
        </xdr:spPr>
        <xdr:style>
          <a:lnRef idx="0"/>
          <a:fillRef idx="0"/>
          <a:effectRef idx="0"/>
          <a:fontRef idx="minor"/>
        </xdr:style>
      </xdr:sp>
      <xdr:sp>
        <xdr:nvSpPr>
          <xdr:cNvPr id="1720" name="Line 244"/>
          <xdr:cNvSpPr/>
        </xdr:nvSpPr>
        <xdr:spPr>
          <a:xfrm>
            <a:off x="18398160" y="15294600"/>
            <a:ext cx="142560" cy="360"/>
          </a:xfrm>
          <a:prstGeom prst="line">
            <a:avLst/>
          </a:prstGeom>
          <a:ln w="15875">
            <a:solidFill>
              <a:srgbClr val="000000"/>
            </a:solidFill>
            <a:round/>
          </a:ln>
        </xdr:spPr>
        <xdr:style>
          <a:lnRef idx="0"/>
          <a:fillRef idx="0"/>
          <a:effectRef idx="0"/>
          <a:fontRef idx="minor"/>
        </xdr:style>
      </xdr:sp>
      <xdr:sp>
        <xdr:nvSpPr>
          <xdr:cNvPr id="1721" name="455 Rectángulo redondeado"/>
          <xdr:cNvSpPr/>
        </xdr:nvSpPr>
        <xdr:spPr>
          <a:xfrm rot="16200000">
            <a:off x="18439200" y="15275520"/>
            <a:ext cx="39600" cy="435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nvGrpSpPr>
          <xdr:cNvPr id="1722" name="Grupo 308"/>
          <xdr:cNvGrpSpPr/>
        </xdr:nvGrpSpPr>
        <xdr:grpSpPr>
          <a:xfrm>
            <a:off x="18093960" y="15106680"/>
            <a:ext cx="302400" cy="309960"/>
            <a:chOff x="18093960" y="15106680"/>
            <a:chExt cx="302400" cy="309960"/>
          </a:xfrm>
        </xdr:grpSpPr>
        <xdr:sp>
          <xdr:nvSpPr>
            <xdr:cNvPr id="1723" name="Oval 40"/>
            <xdr:cNvSpPr/>
          </xdr:nvSpPr>
          <xdr:spPr>
            <a:xfrm rot="10800000">
              <a:off x="18093960" y="15209280"/>
              <a:ext cx="189720" cy="207360"/>
            </a:xfrm>
            <a:prstGeom prst="ellipse">
              <a:avLst/>
            </a:prstGeom>
            <a:noFill/>
            <a:ln w="12700">
              <a:solidFill>
                <a:srgbClr val="ffc000"/>
              </a:solidFill>
              <a:round/>
            </a:ln>
          </xdr:spPr>
          <xdr:style>
            <a:lnRef idx="0"/>
            <a:fillRef idx="0"/>
            <a:effectRef idx="0"/>
            <a:fontRef idx="minor"/>
          </xdr:style>
        </xdr:sp>
        <xdr:sp>
          <xdr:nvSpPr>
            <xdr:cNvPr id="1724" name="Oval 41"/>
            <xdr:cNvSpPr/>
          </xdr:nvSpPr>
          <xdr:spPr>
            <a:xfrm rot="10800000">
              <a:off x="18093960" y="15106680"/>
              <a:ext cx="189720" cy="207360"/>
            </a:xfrm>
            <a:prstGeom prst="ellipse">
              <a:avLst/>
            </a:prstGeom>
            <a:noFill/>
            <a:ln w="12700">
              <a:solidFill>
                <a:srgbClr val="ff0000"/>
              </a:solidFill>
              <a:round/>
            </a:ln>
          </xdr:spPr>
          <xdr:style>
            <a:lnRef idx="0"/>
            <a:fillRef idx="0"/>
            <a:effectRef idx="0"/>
            <a:fontRef idx="minor"/>
          </xdr:style>
        </xdr:sp>
        <xdr:sp>
          <xdr:nvSpPr>
            <xdr:cNvPr id="1725" name="Oval 63"/>
            <xdr:cNvSpPr/>
          </xdr:nvSpPr>
          <xdr:spPr>
            <a:xfrm>
              <a:off x="18207360" y="15183360"/>
              <a:ext cx="189000" cy="206280"/>
            </a:xfrm>
            <a:prstGeom prst="ellipse">
              <a:avLst/>
            </a:prstGeom>
            <a:noFill/>
            <a:ln w="12700">
              <a:solidFill>
                <a:srgbClr val="000000"/>
              </a:solidFill>
              <a:round/>
            </a:ln>
          </xdr:spPr>
          <xdr:style>
            <a:lnRef idx="0"/>
            <a:fillRef idx="0"/>
            <a:effectRef idx="0"/>
            <a:fontRef idx="minor"/>
          </xdr:style>
        </xdr:sp>
      </xdr:grpSp>
      <xdr:sp>
        <xdr:nvSpPr>
          <xdr:cNvPr id="1726" name="Line 100"/>
          <xdr:cNvSpPr/>
        </xdr:nvSpPr>
        <xdr:spPr>
          <a:xfrm>
            <a:off x="18183600" y="15417720"/>
            <a:ext cx="360" cy="129240"/>
          </a:xfrm>
          <a:prstGeom prst="line">
            <a:avLst/>
          </a:prstGeom>
          <a:ln w="15875">
            <a:solidFill>
              <a:srgbClr val="ffc000"/>
            </a:solidFill>
            <a:round/>
          </a:ln>
        </xdr:spPr>
        <xdr:style>
          <a:lnRef idx="0"/>
          <a:fillRef idx="0"/>
          <a:effectRef idx="0"/>
          <a:fontRef idx="minor"/>
        </xdr:style>
      </xdr:sp>
      <xdr:sp>
        <xdr:nvSpPr>
          <xdr:cNvPr id="1727" name="455 Rectángulo redondeado"/>
          <xdr:cNvSpPr/>
        </xdr:nvSpPr>
        <xdr:spPr>
          <a:xfrm>
            <a:off x="18161280" y="15454080"/>
            <a:ext cx="4356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728" name="Line 206"/>
          <xdr:cNvSpPr/>
        </xdr:nvSpPr>
        <xdr:spPr>
          <a:xfrm>
            <a:off x="18191520" y="14945400"/>
            <a:ext cx="360" cy="156600"/>
          </a:xfrm>
          <a:prstGeom prst="line">
            <a:avLst/>
          </a:prstGeom>
          <a:ln w="25400">
            <a:solidFill>
              <a:srgbClr val="ff0000"/>
            </a:solidFill>
            <a:round/>
          </a:ln>
        </xdr:spPr>
        <xdr:style>
          <a:lnRef idx="0"/>
          <a:fillRef idx="0"/>
          <a:effectRef idx="0"/>
          <a:fontRef idx="minor"/>
        </xdr:style>
      </xdr:sp>
      <xdr:sp>
        <xdr:nvSpPr>
          <xdr:cNvPr id="1729" name="452 Rectángulo redondeado"/>
          <xdr:cNvSpPr/>
        </xdr:nvSpPr>
        <xdr:spPr>
          <a:xfrm>
            <a:off x="18170280" y="15004440"/>
            <a:ext cx="43560" cy="3960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20</xdr:col>
      <xdr:colOff>492840</xdr:colOff>
      <xdr:row>79</xdr:row>
      <xdr:rowOff>147600</xdr:rowOff>
    </xdr:from>
    <xdr:to>
      <xdr:col>21</xdr:col>
      <xdr:colOff>354240</xdr:colOff>
      <xdr:row>80</xdr:row>
      <xdr:rowOff>168840</xdr:rowOff>
    </xdr:to>
    <xdr:sp>
      <xdr:nvSpPr>
        <xdr:cNvPr id="1730" name="Text Box 188"/>
        <xdr:cNvSpPr/>
      </xdr:nvSpPr>
      <xdr:spPr>
        <a:xfrm>
          <a:off x="17256960" y="15425640"/>
          <a:ext cx="699480" cy="211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Río Córdoba 34,5 kV</a:t>
          </a:r>
          <a:endParaRPr b="0" lang="en-GB" sz="600" spc="-1" strike="noStrike">
            <a:latin typeface="Times New Roman"/>
          </a:endParaRPr>
        </a:p>
      </xdr:txBody>
    </xdr:sp>
    <xdr:clientData/>
  </xdr:twoCellAnchor>
  <xdr:twoCellAnchor editAs="twoCell">
    <xdr:from>
      <xdr:col>22</xdr:col>
      <xdr:colOff>69840</xdr:colOff>
      <xdr:row>80</xdr:row>
      <xdr:rowOff>83520</xdr:rowOff>
    </xdr:from>
    <xdr:to>
      <xdr:col>22</xdr:col>
      <xdr:colOff>69840</xdr:colOff>
      <xdr:row>84</xdr:row>
      <xdr:rowOff>125640</xdr:rowOff>
    </xdr:to>
    <xdr:sp>
      <xdr:nvSpPr>
        <xdr:cNvPr id="1731" name="Line 244"/>
        <xdr:cNvSpPr/>
      </xdr:nvSpPr>
      <xdr:spPr>
        <a:xfrm>
          <a:off x="18510120" y="15552000"/>
          <a:ext cx="0" cy="804240"/>
        </a:xfrm>
        <a:prstGeom prst="line">
          <a:avLst/>
        </a:prstGeom>
        <a:ln w="15875">
          <a:solidFill>
            <a:srgbClr val="ffc000"/>
          </a:solidFill>
          <a:round/>
        </a:ln>
      </xdr:spPr>
      <xdr:style>
        <a:lnRef idx="0"/>
        <a:fillRef idx="0"/>
        <a:effectRef idx="0"/>
        <a:fontRef idx="minor"/>
      </xdr:style>
    </xdr:sp>
    <xdr:clientData/>
  </xdr:twoCellAnchor>
  <xdr:twoCellAnchor editAs="twoCell">
    <xdr:from>
      <xdr:col>22</xdr:col>
      <xdr:colOff>50400</xdr:colOff>
      <xdr:row>80</xdr:row>
      <xdr:rowOff>123840</xdr:rowOff>
    </xdr:from>
    <xdr:to>
      <xdr:col>22</xdr:col>
      <xdr:colOff>90720</xdr:colOff>
      <xdr:row>80</xdr:row>
      <xdr:rowOff>163440</xdr:rowOff>
    </xdr:to>
    <xdr:sp>
      <xdr:nvSpPr>
        <xdr:cNvPr id="1732" name="455 Rectángulo redondeado"/>
        <xdr:cNvSpPr/>
      </xdr:nvSpPr>
      <xdr:spPr>
        <a:xfrm>
          <a:off x="18490680" y="1559232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22</xdr:col>
      <xdr:colOff>161280</xdr:colOff>
      <xdr:row>78</xdr:row>
      <xdr:rowOff>84240</xdr:rowOff>
    </xdr:from>
    <xdr:to>
      <xdr:col>22</xdr:col>
      <xdr:colOff>161280</xdr:colOff>
      <xdr:row>79</xdr:row>
      <xdr:rowOff>145080</xdr:rowOff>
    </xdr:to>
    <xdr:sp>
      <xdr:nvSpPr>
        <xdr:cNvPr id="1733" name="Line 99"/>
        <xdr:cNvSpPr/>
      </xdr:nvSpPr>
      <xdr:spPr>
        <a:xfrm>
          <a:off x="18601560" y="15171840"/>
          <a:ext cx="0" cy="251280"/>
        </a:xfrm>
        <a:prstGeom prst="line">
          <a:avLst/>
        </a:prstGeom>
        <a:ln w="25400">
          <a:solidFill>
            <a:srgbClr val="000000"/>
          </a:solidFill>
          <a:round/>
        </a:ln>
      </xdr:spPr>
      <xdr:style>
        <a:lnRef idx="0"/>
        <a:fillRef idx="0"/>
        <a:effectRef idx="0"/>
        <a:fontRef idx="minor"/>
      </xdr:style>
    </xdr:sp>
    <xdr:clientData/>
  </xdr:twoCellAnchor>
  <xdr:twoCellAnchor editAs="twoCell">
    <xdr:from>
      <xdr:col>22</xdr:col>
      <xdr:colOff>154440</xdr:colOff>
      <xdr:row>79</xdr:row>
      <xdr:rowOff>17640</xdr:rowOff>
    </xdr:from>
    <xdr:to>
      <xdr:col>22</xdr:col>
      <xdr:colOff>343440</xdr:colOff>
      <xdr:row>79</xdr:row>
      <xdr:rowOff>17640</xdr:rowOff>
    </xdr:to>
    <xdr:sp>
      <xdr:nvSpPr>
        <xdr:cNvPr id="1734" name="Line 280"/>
        <xdr:cNvSpPr/>
      </xdr:nvSpPr>
      <xdr:spPr>
        <a:xfrm>
          <a:off x="18594720" y="15295680"/>
          <a:ext cx="189000" cy="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22</xdr:col>
      <xdr:colOff>189000</xdr:colOff>
      <xdr:row>78</xdr:row>
      <xdr:rowOff>185400</xdr:rowOff>
    </xdr:from>
    <xdr:to>
      <xdr:col>22</xdr:col>
      <xdr:colOff>230040</xdr:colOff>
      <xdr:row>79</xdr:row>
      <xdr:rowOff>35640</xdr:rowOff>
    </xdr:to>
    <xdr:sp>
      <xdr:nvSpPr>
        <xdr:cNvPr id="1735" name="455 Rectángulo redondeado"/>
        <xdr:cNvSpPr/>
      </xdr:nvSpPr>
      <xdr:spPr>
        <a:xfrm rot="5400000">
          <a:off x="18629280" y="15272640"/>
          <a:ext cx="40680" cy="410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21</xdr:col>
      <xdr:colOff>699840</xdr:colOff>
      <xdr:row>77</xdr:row>
      <xdr:rowOff>144360</xdr:rowOff>
    </xdr:from>
    <xdr:to>
      <xdr:col>22</xdr:col>
      <xdr:colOff>642600</xdr:colOff>
      <xdr:row>78</xdr:row>
      <xdr:rowOff>67680</xdr:rowOff>
    </xdr:to>
    <xdr:sp>
      <xdr:nvSpPr>
        <xdr:cNvPr id="1736" name="Text Box 188"/>
        <xdr:cNvSpPr/>
      </xdr:nvSpPr>
      <xdr:spPr>
        <a:xfrm>
          <a:off x="18302040" y="15041520"/>
          <a:ext cx="780840" cy="11376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Río Córdoba 13,8 kV </a:t>
          </a:r>
          <a:endParaRPr b="0" lang="en-GB" sz="600" spc="-1" strike="noStrike">
            <a:latin typeface="Times New Roman"/>
          </a:endParaRPr>
        </a:p>
      </xdr:txBody>
    </xdr:sp>
    <xdr:clientData/>
  </xdr:twoCellAnchor>
  <xdr:twoCellAnchor editAs="twoCell">
    <xdr:from>
      <xdr:col>21</xdr:col>
      <xdr:colOff>194760</xdr:colOff>
      <xdr:row>84</xdr:row>
      <xdr:rowOff>120960</xdr:rowOff>
    </xdr:from>
    <xdr:to>
      <xdr:col>22</xdr:col>
      <xdr:colOff>910080</xdr:colOff>
      <xdr:row>84</xdr:row>
      <xdr:rowOff>120960</xdr:rowOff>
    </xdr:to>
    <xdr:sp>
      <xdr:nvSpPr>
        <xdr:cNvPr id="1737" name="Line 38"/>
        <xdr:cNvSpPr/>
      </xdr:nvSpPr>
      <xdr:spPr>
        <a:xfrm>
          <a:off x="17796960" y="16351560"/>
          <a:ext cx="1553400" cy="0"/>
        </a:xfrm>
        <a:prstGeom prst="line">
          <a:avLst/>
        </a:prstGeom>
        <a:ln w="25400">
          <a:solidFill>
            <a:srgbClr val="ffc000"/>
          </a:solidFill>
          <a:round/>
        </a:ln>
      </xdr:spPr>
      <xdr:style>
        <a:lnRef idx="0"/>
        <a:fillRef idx="0"/>
        <a:effectRef idx="0"/>
        <a:fontRef idx="minor"/>
      </xdr:style>
    </xdr:sp>
    <xdr:clientData/>
  </xdr:twoCellAnchor>
  <xdr:twoCellAnchor editAs="twoCell">
    <xdr:from>
      <xdr:col>22</xdr:col>
      <xdr:colOff>49320</xdr:colOff>
      <xdr:row>84</xdr:row>
      <xdr:rowOff>38880</xdr:rowOff>
    </xdr:from>
    <xdr:to>
      <xdr:col>22</xdr:col>
      <xdr:colOff>89640</xdr:colOff>
      <xdr:row>84</xdr:row>
      <xdr:rowOff>78480</xdr:rowOff>
    </xdr:to>
    <xdr:sp>
      <xdr:nvSpPr>
        <xdr:cNvPr id="1738" name="455 Rectángulo redondeado"/>
        <xdr:cNvSpPr/>
      </xdr:nvSpPr>
      <xdr:spPr>
        <a:xfrm>
          <a:off x="18489600" y="1626948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20</xdr:col>
      <xdr:colOff>480240</xdr:colOff>
      <xdr:row>84</xdr:row>
      <xdr:rowOff>23040</xdr:rowOff>
    </xdr:from>
    <xdr:to>
      <xdr:col>21</xdr:col>
      <xdr:colOff>313560</xdr:colOff>
      <xdr:row>85</xdr:row>
      <xdr:rowOff>44280</xdr:rowOff>
    </xdr:to>
    <xdr:sp>
      <xdr:nvSpPr>
        <xdr:cNvPr id="1739" name="Text Box 188"/>
        <xdr:cNvSpPr/>
      </xdr:nvSpPr>
      <xdr:spPr>
        <a:xfrm>
          <a:off x="17244360" y="16253640"/>
          <a:ext cx="671400" cy="211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Zawady 34,5 kV</a:t>
          </a:r>
          <a:endParaRPr b="0" lang="en-GB" sz="600" spc="-1" strike="noStrike">
            <a:latin typeface="Times New Roman"/>
          </a:endParaRPr>
        </a:p>
      </xdr:txBody>
    </xdr:sp>
    <xdr:clientData/>
  </xdr:twoCellAnchor>
  <xdr:twoCellAnchor editAs="twoCell">
    <xdr:from>
      <xdr:col>21</xdr:col>
      <xdr:colOff>427320</xdr:colOff>
      <xdr:row>80</xdr:row>
      <xdr:rowOff>92520</xdr:rowOff>
    </xdr:from>
    <xdr:to>
      <xdr:col>21</xdr:col>
      <xdr:colOff>427320</xdr:colOff>
      <xdr:row>84</xdr:row>
      <xdr:rowOff>134280</xdr:rowOff>
    </xdr:to>
    <xdr:sp>
      <xdr:nvSpPr>
        <xdr:cNvPr id="1740" name="Line 244"/>
        <xdr:cNvSpPr/>
      </xdr:nvSpPr>
      <xdr:spPr>
        <a:xfrm>
          <a:off x="18029520" y="15561000"/>
          <a:ext cx="0" cy="803880"/>
        </a:xfrm>
        <a:prstGeom prst="line">
          <a:avLst/>
        </a:prstGeom>
        <a:ln w="15875">
          <a:solidFill>
            <a:srgbClr val="ffc000"/>
          </a:solidFill>
          <a:round/>
        </a:ln>
      </xdr:spPr>
      <xdr:style>
        <a:lnRef idx="0"/>
        <a:fillRef idx="0"/>
        <a:effectRef idx="0"/>
        <a:fontRef idx="minor"/>
      </xdr:style>
    </xdr:sp>
    <xdr:clientData/>
  </xdr:twoCellAnchor>
  <xdr:twoCellAnchor editAs="twoCell">
    <xdr:from>
      <xdr:col>21</xdr:col>
      <xdr:colOff>408240</xdr:colOff>
      <xdr:row>80</xdr:row>
      <xdr:rowOff>132840</xdr:rowOff>
    </xdr:from>
    <xdr:to>
      <xdr:col>21</xdr:col>
      <xdr:colOff>448560</xdr:colOff>
      <xdr:row>80</xdr:row>
      <xdr:rowOff>172440</xdr:rowOff>
    </xdr:to>
    <xdr:sp>
      <xdr:nvSpPr>
        <xdr:cNvPr id="1741" name="455 Rectángulo redondeado"/>
        <xdr:cNvSpPr/>
      </xdr:nvSpPr>
      <xdr:spPr>
        <a:xfrm>
          <a:off x="18010440" y="1560132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21</xdr:col>
      <xdr:colOff>407160</xdr:colOff>
      <xdr:row>84</xdr:row>
      <xdr:rowOff>39960</xdr:rowOff>
    </xdr:from>
    <xdr:to>
      <xdr:col>21</xdr:col>
      <xdr:colOff>447480</xdr:colOff>
      <xdr:row>84</xdr:row>
      <xdr:rowOff>79560</xdr:rowOff>
    </xdr:to>
    <xdr:sp>
      <xdr:nvSpPr>
        <xdr:cNvPr id="1742" name="455 Rectángulo redondeado"/>
        <xdr:cNvSpPr/>
      </xdr:nvSpPr>
      <xdr:spPr>
        <a:xfrm>
          <a:off x="18009360" y="16270560"/>
          <a:ext cx="40320" cy="39600"/>
        </a:xfrm>
        <a:prstGeom prst="roundRect">
          <a:avLst>
            <a:gd name="adj" fmla="val 16667"/>
          </a:avLst>
        </a:prstGeom>
        <a:solidFill>
          <a:schemeClr val="bg1"/>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20</xdr:col>
      <xdr:colOff>726840</xdr:colOff>
      <xdr:row>82</xdr:row>
      <xdr:rowOff>131760</xdr:rowOff>
    </xdr:from>
    <xdr:to>
      <xdr:col>21</xdr:col>
      <xdr:colOff>410040</xdr:colOff>
      <xdr:row>83</xdr:row>
      <xdr:rowOff>62640</xdr:rowOff>
    </xdr:to>
    <xdr:sp>
      <xdr:nvSpPr>
        <xdr:cNvPr id="1743" name="Text Box 188"/>
        <xdr:cNvSpPr/>
      </xdr:nvSpPr>
      <xdr:spPr>
        <a:xfrm>
          <a:off x="17490960" y="15981480"/>
          <a:ext cx="52128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LN-536</a:t>
          </a:r>
          <a:endParaRPr b="0" lang="en-GB" sz="600" spc="-1" strike="noStrike">
            <a:latin typeface="Times New Roman"/>
          </a:endParaRPr>
        </a:p>
      </xdr:txBody>
    </xdr:sp>
    <xdr:clientData/>
  </xdr:twoCellAnchor>
  <xdr:twoCellAnchor editAs="twoCell">
    <xdr:from>
      <xdr:col>21</xdr:col>
      <xdr:colOff>399600</xdr:colOff>
      <xdr:row>82</xdr:row>
      <xdr:rowOff>124560</xdr:rowOff>
    </xdr:from>
    <xdr:to>
      <xdr:col>22</xdr:col>
      <xdr:colOff>136800</xdr:colOff>
      <xdr:row>83</xdr:row>
      <xdr:rowOff>55440</xdr:rowOff>
    </xdr:to>
    <xdr:sp>
      <xdr:nvSpPr>
        <xdr:cNvPr id="1744" name="Text Box 188"/>
        <xdr:cNvSpPr/>
      </xdr:nvSpPr>
      <xdr:spPr>
        <a:xfrm>
          <a:off x="18001800" y="15974280"/>
          <a:ext cx="57528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LN-5166</a:t>
          </a:r>
          <a:endParaRPr b="0" lang="en-GB" sz="600" spc="-1" strike="noStrike">
            <a:latin typeface="Times New Roman"/>
          </a:endParaRPr>
        </a:p>
      </xdr:txBody>
    </xdr:sp>
    <xdr:clientData/>
  </xdr:twoCellAnchor>
  <xdr:twoCellAnchor editAs="twoCell">
    <xdr:from>
      <xdr:col>20</xdr:col>
      <xdr:colOff>413640</xdr:colOff>
      <xdr:row>84</xdr:row>
      <xdr:rowOff>130680</xdr:rowOff>
    </xdr:from>
    <xdr:to>
      <xdr:col>22</xdr:col>
      <xdr:colOff>661680</xdr:colOff>
      <xdr:row>89</xdr:row>
      <xdr:rowOff>51480</xdr:rowOff>
    </xdr:to>
    <xdr:grpSp>
      <xdr:nvGrpSpPr>
        <xdr:cNvPr id="1745" name="Grupo 331"/>
        <xdr:cNvGrpSpPr/>
      </xdr:nvGrpSpPr>
      <xdr:grpSpPr>
        <a:xfrm>
          <a:off x="17177760" y="16361280"/>
          <a:ext cx="1924200" cy="873360"/>
          <a:chOff x="17177760" y="16361280"/>
          <a:chExt cx="1924200" cy="873360"/>
        </a:xfrm>
      </xdr:grpSpPr>
      <xdr:grpSp>
        <xdr:nvGrpSpPr>
          <xdr:cNvPr id="1746" name="Grupo 332"/>
          <xdr:cNvGrpSpPr/>
        </xdr:nvGrpSpPr>
        <xdr:grpSpPr>
          <a:xfrm>
            <a:off x="17177760" y="16361280"/>
            <a:ext cx="1924200" cy="873360"/>
            <a:chOff x="17177760" y="16361280"/>
            <a:chExt cx="1924200" cy="873360"/>
          </a:xfrm>
        </xdr:grpSpPr>
        <xdr:grpSp>
          <xdr:nvGrpSpPr>
            <xdr:cNvPr id="1747" name="Grupo 334"/>
            <xdr:cNvGrpSpPr/>
          </xdr:nvGrpSpPr>
          <xdr:grpSpPr>
            <a:xfrm>
              <a:off x="17177760" y="16361280"/>
              <a:ext cx="1924200" cy="741960"/>
              <a:chOff x="17177760" y="16361280"/>
              <a:chExt cx="1924200" cy="741960"/>
            </a:xfrm>
          </xdr:grpSpPr>
          <xdr:grpSp>
            <xdr:nvGrpSpPr>
              <xdr:cNvPr id="1748" name="Grupo 336"/>
              <xdr:cNvGrpSpPr/>
            </xdr:nvGrpSpPr>
            <xdr:grpSpPr>
              <a:xfrm>
                <a:off x="17177760" y="16362000"/>
                <a:ext cx="1391400" cy="741240"/>
                <a:chOff x="17177760" y="16362000"/>
                <a:chExt cx="1391400" cy="741240"/>
              </a:xfrm>
            </xdr:grpSpPr>
            <xdr:grpSp>
              <xdr:nvGrpSpPr>
                <xdr:cNvPr id="1749" name="Grupo 346"/>
                <xdr:cNvGrpSpPr/>
              </xdr:nvGrpSpPr>
              <xdr:grpSpPr>
                <a:xfrm>
                  <a:off x="17788680" y="16362000"/>
                  <a:ext cx="780480" cy="698400"/>
                  <a:chOff x="17788680" y="16362000"/>
                  <a:chExt cx="780480" cy="698400"/>
                </a:xfrm>
              </xdr:grpSpPr>
              <xdr:sp>
                <xdr:nvSpPr>
                  <xdr:cNvPr id="1750" name="Oval 40"/>
                  <xdr:cNvSpPr/>
                </xdr:nvSpPr>
                <xdr:spPr>
                  <a:xfrm rot="10800000">
                    <a:off x="17822160" y="16609320"/>
                    <a:ext cx="193680" cy="209160"/>
                  </a:xfrm>
                  <a:prstGeom prst="ellipse">
                    <a:avLst/>
                  </a:prstGeom>
                  <a:noFill/>
                  <a:ln w="12700">
                    <a:solidFill>
                      <a:srgbClr val="000000"/>
                    </a:solidFill>
                    <a:round/>
                  </a:ln>
                </xdr:spPr>
                <xdr:style>
                  <a:lnRef idx="0"/>
                  <a:fillRef idx="0"/>
                  <a:effectRef idx="0"/>
                  <a:fontRef idx="minor"/>
                </xdr:style>
              </xdr:sp>
              <xdr:sp>
                <xdr:nvSpPr>
                  <xdr:cNvPr id="1751" name="Oval 41"/>
                  <xdr:cNvSpPr/>
                </xdr:nvSpPr>
                <xdr:spPr>
                  <a:xfrm rot="10800000">
                    <a:off x="17819280" y="16497360"/>
                    <a:ext cx="193680" cy="209160"/>
                  </a:xfrm>
                  <a:prstGeom prst="ellipse">
                    <a:avLst/>
                  </a:prstGeom>
                  <a:noFill/>
                  <a:ln w="12700">
                    <a:solidFill>
                      <a:srgbClr val="ffc000"/>
                    </a:solidFill>
                    <a:round/>
                  </a:ln>
                </xdr:spPr>
                <xdr:style>
                  <a:lnRef idx="0"/>
                  <a:fillRef idx="0"/>
                  <a:effectRef idx="0"/>
                  <a:fontRef idx="minor"/>
                </xdr:style>
              </xdr:sp>
              <xdr:sp>
                <xdr:nvSpPr>
                  <xdr:cNvPr id="1752" name="Line 206"/>
                  <xdr:cNvSpPr/>
                </xdr:nvSpPr>
                <xdr:spPr>
                  <a:xfrm>
                    <a:off x="17910720" y="16362000"/>
                    <a:ext cx="360" cy="132120"/>
                  </a:xfrm>
                  <a:prstGeom prst="line">
                    <a:avLst/>
                  </a:prstGeom>
                  <a:ln w="15875">
                    <a:solidFill>
                      <a:srgbClr val="ffc000"/>
                    </a:solidFill>
                    <a:round/>
                  </a:ln>
                </xdr:spPr>
                <xdr:style>
                  <a:lnRef idx="0"/>
                  <a:fillRef idx="0"/>
                  <a:effectRef idx="0"/>
                  <a:fontRef idx="minor"/>
                </xdr:style>
              </xdr:sp>
              <xdr:sp>
                <xdr:nvSpPr>
                  <xdr:cNvPr id="1753" name="452 Rectángulo redondeado"/>
                  <xdr:cNvSpPr/>
                </xdr:nvSpPr>
                <xdr:spPr>
                  <a:xfrm>
                    <a:off x="17888760" y="16398000"/>
                    <a:ext cx="442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754" name="Line 99"/>
                  <xdr:cNvSpPr/>
                </xdr:nvSpPr>
                <xdr:spPr>
                  <a:xfrm>
                    <a:off x="17788680" y="16959960"/>
                    <a:ext cx="780480" cy="360"/>
                  </a:xfrm>
                  <a:prstGeom prst="line">
                    <a:avLst/>
                  </a:prstGeom>
                  <a:ln w="25400">
                    <a:solidFill>
                      <a:srgbClr val="000000"/>
                    </a:solidFill>
                    <a:round/>
                  </a:ln>
                </xdr:spPr>
                <xdr:style>
                  <a:lnRef idx="0"/>
                  <a:fillRef idx="0"/>
                  <a:effectRef idx="0"/>
                  <a:fontRef idx="minor"/>
                </xdr:style>
              </xdr:sp>
              <xdr:sp>
                <xdr:nvSpPr>
                  <xdr:cNvPr id="1755" name="Line 280"/>
                  <xdr:cNvSpPr/>
                </xdr:nvSpPr>
                <xdr:spPr>
                  <a:xfrm>
                    <a:off x="17918280" y="16819920"/>
                    <a:ext cx="360" cy="150840"/>
                  </a:xfrm>
                  <a:prstGeom prst="line">
                    <a:avLst/>
                  </a:prstGeom>
                  <a:ln w="15875">
                    <a:solidFill>
                      <a:srgbClr val="000000"/>
                    </a:solidFill>
                    <a:round/>
                  </a:ln>
                </xdr:spPr>
                <xdr:style>
                  <a:lnRef idx="0"/>
                  <a:fillRef idx="0"/>
                  <a:effectRef idx="0"/>
                  <a:fontRef idx="minor"/>
                </xdr:style>
              </xdr:sp>
              <xdr:sp>
                <xdr:nvSpPr>
                  <xdr:cNvPr id="1756" name="455 Rectángulo redondeado"/>
                  <xdr:cNvSpPr/>
                </xdr:nvSpPr>
                <xdr:spPr>
                  <a:xfrm rot="5400000">
                    <a:off x="17896680" y="17018280"/>
                    <a:ext cx="39960" cy="44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1757" name="455 Rectángulo redondeado"/>
                  <xdr:cNvSpPr/>
                </xdr:nvSpPr>
                <xdr:spPr>
                  <a:xfrm rot="5400000">
                    <a:off x="17900640" y="16866360"/>
                    <a:ext cx="39960" cy="44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1758" name="61 CuadroTexto"/>
                <xdr:cNvSpPr/>
              </xdr:nvSpPr>
              <xdr:spPr>
                <a:xfrm>
                  <a:off x="17177760" y="16512120"/>
                  <a:ext cx="68724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12,5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sp>
              <xdr:nvSpPr>
                <xdr:cNvPr id="1759" name="Text Box 188"/>
                <xdr:cNvSpPr/>
              </xdr:nvSpPr>
              <xdr:spPr>
                <a:xfrm>
                  <a:off x="17285400" y="16870320"/>
                  <a:ext cx="52992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Zawady 13,8 kV</a:t>
                  </a:r>
                  <a:endParaRPr b="0" lang="en-GB" sz="600" spc="-1" strike="noStrike">
                    <a:latin typeface="Times New Roman"/>
                  </a:endParaRPr>
                </a:p>
              </xdr:txBody>
            </xdr:sp>
          </xdr:grpSp>
          <xdr:grpSp>
            <xdr:nvGrpSpPr>
              <xdr:cNvPr id="1760" name="Grupo 337"/>
              <xdr:cNvGrpSpPr/>
            </xdr:nvGrpSpPr>
            <xdr:grpSpPr>
              <a:xfrm>
                <a:off x="18283320" y="16361280"/>
                <a:ext cx="818640" cy="606240"/>
                <a:chOff x="18283320" y="16361280"/>
                <a:chExt cx="818640" cy="606240"/>
              </a:xfrm>
            </xdr:grpSpPr>
            <xdr:grpSp>
              <xdr:nvGrpSpPr>
                <xdr:cNvPr id="1761" name="Grupo 338"/>
                <xdr:cNvGrpSpPr/>
              </xdr:nvGrpSpPr>
              <xdr:grpSpPr>
                <a:xfrm>
                  <a:off x="18283320" y="16361280"/>
                  <a:ext cx="196560" cy="606240"/>
                  <a:chOff x="18283320" y="16361280"/>
                  <a:chExt cx="196560" cy="606240"/>
                </a:xfrm>
              </xdr:grpSpPr>
              <xdr:sp>
                <xdr:nvSpPr>
                  <xdr:cNvPr id="1762" name="Oval 40"/>
                  <xdr:cNvSpPr/>
                </xdr:nvSpPr>
                <xdr:spPr>
                  <a:xfrm rot="10800000">
                    <a:off x="18286200" y="16608240"/>
                    <a:ext cx="193680" cy="209160"/>
                  </a:xfrm>
                  <a:prstGeom prst="ellipse">
                    <a:avLst/>
                  </a:prstGeom>
                  <a:noFill/>
                  <a:ln w="12700">
                    <a:solidFill>
                      <a:srgbClr val="000000"/>
                    </a:solidFill>
                    <a:round/>
                  </a:ln>
                </xdr:spPr>
                <xdr:style>
                  <a:lnRef idx="0"/>
                  <a:fillRef idx="0"/>
                  <a:effectRef idx="0"/>
                  <a:fontRef idx="minor"/>
                </xdr:style>
              </xdr:sp>
              <xdr:sp>
                <xdr:nvSpPr>
                  <xdr:cNvPr id="1763" name="Oval 41"/>
                  <xdr:cNvSpPr/>
                </xdr:nvSpPr>
                <xdr:spPr>
                  <a:xfrm rot="10800000">
                    <a:off x="18283320" y="16496640"/>
                    <a:ext cx="193680" cy="209160"/>
                  </a:xfrm>
                  <a:prstGeom prst="ellipse">
                    <a:avLst/>
                  </a:prstGeom>
                  <a:noFill/>
                  <a:ln w="12700">
                    <a:solidFill>
                      <a:srgbClr val="ffc000"/>
                    </a:solidFill>
                    <a:round/>
                  </a:ln>
                </xdr:spPr>
                <xdr:style>
                  <a:lnRef idx="0"/>
                  <a:fillRef idx="0"/>
                  <a:effectRef idx="0"/>
                  <a:fontRef idx="minor"/>
                </xdr:style>
              </xdr:sp>
              <xdr:sp>
                <xdr:nvSpPr>
                  <xdr:cNvPr id="1764" name="Line 206"/>
                  <xdr:cNvSpPr/>
                </xdr:nvSpPr>
                <xdr:spPr>
                  <a:xfrm>
                    <a:off x="18374760" y="16361280"/>
                    <a:ext cx="360" cy="132120"/>
                  </a:xfrm>
                  <a:prstGeom prst="line">
                    <a:avLst/>
                  </a:prstGeom>
                  <a:ln w="15875">
                    <a:solidFill>
                      <a:srgbClr val="ffc000"/>
                    </a:solidFill>
                    <a:round/>
                  </a:ln>
                </xdr:spPr>
                <xdr:style>
                  <a:lnRef idx="0"/>
                  <a:fillRef idx="0"/>
                  <a:effectRef idx="0"/>
                  <a:fontRef idx="minor"/>
                </xdr:style>
              </xdr:sp>
              <xdr:sp>
                <xdr:nvSpPr>
                  <xdr:cNvPr id="1765" name="452 Rectángulo redondeado"/>
                  <xdr:cNvSpPr/>
                </xdr:nvSpPr>
                <xdr:spPr>
                  <a:xfrm>
                    <a:off x="18352800" y="16397280"/>
                    <a:ext cx="442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766" name="Line 280"/>
                  <xdr:cNvSpPr/>
                </xdr:nvSpPr>
                <xdr:spPr>
                  <a:xfrm>
                    <a:off x="18381960" y="16819200"/>
                    <a:ext cx="360" cy="148320"/>
                  </a:xfrm>
                  <a:prstGeom prst="line">
                    <a:avLst/>
                  </a:prstGeom>
                  <a:ln w="15875">
                    <a:solidFill>
                      <a:srgbClr val="000000"/>
                    </a:solidFill>
                    <a:round/>
                  </a:ln>
                </xdr:spPr>
                <xdr:style>
                  <a:lnRef idx="0"/>
                  <a:fillRef idx="0"/>
                  <a:effectRef idx="0"/>
                  <a:fontRef idx="minor"/>
                </xdr:style>
              </xdr:sp>
              <xdr:sp>
                <xdr:nvSpPr>
                  <xdr:cNvPr id="1767" name="455 Rectángulo redondeado"/>
                  <xdr:cNvSpPr/>
                </xdr:nvSpPr>
                <xdr:spPr>
                  <a:xfrm rot="5400000">
                    <a:off x="18364680" y="16865640"/>
                    <a:ext cx="39960" cy="44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1768" name="61 CuadroTexto"/>
                <xdr:cNvSpPr/>
              </xdr:nvSpPr>
              <xdr:spPr>
                <a:xfrm>
                  <a:off x="18414720" y="16543440"/>
                  <a:ext cx="68724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12,5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grpSp>
        </xdr:grpSp>
        <xdr:sp>
          <xdr:nvSpPr>
            <xdr:cNvPr id="1769" name="Line 280"/>
            <xdr:cNvSpPr/>
          </xdr:nvSpPr>
          <xdr:spPr>
            <a:xfrm>
              <a:off x="17916840" y="16952400"/>
              <a:ext cx="360" cy="282240"/>
            </a:xfrm>
            <a:prstGeom prst="line">
              <a:avLst/>
            </a:prstGeom>
            <a:ln w="15875">
              <a:solidFill>
                <a:srgbClr val="000000"/>
              </a:solidFill>
              <a:round/>
              <a:tailEnd len="med" type="triangle" w="med"/>
            </a:ln>
          </xdr:spPr>
          <xdr:style>
            <a:lnRef idx="0"/>
            <a:fillRef idx="0"/>
            <a:effectRef idx="0"/>
            <a:fontRef idx="minor"/>
          </xdr:style>
        </xdr:sp>
      </xdr:grpSp>
      <xdr:sp>
        <xdr:nvSpPr>
          <xdr:cNvPr id="1770" name="455 Rectángulo redondeado"/>
          <xdr:cNvSpPr/>
        </xdr:nvSpPr>
        <xdr:spPr>
          <a:xfrm rot="5400000">
            <a:off x="18157320" y="16936920"/>
            <a:ext cx="40680" cy="43560"/>
          </a:xfrm>
          <a:prstGeom prst="roundRect">
            <a:avLst>
              <a:gd name="adj" fmla="val 16667"/>
            </a:avLst>
          </a:prstGeom>
          <a:solidFill>
            <a:schemeClr val="bg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21</xdr:col>
      <xdr:colOff>749880</xdr:colOff>
      <xdr:row>88</xdr:row>
      <xdr:rowOff>34920</xdr:rowOff>
    </xdr:from>
    <xdr:to>
      <xdr:col>22</xdr:col>
      <xdr:colOff>28080</xdr:colOff>
      <xdr:row>88</xdr:row>
      <xdr:rowOff>75600</xdr:rowOff>
    </xdr:to>
    <xdr:sp>
      <xdr:nvSpPr>
        <xdr:cNvPr id="1771" name="455 Rectángulo redondeado"/>
        <xdr:cNvSpPr/>
      </xdr:nvSpPr>
      <xdr:spPr>
        <a:xfrm rot="5400000">
          <a:off x="18389880" y="16989840"/>
          <a:ext cx="40680" cy="116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22</xdr:col>
      <xdr:colOff>5760</xdr:colOff>
      <xdr:row>87</xdr:row>
      <xdr:rowOff>157680</xdr:rowOff>
    </xdr:from>
    <xdr:to>
      <xdr:col>22</xdr:col>
      <xdr:colOff>5760</xdr:colOff>
      <xdr:row>89</xdr:row>
      <xdr:rowOff>59040</xdr:rowOff>
    </xdr:to>
    <xdr:sp>
      <xdr:nvSpPr>
        <xdr:cNvPr id="1772" name="Line 280"/>
        <xdr:cNvSpPr/>
      </xdr:nvSpPr>
      <xdr:spPr>
        <a:xfrm>
          <a:off x="18446040" y="16959960"/>
          <a:ext cx="0" cy="28224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22</xdr:col>
      <xdr:colOff>207000</xdr:colOff>
      <xdr:row>81</xdr:row>
      <xdr:rowOff>10800</xdr:rowOff>
    </xdr:from>
    <xdr:to>
      <xdr:col>22</xdr:col>
      <xdr:colOff>459000</xdr:colOff>
      <xdr:row>81</xdr:row>
      <xdr:rowOff>51120</xdr:rowOff>
    </xdr:to>
    <xdr:grpSp>
      <xdr:nvGrpSpPr>
        <xdr:cNvPr id="1773" name="Grupo 359"/>
        <xdr:cNvGrpSpPr/>
      </xdr:nvGrpSpPr>
      <xdr:grpSpPr>
        <a:xfrm>
          <a:off x="18753120" y="15564240"/>
          <a:ext cx="40320" cy="252000"/>
          <a:chOff x="18753120" y="15564240"/>
          <a:chExt cx="40320" cy="252000"/>
        </a:xfrm>
      </xdr:grpSpPr>
      <xdr:sp>
        <xdr:nvSpPr>
          <xdr:cNvPr id="1774" name="Line 244"/>
          <xdr:cNvSpPr/>
        </xdr:nvSpPr>
        <xdr:spPr>
          <a:xfrm>
            <a:off x="18772200" y="15564240"/>
            <a:ext cx="360" cy="252000"/>
          </a:xfrm>
          <a:prstGeom prst="line">
            <a:avLst/>
          </a:prstGeom>
          <a:ln w="15875">
            <a:solidFill>
              <a:srgbClr val="ffc000"/>
            </a:solidFill>
            <a:round/>
            <a:tailEnd len="med" type="triangle" w="med"/>
          </a:ln>
        </xdr:spPr>
        <xdr:style>
          <a:lnRef idx="0"/>
          <a:fillRef idx="0"/>
          <a:effectRef idx="0"/>
          <a:fontRef idx="minor"/>
        </xdr:style>
      </xdr:sp>
      <xdr:sp>
        <xdr:nvSpPr>
          <xdr:cNvPr id="1775" name="455 Rectángulo redondeado"/>
          <xdr:cNvSpPr/>
        </xdr:nvSpPr>
        <xdr:spPr>
          <a:xfrm>
            <a:off x="18753120" y="1560456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22</xdr:col>
      <xdr:colOff>57600</xdr:colOff>
      <xdr:row>82</xdr:row>
      <xdr:rowOff>31320</xdr:rowOff>
    </xdr:from>
    <xdr:to>
      <xdr:col>22</xdr:col>
      <xdr:colOff>556920</xdr:colOff>
      <xdr:row>83</xdr:row>
      <xdr:rowOff>9360</xdr:rowOff>
    </xdr:to>
    <xdr:sp>
      <xdr:nvSpPr>
        <xdr:cNvPr id="1776" name="Text Box 188"/>
        <xdr:cNvSpPr/>
      </xdr:nvSpPr>
      <xdr:spPr>
        <a:xfrm>
          <a:off x="18497880" y="15881040"/>
          <a:ext cx="499320" cy="1684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Carga asociada LN-537</a:t>
          </a:r>
          <a:endParaRPr b="0" lang="en-GB" sz="600" spc="-1" strike="noStrike">
            <a:latin typeface="Times New Roman"/>
          </a:endParaRPr>
        </a:p>
      </xdr:txBody>
    </xdr:sp>
    <xdr:clientData/>
  </xdr:twoCellAnchor>
  <xdr:twoCellAnchor editAs="twoCell">
    <xdr:from>
      <xdr:col>21</xdr:col>
      <xdr:colOff>428760</xdr:colOff>
      <xdr:row>87</xdr:row>
      <xdr:rowOff>2880</xdr:rowOff>
    </xdr:from>
    <xdr:to>
      <xdr:col>21</xdr:col>
      <xdr:colOff>734040</xdr:colOff>
      <xdr:row>87</xdr:row>
      <xdr:rowOff>96120</xdr:rowOff>
    </xdr:to>
    <xdr:sp>
      <xdr:nvSpPr>
        <xdr:cNvPr id="1777" name="Text Box 188"/>
        <xdr:cNvSpPr/>
      </xdr:nvSpPr>
      <xdr:spPr>
        <a:xfrm>
          <a:off x="18030960" y="16805160"/>
          <a:ext cx="305280" cy="932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400" spc="-1" strike="noStrike">
              <a:solidFill>
                <a:srgbClr val="000000"/>
              </a:solidFill>
              <a:latin typeface="Arial"/>
              <a:ea typeface="MS PGothic"/>
            </a:rPr>
            <a:t>N.A.</a:t>
          </a:r>
          <a:endParaRPr b="0" lang="en-GB" sz="400" spc="-1" strike="noStrike">
            <a:latin typeface="Times New Roman"/>
          </a:endParaRPr>
        </a:p>
      </xdr:txBody>
    </xdr:sp>
    <xdr:clientData/>
  </xdr:twoCellAnchor>
  <xdr:twoCellAnchor editAs="twoCell">
    <xdr:from>
      <xdr:col>21</xdr:col>
      <xdr:colOff>198000</xdr:colOff>
      <xdr:row>84</xdr:row>
      <xdr:rowOff>9360</xdr:rowOff>
    </xdr:from>
    <xdr:to>
      <xdr:col>21</xdr:col>
      <xdr:colOff>487080</xdr:colOff>
      <xdr:row>84</xdr:row>
      <xdr:rowOff>102600</xdr:rowOff>
    </xdr:to>
    <xdr:sp>
      <xdr:nvSpPr>
        <xdr:cNvPr id="1778" name="Text Box 188"/>
        <xdr:cNvSpPr/>
      </xdr:nvSpPr>
      <xdr:spPr>
        <a:xfrm>
          <a:off x="17800200" y="16239960"/>
          <a:ext cx="289080" cy="932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400" spc="-1" strike="noStrike">
              <a:solidFill>
                <a:srgbClr val="000000"/>
              </a:solidFill>
              <a:latin typeface="Arial"/>
              <a:ea typeface="MS PGothic"/>
            </a:rPr>
            <a:t>N.A.</a:t>
          </a:r>
          <a:endParaRPr b="0" lang="en-GB" sz="400" spc="-1" strike="noStrike">
            <a:latin typeface="Times New Roman"/>
          </a:endParaRPr>
        </a:p>
      </xdr:txBody>
    </xdr:sp>
    <xdr:clientData/>
  </xdr:twoCellAnchor>
  <xdr:twoCellAnchor editAs="twoCell">
    <xdr:from>
      <xdr:col>4</xdr:col>
      <xdr:colOff>331200</xdr:colOff>
      <xdr:row>100</xdr:row>
      <xdr:rowOff>108000</xdr:rowOff>
    </xdr:from>
    <xdr:to>
      <xdr:col>5</xdr:col>
      <xdr:colOff>224280</xdr:colOff>
      <xdr:row>100</xdr:row>
      <xdr:rowOff>108000</xdr:rowOff>
    </xdr:to>
    <xdr:sp>
      <xdr:nvSpPr>
        <xdr:cNvPr id="1779" name="Line 38"/>
        <xdr:cNvSpPr/>
      </xdr:nvSpPr>
      <xdr:spPr>
        <a:xfrm>
          <a:off x="3683880" y="19415160"/>
          <a:ext cx="731520" cy="0"/>
        </a:xfrm>
        <a:prstGeom prst="line">
          <a:avLst/>
        </a:prstGeom>
        <a:ln w="25400">
          <a:solidFill>
            <a:srgbClr val="ffc000"/>
          </a:solidFill>
          <a:round/>
        </a:ln>
      </xdr:spPr>
      <xdr:style>
        <a:lnRef idx="0"/>
        <a:fillRef idx="0"/>
        <a:effectRef idx="0"/>
        <a:fontRef idx="minor"/>
      </xdr:style>
    </xdr:sp>
    <xdr:clientData/>
  </xdr:twoCellAnchor>
  <xdr:twoCellAnchor editAs="twoCell">
    <xdr:from>
      <xdr:col>3</xdr:col>
      <xdr:colOff>747360</xdr:colOff>
      <xdr:row>102</xdr:row>
      <xdr:rowOff>36360</xdr:rowOff>
    </xdr:from>
    <xdr:to>
      <xdr:col>4</xdr:col>
      <xdr:colOff>523440</xdr:colOff>
      <xdr:row>102</xdr:row>
      <xdr:rowOff>157680</xdr:rowOff>
    </xdr:to>
    <xdr:sp>
      <xdr:nvSpPr>
        <xdr:cNvPr id="1780" name="Text Box 188"/>
        <xdr:cNvSpPr/>
      </xdr:nvSpPr>
      <xdr:spPr>
        <a:xfrm>
          <a:off x="3261960" y="19724400"/>
          <a:ext cx="61416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LN-597</a:t>
          </a:r>
          <a:endParaRPr b="0" lang="en-GB" sz="600" spc="-1" strike="noStrike">
            <a:latin typeface="Times New Roman"/>
          </a:endParaRPr>
        </a:p>
      </xdr:txBody>
    </xdr:sp>
    <xdr:clientData/>
  </xdr:twoCellAnchor>
  <xdr:twoCellAnchor editAs="twoCell">
    <xdr:from>
      <xdr:col>4</xdr:col>
      <xdr:colOff>390600</xdr:colOff>
      <xdr:row>99</xdr:row>
      <xdr:rowOff>46080</xdr:rowOff>
    </xdr:from>
    <xdr:to>
      <xdr:col>5</xdr:col>
      <xdr:colOff>161640</xdr:colOff>
      <xdr:row>100</xdr:row>
      <xdr:rowOff>67320</xdr:rowOff>
    </xdr:to>
    <xdr:sp>
      <xdr:nvSpPr>
        <xdr:cNvPr id="1781" name="Text Box 188"/>
        <xdr:cNvSpPr/>
      </xdr:nvSpPr>
      <xdr:spPr>
        <a:xfrm>
          <a:off x="3743280" y="19162800"/>
          <a:ext cx="609480" cy="211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Zambrano 34,5 kV</a:t>
          </a:r>
          <a:endParaRPr b="0" lang="en-GB" sz="600" spc="-1" strike="noStrike">
            <a:latin typeface="Times New Roman"/>
          </a:endParaRPr>
        </a:p>
      </xdr:txBody>
    </xdr:sp>
    <xdr:clientData/>
  </xdr:twoCellAnchor>
  <xdr:twoCellAnchor editAs="twoCell">
    <xdr:from>
      <xdr:col>3</xdr:col>
      <xdr:colOff>710640</xdr:colOff>
      <xdr:row>103</xdr:row>
      <xdr:rowOff>137880</xdr:rowOff>
    </xdr:from>
    <xdr:to>
      <xdr:col>4</xdr:col>
      <xdr:colOff>426600</xdr:colOff>
      <xdr:row>104</xdr:row>
      <xdr:rowOff>180360</xdr:rowOff>
    </xdr:to>
    <xdr:sp>
      <xdr:nvSpPr>
        <xdr:cNvPr id="1782" name="Text Box 188"/>
        <xdr:cNvSpPr/>
      </xdr:nvSpPr>
      <xdr:spPr>
        <a:xfrm>
          <a:off x="3225240" y="20016720"/>
          <a:ext cx="55404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Plato 34,5 kV</a:t>
          </a:r>
          <a:endParaRPr b="0" lang="en-GB" sz="600" spc="-1" strike="noStrike">
            <a:latin typeface="Times New Roman"/>
          </a:endParaRPr>
        </a:p>
      </xdr:txBody>
    </xdr:sp>
    <xdr:clientData/>
  </xdr:twoCellAnchor>
  <xdr:twoCellAnchor editAs="twoCell">
    <xdr:from>
      <xdr:col>4</xdr:col>
      <xdr:colOff>349920</xdr:colOff>
      <xdr:row>104</xdr:row>
      <xdr:rowOff>82440</xdr:rowOff>
    </xdr:from>
    <xdr:to>
      <xdr:col>5</xdr:col>
      <xdr:colOff>505080</xdr:colOff>
      <xdr:row>104</xdr:row>
      <xdr:rowOff>82440</xdr:rowOff>
    </xdr:to>
    <xdr:sp>
      <xdr:nvSpPr>
        <xdr:cNvPr id="1783" name="Line 38"/>
        <xdr:cNvSpPr/>
      </xdr:nvSpPr>
      <xdr:spPr>
        <a:xfrm>
          <a:off x="3702600" y="20151720"/>
          <a:ext cx="993600" cy="0"/>
        </a:xfrm>
        <a:prstGeom prst="line">
          <a:avLst/>
        </a:prstGeom>
        <a:ln w="25400">
          <a:solidFill>
            <a:srgbClr val="ffc000"/>
          </a:solidFill>
          <a:round/>
        </a:ln>
      </xdr:spPr>
      <xdr:style>
        <a:lnRef idx="0"/>
        <a:fillRef idx="0"/>
        <a:effectRef idx="0"/>
        <a:fontRef idx="minor"/>
      </xdr:style>
    </xdr:sp>
    <xdr:clientData/>
  </xdr:twoCellAnchor>
  <xdr:twoCellAnchor editAs="twoCell">
    <xdr:from>
      <xdr:col>4</xdr:col>
      <xdr:colOff>131760</xdr:colOff>
      <xdr:row>102</xdr:row>
      <xdr:rowOff>75600</xdr:rowOff>
    </xdr:from>
    <xdr:to>
      <xdr:col>5</xdr:col>
      <xdr:colOff>25200</xdr:colOff>
      <xdr:row>102</xdr:row>
      <xdr:rowOff>117360</xdr:rowOff>
    </xdr:to>
    <xdr:grpSp>
      <xdr:nvGrpSpPr>
        <xdr:cNvPr id="1784" name="Grupo 370"/>
        <xdr:cNvGrpSpPr/>
      </xdr:nvGrpSpPr>
      <xdr:grpSpPr>
        <a:xfrm>
          <a:off x="3829320" y="19418760"/>
          <a:ext cx="41760" cy="731880"/>
          <a:chOff x="3829320" y="19418760"/>
          <a:chExt cx="41760" cy="731880"/>
        </a:xfrm>
      </xdr:grpSpPr>
      <xdr:sp>
        <xdr:nvSpPr>
          <xdr:cNvPr id="1785" name="Line 244"/>
          <xdr:cNvSpPr/>
        </xdr:nvSpPr>
        <xdr:spPr>
          <a:xfrm>
            <a:off x="3850560" y="19418760"/>
            <a:ext cx="360" cy="731880"/>
          </a:xfrm>
          <a:prstGeom prst="line">
            <a:avLst/>
          </a:prstGeom>
          <a:ln w="15875">
            <a:solidFill>
              <a:srgbClr val="ffc000"/>
            </a:solidFill>
            <a:round/>
          </a:ln>
        </xdr:spPr>
        <xdr:style>
          <a:lnRef idx="0"/>
          <a:fillRef idx="0"/>
          <a:effectRef idx="0"/>
          <a:fontRef idx="minor"/>
        </xdr:style>
      </xdr:sp>
      <xdr:sp>
        <xdr:nvSpPr>
          <xdr:cNvPr id="1786" name="455 Rectángulo redondeado"/>
          <xdr:cNvSpPr/>
        </xdr:nvSpPr>
        <xdr:spPr>
          <a:xfrm>
            <a:off x="3830760" y="1945656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787" name="455 Rectángulo redondeado"/>
          <xdr:cNvSpPr/>
        </xdr:nvSpPr>
        <xdr:spPr>
          <a:xfrm>
            <a:off x="3829320" y="2007576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4</xdr:col>
      <xdr:colOff>485640</xdr:colOff>
      <xdr:row>104</xdr:row>
      <xdr:rowOff>91800</xdr:rowOff>
    </xdr:from>
    <xdr:to>
      <xdr:col>5</xdr:col>
      <xdr:colOff>532440</xdr:colOff>
      <xdr:row>107</xdr:row>
      <xdr:rowOff>131400</xdr:rowOff>
    </xdr:to>
    <xdr:grpSp>
      <xdr:nvGrpSpPr>
        <xdr:cNvPr id="1788" name="Grupo 374"/>
        <xdr:cNvGrpSpPr/>
      </xdr:nvGrpSpPr>
      <xdr:grpSpPr>
        <a:xfrm>
          <a:off x="3838320" y="20161080"/>
          <a:ext cx="885240" cy="610920"/>
          <a:chOff x="3838320" y="20161080"/>
          <a:chExt cx="885240" cy="610920"/>
        </a:xfrm>
      </xdr:grpSpPr>
      <xdr:sp>
        <xdr:nvSpPr>
          <xdr:cNvPr id="1789" name="Oval 40"/>
          <xdr:cNvSpPr/>
        </xdr:nvSpPr>
        <xdr:spPr>
          <a:xfrm rot="10800000">
            <a:off x="3871800" y="20408040"/>
            <a:ext cx="195120" cy="209160"/>
          </a:xfrm>
          <a:prstGeom prst="ellipse">
            <a:avLst/>
          </a:prstGeom>
          <a:noFill/>
          <a:ln w="12700">
            <a:solidFill>
              <a:srgbClr val="000000"/>
            </a:solidFill>
            <a:round/>
          </a:ln>
        </xdr:spPr>
        <xdr:style>
          <a:lnRef idx="0"/>
          <a:fillRef idx="0"/>
          <a:effectRef idx="0"/>
          <a:fontRef idx="minor"/>
        </xdr:style>
      </xdr:sp>
      <xdr:sp>
        <xdr:nvSpPr>
          <xdr:cNvPr id="1790" name="Oval 41"/>
          <xdr:cNvSpPr/>
        </xdr:nvSpPr>
        <xdr:spPr>
          <a:xfrm rot="10800000">
            <a:off x="3868920" y="20296440"/>
            <a:ext cx="195120" cy="209160"/>
          </a:xfrm>
          <a:prstGeom prst="ellipse">
            <a:avLst/>
          </a:prstGeom>
          <a:noFill/>
          <a:ln w="12700">
            <a:solidFill>
              <a:srgbClr val="ffc000"/>
            </a:solidFill>
            <a:round/>
          </a:ln>
        </xdr:spPr>
        <xdr:style>
          <a:lnRef idx="0"/>
          <a:fillRef idx="0"/>
          <a:effectRef idx="0"/>
          <a:fontRef idx="minor"/>
        </xdr:style>
      </xdr:sp>
      <xdr:sp>
        <xdr:nvSpPr>
          <xdr:cNvPr id="1791" name="Line 206"/>
          <xdr:cNvSpPr/>
        </xdr:nvSpPr>
        <xdr:spPr>
          <a:xfrm>
            <a:off x="3961080" y="20161080"/>
            <a:ext cx="360" cy="132120"/>
          </a:xfrm>
          <a:prstGeom prst="line">
            <a:avLst/>
          </a:prstGeom>
          <a:ln w="15875">
            <a:solidFill>
              <a:srgbClr val="ffc000"/>
            </a:solidFill>
            <a:round/>
          </a:ln>
        </xdr:spPr>
        <xdr:style>
          <a:lnRef idx="0"/>
          <a:fillRef idx="0"/>
          <a:effectRef idx="0"/>
          <a:fontRef idx="minor"/>
        </xdr:style>
      </xdr:sp>
      <xdr:sp>
        <xdr:nvSpPr>
          <xdr:cNvPr id="1792" name="452 Rectángulo redondeado"/>
          <xdr:cNvSpPr/>
        </xdr:nvSpPr>
        <xdr:spPr>
          <a:xfrm>
            <a:off x="3939120" y="20197080"/>
            <a:ext cx="4464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793" name="Line 99"/>
          <xdr:cNvSpPr/>
        </xdr:nvSpPr>
        <xdr:spPr>
          <a:xfrm>
            <a:off x="3838320" y="20771640"/>
            <a:ext cx="885240" cy="360"/>
          </a:xfrm>
          <a:prstGeom prst="line">
            <a:avLst/>
          </a:prstGeom>
          <a:ln w="25400">
            <a:solidFill>
              <a:srgbClr val="000000"/>
            </a:solidFill>
            <a:round/>
          </a:ln>
        </xdr:spPr>
        <xdr:style>
          <a:lnRef idx="0"/>
          <a:fillRef idx="0"/>
          <a:effectRef idx="0"/>
          <a:fontRef idx="minor"/>
        </xdr:style>
      </xdr:sp>
      <xdr:sp>
        <xdr:nvSpPr>
          <xdr:cNvPr id="1794" name="Line 280"/>
          <xdr:cNvSpPr/>
        </xdr:nvSpPr>
        <xdr:spPr>
          <a:xfrm>
            <a:off x="3968640" y="20618640"/>
            <a:ext cx="360" cy="143640"/>
          </a:xfrm>
          <a:prstGeom prst="line">
            <a:avLst/>
          </a:prstGeom>
          <a:ln w="15875">
            <a:solidFill>
              <a:srgbClr val="000000"/>
            </a:solidFill>
            <a:round/>
          </a:ln>
        </xdr:spPr>
        <xdr:style>
          <a:lnRef idx="0"/>
          <a:fillRef idx="0"/>
          <a:effectRef idx="0"/>
          <a:fontRef idx="minor"/>
        </xdr:style>
      </xdr:sp>
      <xdr:sp>
        <xdr:nvSpPr>
          <xdr:cNvPr id="1795" name="455 Rectángulo redondeado"/>
          <xdr:cNvSpPr/>
        </xdr:nvSpPr>
        <xdr:spPr>
          <a:xfrm rot="5400000">
            <a:off x="3951000" y="20664720"/>
            <a:ext cx="39960" cy="446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3</xdr:col>
      <xdr:colOff>664560</xdr:colOff>
      <xdr:row>105</xdr:row>
      <xdr:rowOff>101880</xdr:rowOff>
    </xdr:from>
    <xdr:to>
      <xdr:col>4</xdr:col>
      <xdr:colOff>535320</xdr:colOff>
      <xdr:row>106</xdr:row>
      <xdr:rowOff>161280</xdr:rowOff>
    </xdr:to>
    <xdr:sp>
      <xdr:nvSpPr>
        <xdr:cNvPr id="1796" name="61 CuadroTexto"/>
        <xdr:cNvSpPr/>
      </xdr:nvSpPr>
      <xdr:spPr>
        <a:xfrm>
          <a:off x="3179160" y="20361600"/>
          <a:ext cx="708840" cy="24984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12,5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clientData/>
  </xdr:twoCellAnchor>
  <xdr:twoCellAnchor editAs="twoCell">
    <xdr:from>
      <xdr:col>3</xdr:col>
      <xdr:colOff>746640</xdr:colOff>
      <xdr:row>107</xdr:row>
      <xdr:rowOff>17280</xdr:rowOff>
    </xdr:from>
    <xdr:to>
      <xdr:col>4</xdr:col>
      <xdr:colOff>505800</xdr:colOff>
      <xdr:row>108</xdr:row>
      <xdr:rowOff>59760</xdr:rowOff>
    </xdr:to>
    <xdr:sp>
      <xdr:nvSpPr>
        <xdr:cNvPr id="1797" name="Text Box 188"/>
        <xdr:cNvSpPr/>
      </xdr:nvSpPr>
      <xdr:spPr>
        <a:xfrm>
          <a:off x="3261240" y="20657880"/>
          <a:ext cx="59724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Plato 13,8 kV</a:t>
          </a:r>
          <a:endParaRPr b="0" lang="en-GB" sz="600" spc="-1" strike="noStrike">
            <a:latin typeface="Times New Roman"/>
          </a:endParaRPr>
        </a:p>
      </xdr:txBody>
    </xdr:sp>
    <xdr:clientData/>
  </xdr:twoCellAnchor>
  <xdr:twoCellAnchor editAs="twoCell">
    <xdr:from>
      <xdr:col>5</xdr:col>
      <xdr:colOff>269280</xdr:colOff>
      <xdr:row>104</xdr:row>
      <xdr:rowOff>88920</xdr:rowOff>
    </xdr:from>
    <xdr:to>
      <xdr:col>6</xdr:col>
      <xdr:colOff>277200</xdr:colOff>
      <xdr:row>107</xdr:row>
      <xdr:rowOff>119880</xdr:rowOff>
    </xdr:to>
    <xdr:grpSp>
      <xdr:nvGrpSpPr>
        <xdr:cNvPr id="1798" name="Grupo 384"/>
        <xdr:cNvGrpSpPr/>
      </xdr:nvGrpSpPr>
      <xdr:grpSpPr>
        <a:xfrm>
          <a:off x="4460400" y="20158200"/>
          <a:ext cx="846000" cy="602280"/>
          <a:chOff x="4460400" y="20158200"/>
          <a:chExt cx="846000" cy="602280"/>
        </a:xfrm>
      </xdr:grpSpPr>
      <xdr:grpSp>
        <xdr:nvGrpSpPr>
          <xdr:cNvPr id="1799" name="Grupo 385"/>
          <xdr:cNvGrpSpPr/>
        </xdr:nvGrpSpPr>
        <xdr:grpSpPr>
          <a:xfrm>
            <a:off x="4460400" y="20158200"/>
            <a:ext cx="198720" cy="602280"/>
            <a:chOff x="4460400" y="20158200"/>
            <a:chExt cx="198720" cy="602280"/>
          </a:xfrm>
        </xdr:grpSpPr>
        <xdr:sp>
          <xdr:nvSpPr>
            <xdr:cNvPr id="1800" name="Oval 40"/>
            <xdr:cNvSpPr/>
          </xdr:nvSpPr>
          <xdr:spPr>
            <a:xfrm rot="10800000">
              <a:off x="4463280" y="20405160"/>
              <a:ext cx="195840" cy="209160"/>
            </a:xfrm>
            <a:prstGeom prst="ellipse">
              <a:avLst/>
            </a:prstGeom>
            <a:noFill/>
            <a:ln w="12700">
              <a:solidFill>
                <a:srgbClr val="000000"/>
              </a:solidFill>
              <a:round/>
            </a:ln>
          </xdr:spPr>
          <xdr:style>
            <a:lnRef idx="0"/>
            <a:fillRef idx="0"/>
            <a:effectRef idx="0"/>
            <a:fontRef idx="minor"/>
          </xdr:style>
        </xdr:sp>
        <xdr:sp>
          <xdr:nvSpPr>
            <xdr:cNvPr id="1801" name="Oval 41"/>
            <xdr:cNvSpPr/>
          </xdr:nvSpPr>
          <xdr:spPr>
            <a:xfrm rot="10800000">
              <a:off x="4460400" y="20293560"/>
              <a:ext cx="195840" cy="209160"/>
            </a:xfrm>
            <a:prstGeom prst="ellipse">
              <a:avLst/>
            </a:prstGeom>
            <a:noFill/>
            <a:ln w="12700">
              <a:solidFill>
                <a:srgbClr val="ffc000"/>
              </a:solidFill>
              <a:round/>
            </a:ln>
          </xdr:spPr>
          <xdr:style>
            <a:lnRef idx="0"/>
            <a:fillRef idx="0"/>
            <a:effectRef idx="0"/>
            <a:fontRef idx="minor"/>
          </xdr:style>
        </xdr:sp>
        <xdr:sp>
          <xdr:nvSpPr>
            <xdr:cNvPr id="1802" name="Line 206"/>
            <xdr:cNvSpPr/>
          </xdr:nvSpPr>
          <xdr:spPr>
            <a:xfrm>
              <a:off x="4552920" y="20158200"/>
              <a:ext cx="360" cy="132120"/>
            </a:xfrm>
            <a:prstGeom prst="line">
              <a:avLst/>
            </a:prstGeom>
            <a:ln w="15875">
              <a:solidFill>
                <a:srgbClr val="ffc000"/>
              </a:solidFill>
              <a:round/>
            </a:ln>
          </xdr:spPr>
          <xdr:style>
            <a:lnRef idx="0"/>
            <a:fillRef idx="0"/>
            <a:effectRef idx="0"/>
            <a:fontRef idx="minor"/>
          </xdr:style>
        </xdr:sp>
        <xdr:sp>
          <xdr:nvSpPr>
            <xdr:cNvPr id="1803" name="452 Rectángulo redondeado"/>
            <xdr:cNvSpPr/>
          </xdr:nvSpPr>
          <xdr:spPr>
            <a:xfrm>
              <a:off x="4530600" y="20194200"/>
              <a:ext cx="4464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804" name="Line 280"/>
            <xdr:cNvSpPr/>
          </xdr:nvSpPr>
          <xdr:spPr>
            <a:xfrm>
              <a:off x="4560480" y="20616120"/>
              <a:ext cx="360" cy="144360"/>
            </a:xfrm>
            <a:prstGeom prst="line">
              <a:avLst/>
            </a:prstGeom>
            <a:ln w="15875">
              <a:solidFill>
                <a:srgbClr val="000000"/>
              </a:solidFill>
              <a:round/>
            </a:ln>
          </xdr:spPr>
          <xdr:style>
            <a:lnRef idx="0"/>
            <a:fillRef idx="0"/>
            <a:effectRef idx="0"/>
            <a:fontRef idx="minor"/>
          </xdr:style>
        </xdr:sp>
        <xdr:sp>
          <xdr:nvSpPr>
            <xdr:cNvPr id="1805" name="455 Rectángulo redondeado"/>
            <xdr:cNvSpPr/>
          </xdr:nvSpPr>
          <xdr:spPr>
            <a:xfrm rot="5400000">
              <a:off x="4542840" y="20661840"/>
              <a:ext cx="39960" cy="450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1806" name="61 CuadroTexto"/>
          <xdr:cNvSpPr/>
        </xdr:nvSpPr>
        <xdr:spPr>
          <a:xfrm>
            <a:off x="4611240" y="20348640"/>
            <a:ext cx="695160" cy="24984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12,5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grpSp>
    <xdr:clientData/>
  </xdr:twoCellAnchor>
  <xdr:twoCellAnchor editAs="twoCell">
    <xdr:from>
      <xdr:col>4</xdr:col>
      <xdr:colOff>606600</xdr:colOff>
      <xdr:row>107</xdr:row>
      <xdr:rowOff>123480</xdr:rowOff>
    </xdr:from>
    <xdr:to>
      <xdr:col>4</xdr:col>
      <xdr:colOff>606600</xdr:colOff>
      <xdr:row>109</xdr:row>
      <xdr:rowOff>4320</xdr:rowOff>
    </xdr:to>
    <xdr:sp>
      <xdr:nvSpPr>
        <xdr:cNvPr id="1807" name="Line 280"/>
        <xdr:cNvSpPr/>
      </xdr:nvSpPr>
      <xdr:spPr>
        <a:xfrm>
          <a:off x="3959280" y="20764080"/>
          <a:ext cx="0" cy="26208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4</xdr:col>
      <xdr:colOff>585720</xdr:colOff>
      <xdr:row>107</xdr:row>
      <xdr:rowOff>173880</xdr:rowOff>
    </xdr:from>
    <xdr:to>
      <xdr:col>4</xdr:col>
      <xdr:colOff>625680</xdr:colOff>
      <xdr:row>108</xdr:row>
      <xdr:rowOff>24120</xdr:rowOff>
    </xdr:to>
    <xdr:sp>
      <xdr:nvSpPr>
        <xdr:cNvPr id="1808" name="455 Rectángulo redondeado"/>
        <xdr:cNvSpPr/>
      </xdr:nvSpPr>
      <xdr:spPr>
        <a:xfrm rot="5400000">
          <a:off x="3938040" y="20814840"/>
          <a:ext cx="40680" cy="39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5</xdr:col>
      <xdr:colOff>389160</xdr:colOff>
      <xdr:row>103</xdr:row>
      <xdr:rowOff>139320</xdr:rowOff>
    </xdr:from>
    <xdr:to>
      <xdr:col>5</xdr:col>
      <xdr:colOff>389160</xdr:colOff>
      <xdr:row>104</xdr:row>
      <xdr:rowOff>75240</xdr:rowOff>
    </xdr:to>
    <xdr:sp>
      <xdr:nvSpPr>
        <xdr:cNvPr id="1809" name="Line 244"/>
        <xdr:cNvSpPr/>
      </xdr:nvSpPr>
      <xdr:spPr>
        <a:xfrm>
          <a:off x="4580280" y="20018160"/>
          <a:ext cx="0" cy="126360"/>
        </a:xfrm>
        <a:prstGeom prst="line">
          <a:avLst/>
        </a:prstGeom>
        <a:ln w="15875">
          <a:solidFill>
            <a:srgbClr val="ffc000"/>
          </a:solidFill>
          <a:round/>
        </a:ln>
      </xdr:spPr>
      <xdr:style>
        <a:lnRef idx="0"/>
        <a:fillRef idx="0"/>
        <a:effectRef idx="0"/>
        <a:fontRef idx="minor"/>
      </xdr:style>
    </xdr:sp>
    <xdr:clientData/>
  </xdr:twoCellAnchor>
  <xdr:twoCellAnchor editAs="twoCell">
    <xdr:from>
      <xdr:col>5</xdr:col>
      <xdr:colOff>370800</xdr:colOff>
      <xdr:row>104</xdr:row>
      <xdr:rowOff>8640</xdr:rowOff>
    </xdr:from>
    <xdr:to>
      <xdr:col>5</xdr:col>
      <xdr:colOff>411120</xdr:colOff>
      <xdr:row>104</xdr:row>
      <xdr:rowOff>48240</xdr:rowOff>
    </xdr:to>
    <xdr:sp>
      <xdr:nvSpPr>
        <xdr:cNvPr id="1810" name="455 Rectángulo redondeado"/>
        <xdr:cNvSpPr/>
      </xdr:nvSpPr>
      <xdr:spPr>
        <a:xfrm>
          <a:off x="4561920" y="2007792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5</xdr:col>
      <xdr:colOff>383400</xdr:colOff>
      <xdr:row>103</xdr:row>
      <xdr:rowOff>145440</xdr:rowOff>
    </xdr:from>
    <xdr:to>
      <xdr:col>7</xdr:col>
      <xdr:colOff>294840</xdr:colOff>
      <xdr:row>103</xdr:row>
      <xdr:rowOff>145440</xdr:rowOff>
    </xdr:to>
    <xdr:sp>
      <xdr:nvSpPr>
        <xdr:cNvPr id="1811" name="Line 244"/>
        <xdr:cNvSpPr/>
      </xdr:nvSpPr>
      <xdr:spPr>
        <a:xfrm flipH="1">
          <a:off x="4574520" y="20024280"/>
          <a:ext cx="1587600" cy="0"/>
        </a:xfrm>
        <a:prstGeom prst="line">
          <a:avLst/>
        </a:prstGeom>
        <a:ln w="15875">
          <a:solidFill>
            <a:srgbClr val="ffc000"/>
          </a:solidFill>
          <a:round/>
        </a:ln>
      </xdr:spPr>
      <xdr:style>
        <a:lnRef idx="0"/>
        <a:fillRef idx="0"/>
        <a:effectRef idx="0"/>
        <a:fontRef idx="minor"/>
      </xdr:style>
    </xdr:sp>
    <xdr:clientData/>
  </xdr:twoCellAnchor>
  <xdr:twoCellAnchor editAs="twoCell">
    <xdr:from>
      <xdr:col>6</xdr:col>
      <xdr:colOff>352440</xdr:colOff>
      <xdr:row>103</xdr:row>
      <xdr:rowOff>120600</xdr:rowOff>
    </xdr:from>
    <xdr:to>
      <xdr:col>8</xdr:col>
      <xdr:colOff>343800</xdr:colOff>
      <xdr:row>108</xdr:row>
      <xdr:rowOff>187200</xdr:rowOff>
    </xdr:to>
    <xdr:grpSp>
      <xdr:nvGrpSpPr>
        <xdr:cNvPr id="1812" name="Grupo 398"/>
        <xdr:cNvGrpSpPr/>
      </xdr:nvGrpSpPr>
      <xdr:grpSpPr>
        <a:xfrm>
          <a:off x="5381640" y="19999440"/>
          <a:ext cx="1667880" cy="1018800"/>
          <a:chOff x="5381640" y="19999440"/>
          <a:chExt cx="1667880" cy="1018800"/>
        </a:xfrm>
      </xdr:grpSpPr>
      <xdr:grpSp>
        <xdr:nvGrpSpPr>
          <xdr:cNvPr id="1813" name="Grupo 399"/>
          <xdr:cNvGrpSpPr/>
        </xdr:nvGrpSpPr>
        <xdr:grpSpPr>
          <a:xfrm>
            <a:off x="5381640" y="19999440"/>
            <a:ext cx="1667880" cy="849240"/>
            <a:chOff x="5381640" y="19999440"/>
            <a:chExt cx="1667880" cy="849240"/>
          </a:xfrm>
        </xdr:grpSpPr>
        <xdr:sp>
          <xdr:nvSpPr>
            <xdr:cNvPr id="1814" name="Text Box 188"/>
            <xdr:cNvSpPr/>
          </xdr:nvSpPr>
          <xdr:spPr>
            <a:xfrm>
              <a:off x="6152400" y="19999440"/>
              <a:ext cx="810000" cy="2332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Real del Obispo 34,5 kV</a:t>
              </a:r>
              <a:endParaRPr b="0" lang="en-GB" sz="600" spc="-1" strike="noStrike">
                <a:latin typeface="Times New Roman"/>
              </a:endParaRPr>
            </a:p>
          </xdr:txBody>
        </xdr:sp>
        <xdr:grpSp>
          <xdr:nvGrpSpPr>
            <xdr:cNvPr id="1815" name="Grupo 403"/>
            <xdr:cNvGrpSpPr/>
          </xdr:nvGrpSpPr>
          <xdr:grpSpPr>
            <a:xfrm>
              <a:off x="5381640" y="20075760"/>
              <a:ext cx="1667880" cy="772920"/>
              <a:chOff x="5381640" y="20075760"/>
              <a:chExt cx="1667880" cy="772920"/>
            </a:xfrm>
          </xdr:grpSpPr>
          <xdr:sp>
            <xdr:nvSpPr>
              <xdr:cNvPr id="1816" name="Line 38"/>
              <xdr:cNvSpPr/>
            </xdr:nvSpPr>
            <xdr:spPr>
              <a:xfrm>
                <a:off x="5970240" y="20151360"/>
                <a:ext cx="393840" cy="360"/>
              </a:xfrm>
              <a:prstGeom prst="line">
                <a:avLst/>
              </a:prstGeom>
              <a:ln w="25400">
                <a:solidFill>
                  <a:srgbClr val="ffc000"/>
                </a:solidFill>
                <a:round/>
              </a:ln>
            </xdr:spPr>
            <xdr:style>
              <a:lnRef idx="0"/>
              <a:fillRef idx="0"/>
              <a:effectRef idx="0"/>
              <a:fontRef idx="minor"/>
            </xdr:style>
          </xdr:sp>
          <xdr:sp>
            <xdr:nvSpPr>
              <xdr:cNvPr id="1817" name="455 Rectángulo redondeado"/>
              <xdr:cNvSpPr/>
            </xdr:nvSpPr>
            <xdr:spPr>
              <a:xfrm>
                <a:off x="6127560" y="20075760"/>
                <a:ext cx="4428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nvGrpSpPr>
              <xdr:cNvPr id="1818" name="Grupo 406"/>
              <xdr:cNvGrpSpPr/>
            </xdr:nvGrpSpPr>
            <xdr:grpSpPr>
              <a:xfrm>
                <a:off x="5980680" y="20161080"/>
                <a:ext cx="346680" cy="601920"/>
                <a:chOff x="5980680" y="20161080"/>
                <a:chExt cx="346680" cy="601920"/>
              </a:xfrm>
            </xdr:grpSpPr>
            <xdr:sp>
              <xdr:nvSpPr>
                <xdr:cNvPr id="1819" name="Oval 40"/>
                <xdr:cNvSpPr/>
              </xdr:nvSpPr>
              <xdr:spPr>
                <a:xfrm rot="10800000">
                  <a:off x="6057360" y="20408400"/>
                  <a:ext cx="196200" cy="209520"/>
                </a:xfrm>
                <a:prstGeom prst="ellipse">
                  <a:avLst/>
                </a:prstGeom>
                <a:noFill/>
                <a:ln w="12700">
                  <a:solidFill>
                    <a:srgbClr val="000000"/>
                  </a:solidFill>
                  <a:round/>
                </a:ln>
              </xdr:spPr>
              <xdr:style>
                <a:lnRef idx="0"/>
                <a:fillRef idx="0"/>
                <a:effectRef idx="0"/>
                <a:fontRef idx="minor"/>
              </xdr:style>
            </xdr:sp>
            <xdr:sp>
              <xdr:nvSpPr>
                <xdr:cNvPr id="1820" name="Oval 41"/>
                <xdr:cNvSpPr/>
              </xdr:nvSpPr>
              <xdr:spPr>
                <a:xfrm rot="10800000">
                  <a:off x="6054480" y="20296440"/>
                  <a:ext cx="196200" cy="209520"/>
                </a:xfrm>
                <a:prstGeom prst="ellipse">
                  <a:avLst/>
                </a:prstGeom>
                <a:noFill/>
                <a:ln w="12700">
                  <a:solidFill>
                    <a:srgbClr val="ffc000"/>
                  </a:solidFill>
                  <a:round/>
                </a:ln>
              </xdr:spPr>
              <xdr:style>
                <a:lnRef idx="0"/>
                <a:fillRef idx="0"/>
                <a:effectRef idx="0"/>
                <a:fontRef idx="minor"/>
              </xdr:style>
            </xdr:sp>
            <xdr:sp>
              <xdr:nvSpPr>
                <xdr:cNvPr id="1821" name="Line 206"/>
                <xdr:cNvSpPr/>
              </xdr:nvSpPr>
              <xdr:spPr>
                <a:xfrm>
                  <a:off x="6147000" y="20161080"/>
                  <a:ext cx="360" cy="132120"/>
                </a:xfrm>
                <a:prstGeom prst="line">
                  <a:avLst/>
                </a:prstGeom>
                <a:ln w="15875">
                  <a:solidFill>
                    <a:srgbClr val="ffc000"/>
                  </a:solidFill>
                  <a:round/>
                </a:ln>
              </xdr:spPr>
              <xdr:style>
                <a:lnRef idx="0"/>
                <a:fillRef idx="0"/>
                <a:effectRef idx="0"/>
                <a:fontRef idx="minor"/>
              </xdr:style>
            </xdr:sp>
            <xdr:sp>
              <xdr:nvSpPr>
                <xdr:cNvPr id="1822" name="452 Rectángulo redondeado"/>
                <xdr:cNvSpPr/>
              </xdr:nvSpPr>
              <xdr:spPr>
                <a:xfrm>
                  <a:off x="6124680" y="20197080"/>
                  <a:ext cx="4500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823" name="Line 99"/>
                <xdr:cNvSpPr/>
              </xdr:nvSpPr>
              <xdr:spPr>
                <a:xfrm>
                  <a:off x="5980680" y="20759400"/>
                  <a:ext cx="346680" cy="360"/>
                </a:xfrm>
                <a:prstGeom prst="line">
                  <a:avLst/>
                </a:prstGeom>
                <a:ln w="25400">
                  <a:solidFill>
                    <a:srgbClr val="000000"/>
                  </a:solidFill>
                  <a:round/>
                </a:ln>
              </xdr:spPr>
              <xdr:style>
                <a:lnRef idx="0"/>
                <a:fillRef idx="0"/>
                <a:effectRef idx="0"/>
                <a:fontRef idx="minor"/>
              </xdr:style>
            </xdr:sp>
            <xdr:sp>
              <xdr:nvSpPr>
                <xdr:cNvPr id="1824" name="Line 280"/>
                <xdr:cNvSpPr/>
              </xdr:nvSpPr>
              <xdr:spPr>
                <a:xfrm>
                  <a:off x="6154560" y="20619360"/>
                  <a:ext cx="360" cy="143640"/>
                </a:xfrm>
                <a:prstGeom prst="line">
                  <a:avLst/>
                </a:prstGeom>
                <a:ln w="15875">
                  <a:solidFill>
                    <a:srgbClr val="000000"/>
                  </a:solidFill>
                  <a:round/>
                </a:ln>
              </xdr:spPr>
              <xdr:style>
                <a:lnRef idx="0"/>
                <a:fillRef idx="0"/>
                <a:effectRef idx="0"/>
                <a:fontRef idx="minor"/>
              </xdr:style>
            </xdr:sp>
            <xdr:sp>
              <xdr:nvSpPr>
                <xdr:cNvPr id="1825" name="455 Rectángulo redondeado"/>
                <xdr:cNvSpPr/>
              </xdr:nvSpPr>
              <xdr:spPr>
                <a:xfrm rot="5400000">
                  <a:off x="6136920" y="20665440"/>
                  <a:ext cx="39960" cy="450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1826" name="61 CuadroTexto"/>
              <xdr:cNvSpPr/>
            </xdr:nvSpPr>
            <xdr:spPr>
              <a:xfrm>
                <a:off x="5381640" y="20361600"/>
                <a:ext cx="69660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10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sp>
            <xdr:nvSpPr>
              <xdr:cNvPr id="1827" name="Text Box 188"/>
              <xdr:cNvSpPr/>
            </xdr:nvSpPr>
            <xdr:spPr>
              <a:xfrm>
                <a:off x="6227280" y="20615400"/>
                <a:ext cx="822240" cy="2332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Real del Obispo 13,8 kV</a:t>
                </a:r>
                <a:endParaRPr b="0" lang="en-GB" sz="600" spc="-1" strike="noStrike">
                  <a:latin typeface="Times New Roman"/>
                </a:endParaRPr>
              </a:p>
            </xdr:txBody>
          </xdr:sp>
        </xdr:grpSp>
      </xdr:grpSp>
      <xdr:sp>
        <xdr:nvSpPr>
          <xdr:cNvPr id="1828" name="Line 280"/>
          <xdr:cNvSpPr/>
        </xdr:nvSpPr>
        <xdr:spPr>
          <a:xfrm>
            <a:off x="6152040" y="20756160"/>
            <a:ext cx="360" cy="262080"/>
          </a:xfrm>
          <a:prstGeom prst="line">
            <a:avLst/>
          </a:prstGeom>
          <a:ln w="15875">
            <a:solidFill>
              <a:srgbClr val="000000"/>
            </a:solidFill>
            <a:round/>
            <a:tailEnd len="med" type="triangle" w="med"/>
          </a:ln>
        </xdr:spPr>
        <xdr:style>
          <a:lnRef idx="0"/>
          <a:fillRef idx="0"/>
          <a:effectRef idx="0"/>
          <a:fontRef idx="minor"/>
        </xdr:style>
      </xdr:sp>
      <xdr:sp>
        <xdr:nvSpPr>
          <xdr:cNvPr id="1829" name="455 Rectángulo redondeado"/>
          <xdr:cNvSpPr/>
        </xdr:nvSpPr>
        <xdr:spPr>
          <a:xfrm rot="5400000">
            <a:off x="6135480" y="20809080"/>
            <a:ext cx="40680" cy="44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7</xdr:col>
      <xdr:colOff>285120</xdr:colOff>
      <xdr:row>103</xdr:row>
      <xdr:rowOff>137880</xdr:rowOff>
    </xdr:from>
    <xdr:to>
      <xdr:col>7</xdr:col>
      <xdr:colOff>285120</xdr:colOff>
      <xdr:row>104</xdr:row>
      <xdr:rowOff>74160</xdr:rowOff>
    </xdr:to>
    <xdr:sp>
      <xdr:nvSpPr>
        <xdr:cNvPr id="1830" name="Line 244"/>
        <xdr:cNvSpPr/>
      </xdr:nvSpPr>
      <xdr:spPr>
        <a:xfrm>
          <a:off x="6152400" y="20016720"/>
          <a:ext cx="0" cy="126720"/>
        </a:xfrm>
        <a:prstGeom prst="line">
          <a:avLst/>
        </a:prstGeom>
        <a:ln w="15875">
          <a:solidFill>
            <a:srgbClr val="ffc000"/>
          </a:solidFill>
          <a:round/>
        </a:ln>
      </xdr:spPr>
      <xdr:style>
        <a:lnRef idx="0"/>
        <a:fillRef idx="0"/>
        <a:effectRef idx="0"/>
        <a:fontRef idx="minor"/>
      </xdr:style>
    </xdr:sp>
    <xdr:clientData/>
  </xdr:twoCellAnchor>
  <xdr:twoCellAnchor editAs="twoCell">
    <xdr:from>
      <xdr:col>5</xdr:col>
      <xdr:colOff>739440</xdr:colOff>
      <xdr:row>102</xdr:row>
      <xdr:rowOff>168120</xdr:rowOff>
    </xdr:from>
    <xdr:to>
      <xdr:col>6</xdr:col>
      <xdr:colOff>515520</xdr:colOff>
      <xdr:row>103</xdr:row>
      <xdr:rowOff>99000</xdr:rowOff>
    </xdr:to>
    <xdr:sp>
      <xdr:nvSpPr>
        <xdr:cNvPr id="1831" name="Text Box 188"/>
        <xdr:cNvSpPr/>
      </xdr:nvSpPr>
      <xdr:spPr>
        <a:xfrm>
          <a:off x="4930560" y="19856160"/>
          <a:ext cx="614160" cy="121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LN-553</a:t>
          </a:r>
          <a:endParaRPr b="0" lang="en-GB" sz="600" spc="-1" strike="noStrike">
            <a:latin typeface="Times New Roman"/>
          </a:endParaRPr>
        </a:p>
      </xdr:txBody>
    </xdr:sp>
    <xdr:clientData/>
  </xdr:twoCellAnchor>
  <xdr:twoCellAnchor editAs="twoCell">
    <xdr:from>
      <xdr:col>4</xdr:col>
      <xdr:colOff>97920</xdr:colOff>
      <xdr:row>98</xdr:row>
      <xdr:rowOff>114480</xdr:rowOff>
    </xdr:from>
    <xdr:to>
      <xdr:col>5</xdr:col>
      <xdr:colOff>393480</xdr:colOff>
      <xdr:row>101</xdr:row>
      <xdr:rowOff>43920</xdr:rowOff>
    </xdr:to>
    <xdr:sp>
      <xdr:nvSpPr>
        <xdr:cNvPr id="1832" name="Rectángulo 418"/>
        <xdr:cNvSpPr/>
      </xdr:nvSpPr>
      <xdr:spPr>
        <a:xfrm>
          <a:off x="3450600" y="19040760"/>
          <a:ext cx="1134000" cy="500760"/>
        </a:xfrm>
        <a:prstGeom prst="rect">
          <a:avLst/>
        </a:prstGeom>
        <a:noFill/>
        <a:ln>
          <a:solidFill>
            <a:srgbClr val="4472c4"/>
          </a:solidFill>
          <a:prstDash val="dash"/>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4</xdr:col>
      <xdr:colOff>408600</xdr:colOff>
      <xdr:row>97</xdr:row>
      <xdr:rowOff>104760</xdr:rowOff>
    </xdr:from>
    <xdr:to>
      <xdr:col>5</xdr:col>
      <xdr:colOff>87480</xdr:colOff>
      <xdr:row>98</xdr:row>
      <xdr:rowOff>147240</xdr:rowOff>
    </xdr:to>
    <xdr:sp>
      <xdr:nvSpPr>
        <xdr:cNvPr id="1833" name="Text Box 188"/>
        <xdr:cNvSpPr/>
      </xdr:nvSpPr>
      <xdr:spPr>
        <a:xfrm>
          <a:off x="3761280" y="18840600"/>
          <a:ext cx="51732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1" lang="es-CO" sz="600" spc="-1" strike="noStrike">
              <a:solidFill>
                <a:srgbClr val="44546a"/>
              </a:solidFill>
              <a:latin typeface="Arial"/>
              <a:ea typeface="MS PGothic"/>
            </a:rPr>
            <a:t>AFINIA</a:t>
          </a:r>
          <a:endParaRPr b="0" lang="en-GB" sz="600" spc="-1" strike="noStrike">
            <a:latin typeface="Times New Roman"/>
          </a:endParaRPr>
        </a:p>
      </xdr:txBody>
    </xdr:sp>
    <xdr:clientData/>
  </xdr:twoCellAnchor>
  <xdr:twoCellAnchor editAs="twoCell">
    <xdr:from>
      <xdr:col>20</xdr:col>
      <xdr:colOff>551520</xdr:colOff>
      <xdr:row>76</xdr:row>
      <xdr:rowOff>95040</xdr:rowOff>
    </xdr:from>
    <xdr:to>
      <xdr:col>22</xdr:col>
      <xdr:colOff>872280</xdr:colOff>
      <xdr:row>80</xdr:row>
      <xdr:rowOff>86040</xdr:rowOff>
    </xdr:to>
    <xdr:grpSp>
      <xdr:nvGrpSpPr>
        <xdr:cNvPr id="1834" name="Grupo 420"/>
        <xdr:cNvGrpSpPr/>
      </xdr:nvGrpSpPr>
      <xdr:grpSpPr>
        <a:xfrm>
          <a:off x="17315640" y="14801760"/>
          <a:ext cx="1996920" cy="752760"/>
          <a:chOff x="17315640" y="14801760"/>
          <a:chExt cx="1996920" cy="752760"/>
        </a:xfrm>
      </xdr:grpSpPr>
      <xdr:sp>
        <xdr:nvSpPr>
          <xdr:cNvPr id="1835" name="Line 205"/>
          <xdr:cNvSpPr/>
        </xdr:nvSpPr>
        <xdr:spPr>
          <a:xfrm>
            <a:off x="17981280" y="14956200"/>
            <a:ext cx="480960" cy="360"/>
          </a:xfrm>
          <a:prstGeom prst="line">
            <a:avLst/>
          </a:prstGeom>
          <a:ln w="25400">
            <a:solidFill>
              <a:srgbClr val="ff0000"/>
            </a:solidFill>
            <a:round/>
          </a:ln>
        </xdr:spPr>
        <xdr:style>
          <a:lnRef idx="0"/>
          <a:fillRef idx="0"/>
          <a:effectRef idx="0"/>
          <a:fontRef idx="minor"/>
        </xdr:style>
      </xdr:sp>
      <xdr:sp>
        <xdr:nvSpPr>
          <xdr:cNvPr id="1836" name="Text Box 138"/>
          <xdr:cNvSpPr/>
        </xdr:nvSpPr>
        <xdr:spPr>
          <a:xfrm>
            <a:off x="17315640" y="15110280"/>
            <a:ext cx="799560" cy="2347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33/21/15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110/34,5/13,8kV</a:t>
            </a:r>
            <a:endParaRPr b="0" lang="en-GB" sz="600" spc="-1" strike="noStrike">
              <a:latin typeface="Times New Roman"/>
            </a:endParaRPr>
          </a:p>
        </xdr:txBody>
      </xdr:sp>
      <xdr:sp>
        <xdr:nvSpPr>
          <xdr:cNvPr id="1837" name="Text Box 188"/>
          <xdr:cNvSpPr/>
        </xdr:nvSpPr>
        <xdr:spPr>
          <a:xfrm>
            <a:off x="17694720" y="14801760"/>
            <a:ext cx="1063440" cy="14760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Río Córdoba 110 kV </a:t>
            </a:r>
            <a:endParaRPr b="0" lang="en-GB" sz="600" spc="-1" strike="noStrike">
              <a:latin typeface="Times New Roman"/>
            </a:endParaRPr>
          </a:p>
        </xdr:txBody>
      </xdr:sp>
      <xdr:sp>
        <xdr:nvSpPr>
          <xdr:cNvPr id="1838" name="Line 38"/>
          <xdr:cNvSpPr/>
        </xdr:nvSpPr>
        <xdr:spPr>
          <a:xfrm>
            <a:off x="17859960" y="15554160"/>
            <a:ext cx="1452600" cy="360"/>
          </a:xfrm>
          <a:prstGeom prst="line">
            <a:avLst/>
          </a:prstGeom>
          <a:ln w="25400">
            <a:solidFill>
              <a:srgbClr val="ffc000"/>
            </a:solidFill>
            <a:round/>
          </a:ln>
        </xdr:spPr>
        <xdr:style>
          <a:lnRef idx="0"/>
          <a:fillRef idx="0"/>
          <a:effectRef idx="0"/>
          <a:fontRef idx="minor"/>
        </xdr:style>
      </xdr:sp>
      <xdr:sp>
        <xdr:nvSpPr>
          <xdr:cNvPr id="1839" name="Line 244"/>
          <xdr:cNvSpPr/>
        </xdr:nvSpPr>
        <xdr:spPr>
          <a:xfrm>
            <a:off x="18398160" y="15294600"/>
            <a:ext cx="142560" cy="360"/>
          </a:xfrm>
          <a:prstGeom prst="line">
            <a:avLst/>
          </a:prstGeom>
          <a:ln w="15875">
            <a:solidFill>
              <a:srgbClr val="000000"/>
            </a:solidFill>
            <a:round/>
          </a:ln>
        </xdr:spPr>
        <xdr:style>
          <a:lnRef idx="0"/>
          <a:fillRef idx="0"/>
          <a:effectRef idx="0"/>
          <a:fontRef idx="minor"/>
        </xdr:style>
      </xdr:sp>
      <xdr:sp>
        <xdr:nvSpPr>
          <xdr:cNvPr id="1840" name="455 Rectángulo redondeado"/>
          <xdr:cNvSpPr/>
        </xdr:nvSpPr>
        <xdr:spPr>
          <a:xfrm rot="16200000">
            <a:off x="18439200" y="15275520"/>
            <a:ext cx="39600" cy="435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nvGrpSpPr>
          <xdr:cNvPr id="1841" name="Grupo 427"/>
          <xdr:cNvGrpSpPr/>
        </xdr:nvGrpSpPr>
        <xdr:grpSpPr>
          <a:xfrm>
            <a:off x="18093960" y="15106680"/>
            <a:ext cx="302400" cy="309960"/>
            <a:chOff x="18093960" y="15106680"/>
            <a:chExt cx="302400" cy="309960"/>
          </a:xfrm>
        </xdr:grpSpPr>
        <xdr:sp>
          <xdr:nvSpPr>
            <xdr:cNvPr id="1842" name="Oval 40"/>
            <xdr:cNvSpPr/>
          </xdr:nvSpPr>
          <xdr:spPr>
            <a:xfrm rot="10800000">
              <a:off x="18093960" y="15209280"/>
              <a:ext cx="189720" cy="207360"/>
            </a:xfrm>
            <a:prstGeom prst="ellipse">
              <a:avLst/>
            </a:prstGeom>
            <a:noFill/>
            <a:ln w="12700">
              <a:solidFill>
                <a:srgbClr val="ffc000"/>
              </a:solidFill>
              <a:round/>
            </a:ln>
          </xdr:spPr>
          <xdr:style>
            <a:lnRef idx="0"/>
            <a:fillRef idx="0"/>
            <a:effectRef idx="0"/>
            <a:fontRef idx="minor"/>
          </xdr:style>
        </xdr:sp>
        <xdr:sp>
          <xdr:nvSpPr>
            <xdr:cNvPr id="1843" name="Oval 41"/>
            <xdr:cNvSpPr/>
          </xdr:nvSpPr>
          <xdr:spPr>
            <a:xfrm rot="10800000">
              <a:off x="18093960" y="15106680"/>
              <a:ext cx="189720" cy="207360"/>
            </a:xfrm>
            <a:prstGeom prst="ellipse">
              <a:avLst/>
            </a:prstGeom>
            <a:noFill/>
            <a:ln w="12700">
              <a:solidFill>
                <a:srgbClr val="ff0000"/>
              </a:solidFill>
              <a:round/>
            </a:ln>
          </xdr:spPr>
          <xdr:style>
            <a:lnRef idx="0"/>
            <a:fillRef idx="0"/>
            <a:effectRef idx="0"/>
            <a:fontRef idx="minor"/>
          </xdr:style>
        </xdr:sp>
        <xdr:sp>
          <xdr:nvSpPr>
            <xdr:cNvPr id="1844" name="Oval 63"/>
            <xdr:cNvSpPr/>
          </xdr:nvSpPr>
          <xdr:spPr>
            <a:xfrm>
              <a:off x="18207360" y="15183360"/>
              <a:ext cx="189000" cy="206280"/>
            </a:xfrm>
            <a:prstGeom prst="ellipse">
              <a:avLst/>
            </a:prstGeom>
            <a:noFill/>
            <a:ln w="12700">
              <a:solidFill>
                <a:srgbClr val="000000"/>
              </a:solidFill>
              <a:round/>
            </a:ln>
          </xdr:spPr>
          <xdr:style>
            <a:lnRef idx="0"/>
            <a:fillRef idx="0"/>
            <a:effectRef idx="0"/>
            <a:fontRef idx="minor"/>
          </xdr:style>
        </xdr:sp>
      </xdr:grpSp>
      <xdr:sp>
        <xdr:nvSpPr>
          <xdr:cNvPr id="1845" name="Line 100"/>
          <xdr:cNvSpPr/>
        </xdr:nvSpPr>
        <xdr:spPr>
          <a:xfrm>
            <a:off x="18183600" y="15417720"/>
            <a:ext cx="360" cy="129240"/>
          </a:xfrm>
          <a:prstGeom prst="line">
            <a:avLst/>
          </a:prstGeom>
          <a:ln w="15875">
            <a:solidFill>
              <a:srgbClr val="ffc000"/>
            </a:solidFill>
            <a:round/>
          </a:ln>
        </xdr:spPr>
        <xdr:style>
          <a:lnRef idx="0"/>
          <a:fillRef idx="0"/>
          <a:effectRef idx="0"/>
          <a:fontRef idx="minor"/>
        </xdr:style>
      </xdr:sp>
      <xdr:sp>
        <xdr:nvSpPr>
          <xdr:cNvPr id="1846" name="455 Rectángulo redondeado"/>
          <xdr:cNvSpPr/>
        </xdr:nvSpPr>
        <xdr:spPr>
          <a:xfrm>
            <a:off x="18161280" y="15454080"/>
            <a:ext cx="4356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847" name="Line 206"/>
          <xdr:cNvSpPr/>
        </xdr:nvSpPr>
        <xdr:spPr>
          <a:xfrm>
            <a:off x="18191520" y="14945400"/>
            <a:ext cx="360" cy="156600"/>
          </a:xfrm>
          <a:prstGeom prst="line">
            <a:avLst/>
          </a:prstGeom>
          <a:ln w="25400">
            <a:solidFill>
              <a:srgbClr val="ff0000"/>
            </a:solidFill>
            <a:round/>
          </a:ln>
        </xdr:spPr>
        <xdr:style>
          <a:lnRef idx="0"/>
          <a:fillRef idx="0"/>
          <a:effectRef idx="0"/>
          <a:fontRef idx="minor"/>
        </xdr:style>
      </xdr:sp>
      <xdr:sp>
        <xdr:nvSpPr>
          <xdr:cNvPr id="1848" name="452 Rectángulo redondeado"/>
          <xdr:cNvSpPr/>
        </xdr:nvSpPr>
        <xdr:spPr>
          <a:xfrm>
            <a:off x="18170280" y="15004440"/>
            <a:ext cx="43560" cy="3960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20</xdr:col>
      <xdr:colOff>492840</xdr:colOff>
      <xdr:row>79</xdr:row>
      <xdr:rowOff>147600</xdr:rowOff>
    </xdr:from>
    <xdr:to>
      <xdr:col>21</xdr:col>
      <xdr:colOff>354240</xdr:colOff>
      <xdr:row>80</xdr:row>
      <xdr:rowOff>168840</xdr:rowOff>
    </xdr:to>
    <xdr:sp>
      <xdr:nvSpPr>
        <xdr:cNvPr id="1849" name="Text Box 188"/>
        <xdr:cNvSpPr/>
      </xdr:nvSpPr>
      <xdr:spPr>
        <a:xfrm>
          <a:off x="17256960" y="15425640"/>
          <a:ext cx="699480" cy="211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Río Córdoba 34,5 kV</a:t>
          </a:r>
          <a:endParaRPr b="0" lang="en-GB" sz="600" spc="-1" strike="noStrike">
            <a:latin typeface="Times New Roman"/>
          </a:endParaRPr>
        </a:p>
      </xdr:txBody>
    </xdr:sp>
    <xdr:clientData/>
  </xdr:twoCellAnchor>
  <xdr:twoCellAnchor editAs="twoCell">
    <xdr:from>
      <xdr:col>22</xdr:col>
      <xdr:colOff>69840</xdr:colOff>
      <xdr:row>80</xdr:row>
      <xdr:rowOff>83520</xdr:rowOff>
    </xdr:from>
    <xdr:to>
      <xdr:col>22</xdr:col>
      <xdr:colOff>69840</xdr:colOff>
      <xdr:row>84</xdr:row>
      <xdr:rowOff>125640</xdr:rowOff>
    </xdr:to>
    <xdr:sp>
      <xdr:nvSpPr>
        <xdr:cNvPr id="1850" name="Line 244"/>
        <xdr:cNvSpPr/>
      </xdr:nvSpPr>
      <xdr:spPr>
        <a:xfrm>
          <a:off x="18510120" y="15552000"/>
          <a:ext cx="0" cy="804240"/>
        </a:xfrm>
        <a:prstGeom prst="line">
          <a:avLst/>
        </a:prstGeom>
        <a:ln w="15875">
          <a:solidFill>
            <a:srgbClr val="ffc000"/>
          </a:solidFill>
          <a:round/>
        </a:ln>
      </xdr:spPr>
      <xdr:style>
        <a:lnRef idx="0"/>
        <a:fillRef idx="0"/>
        <a:effectRef idx="0"/>
        <a:fontRef idx="minor"/>
      </xdr:style>
    </xdr:sp>
    <xdr:clientData/>
  </xdr:twoCellAnchor>
  <xdr:twoCellAnchor editAs="twoCell">
    <xdr:from>
      <xdr:col>22</xdr:col>
      <xdr:colOff>50400</xdr:colOff>
      <xdr:row>80</xdr:row>
      <xdr:rowOff>123840</xdr:rowOff>
    </xdr:from>
    <xdr:to>
      <xdr:col>22</xdr:col>
      <xdr:colOff>90720</xdr:colOff>
      <xdr:row>80</xdr:row>
      <xdr:rowOff>163440</xdr:rowOff>
    </xdr:to>
    <xdr:sp>
      <xdr:nvSpPr>
        <xdr:cNvPr id="1851" name="455 Rectángulo redondeado"/>
        <xdr:cNvSpPr/>
      </xdr:nvSpPr>
      <xdr:spPr>
        <a:xfrm>
          <a:off x="18490680" y="1559232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22</xdr:col>
      <xdr:colOff>161280</xdr:colOff>
      <xdr:row>78</xdr:row>
      <xdr:rowOff>84240</xdr:rowOff>
    </xdr:from>
    <xdr:to>
      <xdr:col>22</xdr:col>
      <xdr:colOff>161280</xdr:colOff>
      <xdr:row>79</xdr:row>
      <xdr:rowOff>145080</xdr:rowOff>
    </xdr:to>
    <xdr:sp>
      <xdr:nvSpPr>
        <xdr:cNvPr id="1852" name="Line 99"/>
        <xdr:cNvSpPr/>
      </xdr:nvSpPr>
      <xdr:spPr>
        <a:xfrm>
          <a:off x="18601560" y="15171840"/>
          <a:ext cx="0" cy="251280"/>
        </a:xfrm>
        <a:prstGeom prst="line">
          <a:avLst/>
        </a:prstGeom>
        <a:ln w="25400">
          <a:solidFill>
            <a:srgbClr val="000000"/>
          </a:solidFill>
          <a:round/>
        </a:ln>
      </xdr:spPr>
      <xdr:style>
        <a:lnRef idx="0"/>
        <a:fillRef idx="0"/>
        <a:effectRef idx="0"/>
        <a:fontRef idx="minor"/>
      </xdr:style>
    </xdr:sp>
    <xdr:clientData/>
  </xdr:twoCellAnchor>
  <xdr:twoCellAnchor editAs="twoCell">
    <xdr:from>
      <xdr:col>22</xdr:col>
      <xdr:colOff>154440</xdr:colOff>
      <xdr:row>79</xdr:row>
      <xdr:rowOff>17640</xdr:rowOff>
    </xdr:from>
    <xdr:to>
      <xdr:col>22</xdr:col>
      <xdr:colOff>343440</xdr:colOff>
      <xdr:row>79</xdr:row>
      <xdr:rowOff>17640</xdr:rowOff>
    </xdr:to>
    <xdr:sp>
      <xdr:nvSpPr>
        <xdr:cNvPr id="1853" name="Line 280"/>
        <xdr:cNvSpPr/>
      </xdr:nvSpPr>
      <xdr:spPr>
        <a:xfrm>
          <a:off x="18594720" y="15295680"/>
          <a:ext cx="189000" cy="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22</xdr:col>
      <xdr:colOff>189000</xdr:colOff>
      <xdr:row>78</xdr:row>
      <xdr:rowOff>185400</xdr:rowOff>
    </xdr:from>
    <xdr:to>
      <xdr:col>22</xdr:col>
      <xdr:colOff>230040</xdr:colOff>
      <xdr:row>79</xdr:row>
      <xdr:rowOff>35640</xdr:rowOff>
    </xdr:to>
    <xdr:sp>
      <xdr:nvSpPr>
        <xdr:cNvPr id="1854" name="455 Rectángulo redondeado"/>
        <xdr:cNvSpPr/>
      </xdr:nvSpPr>
      <xdr:spPr>
        <a:xfrm rot="5400000">
          <a:off x="18629280" y="15272640"/>
          <a:ext cx="40680" cy="410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21</xdr:col>
      <xdr:colOff>699840</xdr:colOff>
      <xdr:row>77</xdr:row>
      <xdr:rowOff>144360</xdr:rowOff>
    </xdr:from>
    <xdr:to>
      <xdr:col>22</xdr:col>
      <xdr:colOff>642600</xdr:colOff>
      <xdr:row>78</xdr:row>
      <xdr:rowOff>67680</xdr:rowOff>
    </xdr:to>
    <xdr:sp>
      <xdr:nvSpPr>
        <xdr:cNvPr id="1855" name="Text Box 188"/>
        <xdr:cNvSpPr/>
      </xdr:nvSpPr>
      <xdr:spPr>
        <a:xfrm>
          <a:off x="18302040" y="15041520"/>
          <a:ext cx="780840" cy="11376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Río Córdoba 13,8 kV </a:t>
          </a:r>
          <a:endParaRPr b="0" lang="en-GB" sz="600" spc="-1" strike="noStrike">
            <a:latin typeface="Times New Roman"/>
          </a:endParaRPr>
        </a:p>
      </xdr:txBody>
    </xdr:sp>
    <xdr:clientData/>
  </xdr:twoCellAnchor>
  <xdr:twoCellAnchor editAs="twoCell">
    <xdr:from>
      <xdr:col>21</xdr:col>
      <xdr:colOff>194760</xdr:colOff>
      <xdr:row>84</xdr:row>
      <xdr:rowOff>120960</xdr:rowOff>
    </xdr:from>
    <xdr:to>
      <xdr:col>22</xdr:col>
      <xdr:colOff>910080</xdr:colOff>
      <xdr:row>84</xdr:row>
      <xdr:rowOff>120960</xdr:rowOff>
    </xdr:to>
    <xdr:sp>
      <xdr:nvSpPr>
        <xdr:cNvPr id="1856" name="Line 38"/>
        <xdr:cNvSpPr/>
      </xdr:nvSpPr>
      <xdr:spPr>
        <a:xfrm>
          <a:off x="17796960" y="16351560"/>
          <a:ext cx="1553400" cy="0"/>
        </a:xfrm>
        <a:prstGeom prst="line">
          <a:avLst/>
        </a:prstGeom>
        <a:ln w="25400">
          <a:solidFill>
            <a:srgbClr val="ffc000"/>
          </a:solidFill>
          <a:round/>
        </a:ln>
      </xdr:spPr>
      <xdr:style>
        <a:lnRef idx="0"/>
        <a:fillRef idx="0"/>
        <a:effectRef idx="0"/>
        <a:fontRef idx="minor"/>
      </xdr:style>
    </xdr:sp>
    <xdr:clientData/>
  </xdr:twoCellAnchor>
  <xdr:twoCellAnchor editAs="twoCell">
    <xdr:from>
      <xdr:col>22</xdr:col>
      <xdr:colOff>49320</xdr:colOff>
      <xdr:row>84</xdr:row>
      <xdr:rowOff>38880</xdr:rowOff>
    </xdr:from>
    <xdr:to>
      <xdr:col>22</xdr:col>
      <xdr:colOff>89640</xdr:colOff>
      <xdr:row>84</xdr:row>
      <xdr:rowOff>78480</xdr:rowOff>
    </xdr:to>
    <xdr:sp>
      <xdr:nvSpPr>
        <xdr:cNvPr id="1857" name="455 Rectángulo redondeado"/>
        <xdr:cNvSpPr/>
      </xdr:nvSpPr>
      <xdr:spPr>
        <a:xfrm>
          <a:off x="18489600" y="1626948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20</xdr:col>
      <xdr:colOff>480240</xdr:colOff>
      <xdr:row>84</xdr:row>
      <xdr:rowOff>23040</xdr:rowOff>
    </xdr:from>
    <xdr:to>
      <xdr:col>21</xdr:col>
      <xdr:colOff>313560</xdr:colOff>
      <xdr:row>85</xdr:row>
      <xdr:rowOff>44280</xdr:rowOff>
    </xdr:to>
    <xdr:sp>
      <xdr:nvSpPr>
        <xdr:cNvPr id="1858" name="Text Box 188"/>
        <xdr:cNvSpPr/>
      </xdr:nvSpPr>
      <xdr:spPr>
        <a:xfrm>
          <a:off x="17244360" y="16253640"/>
          <a:ext cx="671400" cy="211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Zawady 34,5 kV</a:t>
          </a:r>
          <a:endParaRPr b="0" lang="en-GB" sz="600" spc="-1" strike="noStrike">
            <a:latin typeface="Times New Roman"/>
          </a:endParaRPr>
        </a:p>
      </xdr:txBody>
    </xdr:sp>
    <xdr:clientData/>
  </xdr:twoCellAnchor>
  <xdr:twoCellAnchor editAs="twoCell">
    <xdr:from>
      <xdr:col>21</xdr:col>
      <xdr:colOff>427320</xdr:colOff>
      <xdr:row>80</xdr:row>
      <xdr:rowOff>92520</xdr:rowOff>
    </xdr:from>
    <xdr:to>
      <xdr:col>21</xdr:col>
      <xdr:colOff>427320</xdr:colOff>
      <xdr:row>84</xdr:row>
      <xdr:rowOff>134280</xdr:rowOff>
    </xdr:to>
    <xdr:sp>
      <xdr:nvSpPr>
        <xdr:cNvPr id="1859" name="Line 244"/>
        <xdr:cNvSpPr/>
      </xdr:nvSpPr>
      <xdr:spPr>
        <a:xfrm>
          <a:off x="18029520" y="15561000"/>
          <a:ext cx="0" cy="803880"/>
        </a:xfrm>
        <a:prstGeom prst="line">
          <a:avLst/>
        </a:prstGeom>
        <a:ln w="15875">
          <a:solidFill>
            <a:srgbClr val="ffc000"/>
          </a:solidFill>
          <a:round/>
        </a:ln>
      </xdr:spPr>
      <xdr:style>
        <a:lnRef idx="0"/>
        <a:fillRef idx="0"/>
        <a:effectRef idx="0"/>
        <a:fontRef idx="minor"/>
      </xdr:style>
    </xdr:sp>
    <xdr:clientData/>
  </xdr:twoCellAnchor>
  <xdr:twoCellAnchor editAs="twoCell">
    <xdr:from>
      <xdr:col>21</xdr:col>
      <xdr:colOff>408240</xdr:colOff>
      <xdr:row>80</xdr:row>
      <xdr:rowOff>132840</xdr:rowOff>
    </xdr:from>
    <xdr:to>
      <xdr:col>21</xdr:col>
      <xdr:colOff>448560</xdr:colOff>
      <xdr:row>80</xdr:row>
      <xdr:rowOff>172440</xdr:rowOff>
    </xdr:to>
    <xdr:sp>
      <xdr:nvSpPr>
        <xdr:cNvPr id="1860" name="455 Rectángulo redondeado"/>
        <xdr:cNvSpPr/>
      </xdr:nvSpPr>
      <xdr:spPr>
        <a:xfrm>
          <a:off x="18010440" y="1560132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21</xdr:col>
      <xdr:colOff>407160</xdr:colOff>
      <xdr:row>84</xdr:row>
      <xdr:rowOff>39960</xdr:rowOff>
    </xdr:from>
    <xdr:to>
      <xdr:col>21</xdr:col>
      <xdr:colOff>447480</xdr:colOff>
      <xdr:row>84</xdr:row>
      <xdr:rowOff>79560</xdr:rowOff>
    </xdr:to>
    <xdr:sp>
      <xdr:nvSpPr>
        <xdr:cNvPr id="1861" name="455 Rectángulo redondeado"/>
        <xdr:cNvSpPr/>
      </xdr:nvSpPr>
      <xdr:spPr>
        <a:xfrm>
          <a:off x="18009360" y="16270560"/>
          <a:ext cx="40320" cy="39600"/>
        </a:xfrm>
        <a:prstGeom prst="roundRect">
          <a:avLst>
            <a:gd name="adj" fmla="val 16667"/>
          </a:avLst>
        </a:prstGeom>
        <a:solidFill>
          <a:schemeClr val="bg1"/>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20</xdr:col>
      <xdr:colOff>726840</xdr:colOff>
      <xdr:row>82</xdr:row>
      <xdr:rowOff>131760</xdr:rowOff>
    </xdr:from>
    <xdr:to>
      <xdr:col>21</xdr:col>
      <xdr:colOff>410040</xdr:colOff>
      <xdr:row>83</xdr:row>
      <xdr:rowOff>62640</xdr:rowOff>
    </xdr:to>
    <xdr:sp>
      <xdr:nvSpPr>
        <xdr:cNvPr id="1862" name="Text Box 188"/>
        <xdr:cNvSpPr/>
      </xdr:nvSpPr>
      <xdr:spPr>
        <a:xfrm>
          <a:off x="17490960" y="15981480"/>
          <a:ext cx="52128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LN-536</a:t>
          </a:r>
          <a:endParaRPr b="0" lang="en-GB" sz="600" spc="-1" strike="noStrike">
            <a:latin typeface="Times New Roman"/>
          </a:endParaRPr>
        </a:p>
      </xdr:txBody>
    </xdr:sp>
    <xdr:clientData/>
  </xdr:twoCellAnchor>
  <xdr:twoCellAnchor editAs="twoCell">
    <xdr:from>
      <xdr:col>21</xdr:col>
      <xdr:colOff>399600</xdr:colOff>
      <xdr:row>82</xdr:row>
      <xdr:rowOff>124560</xdr:rowOff>
    </xdr:from>
    <xdr:to>
      <xdr:col>22</xdr:col>
      <xdr:colOff>136800</xdr:colOff>
      <xdr:row>83</xdr:row>
      <xdr:rowOff>55440</xdr:rowOff>
    </xdr:to>
    <xdr:sp>
      <xdr:nvSpPr>
        <xdr:cNvPr id="1863" name="Text Box 188"/>
        <xdr:cNvSpPr/>
      </xdr:nvSpPr>
      <xdr:spPr>
        <a:xfrm>
          <a:off x="18001800" y="15974280"/>
          <a:ext cx="57528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LN-5166</a:t>
          </a:r>
          <a:endParaRPr b="0" lang="en-GB" sz="600" spc="-1" strike="noStrike">
            <a:latin typeface="Times New Roman"/>
          </a:endParaRPr>
        </a:p>
      </xdr:txBody>
    </xdr:sp>
    <xdr:clientData/>
  </xdr:twoCellAnchor>
  <xdr:twoCellAnchor editAs="twoCell">
    <xdr:from>
      <xdr:col>20</xdr:col>
      <xdr:colOff>413640</xdr:colOff>
      <xdr:row>84</xdr:row>
      <xdr:rowOff>130680</xdr:rowOff>
    </xdr:from>
    <xdr:to>
      <xdr:col>22</xdr:col>
      <xdr:colOff>661680</xdr:colOff>
      <xdr:row>89</xdr:row>
      <xdr:rowOff>51480</xdr:rowOff>
    </xdr:to>
    <xdr:grpSp>
      <xdr:nvGrpSpPr>
        <xdr:cNvPr id="1864" name="Grupo 450"/>
        <xdr:cNvGrpSpPr/>
      </xdr:nvGrpSpPr>
      <xdr:grpSpPr>
        <a:xfrm>
          <a:off x="17177760" y="16361280"/>
          <a:ext cx="1924200" cy="873360"/>
          <a:chOff x="17177760" y="16361280"/>
          <a:chExt cx="1924200" cy="873360"/>
        </a:xfrm>
      </xdr:grpSpPr>
      <xdr:grpSp>
        <xdr:nvGrpSpPr>
          <xdr:cNvPr id="1865" name="Grupo 451"/>
          <xdr:cNvGrpSpPr/>
        </xdr:nvGrpSpPr>
        <xdr:grpSpPr>
          <a:xfrm>
            <a:off x="17177760" y="16361280"/>
            <a:ext cx="1924200" cy="873360"/>
            <a:chOff x="17177760" y="16361280"/>
            <a:chExt cx="1924200" cy="873360"/>
          </a:xfrm>
        </xdr:grpSpPr>
        <xdr:grpSp>
          <xdr:nvGrpSpPr>
            <xdr:cNvPr id="1866" name="Grupo 453"/>
            <xdr:cNvGrpSpPr/>
          </xdr:nvGrpSpPr>
          <xdr:grpSpPr>
            <a:xfrm>
              <a:off x="17177760" y="16361280"/>
              <a:ext cx="1924200" cy="741960"/>
              <a:chOff x="17177760" y="16361280"/>
              <a:chExt cx="1924200" cy="741960"/>
            </a:xfrm>
          </xdr:grpSpPr>
          <xdr:grpSp>
            <xdr:nvGrpSpPr>
              <xdr:cNvPr id="1867" name="Grupo 455"/>
              <xdr:cNvGrpSpPr/>
            </xdr:nvGrpSpPr>
            <xdr:grpSpPr>
              <a:xfrm>
                <a:off x="17177760" y="16362000"/>
                <a:ext cx="1391400" cy="741240"/>
                <a:chOff x="17177760" y="16362000"/>
                <a:chExt cx="1391400" cy="741240"/>
              </a:xfrm>
            </xdr:grpSpPr>
            <xdr:grpSp>
              <xdr:nvGrpSpPr>
                <xdr:cNvPr id="1868" name="Grupo 465"/>
                <xdr:cNvGrpSpPr/>
              </xdr:nvGrpSpPr>
              <xdr:grpSpPr>
                <a:xfrm>
                  <a:off x="17788680" y="16362000"/>
                  <a:ext cx="780480" cy="698400"/>
                  <a:chOff x="17788680" y="16362000"/>
                  <a:chExt cx="780480" cy="698400"/>
                </a:xfrm>
              </xdr:grpSpPr>
              <xdr:sp>
                <xdr:nvSpPr>
                  <xdr:cNvPr id="1869" name="Oval 40"/>
                  <xdr:cNvSpPr/>
                </xdr:nvSpPr>
                <xdr:spPr>
                  <a:xfrm rot="10800000">
                    <a:off x="17822160" y="16609320"/>
                    <a:ext cx="193680" cy="209160"/>
                  </a:xfrm>
                  <a:prstGeom prst="ellipse">
                    <a:avLst/>
                  </a:prstGeom>
                  <a:noFill/>
                  <a:ln w="12700">
                    <a:solidFill>
                      <a:srgbClr val="000000"/>
                    </a:solidFill>
                    <a:round/>
                  </a:ln>
                </xdr:spPr>
                <xdr:style>
                  <a:lnRef idx="0"/>
                  <a:fillRef idx="0"/>
                  <a:effectRef idx="0"/>
                  <a:fontRef idx="minor"/>
                </xdr:style>
              </xdr:sp>
              <xdr:sp>
                <xdr:nvSpPr>
                  <xdr:cNvPr id="1870" name="Oval 41"/>
                  <xdr:cNvSpPr/>
                </xdr:nvSpPr>
                <xdr:spPr>
                  <a:xfrm rot="10800000">
                    <a:off x="17819280" y="16497360"/>
                    <a:ext cx="193680" cy="209160"/>
                  </a:xfrm>
                  <a:prstGeom prst="ellipse">
                    <a:avLst/>
                  </a:prstGeom>
                  <a:noFill/>
                  <a:ln w="12700">
                    <a:solidFill>
                      <a:srgbClr val="ffc000"/>
                    </a:solidFill>
                    <a:round/>
                  </a:ln>
                </xdr:spPr>
                <xdr:style>
                  <a:lnRef idx="0"/>
                  <a:fillRef idx="0"/>
                  <a:effectRef idx="0"/>
                  <a:fontRef idx="minor"/>
                </xdr:style>
              </xdr:sp>
              <xdr:sp>
                <xdr:nvSpPr>
                  <xdr:cNvPr id="1871" name="Line 206"/>
                  <xdr:cNvSpPr/>
                </xdr:nvSpPr>
                <xdr:spPr>
                  <a:xfrm>
                    <a:off x="17910720" y="16362000"/>
                    <a:ext cx="360" cy="132120"/>
                  </a:xfrm>
                  <a:prstGeom prst="line">
                    <a:avLst/>
                  </a:prstGeom>
                  <a:ln w="15875">
                    <a:solidFill>
                      <a:srgbClr val="ffc000"/>
                    </a:solidFill>
                    <a:round/>
                  </a:ln>
                </xdr:spPr>
                <xdr:style>
                  <a:lnRef idx="0"/>
                  <a:fillRef idx="0"/>
                  <a:effectRef idx="0"/>
                  <a:fontRef idx="minor"/>
                </xdr:style>
              </xdr:sp>
              <xdr:sp>
                <xdr:nvSpPr>
                  <xdr:cNvPr id="1872" name="452 Rectángulo redondeado"/>
                  <xdr:cNvSpPr/>
                </xdr:nvSpPr>
                <xdr:spPr>
                  <a:xfrm>
                    <a:off x="17888760" y="16398000"/>
                    <a:ext cx="442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873" name="Line 99"/>
                  <xdr:cNvSpPr/>
                </xdr:nvSpPr>
                <xdr:spPr>
                  <a:xfrm>
                    <a:off x="17788680" y="16959960"/>
                    <a:ext cx="780480" cy="360"/>
                  </a:xfrm>
                  <a:prstGeom prst="line">
                    <a:avLst/>
                  </a:prstGeom>
                  <a:ln w="25400">
                    <a:solidFill>
                      <a:srgbClr val="000000"/>
                    </a:solidFill>
                    <a:round/>
                  </a:ln>
                </xdr:spPr>
                <xdr:style>
                  <a:lnRef idx="0"/>
                  <a:fillRef idx="0"/>
                  <a:effectRef idx="0"/>
                  <a:fontRef idx="minor"/>
                </xdr:style>
              </xdr:sp>
              <xdr:sp>
                <xdr:nvSpPr>
                  <xdr:cNvPr id="1874" name="Line 280"/>
                  <xdr:cNvSpPr/>
                </xdr:nvSpPr>
                <xdr:spPr>
                  <a:xfrm>
                    <a:off x="17918280" y="16819920"/>
                    <a:ext cx="360" cy="150840"/>
                  </a:xfrm>
                  <a:prstGeom prst="line">
                    <a:avLst/>
                  </a:prstGeom>
                  <a:ln w="15875">
                    <a:solidFill>
                      <a:srgbClr val="000000"/>
                    </a:solidFill>
                    <a:round/>
                  </a:ln>
                </xdr:spPr>
                <xdr:style>
                  <a:lnRef idx="0"/>
                  <a:fillRef idx="0"/>
                  <a:effectRef idx="0"/>
                  <a:fontRef idx="minor"/>
                </xdr:style>
              </xdr:sp>
              <xdr:sp>
                <xdr:nvSpPr>
                  <xdr:cNvPr id="1875" name="455 Rectángulo redondeado"/>
                  <xdr:cNvSpPr/>
                </xdr:nvSpPr>
                <xdr:spPr>
                  <a:xfrm rot="5400000">
                    <a:off x="17896680" y="17018280"/>
                    <a:ext cx="39960" cy="44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1876" name="455 Rectángulo redondeado"/>
                  <xdr:cNvSpPr/>
                </xdr:nvSpPr>
                <xdr:spPr>
                  <a:xfrm rot="5400000">
                    <a:off x="17900640" y="16866360"/>
                    <a:ext cx="39960" cy="44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1877" name="61 CuadroTexto"/>
                <xdr:cNvSpPr/>
              </xdr:nvSpPr>
              <xdr:spPr>
                <a:xfrm>
                  <a:off x="17177760" y="16512120"/>
                  <a:ext cx="68724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12,5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sp>
              <xdr:nvSpPr>
                <xdr:cNvPr id="1878" name="Text Box 188"/>
                <xdr:cNvSpPr/>
              </xdr:nvSpPr>
              <xdr:spPr>
                <a:xfrm>
                  <a:off x="17285400" y="16870320"/>
                  <a:ext cx="52992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Zawady 13,8 kV</a:t>
                  </a:r>
                  <a:endParaRPr b="0" lang="en-GB" sz="600" spc="-1" strike="noStrike">
                    <a:latin typeface="Times New Roman"/>
                  </a:endParaRPr>
                </a:p>
              </xdr:txBody>
            </xdr:sp>
          </xdr:grpSp>
          <xdr:grpSp>
            <xdr:nvGrpSpPr>
              <xdr:cNvPr id="1879" name="Grupo 456"/>
              <xdr:cNvGrpSpPr/>
            </xdr:nvGrpSpPr>
            <xdr:grpSpPr>
              <a:xfrm>
                <a:off x="18283320" y="16361280"/>
                <a:ext cx="818640" cy="606240"/>
                <a:chOff x="18283320" y="16361280"/>
                <a:chExt cx="818640" cy="606240"/>
              </a:xfrm>
            </xdr:grpSpPr>
            <xdr:grpSp>
              <xdr:nvGrpSpPr>
                <xdr:cNvPr id="1880" name="Grupo 457"/>
                <xdr:cNvGrpSpPr/>
              </xdr:nvGrpSpPr>
              <xdr:grpSpPr>
                <a:xfrm>
                  <a:off x="18283320" y="16361280"/>
                  <a:ext cx="196560" cy="606240"/>
                  <a:chOff x="18283320" y="16361280"/>
                  <a:chExt cx="196560" cy="606240"/>
                </a:xfrm>
              </xdr:grpSpPr>
              <xdr:sp>
                <xdr:nvSpPr>
                  <xdr:cNvPr id="1881" name="Oval 40"/>
                  <xdr:cNvSpPr/>
                </xdr:nvSpPr>
                <xdr:spPr>
                  <a:xfrm rot="10800000">
                    <a:off x="18286200" y="16608240"/>
                    <a:ext cx="193680" cy="209160"/>
                  </a:xfrm>
                  <a:prstGeom prst="ellipse">
                    <a:avLst/>
                  </a:prstGeom>
                  <a:noFill/>
                  <a:ln w="12700">
                    <a:solidFill>
                      <a:srgbClr val="000000"/>
                    </a:solidFill>
                    <a:round/>
                  </a:ln>
                </xdr:spPr>
                <xdr:style>
                  <a:lnRef idx="0"/>
                  <a:fillRef idx="0"/>
                  <a:effectRef idx="0"/>
                  <a:fontRef idx="minor"/>
                </xdr:style>
              </xdr:sp>
              <xdr:sp>
                <xdr:nvSpPr>
                  <xdr:cNvPr id="1882" name="Oval 41"/>
                  <xdr:cNvSpPr/>
                </xdr:nvSpPr>
                <xdr:spPr>
                  <a:xfrm rot="10800000">
                    <a:off x="18283320" y="16496640"/>
                    <a:ext cx="193680" cy="209160"/>
                  </a:xfrm>
                  <a:prstGeom prst="ellipse">
                    <a:avLst/>
                  </a:prstGeom>
                  <a:noFill/>
                  <a:ln w="12700">
                    <a:solidFill>
                      <a:srgbClr val="ffc000"/>
                    </a:solidFill>
                    <a:round/>
                  </a:ln>
                </xdr:spPr>
                <xdr:style>
                  <a:lnRef idx="0"/>
                  <a:fillRef idx="0"/>
                  <a:effectRef idx="0"/>
                  <a:fontRef idx="minor"/>
                </xdr:style>
              </xdr:sp>
              <xdr:sp>
                <xdr:nvSpPr>
                  <xdr:cNvPr id="1883" name="Line 206"/>
                  <xdr:cNvSpPr/>
                </xdr:nvSpPr>
                <xdr:spPr>
                  <a:xfrm>
                    <a:off x="18374760" y="16361280"/>
                    <a:ext cx="360" cy="132120"/>
                  </a:xfrm>
                  <a:prstGeom prst="line">
                    <a:avLst/>
                  </a:prstGeom>
                  <a:ln w="15875">
                    <a:solidFill>
                      <a:srgbClr val="ffc000"/>
                    </a:solidFill>
                    <a:round/>
                  </a:ln>
                </xdr:spPr>
                <xdr:style>
                  <a:lnRef idx="0"/>
                  <a:fillRef idx="0"/>
                  <a:effectRef idx="0"/>
                  <a:fontRef idx="minor"/>
                </xdr:style>
              </xdr:sp>
              <xdr:sp>
                <xdr:nvSpPr>
                  <xdr:cNvPr id="1884" name="452 Rectángulo redondeado"/>
                  <xdr:cNvSpPr/>
                </xdr:nvSpPr>
                <xdr:spPr>
                  <a:xfrm>
                    <a:off x="18352800" y="16397280"/>
                    <a:ext cx="442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885" name="Line 280"/>
                  <xdr:cNvSpPr/>
                </xdr:nvSpPr>
                <xdr:spPr>
                  <a:xfrm>
                    <a:off x="18381960" y="16819200"/>
                    <a:ext cx="360" cy="148320"/>
                  </a:xfrm>
                  <a:prstGeom prst="line">
                    <a:avLst/>
                  </a:prstGeom>
                  <a:ln w="15875">
                    <a:solidFill>
                      <a:srgbClr val="000000"/>
                    </a:solidFill>
                    <a:round/>
                  </a:ln>
                </xdr:spPr>
                <xdr:style>
                  <a:lnRef idx="0"/>
                  <a:fillRef idx="0"/>
                  <a:effectRef idx="0"/>
                  <a:fontRef idx="minor"/>
                </xdr:style>
              </xdr:sp>
              <xdr:sp>
                <xdr:nvSpPr>
                  <xdr:cNvPr id="1886" name="455 Rectángulo redondeado"/>
                  <xdr:cNvSpPr/>
                </xdr:nvSpPr>
                <xdr:spPr>
                  <a:xfrm rot="5400000">
                    <a:off x="18364680" y="16865640"/>
                    <a:ext cx="39960" cy="44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1887" name="61 CuadroTexto"/>
                <xdr:cNvSpPr/>
              </xdr:nvSpPr>
              <xdr:spPr>
                <a:xfrm>
                  <a:off x="18414720" y="16543440"/>
                  <a:ext cx="68724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12,5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grpSp>
        </xdr:grpSp>
        <xdr:sp>
          <xdr:nvSpPr>
            <xdr:cNvPr id="1888" name="Line 280"/>
            <xdr:cNvSpPr/>
          </xdr:nvSpPr>
          <xdr:spPr>
            <a:xfrm>
              <a:off x="17916840" y="16952400"/>
              <a:ext cx="360" cy="282240"/>
            </a:xfrm>
            <a:prstGeom prst="line">
              <a:avLst/>
            </a:prstGeom>
            <a:ln w="15875">
              <a:solidFill>
                <a:srgbClr val="000000"/>
              </a:solidFill>
              <a:round/>
              <a:tailEnd len="med" type="triangle" w="med"/>
            </a:ln>
          </xdr:spPr>
          <xdr:style>
            <a:lnRef idx="0"/>
            <a:fillRef idx="0"/>
            <a:effectRef idx="0"/>
            <a:fontRef idx="minor"/>
          </xdr:style>
        </xdr:sp>
      </xdr:grpSp>
      <xdr:sp>
        <xdr:nvSpPr>
          <xdr:cNvPr id="1889" name="455 Rectángulo redondeado"/>
          <xdr:cNvSpPr/>
        </xdr:nvSpPr>
        <xdr:spPr>
          <a:xfrm rot="5400000">
            <a:off x="18157320" y="16936920"/>
            <a:ext cx="40680" cy="43560"/>
          </a:xfrm>
          <a:prstGeom prst="roundRect">
            <a:avLst>
              <a:gd name="adj" fmla="val 16667"/>
            </a:avLst>
          </a:prstGeom>
          <a:solidFill>
            <a:schemeClr val="bg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21</xdr:col>
      <xdr:colOff>749880</xdr:colOff>
      <xdr:row>88</xdr:row>
      <xdr:rowOff>34920</xdr:rowOff>
    </xdr:from>
    <xdr:to>
      <xdr:col>22</xdr:col>
      <xdr:colOff>28080</xdr:colOff>
      <xdr:row>88</xdr:row>
      <xdr:rowOff>75600</xdr:rowOff>
    </xdr:to>
    <xdr:sp>
      <xdr:nvSpPr>
        <xdr:cNvPr id="1890" name="455 Rectángulo redondeado"/>
        <xdr:cNvSpPr/>
      </xdr:nvSpPr>
      <xdr:spPr>
        <a:xfrm rot="5400000">
          <a:off x="18389880" y="16989840"/>
          <a:ext cx="40680" cy="116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22</xdr:col>
      <xdr:colOff>5760</xdr:colOff>
      <xdr:row>87</xdr:row>
      <xdr:rowOff>157680</xdr:rowOff>
    </xdr:from>
    <xdr:to>
      <xdr:col>22</xdr:col>
      <xdr:colOff>5760</xdr:colOff>
      <xdr:row>89</xdr:row>
      <xdr:rowOff>59040</xdr:rowOff>
    </xdr:to>
    <xdr:sp>
      <xdr:nvSpPr>
        <xdr:cNvPr id="1891" name="Line 280"/>
        <xdr:cNvSpPr/>
      </xdr:nvSpPr>
      <xdr:spPr>
        <a:xfrm>
          <a:off x="18446040" y="16959960"/>
          <a:ext cx="0" cy="28224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22</xdr:col>
      <xdr:colOff>207000</xdr:colOff>
      <xdr:row>81</xdr:row>
      <xdr:rowOff>10800</xdr:rowOff>
    </xdr:from>
    <xdr:to>
      <xdr:col>22</xdr:col>
      <xdr:colOff>459000</xdr:colOff>
      <xdr:row>81</xdr:row>
      <xdr:rowOff>51120</xdr:rowOff>
    </xdr:to>
    <xdr:grpSp>
      <xdr:nvGrpSpPr>
        <xdr:cNvPr id="1892" name="Grupo 478"/>
        <xdr:cNvGrpSpPr/>
      </xdr:nvGrpSpPr>
      <xdr:grpSpPr>
        <a:xfrm>
          <a:off x="18753120" y="15564240"/>
          <a:ext cx="40320" cy="252000"/>
          <a:chOff x="18753120" y="15564240"/>
          <a:chExt cx="40320" cy="252000"/>
        </a:xfrm>
      </xdr:grpSpPr>
      <xdr:sp>
        <xdr:nvSpPr>
          <xdr:cNvPr id="1893" name="Line 244"/>
          <xdr:cNvSpPr/>
        </xdr:nvSpPr>
        <xdr:spPr>
          <a:xfrm>
            <a:off x="18772200" y="15564240"/>
            <a:ext cx="360" cy="252000"/>
          </a:xfrm>
          <a:prstGeom prst="line">
            <a:avLst/>
          </a:prstGeom>
          <a:ln w="15875">
            <a:solidFill>
              <a:srgbClr val="ffc000"/>
            </a:solidFill>
            <a:round/>
            <a:tailEnd len="med" type="triangle" w="med"/>
          </a:ln>
        </xdr:spPr>
        <xdr:style>
          <a:lnRef idx="0"/>
          <a:fillRef idx="0"/>
          <a:effectRef idx="0"/>
          <a:fontRef idx="minor"/>
        </xdr:style>
      </xdr:sp>
      <xdr:sp>
        <xdr:nvSpPr>
          <xdr:cNvPr id="1894" name="455 Rectángulo redondeado"/>
          <xdr:cNvSpPr/>
        </xdr:nvSpPr>
        <xdr:spPr>
          <a:xfrm>
            <a:off x="18753120" y="1560456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22</xdr:col>
      <xdr:colOff>57600</xdr:colOff>
      <xdr:row>82</xdr:row>
      <xdr:rowOff>31320</xdr:rowOff>
    </xdr:from>
    <xdr:to>
      <xdr:col>22</xdr:col>
      <xdr:colOff>556920</xdr:colOff>
      <xdr:row>83</xdr:row>
      <xdr:rowOff>9360</xdr:rowOff>
    </xdr:to>
    <xdr:sp>
      <xdr:nvSpPr>
        <xdr:cNvPr id="1895" name="Text Box 188"/>
        <xdr:cNvSpPr/>
      </xdr:nvSpPr>
      <xdr:spPr>
        <a:xfrm>
          <a:off x="18497880" y="15881040"/>
          <a:ext cx="499320" cy="1684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Carga asociada LN-537</a:t>
          </a:r>
          <a:endParaRPr b="0" lang="en-GB" sz="600" spc="-1" strike="noStrike">
            <a:latin typeface="Times New Roman"/>
          </a:endParaRPr>
        </a:p>
      </xdr:txBody>
    </xdr:sp>
    <xdr:clientData/>
  </xdr:twoCellAnchor>
  <xdr:twoCellAnchor editAs="twoCell">
    <xdr:from>
      <xdr:col>21</xdr:col>
      <xdr:colOff>428760</xdr:colOff>
      <xdr:row>87</xdr:row>
      <xdr:rowOff>2880</xdr:rowOff>
    </xdr:from>
    <xdr:to>
      <xdr:col>21</xdr:col>
      <xdr:colOff>734040</xdr:colOff>
      <xdr:row>87</xdr:row>
      <xdr:rowOff>96120</xdr:rowOff>
    </xdr:to>
    <xdr:sp>
      <xdr:nvSpPr>
        <xdr:cNvPr id="1896" name="Text Box 188"/>
        <xdr:cNvSpPr/>
      </xdr:nvSpPr>
      <xdr:spPr>
        <a:xfrm>
          <a:off x="18030960" y="16805160"/>
          <a:ext cx="305280" cy="932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400" spc="-1" strike="noStrike">
              <a:solidFill>
                <a:srgbClr val="000000"/>
              </a:solidFill>
              <a:latin typeface="Arial"/>
              <a:ea typeface="MS PGothic"/>
            </a:rPr>
            <a:t>N.A.</a:t>
          </a:r>
          <a:endParaRPr b="0" lang="en-GB" sz="400" spc="-1" strike="noStrike">
            <a:latin typeface="Times New Roman"/>
          </a:endParaRPr>
        </a:p>
      </xdr:txBody>
    </xdr:sp>
    <xdr:clientData/>
  </xdr:twoCellAnchor>
  <xdr:twoCellAnchor editAs="twoCell">
    <xdr:from>
      <xdr:col>21</xdr:col>
      <xdr:colOff>198000</xdr:colOff>
      <xdr:row>84</xdr:row>
      <xdr:rowOff>9360</xdr:rowOff>
    </xdr:from>
    <xdr:to>
      <xdr:col>21</xdr:col>
      <xdr:colOff>487080</xdr:colOff>
      <xdr:row>84</xdr:row>
      <xdr:rowOff>102600</xdr:rowOff>
    </xdr:to>
    <xdr:sp>
      <xdr:nvSpPr>
        <xdr:cNvPr id="1897" name="Text Box 188"/>
        <xdr:cNvSpPr/>
      </xdr:nvSpPr>
      <xdr:spPr>
        <a:xfrm>
          <a:off x="17800200" y="16239960"/>
          <a:ext cx="289080" cy="932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400" spc="-1" strike="noStrike">
              <a:solidFill>
                <a:srgbClr val="000000"/>
              </a:solidFill>
              <a:latin typeface="Arial"/>
              <a:ea typeface="MS PGothic"/>
            </a:rPr>
            <a:t>N.A.</a:t>
          </a:r>
          <a:endParaRPr b="0" lang="en-GB" sz="400" spc="-1" strike="noStrike">
            <a:latin typeface="Times New Roman"/>
          </a:endParaRPr>
        </a:p>
      </xdr:txBody>
    </xdr:sp>
    <xdr:clientData/>
  </xdr:twoCellAnchor>
  <xdr:twoCellAnchor editAs="twoCell">
    <xdr:from>
      <xdr:col>21</xdr:col>
      <xdr:colOff>547200</xdr:colOff>
      <xdr:row>84</xdr:row>
      <xdr:rowOff>87840</xdr:rowOff>
    </xdr:from>
    <xdr:to>
      <xdr:col>21</xdr:col>
      <xdr:colOff>617760</xdr:colOff>
      <xdr:row>84</xdr:row>
      <xdr:rowOff>159480</xdr:rowOff>
    </xdr:to>
    <xdr:sp>
      <xdr:nvSpPr>
        <xdr:cNvPr id="1898" name="455 Rectángulo redondeado"/>
        <xdr:cNvSpPr/>
      </xdr:nvSpPr>
      <xdr:spPr>
        <a:xfrm>
          <a:off x="18149400" y="16318440"/>
          <a:ext cx="70560" cy="7164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21</xdr:col>
      <xdr:colOff>441720</xdr:colOff>
      <xdr:row>84</xdr:row>
      <xdr:rowOff>164160</xdr:rowOff>
    </xdr:from>
    <xdr:to>
      <xdr:col>21</xdr:col>
      <xdr:colOff>747000</xdr:colOff>
      <xdr:row>85</xdr:row>
      <xdr:rowOff>66600</xdr:rowOff>
    </xdr:to>
    <xdr:sp>
      <xdr:nvSpPr>
        <xdr:cNvPr id="1899" name="Text Box 188"/>
        <xdr:cNvSpPr/>
      </xdr:nvSpPr>
      <xdr:spPr>
        <a:xfrm>
          <a:off x="18043920" y="16394760"/>
          <a:ext cx="305280" cy="928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400" spc="-1" strike="noStrike">
              <a:solidFill>
                <a:srgbClr val="000000"/>
              </a:solidFill>
              <a:latin typeface="Arial"/>
              <a:ea typeface="MS PGothic"/>
            </a:rPr>
            <a:t>N.C.</a:t>
          </a:r>
          <a:endParaRPr b="0" lang="en-GB" sz="400" spc="-1" strike="noStrike">
            <a:latin typeface="Times New Roman"/>
          </a:endParaRPr>
        </a:p>
      </xdr:txBody>
    </xdr:sp>
    <xdr:clientData/>
  </xdr:twoCellAnchor>
  <xdr:twoCellAnchor editAs="twoCell">
    <xdr:from>
      <xdr:col>25</xdr:col>
      <xdr:colOff>354600</xdr:colOff>
      <xdr:row>54</xdr:row>
      <xdr:rowOff>24480</xdr:rowOff>
    </xdr:from>
    <xdr:to>
      <xdr:col>29</xdr:col>
      <xdr:colOff>690840</xdr:colOff>
      <xdr:row>54</xdr:row>
      <xdr:rowOff>24480</xdr:rowOff>
    </xdr:to>
    <xdr:sp>
      <xdr:nvSpPr>
        <xdr:cNvPr id="1900" name="Line 205"/>
        <xdr:cNvSpPr/>
      </xdr:nvSpPr>
      <xdr:spPr>
        <a:xfrm>
          <a:off x="21900240" y="10511640"/>
          <a:ext cx="3688920" cy="0"/>
        </a:xfrm>
        <a:prstGeom prst="line">
          <a:avLst/>
        </a:prstGeom>
        <a:ln w="25400">
          <a:solidFill>
            <a:srgbClr val="0000ff"/>
          </a:solidFill>
          <a:round/>
        </a:ln>
      </xdr:spPr>
      <xdr:style>
        <a:lnRef idx="0"/>
        <a:fillRef idx="0"/>
        <a:effectRef idx="0"/>
        <a:fontRef idx="minor"/>
      </xdr:style>
    </xdr:sp>
    <xdr:clientData/>
  </xdr:twoCellAnchor>
  <xdr:twoCellAnchor editAs="twoCell">
    <xdr:from>
      <xdr:col>24</xdr:col>
      <xdr:colOff>556560</xdr:colOff>
      <xdr:row>56</xdr:row>
      <xdr:rowOff>54720</xdr:rowOff>
    </xdr:from>
    <xdr:to>
      <xdr:col>25</xdr:col>
      <xdr:colOff>533160</xdr:colOff>
      <xdr:row>57</xdr:row>
      <xdr:rowOff>99000</xdr:rowOff>
    </xdr:to>
    <xdr:sp>
      <xdr:nvSpPr>
        <xdr:cNvPr id="1901" name="Text Box 138"/>
        <xdr:cNvSpPr/>
      </xdr:nvSpPr>
      <xdr:spPr>
        <a:xfrm>
          <a:off x="21263760" y="10922760"/>
          <a:ext cx="815040" cy="2347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3 x 100/70/30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220/110/34,5 kV</a:t>
          </a:r>
          <a:endParaRPr b="0" lang="en-GB" sz="600" spc="-1" strike="noStrike">
            <a:latin typeface="Times New Roman"/>
          </a:endParaRPr>
        </a:p>
      </xdr:txBody>
    </xdr:sp>
    <xdr:clientData/>
  </xdr:twoCellAnchor>
  <xdr:twoCellAnchor editAs="twoCell">
    <xdr:from>
      <xdr:col>24</xdr:col>
      <xdr:colOff>617040</xdr:colOff>
      <xdr:row>54</xdr:row>
      <xdr:rowOff>60120</xdr:rowOff>
    </xdr:from>
    <xdr:to>
      <xdr:col>25</xdr:col>
      <xdr:colOff>570240</xdr:colOff>
      <xdr:row>55</xdr:row>
      <xdr:rowOff>37080</xdr:rowOff>
    </xdr:to>
    <xdr:sp>
      <xdr:nvSpPr>
        <xdr:cNvPr id="1902" name="Text Box 188"/>
        <xdr:cNvSpPr/>
      </xdr:nvSpPr>
      <xdr:spPr>
        <a:xfrm>
          <a:off x="21324240" y="10547280"/>
          <a:ext cx="791640" cy="1674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Santa Marta 220 kV </a:t>
          </a:r>
          <a:endParaRPr b="0" lang="en-GB" sz="600" spc="-1" strike="noStrike">
            <a:latin typeface="Times New Roman"/>
          </a:endParaRPr>
        </a:p>
      </xdr:txBody>
    </xdr:sp>
    <xdr:clientData/>
  </xdr:twoCellAnchor>
  <xdr:twoCellAnchor editAs="twoCell">
    <xdr:from>
      <xdr:col>25</xdr:col>
      <xdr:colOff>55800</xdr:colOff>
      <xdr:row>60</xdr:row>
      <xdr:rowOff>70200</xdr:rowOff>
    </xdr:from>
    <xdr:to>
      <xdr:col>30</xdr:col>
      <xdr:colOff>110520</xdr:colOff>
      <xdr:row>60</xdr:row>
      <xdr:rowOff>70200</xdr:rowOff>
    </xdr:to>
    <xdr:sp>
      <xdr:nvSpPr>
        <xdr:cNvPr id="1903" name="Line 38"/>
        <xdr:cNvSpPr/>
      </xdr:nvSpPr>
      <xdr:spPr>
        <a:xfrm>
          <a:off x="21601440" y="11700360"/>
          <a:ext cx="4245480" cy="0"/>
        </a:xfrm>
        <a:prstGeom prst="line">
          <a:avLst/>
        </a:prstGeom>
        <a:ln w="25400">
          <a:solidFill>
            <a:srgbClr val="ffc000"/>
          </a:solidFill>
          <a:round/>
        </a:ln>
      </xdr:spPr>
      <xdr:style>
        <a:lnRef idx="0"/>
        <a:fillRef idx="0"/>
        <a:effectRef idx="0"/>
        <a:fontRef idx="minor"/>
      </xdr:style>
    </xdr:sp>
    <xdr:clientData/>
  </xdr:twoCellAnchor>
  <xdr:twoCellAnchor editAs="twoCell">
    <xdr:from>
      <xdr:col>25</xdr:col>
      <xdr:colOff>298080</xdr:colOff>
      <xdr:row>60</xdr:row>
      <xdr:rowOff>73800</xdr:rowOff>
    </xdr:from>
    <xdr:to>
      <xdr:col>25</xdr:col>
      <xdr:colOff>298080</xdr:colOff>
      <xdr:row>63</xdr:row>
      <xdr:rowOff>122400</xdr:rowOff>
    </xdr:to>
    <xdr:sp>
      <xdr:nvSpPr>
        <xdr:cNvPr id="1904" name="Line 244"/>
        <xdr:cNvSpPr/>
      </xdr:nvSpPr>
      <xdr:spPr>
        <a:xfrm>
          <a:off x="21843720" y="11703960"/>
          <a:ext cx="0" cy="619920"/>
        </a:xfrm>
        <a:prstGeom prst="line">
          <a:avLst/>
        </a:prstGeom>
        <a:ln w="15875">
          <a:solidFill>
            <a:srgbClr val="ffc000"/>
          </a:solidFill>
          <a:round/>
        </a:ln>
      </xdr:spPr>
      <xdr:style>
        <a:lnRef idx="0"/>
        <a:fillRef idx="0"/>
        <a:effectRef idx="0"/>
        <a:fontRef idx="minor"/>
      </xdr:style>
    </xdr:sp>
    <xdr:clientData/>
  </xdr:twoCellAnchor>
  <xdr:twoCellAnchor editAs="twoCell">
    <xdr:from>
      <xdr:col>25</xdr:col>
      <xdr:colOff>281160</xdr:colOff>
      <xdr:row>60</xdr:row>
      <xdr:rowOff>111600</xdr:rowOff>
    </xdr:from>
    <xdr:to>
      <xdr:col>25</xdr:col>
      <xdr:colOff>321480</xdr:colOff>
      <xdr:row>60</xdr:row>
      <xdr:rowOff>151200</xdr:rowOff>
    </xdr:to>
    <xdr:sp>
      <xdr:nvSpPr>
        <xdr:cNvPr id="1905" name="455 Rectángulo redondeado"/>
        <xdr:cNvSpPr/>
      </xdr:nvSpPr>
      <xdr:spPr>
        <a:xfrm>
          <a:off x="21826800" y="1174176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25</xdr:col>
      <xdr:colOff>722880</xdr:colOff>
      <xdr:row>59</xdr:row>
      <xdr:rowOff>3600</xdr:rowOff>
    </xdr:from>
    <xdr:to>
      <xdr:col>29</xdr:col>
      <xdr:colOff>603000</xdr:colOff>
      <xdr:row>59</xdr:row>
      <xdr:rowOff>3600</xdr:rowOff>
    </xdr:to>
    <xdr:sp>
      <xdr:nvSpPr>
        <xdr:cNvPr id="1906" name="Line 244"/>
        <xdr:cNvSpPr/>
      </xdr:nvSpPr>
      <xdr:spPr>
        <a:xfrm>
          <a:off x="22268520" y="11442960"/>
          <a:ext cx="3232800" cy="0"/>
        </a:xfrm>
        <a:prstGeom prst="line">
          <a:avLst/>
        </a:prstGeom>
        <a:ln w="15875">
          <a:solidFill>
            <a:srgbClr val="ff0000"/>
          </a:solidFill>
          <a:round/>
        </a:ln>
      </xdr:spPr>
      <xdr:style>
        <a:lnRef idx="0"/>
        <a:fillRef idx="0"/>
        <a:effectRef idx="0"/>
        <a:fontRef idx="minor"/>
      </xdr:style>
    </xdr:sp>
    <xdr:clientData/>
  </xdr:twoCellAnchor>
  <xdr:twoCellAnchor editAs="twoCell">
    <xdr:from>
      <xdr:col>25</xdr:col>
      <xdr:colOff>759240</xdr:colOff>
      <xdr:row>58</xdr:row>
      <xdr:rowOff>174960</xdr:rowOff>
    </xdr:from>
    <xdr:to>
      <xdr:col>26</xdr:col>
      <xdr:colOff>37440</xdr:colOff>
      <xdr:row>59</xdr:row>
      <xdr:rowOff>23760</xdr:rowOff>
    </xdr:to>
    <xdr:sp>
      <xdr:nvSpPr>
        <xdr:cNvPr id="1907" name="455 Rectángulo redondeado"/>
        <xdr:cNvSpPr/>
      </xdr:nvSpPr>
      <xdr:spPr>
        <a:xfrm rot="16200000">
          <a:off x="22343400" y="11385360"/>
          <a:ext cx="39240" cy="11628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25</xdr:col>
      <xdr:colOff>441720</xdr:colOff>
      <xdr:row>58</xdr:row>
      <xdr:rowOff>3600</xdr:rowOff>
    </xdr:from>
    <xdr:to>
      <xdr:col>25</xdr:col>
      <xdr:colOff>721080</xdr:colOff>
      <xdr:row>59</xdr:row>
      <xdr:rowOff>123120</xdr:rowOff>
    </xdr:to>
    <xdr:grpSp>
      <xdr:nvGrpSpPr>
        <xdr:cNvPr id="1908" name="Grupo 494"/>
        <xdr:cNvGrpSpPr/>
      </xdr:nvGrpSpPr>
      <xdr:grpSpPr>
        <a:xfrm>
          <a:off x="21987360" y="11252520"/>
          <a:ext cx="279360" cy="309960"/>
          <a:chOff x="21987360" y="11252520"/>
          <a:chExt cx="279360" cy="309960"/>
        </a:xfrm>
      </xdr:grpSpPr>
      <xdr:sp>
        <xdr:nvSpPr>
          <xdr:cNvPr id="1909" name="Oval 40"/>
          <xdr:cNvSpPr/>
        </xdr:nvSpPr>
        <xdr:spPr>
          <a:xfrm rot="10800000">
            <a:off x="21987360" y="11355120"/>
            <a:ext cx="175320" cy="207360"/>
          </a:xfrm>
          <a:prstGeom prst="ellipse">
            <a:avLst/>
          </a:prstGeom>
          <a:noFill/>
          <a:ln w="12700">
            <a:solidFill>
              <a:srgbClr val="ffc000"/>
            </a:solidFill>
            <a:round/>
          </a:ln>
        </xdr:spPr>
        <xdr:style>
          <a:lnRef idx="0"/>
          <a:fillRef idx="0"/>
          <a:effectRef idx="0"/>
          <a:fontRef idx="minor"/>
        </xdr:style>
      </xdr:sp>
      <xdr:sp>
        <xdr:nvSpPr>
          <xdr:cNvPr id="1910" name="Oval 41"/>
          <xdr:cNvSpPr/>
        </xdr:nvSpPr>
        <xdr:spPr>
          <a:xfrm rot="10800000">
            <a:off x="21987360" y="11252520"/>
            <a:ext cx="175320" cy="207360"/>
          </a:xfrm>
          <a:prstGeom prst="ellipse">
            <a:avLst/>
          </a:prstGeom>
          <a:noFill/>
          <a:ln w="12700">
            <a:solidFill>
              <a:srgbClr val="0000ff"/>
            </a:solidFill>
            <a:round/>
          </a:ln>
        </xdr:spPr>
        <xdr:style>
          <a:lnRef idx="0"/>
          <a:fillRef idx="0"/>
          <a:effectRef idx="0"/>
          <a:fontRef idx="minor"/>
        </xdr:style>
      </xdr:sp>
      <xdr:sp>
        <xdr:nvSpPr>
          <xdr:cNvPr id="1911" name="Oval 63"/>
          <xdr:cNvSpPr/>
        </xdr:nvSpPr>
        <xdr:spPr>
          <a:xfrm>
            <a:off x="22092120" y="11329200"/>
            <a:ext cx="174600" cy="206640"/>
          </a:xfrm>
          <a:prstGeom prst="ellipse">
            <a:avLst/>
          </a:prstGeom>
          <a:noFill/>
          <a:ln w="12700">
            <a:solidFill>
              <a:srgbClr val="ff0000"/>
            </a:solidFill>
            <a:round/>
          </a:ln>
        </xdr:spPr>
        <xdr:style>
          <a:lnRef idx="0"/>
          <a:fillRef idx="0"/>
          <a:effectRef idx="0"/>
          <a:fontRef idx="minor"/>
        </xdr:style>
      </xdr:sp>
    </xdr:grpSp>
    <xdr:clientData/>
  </xdr:twoCellAnchor>
  <xdr:twoCellAnchor editAs="twoCell">
    <xdr:from>
      <xdr:col>25</xdr:col>
      <xdr:colOff>524880</xdr:colOff>
      <xdr:row>59</xdr:row>
      <xdr:rowOff>124200</xdr:rowOff>
    </xdr:from>
    <xdr:to>
      <xdr:col>25</xdr:col>
      <xdr:colOff>524880</xdr:colOff>
      <xdr:row>60</xdr:row>
      <xdr:rowOff>63000</xdr:rowOff>
    </xdr:to>
    <xdr:sp>
      <xdr:nvSpPr>
        <xdr:cNvPr id="1912" name="Line 100"/>
        <xdr:cNvSpPr/>
      </xdr:nvSpPr>
      <xdr:spPr>
        <a:xfrm>
          <a:off x="22070520" y="11563560"/>
          <a:ext cx="0" cy="129600"/>
        </a:xfrm>
        <a:prstGeom prst="line">
          <a:avLst/>
        </a:prstGeom>
        <a:ln w="15875">
          <a:solidFill>
            <a:srgbClr val="ffc000"/>
          </a:solidFill>
          <a:round/>
        </a:ln>
      </xdr:spPr>
      <xdr:style>
        <a:lnRef idx="0"/>
        <a:fillRef idx="0"/>
        <a:effectRef idx="0"/>
        <a:fontRef idx="minor"/>
      </xdr:style>
    </xdr:sp>
    <xdr:clientData/>
  </xdr:twoCellAnchor>
  <xdr:twoCellAnchor editAs="twoCell">
    <xdr:from>
      <xdr:col>25</xdr:col>
      <xdr:colOff>504000</xdr:colOff>
      <xdr:row>59</xdr:row>
      <xdr:rowOff>160920</xdr:rowOff>
    </xdr:from>
    <xdr:to>
      <xdr:col>25</xdr:col>
      <xdr:colOff>543960</xdr:colOff>
      <xdr:row>60</xdr:row>
      <xdr:rowOff>9720</xdr:rowOff>
    </xdr:to>
    <xdr:sp>
      <xdr:nvSpPr>
        <xdr:cNvPr id="1913" name="455 Rectángulo redondeado"/>
        <xdr:cNvSpPr/>
      </xdr:nvSpPr>
      <xdr:spPr>
        <a:xfrm>
          <a:off x="22049640" y="11600280"/>
          <a:ext cx="3996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25</xdr:col>
      <xdr:colOff>532080</xdr:colOff>
      <xdr:row>54</xdr:row>
      <xdr:rowOff>30600</xdr:rowOff>
    </xdr:from>
    <xdr:to>
      <xdr:col>25</xdr:col>
      <xdr:colOff>532080</xdr:colOff>
      <xdr:row>57</xdr:row>
      <xdr:rowOff>189360</xdr:rowOff>
    </xdr:to>
    <xdr:sp>
      <xdr:nvSpPr>
        <xdr:cNvPr id="1914" name="Line 206"/>
        <xdr:cNvSpPr/>
      </xdr:nvSpPr>
      <xdr:spPr>
        <a:xfrm>
          <a:off x="22077720" y="10517760"/>
          <a:ext cx="0" cy="730080"/>
        </a:xfrm>
        <a:prstGeom prst="line">
          <a:avLst/>
        </a:prstGeom>
        <a:ln w="25400">
          <a:solidFill>
            <a:srgbClr val="0000ff"/>
          </a:solidFill>
          <a:round/>
        </a:ln>
      </xdr:spPr>
      <xdr:style>
        <a:lnRef idx="0"/>
        <a:fillRef idx="0"/>
        <a:effectRef idx="0"/>
        <a:fontRef idx="minor"/>
      </xdr:style>
    </xdr:sp>
    <xdr:clientData/>
  </xdr:twoCellAnchor>
  <xdr:twoCellAnchor editAs="twoCell">
    <xdr:from>
      <xdr:col>25</xdr:col>
      <xdr:colOff>512280</xdr:colOff>
      <xdr:row>57</xdr:row>
      <xdr:rowOff>91800</xdr:rowOff>
    </xdr:from>
    <xdr:to>
      <xdr:col>25</xdr:col>
      <xdr:colOff>552240</xdr:colOff>
      <xdr:row>57</xdr:row>
      <xdr:rowOff>131400</xdr:rowOff>
    </xdr:to>
    <xdr:sp>
      <xdr:nvSpPr>
        <xdr:cNvPr id="1915" name="452 Rectángulo redondeado"/>
        <xdr:cNvSpPr/>
      </xdr:nvSpPr>
      <xdr:spPr>
        <a:xfrm>
          <a:off x="22057920" y="11150280"/>
          <a:ext cx="39960" cy="39600"/>
        </a:xfrm>
        <a:prstGeom prst="roundRect">
          <a:avLst>
            <a:gd name="adj" fmla="val 16667"/>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24</xdr:col>
      <xdr:colOff>666000</xdr:colOff>
      <xdr:row>61</xdr:row>
      <xdr:rowOff>129960</xdr:rowOff>
    </xdr:from>
    <xdr:to>
      <xdr:col>25</xdr:col>
      <xdr:colOff>385560</xdr:colOff>
      <xdr:row>62</xdr:row>
      <xdr:rowOff>60840</xdr:rowOff>
    </xdr:to>
    <xdr:sp>
      <xdr:nvSpPr>
        <xdr:cNvPr id="1916" name="Text Box 188"/>
        <xdr:cNvSpPr/>
      </xdr:nvSpPr>
      <xdr:spPr>
        <a:xfrm>
          <a:off x="21373200" y="11950560"/>
          <a:ext cx="55800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LN-5138</a:t>
          </a:r>
          <a:endParaRPr b="0" lang="en-GB" sz="600" spc="-1" strike="noStrike">
            <a:latin typeface="Times New Roman"/>
          </a:endParaRPr>
        </a:p>
      </xdr:txBody>
    </xdr:sp>
    <xdr:clientData/>
  </xdr:twoCellAnchor>
  <xdr:twoCellAnchor editAs="twoCell">
    <xdr:from>
      <xdr:col>24</xdr:col>
      <xdr:colOff>588240</xdr:colOff>
      <xdr:row>59</xdr:row>
      <xdr:rowOff>21960</xdr:rowOff>
    </xdr:from>
    <xdr:to>
      <xdr:col>25</xdr:col>
      <xdr:colOff>433080</xdr:colOff>
      <xdr:row>60</xdr:row>
      <xdr:rowOff>43200</xdr:rowOff>
    </xdr:to>
    <xdr:sp>
      <xdr:nvSpPr>
        <xdr:cNvPr id="1917" name="Text Box 188"/>
        <xdr:cNvSpPr/>
      </xdr:nvSpPr>
      <xdr:spPr>
        <a:xfrm>
          <a:off x="21295440" y="11461320"/>
          <a:ext cx="683280" cy="2120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Santa Marta 34,5 kV</a:t>
          </a:r>
          <a:endParaRPr b="0" lang="en-GB" sz="600" spc="-1" strike="noStrike">
            <a:latin typeface="Times New Roman"/>
          </a:endParaRPr>
        </a:p>
      </xdr:txBody>
    </xdr:sp>
    <xdr:clientData/>
  </xdr:twoCellAnchor>
  <xdr:twoCellAnchor editAs="twoCell">
    <xdr:from>
      <xdr:col>29</xdr:col>
      <xdr:colOff>597600</xdr:colOff>
      <xdr:row>55</xdr:row>
      <xdr:rowOff>75600</xdr:rowOff>
    </xdr:from>
    <xdr:to>
      <xdr:col>29</xdr:col>
      <xdr:colOff>597600</xdr:colOff>
      <xdr:row>59</xdr:row>
      <xdr:rowOff>86040</xdr:rowOff>
    </xdr:to>
    <xdr:sp>
      <xdr:nvSpPr>
        <xdr:cNvPr id="1918" name="Line 99"/>
        <xdr:cNvSpPr/>
      </xdr:nvSpPr>
      <xdr:spPr>
        <a:xfrm>
          <a:off x="25495920" y="10753200"/>
          <a:ext cx="0" cy="772200"/>
        </a:xfrm>
        <a:prstGeom prst="line">
          <a:avLst/>
        </a:prstGeom>
        <a:ln w="25400">
          <a:solidFill>
            <a:srgbClr val="ff0000"/>
          </a:solidFill>
          <a:round/>
        </a:ln>
      </xdr:spPr>
      <xdr:style>
        <a:lnRef idx="0"/>
        <a:fillRef idx="0"/>
        <a:effectRef idx="0"/>
        <a:fontRef idx="minor"/>
      </xdr:style>
    </xdr:sp>
    <xdr:clientData/>
  </xdr:twoCellAnchor>
  <xdr:twoCellAnchor editAs="twoCell">
    <xdr:from>
      <xdr:col>29</xdr:col>
      <xdr:colOff>675720</xdr:colOff>
      <xdr:row>55</xdr:row>
      <xdr:rowOff>135720</xdr:rowOff>
    </xdr:from>
    <xdr:to>
      <xdr:col>30</xdr:col>
      <xdr:colOff>602280</xdr:colOff>
      <xdr:row>56</xdr:row>
      <xdr:rowOff>46080</xdr:rowOff>
    </xdr:to>
    <xdr:sp>
      <xdr:nvSpPr>
        <xdr:cNvPr id="1919" name="Text Box 188"/>
        <xdr:cNvSpPr/>
      </xdr:nvSpPr>
      <xdr:spPr>
        <a:xfrm>
          <a:off x="25574040" y="10813320"/>
          <a:ext cx="764640" cy="1008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Santa Marta 110 kV </a:t>
          </a:r>
          <a:endParaRPr b="0" lang="en-GB" sz="600" spc="-1" strike="noStrike">
            <a:latin typeface="Times New Roman"/>
          </a:endParaRPr>
        </a:p>
      </xdr:txBody>
    </xdr:sp>
    <xdr:clientData/>
  </xdr:twoCellAnchor>
  <xdr:twoCellAnchor editAs="twoCell">
    <xdr:from>
      <xdr:col>24</xdr:col>
      <xdr:colOff>414360</xdr:colOff>
      <xdr:row>63</xdr:row>
      <xdr:rowOff>2520</xdr:rowOff>
    </xdr:from>
    <xdr:to>
      <xdr:col>25</xdr:col>
      <xdr:colOff>109080</xdr:colOff>
      <xdr:row>64</xdr:row>
      <xdr:rowOff>45000</xdr:rowOff>
    </xdr:to>
    <xdr:sp>
      <xdr:nvSpPr>
        <xdr:cNvPr id="1920" name="Text Box 188"/>
        <xdr:cNvSpPr/>
      </xdr:nvSpPr>
      <xdr:spPr>
        <a:xfrm>
          <a:off x="21121560" y="12204000"/>
          <a:ext cx="53316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Bonda 34,5 kV</a:t>
          </a:r>
          <a:endParaRPr b="0" lang="en-GB" sz="600" spc="-1" strike="noStrike">
            <a:latin typeface="Times New Roman"/>
          </a:endParaRPr>
        </a:p>
      </xdr:txBody>
    </xdr:sp>
    <xdr:clientData/>
  </xdr:twoCellAnchor>
  <xdr:twoCellAnchor editAs="twoCell">
    <xdr:from>
      <xdr:col>25</xdr:col>
      <xdr:colOff>144000</xdr:colOff>
      <xdr:row>63</xdr:row>
      <xdr:rowOff>133560</xdr:rowOff>
    </xdr:from>
    <xdr:to>
      <xdr:col>26</xdr:col>
      <xdr:colOff>79560</xdr:colOff>
      <xdr:row>63</xdr:row>
      <xdr:rowOff>133560</xdr:rowOff>
    </xdr:to>
    <xdr:sp>
      <xdr:nvSpPr>
        <xdr:cNvPr id="1921" name="Line 38"/>
        <xdr:cNvSpPr/>
      </xdr:nvSpPr>
      <xdr:spPr>
        <a:xfrm>
          <a:off x="21689640" y="12335040"/>
          <a:ext cx="773640" cy="0"/>
        </a:xfrm>
        <a:prstGeom prst="line">
          <a:avLst/>
        </a:prstGeom>
        <a:ln w="25400">
          <a:solidFill>
            <a:srgbClr val="ffc000"/>
          </a:solidFill>
          <a:round/>
        </a:ln>
      </xdr:spPr>
      <xdr:style>
        <a:lnRef idx="0"/>
        <a:fillRef idx="0"/>
        <a:effectRef idx="0"/>
        <a:fontRef idx="minor"/>
      </xdr:style>
    </xdr:sp>
    <xdr:clientData/>
  </xdr:twoCellAnchor>
  <xdr:twoCellAnchor editAs="twoCell">
    <xdr:from>
      <xdr:col>25</xdr:col>
      <xdr:colOff>277920</xdr:colOff>
      <xdr:row>63</xdr:row>
      <xdr:rowOff>57600</xdr:rowOff>
    </xdr:from>
    <xdr:to>
      <xdr:col>25</xdr:col>
      <xdr:colOff>318240</xdr:colOff>
      <xdr:row>63</xdr:row>
      <xdr:rowOff>97200</xdr:rowOff>
    </xdr:to>
    <xdr:sp>
      <xdr:nvSpPr>
        <xdr:cNvPr id="1922" name="455 Rectángulo redondeado"/>
        <xdr:cNvSpPr/>
      </xdr:nvSpPr>
      <xdr:spPr>
        <a:xfrm>
          <a:off x="21823560" y="1225908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25</xdr:col>
      <xdr:colOff>186480</xdr:colOff>
      <xdr:row>63</xdr:row>
      <xdr:rowOff>143280</xdr:rowOff>
    </xdr:from>
    <xdr:to>
      <xdr:col>26</xdr:col>
      <xdr:colOff>76680</xdr:colOff>
      <xdr:row>66</xdr:row>
      <xdr:rowOff>174960</xdr:rowOff>
    </xdr:to>
    <xdr:grpSp>
      <xdr:nvGrpSpPr>
        <xdr:cNvPr id="1923" name="Grupo 509"/>
        <xdr:cNvGrpSpPr/>
      </xdr:nvGrpSpPr>
      <xdr:grpSpPr>
        <a:xfrm>
          <a:off x="21732120" y="12344760"/>
          <a:ext cx="728280" cy="603360"/>
          <a:chOff x="21732120" y="12344760"/>
          <a:chExt cx="728280" cy="603360"/>
        </a:xfrm>
      </xdr:grpSpPr>
      <xdr:sp>
        <xdr:nvSpPr>
          <xdr:cNvPr id="1924" name="Oval 40"/>
          <xdr:cNvSpPr/>
        </xdr:nvSpPr>
        <xdr:spPr>
          <a:xfrm rot="10800000">
            <a:off x="21766680" y="12591720"/>
            <a:ext cx="199080" cy="209160"/>
          </a:xfrm>
          <a:prstGeom prst="ellipse">
            <a:avLst/>
          </a:prstGeom>
          <a:noFill/>
          <a:ln w="12700">
            <a:solidFill>
              <a:srgbClr val="000000"/>
            </a:solidFill>
            <a:round/>
          </a:ln>
        </xdr:spPr>
        <xdr:style>
          <a:lnRef idx="0"/>
          <a:fillRef idx="0"/>
          <a:effectRef idx="0"/>
          <a:fontRef idx="minor"/>
        </xdr:style>
      </xdr:sp>
      <xdr:sp>
        <xdr:nvSpPr>
          <xdr:cNvPr id="1925" name="Oval 41"/>
          <xdr:cNvSpPr/>
        </xdr:nvSpPr>
        <xdr:spPr>
          <a:xfrm rot="10800000">
            <a:off x="21763440" y="12480120"/>
            <a:ext cx="199080" cy="209160"/>
          </a:xfrm>
          <a:prstGeom prst="ellipse">
            <a:avLst/>
          </a:prstGeom>
          <a:noFill/>
          <a:ln w="12700">
            <a:solidFill>
              <a:srgbClr val="ffc000"/>
            </a:solidFill>
            <a:round/>
          </a:ln>
        </xdr:spPr>
        <xdr:style>
          <a:lnRef idx="0"/>
          <a:fillRef idx="0"/>
          <a:effectRef idx="0"/>
          <a:fontRef idx="minor"/>
        </xdr:style>
      </xdr:sp>
      <xdr:sp>
        <xdr:nvSpPr>
          <xdr:cNvPr id="1926" name="Line 206"/>
          <xdr:cNvSpPr/>
        </xdr:nvSpPr>
        <xdr:spPr>
          <a:xfrm>
            <a:off x="21857760" y="12344760"/>
            <a:ext cx="360" cy="132120"/>
          </a:xfrm>
          <a:prstGeom prst="line">
            <a:avLst/>
          </a:prstGeom>
          <a:ln w="15875">
            <a:solidFill>
              <a:srgbClr val="ffc000"/>
            </a:solidFill>
            <a:round/>
          </a:ln>
        </xdr:spPr>
        <xdr:style>
          <a:lnRef idx="0"/>
          <a:fillRef idx="0"/>
          <a:effectRef idx="0"/>
          <a:fontRef idx="minor"/>
        </xdr:style>
      </xdr:sp>
      <xdr:sp>
        <xdr:nvSpPr>
          <xdr:cNvPr id="1927" name="452 Rectángulo redondeado"/>
          <xdr:cNvSpPr/>
        </xdr:nvSpPr>
        <xdr:spPr>
          <a:xfrm>
            <a:off x="21835080" y="12380400"/>
            <a:ext cx="4572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928" name="Line 99"/>
          <xdr:cNvSpPr/>
        </xdr:nvSpPr>
        <xdr:spPr>
          <a:xfrm>
            <a:off x="21732120" y="12942720"/>
            <a:ext cx="728280" cy="360"/>
          </a:xfrm>
          <a:prstGeom prst="line">
            <a:avLst/>
          </a:prstGeom>
          <a:ln w="25400">
            <a:solidFill>
              <a:srgbClr val="000000"/>
            </a:solidFill>
            <a:round/>
          </a:ln>
        </xdr:spPr>
        <xdr:style>
          <a:lnRef idx="0"/>
          <a:fillRef idx="0"/>
          <a:effectRef idx="0"/>
          <a:fontRef idx="minor"/>
        </xdr:style>
      </xdr:sp>
      <xdr:sp>
        <xdr:nvSpPr>
          <xdr:cNvPr id="1929" name="Line 280"/>
          <xdr:cNvSpPr/>
        </xdr:nvSpPr>
        <xdr:spPr>
          <a:xfrm>
            <a:off x="21865320" y="12802680"/>
            <a:ext cx="360" cy="145440"/>
          </a:xfrm>
          <a:prstGeom prst="line">
            <a:avLst/>
          </a:prstGeom>
          <a:ln w="15875">
            <a:solidFill>
              <a:srgbClr val="000000"/>
            </a:solidFill>
            <a:round/>
          </a:ln>
        </xdr:spPr>
        <xdr:style>
          <a:lnRef idx="0"/>
          <a:fillRef idx="0"/>
          <a:effectRef idx="0"/>
          <a:fontRef idx="minor"/>
        </xdr:style>
      </xdr:sp>
      <xdr:sp>
        <xdr:nvSpPr>
          <xdr:cNvPr id="1930" name="455 Rectángulo redondeado"/>
          <xdr:cNvSpPr/>
        </xdr:nvSpPr>
        <xdr:spPr>
          <a:xfrm rot="5400000">
            <a:off x="21847680" y="12848040"/>
            <a:ext cx="39960" cy="457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24</xdr:col>
      <xdr:colOff>385920</xdr:colOff>
      <xdr:row>64</xdr:row>
      <xdr:rowOff>132480</xdr:rowOff>
    </xdr:from>
    <xdr:to>
      <xdr:col>25</xdr:col>
      <xdr:colOff>256680</xdr:colOff>
      <xdr:row>66</xdr:row>
      <xdr:rowOff>1440</xdr:rowOff>
    </xdr:to>
    <xdr:sp>
      <xdr:nvSpPr>
        <xdr:cNvPr id="1931" name="61 CuadroTexto"/>
        <xdr:cNvSpPr/>
      </xdr:nvSpPr>
      <xdr:spPr>
        <a:xfrm>
          <a:off x="21093120" y="12524400"/>
          <a:ext cx="70920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12,5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clientData/>
  </xdr:twoCellAnchor>
  <xdr:twoCellAnchor editAs="twoCell">
    <xdr:from>
      <xdr:col>24</xdr:col>
      <xdr:colOff>423720</xdr:colOff>
      <xdr:row>66</xdr:row>
      <xdr:rowOff>86760</xdr:rowOff>
    </xdr:from>
    <xdr:to>
      <xdr:col>25</xdr:col>
      <xdr:colOff>207000</xdr:colOff>
      <xdr:row>67</xdr:row>
      <xdr:rowOff>129240</xdr:rowOff>
    </xdr:to>
    <xdr:sp>
      <xdr:nvSpPr>
        <xdr:cNvPr id="1932" name="Text Box 188"/>
        <xdr:cNvSpPr/>
      </xdr:nvSpPr>
      <xdr:spPr>
        <a:xfrm>
          <a:off x="21130920" y="12859920"/>
          <a:ext cx="62172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Bonda 13,8 kV</a:t>
          </a:r>
          <a:endParaRPr b="0" lang="en-GB" sz="600" spc="-1" strike="noStrike">
            <a:latin typeface="Times New Roman"/>
          </a:endParaRPr>
        </a:p>
      </xdr:txBody>
    </xdr:sp>
    <xdr:clientData/>
  </xdr:twoCellAnchor>
  <xdr:twoCellAnchor editAs="twoCell">
    <xdr:from>
      <xdr:col>27</xdr:col>
      <xdr:colOff>124200</xdr:colOff>
      <xdr:row>63</xdr:row>
      <xdr:rowOff>183960</xdr:rowOff>
    </xdr:from>
    <xdr:to>
      <xdr:col>27</xdr:col>
      <xdr:colOff>639000</xdr:colOff>
      <xdr:row>65</xdr:row>
      <xdr:rowOff>36000</xdr:rowOff>
    </xdr:to>
    <xdr:sp>
      <xdr:nvSpPr>
        <xdr:cNvPr id="1933" name="Text Box 188"/>
        <xdr:cNvSpPr/>
      </xdr:nvSpPr>
      <xdr:spPr>
        <a:xfrm>
          <a:off x="23346000" y="12385440"/>
          <a:ext cx="51480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Santa Marta 13,8 kV</a:t>
          </a:r>
          <a:endParaRPr b="0" lang="en-GB" sz="600" spc="-1" strike="noStrike">
            <a:latin typeface="Times New Roman"/>
          </a:endParaRPr>
        </a:p>
      </xdr:txBody>
    </xdr:sp>
    <xdr:clientData/>
  </xdr:twoCellAnchor>
  <xdr:twoCellAnchor editAs="twoCell">
    <xdr:from>
      <xdr:col>27</xdr:col>
      <xdr:colOff>610560</xdr:colOff>
      <xdr:row>60</xdr:row>
      <xdr:rowOff>75600</xdr:rowOff>
    </xdr:from>
    <xdr:to>
      <xdr:col>29</xdr:col>
      <xdr:colOff>369720</xdr:colOff>
      <xdr:row>64</xdr:row>
      <xdr:rowOff>173880</xdr:rowOff>
    </xdr:to>
    <xdr:grpSp>
      <xdr:nvGrpSpPr>
        <xdr:cNvPr id="1934" name="Grupo 520"/>
        <xdr:cNvGrpSpPr/>
      </xdr:nvGrpSpPr>
      <xdr:grpSpPr>
        <a:xfrm>
          <a:off x="23832360" y="11705760"/>
          <a:ext cx="1435680" cy="860040"/>
          <a:chOff x="23832360" y="11705760"/>
          <a:chExt cx="1435680" cy="860040"/>
        </a:xfrm>
      </xdr:grpSpPr>
      <xdr:grpSp>
        <xdr:nvGrpSpPr>
          <xdr:cNvPr id="1935" name="Grupo 521"/>
          <xdr:cNvGrpSpPr/>
        </xdr:nvGrpSpPr>
        <xdr:grpSpPr>
          <a:xfrm>
            <a:off x="23832360" y="11705760"/>
            <a:ext cx="540000" cy="860040"/>
            <a:chOff x="23832360" y="11705760"/>
            <a:chExt cx="540000" cy="860040"/>
          </a:xfrm>
        </xdr:grpSpPr>
        <xdr:sp>
          <xdr:nvSpPr>
            <xdr:cNvPr id="1936" name="Oval 40"/>
            <xdr:cNvSpPr/>
          </xdr:nvSpPr>
          <xdr:spPr>
            <a:xfrm rot="10800000">
              <a:off x="23866920" y="11952720"/>
              <a:ext cx="199440" cy="209160"/>
            </a:xfrm>
            <a:prstGeom prst="ellipse">
              <a:avLst/>
            </a:prstGeom>
            <a:noFill/>
            <a:ln w="12700">
              <a:solidFill>
                <a:srgbClr val="000000"/>
              </a:solidFill>
              <a:round/>
            </a:ln>
          </xdr:spPr>
          <xdr:style>
            <a:lnRef idx="0"/>
            <a:fillRef idx="0"/>
            <a:effectRef idx="0"/>
            <a:fontRef idx="minor"/>
          </xdr:style>
        </xdr:sp>
        <xdr:sp>
          <xdr:nvSpPr>
            <xdr:cNvPr id="1937" name="Oval 41"/>
            <xdr:cNvSpPr/>
          </xdr:nvSpPr>
          <xdr:spPr>
            <a:xfrm rot="10800000">
              <a:off x="23864040" y="11841120"/>
              <a:ext cx="199440" cy="209160"/>
            </a:xfrm>
            <a:prstGeom prst="ellipse">
              <a:avLst/>
            </a:prstGeom>
            <a:noFill/>
            <a:ln w="12700">
              <a:solidFill>
                <a:srgbClr val="ffc000"/>
              </a:solidFill>
              <a:round/>
            </a:ln>
          </xdr:spPr>
          <xdr:style>
            <a:lnRef idx="0"/>
            <a:fillRef idx="0"/>
            <a:effectRef idx="0"/>
            <a:fontRef idx="minor"/>
          </xdr:style>
        </xdr:sp>
        <xdr:sp>
          <xdr:nvSpPr>
            <xdr:cNvPr id="1938" name="Line 206"/>
            <xdr:cNvSpPr/>
          </xdr:nvSpPr>
          <xdr:spPr>
            <a:xfrm>
              <a:off x="23958000" y="11705760"/>
              <a:ext cx="360" cy="132120"/>
            </a:xfrm>
            <a:prstGeom prst="line">
              <a:avLst/>
            </a:prstGeom>
            <a:ln w="15875">
              <a:solidFill>
                <a:srgbClr val="ffc000"/>
              </a:solidFill>
              <a:round/>
            </a:ln>
          </xdr:spPr>
          <xdr:style>
            <a:lnRef idx="0"/>
            <a:fillRef idx="0"/>
            <a:effectRef idx="0"/>
            <a:fontRef idx="minor"/>
          </xdr:style>
        </xdr:sp>
        <xdr:sp>
          <xdr:nvSpPr>
            <xdr:cNvPr id="1939" name="452 Rectángulo redondeado"/>
            <xdr:cNvSpPr/>
          </xdr:nvSpPr>
          <xdr:spPr>
            <a:xfrm>
              <a:off x="23935320" y="11741400"/>
              <a:ext cx="457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940" name="Line 99"/>
            <xdr:cNvSpPr/>
          </xdr:nvSpPr>
          <xdr:spPr>
            <a:xfrm>
              <a:off x="23832360" y="12303360"/>
              <a:ext cx="540000" cy="360"/>
            </a:xfrm>
            <a:prstGeom prst="line">
              <a:avLst/>
            </a:prstGeom>
            <a:ln w="25400">
              <a:solidFill>
                <a:srgbClr val="000000"/>
              </a:solidFill>
              <a:round/>
            </a:ln>
          </xdr:spPr>
          <xdr:style>
            <a:lnRef idx="0"/>
            <a:fillRef idx="0"/>
            <a:effectRef idx="0"/>
            <a:fontRef idx="minor"/>
          </xdr:style>
        </xdr:sp>
        <xdr:sp>
          <xdr:nvSpPr>
            <xdr:cNvPr id="1941" name="Line 280"/>
            <xdr:cNvSpPr/>
          </xdr:nvSpPr>
          <xdr:spPr>
            <a:xfrm>
              <a:off x="23965560" y="12163320"/>
              <a:ext cx="360" cy="402480"/>
            </a:xfrm>
            <a:prstGeom prst="line">
              <a:avLst/>
            </a:prstGeom>
            <a:ln w="15875">
              <a:solidFill>
                <a:srgbClr val="000000"/>
              </a:solidFill>
              <a:round/>
              <a:tailEnd len="med" type="triangle" w="med"/>
            </a:ln>
          </xdr:spPr>
          <xdr:style>
            <a:lnRef idx="0"/>
            <a:fillRef idx="0"/>
            <a:effectRef idx="0"/>
            <a:fontRef idx="minor"/>
          </xdr:style>
        </xdr:sp>
        <xdr:sp>
          <xdr:nvSpPr>
            <xdr:cNvPr id="1942" name="455 Rectángulo redondeado"/>
            <xdr:cNvSpPr/>
          </xdr:nvSpPr>
          <xdr:spPr>
            <a:xfrm rot="5400000">
              <a:off x="23945400" y="12341520"/>
              <a:ext cx="39960" cy="457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1943" name="455 Rectángulo redondeado"/>
            <xdr:cNvSpPr/>
          </xdr:nvSpPr>
          <xdr:spPr>
            <a:xfrm rot="5400000">
              <a:off x="23948280" y="12209040"/>
              <a:ext cx="39960" cy="457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grpSp>
        <xdr:nvGrpSpPr>
          <xdr:cNvPr id="1944" name="Grupo 522"/>
          <xdr:cNvGrpSpPr/>
        </xdr:nvGrpSpPr>
        <xdr:grpSpPr>
          <a:xfrm>
            <a:off x="24349680" y="11705760"/>
            <a:ext cx="918360" cy="860040"/>
            <a:chOff x="24349680" y="11705760"/>
            <a:chExt cx="918360" cy="860040"/>
          </a:xfrm>
        </xdr:grpSpPr>
        <xdr:grpSp>
          <xdr:nvGrpSpPr>
            <xdr:cNvPr id="1945" name="Grupo 525"/>
            <xdr:cNvGrpSpPr/>
          </xdr:nvGrpSpPr>
          <xdr:grpSpPr>
            <a:xfrm>
              <a:off x="24349680" y="11705760"/>
              <a:ext cx="424800" cy="860040"/>
              <a:chOff x="24349680" y="11705760"/>
              <a:chExt cx="424800" cy="860040"/>
            </a:xfrm>
          </xdr:grpSpPr>
          <xdr:sp>
            <xdr:nvSpPr>
              <xdr:cNvPr id="1946" name="Oval 40"/>
              <xdr:cNvSpPr/>
            </xdr:nvSpPr>
            <xdr:spPr>
              <a:xfrm rot="10800000">
                <a:off x="24383880" y="11952720"/>
                <a:ext cx="199440" cy="209160"/>
              </a:xfrm>
              <a:prstGeom prst="ellipse">
                <a:avLst/>
              </a:prstGeom>
              <a:noFill/>
              <a:ln w="12700">
                <a:solidFill>
                  <a:srgbClr val="000000"/>
                </a:solidFill>
                <a:round/>
              </a:ln>
            </xdr:spPr>
            <xdr:style>
              <a:lnRef idx="0"/>
              <a:fillRef idx="0"/>
              <a:effectRef idx="0"/>
              <a:fontRef idx="minor"/>
            </xdr:style>
          </xdr:sp>
          <xdr:sp>
            <xdr:nvSpPr>
              <xdr:cNvPr id="1947" name="Oval 41"/>
              <xdr:cNvSpPr/>
            </xdr:nvSpPr>
            <xdr:spPr>
              <a:xfrm rot="10800000">
                <a:off x="24381000" y="11840760"/>
                <a:ext cx="199440" cy="209160"/>
              </a:xfrm>
              <a:prstGeom prst="ellipse">
                <a:avLst/>
              </a:prstGeom>
              <a:noFill/>
              <a:ln w="12700">
                <a:solidFill>
                  <a:srgbClr val="ffc000"/>
                </a:solidFill>
                <a:round/>
              </a:ln>
            </xdr:spPr>
            <xdr:style>
              <a:lnRef idx="0"/>
              <a:fillRef idx="0"/>
              <a:effectRef idx="0"/>
              <a:fontRef idx="minor"/>
            </xdr:style>
          </xdr:sp>
          <xdr:sp>
            <xdr:nvSpPr>
              <xdr:cNvPr id="1948" name="Line 206"/>
              <xdr:cNvSpPr/>
            </xdr:nvSpPr>
            <xdr:spPr>
              <a:xfrm>
                <a:off x="24475320" y="11705760"/>
                <a:ext cx="360" cy="132120"/>
              </a:xfrm>
              <a:prstGeom prst="line">
                <a:avLst/>
              </a:prstGeom>
              <a:ln w="15875">
                <a:solidFill>
                  <a:srgbClr val="ffc000"/>
                </a:solidFill>
                <a:round/>
              </a:ln>
            </xdr:spPr>
            <xdr:style>
              <a:lnRef idx="0"/>
              <a:fillRef idx="0"/>
              <a:effectRef idx="0"/>
              <a:fontRef idx="minor"/>
            </xdr:style>
          </xdr:sp>
          <xdr:sp>
            <xdr:nvSpPr>
              <xdr:cNvPr id="1949" name="452 Rectángulo redondeado"/>
              <xdr:cNvSpPr/>
            </xdr:nvSpPr>
            <xdr:spPr>
              <a:xfrm>
                <a:off x="24452640" y="11741400"/>
                <a:ext cx="457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950" name="Line 99"/>
              <xdr:cNvSpPr/>
            </xdr:nvSpPr>
            <xdr:spPr>
              <a:xfrm>
                <a:off x="24349680" y="12303360"/>
                <a:ext cx="424800" cy="360"/>
              </a:xfrm>
              <a:prstGeom prst="line">
                <a:avLst/>
              </a:prstGeom>
              <a:ln w="25400">
                <a:solidFill>
                  <a:srgbClr val="000000"/>
                </a:solidFill>
                <a:round/>
              </a:ln>
            </xdr:spPr>
            <xdr:style>
              <a:lnRef idx="0"/>
              <a:fillRef idx="0"/>
              <a:effectRef idx="0"/>
              <a:fontRef idx="minor"/>
            </xdr:style>
          </xdr:sp>
          <xdr:sp>
            <xdr:nvSpPr>
              <xdr:cNvPr id="1951" name="Line 280"/>
              <xdr:cNvSpPr/>
            </xdr:nvSpPr>
            <xdr:spPr>
              <a:xfrm>
                <a:off x="24482880" y="12163320"/>
                <a:ext cx="360" cy="402480"/>
              </a:xfrm>
              <a:prstGeom prst="line">
                <a:avLst/>
              </a:prstGeom>
              <a:ln w="15875">
                <a:solidFill>
                  <a:srgbClr val="000000"/>
                </a:solidFill>
                <a:round/>
                <a:tailEnd len="med" type="triangle" w="med"/>
              </a:ln>
            </xdr:spPr>
            <xdr:style>
              <a:lnRef idx="0"/>
              <a:fillRef idx="0"/>
              <a:effectRef idx="0"/>
              <a:fontRef idx="minor"/>
            </xdr:style>
          </xdr:sp>
          <xdr:sp>
            <xdr:nvSpPr>
              <xdr:cNvPr id="1952" name="455 Rectángulo redondeado"/>
              <xdr:cNvSpPr/>
            </xdr:nvSpPr>
            <xdr:spPr>
              <a:xfrm rot="5400000">
                <a:off x="24462720" y="12341520"/>
                <a:ext cx="39960" cy="457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1953" name="455 Rectángulo redondeado"/>
              <xdr:cNvSpPr/>
            </xdr:nvSpPr>
            <xdr:spPr>
              <a:xfrm rot="5400000">
                <a:off x="24465240" y="12209040"/>
                <a:ext cx="39960" cy="457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1954" name="61 CuadroTexto"/>
            <xdr:cNvSpPr/>
          </xdr:nvSpPr>
          <xdr:spPr>
            <a:xfrm>
              <a:off x="24559920" y="11872440"/>
              <a:ext cx="708120" cy="24984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T03-STM</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grpSp>
      <xdr:sp>
        <xdr:nvSpPr>
          <xdr:cNvPr id="1955" name="455 Rectángulo redondeado"/>
          <xdr:cNvSpPr/>
        </xdr:nvSpPr>
        <xdr:spPr>
          <a:xfrm rot="5400000">
            <a:off x="24265440" y="12281400"/>
            <a:ext cx="40680" cy="45000"/>
          </a:xfrm>
          <a:prstGeom prst="roundRect">
            <a:avLst>
              <a:gd name="adj" fmla="val 16667"/>
            </a:avLst>
          </a:prstGeom>
          <a:solidFill>
            <a:schemeClr val="bg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1956" name="Text Box 188"/>
          <xdr:cNvSpPr/>
        </xdr:nvSpPr>
        <xdr:spPr>
          <a:xfrm>
            <a:off x="24115680" y="12184560"/>
            <a:ext cx="341640" cy="932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400" spc="-1" strike="noStrike">
                <a:solidFill>
                  <a:srgbClr val="000000"/>
                </a:solidFill>
                <a:latin typeface="Arial"/>
                <a:ea typeface="MS PGothic"/>
              </a:rPr>
              <a:t>N.A.</a:t>
            </a:r>
            <a:endParaRPr b="0" lang="en-GB" sz="400" spc="-1" strike="noStrike">
              <a:latin typeface="Times New Roman"/>
            </a:endParaRPr>
          </a:p>
        </xdr:txBody>
      </xdr:sp>
    </xdr:grpSp>
    <xdr:clientData/>
  </xdr:twoCellAnchor>
  <xdr:twoCellAnchor editAs="twoCell">
    <xdr:from>
      <xdr:col>26</xdr:col>
      <xdr:colOff>101880</xdr:colOff>
      <xdr:row>54</xdr:row>
      <xdr:rowOff>20160</xdr:rowOff>
    </xdr:from>
    <xdr:to>
      <xdr:col>29</xdr:col>
      <xdr:colOff>566280</xdr:colOff>
      <xdr:row>58</xdr:row>
      <xdr:rowOff>143280</xdr:rowOff>
    </xdr:to>
    <xdr:grpSp>
      <xdr:nvGrpSpPr>
        <xdr:cNvPr id="1957" name="Grupo 543"/>
        <xdr:cNvGrpSpPr/>
      </xdr:nvGrpSpPr>
      <xdr:grpSpPr>
        <a:xfrm>
          <a:off x="22485600" y="10507320"/>
          <a:ext cx="2979000" cy="884880"/>
          <a:chOff x="22485600" y="10507320"/>
          <a:chExt cx="2979000" cy="884880"/>
        </a:xfrm>
      </xdr:grpSpPr>
      <xdr:sp>
        <xdr:nvSpPr>
          <xdr:cNvPr id="1958" name="Line 244"/>
          <xdr:cNvSpPr/>
        </xdr:nvSpPr>
        <xdr:spPr>
          <a:xfrm>
            <a:off x="22790160" y="11138760"/>
            <a:ext cx="2674440" cy="360"/>
          </a:xfrm>
          <a:prstGeom prst="line">
            <a:avLst/>
          </a:prstGeom>
          <a:ln w="15875">
            <a:solidFill>
              <a:srgbClr val="ff0000"/>
            </a:solidFill>
            <a:round/>
          </a:ln>
        </xdr:spPr>
        <xdr:style>
          <a:lnRef idx="0"/>
          <a:fillRef idx="0"/>
          <a:effectRef idx="0"/>
          <a:fontRef idx="minor"/>
        </xdr:style>
      </xdr:sp>
      <xdr:sp>
        <xdr:nvSpPr>
          <xdr:cNvPr id="1959" name="455 Rectángulo redondeado"/>
          <xdr:cNvSpPr/>
        </xdr:nvSpPr>
        <xdr:spPr>
          <a:xfrm rot="16200000">
            <a:off x="22831200" y="11119680"/>
            <a:ext cx="39600" cy="4356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nvGrpSpPr>
          <xdr:cNvPr id="1960" name="Grupo 546"/>
          <xdr:cNvGrpSpPr/>
        </xdr:nvGrpSpPr>
        <xdr:grpSpPr>
          <a:xfrm>
            <a:off x="22485600" y="10949760"/>
            <a:ext cx="303120" cy="311760"/>
            <a:chOff x="22485600" y="10949760"/>
            <a:chExt cx="303120" cy="311760"/>
          </a:xfrm>
        </xdr:grpSpPr>
        <xdr:sp>
          <xdr:nvSpPr>
            <xdr:cNvPr id="1961" name="Oval 40"/>
            <xdr:cNvSpPr/>
          </xdr:nvSpPr>
          <xdr:spPr>
            <a:xfrm rot="10800000">
              <a:off x="22485600" y="11053080"/>
              <a:ext cx="190080" cy="208440"/>
            </a:xfrm>
            <a:prstGeom prst="ellipse">
              <a:avLst/>
            </a:prstGeom>
            <a:noFill/>
            <a:ln w="12700">
              <a:solidFill>
                <a:srgbClr val="ffc000"/>
              </a:solidFill>
              <a:round/>
            </a:ln>
          </xdr:spPr>
          <xdr:style>
            <a:lnRef idx="0"/>
            <a:fillRef idx="0"/>
            <a:effectRef idx="0"/>
            <a:fontRef idx="minor"/>
          </xdr:style>
        </xdr:sp>
        <xdr:sp>
          <xdr:nvSpPr>
            <xdr:cNvPr id="1962" name="Oval 41"/>
            <xdr:cNvSpPr/>
          </xdr:nvSpPr>
          <xdr:spPr>
            <a:xfrm rot="10800000">
              <a:off x="22485600" y="10949760"/>
              <a:ext cx="190080" cy="208440"/>
            </a:xfrm>
            <a:prstGeom prst="ellipse">
              <a:avLst/>
            </a:prstGeom>
            <a:noFill/>
            <a:ln w="12700">
              <a:solidFill>
                <a:srgbClr val="0000ff"/>
              </a:solidFill>
              <a:round/>
            </a:ln>
          </xdr:spPr>
          <xdr:style>
            <a:lnRef idx="0"/>
            <a:fillRef idx="0"/>
            <a:effectRef idx="0"/>
            <a:fontRef idx="minor"/>
          </xdr:style>
        </xdr:sp>
        <xdr:sp>
          <xdr:nvSpPr>
            <xdr:cNvPr id="1963" name="Oval 63"/>
            <xdr:cNvSpPr/>
          </xdr:nvSpPr>
          <xdr:spPr>
            <a:xfrm>
              <a:off x="22599360" y="11026800"/>
              <a:ext cx="189360" cy="207360"/>
            </a:xfrm>
            <a:prstGeom prst="ellipse">
              <a:avLst/>
            </a:prstGeom>
            <a:noFill/>
            <a:ln w="12700">
              <a:solidFill>
                <a:srgbClr val="ff0000"/>
              </a:solidFill>
              <a:round/>
            </a:ln>
          </xdr:spPr>
          <xdr:style>
            <a:lnRef idx="0"/>
            <a:fillRef idx="0"/>
            <a:effectRef idx="0"/>
            <a:fontRef idx="minor"/>
          </xdr:style>
        </xdr:sp>
      </xdr:grpSp>
      <xdr:sp>
        <xdr:nvSpPr>
          <xdr:cNvPr id="1964" name="Line 100"/>
          <xdr:cNvSpPr/>
        </xdr:nvSpPr>
        <xdr:spPr>
          <a:xfrm>
            <a:off x="22575600" y="11262600"/>
            <a:ext cx="360" cy="129600"/>
          </a:xfrm>
          <a:prstGeom prst="line">
            <a:avLst/>
          </a:prstGeom>
          <a:ln w="15875">
            <a:solidFill>
              <a:srgbClr val="ffc000"/>
            </a:solidFill>
            <a:round/>
          </a:ln>
        </xdr:spPr>
        <xdr:style>
          <a:lnRef idx="0"/>
          <a:fillRef idx="0"/>
          <a:effectRef idx="0"/>
          <a:fontRef idx="minor"/>
        </xdr:style>
      </xdr:sp>
      <xdr:sp>
        <xdr:nvSpPr>
          <xdr:cNvPr id="1965" name="455 Rectángulo redondeado"/>
          <xdr:cNvSpPr/>
        </xdr:nvSpPr>
        <xdr:spPr>
          <a:xfrm>
            <a:off x="22553280" y="11299320"/>
            <a:ext cx="4356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966" name="Line 206"/>
          <xdr:cNvSpPr/>
        </xdr:nvSpPr>
        <xdr:spPr>
          <a:xfrm>
            <a:off x="22583520" y="10507320"/>
            <a:ext cx="360" cy="441360"/>
          </a:xfrm>
          <a:prstGeom prst="line">
            <a:avLst/>
          </a:prstGeom>
          <a:ln w="25400">
            <a:solidFill>
              <a:srgbClr val="0000ff"/>
            </a:solidFill>
            <a:round/>
          </a:ln>
        </xdr:spPr>
        <xdr:style>
          <a:lnRef idx="0"/>
          <a:fillRef idx="0"/>
          <a:effectRef idx="0"/>
          <a:fontRef idx="minor"/>
        </xdr:style>
      </xdr:sp>
      <xdr:sp>
        <xdr:nvSpPr>
          <xdr:cNvPr id="1967" name="452 Rectángulo redondeado"/>
          <xdr:cNvSpPr/>
        </xdr:nvSpPr>
        <xdr:spPr>
          <a:xfrm>
            <a:off x="22562280" y="10866600"/>
            <a:ext cx="43560" cy="39600"/>
          </a:xfrm>
          <a:prstGeom prst="roundRect">
            <a:avLst>
              <a:gd name="adj" fmla="val 16667"/>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26</xdr:col>
      <xdr:colOff>107640</xdr:colOff>
      <xdr:row>58</xdr:row>
      <xdr:rowOff>124920</xdr:rowOff>
    </xdr:from>
    <xdr:to>
      <xdr:col>26</xdr:col>
      <xdr:colOff>246960</xdr:colOff>
      <xdr:row>59</xdr:row>
      <xdr:rowOff>54000</xdr:rowOff>
    </xdr:to>
    <xdr:sp>
      <xdr:nvSpPr>
        <xdr:cNvPr id="1968" name="Arco 554"/>
        <xdr:cNvSpPr/>
      </xdr:nvSpPr>
      <xdr:spPr>
        <a:xfrm rot="5400000">
          <a:off x="22501080" y="11363760"/>
          <a:ext cx="119520" cy="139320"/>
        </a:xfrm>
        <a:prstGeom prst="arc">
          <a:avLst>
            <a:gd name="adj1" fmla="val 10932143"/>
            <a:gd name="adj2" fmla="val 21419250"/>
          </a:avLst>
        </a:prstGeom>
        <a:noFill/>
        <a:ln w="15875">
          <a:solidFill>
            <a:srgbClr val="ffc000"/>
          </a:solidFill>
          <a:round/>
        </a:ln>
      </xdr:spPr>
      <xdr:style>
        <a:lnRef idx="0"/>
        <a:fillRef idx="0"/>
        <a:effectRef idx="0"/>
        <a:fontRef idx="minor"/>
      </xdr:style>
    </xdr:sp>
    <xdr:clientData/>
  </xdr:twoCellAnchor>
  <xdr:twoCellAnchor editAs="twoCell">
    <xdr:from>
      <xdr:col>26</xdr:col>
      <xdr:colOff>183240</xdr:colOff>
      <xdr:row>59</xdr:row>
      <xdr:rowOff>47520</xdr:rowOff>
    </xdr:from>
    <xdr:to>
      <xdr:col>26</xdr:col>
      <xdr:colOff>183240</xdr:colOff>
      <xdr:row>60</xdr:row>
      <xdr:rowOff>66600</xdr:rowOff>
    </xdr:to>
    <xdr:sp>
      <xdr:nvSpPr>
        <xdr:cNvPr id="1969" name="Line 100"/>
        <xdr:cNvSpPr/>
      </xdr:nvSpPr>
      <xdr:spPr>
        <a:xfrm>
          <a:off x="22566960" y="11486880"/>
          <a:ext cx="0" cy="209880"/>
        </a:xfrm>
        <a:prstGeom prst="line">
          <a:avLst/>
        </a:prstGeom>
        <a:ln w="15875">
          <a:solidFill>
            <a:srgbClr val="ffc000"/>
          </a:solidFill>
          <a:round/>
        </a:ln>
      </xdr:spPr>
      <xdr:style>
        <a:lnRef idx="0"/>
        <a:fillRef idx="0"/>
        <a:effectRef idx="0"/>
        <a:fontRef idx="minor"/>
      </xdr:style>
    </xdr:sp>
    <xdr:clientData/>
  </xdr:twoCellAnchor>
  <xdr:twoCellAnchor editAs="twoCell">
    <xdr:from>
      <xdr:col>26</xdr:col>
      <xdr:colOff>166680</xdr:colOff>
      <xdr:row>59</xdr:row>
      <xdr:rowOff>166680</xdr:rowOff>
    </xdr:from>
    <xdr:to>
      <xdr:col>26</xdr:col>
      <xdr:colOff>206640</xdr:colOff>
      <xdr:row>60</xdr:row>
      <xdr:rowOff>15480</xdr:rowOff>
    </xdr:to>
    <xdr:sp>
      <xdr:nvSpPr>
        <xdr:cNvPr id="1970" name="455 Rectángulo redondeado"/>
        <xdr:cNvSpPr/>
      </xdr:nvSpPr>
      <xdr:spPr>
        <a:xfrm>
          <a:off x="22550400" y="11606040"/>
          <a:ext cx="3996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28</xdr:col>
      <xdr:colOff>734760</xdr:colOff>
      <xdr:row>54</xdr:row>
      <xdr:rowOff>26640</xdr:rowOff>
    </xdr:from>
    <xdr:to>
      <xdr:col>29</xdr:col>
      <xdr:colOff>608400</xdr:colOff>
      <xdr:row>57</xdr:row>
      <xdr:rowOff>24840</xdr:rowOff>
    </xdr:to>
    <xdr:grpSp>
      <xdr:nvGrpSpPr>
        <xdr:cNvPr id="1971" name="Grupo 557"/>
        <xdr:cNvGrpSpPr/>
      </xdr:nvGrpSpPr>
      <xdr:grpSpPr>
        <a:xfrm>
          <a:off x="24795000" y="10513800"/>
          <a:ext cx="711720" cy="569520"/>
          <a:chOff x="24795000" y="10513800"/>
          <a:chExt cx="711720" cy="569520"/>
        </a:xfrm>
      </xdr:grpSpPr>
      <xdr:sp>
        <xdr:nvSpPr>
          <xdr:cNvPr id="1972" name="Line 244"/>
          <xdr:cNvSpPr/>
        </xdr:nvSpPr>
        <xdr:spPr>
          <a:xfrm>
            <a:off x="25109640" y="10829880"/>
            <a:ext cx="397080" cy="360"/>
          </a:xfrm>
          <a:prstGeom prst="line">
            <a:avLst/>
          </a:prstGeom>
          <a:ln w="15875">
            <a:solidFill>
              <a:srgbClr val="ff0000"/>
            </a:solidFill>
            <a:round/>
          </a:ln>
        </xdr:spPr>
        <xdr:style>
          <a:lnRef idx="0"/>
          <a:fillRef idx="0"/>
          <a:effectRef idx="0"/>
          <a:fontRef idx="minor"/>
        </xdr:style>
      </xdr:sp>
      <xdr:sp>
        <xdr:nvSpPr>
          <xdr:cNvPr id="1973" name="455 Rectángulo redondeado"/>
          <xdr:cNvSpPr/>
        </xdr:nvSpPr>
        <xdr:spPr>
          <a:xfrm rot="16200000">
            <a:off x="25152840" y="10810080"/>
            <a:ext cx="39600" cy="4500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nvGrpSpPr>
          <xdr:cNvPr id="1974" name="Grupo 560"/>
          <xdr:cNvGrpSpPr/>
        </xdr:nvGrpSpPr>
        <xdr:grpSpPr>
          <a:xfrm>
            <a:off x="24795000" y="10640880"/>
            <a:ext cx="312840" cy="311760"/>
            <a:chOff x="24795000" y="10640880"/>
            <a:chExt cx="312840" cy="311760"/>
          </a:xfrm>
        </xdr:grpSpPr>
        <xdr:sp>
          <xdr:nvSpPr>
            <xdr:cNvPr id="1975" name="Oval 40"/>
            <xdr:cNvSpPr/>
          </xdr:nvSpPr>
          <xdr:spPr>
            <a:xfrm rot="10800000">
              <a:off x="24795000" y="10744200"/>
              <a:ext cx="196200" cy="208440"/>
            </a:xfrm>
            <a:prstGeom prst="ellipse">
              <a:avLst/>
            </a:prstGeom>
            <a:noFill/>
            <a:ln w="12700">
              <a:solidFill>
                <a:srgbClr val="ffc000"/>
              </a:solidFill>
              <a:round/>
            </a:ln>
          </xdr:spPr>
          <xdr:style>
            <a:lnRef idx="0"/>
            <a:fillRef idx="0"/>
            <a:effectRef idx="0"/>
            <a:fontRef idx="minor"/>
          </xdr:style>
        </xdr:sp>
        <xdr:sp>
          <xdr:nvSpPr>
            <xdr:cNvPr id="1976" name="Oval 41"/>
            <xdr:cNvSpPr/>
          </xdr:nvSpPr>
          <xdr:spPr>
            <a:xfrm rot="10800000">
              <a:off x="24795000" y="10640880"/>
              <a:ext cx="196200" cy="208440"/>
            </a:xfrm>
            <a:prstGeom prst="ellipse">
              <a:avLst/>
            </a:prstGeom>
            <a:noFill/>
            <a:ln w="12700">
              <a:solidFill>
                <a:srgbClr val="0000ff"/>
              </a:solidFill>
              <a:round/>
            </a:ln>
          </xdr:spPr>
          <xdr:style>
            <a:lnRef idx="0"/>
            <a:fillRef idx="0"/>
            <a:effectRef idx="0"/>
            <a:fontRef idx="minor"/>
          </xdr:style>
        </xdr:sp>
        <xdr:sp>
          <xdr:nvSpPr>
            <xdr:cNvPr id="1977" name="Oval 63"/>
            <xdr:cNvSpPr/>
          </xdr:nvSpPr>
          <xdr:spPr>
            <a:xfrm>
              <a:off x="24912360" y="10717920"/>
              <a:ext cx="195480" cy="207360"/>
            </a:xfrm>
            <a:prstGeom prst="ellipse">
              <a:avLst/>
            </a:prstGeom>
            <a:noFill/>
            <a:ln w="12700">
              <a:solidFill>
                <a:srgbClr val="ff0000"/>
              </a:solidFill>
              <a:round/>
            </a:ln>
          </xdr:spPr>
          <xdr:style>
            <a:lnRef idx="0"/>
            <a:fillRef idx="0"/>
            <a:effectRef idx="0"/>
            <a:fontRef idx="minor"/>
          </xdr:style>
        </xdr:sp>
      </xdr:grpSp>
      <xdr:sp>
        <xdr:nvSpPr>
          <xdr:cNvPr id="1978" name="Line 100"/>
          <xdr:cNvSpPr/>
        </xdr:nvSpPr>
        <xdr:spPr>
          <a:xfrm>
            <a:off x="24887880" y="10953720"/>
            <a:ext cx="360" cy="129600"/>
          </a:xfrm>
          <a:prstGeom prst="line">
            <a:avLst/>
          </a:prstGeom>
          <a:ln w="15875">
            <a:solidFill>
              <a:srgbClr val="ffc000"/>
            </a:solidFill>
            <a:round/>
          </a:ln>
        </xdr:spPr>
        <xdr:style>
          <a:lnRef idx="0"/>
          <a:fillRef idx="0"/>
          <a:effectRef idx="0"/>
          <a:fontRef idx="minor"/>
        </xdr:style>
      </xdr:sp>
      <xdr:sp>
        <xdr:nvSpPr>
          <xdr:cNvPr id="1979" name="455 Rectángulo redondeado"/>
          <xdr:cNvSpPr/>
        </xdr:nvSpPr>
        <xdr:spPr>
          <a:xfrm>
            <a:off x="24864840" y="10990080"/>
            <a:ext cx="4500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980" name="Line 206"/>
          <xdr:cNvSpPr/>
        </xdr:nvSpPr>
        <xdr:spPr>
          <a:xfrm>
            <a:off x="24896160" y="10513800"/>
            <a:ext cx="360" cy="126000"/>
          </a:xfrm>
          <a:prstGeom prst="line">
            <a:avLst/>
          </a:prstGeom>
          <a:ln w="25400">
            <a:solidFill>
              <a:srgbClr val="0000ff"/>
            </a:solidFill>
            <a:round/>
          </a:ln>
        </xdr:spPr>
        <xdr:style>
          <a:lnRef idx="0"/>
          <a:fillRef idx="0"/>
          <a:effectRef idx="0"/>
          <a:fontRef idx="minor"/>
        </xdr:style>
      </xdr:sp>
      <xdr:sp>
        <xdr:nvSpPr>
          <xdr:cNvPr id="1981" name="452 Rectángulo redondeado"/>
          <xdr:cNvSpPr/>
        </xdr:nvSpPr>
        <xdr:spPr>
          <a:xfrm>
            <a:off x="24874200" y="10557720"/>
            <a:ext cx="45000" cy="39600"/>
          </a:xfrm>
          <a:prstGeom prst="roundRect">
            <a:avLst>
              <a:gd name="adj" fmla="val 16667"/>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28</xdr:col>
      <xdr:colOff>748440</xdr:colOff>
      <xdr:row>57</xdr:row>
      <xdr:rowOff>19800</xdr:rowOff>
    </xdr:from>
    <xdr:to>
      <xdr:col>29</xdr:col>
      <xdr:colOff>125640</xdr:colOff>
      <xdr:row>57</xdr:row>
      <xdr:rowOff>139320</xdr:rowOff>
    </xdr:to>
    <xdr:sp>
      <xdr:nvSpPr>
        <xdr:cNvPr id="1982" name="Arco 568"/>
        <xdr:cNvSpPr/>
      </xdr:nvSpPr>
      <xdr:spPr>
        <a:xfrm rot="5400000">
          <a:off x="24856560" y="11030400"/>
          <a:ext cx="119520" cy="215280"/>
        </a:xfrm>
        <a:prstGeom prst="arc">
          <a:avLst>
            <a:gd name="adj1" fmla="val 10932143"/>
            <a:gd name="adj2" fmla="val 21419250"/>
          </a:avLst>
        </a:prstGeom>
        <a:noFill/>
        <a:ln w="15875">
          <a:solidFill>
            <a:srgbClr val="ffc000"/>
          </a:solidFill>
          <a:round/>
        </a:ln>
      </xdr:spPr>
      <xdr:style>
        <a:lnRef idx="0"/>
        <a:fillRef idx="0"/>
        <a:effectRef idx="0"/>
        <a:fontRef idx="minor"/>
      </xdr:style>
    </xdr:sp>
    <xdr:clientData/>
  </xdr:twoCellAnchor>
  <xdr:twoCellAnchor editAs="twoCell">
    <xdr:from>
      <xdr:col>29</xdr:col>
      <xdr:colOff>66960</xdr:colOff>
      <xdr:row>57</xdr:row>
      <xdr:rowOff>142200</xdr:rowOff>
    </xdr:from>
    <xdr:to>
      <xdr:col>29</xdr:col>
      <xdr:colOff>66960</xdr:colOff>
      <xdr:row>60</xdr:row>
      <xdr:rowOff>60480</xdr:rowOff>
    </xdr:to>
    <xdr:sp>
      <xdr:nvSpPr>
        <xdr:cNvPr id="1983" name="Line 100"/>
        <xdr:cNvSpPr/>
      </xdr:nvSpPr>
      <xdr:spPr>
        <a:xfrm>
          <a:off x="24965280" y="11200680"/>
          <a:ext cx="0" cy="489960"/>
        </a:xfrm>
        <a:prstGeom prst="line">
          <a:avLst/>
        </a:prstGeom>
        <a:ln w="15875">
          <a:solidFill>
            <a:srgbClr val="ffc000"/>
          </a:solidFill>
          <a:round/>
        </a:ln>
      </xdr:spPr>
      <xdr:style>
        <a:lnRef idx="0"/>
        <a:fillRef idx="0"/>
        <a:effectRef idx="0"/>
        <a:fontRef idx="minor"/>
      </xdr:style>
    </xdr:sp>
    <xdr:clientData/>
  </xdr:twoCellAnchor>
  <xdr:twoCellAnchor editAs="twoCell">
    <xdr:from>
      <xdr:col>29</xdr:col>
      <xdr:colOff>50760</xdr:colOff>
      <xdr:row>59</xdr:row>
      <xdr:rowOff>176400</xdr:rowOff>
    </xdr:from>
    <xdr:to>
      <xdr:col>29</xdr:col>
      <xdr:colOff>90720</xdr:colOff>
      <xdr:row>60</xdr:row>
      <xdr:rowOff>25200</xdr:rowOff>
    </xdr:to>
    <xdr:sp>
      <xdr:nvSpPr>
        <xdr:cNvPr id="1984" name="455 Rectángulo redondeado"/>
        <xdr:cNvSpPr/>
      </xdr:nvSpPr>
      <xdr:spPr>
        <a:xfrm>
          <a:off x="24949080" y="11615760"/>
          <a:ext cx="3996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27</xdr:col>
      <xdr:colOff>3240</xdr:colOff>
      <xdr:row>61</xdr:row>
      <xdr:rowOff>28440</xdr:rowOff>
    </xdr:from>
    <xdr:to>
      <xdr:col>27</xdr:col>
      <xdr:colOff>636120</xdr:colOff>
      <xdr:row>62</xdr:row>
      <xdr:rowOff>87840</xdr:rowOff>
    </xdr:to>
    <xdr:sp>
      <xdr:nvSpPr>
        <xdr:cNvPr id="1985" name="61 CuadroTexto"/>
        <xdr:cNvSpPr/>
      </xdr:nvSpPr>
      <xdr:spPr>
        <a:xfrm>
          <a:off x="23225040" y="11849040"/>
          <a:ext cx="632880" cy="24984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T10-STM</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clientData/>
  </xdr:twoCellAnchor>
  <xdr:twoCellAnchor editAs="twoCell">
    <xdr:from>
      <xdr:col>25</xdr:col>
      <xdr:colOff>630360</xdr:colOff>
      <xdr:row>60</xdr:row>
      <xdr:rowOff>78120</xdr:rowOff>
    </xdr:from>
    <xdr:to>
      <xdr:col>25</xdr:col>
      <xdr:colOff>630360</xdr:colOff>
      <xdr:row>63</xdr:row>
      <xdr:rowOff>126720</xdr:rowOff>
    </xdr:to>
    <xdr:sp>
      <xdr:nvSpPr>
        <xdr:cNvPr id="1986" name="Line 244"/>
        <xdr:cNvSpPr/>
      </xdr:nvSpPr>
      <xdr:spPr>
        <a:xfrm>
          <a:off x="22176000" y="11708280"/>
          <a:ext cx="0" cy="619920"/>
        </a:xfrm>
        <a:prstGeom prst="line">
          <a:avLst/>
        </a:prstGeom>
        <a:ln w="9525">
          <a:solidFill>
            <a:srgbClr val="ffc000"/>
          </a:solidFill>
          <a:prstDash val="dash"/>
          <a:round/>
        </a:ln>
      </xdr:spPr>
      <xdr:style>
        <a:lnRef idx="0"/>
        <a:fillRef idx="0"/>
        <a:effectRef idx="0"/>
        <a:fontRef idx="minor"/>
      </xdr:style>
    </xdr:sp>
    <xdr:clientData/>
  </xdr:twoCellAnchor>
  <xdr:twoCellAnchor editAs="twoCell">
    <xdr:from>
      <xdr:col>25</xdr:col>
      <xdr:colOff>607320</xdr:colOff>
      <xdr:row>60</xdr:row>
      <xdr:rowOff>115920</xdr:rowOff>
    </xdr:from>
    <xdr:to>
      <xdr:col>25</xdr:col>
      <xdr:colOff>647640</xdr:colOff>
      <xdr:row>60</xdr:row>
      <xdr:rowOff>155520</xdr:rowOff>
    </xdr:to>
    <xdr:sp>
      <xdr:nvSpPr>
        <xdr:cNvPr id="1987" name="455 Rectángulo redondeado"/>
        <xdr:cNvSpPr/>
      </xdr:nvSpPr>
      <xdr:spPr>
        <a:xfrm>
          <a:off x="22152960" y="11746080"/>
          <a:ext cx="40320" cy="39600"/>
        </a:xfrm>
        <a:prstGeom prst="roundRect">
          <a:avLst>
            <a:gd name="adj" fmla="val 16667"/>
          </a:avLst>
        </a:prstGeom>
        <a:solidFill>
          <a:schemeClr val="bg1"/>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25</xdr:col>
      <xdr:colOff>613080</xdr:colOff>
      <xdr:row>63</xdr:row>
      <xdr:rowOff>59040</xdr:rowOff>
    </xdr:from>
    <xdr:to>
      <xdr:col>25</xdr:col>
      <xdr:colOff>653400</xdr:colOff>
      <xdr:row>63</xdr:row>
      <xdr:rowOff>98640</xdr:rowOff>
    </xdr:to>
    <xdr:sp>
      <xdr:nvSpPr>
        <xdr:cNvPr id="1988" name="455 Rectángulo redondeado"/>
        <xdr:cNvSpPr/>
      </xdr:nvSpPr>
      <xdr:spPr>
        <a:xfrm>
          <a:off x="22158720" y="1226052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25</xdr:col>
      <xdr:colOff>607320</xdr:colOff>
      <xdr:row>61</xdr:row>
      <xdr:rowOff>120960</xdr:rowOff>
    </xdr:from>
    <xdr:to>
      <xdr:col>26</xdr:col>
      <xdr:colOff>325440</xdr:colOff>
      <xdr:row>62</xdr:row>
      <xdr:rowOff>51840</xdr:rowOff>
    </xdr:to>
    <xdr:sp>
      <xdr:nvSpPr>
        <xdr:cNvPr id="1989" name="Text Box 188"/>
        <xdr:cNvSpPr/>
      </xdr:nvSpPr>
      <xdr:spPr>
        <a:xfrm>
          <a:off x="22152960" y="11941560"/>
          <a:ext cx="55620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LN-5117</a:t>
          </a:r>
          <a:endParaRPr b="0" lang="en-GB" sz="600" spc="-1" strike="noStrike">
            <a:latin typeface="Times New Roman"/>
          </a:endParaRPr>
        </a:p>
      </xdr:txBody>
    </xdr:sp>
    <xdr:clientData/>
  </xdr:twoCellAnchor>
  <xdr:twoCellAnchor editAs="twoCell">
    <xdr:from>
      <xdr:col>25</xdr:col>
      <xdr:colOff>638640</xdr:colOff>
      <xdr:row>63</xdr:row>
      <xdr:rowOff>145800</xdr:rowOff>
    </xdr:from>
    <xdr:to>
      <xdr:col>26</xdr:col>
      <xdr:colOff>57240</xdr:colOff>
      <xdr:row>66</xdr:row>
      <xdr:rowOff>169200</xdr:rowOff>
    </xdr:to>
    <xdr:grpSp>
      <xdr:nvGrpSpPr>
        <xdr:cNvPr id="1990" name="Grupo 576"/>
        <xdr:cNvGrpSpPr/>
      </xdr:nvGrpSpPr>
      <xdr:grpSpPr>
        <a:xfrm>
          <a:off x="22184280" y="12347280"/>
          <a:ext cx="256680" cy="595080"/>
          <a:chOff x="22184280" y="12347280"/>
          <a:chExt cx="256680" cy="595080"/>
        </a:xfrm>
      </xdr:grpSpPr>
      <xdr:sp>
        <xdr:nvSpPr>
          <xdr:cNvPr id="1991" name="Oval 40"/>
          <xdr:cNvSpPr/>
        </xdr:nvSpPr>
        <xdr:spPr>
          <a:xfrm rot="10800000">
            <a:off x="22187880" y="12594240"/>
            <a:ext cx="253080" cy="209160"/>
          </a:xfrm>
          <a:prstGeom prst="ellipse">
            <a:avLst/>
          </a:prstGeom>
          <a:noFill/>
          <a:ln w="12700">
            <a:solidFill>
              <a:srgbClr val="000000"/>
            </a:solidFill>
            <a:round/>
          </a:ln>
        </xdr:spPr>
        <xdr:style>
          <a:lnRef idx="0"/>
          <a:fillRef idx="0"/>
          <a:effectRef idx="0"/>
          <a:fontRef idx="minor"/>
        </xdr:style>
      </xdr:sp>
      <xdr:sp>
        <xdr:nvSpPr>
          <xdr:cNvPr id="1992" name="Oval 41"/>
          <xdr:cNvSpPr/>
        </xdr:nvSpPr>
        <xdr:spPr>
          <a:xfrm rot="10800000">
            <a:off x="22184280" y="12482640"/>
            <a:ext cx="253080" cy="209160"/>
          </a:xfrm>
          <a:prstGeom prst="ellipse">
            <a:avLst/>
          </a:prstGeom>
          <a:noFill/>
          <a:ln w="12700">
            <a:solidFill>
              <a:srgbClr val="ffc000"/>
            </a:solidFill>
            <a:round/>
          </a:ln>
        </xdr:spPr>
        <xdr:style>
          <a:lnRef idx="0"/>
          <a:fillRef idx="0"/>
          <a:effectRef idx="0"/>
          <a:fontRef idx="minor"/>
        </xdr:style>
      </xdr:sp>
      <xdr:sp>
        <xdr:nvSpPr>
          <xdr:cNvPr id="1993" name="Line 206"/>
          <xdr:cNvSpPr/>
        </xdr:nvSpPr>
        <xdr:spPr>
          <a:xfrm>
            <a:off x="22303440" y="12347280"/>
            <a:ext cx="360" cy="132120"/>
          </a:xfrm>
          <a:prstGeom prst="line">
            <a:avLst/>
          </a:prstGeom>
          <a:ln w="15875">
            <a:solidFill>
              <a:srgbClr val="ffc000"/>
            </a:solidFill>
            <a:round/>
          </a:ln>
        </xdr:spPr>
        <xdr:style>
          <a:lnRef idx="0"/>
          <a:fillRef idx="0"/>
          <a:effectRef idx="0"/>
          <a:fontRef idx="minor"/>
        </xdr:style>
      </xdr:sp>
      <xdr:sp>
        <xdr:nvSpPr>
          <xdr:cNvPr id="1994" name="452 Rectángulo redondeado"/>
          <xdr:cNvSpPr/>
        </xdr:nvSpPr>
        <xdr:spPr>
          <a:xfrm>
            <a:off x="22275000" y="12382920"/>
            <a:ext cx="5796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1995" name="Line 280"/>
          <xdr:cNvSpPr/>
        </xdr:nvSpPr>
        <xdr:spPr>
          <a:xfrm>
            <a:off x="22313160" y="12805200"/>
            <a:ext cx="360" cy="137160"/>
          </a:xfrm>
          <a:prstGeom prst="line">
            <a:avLst/>
          </a:prstGeom>
          <a:ln w="15875">
            <a:solidFill>
              <a:srgbClr val="000000"/>
            </a:solidFill>
            <a:round/>
          </a:ln>
        </xdr:spPr>
        <xdr:style>
          <a:lnRef idx="0"/>
          <a:fillRef idx="0"/>
          <a:effectRef idx="0"/>
          <a:fontRef idx="minor"/>
        </xdr:style>
      </xdr:sp>
      <xdr:sp>
        <xdr:nvSpPr>
          <xdr:cNvPr id="1996" name="455 Rectángulo redondeado"/>
          <xdr:cNvSpPr/>
        </xdr:nvSpPr>
        <xdr:spPr>
          <a:xfrm rot="5400000">
            <a:off x="22296600" y="12844440"/>
            <a:ext cx="39960" cy="57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25</xdr:col>
      <xdr:colOff>507600</xdr:colOff>
      <xdr:row>66</xdr:row>
      <xdr:rowOff>166320</xdr:rowOff>
    </xdr:from>
    <xdr:to>
      <xdr:col>25</xdr:col>
      <xdr:colOff>507960</xdr:colOff>
      <xdr:row>68</xdr:row>
      <xdr:rowOff>43200</xdr:rowOff>
    </xdr:to>
    <xdr:sp>
      <xdr:nvSpPr>
        <xdr:cNvPr id="1997" name="Line 280"/>
        <xdr:cNvSpPr/>
      </xdr:nvSpPr>
      <xdr:spPr>
        <a:xfrm flipH="1">
          <a:off x="22053240" y="12939480"/>
          <a:ext cx="360" cy="25776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25</xdr:col>
      <xdr:colOff>487800</xdr:colOff>
      <xdr:row>67</xdr:row>
      <xdr:rowOff>42120</xdr:rowOff>
    </xdr:from>
    <xdr:to>
      <xdr:col>25</xdr:col>
      <xdr:colOff>527760</xdr:colOff>
      <xdr:row>67</xdr:row>
      <xdr:rowOff>82800</xdr:rowOff>
    </xdr:to>
    <xdr:sp>
      <xdr:nvSpPr>
        <xdr:cNvPr id="1998" name="455 Rectángulo redondeado"/>
        <xdr:cNvSpPr/>
      </xdr:nvSpPr>
      <xdr:spPr>
        <a:xfrm rot="5400000">
          <a:off x="22033080" y="13006080"/>
          <a:ext cx="40680" cy="39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26</xdr:col>
      <xdr:colOff>36000</xdr:colOff>
      <xdr:row>64</xdr:row>
      <xdr:rowOff>125280</xdr:rowOff>
    </xdr:from>
    <xdr:to>
      <xdr:col>26</xdr:col>
      <xdr:colOff>668880</xdr:colOff>
      <xdr:row>65</xdr:row>
      <xdr:rowOff>184680</xdr:rowOff>
    </xdr:to>
    <xdr:sp>
      <xdr:nvSpPr>
        <xdr:cNvPr id="1999" name="61 CuadroTexto"/>
        <xdr:cNvSpPr/>
      </xdr:nvSpPr>
      <xdr:spPr>
        <a:xfrm>
          <a:off x="22419720" y="12517200"/>
          <a:ext cx="632880" cy="24984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12,5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clientData/>
  </xdr:twoCellAnchor>
  <xdr:twoCellAnchor editAs="twoCell">
    <xdr:from>
      <xdr:col>26</xdr:col>
      <xdr:colOff>289800</xdr:colOff>
      <xdr:row>59</xdr:row>
      <xdr:rowOff>187560</xdr:rowOff>
    </xdr:from>
    <xdr:to>
      <xdr:col>26</xdr:col>
      <xdr:colOff>795960</xdr:colOff>
      <xdr:row>63</xdr:row>
      <xdr:rowOff>124920</xdr:rowOff>
    </xdr:to>
    <xdr:grpSp>
      <xdr:nvGrpSpPr>
        <xdr:cNvPr id="2000" name="Grupo 586"/>
        <xdr:cNvGrpSpPr/>
      </xdr:nvGrpSpPr>
      <xdr:grpSpPr>
        <a:xfrm>
          <a:off x="22577040" y="11723400"/>
          <a:ext cx="699480" cy="506160"/>
          <a:chOff x="22577040" y="11723400"/>
          <a:chExt cx="699480" cy="506160"/>
        </a:xfrm>
      </xdr:grpSpPr>
      <xdr:sp>
        <xdr:nvSpPr>
          <xdr:cNvPr id="2001" name="Line 280"/>
          <xdr:cNvSpPr/>
        </xdr:nvSpPr>
        <xdr:spPr>
          <a:xfrm>
            <a:off x="22915800" y="11723400"/>
            <a:ext cx="360" cy="258840"/>
          </a:xfrm>
          <a:prstGeom prst="line">
            <a:avLst/>
          </a:prstGeom>
          <a:ln w="15875">
            <a:solidFill>
              <a:srgbClr val="ffc000"/>
            </a:solidFill>
            <a:round/>
            <a:tailEnd len="med" type="triangle" w="med"/>
          </a:ln>
        </xdr:spPr>
        <xdr:style>
          <a:lnRef idx="0"/>
          <a:fillRef idx="0"/>
          <a:effectRef idx="0"/>
          <a:fontRef idx="minor"/>
        </xdr:style>
      </xdr:sp>
      <xdr:sp>
        <xdr:nvSpPr>
          <xdr:cNvPr id="2002" name="455 Rectángulo redondeado"/>
          <xdr:cNvSpPr/>
        </xdr:nvSpPr>
        <xdr:spPr>
          <a:xfrm rot="5400000">
            <a:off x="22897800" y="11800080"/>
            <a:ext cx="40680" cy="450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2003" name="Text Box 188"/>
          <xdr:cNvSpPr/>
        </xdr:nvSpPr>
        <xdr:spPr>
          <a:xfrm>
            <a:off x="22577040" y="12018240"/>
            <a:ext cx="699480" cy="21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Carga asociada LN-540</a:t>
            </a:r>
            <a:endParaRPr b="0" lang="en-GB" sz="600" spc="-1" strike="noStrike">
              <a:latin typeface="Times New Roman"/>
            </a:endParaRPr>
          </a:p>
        </xdr:txBody>
      </xdr:sp>
    </xdr:grpSp>
    <xdr:clientData/>
  </xdr:twoCellAnchor>
  <xdr:twoCellAnchor editAs="twoCell">
    <xdr:from>
      <xdr:col>29</xdr:col>
      <xdr:colOff>426960</xdr:colOff>
      <xdr:row>59</xdr:row>
      <xdr:rowOff>167760</xdr:rowOff>
    </xdr:from>
    <xdr:to>
      <xdr:col>30</xdr:col>
      <xdr:colOff>95040</xdr:colOff>
      <xdr:row>63</xdr:row>
      <xdr:rowOff>105120</xdr:rowOff>
    </xdr:to>
    <xdr:grpSp>
      <xdr:nvGrpSpPr>
        <xdr:cNvPr id="2004" name="Grupo 590"/>
        <xdr:cNvGrpSpPr/>
      </xdr:nvGrpSpPr>
      <xdr:grpSpPr>
        <a:xfrm>
          <a:off x="25228800" y="11703600"/>
          <a:ext cx="699480" cy="506160"/>
          <a:chOff x="25228800" y="11703600"/>
          <a:chExt cx="699480" cy="506160"/>
        </a:xfrm>
      </xdr:grpSpPr>
      <xdr:sp>
        <xdr:nvSpPr>
          <xdr:cNvPr id="2005" name="Line 280"/>
          <xdr:cNvSpPr/>
        </xdr:nvSpPr>
        <xdr:spPr>
          <a:xfrm>
            <a:off x="25567560" y="11703600"/>
            <a:ext cx="360" cy="258840"/>
          </a:xfrm>
          <a:prstGeom prst="line">
            <a:avLst/>
          </a:prstGeom>
          <a:ln w="15875">
            <a:solidFill>
              <a:srgbClr val="ffc000"/>
            </a:solidFill>
            <a:round/>
            <a:tailEnd len="med" type="triangle" w="med"/>
          </a:ln>
        </xdr:spPr>
        <xdr:style>
          <a:lnRef idx="0"/>
          <a:fillRef idx="0"/>
          <a:effectRef idx="0"/>
          <a:fontRef idx="minor"/>
        </xdr:style>
      </xdr:sp>
      <xdr:sp>
        <xdr:nvSpPr>
          <xdr:cNvPr id="2006" name="455 Rectángulo redondeado"/>
          <xdr:cNvSpPr/>
        </xdr:nvSpPr>
        <xdr:spPr>
          <a:xfrm rot="5400000">
            <a:off x="25549920" y="11780280"/>
            <a:ext cx="40680" cy="450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2007" name="Text Box 188"/>
          <xdr:cNvSpPr/>
        </xdr:nvSpPr>
        <xdr:spPr>
          <a:xfrm>
            <a:off x="25228800" y="11998440"/>
            <a:ext cx="699480" cy="21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Carga asociada a LN-587</a:t>
            </a:r>
            <a:endParaRPr b="0" lang="en-GB" sz="600" spc="-1" strike="noStrike">
              <a:latin typeface="Times New Roman"/>
            </a:endParaRPr>
          </a:p>
        </xdr:txBody>
      </xdr:sp>
    </xdr:grpSp>
    <xdr:clientData/>
  </xdr:twoCellAnchor>
  <xdr:twoCellAnchor editAs="twoCell">
    <xdr:from>
      <xdr:col>28</xdr:col>
      <xdr:colOff>165960</xdr:colOff>
      <xdr:row>60</xdr:row>
      <xdr:rowOff>30960</xdr:rowOff>
    </xdr:from>
    <xdr:to>
      <xdr:col>28</xdr:col>
      <xdr:colOff>236520</xdr:colOff>
      <xdr:row>60</xdr:row>
      <xdr:rowOff>102600</xdr:rowOff>
    </xdr:to>
    <xdr:sp>
      <xdr:nvSpPr>
        <xdr:cNvPr id="2008" name="455 Rectángulo redondeado"/>
        <xdr:cNvSpPr/>
      </xdr:nvSpPr>
      <xdr:spPr>
        <a:xfrm>
          <a:off x="24226200" y="11661120"/>
          <a:ext cx="70560" cy="7164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28</xdr:col>
      <xdr:colOff>46800</xdr:colOff>
      <xdr:row>59</xdr:row>
      <xdr:rowOff>125640</xdr:rowOff>
    </xdr:from>
    <xdr:to>
      <xdr:col>28</xdr:col>
      <xdr:colOff>352080</xdr:colOff>
      <xdr:row>60</xdr:row>
      <xdr:rowOff>28080</xdr:rowOff>
    </xdr:to>
    <xdr:sp>
      <xdr:nvSpPr>
        <xdr:cNvPr id="2009" name="Text Box 188"/>
        <xdr:cNvSpPr/>
      </xdr:nvSpPr>
      <xdr:spPr>
        <a:xfrm>
          <a:off x="24107040" y="11565000"/>
          <a:ext cx="305280" cy="932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400" spc="-1" strike="noStrike">
              <a:solidFill>
                <a:srgbClr val="000000"/>
              </a:solidFill>
              <a:latin typeface="Arial"/>
              <a:ea typeface="MS PGothic"/>
            </a:rPr>
            <a:t>N.C.</a:t>
          </a:r>
          <a:endParaRPr b="0" lang="en-GB" sz="400" spc="-1" strike="noStrike">
            <a:latin typeface="Times New Roman"/>
          </a:endParaRPr>
        </a:p>
      </xdr:txBody>
    </xdr:sp>
    <xdr:clientData/>
  </xdr:twoCellAnchor>
  <xdr:twoCellAnchor editAs="twoCell">
    <xdr:from>
      <xdr:col>25</xdr:col>
      <xdr:colOff>606600</xdr:colOff>
      <xdr:row>62</xdr:row>
      <xdr:rowOff>29880</xdr:rowOff>
    </xdr:from>
    <xdr:to>
      <xdr:col>26</xdr:col>
      <xdr:colOff>407880</xdr:colOff>
      <xdr:row>63</xdr:row>
      <xdr:rowOff>29520</xdr:rowOff>
    </xdr:to>
    <xdr:sp>
      <xdr:nvSpPr>
        <xdr:cNvPr id="2010" name="Text Box 173"/>
        <xdr:cNvSpPr/>
      </xdr:nvSpPr>
      <xdr:spPr>
        <a:xfrm>
          <a:off x="22152240" y="12040920"/>
          <a:ext cx="639360" cy="190080"/>
        </a:xfrm>
        <a:prstGeom prst="rect">
          <a:avLst/>
        </a:prstGeom>
        <a:noFill/>
        <a:ln w="9525">
          <a:noFill/>
        </a:ln>
      </xdr:spPr>
      <xdr:style>
        <a:lnRef idx="0"/>
        <a:fillRef idx="0"/>
        <a:effectRef idx="0"/>
        <a:fontRef idx="minor"/>
      </xdr:style>
    </xdr:sp>
    <xdr:clientData/>
  </xdr:twoCellAnchor>
  <xdr:twoCellAnchor editAs="twoCell">
    <xdr:from>
      <xdr:col>25</xdr:col>
      <xdr:colOff>570960</xdr:colOff>
      <xdr:row>60</xdr:row>
      <xdr:rowOff>62280</xdr:rowOff>
    </xdr:from>
    <xdr:to>
      <xdr:col>25</xdr:col>
      <xdr:colOff>693000</xdr:colOff>
      <xdr:row>63</xdr:row>
      <xdr:rowOff>135000</xdr:rowOff>
    </xdr:to>
    <xdr:sp>
      <xdr:nvSpPr>
        <xdr:cNvPr id="2011" name="399 Rectángulo"/>
        <xdr:cNvSpPr/>
      </xdr:nvSpPr>
      <xdr:spPr>
        <a:xfrm>
          <a:off x="22116600" y="11692440"/>
          <a:ext cx="122040" cy="644040"/>
        </a:xfrm>
        <a:prstGeom prst="rect">
          <a:avLst/>
        </a:prstGeom>
        <a:solidFill>
          <a:schemeClr val="accent4">
            <a:lumMod val="40000"/>
            <a:lumOff val="60000"/>
            <a:alpha val="39000"/>
          </a:schemeClr>
        </a:solidFill>
        <a:ln>
          <a:no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24</xdr:col>
      <xdr:colOff>693000</xdr:colOff>
      <xdr:row>6</xdr:row>
      <xdr:rowOff>173160</xdr:rowOff>
    </xdr:from>
    <xdr:to>
      <xdr:col>44</xdr:col>
      <xdr:colOff>211320</xdr:colOff>
      <xdr:row>45</xdr:row>
      <xdr:rowOff>187200</xdr:rowOff>
    </xdr:to>
    <xdr:grpSp>
      <xdr:nvGrpSpPr>
        <xdr:cNvPr id="2012" name="Grupo 598"/>
        <xdr:cNvGrpSpPr/>
      </xdr:nvGrpSpPr>
      <xdr:grpSpPr>
        <a:xfrm>
          <a:off x="21400200" y="1478160"/>
          <a:ext cx="16282440" cy="7453080"/>
          <a:chOff x="21400200" y="1478160"/>
          <a:chExt cx="16282440" cy="7453080"/>
        </a:xfrm>
      </xdr:grpSpPr>
      <xdr:sp>
        <xdr:nvSpPr>
          <xdr:cNvPr id="2013" name="Rectangle 137"/>
          <xdr:cNvSpPr/>
        </xdr:nvSpPr>
        <xdr:spPr>
          <a:xfrm>
            <a:off x="21400200" y="7323840"/>
            <a:ext cx="315000" cy="281880"/>
          </a:xfrm>
          <a:prstGeom prst="rect">
            <a:avLst/>
          </a:prstGeom>
          <a:solidFill>
            <a:srgbClr val="b8cce4">
              <a:alpha val="20000"/>
            </a:srgbClr>
          </a:solidFill>
          <a:ln w="9525">
            <a:noFill/>
          </a:ln>
          <a:effectLst>
            <a:outerShdw algn="ctr" dir="3806096" dist="28174" rotWithShape="0">
              <a:srgbClr val="7f7f7f">
                <a:alpha val="50000"/>
              </a:srgbClr>
            </a:outerShdw>
          </a:effectLst>
        </xdr:spPr>
        <xdr:style>
          <a:lnRef idx="0"/>
          <a:fillRef idx="0"/>
          <a:effectRef idx="0"/>
          <a:fontRef idx="minor"/>
        </xdr:style>
        <xdr:txBody>
          <a:bodyPr vertOverflow="clip" lIns="0" rIns="0" tIns="0" bIns="0" anchor="t" upright="1">
            <a:noAutofit/>
          </a:bodyPr>
          <a:p>
            <a:pPr>
              <a:lnSpc>
                <a:spcPct val="100000"/>
              </a:lnSpc>
            </a:pPr>
            <a:r>
              <a:rPr b="0" lang="es-CO" sz="1200" spc="-1" strike="noStrike">
                <a:solidFill>
                  <a:srgbClr val="000000"/>
                </a:solidFill>
                <a:latin typeface="Arial"/>
              </a:rPr>
              <a:t> </a:t>
            </a:r>
            <a:endParaRPr b="0" lang="en-GB" sz="1200" spc="-1" strike="noStrike">
              <a:latin typeface="Times New Roman"/>
            </a:endParaRPr>
          </a:p>
        </xdr:txBody>
      </xdr:sp>
      <xdr:sp>
        <xdr:nvSpPr>
          <xdr:cNvPr id="2014" name="Text Box 100"/>
          <xdr:cNvSpPr/>
        </xdr:nvSpPr>
        <xdr:spPr>
          <a:xfrm>
            <a:off x="21719520" y="7300080"/>
            <a:ext cx="1406520" cy="43200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900" spc="-1" strike="noStrike">
                <a:solidFill>
                  <a:srgbClr val="40637a"/>
                </a:solidFill>
                <a:latin typeface="Arial"/>
              </a:rPr>
              <a:t>Nueva Subestación San Juan 110kV</a:t>
            </a:r>
            <a:endParaRPr b="0" lang="en-GB" sz="900" spc="-1" strike="noStrike">
              <a:latin typeface="Times New Roman"/>
            </a:endParaRPr>
          </a:p>
          <a:p>
            <a:pPr>
              <a:lnSpc>
                <a:spcPct val="100000"/>
              </a:lnSpc>
            </a:pPr>
            <a:r>
              <a:rPr b="0" lang="es-CO" sz="900" spc="-1" strike="noStrike">
                <a:solidFill>
                  <a:srgbClr val="40637a"/>
                </a:solidFill>
                <a:latin typeface="Arial"/>
              </a:rPr>
              <a:t> </a:t>
            </a:r>
            <a:endParaRPr b="0" lang="en-GB" sz="900" spc="-1" strike="noStrike">
              <a:latin typeface="Times New Roman"/>
            </a:endParaRPr>
          </a:p>
        </xdr:txBody>
      </xdr:sp>
      <xdr:sp>
        <xdr:nvSpPr>
          <xdr:cNvPr id="2015" name="399 Rectángulo"/>
          <xdr:cNvSpPr/>
        </xdr:nvSpPr>
        <xdr:spPr>
          <a:xfrm rot="5400000">
            <a:off x="21448080" y="7780680"/>
            <a:ext cx="243720" cy="315000"/>
          </a:xfrm>
          <a:prstGeom prst="rect">
            <a:avLst/>
          </a:prstGeom>
          <a:pattFill prst="openDmnd">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016" name="Text Box 100"/>
          <xdr:cNvSpPr/>
        </xdr:nvSpPr>
        <xdr:spPr>
          <a:xfrm>
            <a:off x="21684960" y="7740720"/>
            <a:ext cx="1406520" cy="43632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900" spc="-1" strike="noStrike">
                <a:solidFill>
                  <a:srgbClr val="40637a"/>
                </a:solidFill>
                <a:latin typeface="Arial"/>
              </a:rPr>
              <a:t>Nueva Subestación Bureche 110kV</a:t>
            </a:r>
            <a:endParaRPr b="0" lang="en-GB" sz="900" spc="-1" strike="noStrike">
              <a:latin typeface="Times New Roman"/>
            </a:endParaRPr>
          </a:p>
          <a:p>
            <a:pPr>
              <a:lnSpc>
                <a:spcPct val="100000"/>
              </a:lnSpc>
            </a:pPr>
            <a:r>
              <a:rPr b="0" lang="es-CO" sz="900" spc="-1" strike="noStrike">
                <a:solidFill>
                  <a:srgbClr val="40637a"/>
                </a:solidFill>
                <a:latin typeface="Arial"/>
              </a:rPr>
              <a:t> </a:t>
            </a:r>
            <a:endParaRPr b="0" lang="en-GB" sz="900" spc="-1" strike="noStrike">
              <a:latin typeface="Times New Roman"/>
            </a:endParaRPr>
          </a:p>
        </xdr:txBody>
      </xdr:sp>
      <xdr:sp>
        <xdr:nvSpPr>
          <xdr:cNvPr id="2017" name="399 Rectángulo"/>
          <xdr:cNvSpPr/>
        </xdr:nvSpPr>
        <xdr:spPr>
          <a:xfrm>
            <a:off x="21427560" y="8222760"/>
            <a:ext cx="310320" cy="208080"/>
          </a:xfrm>
          <a:prstGeom prst="rect">
            <a:avLst/>
          </a:prstGeom>
          <a:pattFill prst="ltDnDiag">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018" name="Text Box 100"/>
          <xdr:cNvSpPr/>
        </xdr:nvSpPr>
        <xdr:spPr>
          <a:xfrm>
            <a:off x="21695400" y="8127360"/>
            <a:ext cx="1406520" cy="43020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900" spc="-1" strike="noStrike">
                <a:solidFill>
                  <a:srgbClr val="40637a"/>
                </a:solidFill>
                <a:latin typeface="Arial"/>
              </a:rPr>
              <a:t>Nueva Subestación Guacamayal 110kV</a:t>
            </a:r>
            <a:endParaRPr b="0" lang="en-GB" sz="900" spc="-1" strike="noStrike">
              <a:latin typeface="Times New Roman"/>
            </a:endParaRPr>
          </a:p>
          <a:p>
            <a:pPr>
              <a:lnSpc>
                <a:spcPct val="100000"/>
              </a:lnSpc>
            </a:pPr>
            <a:r>
              <a:rPr b="0" lang="es-CO" sz="900" spc="-1" strike="noStrike">
                <a:solidFill>
                  <a:srgbClr val="40637a"/>
                </a:solidFill>
                <a:latin typeface="Arial"/>
              </a:rPr>
              <a:t> </a:t>
            </a:r>
            <a:endParaRPr b="0" lang="en-GB" sz="900" spc="-1" strike="noStrike">
              <a:latin typeface="Times New Roman"/>
            </a:endParaRPr>
          </a:p>
        </xdr:txBody>
      </xdr:sp>
      <xdr:cxnSp>
        <xdr:nvCxnSpPr>
          <xdr:cNvPr id="2019" name="Conector recto 605"/>
          <xdr:cNvCxnSpPr/>
        </xdr:nvCxnSpPr>
        <xdr:spPr>
          <a:xfrm>
            <a:off x="36543600" y="8367840"/>
            <a:ext cx="536040" cy="360"/>
          </a:xfrm>
          <a:prstGeom prst="straightConnector1">
            <a:avLst/>
          </a:prstGeom>
          <a:ln w="25400">
            <a:solidFill>
              <a:srgbClr val="ff0000"/>
            </a:solidFill>
          </a:ln>
        </xdr:spPr>
      </xdr:cxnSp>
      <xdr:sp>
        <xdr:nvSpPr>
          <xdr:cNvPr id="2020" name="CuadroTexto 606"/>
          <xdr:cNvSpPr/>
        </xdr:nvSpPr>
        <xdr:spPr>
          <a:xfrm>
            <a:off x="37078560" y="8078040"/>
            <a:ext cx="507600" cy="245520"/>
          </a:xfrm>
          <a:prstGeom prst="rect">
            <a:avLst/>
          </a:prstGeom>
          <a:noFill/>
          <a:ln w="0">
            <a:noFill/>
          </a:ln>
        </xdr:spPr>
        <xdr:style>
          <a:lnRef idx="0"/>
          <a:fillRef idx="0"/>
          <a:effectRef idx="0"/>
          <a:fontRef idx="minor"/>
        </xdr:style>
        <xdr:txBody>
          <a:bodyPr wrap="none" horzOverflow="clip" vertOverflow="clip" lIns="90000" rIns="90000" tIns="45000" bIns="45000" anchor="t">
            <a:spAutoFit/>
          </a:bodyPr>
          <a:p>
            <a:pPr>
              <a:lnSpc>
                <a:spcPct val="100000"/>
              </a:lnSpc>
            </a:pPr>
            <a:r>
              <a:rPr b="0" lang="es-CO" sz="900" spc="-1" strike="noStrike">
                <a:solidFill>
                  <a:srgbClr val="000000"/>
                </a:solidFill>
                <a:latin typeface="Calibri"/>
              </a:rPr>
              <a:t>220kV</a:t>
            </a:r>
            <a:endParaRPr b="0" lang="en-GB" sz="900" spc="-1" strike="noStrike">
              <a:latin typeface="Times New Roman"/>
            </a:endParaRPr>
          </a:p>
        </xdr:txBody>
      </xdr:sp>
      <xdr:cxnSp>
        <xdr:nvCxnSpPr>
          <xdr:cNvPr id="2021" name="Conector recto 607"/>
          <xdr:cNvCxnSpPr/>
        </xdr:nvCxnSpPr>
        <xdr:spPr>
          <a:xfrm>
            <a:off x="36543240" y="8201520"/>
            <a:ext cx="536400" cy="360"/>
          </a:xfrm>
          <a:prstGeom prst="straightConnector1">
            <a:avLst/>
          </a:prstGeom>
          <a:ln w="25400">
            <a:solidFill>
              <a:srgbClr val="0000ff"/>
            </a:solidFill>
            <a:round/>
          </a:ln>
        </xdr:spPr>
      </xdr:cxnSp>
      <xdr:sp>
        <xdr:nvSpPr>
          <xdr:cNvPr id="2022" name="CuadroTexto 608"/>
          <xdr:cNvSpPr/>
        </xdr:nvSpPr>
        <xdr:spPr>
          <a:xfrm>
            <a:off x="37068120" y="8258760"/>
            <a:ext cx="507600" cy="245520"/>
          </a:xfrm>
          <a:prstGeom prst="rect">
            <a:avLst/>
          </a:prstGeom>
          <a:noFill/>
          <a:ln w="0">
            <a:noFill/>
          </a:ln>
        </xdr:spPr>
        <xdr:style>
          <a:lnRef idx="0"/>
          <a:fillRef idx="0"/>
          <a:effectRef idx="0"/>
          <a:fontRef idx="minor"/>
        </xdr:style>
        <xdr:txBody>
          <a:bodyPr wrap="none" horzOverflow="clip" vertOverflow="clip" lIns="90000" rIns="90000" tIns="45000" bIns="45000" anchor="t">
            <a:spAutoFit/>
          </a:bodyPr>
          <a:p>
            <a:pPr>
              <a:lnSpc>
                <a:spcPct val="100000"/>
              </a:lnSpc>
            </a:pPr>
            <a:r>
              <a:rPr b="0" lang="es-CO" sz="900" spc="-1" strike="noStrike">
                <a:solidFill>
                  <a:srgbClr val="000000"/>
                </a:solidFill>
                <a:latin typeface="Calibri"/>
              </a:rPr>
              <a:t>110kV</a:t>
            </a:r>
            <a:endParaRPr b="0" lang="en-GB" sz="900" spc="-1" strike="noStrike">
              <a:latin typeface="Times New Roman"/>
            </a:endParaRPr>
          </a:p>
        </xdr:txBody>
      </xdr:sp>
      <xdr:cxnSp>
        <xdr:nvCxnSpPr>
          <xdr:cNvPr id="2023" name="Conector recto 609"/>
          <xdr:cNvCxnSpPr/>
        </xdr:nvCxnSpPr>
        <xdr:spPr>
          <a:xfrm>
            <a:off x="36542880" y="8529480"/>
            <a:ext cx="536040" cy="360"/>
          </a:xfrm>
          <a:prstGeom prst="straightConnector1">
            <a:avLst/>
          </a:prstGeom>
          <a:ln w="25400">
            <a:solidFill>
              <a:srgbClr val="ffcc00"/>
            </a:solidFill>
            <a:round/>
          </a:ln>
        </xdr:spPr>
      </xdr:cxnSp>
      <xdr:sp>
        <xdr:nvSpPr>
          <xdr:cNvPr id="2024" name="CuadroTexto 610"/>
          <xdr:cNvSpPr/>
        </xdr:nvSpPr>
        <xdr:spPr>
          <a:xfrm>
            <a:off x="37058040" y="8420760"/>
            <a:ext cx="538200" cy="245520"/>
          </a:xfrm>
          <a:prstGeom prst="rect">
            <a:avLst/>
          </a:prstGeom>
          <a:noFill/>
          <a:ln w="0">
            <a:noFill/>
          </a:ln>
        </xdr:spPr>
        <xdr:style>
          <a:lnRef idx="0"/>
          <a:fillRef idx="0"/>
          <a:effectRef idx="0"/>
          <a:fontRef idx="minor"/>
        </xdr:style>
        <xdr:txBody>
          <a:bodyPr wrap="none" horzOverflow="clip" vertOverflow="clip" lIns="90000" rIns="90000" tIns="45000" bIns="45000" anchor="t">
            <a:spAutoFit/>
          </a:bodyPr>
          <a:p>
            <a:pPr>
              <a:lnSpc>
                <a:spcPct val="100000"/>
              </a:lnSpc>
            </a:pPr>
            <a:r>
              <a:rPr b="0" lang="es-CO" sz="900" spc="-1" strike="noStrike">
                <a:solidFill>
                  <a:srgbClr val="000000"/>
                </a:solidFill>
                <a:latin typeface="Calibri"/>
              </a:rPr>
              <a:t>34,5kV</a:t>
            </a:r>
            <a:endParaRPr b="0" lang="en-GB" sz="900" spc="-1" strike="noStrike">
              <a:latin typeface="Times New Roman"/>
            </a:endParaRPr>
          </a:p>
        </xdr:txBody>
      </xdr:sp>
      <xdr:sp>
        <xdr:nvSpPr>
          <xdr:cNvPr id="2025" name="Rectángulo 611"/>
          <xdr:cNvSpPr/>
        </xdr:nvSpPr>
        <xdr:spPr>
          <a:xfrm>
            <a:off x="36416880" y="8037720"/>
            <a:ext cx="1265760" cy="649440"/>
          </a:xfrm>
          <a:prstGeom prst="rect">
            <a:avLst/>
          </a:prstGeom>
          <a:noFill/>
          <a:ln>
            <a:solidFill>
              <a:srgbClr val="1d3155"/>
            </a:solidFill>
          </a:ln>
        </xdr:spPr>
        <xdr:style>
          <a:lnRef idx="2">
            <a:schemeClr val="accent1">
              <a:shade val="15000"/>
            </a:schemeClr>
          </a:lnRef>
          <a:fillRef idx="1">
            <a:schemeClr val="accent1"/>
          </a:fillRef>
          <a:effectRef idx="0">
            <a:schemeClr val="accent1"/>
          </a:effectRef>
          <a:fontRef idx="minor"/>
        </xdr:style>
      </xdr:sp>
      <xdr:sp>
        <xdr:nvSpPr>
          <xdr:cNvPr id="2026" name="399 Rectángulo"/>
          <xdr:cNvSpPr/>
        </xdr:nvSpPr>
        <xdr:spPr>
          <a:xfrm>
            <a:off x="21438000" y="8566200"/>
            <a:ext cx="296280" cy="216360"/>
          </a:xfrm>
          <a:prstGeom prst="rect">
            <a:avLst/>
          </a:prstGeom>
          <a:pattFill prst="wdUpDiag">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027" name="Text Box 100"/>
          <xdr:cNvSpPr/>
        </xdr:nvSpPr>
        <xdr:spPr>
          <a:xfrm>
            <a:off x="21717720" y="8499240"/>
            <a:ext cx="1406520" cy="43200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900" spc="-1" strike="noStrike">
                <a:solidFill>
                  <a:srgbClr val="40637a"/>
                </a:solidFill>
                <a:latin typeface="Arial"/>
              </a:rPr>
              <a:t>Nueva Subestación Uribia 110kV</a:t>
            </a:r>
            <a:endParaRPr b="0" lang="en-GB" sz="900" spc="-1" strike="noStrike">
              <a:latin typeface="Times New Roman"/>
            </a:endParaRPr>
          </a:p>
          <a:p>
            <a:pPr>
              <a:lnSpc>
                <a:spcPct val="100000"/>
              </a:lnSpc>
            </a:pPr>
            <a:r>
              <a:rPr b="0" lang="es-CO" sz="900" spc="-1" strike="noStrike">
                <a:solidFill>
                  <a:srgbClr val="40637a"/>
                </a:solidFill>
                <a:latin typeface="Arial"/>
              </a:rPr>
              <a:t> </a:t>
            </a:r>
            <a:endParaRPr b="0" lang="en-GB" sz="900" spc="-1" strike="noStrike">
              <a:latin typeface="Times New Roman"/>
            </a:endParaRPr>
          </a:p>
        </xdr:txBody>
      </xdr:sp>
      <xdr:grpSp>
        <xdr:nvGrpSpPr>
          <xdr:cNvPr id="2028" name="Grupo 614"/>
          <xdr:cNvGrpSpPr/>
        </xdr:nvGrpSpPr>
        <xdr:grpSpPr>
          <a:xfrm>
            <a:off x="22393440" y="1478160"/>
            <a:ext cx="14788440" cy="6123960"/>
            <a:chOff x="22393440" y="1478160"/>
            <a:chExt cx="14788440" cy="6123960"/>
          </a:xfrm>
        </xdr:grpSpPr>
        <xdr:sp>
          <xdr:nvSpPr>
            <xdr:cNvPr id="2029" name="399 Rectángulo"/>
            <xdr:cNvSpPr/>
          </xdr:nvSpPr>
          <xdr:spPr>
            <a:xfrm>
              <a:off x="28828440" y="4509000"/>
              <a:ext cx="228600" cy="1125720"/>
            </a:xfrm>
            <a:prstGeom prst="rect">
              <a:avLst/>
            </a:prstGeom>
            <a:pattFill prst="wdUpDiag">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030" name="399 Rectángulo"/>
            <xdr:cNvSpPr/>
          </xdr:nvSpPr>
          <xdr:spPr>
            <a:xfrm>
              <a:off x="28454400" y="5571720"/>
              <a:ext cx="621360" cy="172440"/>
            </a:xfrm>
            <a:prstGeom prst="rect">
              <a:avLst/>
            </a:prstGeom>
            <a:pattFill prst="wdUpDiag">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031" name="399 Rectángulo"/>
            <xdr:cNvSpPr/>
          </xdr:nvSpPr>
          <xdr:spPr>
            <a:xfrm>
              <a:off x="28469520" y="5845680"/>
              <a:ext cx="1191960" cy="174240"/>
            </a:xfrm>
            <a:prstGeom prst="rect">
              <a:avLst/>
            </a:prstGeom>
            <a:pattFill prst="wdUpDiag">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032" name="399 Rectángulo"/>
            <xdr:cNvSpPr/>
          </xdr:nvSpPr>
          <xdr:spPr>
            <a:xfrm>
              <a:off x="28465920" y="6157440"/>
              <a:ext cx="1191960" cy="174240"/>
            </a:xfrm>
            <a:prstGeom prst="rect">
              <a:avLst/>
            </a:prstGeom>
            <a:pattFill prst="wdUpDiag">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033" name="399 Rectángulo"/>
            <xdr:cNvSpPr/>
          </xdr:nvSpPr>
          <xdr:spPr>
            <a:xfrm>
              <a:off x="33989760" y="5801400"/>
              <a:ext cx="181080" cy="641160"/>
            </a:xfrm>
            <a:prstGeom prst="rect">
              <a:avLst/>
            </a:prstGeom>
            <a:pattFill prst="ltDnDiag">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034" name="399 Rectángulo"/>
            <xdr:cNvSpPr/>
          </xdr:nvSpPr>
          <xdr:spPr>
            <a:xfrm rot="10800000">
              <a:off x="33073200" y="4966920"/>
              <a:ext cx="1927800" cy="231840"/>
            </a:xfrm>
            <a:prstGeom prst="rect">
              <a:avLst/>
            </a:prstGeom>
            <a:pattFill prst="ltDnDiag">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035" name="399 Rectángulo"/>
            <xdr:cNvSpPr/>
          </xdr:nvSpPr>
          <xdr:spPr>
            <a:xfrm>
              <a:off x="32751720" y="4429080"/>
              <a:ext cx="227880" cy="347040"/>
            </a:xfrm>
            <a:prstGeom prst="rect">
              <a:avLst/>
            </a:prstGeom>
            <a:pattFill prst="ltDnDiag">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036" name="399 Rectángulo"/>
            <xdr:cNvSpPr/>
          </xdr:nvSpPr>
          <xdr:spPr>
            <a:xfrm>
              <a:off x="33046200" y="4434120"/>
              <a:ext cx="214920" cy="342720"/>
            </a:xfrm>
            <a:prstGeom prst="rect">
              <a:avLst/>
            </a:prstGeom>
            <a:pattFill prst="ltDnDiag">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037" name="399 Rectángulo"/>
            <xdr:cNvSpPr/>
          </xdr:nvSpPr>
          <xdr:spPr>
            <a:xfrm>
              <a:off x="34903080" y="2483280"/>
              <a:ext cx="165960" cy="574560"/>
            </a:xfrm>
            <a:prstGeom prst="rect">
              <a:avLst/>
            </a:prstGeom>
            <a:pattFill prst="openDmnd">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038" name="399 Rectángulo"/>
            <xdr:cNvSpPr/>
          </xdr:nvSpPr>
          <xdr:spPr>
            <a:xfrm rot="5400000">
              <a:off x="34676280" y="2670840"/>
              <a:ext cx="203040" cy="576360"/>
            </a:xfrm>
            <a:prstGeom prst="rect">
              <a:avLst/>
            </a:prstGeom>
            <a:pattFill prst="openDmnd">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039" name="399 Rectángulo"/>
            <xdr:cNvSpPr/>
          </xdr:nvSpPr>
          <xdr:spPr>
            <a:xfrm rot="5400000">
              <a:off x="34828560" y="2756880"/>
              <a:ext cx="203040" cy="877680"/>
            </a:xfrm>
            <a:prstGeom prst="rect">
              <a:avLst/>
            </a:prstGeom>
            <a:pattFill prst="openDmnd">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040" name="399 Rectángulo"/>
            <xdr:cNvSpPr/>
          </xdr:nvSpPr>
          <xdr:spPr>
            <a:xfrm rot="5400000">
              <a:off x="34832160" y="3134880"/>
              <a:ext cx="203040" cy="877680"/>
            </a:xfrm>
            <a:prstGeom prst="rect">
              <a:avLst/>
            </a:prstGeom>
            <a:pattFill prst="openDmnd">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cxnSp>
          <xdr:nvCxnSpPr>
            <xdr:cNvPr id="2041" name="AutoShape 5"/>
            <xdr:cNvCxnSpPr/>
          </xdr:nvCxnSpPr>
          <xdr:spPr>
            <a:xfrm>
              <a:off x="25354800" y="1735920"/>
              <a:ext cx="4425480" cy="360"/>
            </a:xfrm>
            <a:prstGeom prst="straightConnector1">
              <a:avLst/>
            </a:prstGeom>
            <a:ln w="25400">
              <a:solidFill>
                <a:srgbClr val="0000ff"/>
              </a:solidFill>
              <a:round/>
            </a:ln>
          </xdr:spPr>
        </xdr:cxnSp>
        <xdr:cxnSp>
          <xdr:nvCxnSpPr>
            <xdr:cNvPr id="2042" name="AutoShape 36"/>
            <xdr:cNvCxnSpPr/>
          </xdr:nvCxnSpPr>
          <xdr:spPr>
            <a:xfrm>
              <a:off x="25369560" y="2850840"/>
              <a:ext cx="4512960" cy="360"/>
            </a:xfrm>
            <a:prstGeom prst="straightConnector1">
              <a:avLst/>
            </a:prstGeom>
            <a:ln w="25400">
              <a:solidFill>
                <a:srgbClr val="ff0000"/>
              </a:solidFill>
              <a:round/>
            </a:ln>
          </xdr:spPr>
        </xdr:cxnSp>
        <xdr:sp>
          <xdr:nvSpPr>
            <xdr:cNvPr id="2043" name="Text Box 40"/>
            <xdr:cNvSpPr/>
          </xdr:nvSpPr>
          <xdr:spPr>
            <a:xfrm>
              <a:off x="26962200" y="1478160"/>
              <a:ext cx="1618560" cy="27936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Calibri"/>
                </a:rPr>
                <a:t>Cuestecitas 220 kV</a:t>
              </a:r>
              <a:endParaRPr b="0" lang="en-GB" sz="1050" spc="-1" strike="noStrike">
                <a:latin typeface="Times New Roman"/>
              </a:endParaRPr>
            </a:p>
            <a:p>
              <a:pPr>
                <a:lnSpc>
                  <a:spcPct val="100000"/>
                </a:lnSpc>
              </a:pPr>
              <a:endParaRPr b="0" lang="en-GB" sz="1050" spc="-1" strike="noStrike">
                <a:latin typeface="Times New Roman"/>
              </a:endParaRPr>
            </a:p>
          </xdr:txBody>
        </xdr:sp>
        <xdr:sp>
          <xdr:nvSpPr>
            <xdr:cNvPr id="2044" name="Text Box 41"/>
            <xdr:cNvSpPr/>
          </xdr:nvSpPr>
          <xdr:spPr>
            <a:xfrm>
              <a:off x="24841440" y="2885400"/>
              <a:ext cx="1618560" cy="27936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Calibri"/>
                </a:rPr>
                <a:t>Cuestecitas 110 kV</a:t>
              </a:r>
              <a:endParaRPr b="0" lang="en-GB" sz="1050" spc="-1" strike="noStrike">
                <a:latin typeface="Times New Roman"/>
              </a:endParaRPr>
            </a:p>
            <a:p>
              <a:pPr>
                <a:lnSpc>
                  <a:spcPct val="100000"/>
                </a:lnSpc>
              </a:pPr>
              <a:endParaRPr b="0" lang="en-GB" sz="1050" spc="-1" strike="noStrike">
                <a:latin typeface="Times New Roman"/>
              </a:endParaRPr>
            </a:p>
          </xdr:txBody>
        </xdr:sp>
        <xdr:sp>
          <xdr:nvSpPr>
            <xdr:cNvPr id="2045" name="Text Box 62"/>
            <xdr:cNvSpPr/>
          </xdr:nvSpPr>
          <xdr:spPr>
            <a:xfrm>
              <a:off x="25135560" y="2064600"/>
              <a:ext cx="774720" cy="59688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Calibri"/>
                </a:rPr>
                <a:t>100</a:t>
              </a:r>
              <a:endParaRPr b="0" lang="en-GB" sz="1050" spc="-1" strike="noStrike">
                <a:latin typeface="Times New Roman"/>
              </a:endParaRPr>
            </a:p>
            <a:p>
              <a:pPr>
                <a:lnSpc>
                  <a:spcPct val="100000"/>
                </a:lnSpc>
              </a:pPr>
              <a:r>
                <a:rPr b="0" lang="es-CO" sz="1050" spc="-1" strike="noStrike">
                  <a:solidFill>
                    <a:srgbClr val="40637a"/>
                  </a:solidFill>
                  <a:latin typeface="Calibri"/>
                </a:rPr>
                <a:t>MVA</a:t>
              </a:r>
              <a:endParaRPr b="0" lang="en-GB" sz="1050" spc="-1" strike="noStrike">
                <a:latin typeface="Times New Roman"/>
              </a:endParaRPr>
            </a:p>
            <a:p>
              <a:pPr>
                <a:lnSpc>
                  <a:spcPct val="100000"/>
                </a:lnSpc>
              </a:pPr>
              <a:endParaRPr b="0" lang="en-GB" sz="1050" spc="-1" strike="noStrike">
                <a:latin typeface="Times New Roman"/>
              </a:endParaRPr>
            </a:p>
          </xdr:txBody>
        </xdr:sp>
        <xdr:sp>
          <xdr:nvSpPr>
            <xdr:cNvPr id="2046" name="Line 146"/>
            <xdr:cNvSpPr/>
          </xdr:nvSpPr>
          <xdr:spPr>
            <a:xfrm>
              <a:off x="25863120" y="1735920"/>
              <a:ext cx="360" cy="371160"/>
            </a:xfrm>
            <a:prstGeom prst="line">
              <a:avLst/>
            </a:prstGeom>
            <a:ln w="25400">
              <a:solidFill>
                <a:srgbClr val="0000ff"/>
              </a:solidFill>
              <a:round/>
            </a:ln>
          </xdr:spPr>
          <xdr:style>
            <a:lnRef idx="0"/>
            <a:fillRef idx="0"/>
            <a:effectRef idx="0"/>
            <a:fontRef idx="minor"/>
          </xdr:style>
        </xdr:sp>
        <xdr:sp>
          <xdr:nvSpPr>
            <xdr:cNvPr id="2047" name="379 Rectángulo redondeado"/>
            <xdr:cNvSpPr/>
          </xdr:nvSpPr>
          <xdr:spPr>
            <a:xfrm>
              <a:off x="25816320" y="1809000"/>
              <a:ext cx="90360" cy="87840"/>
            </a:xfrm>
            <a:prstGeom prst="roundRect">
              <a:avLst>
                <a:gd name="adj" fmla="val 16667"/>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xdr:style>
        </xdr:sp>
        <xdr:grpSp>
          <xdr:nvGrpSpPr>
            <xdr:cNvPr id="2048" name="Grupo 634"/>
            <xdr:cNvGrpSpPr/>
          </xdr:nvGrpSpPr>
          <xdr:grpSpPr>
            <a:xfrm>
              <a:off x="25706160" y="2111400"/>
              <a:ext cx="616680" cy="732240"/>
              <a:chOff x="25706160" y="2111400"/>
              <a:chExt cx="616680" cy="732240"/>
            </a:xfrm>
          </xdr:grpSpPr>
          <xdr:grpSp>
            <xdr:nvGrpSpPr>
              <xdr:cNvPr id="2049" name="Group 25"/>
              <xdr:cNvGrpSpPr/>
            </xdr:nvGrpSpPr>
            <xdr:grpSpPr>
              <a:xfrm>
                <a:off x="25706160" y="2111400"/>
                <a:ext cx="616680" cy="732240"/>
                <a:chOff x="25706160" y="2111400"/>
                <a:chExt cx="616680" cy="732240"/>
              </a:xfrm>
            </xdr:grpSpPr>
            <xdr:grpSp>
              <xdr:nvGrpSpPr>
                <xdr:cNvPr id="2050" name="Group 139"/>
                <xdr:cNvGrpSpPr/>
              </xdr:nvGrpSpPr>
              <xdr:grpSpPr>
                <a:xfrm>
                  <a:off x="25706160" y="2111400"/>
                  <a:ext cx="317160" cy="418680"/>
                  <a:chOff x="25706160" y="2111400"/>
                  <a:chExt cx="317160" cy="418680"/>
                </a:xfrm>
              </xdr:grpSpPr>
              <xdr:sp>
                <xdr:nvSpPr>
                  <xdr:cNvPr id="2051" name="Oval 140"/>
                  <xdr:cNvSpPr/>
                </xdr:nvSpPr>
                <xdr:spPr>
                  <a:xfrm>
                    <a:off x="25706160" y="2111400"/>
                    <a:ext cx="317160" cy="280080"/>
                  </a:xfrm>
                  <a:prstGeom prst="ellipse">
                    <a:avLst/>
                  </a:prstGeom>
                  <a:noFill/>
                  <a:ln w="12700">
                    <a:solidFill>
                      <a:srgbClr val="0000ff"/>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sp>
                <xdr:nvSpPr>
                  <xdr:cNvPr id="2052" name="Oval 141"/>
                  <xdr:cNvSpPr/>
                </xdr:nvSpPr>
                <xdr:spPr>
                  <a:xfrm>
                    <a:off x="25706160" y="2250000"/>
                    <a:ext cx="317160" cy="280080"/>
                  </a:xfrm>
                  <a:prstGeom prst="ellipse">
                    <a:avLst/>
                  </a:prstGeom>
                  <a:noFill/>
                  <a:ln w="12700">
                    <a:solidFill>
                      <a:srgbClr val="ff0000"/>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grpSp>
            <xdr:sp>
              <xdr:nvSpPr>
                <xdr:cNvPr id="2053" name="Line 29"/>
                <xdr:cNvSpPr/>
              </xdr:nvSpPr>
              <xdr:spPr>
                <a:xfrm>
                  <a:off x="25863120" y="2534400"/>
                  <a:ext cx="360" cy="309240"/>
                </a:xfrm>
                <a:prstGeom prst="line">
                  <a:avLst/>
                </a:prstGeom>
                <a:ln w="25400">
                  <a:solidFill>
                    <a:srgbClr val="ff0000"/>
                  </a:solidFill>
                  <a:round/>
                </a:ln>
              </xdr:spPr>
              <xdr:style>
                <a:lnRef idx="0"/>
                <a:fillRef idx="0"/>
                <a:effectRef idx="0"/>
                <a:fontRef idx="minor"/>
              </xdr:style>
            </xdr:sp>
            <xdr:grpSp>
              <xdr:nvGrpSpPr>
                <xdr:cNvPr id="2054" name="Group 173"/>
                <xdr:cNvGrpSpPr/>
              </xdr:nvGrpSpPr>
              <xdr:grpSpPr>
                <a:xfrm>
                  <a:off x="25829640" y="2185560"/>
                  <a:ext cx="493200" cy="311400"/>
                  <a:chOff x="25829640" y="2185560"/>
                  <a:chExt cx="493200" cy="311400"/>
                </a:xfrm>
              </xdr:grpSpPr>
              <xdr:sp>
                <xdr:nvSpPr>
                  <xdr:cNvPr id="2055" name="Oval 174"/>
                  <xdr:cNvSpPr/>
                </xdr:nvSpPr>
                <xdr:spPr>
                  <a:xfrm>
                    <a:off x="25829640" y="2216520"/>
                    <a:ext cx="317160" cy="280440"/>
                  </a:xfrm>
                  <a:prstGeom prst="ellipse">
                    <a:avLst/>
                  </a:prstGeom>
                  <a:noFill/>
                  <a:ln w="12700">
                    <a:solidFill>
                      <a:srgbClr val="ffcc00"/>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sp>
                <xdr:nvSpPr>
                  <xdr:cNvPr id="2056" name="Line 175"/>
                  <xdr:cNvSpPr/>
                </xdr:nvSpPr>
                <xdr:spPr>
                  <a:xfrm>
                    <a:off x="26322480" y="2185560"/>
                    <a:ext cx="360" cy="308520"/>
                  </a:xfrm>
                  <a:prstGeom prst="line">
                    <a:avLst/>
                  </a:prstGeom>
                  <a:ln w="25400">
                    <a:solidFill>
                      <a:srgbClr val="ffcc00"/>
                    </a:solidFill>
                    <a:round/>
                  </a:ln>
                </xdr:spPr>
                <xdr:style>
                  <a:lnRef idx="0"/>
                  <a:fillRef idx="0"/>
                  <a:effectRef idx="0"/>
                  <a:fontRef idx="minor"/>
                </xdr:style>
              </xdr:sp>
              <xdr:sp>
                <xdr:nvSpPr>
                  <xdr:cNvPr id="2057" name="Line 176"/>
                  <xdr:cNvSpPr/>
                </xdr:nvSpPr>
                <xdr:spPr>
                  <a:xfrm>
                    <a:off x="26154000" y="2333520"/>
                    <a:ext cx="168480" cy="360"/>
                  </a:xfrm>
                  <a:prstGeom prst="line">
                    <a:avLst/>
                  </a:prstGeom>
                  <a:ln w="25400">
                    <a:solidFill>
                      <a:srgbClr val="ff9900"/>
                    </a:solidFill>
                    <a:round/>
                  </a:ln>
                </xdr:spPr>
                <xdr:style>
                  <a:lnRef idx="0"/>
                  <a:fillRef idx="0"/>
                  <a:effectRef idx="0"/>
                  <a:fontRef idx="minor"/>
                </xdr:style>
              </xdr:sp>
            </xdr:grpSp>
          </xdr:grpSp>
          <xdr:sp>
            <xdr:nvSpPr>
              <xdr:cNvPr id="2058" name="382 Rectángulo redondeado"/>
              <xdr:cNvSpPr/>
            </xdr:nvSpPr>
            <xdr:spPr>
              <a:xfrm>
                <a:off x="25816320" y="2680200"/>
                <a:ext cx="90360" cy="878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sp>
          <xdr:nvSpPr>
            <xdr:cNvPr id="2059" name="Text Box 76"/>
            <xdr:cNvSpPr/>
          </xdr:nvSpPr>
          <xdr:spPr>
            <a:xfrm>
              <a:off x="26448480" y="2051640"/>
              <a:ext cx="554040" cy="54720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Calibri"/>
                </a:rPr>
                <a:t>  </a:t>
              </a:r>
              <a:r>
                <a:rPr b="0" lang="es-CO" sz="1050" spc="-1" strike="noStrike">
                  <a:solidFill>
                    <a:srgbClr val="40637a"/>
                  </a:solidFill>
                  <a:latin typeface="Calibri"/>
                </a:rPr>
                <a:t>60</a:t>
              </a:r>
              <a:endParaRPr b="0" lang="en-GB" sz="1050" spc="-1" strike="noStrike">
                <a:latin typeface="Times New Roman"/>
              </a:endParaRPr>
            </a:p>
            <a:p>
              <a:pPr>
                <a:lnSpc>
                  <a:spcPct val="100000"/>
                </a:lnSpc>
              </a:pPr>
              <a:r>
                <a:rPr b="0" lang="es-CO" sz="1050" spc="-1" strike="noStrike">
                  <a:solidFill>
                    <a:srgbClr val="40637a"/>
                  </a:solidFill>
                  <a:latin typeface="Calibri"/>
                </a:rPr>
                <a:t>MVA</a:t>
              </a:r>
              <a:endParaRPr b="0" lang="en-GB" sz="1050" spc="-1" strike="noStrike">
                <a:latin typeface="Times New Roman"/>
              </a:endParaRPr>
            </a:p>
            <a:p>
              <a:pPr>
                <a:lnSpc>
                  <a:spcPct val="100000"/>
                </a:lnSpc>
              </a:pPr>
              <a:endParaRPr b="0" lang="en-GB" sz="1050" spc="-1" strike="noStrike">
                <a:latin typeface="Times New Roman"/>
              </a:endParaRPr>
            </a:p>
          </xdr:txBody>
        </xdr:sp>
        <xdr:grpSp>
          <xdr:nvGrpSpPr>
            <xdr:cNvPr id="2060" name="Grupo 636"/>
            <xdr:cNvGrpSpPr/>
          </xdr:nvGrpSpPr>
          <xdr:grpSpPr>
            <a:xfrm>
              <a:off x="26921160" y="1734120"/>
              <a:ext cx="616680" cy="1122840"/>
              <a:chOff x="26921160" y="1734120"/>
              <a:chExt cx="616680" cy="1122840"/>
            </a:xfrm>
          </xdr:grpSpPr>
          <xdr:grpSp>
            <xdr:nvGrpSpPr>
              <xdr:cNvPr id="2061" name="Group 16"/>
              <xdr:cNvGrpSpPr/>
            </xdr:nvGrpSpPr>
            <xdr:grpSpPr>
              <a:xfrm>
                <a:off x="26921160" y="2098080"/>
                <a:ext cx="616680" cy="758880"/>
                <a:chOff x="26921160" y="2098080"/>
                <a:chExt cx="616680" cy="758880"/>
              </a:xfrm>
            </xdr:grpSpPr>
            <xdr:grpSp>
              <xdr:nvGrpSpPr>
                <xdr:cNvPr id="2062" name="Group 139"/>
                <xdr:cNvGrpSpPr/>
              </xdr:nvGrpSpPr>
              <xdr:grpSpPr>
                <a:xfrm>
                  <a:off x="26921160" y="2098080"/>
                  <a:ext cx="317160" cy="417960"/>
                  <a:chOff x="26921160" y="2098080"/>
                  <a:chExt cx="317160" cy="417960"/>
                </a:xfrm>
              </xdr:grpSpPr>
              <xdr:sp>
                <xdr:nvSpPr>
                  <xdr:cNvPr id="2063" name="Oval 140"/>
                  <xdr:cNvSpPr/>
                </xdr:nvSpPr>
                <xdr:spPr>
                  <a:xfrm>
                    <a:off x="26921160" y="2098080"/>
                    <a:ext cx="317160" cy="280440"/>
                  </a:xfrm>
                  <a:prstGeom prst="ellipse">
                    <a:avLst/>
                  </a:prstGeom>
                  <a:noFill/>
                  <a:ln w="12700">
                    <a:solidFill>
                      <a:srgbClr val="0000ff"/>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sp>
                <xdr:nvSpPr>
                  <xdr:cNvPr id="2064" name="Oval 141"/>
                  <xdr:cNvSpPr/>
                </xdr:nvSpPr>
                <xdr:spPr>
                  <a:xfrm>
                    <a:off x="26921160" y="2235600"/>
                    <a:ext cx="317160" cy="280440"/>
                  </a:xfrm>
                  <a:prstGeom prst="ellipse">
                    <a:avLst/>
                  </a:prstGeom>
                  <a:noFill/>
                  <a:ln w="12700">
                    <a:solidFill>
                      <a:srgbClr val="ff0000"/>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grpSp>
            <xdr:sp>
              <xdr:nvSpPr>
                <xdr:cNvPr id="2065" name="Line 20"/>
                <xdr:cNvSpPr/>
              </xdr:nvSpPr>
              <xdr:spPr>
                <a:xfrm>
                  <a:off x="27078120" y="2511720"/>
                  <a:ext cx="360" cy="345240"/>
                </a:xfrm>
                <a:prstGeom prst="line">
                  <a:avLst/>
                </a:prstGeom>
                <a:ln w="25400">
                  <a:solidFill>
                    <a:srgbClr val="ff0000"/>
                  </a:solidFill>
                  <a:round/>
                </a:ln>
              </xdr:spPr>
              <xdr:style>
                <a:lnRef idx="0"/>
                <a:fillRef idx="0"/>
                <a:effectRef idx="0"/>
                <a:fontRef idx="minor"/>
              </xdr:style>
            </xdr:sp>
            <xdr:grpSp>
              <xdr:nvGrpSpPr>
                <xdr:cNvPr id="2066" name="Group 173"/>
                <xdr:cNvGrpSpPr/>
              </xdr:nvGrpSpPr>
              <xdr:grpSpPr>
                <a:xfrm>
                  <a:off x="27044640" y="2171880"/>
                  <a:ext cx="493200" cy="311400"/>
                  <a:chOff x="27044640" y="2171880"/>
                  <a:chExt cx="493200" cy="311400"/>
                </a:xfrm>
              </xdr:grpSpPr>
              <xdr:sp>
                <xdr:nvSpPr>
                  <xdr:cNvPr id="2067" name="Oval 174"/>
                  <xdr:cNvSpPr/>
                </xdr:nvSpPr>
                <xdr:spPr>
                  <a:xfrm>
                    <a:off x="27044640" y="2202840"/>
                    <a:ext cx="317160" cy="280440"/>
                  </a:xfrm>
                  <a:prstGeom prst="ellipse">
                    <a:avLst/>
                  </a:prstGeom>
                  <a:noFill/>
                  <a:ln w="12700">
                    <a:solidFill>
                      <a:srgbClr val="ffcc00"/>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sp>
                <xdr:nvSpPr>
                  <xdr:cNvPr id="2068" name="Line 175"/>
                  <xdr:cNvSpPr/>
                </xdr:nvSpPr>
                <xdr:spPr>
                  <a:xfrm>
                    <a:off x="27537480" y="2171880"/>
                    <a:ext cx="360" cy="308520"/>
                  </a:xfrm>
                  <a:prstGeom prst="line">
                    <a:avLst/>
                  </a:prstGeom>
                  <a:ln w="25400">
                    <a:solidFill>
                      <a:srgbClr val="ffcc00"/>
                    </a:solidFill>
                    <a:round/>
                  </a:ln>
                </xdr:spPr>
                <xdr:style>
                  <a:lnRef idx="0"/>
                  <a:fillRef idx="0"/>
                  <a:effectRef idx="0"/>
                  <a:fontRef idx="minor"/>
                </xdr:style>
              </xdr:sp>
              <xdr:sp>
                <xdr:nvSpPr>
                  <xdr:cNvPr id="2069" name="Line 176"/>
                  <xdr:cNvSpPr/>
                </xdr:nvSpPr>
                <xdr:spPr>
                  <a:xfrm>
                    <a:off x="27369000" y="2319840"/>
                    <a:ext cx="168480" cy="360"/>
                  </a:xfrm>
                  <a:prstGeom prst="line">
                    <a:avLst/>
                  </a:prstGeom>
                  <a:ln w="25400">
                    <a:solidFill>
                      <a:srgbClr val="ff9900"/>
                    </a:solidFill>
                    <a:round/>
                  </a:ln>
                </xdr:spPr>
                <xdr:style>
                  <a:lnRef idx="0"/>
                  <a:fillRef idx="0"/>
                  <a:effectRef idx="0"/>
                  <a:fontRef idx="minor"/>
                </xdr:style>
              </xdr:sp>
            </xdr:grpSp>
          </xdr:grpSp>
          <xdr:sp>
            <xdr:nvSpPr>
              <xdr:cNvPr id="2070" name="Line 34"/>
              <xdr:cNvSpPr/>
            </xdr:nvSpPr>
            <xdr:spPr>
              <a:xfrm>
                <a:off x="27060480" y="1734120"/>
                <a:ext cx="360" cy="367920"/>
              </a:xfrm>
              <a:prstGeom prst="line">
                <a:avLst/>
              </a:prstGeom>
              <a:ln w="25400">
                <a:solidFill>
                  <a:srgbClr val="0000ff"/>
                </a:solidFill>
                <a:round/>
              </a:ln>
            </xdr:spPr>
            <xdr:style>
              <a:lnRef idx="0"/>
              <a:fillRef idx="0"/>
              <a:effectRef idx="0"/>
              <a:fontRef idx="minor"/>
            </xdr:style>
          </xdr:sp>
          <xdr:sp>
            <xdr:nvSpPr>
              <xdr:cNvPr id="2071" name="380 Rectángulo redondeado"/>
              <xdr:cNvSpPr/>
            </xdr:nvSpPr>
            <xdr:spPr>
              <a:xfrm>
                <a:off x="27011880" y="1818000"/>
                <a:ext cx="90360" cy="87840"/>
              </a:xfrm>
              <a:prstGeom prst="roundRect">
                <a:avLst>
                  <a:gd name="adj" fmla="val 16667"/>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xdr:style>
          </xdr:sp>
        </xdr:grpSp>
        <xdr:sp>
          <xdr:nvSpPr>
            <xdr:cNvPr id="2072" name="383 Rectángulo redondeado"/>
            <xdr:cNvSpPr/>
          </xdr:nvSpPr>
          <xdr:spPr>
            <a:xfrm>
              <a:off x="27030240" y="2697840"/>
              <a:ext cx="90360" cy="878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073" name="Text Box 78"/>
            <xdr:cNvSpPr/>
          </xdr:nvSpPr>
          <xdr:spPr>
            <a:xfrm>
              <a:off x="28704960" y="2138400"/>
              <a:ext cx="679320" cy="57060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Calibri"/>
                </a:rPr>
                <a:t>100</a:t>
              </a:r>
              <a:endParaRPr b="0" lang="en-GB" sz="1050" spc="-1" strike="noStrike">
                <a:latin typeface="Times New Roman"/>
              </a:endParaRPr>
            </a:p>
            <a:p>
              <a:pPr>
                <a:lnSpc>
                  <a:spcPct val="100000"/>
                </a:lnSpc>
              </a:pPr>
              <a:r>
                <a:rPr b="0" lang="es-CO" sz="1050" spc="-1" strike="noStrike">
                  <a:solidFill>
                    <a:srgbClr val="40637a"/>
                  </a:solidFill>
                  <a:latin typeface="Calibri"/>
                </a:rPr>
                <a:t>MVA</a:t>
              </a:r>
              <a:endParaRPr b="0" lang="en-GB" sz="1050" spc="-1" strike="noStrike">
                <a:latin typeface="Times New Roman"/>
              </a:endParaRPr>
            </a:p>
          </xdr:txBody>
        </xdr:sp>
        <xdr:grpSp>
          <xdr:nvGrpSpPr>
            <xdr:cNvPr id="2074" name="Grupo 639"/>
            <xdr:cNvGrpSpPr/>
          </xdr:nvGrpSpPr>
          <xdr:grpSpPr>
            <a:xfrm>
              <a:off x="29154960" y="1740960"/>
              <a:ext cx="615600" cy="1098360"/>
              <a:chOff x="29154960" y="1740960"/>
              <a:chExt cx="615600" cy="1098360"/>
            </a:xfrm>
          </xdr:grpSpPr>
          <xdr:grpSp>
            <xdr:nvGrpSpPr>
              <xdr:cNvPr id="2075" name="Group 7"/>
              <xdr:cNvGrpSpPr/>
            </xdr:nvGrpSpPr>
            <xdr:grpSpPr>
              <a:xfrm>
                <a:off x="29154960" y="2117160"/>
                <a:ext cx="615600" cy="722160"/>
                <a:chOff x="29154960" y="2117160"/>
                <a:chExt cx="615600" cy="722160"/>
              </a:xfrm>
            </xdr:grpSpPr>
            <xdr:grpSp>
              <xdr:nvGrpSpPr>
                <xdr:cNvPr id="2076" name="Group 139"/>
                <xdr:cNvGrpSpPr/>
              </xdr:nvGrpSpPr>
              <xdr:grpSpPr>
                <a:xfrm>
                  <a:off x="29154960" y="2117160"/>
                  <a:ext cx="316440" cy="419040"/>
                  <a:chOff x="29154960" y="2117160"/>
                  <a:chExt cx="316440" cy="419040"/>
                </a:xfrm>
              </xdr:grpSpPr>
              <xdr:sp>
                <xdr:nvSpPr>
                  <xdr:cNvPr id="2077" name="Oval 140"/>
                  <xdr:cNvSpPr/>
                </xdr:nvSpPr>
                <xdr:spPr>
                  <a:xfrm>
                    <a:off x="29154960" y="2117160"/>
                    <a:ext cx="316440" cy="280080"/>
                  </a:xfrm>
                  <a:prstGeom prst="ellipse">
                    <a:avLst/>
                  </a:prstGeom>
                  <a:noFill/>
                  <a:ln w="12700">
                    <a:solidFill>
                      <a:srgbClr val="0000ff"/>
                    </a:solidFill>
                    <a:round/>
                  </a:ln>
                </xdr:spPr>
                <xdr:style>
                  <a:lnRef idx="0"/>
                  <a:fillRef idx="0"/>
                  <a:effectRef idx="0"/>
                  <a:fontRef idx="minor"/>
                </xdr:style>
              </xdr:sp>
              <xdr:sp>
                <xdr:nvSpPr>
                  <xdr:cNvPr id="2078" name="Oval 141"/>
                  <xdr:cNvSpPr/>
                </xdr:nvSpPr>
                <xdr:spPr>
                  <a:xfrm>
                    <a:off x="29154960" y="2256120"/>
                    <a:ext cx="316440" cy="280080"/>
                  </a:xfrm>
                  <a:prstGeom prst="ellipse">
                    <a:avLst/>
                  </a:prstGeom>
                  <a:noFill/>
                  <a:ln w="12700">
                    <a:solidFill>
                      <a:srgbClr val="ff0000"/>
                    </a:solidFill>
                    <a:round/>
                  </a:ln>
                </xdr:spPr>
                <xdr:style>
                  <a:lnRef idx="0"/>
                  <a:fillRef idx="0"/>
                  <a:effectRef idx="0"/>
                  <a:fontRef idx="minor"/>
                </xdr:style>
              </xdr:sp>
            </xdr:grpSp>
            <xdr:sp>
              <xdr:nvSpPr>
                <xdr:cNvPr id="2079" name="Line 11"/>
                <xdr:cNvSpPr/>
              </xdr:nvSpPr>
              <xdr:spPr>
                <a:xfrm>
                  <a:off x="29311560" y="2531880"/>
                  <a:ext cx="360" cy="307440"/>
                </a:xfrm>
                <a:prstGeom prst="line">
                  <a:avLst/>
                </a:prstGeom>
                <a:ln w="25400">
                  <a:solidFill>
                    <a:srgbClr val="ff0000"/>
                  </a:solidFill>
                  <a:round/>
                </a:ln>
              </xdr:spPr>
              <xdr:style>
                <a:lnRef idx="0"/>
                <a:fillRef idx="0"/>
                <a:effectRef idx="0"/>
                <a:fontRef idx="minor"/>
              </xdr:style>
            </xdr:sp>
            <xdr:grpSp>
              <xdr:nvGrpSpPr>
                <xdr:cNvPr id="2080" name="Group 173"/>
                <xdr:cNvGrpSpPr/>
              </xdr:nvGrpSpPr>
              <xdr:grpSpPr>
                <a:xfrm>
                  <a:off x="29278440" y="2171160"/>
                  <a:ext cx="492120" cy="345960"/>
                  <a:chOff x="29278440" y="2171160"/>
                  <a:chExt cx="492120" cy="345960"/>
                </a:xfrm>
              </xdr:grpSpPr>
              <xdr:sp>
                <xdr:nvSpPr>
                  <xdr:cNvPr id="2081" name="Oval 174"/>
                  <xdr:cNvSpPr/>
                </xdr:nvSpPr>
                <xdr:spPr>
                  <a:xfrm>
                    <a:off x="29278440" y="2235960"/>
                    <a:ext cx="316440" cy="281160"/>
                  </a:xfrm>
                  <a:prstGeom prst="ellipse">
                    <a:avLst/>
                  </a:prstGeom>
                  <a:noFill/>
                  <a:ln w="12700">
                    <a:solidFill>
                      <a:srgbClr val="ffcc00"/>
                    </a:solidFill>
                    <a:round/>
                  </a:ln>
                </xdr:spPr>
                <xdr:style>
                  <a:lnRef idx="0"/>
                  <a:fillRef idx="0"/>
                  <a:effectRef idx="0"/>
                  <a:fontRef idx="minor"/>
                </xdr:style>
              </xdr:sp>
              <xdr:sp>
                <xdr:nvSpPr>
                  <xdr:cNvPr id="2082" name="Line 175"/>
                  <xdr:cNvSpPr/>
                </xdr:nvSpPr>
                <xdr:spPr>
                  <a:xfrm>
                    <a:off x="29770200" y="2171160"/>
                    <a:ext cx="360" cy="307800"/>
                  </a:xfrm>
                  <a:prstGeom prst="line">
                    <a:avLst/>
                  </a:prstGeom>
                  <a:ln w="25400">
                    <a:solidFill>
                      <a:srgbClr val="ffcc00"/>
                    </a:solidFill>
                    <a:round/>
                  </a:ln>
                </xdr:spPr>
                <xdr:style>
                  <a:lnRef idx="0"/>
                  <a:fillRef idx="0"/>
                  <a:effectRef idx="0"/>
                  <a:fontRef idx="minor"/>
                </xdr:style>
              </xdr:sp>
              <xdr:sp>
                <xdr:nvSpPr>
                  <xdr:cNvPr id="2083" name="Line 176"/>
                  <xdr:cNvSpPr/>
                </xdr:nvSpPr>
                <xdr:spPr>
                  <a:xfrm>
                    <a:off x="29602080" y="2352600"/>
                    <a:ext cx="168120" cy="360"/>
                  </a:xfrm>
                  <a:prstGeom prst="line">
                    <a:avLst/>
                  </a:prstGeom>
                  <a:ln w="25400">
                    <a:solidFill>
                      <a:srgbClr val="ff9900"/>
                    </a:solidFill>
                    <a:round/>
                  </a:ln>
                </xdr:spPr>
                <xdr:style>
                  <a:lnRef idx="0"/>
                  <a:fillRef idx="0"/>
                  <a:effectRef idx="0"/>
                  <a:fontRef idx="minor"/>
                </xdr:style>
              </xdr:sp>
            </xdr:grpSp>
          </xdr:grpSp>
          <xdr:sp>
            <xdr:nvSpPr>
              <xdr:cNvPr id="2084" name="Line 35"/>
              <xdr:cNvSpPr/>
            </xdr:nvSpPr>
            <xdr:spPr>
              <a:xfrm>
                <a:off x="29311920" y="1740960"/>
                <a:ext cx="360" cy="377280"/>
              </a:xfrm>
              <a:prstGeom prst="line">
                <a:avLst/>
              </a:prstGeom>
              <a:ln w="25400">
                <a:solidFill>
                  <a:srgbClr val="0000ff"/>
                </a:solidFill>
                <a:round/>
              </a:ln>
            </xdr:spPr>
            <xdr:style>
              <a:lnRef idx="0"/>
              <a:fillRef idx="0"/>
              <a:effectRef idx="0"/>
              <a:fontRef idx="minor"/>
            </xdr:style>
          </xdr:sp>
          <xdr:sp>
            <xdr:nvSpPr>
              <xdr:cNvPr id="2085" name="381 Rectángulo redondeado"/>
              <xdr:cNvSpPr/>
            </xdr:nvSpPr>
            <xdr:spPr>
              <a:xfrm>
                <a:off x="29265840" y="1814760"/>
                <a:ext cx="90360" cy="87840"/>
              </a:xfrm>
              <a:prstGeom prst="roundRect">
                <a:avLst>
                  <a:gd name="adj" fmla="val 16667"/>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xdr:style>
          </xdr:sp>
        </xdr:grpSp>
        <xdr:sp>
          <xdr:nvSpPr>
            <xdr:cNvPr id="2086" name="384 Rectángulo redondeado"/>
            <xdr:cNvSpPr/>
          </xdr:nvSpPr>
          <xdr:spPr>
            <a:xfrm>
              <a:off x="29265840" y="2694960"/>
              <a:ext cx="90360" cy="878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nvGrpSpPr>
            <xdr:cNvPr id="2087" name="Group 64"/>
            <xdr:cNvGrpSpPr/>
          </xdr:nvGrpSpPr>
          <xdr:grpSpPr>
            <a:xfrm>
              <a:off x="28043640" y="2098080"/>
              <a:ext cx="616680" cy="411840"/>
              <a:chOff x="28043640" y="2098080"/>
              <a:chExt cx="616680" cy="411840"/>
            </a:xfrm>
          </xdr:grpSpPr>
          <xdr:grpSp>
            <xdr:nvGrpSpPr>
              <xdr:cNvPr id="2088" name="Group 139"/>
              <xdr:cNvGrpSpPr/>
            </xdr:nvGrpSpPr>
            <xdr:grpSpPr>
              <a:xfrm>
                <a:off x="28043640" y="2098080"/>
                <a:ext cx="317160" cy="411840"/>
                <a:chOff x="28043640" y="2098080"/>
                <a:chExt cx="317160" cy="411840"/>
              </a:xfrm>
            </xdr:grpSpPr>
            <xdr:sp>
              <xdr:nvSpPr>
                <xdr:cNvPr id="2089" name="Oval 140"/>
                <xdr:cNvSpPr/>
              </xdr:nvSpPr>
              <xdr:spPr>
                <a:xfrm>
                  <a:off x="28043640" y="2098080"/>
                  <a:ext cx="317160" cy="275400"/>
                </a:xfrm>
                <a:prstGeom prst="ellipse">
                  <a:avLst/>
                </a:prstGeom>
                <a:noFill/>
                <a:ln w="12700">
                  <a:solidFill>
                    <a:srgbClr val="0000ff"/>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sp>
              <xdr:nvSpPr>
                <xdr:cNvPr id="2090" name="Oval 141"/>
                <xdr:cNvSpPr/>
              </xdr:nvSpPr>
              <xdr:spPr>
                <a:xfrm>
                  <a:off x="28043640" y="2234520"/>
                  <a:ext cx="317160" cy="275400"/>
                </a:xfrm>
                <a:prstGeom prst="ellipse">
                  <a:avLst/>
                </a:prstGeom>
                <a:noFill/>
                <a:ln w="12700">
                  <a:solidFill>
                    <a:srgbClr val="ff0000"/>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grpSp>
          <xdr:grpSp>
            <xdr:nvGrpSpPr>
              <xdr:cNvPr id="2091" name="Group 173"/>
              <xdr:cNvGrpSpPr/>
            </xdr:nvGrpSpPr>
            <xdr:grpSpPr>
              <a:xfrm>
                <a:off x="28167120" y="2170440"/>
                <a:ext cx="493200" cy="322560"/>
                <a:chOff x="28167120" y="2170440"/>
                <a:chExt cx="493200" cy="322560"/>
              </a:xfrm>
            </xdr:grpSpPr>
            <xdr:sp>
              <xdr:nvSpPr>
                <xdr:cNvPr id="2092" name="Oval 174"/>
                <xdr:cNvSpPr/>
              </xdr:nvSpPr>
              <xdr:spPr>
                <a:xfrm>
                  <a:off x="28167120" y="2216160"/>
                  <a:ext cx="317160" cy="276840"/>
                </a:xfrm>
                <a:prstGeom prst="ellipse">
                  <a:avLst/>
                </a:prstGeom>
                <a:noFill/>
                <a:ln w="12700">
                  <a:solidFill>
                    <a:srgbClr val="ffcc00"/>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sp>
              <xdr:nvSpPr>
                <xdr:cNvPr id="2093" name="Line 175"/>
                <xdr:cNvSpPr/>
              </xdr:nvSpPr>
              <xdr:spPr>
                <a:xfrm>
                  <a:off x="28659960" y="2170440"/>
                  <a:ext cx="360" cy="303120"/>
                </a:xfrm>
                <a:prstGeom prst="line">
                  <a:avLst/>
                </a:prstGeom>
                <a:ln w="25400">
                  <a:solidFill>
                    <a:srgbClr val="ffcc00"/>
                  </a:solidFill>
                  <a:round/>
                </a:ln>
              </xdr:spPr>
              <xdr:style>
                <a:lnRef idx="0"/>
                <a:fillRef idx="0"/>
                <a:effectRef idx="0"/>
                <a:fontRef idx="minor"/>
              </xdr:style>
            </xdr:sp>
            <xdr:sp>
              <xdr:nvSpPr>
                <xdr:cNvPr id="2094" name="Line 176"/>
                <xdr:cNvSpPr/>
              </xdr:nvSpPr>
              <xdr:spPr>
                <a:xfrm>
                  <a:off x="28491480" y="2331000"/>
                  <a:ext cx="168480" cy="360"/>
                </a:xfrm>
                <a:prstGeom prst="line">
                  <a:avLst/>
                </a:prstGeom>
                <a:ln w="25400">
                  <a:solidFill>
                    <a:srgbClr val="ff9900"/>
                  </a:solidFill>
                  <a:round/>
                </a:ln>
              </xdr:spPr>
              <xdr:style>
                <a:lnRef idx="0"/>
                <a:fillRef idx="0"/>
                <a:effectRef idx="0"/>
                <a:fontRef idx="minor"/>
              </xdr:style>
            </xdr:sp>
          </xdr:grpSp>
        </xdr:grpSp>
        <xdr:sp>
          <xdr:nvSpPr>
            <xdr:cNvPr id="2095" name="Line 73"/>
            <xdr:cNvSpPr/>
          </xdr:nvSpPr>
          <xdr:spPr>
            <a:xfrm>
              <a:off x="28204560" y="1755360"/>
              <a:ext cx="360" cy="331200"/>
            </a:xfrm>
            <a:prstGeom prst="line">
              <a:avLst/>
            </a:prstGeom>
            <a:ln cap="rnd" w="25400">
              <a:solidFill>
                <a:srgbClr val="0000ff"/>
              </a:solidFill>
              <a:round/>
            </a:ln>
          </xdr:spPr>
          <xdr:style>
            <a:lnRef idx="0"/>
            <a:fillRef idx="0"/>
            <a:effectRef idx="0"/>
            <a:fontRef idx="minor"/>
          </xdr:style>
        </xdr:sp>
        <xdr:sp>
          <xdr:nvSpPr>
            <xdr:cNvPr id="2096" name="Line 75"/>
            <xdr:cNvSpPr/>
          </xdr:nvSpPr>
          <xdr:spPr>
            <a:xfrm flipV="1">
              <a:off x="28219680" y="2517840"/>
              <a:ext cx="360" cy="312120"/>
            </a:xfrm>
            <a:prstGeom prst="line">
              <a:avLst/>
            </a:prstGeom>
            <a:ln cap="rnd" w="25400">
              <a:solidFill>
                <a:srgbClr val="ff0000"/>
              </a:solidFill>
              <a:round/>
            </a:ln>
          </xdr:spPr>
          <xdr:style>
            <a:lnRef idx="0"/>
            <a:fillRef idx="0"/>
            <a:effectRef idx="0"/>
            <a:fontRef idx="minor"/>
          </xdr:style>
        </xdr:sp>
        <xdr:sp>
          <xdr:nvSpPr>
            <xdr:cNvPr id="2097" name="381 Rectángulo redondeado"/>
            <xdr:cNvSpPr/>
          </xdr:nvSpPr>
          <xdr:spPr>
            <a:xfrm>
              <a:off x="28161720" y="1809000"/>
              <a:ext cx="90360" cy="87840"/>
            </a:xfrm>
            <a:prstGeom prst="roundRect">
              <a:avLst>
                <a:gd name="adj" fmla="val 16667"/>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xdr:style>
        </xdr:sp>
        <xdr:sp>
          <xdr:nvSpPr>
            <xdr:cNvPr id="2098" name="384 Rectángulo redondeado"/>
            <xdr:cNvSpPr/>
          </xdr:nvSpPr>
          <xdr:spPr>
            <a:xfrm>
              <a:off x="28175760" y="2689200"/>
              <a:ext cx="90360" cy="878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099" name="Text Box 76"/>
            <xdr:cNvSpPr/>
          </xdr:nvSpPr>
          <xdr:spPr>
            <a:xfrm>
              <a:off x="27588600" y="2088720"/>
              <a:ext cx="538200" cy="54576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Calibri"/>
                </a:rPr>
                <a:t>  </a:t>
              </a:r>
              <a:r>
                <a:rPr b="0" lang="es-CO" sz="1050" spc="-1" strike="noStrike">
                  <a:solidFill>
                    <a:srgbClr val="40637a"/>
                  </a:solidFill>
                  <a:latin typeface="Calibri"/>
                </a:rPr>
                <a:t>40</a:t>
              </a:r>
              <a:endParaRPr b="0" lang="en-GB" sz="1050" spc="-1" strike="noStrike">
                <a:latin typeface="Times New Roman"/>
              </a:endParaRPr>
            </a:p>
            <a:p>
              <a:pPr>
                <a:lnSpc>
                  <a:spcPct val="100000"/>
                </a:lnSpc>
              </a:pPr>
              <a:r>
                <a:rPr b="0" lang="es-CO" sz="1050" spc="-1" strike="noStrike">
                  <a:solidFill>
                    <a:srgbClr val="40637a"/>
                  </a:solidFill>
                  <a:latin typeface="Calibri"/>
                </a:rPr>
                <a:t>MVA</a:t>
              </a:r>
              <a:endParaRPr b="0" lang="en-GB" sz="1050" spc="-1" strike="noStrike">
                <a:latin typeface="Times New Roman"/>
              </a:endParaRPr>
            </a:p>
            <a:p>
              <a:pPr>
                <a:lnSpc>
                  <a:spcPct val="100000"/>
                </a:lnSpc>
              </a:pPr>
              <a:endParaRPr b="0" lang="en-GB" sz="1050" spc="-1" strike="noStrike">
                <a:latin typeface="Times New Roman"/>
              </a:endParaRPr>
            </a:p>
          </xdr:txBody>
        </xdr:sp>
        <xdr:sp>
          <xdr:nvSpPr>
            <xdr:cNvPr id="2100" name="AutoShape 244"/>
            <xdr:cNvSpPr/>
          </xdr:nvSpPr>
          <xdr:spPr>
            <a:xfrm>
              <a:off x="32632200" y="1738080"/>
              <a:ext cx="4329360" cy="5322960"/>
            </a:xfrm>
            <a:prstGeom prst="rect">
              <a:avLst/>
            </a:prstGeom>
            <a:noFill/>
            <a:ln w="0">
              <a:noFill/>
            </a:ln>
          </xdr:spPr>
          <xdr:style>
            <a:lnRef idx="0"/>
            <a:fillRef idx="0"/>
            <a:effectRef idx="0"/>
            <a:fontRef idx="minor"/>
          </xdr:style>
        </xdr:sp>
        <xdr:sp>
          <xdr:nvSpPr>
            <xdr:cNvPr id="2101" name="Oval 140"/>
            <xdr:cNvSpPr/>
          </xdr:nvSpPr>
          <xdr:spPr>
            <a:xfrm>
              <a:off x="33893640" y="1927440"/>
              <a:ext cx="256680" cy="228240"/>
            </a:xfrm>
            <a:prstGeom prst="ellipse">
              <a:avLst/>
            </a:prstGeom>
            <a:noFill/>
            <a:ln w="12700">
              <a:solidFill>
                <a:srgbClr val="0000ff"/>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102" name="Oval 141"/>
            <xdr:cNvSpPr/>
          </xdr:nvSpPr>
          <xdr:spPr>
            <a:xfrm>
              <a:off x="33893640" y="2040120"/>
              <a:ext cx="256680" cy="228240"/>
            </a:xfrm>
            <a:prstGeom prst="ellipse">
              <a:avLst/>
            </a:prstGeom>
            <a:noFill/>
            <a:ln w="12700">
              <a:solidFill>
                <a:srgbClr val="ff0000"/>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103" name="Oval 142"/>
            <xdr:cNvSpPr/>
          </xdr:nvSpPr>
          <xdr:spPr>
            <a:xfrm>
              <a:off x="34522200" y="1949040"/>
              <a:ext cx="255960" cy="228960"/>
            </a:xfrm>
            <a:prstGeom prst="ellipse">
              <a:avLst/>
            </a:prstGeom>
            <a:noFill/>
            <a:ln w="19050">
              <a:solidFill>
                <a:srgbClr val="0000ff"/>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104" name="Oval 143"/>
            <xdr:cNvSpPr/>
          </xdr:nvSpPr>
          <xdr:spPr>
            <a:xfrm>
              <a:off x="34522200" y="2061720"/>
              <a:ext cx="255960" cy="228240"/>
            </a:xfrm>
            <a:prstGeom prst="ellipse">
              <a:avLst/>
            </a:prstGeom>
            <a:noFill/>
            <a:ln w="19050">
              <a:solidFill>
                <a:srgbClr val="ff0000"/>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105" name="Line 144"/>
            <xdr:cNvSpPr/>
          </xdr:nvSpPr>
          <xdr:spPr>
            <a:xfrm>
              <a:off x="34032240" y="1754280"/>
              <a:ext cx="720" cy="175320"/>
            </a:xfrm>
            <a:prstGeom prst="line">
              <a:avLst/>
            </a:prstGeom>
            <a:ln w="25400">
              <a:solidFill>
                <a:srgbClr val="0000ff"/>
              </a:solidFill>
              <a:round/>
            </a:ln>
          </xdr:spPr>
          <xdr:style>
            <a:lnRef idx="0"/>
            <a:fillRef idx="0"/>
            <a:effectRef idx="0"/>
            <a:fontRef idx="minor"/>
          </xdr:style>
        </xdr:sp>
        <xdr:sp>
          <xdr:nvSpPr>
            <xdr:cNvPr id="2106" name="Line 145"/>
            <xdr:cNvSpPr/>
          </xdr:nvSpPr>
          <xdr:spPr>
            <a:xfrm>
              <a:off x="34664040" y="1743480"/>
              <a:ext cx="720" cy="218520"/>
            </a:xfrm>
            <a:prstGeom prst="line">
              <a:avLst/>
            </a:prstGeom>
            <a:ln w="25400">
              <a:solidFill>
                <a:srgbClr val="0000ff"/>
              </a:solidFill>
              <a:round/>
            </a:ln>
          </xdr:spPr>
          <xdr:style>
            <a:lnRef idx="0"/>
            <a:fillRef idx="0"/>
            <a:effectRef idx="0"/>
            <a:fontRef idx="minor"/>
          </xdr:style>
        </xdr:sp>
        <xdr:sp>
          <xdr:nvSpPr>
            <xdr:cNvPr id="2107" name="Line 228"/>
            <xdr:cNvSpPr/>
          </xdr:nvSpPr>
          <xdr:spPr>
            <a:xfrm>
              <a:off x="34020720" y="2264040"/>
              <a:ext cx="720" cy="218520"/>
            </a:xfrm>
            <a:prstGeom prst="line">
              <a:avLst/>
            </a:prstGeom>
            <a:ln w="25400">
              <a:solidFill>
                <a:srgbClr val="ff0000"/>
              </a:solidFill>
              <a:round/>
            </a:ln>
          </xdr:spPr>
          <xdr:style>
            <a:lnRef idx="0"/>
            <a:fillRef idx="0"/>
            <a:effectRef idx="0"/>
            <a:fontRef idx="minor"/>
          </xdr:style>
        </xdr:sp>
        <xdr:sp>
          <xdr:nvSpPr>
            <xdr:cNvPr id="2108" name="Line 147"/>
            <xdr:cNvSpPr/>
          </xdr:nvSpPr>
          <xdr:spPr>
            <a:xfrm>
              <a:off x="34666200" y="2282760"/>
              <a:ext cx="360" cy="206640"/>
            </a:xfrm>
            <a:prstGeom prst="line">
              <a:avLst/>
            </a:prstGeom>
            <a:ln w="25400">
              <a:solidFill>
                <a:srgbClr val="ff0000"/>
              </a:solidFill>
              <a:round/>
            </a:ln>
          </xdr:spPr>
          <xdr:style>
            <a:lnRef idx="0"/>
            <a:fillRef idx="0"/>
            <a:effectRef idx="0"/>
            <a:fontRef idx="minor"/>
          </xdr:style>
        </xdr:sp>
        <xdr:sp>
          <xdr:nvSpPr>
            <xdr:cNvPr id="2109" name="Text Box 226"/>
            <xdr:cNvSpPr/>
          </xdr:nvSpPr>
          <xdr:spPr>
            <a:xfrm>
              <a:off x="35109360" y="2026440"/>
              <a:ext cx="1040400" cy="38628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3x100/70/30 MVA </a:t>
              </a:r>
              <a:endParaRPr b="0" lang="en-GB" sz="900" spc="-1" strike="noStrike">
                <a:latin typeface="Times New Roman"/>
              </a:endParaRPr>
            </a:p>
          </xdr:txBody>
        </xdr:sp>
        <xdr:sp>
          <xdr:nvSpPr>
            <xdr:cNvPr id="2110" name="Text Box 149"/>
            <xdr:cNvSpPr/>
          </xdr:nvSpPr>
          <xdr:spPr>
            <a:xfrm>
              <a:off x="35457120" y="3735000"/>
              <a:ext cx="1030680" cy="35496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Gaira 110 kV</a:t>
              </a:r>
              <a:endParaRPr b="0" lang="en-GB" sz="900" spc="-1" strike="noStrike">
                <a:latin typeface="Times New Roman"/>
              </a:endParaRPr>
            </a:p>
          </xdr:txBody>
        </xdr:sp>
        <xdr:sp>
          <xdr:nvSpPr>
            <xdr:cNvPr id="2111" name="Oval 154"/>
            <xdr:cNvSpPr/>
          </xdr:nvSpPr>
          <xdr:spPr>
            <a:xfrm>
              <a:off x="34650360" y="2013480"/>
              <a:ext cx="255600" cy="235080"/>
            </a:xfrm>
            <a:prstGeom prst="ellipse">
              <a:avLst/>
            </a:prstGeom>
            <a:noFill/>
            <a:ln w="12700">
              <a:solidFill>
                <a:srgbClr val="ffcc00"/>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112" name="Line 155"/>
            <xdr:cNvSpPr/>
          </xdr:nvSpPr>
          <xdr:spPr>
            <a:xfrm>
              <a:off x="35047440" y="1986120"/>
              <a:ext cx="360" cy="258480"/>
            </a:xfrm>
            <a:prstGeom prst="line">
              <a:avLst/>
            </a:prstGeom>
            <a:ln w="25400">
              <a:solidFill>
                <a:srgbClr val="ffcc00"/>
              </a:solidFill>
              <a:round/>
            </a:ln>
          </xdr:spPr>
          <xdr:style>
            <a:lnRef idx="0"/>
            <a:fillRef idx="0"/>
            <a:effectRef idx="0"/>
            <a:fontRef idx="minor"/>
          </xdr:style>
        </xdr:sp>
        <xdr:sp>
          <xdr:nvSpPr>
            <xdr:cNvPr id="2113" name="Line 156"/>
            <xdr:cNvSpPr/>
          </xdr:nvSpPr>
          <xdr:spPr>
            <a:xfrm>
              <a:off x="34911720" y="2110320"/>
              <a:ext cx="135720" cy="360"/>
            </a:xfrm>
            <a:prstGeom prst="line">
              <a:avLst/>
            </a:prstGeom>
            <a:ln w="25400">
              <a:solidFill>
                <a:srgbClr val="ff9900"/>
              </a:solidFill>
              <a:round/>
            </a:ln>
          </xdr:spPr>
          <xdr:style>
            <a:lnRef idx="0"/>
            <a:fillRef idx="0"/>
            <a:effectRef idx="0"/>
            <a:fontRef idx="minor"/>
          </xdr:style>
        </xdr:sp>
        <xdr:sp>
          <xdr:nvSpPr>
            <xdr:cNvPr id="2114" name="Line 158"/>
            <xdr:cNvSpPr/>
          </xdr:nvSpPr>
          <xdr:spPr>
            <a:xfrm>
              <a:off x="31354200" y="2477160"/>
              <a:ext cx="4381200" cy="360"/>
            </a:xfrm>
            <a:prstGeom prst="line">
              <a:avLst/>
            </a:prstGeom>
            <a:ln w="25400">
              <a:solidFill>
                <a:srgbClr val="ff0000"/>
              </a:solidFill>
              <a:round/>
            </a:ln>
          </xdr:spPr>
          <xdr:style>
            <a:lnRef idx="0"/>
            <a:fillRef idx="0"/>
            <a:effectRef idx="0"/>
            <a:fontRef idx="minor"/>
          </xdr:style>
        </xdr:sp>
        <xdr:sp>
          <xdr:nvSpPr>
            <xdr:cNvPr id="2115" name="Line 162"/>
            <xdr:cNvSpPr/>
          </xdr:nvSpPr>
          <xdr:spPr>
            <a:xfrm>
              <a:off x="32755680" y="1744920"/>
              <a:ext cx="2381400" cy="360"/>
            </a:xfrm>
            <a:prstGeom prst="line">
              <a:avLst/>
            </a:prstGeom>
            <a:ln w="25400">
              <a:solidFill>
                <a:srgbClr val="0000ff"/>
              </a:solidFill>
              <a:round/>
            </a:ln>
          </xdr:spPr>
          <xdr:style>
            <a:lnRef idx="0"/>
            <a:fillRef idx="0"/>
            <a:effectRef idx="0"/>
            <a:fontRef idx="minor"/>
          </xdr:style>
        </xdr:sp>
        <xdr:sp>
          <xdr:nvSpPr>
            <xdr:cNvPr id="2116" name="Line 163"/>
            <xdr:cNvSpPr/>
          </xdr:nvSpPr>
          <xdr:spPr>
            <a:xfrm>
              <a:off x="34975440" y="3931560"/>
              <a:ext cx="772200" cy="360"/>
            </a:xfrm>
            <a:prstGeom prst="line">
              <a:avLst/>
            </a:prstGeom>
            <a:ln w="25400">
              <a:solidFill>
                <a:srgbClr val="ff0000"/>
              </a:solidFill>
              <a:round/>
            </a:ln>
          </xdr:spPr>
          <xdr:style>
            <a:lnRef idx="0"/>
            <a:fillRef idx="0"/>
            <a:effectRef idx="0"/>
            <a:fontRef idx="minor"/>
          </xdr:style>
        </xdr:sp>
        <xdr:sp>
          <xdr:nvSpPr>
            <xdr:cNvPr id="2117" name="Line 167"/>
            <xdr:cNvSpPr/>
          </xdr:nvSpPr>
          <xdr:spPr>
            <a:xfrm>
              <a:off x="35375040" y="3571200"/>
              <a:ext cx="360" cy="1220760"/>
            </a:xfrm>
            <a:prstGeom prst="line">
              <a:avLst/>
            </a:prstGeom>
            <a:ln w="12700">
              <a:solidFill>
                <a:srgbClr val="ff0000"/>
              </a:solidFill>
              <a:round/>
            </a:ln>
          </xdr:spPr>
          <xdr:style>
            <a:lnRef idx="0"/>
            <a:fillRef idx="0"/>
            <a:effectRef idx="0"/>
            <a:fontRef idx="minor"/>
          </xdr:style>
        </xdr:sp>
        <xdr:sp>
          <xdr:nvSpPr>
            <xdr:cNvPr id="2118" name="Line 172"/>
            <xdr:cNvSpPr/>
          </xdr:nvSpPr>
          <xdr:spPr>
            <a:xfrm>
              <a:off x="35007840" y="4176000"/>
              <a:ext cx="360" cy="611640"/>
            </a:xfrm>
            <a:prstGeom prst="line">
              <a:avLst/>
            </a:prstGeom>
            <a:ln w="12700">
              <a:solidFill>
                <a:srgbClr val="ff0000"/>
              </a:solidFill>
              <a:round/>
            </a:ln>
          </xdr:spPr>
          <xdr:style>
            <a:lnRef idx="0"/>
            <a:fillRef idx="0"/>
            <a:effectRef idx="0"/>
            <a:fontRef idx="minor"/>
          </xdr:style>
        </xdr:sp>
        <xdr:sp>
          <xdr:nvSpPr>
            <xdr:cNvPr id="2119" name="Oval 174"/>
            <xdr:cNvSpPr/>
          </xdr:nvSpPr>
          <xdr:spPr>
            <a:xfrm>
              <a:off x="33993360" y="2012400"/>
              <a:ext cx="257040" cy="228240"/>
            </a:xfrm>
            <a:prstGeom prst="ellipse">
              <a:avLst/>
            </a:prstGeom>
            <a:noFill/>
            <a:ln w="12700">
              <a:solidFill>
                <a:srgbClr val="ffcc00"/>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120" name="Line 175"/>
            <xdr:cNvSpPr/>
          </xdr:nvSpPr>
          <xdr:spPr>
            <a:xfrm>
              <a:off x="34392960" y="1986120"/>
              <a:ext cx="360" cy="250920"/>
            </a:xfrm>
            <a:prstGeom prst="line">
              <a:avLst/>
            </a:prstGeom>
            <a:ln w="25400">
              <a:solidFill>
                <a:srgbClr val="ffcc00"/>
              </a:solidFill>
              <a:round/>
            </a:ln>
          </xdr:spPr>
          <xdr:style>
            <a:lnRef idx="0"/>
            <a:fillRef idx="0"/>
            <a:effectRef idx="0"/>
            <a:fontRef idx="minor"/>
          </xdr:style>
        </xdr:sp>
        <xdr:sp>
          <xdr:nvSpPr>
            <xdr:cNvPr id="2121" name="Line 176"/>
            <xdr:cNvSpPr/>
          </xdr:nvSpPr>
          <xdr:spPr>
            <a:xfrm>
              <a:off x="34256520" y="2106360"/>
              <a:ext cx="136440" cy="360"/>
            </a:xfrm>
            <a:prstGeom prst="line">
              <a:avLst/>
            </a:prstGeom>
            <a:ln w="25400">
              <a:solidFill>
                <a:srgbClr val="ff9900"/>
              </a:solidFill>
              <a:round/>
            </a:ln>
          </xdr:spPr>
          <xdr:style>
            <a:lnRef idx="0"/>
            <a:fillRef idx="0"/>
            <a:effectRef idx="0"/>
            <a:fontRef idx="minor"/>
          </xdr:style>
        </xdr:sp>
        <xdr:sp>
          <xdr:nvSpPr>
            <xdr:cNvPr id="2122" name="Oval 140"/>
            <xdr:cNvSpPr/>
          </xdr:nvSpPr>
          <xdr:spPr>
            <a:xfrm>
              <a:off x="33229440" y="1932120"/>
              <a:ext cx="255960" cy="228240"/>
            </a:xfrm>
            <a:prstGeom prst="ellipse">
              <a:avLst/>
            </a:prstGeom>
            <a:noFill/>
            <a:ln w="12700">
              <a:solidFill>
                <a:srgbClr val="0000ff"/>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123" name="Oval 141"/>
            <xdr:cNvSpPr/>
          </xdr:nvSpPr>
          <xdr:spPr>
            <a:xfrm>
              <a:off x="33229440" y="2044800"/>
              <a:ext cx="255960" cy="228240"/>
            </a:xfrm>
            <a:prstGeom prst="ellipse">
              <a:avLst/>
            </a:prstGeom>
            <a:noFill/>
            <a:ln w="12700">
              <a:solidFill>
                <a:srgbClr val="ff0000"/>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124" name="Line 144"/>
            <xdr:cNvSpPr/>
          </xdr:nvSpPr>
          <xdr:spPr>
            <a:xfrm>
              <a:off x="33366240" y="1758960"/>
              <a:ext cx="720" cy="175320"/>
            </a:xfrm>
            <a:prstGeom prst="line">
              <a:avLst/>
            </a:prstGeom>
            <a:ln w="25400">
              <a:solidFill>
                <a:srgbClr val="0000ff"/>
              </a:solidFill>
              <a:round/>
            </a:ln>
          </xdr:spPr>
          <xdr:style>
            <a:lnRef idx="0"/>
            <a:fillRef idx="0"/>
            <a:effectRef idx="0"/>
            <a:fontRef idx="minor"/>
          </xdr:style>
        </xdr:sp>
        <xdr:sp>
          <xdr:nvSpPr>
            <xdr:cNvPr id="2125" name="Line 194"/>
            <xdr:cNvSpPr/>
          </xdr:nvSpPr>
          <xdr:spPr>
            <a:xfrm>
              <a:off x="33355800" y="2268720"/>
              <a:ext cx="720" cy="218520"/>
            </a:xfrm>
            <a:prstGeom prst="line">
              <a:avLst/>
            </a:prstGeom>
            <a:ln w="25400">
              <a:solidFill>
                <a:srgbClr val="ff0000"/>
              </a:solidFill>
              <a:round/>
            </a:ln>
          </xdr:spPr>
          <xdr:style>
            <a:lnRef idx="0"/>
            <a:fillRef idx="0"/>
            <a:effectRef idx="0"/>
            <a:fontRef idx="minor"/>
          </xdr:style>
        </xdr:sp>
        <xdr:sp>
          <xdr:nvSpPr>
            <xdr:cNvPr id="2126" name="Oval 174"/>
            <xdr:cNvSpPr/>
          </xdr:nvSpPr>
          <xdr:spPr>
            <a:xfrm>
              <a:off x="33327360" y="2017080"/>
              <a:ext cx="257040" cy="228960"/>
            </a:xfrm>
            <a:prstGeom prst="ellipse">
              <a:avLst/>
            </a:prstGeom>
            <a:noFill/>
            <a:ln w="12700">
              <a:solidFill>
                <a:srgbClr val="ffcc00"/>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127" name="Line 175"/>
            <xdr:cNvSpPr/>
          </xdr:nvSpPr>
          <xdr:spPr>
            <a:xfrm>
              <a:off x="33727320" y="1990800"/>
              <a:ext cx="360" cy="251640"/>
            </a:xfrm>
            <a:prstGeom prst="line">
              <a:avLst/>
            </a:prstGeom>
            <a:ln w="25400">
              <a:solidFill>
                <a:srgbClr val="ffcc00"/>
              </a:solidFill>
              <a:round/>
            </a:ln>
          </xdr:spPr>
          <xdr:style>
            <a:lnRef idx="0"/>
            <a:fillRef idx="0"/>
            <a:effectRef idx="0"/>
            <a:fontRef idx="minor"/>
          </xdr:style>
        </xdr:sp>
        <xdr:sp>
          <xdr:nvSpPr>
            <xdr:cNvPr id="2128" name="Line 176"/>
            <xdr:cNvSpPr/>
          </xdr:nvSpPr>
          <xdr:spPr>
            <a:xfrm>
              <a:off x="33590520" y="2111400"/>
              <a:ext cx="131040" cy="360"/>
            </a:xfrm>
            <a:prstGeom prst="line">
              <a:avLst/>
            </a:prstGeom>
            <a:ln w="25400">
              <a:solidFill>
                <a:srgbClr val="ff9900"/>
              </a:solidFill>
              <a:round/>
            </a:ln>
          </xdr:spPr>
          <xdr:style>
            <a:lnRef idx="0"/>
            <a:fillRef idx="0"/>
            <a:effectRef idx="0"/>
            <a:fontRef idx="minor"/>
          </xdr:style>
        </xdr:sp>
        <xdr:sp>
          <xdr:nvSpPr>
            <xdr:cNvPr id="2129" name="AutoShape 171"/>
            <xdr:cNvSpPr/>
          </xdr:nvSpPr>
          <xdr:spPr>
            <a:xfrm>
              <a:off x="35327520" y="251208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130" name="AutoShape 170"/>
            <xdr:cNvSpPr/>
          </xdr:nvSpPr>
          <xdr:spPr>
            <a:xfrm>
              <a:off x="35327520" y="379044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131" name="AutoShape 169"/>
            <xdr:cNvSpPr/>
          </xdr:nvSpPr>
          <xdr:spPr>
            <a:xfrm>
              <a:off x="35327520" y="397584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132" name="AutoShape 161"/>
            <xdr:cNvSpPr/>
          </xdr:nvSpPr>
          <xdr:spPr>
            <a:xfrm>
              <a:off x="33306480" y="233460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133" name="AutoShape 160"/>
            <xdr:cNvSpPr/>
          </xdr:nvSpPr>
          <xdr:spPr>
            <a:xfrm>
              <a:off x="33969960" y="233460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134" name="AutoShape 159"/>
            <xdr:cNvSpPr/>
          </xdr:nvSpPr>
          <xdr:spPr>
            <a:xfrm>
              <a:off x="34621200" y="234144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135" name="AutoShape 158"/>
            <xdr:cNvSpPr/>
          </xdr:nvSpPr>
          <xdr:spPr>
            <a:xfrm>
              <a:off x="33320880" y="1800720"/>
              <a:ext cx="91440" cy="86760"/>
            </a:xfrm>
            <a:prstGeom prst="roundRect">
              <a:avLst>
                <a:gd name="adj" fmla="val 16667"/>
              </a:avLst>
            </a:prstGeom>
            <a:solidFill>
              <a:srgbClr val="0000ff"/>
            </a:solidFill>
            <a:ln w="9525">
              <a:solidFill>
                <a:srgbClr val="0000ff"/>
              </a:solidFill>
              <a:round/>
            </a:ln>
          </xdr:spPr>
          <xdr:style>
            <a:lnRef idx="0"/>
            <a:fillRef idx="0"/>
            <a:effectRef idx="0"/>
            <a:fontRef idx="minor"/>
          </xdr:style>
        </xdr:sp>
        <xdr:sp>
          <xdr:nvSpPr>
            <xdr:cNvPr id="2136" name="AutoShape 157"/>
            <xdr:cNvSpPr/>
          </xdr:nvSpPr>
          <xdr:spPr>
            <a:xfrm>
              <a:off x="33984360" y="1793880"/>
              <a:ext cx="91440" cy="86760"/>
            </a:xfrm>
            <a:prstGeom prst="roundRect">
              <a:avLst>
                <a:gd name="adj" fmla="val 16667"/>
              </a:avLst>
            </a:prstGeom>
            <a:solidFill>
              <a:srgbClr val="0000ff"/>
            </a:solidFill>
            <a:ln w="9525">
              <a:solidFill>
                <a:srgbClr val="0000ff"/>
              </a:solidFill>
              <a:round/>
            </a:ln>
          </xdr:spPr>
          <xdr:style>
            <a:lnRef idx="0"/>
            <a:fillRef idx="0"/>
            <a:effectRef idx="0"/>
            <a:fontRef idx="minor"/>
          </xdr:style>
        </xdr:sp>
        <xdr:sp>
          <xdr:nvSpPr>
            <xdr:cNvPr id="2137" name="AutoShape 156"/>
            <xdr:cNvSpPr/>
          </xdr:nvSpPr>
          <xdr:spPr>
            <a:xfrm>
              <a:off x="34621200" y="1793880"/>
              <a:ext cx="91440" cy="86760"/>
            </a:xfrm>
            <a:prstGeom prst="roundRect">
              <a:avLst>
                <a:gd name="adj" fmla="val 16667"/>
              </a:avLst>
            </a:prstGeom>
            <a:solidFill>
              <a:srgbClr val="0000ff"/>
            </a:solidFill>
            <a:ln w="9525">
              <a:solidFill>
                <a:srgbClr val="0000ff"/>
              </a:solidFill>
              <a:round/>
            </a:ln>
          </xdr:spPr>
          <xdr:style>
            <a:lnRef idx="0"/>
            <a:fillRef idx="0"/>
            <a:effectRef idx="0"/>
            <a:fontRef idx="minor"/>
          </xdr:style>
        </xdr:sp>
        <xdr:sp>
          <xdr:nvSpPr>
            <xdr:cNvPr id="2138" name="Text Box 159"/>
            <xdr:cNvSpPr/>
          </xdr:nvSpPr>
          <xdr:spPr>
            <a:xfrm>
              <a:off x="33193440" y="1508760"/>
              <a:ext cx="1580760" cy="26316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Santa Marta  220 kV</a:t>
              </a:r>
              <a:endParaRPr b="0" lang="en-GB" sz="900" spc="-1" strike="noStrike">
                <a:latin typeface="Times New Roman"/>
              </a:endParaRPr>
            </a:p>
          </xdr:txBody>
        </xdr:sp>
        <xdr:sp>
          <xdr:nvSpPr>
            <xdr:cNvPr id="2139" name="Line 168"/>
            <xdr:cNvSpPr/>
          </xdr:nvSpPr>
          <xdr:spPr>
            <a:xfrm>
              <a:off x="32572800" y="4411440"/>
              <a:ext cx="785880" cy="360"/>
            </a:xfrm>
            <a:prstGeom prst="line">
              <a:avLst/>
            </a:prstGeom>
            <a:ln w="25400">
              <a:solidFill>
                <a:srgbClr val="ff0000"/>
              </a:solidFill>
              <a:round/>
            </a:ln>
          </xdr:spPr>
          <xdr:style>
            <a:lnRef idx="0"/>
            <a:fillRef idx="0"/>
            <a:effectRef idx="0"/>
            <a:fontRef idx="minor"/>
          </xdr:style>
        </xdr:sp>
        <xdr:sp>
          <xdr:nvSpPr>
            <xdr:cNvPr id="2140" name="Text Box 169"/>
            <xdr:cNvSpPr/>
          </xdr:nvSpPr>
          <xdr:spPr>
            <a:xfrm>
              <a:off x="31789800" y="4182120"/>
              <a:ext cx="1143360" cy="25596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Ciénaga 110 kV</a:t>
              </a:r>
              <a:endParaRPr b="0" lang="en-GB" sz="900" spc="-1" strike="noStrike">
                <a:latin typeface="Times New Roman"/>
              </a:endParaRPr>
            </a:p>
          </xdr:txBody>
        </xdr:sp>
        <xdr:sp>
          <xdr:nvSpPr>
            <xdr:cNvPr id="2141" name="Line 171"/>
            <xdr:cNvSpPr/>
          </xdr:nvSpPr>
          <xdr:spPr>
            <a:xfrm>
              <a:off x="32977080" y="4165920"/>
              <a:ext cx="360" cy="236160"/>
            </a:xfrm>
            <a:prstGeom prst="line">
              <a:avLst/>
            </a:prstGeom>
            <a:ln w="12700">
              <a:solidFill>
                <a:srgbClr val="ff0000"/>
              </a:solidFill>
              <a:round/>
            </a:ln>
          </xdr:spPr>
          <xdr:style>
            <a:lnRef idx="0"/>
            <a:fillRef idx="0"/>
            <a:effectRef idx="0"/>
            <a:fontRef idx="minor"/>
          </xdr:style>
        </xdr:sp>
        <xdr:sp>
          <xdr:nvSpPr>
            <xdr:cNvPr id="2142" name="AutoShape 166"/>
            <xdr:cNvSpPr/>
          </xdr:nvSpPr>
          <xdr:spPr>
            <a:xfrm>
              <a:off x="32927040" y="4266360"/>
              <a:ext cx="9072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143" name="Line 45"/>
            <xdr:cNvSpPr/>
          </xdr:nvSpPr>
          <xdr:spPr>
            <a:xfrm>
              <a:off x="25949160" y="4722120"/>
              <a:ext cx="840600" cy="360"/>
            </a:xfrm>
            <a:prstGeom prst="line">
              <a:avLst/>
            </a:prstGeom>
            <a:ln w="25400">
              <a:solidFill>
                <a:srgbClr val="ff0000"/>
              </a:solidFill>
              <a:round/>
            </a:ln>
          </xdr:spPr>
          <xdr:style>
            <a:lnRef idx="0"/>
            <a:fillRef idx="0"/>
            <a:effectRef idx="0"/>
            <a:fontRef idx="minor"/>
          </xdr:style>
        </xdr:sp>
        <xdr:grpSp>
          <xdr:nvGrpSpPr>
            <xdr:cNvPr id="2144" name="Group 48"/>
            <xdr:cNvGrpSpPr/>
          </xdr:nvGrpSpPr>
          <xdr:grpSpPr>
            <a:xfrm>
              <a:off x="26150040" y="4390560"/>
              <a:ext cx="260280" cy="318600"/>
              <a:chOff x="26150040" y="4390560"/>
              <a:chExt cx="260280" cy="318600"/>
            </a:xfrm>
          </xdr:grpSpPr>
          <xdr:sp>
            <xdr:nvSpPr>
              <xdr:cNvPr id="2145" name="Line 257"/>
              <xdr:cNvSpPr/>
            </xdr:nvSpPr>
            <xdr:spPr>
              <a:xfrm>
                <a:off x="26268480" y="4500000"/>
                <a:ext cx="360" cy="209160"/>
              </a:xfrm>
              <a:prstGeom prst="line">
                <a:avLst/>
              </a:prstGeom>
              <a:ln w="15875">
                <a:solidFill>
                  <a:srgbClr val="ff0000"/>
                </a:solidFill>
                <a:round/>
              </a:ln>
            </xdr:spPr>
            <xdr:style>
              <a:lnRef idx="0"/>
              <a:fillRef idx="0"/>
              <a:effectRef idx="0"/>
              <a:fontRef idx="minor"/>
            </xdr:style>
          </xdr:sp>
          <xdr:sp>
            <xdr:nvSpPr>
              <xdr:cNvPr id="2146" name="Line 257"/>
              <xdr:cNvSpPr/>
            </xdr:nvSpPr>
            <xdr:spPr>
              <a:xfrm>
                <a:off x="26150040" y="4499280"/>
                <a:ext cx="249120" cy="720"/>
              </a:xfrm>
              <a:prstGeom prst="line">
                <a:avLst/>
              </a:prstGeom>
              <a:ln w="15875">
                <a:solidFill>
                  <a:srgbClr val="ff0000"/>
                </a:solidFill>
                <a:round/>
              </a:ln>
            </xdr:spPr>
            <xdr:style>
              <a:lnRef idx="0"/>
              <a:fillRef idx="0"/>
              <a:effectRef idx="0"/>
              <a:fontRef idx="minor"/>
            </xdr:style>
          </xdr:sp>
          <xdr:sp>
            <xdr:nvSpPr>
              <xdr:cNvPr id="2147" name="Line 257"/>
              <xdr:cNvSpPr/>
            </xdr:nvSpPr>
            <xdr:spPr>
              <a:xfrm>
                <a:off x="26276400" y="4390560"/>
                <a:ext cx="720" cy="63720"/>
              </a:xfrm>
              <a:prstGeom prst="line">
                <a:avLst/>
              </a:prstGeom>
              <a:ln w="15875">
                <a:solidFill>
                  <a:srgbClr val="ff0000"/>
                </a:solidFill>
                <a:round/>
              </a:ln>
            </xdr:spPr>
            <xdr:style>
              <a:lnRef idx="0"/>
              <a:fillRef idx="0"/>
              <a:effectRef idx="0"/>
              <a:fontRef idx="minor"/>
            </xdr:style>
          </xdr:sp>
          <xdr:sp>
            <xdr:nvSpPr>
              <xdr:cNvPr id="2148" name="Line 257"/>
              <xdr:cNvSpPr/>
            </xdr:nvSpPr>
            <xdr:spPr>
              <a:xfrm>
                <a:off x="26182800" y="4394160"/>
                <a:ext cx="179280" cy="1080"/>
              </a:xfrm>
              <a:prstGeom prst="line">
                <a:avLst/>
              </a:prstGeom>
              <a:ln w="15875">
                <a:solidFill>
                  <a:srgbClr val="ff0000"/>
                </a:solidFill>
                <a:round/>
              </a:ln>
            </xdr:spPr>
            <xdr:style>
              <a:lnRef idx="0"/>
              <a:fillRef idx="0"/>
              <a:effectRef idx="0"/>
              <a:fontRef idx="minor"/>
            </xdr:style>
          </xdr:sp>
          <xdr:sp>
            <xdr:nvSpPr>
              <xdr:cNvPr id="2149" name="Line 257"/>
              <xdr:cNvSpPr/>
            </xdr:nvSpPr>
            <xdr:spPr>
              <a:xfrm>
                <a:off x="26161200" y="4454280"/>
                <a:ext cx="249120" cy="720"/>
              </a:xfrm>
              <a:prstGeom prst="line">
                <a:avLst/>
              </a:prstGeom>
              <a:ln w="15875">
                <a:solidFill>
                  <a:srgbClr val="ff0000"/>
                </a:solidFill>
                <a:round/>
              </a:ln>
            </xdr:spPr>
            <xdr:style>
              <a:lnRef idx="0"/>
              <a:fillRef idx="0"/>
              <a:effectRef idx="0"/>
              <a:fontRef idx="minor"/>
            </xdr:style>
          </xdr:sp>
        </xdr:grpSp>
        <xdr:sp>
          <xdr:nvSpPr>
            <xdr:cNvPr id="2150" name="391 Rectángulo redondeado"/>
            <xdr:cNvSpPr/>
          </xdr:nvSpPr>
          <xdr:spPr>
            <a:xfrm>
              <a:off x="26221680" y="4564800"/>
              <a:ext cx="90360" cy="878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151" name="386 Rectángulo redondeado"/>
            <xdr:cNvSpPr/>
          </xdr:nvSpPr>
          <xdr:spPr>
            <a:xfrm>
              <a:off x="26672760" y="2913120"/>
              <a:ext cx="90360" cy="878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152" name="389 Rectángulo redondeado"/>
            <xdr:cNvSpPr/>
          </xdr:nvSpPr>
          <xdr:spPr>
            <a:xfrm>
              <a:off x="26672760" y="4577760"/>
              <a:ext cx="90360" cy="878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153" name="Line 38"/>
            <xdr:cNvSpPr/>
          </xdr:nvSpPr>
          <xdr:spPr>
            <a:xfrm>
              <a:off x="26711280" y="2856600"/>
              <a:ext cx="360" cy="1870560"/>
            </a:xfrm>
            <a:prstGeom prst="line">
              <a:avLst/>
            </a:prstGeom>
            <a:ln w="9525">
              <a:solidFill>
                <a:srgbClr val="ff0000"/>
              </a:solidFill>
              <a:round/>
            </a:ln>
          </xdr:spPr>
          <xdr:style>
            <a:lnRef idx="0"/>
            <a:fillRef idx="0"/>
            <a:effectRef idx="0"/>
            <a:fontRef idx="minor"/>
          </xdr:style>
        </xdr:sp>
        <xdr:sp>
          <xdr:nvSpPr>
            <xdr:cNvPr id="2154" name="Text Box 43"/>
            <xdr:cNvSpPr/>
          </xdr:nvSpPr>
          <xdr:spPr>
            <a:xfrm>
              <a:off x="25202160" y="4784400"/>
              <a:ext cx="1446840" cy="464760"/>
            </a:xfrm>
            <a:prstGeom prst="rect">
              <a:avLst/>
            </a:prstGeom>
            <a:noFill/>
            <a:ln w="9525">
              <a:noFill/>
            </a:ln>
          </xdr:spPr>
          <xdr:style>
            <a:lnRef idx="0"/>
            <a:fillRef idx="0"/>
            <a:effectRef idx="0"/>
            <a:fontRef idx="minor"/>
          </xdr:style>
          <xdr:txBody>
            <a:bodyPr vertOverflow="clip" anchor="t" upright="1">
              <a:noAutofit/>
            </a:bodyPr>
            <a:p>
              <a:pPr algn="r">
                <a:lnSpc>
                  <a:spcPct val="100000"/>
                </a:lnSpc>
              </a:pPr>
              <a:r>
                <a:rPr b="0" lang="es-CO" sz="1050" spc="-1" strike="noStrike">
                  <a:solidFill>
                    <a:srgbClr val="40637a"/>
                  </a:solidFill>
                  <a:latin typeface="Calibri"/>
                </a:rPr>
                <a:t>Riohacha 110 kV</a:t>
              </a:r>
              <a:endParaRPr b="0" lang="en-GB" sz="1050" spc="-1" strike="noStrike">
                <a:latin typeface="Times New Roman"/>
              </a:endParaRPr>
            </a:p>
            <a:p>
              <a:pPr algn="r">
                <a:lnSpc>
                  <a:spcPct val="100000"/>
                </a:lnSpc>
              </a:pPr>
              <a:endParaRPr b="0" lang="en-GB" sz="1050" spc="-1" strike="noStrike">
                <a:latin typeface="Times New Roman"/>
              </a:endParaRPr>
            </a:p>
          </xdr:txBody>
        </xdr:sp>
        <xdr:grpSp>
          <xdr:nvGrpSpPr>
            <xdr:cNvPr id="2155" name="Grupo 697"/>
            <xdr:cNvGrpSpPr/>
          </xdr:nvGrpSpPr>
          <xdr:grpSpPr>
            <a:xfrm>
              <a:off x="27712440" y="2844000"/>
              <a:ext cx="2032920" cy="2010600"/>
              <a:chOff x="27712440" y="2844000"/>
              <a:chExt cx="2032920" cy="2010600"/>
            </a:xfrm>
          </xdr:grpSpPr>
          <xdr:sp>
            <xdr:nvSpPr>
              <xdr:cNvPr id="2156" name="Text Box 43"/>
              <xdr:cNvSpPr/>
            </xdr:nvSpPr>
            <xdr:spPr>
              <a:xfrm>
                <a:off x="28134000" y="4235040"/>
                <a:ext cx="1611360" cy="27936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Calibri"/>
                  </a:rPr>
                  <a:t>Maicao 110 kV</a:t>
                </a:r>
                <a:endParaRPr b="0" lang="en-GB" sz="1050" spc="-1" strike="noStrike">
                  <a:latin typeface="Times New Roman"/>
                </a:endParaRPr>
              </a:p>
              <a:p>
                <a:pPr>
                  <a:lnSpc>
                    <a:spcPct val="100000"/>
                  </a:lnSpc>
                </a:pPr>
                <a:endParaRPr b="0" lang="en-GB" sz="1050" spc="-1" strike="noStrike">
                  <a:latin typeface="Times New Roman"/>
                </a:endParaRPr>
              </a:p>
            </xdr:txBody>
          </xdr:sp>
          <xdr:grpSp>
            <xdr:nvGrpSpPr>
              <xdr:cNvPr id="2157" name="Grupo 890"/>
              <xdr:cNvGrpSpPr/>
            </xdr:nvGrpSpPr>
            <xdr:grpSpPr>
              <a:xfrm>
                <a:off x="27712440" y="2844000"/>
                <a:ext cx="1401840" cy="2010600"/>
                <a:chOff x="27712440" y="2844000"/>
                <a:chExt cx="1401840" cy="2010600"/>
              </a:xfrm>
            </xdr:grpSpPr>
            <xdr:sp>
              <xdr:nvSpPr>
                <xdr:cNvPr id="2158" name="392 Rectángulo redondeado"/>
                <xdr:cNvSpPr/>
              </xdr:nvSpPr>
              <xdr:spPr>
                <a:xfrm>
                  <a:off x="27794880" y="4580640"/>
                  <a:ext cx="90000" cy="878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nvGrpSpPr>
                <xdr:cNvPr id="2159" name="Grupo 892"/>
                <xdr:cNvGrpSpPr/>
              </xdr:nvGrpSpPr>
              <xdr:grpSpPr>
                <a:xfrm>
                  <a:off x="27712440" y="2844000"/>
                  <a:ext cx="1401840" cy="2010600"/>
                  <a:chOff x="27712440" y="2844000"/>
                  <a:chExt cx="1401840" cy="2010600"/>
                </a:xfrm>
              </xdr:grpSpPr>
              <xdr:sp>
                <xdr:nvSpPr>
                  <xdr:cNvPr id="2160" name="Line 47"/>
                  <xdr:cNvSpPr/>
                </xdr:nvSpPr>
                <xdr:spPr>
                  <a:xfrm>
                    <a:off x="28037160" y="2844000"/>
                    <a:ext cx="360" cy="1649160"/>
                  </a:xfrm>
                  <a:prstGeom prst="line">
                    <a:avLst/>
                  </a:prstGeom>
                  <a:ln w="9525">
                    <a:solidFill>
                      <a:srgbClr val="ff0000"/>
                    </a:solidFill>
                    <a:round/>
                  </a:ln>
                </xdr:spPr>
                <xdr:style>
                  <a:lnRef idx="0"/>
                  <a:fillRef idx="0"/>
                  <a:effectRef idx="0"/>
                  <a:fontRef idx="minor"/>
                </xdr:style>
              </xdr:sp>
              <xdr:grpSp>
                <xdr:nvGrpSpPr>
                  <xdr:cNvPr id="2161" name="Grupo 894"/>
                  <xdr:cNvGrpSpPr/>
                </xdr:nvGrpSpPr>
                <xdr:grpSpPr>
                  <a:xfrm>
                    <a:off x="27712440" y="2925000"/>
                    <a:ext cx="1401840" cy="1929600"/>
                    <a:chOff x="27712440" y="2925000"/>
                    <a:chExt cx="1401840" cy="1929600"/>
                  </a:xfrm>
                </xdr:grpSpPr>
                <xdr:sp>
                  <xdr:nvSpPr>
                    <xdr:cNvPr id="2162" name="Line 46"/>
                    <xdr:cNvSpPr/>
                  </xdr:nvSpPr>
                  <xdr:spPr>
                    <a:xfrm>
                      <a:off x="27745920" y="4501800"/>
                      <a:ext cx="1368360" cy="360"/>
                    </a:xfrm>
                    <a:prstGeom prst="line">
                      <a:avLst/>
                    </a:prstGeom>
                    <a:ln w="25400">
                      <a:solidFill>
                        <a:srgbClr val="ff0000"/>
                      </a:solidFill>
                      <a:round/>
                    </a:ln>
                  </xdr:spPr>
                  <xdr:style>
                    <a:lnRef idx="0"/>
                    <a:fillRef idx="0"/>
                    <a:effectRef idx="0"/>
                    <a:fontRef idx="minor"/>
                  </xdr:style>
                </xdr:sp>
                <xdr:grpSp>
                  <xdr:nvGrpSpPr>
                    <xdr:cNvPr id="2163" name="Group 54"/>
                    <xdr:cNvGrpSpPr/>
                  </xdr:nvGrpSpPr>
                  <xdr:grpSpPr>
                    <a:xfrm>
                      <a:off x="27712440" y="4504320"/>
                      <a:ext cx="259200" cy="350280"/>
                      <a:chOff x="27712440" y="4504320"/>
                      <a:chExt cx="259200" cy="350280"/>
                    </a:xfrm>
                  </xdr:grpSpPr>
                  <xdr:sp>
                    <xdr:nvSpPr>
                      <xdr:cNvPr id="2164" name="Line 257"/>
                      <xdr:cNvSpPr/>
                    </xdr:nvSpPr>
                    <xdr:spPr>
                      <a:xfrm flipV="1">
                        <a:off x="27853560" y="4504320"/>
                        <a:ext cx="360" cy="232920"/>
                      </a:xfrm>
                      <a:prstGeom prst="line">
                        <a:avLst/>
                      </a:prstGeom>
                      <a:ln w="15875">
                        <a:solidFill>
                          <a:srgbClr val="ff0000"/>
                        </a:solidFill>
                        <a:round/>
                      </a:ln>
                    </xdr:spPr>
                    <xdr:style>
                      <a:lnRef idx="0"/>
                      <a:fillRef idx="0"/>
                      <a:effectRef idx="0"/>
                      <a:fontRef idx="minor"/>
                    </xdr:style>
                  </xdr:sp>
                  <xdr:sp>
                    <xdr:nvSpPr>
                      <xdr:cNvPr id="2165" name="Line 257"/>
                      <xdr:cNvSpPr/>
                    </xdr:nvSpPr>
                    <xdr:spPr>
                      <a:xfrm flipH="1" flipV="1">
                        <a:off x="27723600" y="4737240"/>
                        <a:ext cx="248040" cy="720"/>
                      </a:xfrm>
                      <a:prstGeom prst="line">
                        <a:avLst/>
                      </a:prstGeom>
                      <a:ln w="15875">
                        <a:solidFill>
                          <a:srgbClr val="ff0000"/>
                        </a:solidFill>
                        <a:round/>
                      </a:ln>
                    </xdr:spPr>
                    <xdr:style>
                      <a:lnRef idx="0"/>
                      <a:fillRef idx="0"/>
                      <a:effectRef idx="0"/>
                      <a:fontRef idx="minor"/>
                    </xdr:style>
                  </xdr:sp>
                  <xdr:sp>
                    <xdr:nvSpPr>
                      <xdr:cNvPr id="2166" name="Line 257"/>
                      <xdr:cNvSpPr/>
                    </xdr:nvSpPr>
                    <xdr:spPr>
                      <a:xfrm flipH="1" flipV="1">
                        <a:off x="27844920" y="4783320"/>
                        <a:ext cx="720" cy="63720"/>
                      </a:xfrm>
                      <a:prstGeom prst="line">
                        <a:avLst/>
                      </a:prstGeom>
                      <a:ln w="15875">
                        <a:solidFill>
                          <a:srgbClr val="ff0000"/>
                        </a:solidFill>
                        <a:round/>
                      </a:ln>
                    </xdr:spPr>
                    <xdr:style>
                      <a:lnRef idx="0"/>
                      <a:fillRef idx="0"/>
                      <a:effectRef idx="0"/>
                      <a:fontRef idx="minor"/>
                    </xdr:style>
                  </xdr:sp>
                  <xdr:sp>
                    <xdr:nvSpPr>
                      <xdr:cNvPr id="2167" name="Line 257"/>
                      <xdr:cNvSpPr/>
                    </xdr:nvSpPr>
                    <xdr:spPr>
                      <a:xfrm flipH="1" flipV="1">
                        <a:off x="27760320" y="4853880"/>
                        <a:ext cx="178920" cy="720"/>
                      </a:xfrm>
                      <a:prstGeom prst="line">
                        <a:avLst/>
                      </a:prstGeom>
                      <a:ln w="15875">
                        <a:solidFill>
                          <a:srgbClr val="ff0000"/>
                        </a:solidFill>
                        <a:round/>
                      </a:ln>
                    </xdr:spPr>
                    <xdr:style>
                      <a:lnRef idx="0"/>
                      <a:fillRef idx="0"/>
                      <a:effectRef idx="0"/>
                      <a:fontRef idx="minor"/>
                    </xdr:style>
                  </xdr:sp>
                  <xdr:sp>
                    <xdr:nvSpPr>
                      <xdr:cNvPr id="2168" name="Line 257"/>
                      <xdr:cNvSpPr/>
                    </xdr:nvSpPr>
                    <xdr:spPr>
                      <a:xfrm flipH="1" flipV="1">
                        <a:off x="27712440" y="4782240"/>
                        <a:ext cx="248040" cy="1080"/>
                      </a:xfrm>
                      <a:prstGeom prst="line">
                        <a:avLst/>
                      </a:prstGeom>
                      <a:ln w="15875">
                        <a:solidFill>
                          <a:srgbClr val="ff0000"/>
                        </a:solidFill>
                        <a:round/>
                      </a:ln>
                    </xdr:spPr>
                    <xdr:style>
                      <a:lnRef idx="0"/>
                      <a:fillRef idx="0"/>
                      <a:effectRef idx="0"/>
                      <a:fontRef idx="minor"/>
                    </xdr:style>
                  </xdr:sp>
                </xdr:grpSp>
                <xdr:sp>
                  <xdr:nvSpPr>
                    <xdr:cNvPr id="2169" name="387 Rectángulo redondeado"/>
                    <xdr:cNvSpPr/>
                  </xdr:nvSpPr>
                  <xdr:spPr>
                    <a:xfrm>
                      <a:off x="27988200" y="2925000"/>
                      <a:ext cx="90000" cy="878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170" name="388 Rectángulo redondeado"/>
                    <xdr:cNvSpPr/>
                  </xdr:nvSpPr>
                  <xdr:spPr>
                    <a:xfrm>
                      <a:off x="27997560" y="4347720"/>
                      <a:ext cx="90000" cy="878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171" name="393 Rectángulo redondeado"/>
                    <xdr:cNvSpPr/>
                  </xdr:nvSpPr>
                  <xdr:spPr>
                    <a:xfrm>
                      <a:off x="27997560" y="4580640"/>
                      <a:ext cx="90000" cy="878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grpSp>
          </xdr:grpSp>
        </xdr:grpSp>
        <xdr:sp>
          <xdr:nvSpPr>
            <xdr:cNvPr id="2172" name="Line 38"/>
            <xdr:cNvSpPr/>
          </xdr:nvSpPr>
          <xdr:spPr>
            <a:xfrm>
              <a:off x="28035720" y="4494600"/>
              <a:ext cx="360" cy="648000"/>
            </a:xfrm>
            <a:prstGeom prst="line">
              <a:avLst/>
            </a:prstGeom>
            <a:ln w="9525">
              <a:solidFill>
                <a:srgbClr val="ff0000"/>
              </a:solidFill>
              <a:round/>
            </a:ln>
          </xdr:spPr>
          <xdr:style>
            <a:lnRef idx="0"/>
            <a:fillRef idx="0"/>
            <a:effectRef idx="0"/>
            <a:fontRef idx="minor"/>
          </xdr:style>
        </xdr:sp>
        <xdr:sp>
          <xdr:nvSpPr>
            <xdr:cNvPr id="2173" name="388 Rectángulo redondeado"/>
            <xdr:cNvSpPr/>
          </xdr:nvSpPr>
          <xdr:spPr>
            <a:xfrm>
              <a:off x="26613360" y="4793040"/>
              <a:ext cx="90360" cy="878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174" name="Line 38"/>
            <xdr:cNvSpPr/>
          </xdr:nvSpPr>
          <xdr:spPr>
            <a:xfrm>
              <a:off x="26663040" y="4724640"/>
              <a:ext cx="360" cy="417600"/>
            </a:xfrm>
            <a:prstGeom prst="line">
              <a:avLst/>
            </a:prstGeom>
            <a:ln w="9525">
              <a:solidFill>
                <a:srgbClr val="ff0000"/>
              </a:solidFill>
              <a:round/>
            </a:ln>
          </xdr:spPr>
          <xdr:style>
            <a:lnRef idx="0"/>
            <a:fillRef idx="0"/>
            <a:effectRef idx="0"/>
            <a:fontRef idx="minor"/>
          </xdr:style>
        </xdr:sp>
        <xdr:sp>
          <xdr:nvSpPr>
            <xdr:cNvPr id="2175" name="Line 38"/>
            <xdr:cNvSpPr/>
          </xdr:nvSpPr>
          <xdr:spPr>
            <a:xfrm flipH="1">
              <a:off x="26662680" y="5137200"/>
              <a:ext cx="1375200" cy="360"/>
            </a:xfrm>
            <a:prstGeom prst="line">
              <a:avLst/>
            </a:prstGeom>
            <a:ln w="9525">
              <a:solidFill>
                <a:srgbClr val="ff0000"/>
              </a:solidFill>
              <a:round/>
            </a:ln>
          </xdr:spPr>
          <xdr:style>
            <a:lnRef idx="0"/>
            <a:fillRef idx="0"/>
            <a:effectRef idx="0"/>
            <a:fontRef idx="minor"/>
          </xdr:style>
        </xdr:sp>
        <xdr:sp>
          <xdr:nvSpPr>
            <xdr:cNvPr id="2176" name="386 Rectángulo redondeado"/>
            <xdr:cNvSpPr/>
          </xdr:nvSpPr>
          <xdr:spPr>
            <a:xfrm>
              <a:off x="26466480" y="2917440"/>
              <a:ext cx="90360" cy="878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177" name="389 Rectángulo redondeado"/>
            <xdr:cNvSpPr/>
          </xdr:nvSpPr>
          <xdr:spPr>
            <a:xfrm>
              <a:off x="26470800" y="4582080"/>
              <a:ext cx="90360" cy="8784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178" name="Line 38"/>
            <xdr:cNvSpPr/>
          </xdr:nvSpPr>
          <xdr:spPr>
            <a:xfrm>
              <a:off x="26509320" y="2860560"/>
              <a:ext cx="360" cy="1870920"/>
            </a:xfrm>
            <a:prstGeom prst="line">
              <a:avLst/>
            </a:prstGeom>
            <a:ln w="9525">
              <a:solidFill>
                <a:srgbClr val="ff0000"/>
              </a:solidFill>
              <a:round/>
            </a:ln>
          </xdr:spPr>
          <xdr:style>
            <a:lnRef idx="0"/>
            <a:fillRef idx="0"/>
            <a:effectRef idx="0"/>
            <a:fontRef idx="minor"/>
          </xdr:style>
        </xdr:sp>
        <xdr:sp>
          <xdr:nvSpPr>
            <xdr:cNvPr id="2179" name="Line 157"/>
            <xdr:cNvSpPr/>
          </xdr:nvSpPr>
          <xdr:spPr>
            <a:xfrm flipV="1">
              <a:off x="32583960" y="3494880"/>
              <a:ext cx="770400" cy="720"/>
            </a:xfrm>
            <a:prstGeom prst="line">
              <a:avLst/>
            </a:prstGeom>
            <a:ln w="25400">
              <a:solidFill>
                <a:srgbClr val="ff0000"/>
              </a:solidFill>
              <a:round/>
            </a:ln>
          </xdr:spPr>
          <xdr:style>
            <a:lnRef idx="0"/>
            <a:fillRef idx="0"/>
            <a:effectRef idx="0"/>
            <a:fontRef idx="minor"/>
          </xdr:style>
        </xdr:sp>
        <xdr:sp>
          <xdr:nvSpPr>
            <xdr:cNvPr id="2180" name="399 Rectángulo"/>
            <xdr:cNvSpPr/>
          </xdr:nvSpPr>
          <xdr:spPr>
            <a:xfrm>
              <a:off x="32906160" y="3514320"/>
              <a:ext cx="214920" cy="302040"/>
            </a:xfrm>
            <a:prstGeom prst="rect">
              <a:avLst/>
            </a:prstGeom>
            <a:pattFill prst="openDmnd">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181" name="399 Rectángulo"/>
            <xdr:cNvSpPr/>
          </xdr:nvSpPr>
          <xdr:spPr>
            <a:xfrm>
              <a:off x="31954320" y="3655080"/>
              <a:ext cx="1022040" cy="159480"/>
            </a:xfrm>
            <a:prstGeom prst="rect">
              <a:avLst/>
            </a:prstGeom>
            <a:pattFill prst="openDmnd">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182" name="399 Rectángulo"/>
            <xdr:cNvSpPr/>
          </xdr:nvSpPr>
          <xdr:spPr>
            <a:xfrm>
              <a:off x="31756680" y="3518640"/>
              <a:ext cx="214920" cy="298080"/>
            </a:xfrm>
            <a:prstGeom prst="rect">
              <a:avLst/>
            </a:prstGeom>
            <a:pattFill prst="openDmnd">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183" name="Line 136"/>
            <xdr:cNvSpPr/>
          </xdr:nvSpPr>
          <xdr:spPr>
            <a:xfrm flipV="1">
              <a:off x="31462200" y="3497760"/>
              <a:ext cx="770400" cy="720"/>
            </a:xfrm>
            <a:prstGeom prst="line">
              <a:avLst/>
            </a:prstGeom>
            <a:ln w="25400">
              <a:solidFill>
                <a:srgbClr val="ff0000"/>
              </a:solidFill>
              <a:round/>
            </a:ln>
          </xdr:spPr>
          <xdr:style>
            <a:lnRef idx="0"/>
            <a:fillRef idx="0"/>
            <a:effectRef idx="0"/>
            <a:fontRef idx="minor"/>
          </xdr:style>
        </xdr:sp>
        <xdr:sp>
          <xdr:nvSpPr>
            <xdr:cNvPr id="2184" name="Text Box 150"/>
            <xdr:cNvSpPr/>
          </xdr:nvSpPr>
          <xdr:spPr>
            <a:xfrm>
              <a:off x="30911760" y="3162240"/>
              <a:ext cx="1025640" cy="39240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gn="ctr">
                <a:lnSpc>
                  <a:spcPct val="100000"/>
                </a:lnSpc>
              </a:pPr>
              <a:r>
                <a:rPr b="0" lang="es-CO" sz="900" spc="-1" strike="noStrike">
                  <a:solidFill>
                    <a:srgbClr val="40637a"/>
                  </a:solidFill>
                  <a:latin typeface="Arial"/>
                </a:rPr>
                <a:t>Manzanares 110 kV</a:t>
              </a:r>
              <a:endParaRPr b="0" lang="en-GB" sz="900" spc="-1" strike="noStrike">
                <a:latin typeface="Times New Roman"/>
              </a:endParaRPr>
            </a:p>
          </xdr:txBody>
        </xdr:sp>
        <xdr:sp>
          <xdr:nvSpPr>
            <xdr:cNvPr id="2185" name="Text Box 159"/>
            <xdr:cNvSpPr/>
          </xdr:nvSpPr>
          <xdr:spPr>
            <a:xfrm>
              <a:off x="32993640" y="3167280"/>
              <a:ext cx="743760" cy="33768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gn="ctr">
                <a:lnSpc>
                  <a:spcPct val="100000"/>
                </a:lnSpc>
              </a:pPr>
              <a:r>
                <a:rPr b="0" lang="es-CO" sz="900" spc="-1" strike="noStrike">
                  <a:solidFill>
                    <a:srgbClr val="40637a"/>
                  </a:solidFill>
                  <a:latin typeface="Arial"/>
                </a:rPr>
                <a:t>Libertador 110 kV</a:t>
              </a:r>
              <a:endParaRPr b="0" lang="en-GB" sz="900" spc="-1" strike="noStrike">
                <a:latin typeface="Times New Roman"/>
              </a:endParaRPr>
            </a:p>
          </xdr:txBody>
        </xdr:sp>
        <xdr:sp>
          <xdr:nvSpPr>
            <xdr:cNvPr id="2186" name="Line 160"/>
            <xdr:cNvSpPr/>
          </xdr:nvSpPr>
          <xdr:spPr>
            <a:xfrm>
              <a:off x="31851720" y="2484360"/>
              <a:ext cx="720" cy="1007280"/>
            </a:xfrm>
            <a:prstGeom prst="line">
              <a:avLst/>
            </a:prstGeom>
            <a:ln w="12700">
              <a:solidFill>
                <a:srgbClr val="ff0000"/>
              </a:solidFill>
              <a:round/>
            </a:ln>
          </xdr:spPr>
          <xdr:style>
            <a:lnRef idx="0"/>
            <a:fillRef idx="0"/>
            <a:effectRef idx="0"/>
            <a:fontRef idx="minor"/>
          </xdr:style>
        </xdr:sp>
        <xdr:sp>
          <xdr:nvSpPr>
            <xdr:cNvPr id="2187" name="Line 160"/>
            <xdr:cNvSpPr/>
          </xdr:nvSpPr>
          <xdr:spPr>
            <a:xfrm>
              <a:off x="33012000" y="2492280"/>
              <a:ext cx="1080" cy="1006920"/>
            </a:xfrm>
            <a:prstGeom prst="line">
              <a:avLst/>
            </a:prstGeom>
            <a:ln w="12700">
              <a:solidFill>
                <a:srgbClr val="ff0000"/>
              </a:solidFill>
              <a:round/>
            </a:ln>
          </xdr:spPr>
          <xdr:style>
            <a:lnRef idx="0"/>
            <a:fillRef idx="0"/>
            <a:effectRef idx="0"/>
            <a:fontRef idx="minor"/>
          </xdr:style>
        </xdr:sp>
        <xdr:sp>
          <xdr:nvSpPr>
            <xdr:cNvPr id="2188" name="AutoShape 175"/>
            <xdr:cNvSpPr/>
          </xdr:nvSpPr>
          <xdr:spPr>
            <a:xfrm>
              <a:off x="31795920" y="254088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189" name="AutoShape 174"/>
            <xdr:cNvSpPr/>
          </xdr:nvSpPr>
          <xdr:spPr>
            <a:xfrm>
              <a:off x="31810320" y="334656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190" name="AutoShape 173"/>
            <xdr:cNvSpPr/>
          </xdr:nvSpPr>
          <xdr:spPr>
            <a:xfrm>
              <a:off x="32967720" y="254808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191" name="AutoShape 172"/>
            <xdr:cNvSpPr/>
          </xdr:nvSpPr>
          <xdr:spPr>
            <a:xfrm>
              <a:off x="32974920" y="334656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192" name="Line 160"/>
            <xdr:cNvSpPr/>
          </xdr:nvSpPr>
          <xdr:spPr>
            <a:xfrm>
              <a:off x="31856400" y="3480840"/>
              <a:ext cx="360" cy="262440"/>
            </a:xfrm>
            <a:prstGeom prst="line">
              <a:avLst/>
            </a:prstGeom>
            <a:ln w="12700">
              <a:solidFill>
                <a:srgbClr val="ff0000"/>
              </a:solidFill>
              <a:prstDash val="sysDash"/>
              <a:round/>
            </a:ln>
          </xdr:spPr>
          <xdr:style>
            <a:lnRef idx="0"/>
            <a:fillRef idx="0"/>
            <a:effectRef idx="0"/>
            <a:fontRef idx="minor"/>
          </xdr:style>
        </xdr:sp>
        <xdr:sp>
          <xdr:nvSpPr>
            <xdr:cNvPr id="2193" name="AutoShape 175"/>
            <xdr:cNvSpPr/>
          </xdr:nvSpPr>
          <xdr:spPr>
            <a:xfrm>
              <a:off x="31818600" y="354060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194" name="AutoShape 175"/>
            <xdr:cNvSpPr/>
          </xdr:nvSpPr>
          <xdr:spPr>
            <a:xfrm>
              <a:off x="32972040" y="354636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195" name="Line 160"/>
            <xdr:cNvSpPr/>
          </xdr:nvSpPr>
          <xdr:spPr>
            <a:xfrm flipH="1">
              <a:off x="31853880" y="3738960"/>
              <a:ext cx="1163520" cy="360"/>
            </a:xfrm>
            <a:prstGeom prst="line">
              <a:avLst/>
            </a:prstGeom>
            <a:ln w="12700">
              <a:solidFill>
                <a:srgbClr val="ff0000"/>
              </a:solidFill>
              <a:prstDash val="dash"/>
              <a:round/>
            </a:ln>
          </xdr:spPr>
          <xdr:style>
            <a:lnRef idx="0"/>
            <a:fillRef idx="0"/>
            <a:effectRef idx="0"/>
            <a:fontRef idx="minor"/>
          </xdr:style>
        </xdr:sp>
        <xdr:sp>
          <xdr:nvSpPr>
            <xdr:cNvPr id="2196" name="Line 160"/>
            <xdr:cNvSpPr/>
          </xdr:nvSpPr>
          <xdr:spPr>
            <a:xfrm>
              <a:off x="33010920" y="3482640"/>
              <a:ext cx="360" cy="262080"/>
            </a:xfrm>
            <a:prstGeom prst="line">
              <a:avLst/>
            </a:prstGeom>
            <a:ln w="12700">
              <a:solidFill>
                <a:srgbClr val="ff0000"/>
              </a:solidFill>
              <a:prstDash val="sysDash"/>
              <a:round/>
            </a:ln>
          </xdr:spPr>
          <xdr:style>
            <a:lnRef idx="0"/>
            <a:fillRef idx="0"/>
            <a:effectRef idx="0"/>
            <a:fontRef idx="minor"/>
          </xdr:style>
        </xdr:sp>
        <xdr:sp>
          <xdr:nvSpPr>
            <xdr:cNvPr id="2197" name="Text Box 173"/>
            <xdr:cNvSpPr/>
          </xdr:nvSpPr>
          <xdr:spPr>
            <a:xfrm>
              <a:off x="32177880" y="3808440"/>
              <a:ext cx="609840" cy="270000"/>
            </a:xfrm>
            <a:prstGeom prst="rect">
              <a:avLst/>
            </a:prstGeom>
            <a:noFill/>
            <a:ln w="9525">
              <a:noFill/>
            </a:ln>
          </xdr:spPr>
          <xdr:style>
            <a:lnRef idx="0"/>
            <a:fillRef idx="0"/>
            <a:effectRef idx="0"/>
            <a:fontRef idx="minor"/>
          </xdr:style>
        </xdr:sp>
        <xdr:sp>
          <xdr:nvSpPr>
            <xdr:cNvPr id="2198" name="Line 157"/>
            <xdr:cNvSpPr/>
          </xdr:nvSpPr>
          <xdr:spPr>
            <a:xfrm>
              <a:off x="34475400" y="2824200"/>
              <a:ext cx="360" cy="950040"/>
            </a:xfrm>
            <a:prstGeom prst="line">
              <a:avLst/>
            </a:prstGeom>
            <a:ln w="25400">
              <a:solidFill>
                <a:srgbClr val="ff0000"/>
              </a:solidFill>
              <a:round/>
            </a:ln>
          </xdr:spPr>
          <xdr:style>
            <a:lnRef idx="0"/>
            <a:fillRef idx="0"/>
            <a:effectRef idx="0"/>
            <a:fontRef idx="minor"/>
          </xdr:style>
        </xdr:sp>
        <xdr:sp>
          <xdr:nvSpPr>
            <xdr:cNvPr id="2199" name="Text Box 149"/>
            <xdr:cNvSpPr/>
          </xdr:nvSpPr>
          <xdr:spPr>
            <a:xfrm>
              <a:off x="33800040" y="3111120"/>
              <a:ext cx="644760" cy="44244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Bureche 110 kV</a:t>
              </a:r>
              <a:endParaRPr b="0" lang="en-GB" sz="900" spc="-1" strike="noStrike">
                <a:latin typeface="Times New Roman"/>
              </a:endParaRPr>
            </a:p>
          </xdr:txBody>
        </xdr:sp>
        <xdr:sp>
          <xdr:nvSpPr>
            <xdr:cNvPr id="2200" name="Line 160"/>
            <xdr:cNvSpPr/>
          </xdr:nvSpPr>
          <xdr:spPr>
            <a:xfrm flipH="1">
              <a:off x="34485480" y="3577320"/>
              <a:ext cx="885960" cy="360"/>
            </a:xfrm>
            <a:prstGeom prst="line">
              <a:avLst/>
            </a:prstGeom>
            <a:ln w="12700">
              <a:solidFill>
                <a:srgbClr val="ff0000"/>
              </a:solidFill>
              <a:prstDash val="sysDash"/>
              <a:round/>
            </a:ln>
          </xdr:spPr>
          <xdr:style>
            <a:lnRef idx="0"/>
            <a:fillRef idx="0"/>
            <a:effectRef idx="0"/>
            <a:fontRef idx="minor"/>
          </xdr:style>
        </xdr:sp>
        <xdr:sp>
          <xdr:nvSpPr>
            <xdr:cNvPr id="2201" name="AutoShape 171"/>
            <xdr:cNvSpPr/>
          </xdr:nvSpPr>
          <xdr:spPr>
            <a:xfrm>
              <a:off x="34581240" y="352944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202" name="Line 160"/>
            <xdr:cNvSpPr/>
          </xdr:nvSpPr>
          <xdr:spPr>
            <a:xfrm flipH="1">
              <a:off x="34471440" y="3207960"/>
              <a:ext cx="911880" cy="360"/>
            </a:xfrm>
            <a:prstGeom prst="line">
              <a:avLst/>
            </a:prstGeom>
            <a:ln w="12700">
              <a:solidFill>
                <a:srgbClr val="ff0000"/>
              </a:solidFill>
              <a:prstDash val="sysDash"/>
              <a:round/>
            </a:ln>
          </xdr:spPr>
          <xdr:style>
            <a:lnRef idx="0"/>
            <a:fillRef idx="0"/>
            <a:effectRef idx="0"/>
            <a:fontRef idx="minor"/>
          </xdr:style>
        </xdr:sp>
        <xdr:sp>
          <xdr:nvSpPr>
            <xdr:cNvPr id="2203" name="AutoShape 171"/>
            <xdr:cNvSpPr/>
          </xdr:nvSpPr>
          <xdr:spPr>
            <a:xfrm>
              <a:off x="34580160" y="316188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204" name="Line 160"/>
            <xdr:cNvSpPr/>
          </xdr:nvSpPr>
          <xdr:spPr>
            <a:xfrm>
              <a:off x="35376840" y="2463840"/>
              <a:ext cx="360" cy="759600"/>
            </a:xfrm>
            <a:prstGeom prst="line">
              <a:avLst/>
            </a:prstGeom>
            <a:ln w="12700">
              <a:solidFill>
                <a:srgbClr val="ff0000"/>
              </a:solidFill>
              <a:round/>
            </a:ln>
          </xdr:spPr>
          <xdr:style>
            <a:lnRef idx="0"/>
            <a:fillRef idx="0"/>
            <a:effectRef idx="0"/>
            <a:fontRef idx="minor"/>
          </xdr:style>
        </xdr:sp>
        <xdr:sp>
          <xdr:nvSpPr>
            <xdr:cNvPr id="2205" name="Elipse 731"/>
            <xdr:cNvSpPr/>
          </xdr:nvSpPr>
          <xdr:spPr>
            <a:xfrm>
              <a:off x="35346240" y="3548880"/>
              <a:ext cx="52200" cy="49320"/>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206" name="Elipse 732"/>
            <xdr:cNvSpPr/>
          </xdr:nvSpPr>
          <xdr:spPr>
            <a:xfrm>
              <a:off x="35342640" y="3183480"/>
              <a:ext cx="52200" cy="49320"/>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207" name="AutoShape 171"/>
            <xdr:cNvSpPr/>
          </xdr:nvSpPr>
          <xdr:spPr>
            <a:xfrm>
              <a:off x="34949160" y="253116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208" name="Line 160"/>
            <xdr:cNvSpPr/>
          </xdr:nvSpPr>
          <xdr:spPr>
            <a:xfrm>
              <a:off x="34998120" y="2482560"/>
              <a:ext cx="360" cy="484920"/>
            </a:xfrm>
            <a:prstGeom prst="line">
              <a:avLst/>
            </a:prstGeom>
            <a:ln w="12700">
              <a:solidFill>
                <a:srgbClr val="ff0000"/>
              </a:solidFill>
              <a:round/>
            </a:ln>
          </xdr:spPr>
          <xdr:style>
            <a:lnRef idx="0"/>
            <a:fillRef idx="0"/>
            <a:effectRef idx="0"/>
            <a:fontRef idx="minor"/>
          </xdr:style>
        </xdr:sp>
        <xdr:sp>
          <xdr:nvSpPr>
            <xdr:cNvPr id="2209" name="Line 160"/>
            <xdr:cNvSpPr/>
          </xdr:nvSpPr>
          <xdr:spPr>
            <a:xfrm flipH="1">
              <a:off x="34472880" y="2965320"/>
              <a:ext cx="532800" cy="360"/>
            </a:xfrm>
            <a:prstGeom prst="line">
              <a:avLst/>
            </a:prstGeom>
            <a:ln w="12700">
              <a:solidFill>
                <a:srgbClr val="ff0000"/>
              </a:solidFill>
              <a:prstDash val="sysDash"/>
              <a:round/>
            </a:ln>
          </xdr:spPr>
          <xdr:style>
            <a:lnRef idx="0"/>
            <a:fillRef idx="0"/>
            <a:effectRef idx="0"/>
            <a:fontRef idx="minor"/>
          </xdr:style>
        </xdr:sp>
        <xdr:sp>
          <xdr:nvSpPr>
            <xdr:cNvPr id="2210" name="AutoShape 171"/>
            <xdr:cNvSpPr/>
          </xdr:nvSpPr>
          <xdr:spPr>
            <a:xfrm>
              <a:off x="34581600" y="291924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211" name="Text Box 173"/>
            <xdr:cNvSpPr/>
          </xdr:nvSpPr>
          <xdr:spPr>
            <a:xfrm>
              <a:off x="34414920" y="2617200"/>
              <a:ext cx="609840" cy="270000"/>
            </a:xfrm>
            <a:prstGeom prst="rect">
              <a:avLst/>
            </a:prstGeom>
            <a:noFill/>
            <a:ln w="9525">
              <a:noFill/>
            </a:ln>
          </xdr:spPr>
          <xdr:style>
            <a:lnRef idx="0"/>
            <a:fillRef idx="0"/>
            <a:effectRef idx="0"/>
            <a:fontRef idx="minor"/>
          </xdr:style>
        </xdr:sp>
        <xdr:sp>
          <xdr:nvSpPr>
            <xdr:cNvPr id="2212" name="Text Box 173"/>
            <xdr:cNvSpPr/>
          </xdr:nvSpPr>
          <xdr:spPr>
            <a:xfrm>
              <a:off x="34482240" y="3265560"/>
              <a:ext cx="609840" cy="270000"/>
            </a:xfrm>
            <a:prstGeom prst="rect">
              <a:avLst/>
            </a:prstGeom>
            <a:noFill/>
            <a:ln w="9525">
              <a:noFill/>
            </a:ln>
          </xdr:spPr>
          <xdr:style>
            <a:lnRef idx="0"/>
            <a:fillRef idx="0"/>
            <a:effectRef idx="0"/>
            <a:fontRef idx="minor"/>
          </xdr:style>
        </xdr:sp>
        <xdr:sp>
          <xdr:nvSpPr>
            <xdr:cNvPr id="2213" name="Line 78"/>
            <xdr:cNvSpPr/>
          </xdr:nvSpPr>
          <xdr:spPr>
            <a:xfrm>
              <a:off x="23454000" y="4582800"/>
              <a:ext cx="2160" cy="1175400"/>
            </a:xfrm>
            <a:prstGeom prst="line">
              <a:avLst/>
            </a:prstGeom>
            <a:ln w="19050">
              <a:solidFill>
                <a:srgbClr val="ff0000"/>
              </a:solidFill>
              <a:prstDash val="dash"/>
              <a:round/>
              <a:tailEnd len="med" type="triangle" w="med"/>
            </a:ln>
          </xdr:spPr>
          <xdr:style>
            <a:lnRef idx="0"/>
            <a:fillRef idx="0"/>
            <a:effectRef idx="0"/>
            <a:fontRef idx="minor"/>
          </xdr:style>
        </xdr:sp>
        <xdr:sp>
          <xdr:nvSpPr>
            <xdr:cNvPr id="2214" name="Rectangle 137"/>
            <xdr:cNvSpPr/>
          </xdr:nvSpPr>
          <xdr:spPr>
            <a:xfrm>
              <a:off x="22924800" y="3617280"/>
              <a:ext cx="490680" cy="963000"/>
            </a:xfrm>
            <a:prstGeom prst="rect">
              <a:avLst/>
            </a:prstGeom>
            <a:solidFill>
              <a:srgbClr val="b8cce4">
                <a:alpha val="20000"/>
              </a:srgbClr>
            </a:solidFill>
            <a:ln w="9525">
              <a:noFill/>
            </a:ln>
            <a:effectLst>
              <a:outerShdw algn="ctr" dir="3806096" dist="28174" rotWithShape="0">
                <a:srgbClr val="7f7f7f">
                  <a:alpha val="50000"/>
                </a:srgbClr>
              </a:outerShdw>
            </a:effectLst>
          </xdr:spPr>
          <xdr:style>
            <a:lnRef idx="0"/>
            <a:fillRef idx="0"/>
            <a:effectRef idx="0"/>
            <a:fontRef idx="minor"/>
          </xdr:style>
          <xdr:txBody>
            <a:bodyPr vertOverflow="clip" lIns="0" rIns="0" tIns="0" bIns="0" anchor="t" upright="1">
              <a:noAutofit/>
            </a:bodyPr>
            <a:p>
              <a:pPr>
                <a:lnSpc>
                  <a:spcPct val="100000"/>
                </a:lnSpc>
              </a:pPr>
              <a:r>
                <a:rPr b="0" lang="es-CO" sz="1600" spc="-1" strike="noStrike">
                  <a:solidFill>
                    <a:srgbClr val="000000"/>
                  </a:solidFill>
                  <a:latin typeface="Arial"/>
                </a:rPr>
                <a:t> </a:t>
              </a:r>
              <a:endParaRPr b="0" lang="en-GB" sz="1600" spc="-1" strike="noStrike">
                <a:latin typeface="Times New Roman"/>
              </a:endParaRPr>
            </a:p>
          </xdr:txBody>
        </xdr:sp>
        <xdr:sp>
          <xdr:nvSpPr>
            <xdr:cNvPr id="2215" name="Line 120"/>
            <xdr:cNvSpPr/>
          </xdr:nvSpPr>
          <xdr:spPr>
            <a:xfrm>
              <a:off x="22503960" y="4594680"/>
              <a:ext cx="1119960" cy="360"/>
            </a:xfrm>
            <a:prstGeom prst="line">
              <a:avLst/>
            </a:prstGeom>
            <a:ln w="25400">
              <a:solidFill>
                <a:srgbClr val="ff0000"/>
              </a:solidFill>
              <a:prstDash val="sysDot"/>
              <a:round/>
            </a:ln>
          </xdr:spPr>
          <xdr:style>
            <a:lnRef idx="0"/>
            <a:fillRef idx="0"/>
            <a:effectRef idx="0"/>
            <a:fontRef idx="minor"/>
          </xdr:style>
        </xdr:sp>
        <xdr:sp>
          <xdr:nvSpPr>
            <xdr:cNvPr id="2216" name="Text Box 197"/>
            <xdr:cNvSpPr/>
          </xdr:nvSpPr>
          <xdr:spPr>
            <a:xfrm>
              <a:off x="22444200" y="3359520"/>
              <a:ext cx="2146320" cy="41652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Arial"/>
                </a:rPr>
                <a:t>Nueva San Juan  220kV</a:t>
              </a:r>
              <a:endParaRPr b="0" lang="en-GB" sz="1050" spc="-1" strike="noStrike">
                <a:latin typeface="Times New Roman"/>
              </a:endParaRPr>
            </a:p>
          </xdr:txBody>
        </xdr:sp>
        <xdr:sp>
          <xdr:nvSpPr>
            <xdr:cNvPr id="2217" name="Oval 250"/>
            <xdr:cNvSpPr/>
          </xdr:nvSpPr>
          <xdr:spPr>
            <a:xfrm>
              <a:off x="22997520" y="3882960"/>
              <a:ext cx="332280" cy="315720"/>
            </a:xfrm>
            <a:prstGeom prst="ellipse">
              <a:avLst/>
            </a:prstGeom>
            <a:noFill/>
            <a:ln w="25400">
              <a:solidFill>
                <a:srgbClr val="0000ff"/>
              </a:solidFill>
              <a:prstDash val="sysDot"/>
              <a:round/>
            </a:ln>
          </xdr:spPr>
          <xdr:style>
            <a:lnRef idx="0"/>
            <a:fillRef idx="0"/>
            <a:effectRef idx="0"/>
            <a:fontRef idx="minor"/>
          </xdr:style>
          <xdr:txBody>
            <a:bodyPr vertOverflow="clip"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218" name="Oval 251"/>
            <xdr:cNvSpPr/>
          </xdr:nvSpPr>
          <xdr:spPr>
            <a:xfrm>
              <a:off x="22997520" y="4039920"/>
              <a:ext cx="332280" cy="313920"/>
            </a:xfrm>
            <a:prstGeom prst="ellipse">
              <a:avLst/>
            </a:prstGeom>
            <a:noFill/>
            <a:ln w="25400">
              <a:solidFill>
                <a:srgbClr val="ff0000"/>
              </a:solidFill>
              <a:prstDash val="sysDot"/>
              <a:round/>
            </a:ln>
          </xdr:spPr>
          <xdr:style>
            <a:lnRef idx="0"/>
            <a:fillRef idx="0"/>
            <a:effectRef idx="0"/>
            <a:fontRef idx="minor"/>
          </xdr:style>
          <xdr:txBody>
            <a:bodyPr vertOverflow="clip"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219" name="Line 70"/>
            <xdr:cNvSpPr/>
          </xdr:nvSpPr>
          <xdr:spPr>
            <a:xfrm>
              <a:off x="23174640" y="3630960"/>
              <a:ext cx="360" cy="236520"/>
            </a:xfrm>
            <a:prstGeom prst="line">
              <a:avLst/>
            </a:prstGeom>
            <a:ln w="25400">
              <a:solidFill>
                <a:srgbClr val="0000ff"/>
              </a:solidFill>
              <a:prstDash val="sysDot"/>
              <a:round/>
            </a:ln>
          </xdr:spPr>
          <xdr:style>
            <a:lnRef idx="0"/>
            <a:fillRef idx="0"/>
            <a:effectRef idx="0"/>
            <a:fontRef idx="minor"/>
          </xdr:style>
        </xdr:sp>
        <xdr:sp>
          <xdr:nvSpPr>
            <xdr:cNvPr id="2220" name="Line 257"/>
            <xdr:cNvSpPr/>
          </xdr:nvSpPr>
          <xdr:spPr>
            <a:xfrm>
              <a:off x="23182200" y="4341600"/>
              <a:ext cx="360" cy="258120"/>
            </a:xfrm>
            <a:prstGeom prst="line">
              <a:avLst/>
            </a:prstGeom>
            <a:ln w="25400">
              <a:solidFill>
                <a:srgbClr val="ff0000"/>
              </a:solidFill>
              <a:prstDash val="sysDot"/>
              <a:round/>
            </a:ln>
          </xdr:spPr>
          <xdr:style>
            <a:lnRef idx="0"/>
            <a:fillRef idx="0"/>
            <a:effectRef idx="0"/>
            <a:fontRef idx="minor"/>
          </xdr:style>
        </xdr:sp>
        <xdr:sp>
          <xdr:nvSpPr>
            <xdr:cNvPr id="2221" name="Line 102"/>
            <xdr:cNvSpPr/>
          </xdr:nvSpPr>
          <xdr:spPr>
            <a:xfrm>
              <a:off x="22393440" y="3630960"/>
              <a:ext cx="1834560" cy="360"/>
            </a:xfrm>
            <a:prstGeom prst="line">
              <a:avLst/>
            </a:prstGeom>
            <a:ln w="25400">
              <a:solidFill>
                <a:srgbClr val="0000ff"/>
              </a:solidFill>
              <a:round/>
            </a:ln>
          </xdr:spPr>
          <xdr:style>
            <a:lnRef idx="0"/>
            <a:fillRef idx="0"/>
            <a:effectRef idx="0"/>
            <a:fontRef idx="minor"/>
          </xdr:style>
        </xdr:sp>
        <xdr:sp>
          <xdr:nvSpPr>
            <xdr:cNvPr id="2222" name="Text Box 100"/>
            <xdr:cNvSpPr/>
          </xdr:nvSpPr>
          <xdr:spPr>
            <a:xfrm>
              <a:off x="23330880" y="3880800"/>
              <a:ext cx="955080" cy="47304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Arial"/>
                </a:rPr>
                <a:t>3x50 MVA</a:t>
              </a:r>
              <a:endParaRPr b="0" lang="en-GB" sz="1050" spc="-1" strike="noStrike">
                <a:latin typeface="Times New Roman"/>
              </a:endParaRPr>
            </a:p>
            <a:p>
              <a:pPr>
                <a:lnSpc>
                  <a:spcPct val="100000"/>
                </a:lnSpc>
              </a:pPr>
              <a:r>
                <a:rPr b="0" lang="es-CO" sz="1050" spc="-1" strike="noStrike">
                  <a:solidFill>
                    <a:srgbClr val="40637a"/>
                  </a:solidFill>
                  <a:latin typeface="Arial"/>
                </a:rPr>
                <a:t> </a:t>
              </a:r>
              <a:endParaRPr b="0" lang="en-GB" sz="1050" spc="-1" strike="noStrike">
                <a:latin typeface="Times New Roman"/>
              </a:endParaRPr>
            </a:p>
          </xdr:txBody>
        </xdr:sp>
        <xdr:sp>
          <xdr:nvSpPr>
            <xdr:cNvPr id="2223" name="AutoShape 86"/>
            <xdr:cNvSpPr/>
          </xdr:nvSpPr>
          <xdr:spPr>
            <a:xfrm>
              <a:off x="23132160" y="3679560"/>
              <a:ext cx="82800" cy="79560"/>
            </a:xfrm>
            <a:prstGeom prst="roundRect">
              <a:avLst>
                <a:gd name="adj" fmla="val 16667"/>
              </a:avLst>
            </a:prstGeom>
            <a:solidFill>
              <a:srgbClr val="0000ff"/>
            </a:solidFill>
            <a:ln w="19050">
              <a:solidFill>
                <a:srgbClr val="0000ff"/>
              </a:solidFill>
              <a:round/>
            </a:ln>
          </xdr:spPr>
          <xdr:style>
            <a:lnRef idx="0"/>
            <a:fillRef idx="0"/>
            <a:effectRef idx="0"/>
            <a:fontRef idx="minor"/>
          </xdr:style>
        </xdr:sp>
        <xdr:sp>
          <xdr:nvSpPr>
            <xdr:cNvPr id="2224" name="AutoShape 76"/>
            <xdr:cNvSpPr/>
          </xdr:nvSpPr>
          <xdr:spPr>
            <a:xfrm>
              <a:off x="23132160" y="4473360"/>
              <a:ext cx="82800" cy="77760"/>
            </a:xfrm>
            <a:prstGeom prst="roundRect">
              <a:avLst>
                <a:gd name="adj" fmla="val 16667"/>
              </a:avLst>
            </a:prstGeom>
            <a:solidFill>
              <a:srgbClr val="ff0000"/>
            </a:solidFill>
            <a:ln w="19050">
              <a:solidFill>
                <a:srgbClr val="ff0000"/>
              </a:solidFill>
              <a:round/>
            </a:ln>
          </xdr:spPr>
          <xdr:style>
            <a:lnRef idx="0"/>
            <a:fillRef idx="0"/>
            <a:effectRef idx="0"/>
            <a:fontRef idx="minor"/>
          </xdr:style>
        </xdr:sp>
        <xdr:sp>
          <xdr:nvSpPr>
            <xdr:cNvPr id="2225" name="AutoShape 78"/>
            <xdr:cNvSpPr/>
          </xdr:nvSpPr>
          <xdr:spPr>
            <a:xfrm>
              <a:off x="23405400" y="4650120"/>
              <a:ext cx="82800" cy="77760"/>
            </a:xfrm>
            <a:prstGeom prst="roundRect">
              <a:avLst>
                <a:gd name="adj" fmla="val 16667"/>
              </a:avLst>
            </a:prstGeom>
            <a:solidFill>
              <a:srgbClr val="ff0000"/>
            </a:solidFill>
            <a:ln w="19050">
              <a:solidFill>
                <a:srgbClr val="ff0000"/>
              </a:solidFill>
              <a:round/>
            </a:ln>
          </xdr:spPr>
          <xdr:style>
            <a:lnRef idx="0"/>
            <a:fillRef idx="0"/>
            <a:effectRef idx="0"/>
            <a:fontRef idx="minor"/>
          </xdr:style>
        </xdr:sp>
        <xdr:sp>
          <xdr:nvSpPr>
            <xdr:cNvPr id="2226" name="Text Box 197"/>
            <xdr:cNvSpPr/>
          </xdr:nvSpPr>
          <xdr:spPr>
            <a:xfrm>
              <a:off x="23575320" y="4403880"/>
              <a:ext cx="1315440" cy="42372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Arial"/>
                </a:rPr>
                <a:t>Nueva San Juan  110kV</a:t>
              </a:r>
              <a:endParaRPr b="0" lang="en-GB" sz="1050" spc="-1" strike="noStrike">
                <a:latin typeface="Times New Roman"/>
              </a:endParaRPr>
            </a:p>
          </xdr:txBody>
        </xdr:sp>
        <xdr:sp>
          <xdr:nvSpPr>
            <xdr:cNvPr id="2227" name="Line 99"/>
            <xdr:cNvSpPr/>
          </xdr:nvSpPr>
          <xdr:spPr>
            <a:xfrm>
              <a:off x="22532760" y="5243760"/>
              <a:ext cx="829080" cy="360"/>
            </a:xfrm>
            <a:prstGeom prst="line">
              <a:avLst/>
            </a:prstGeom>
            <a:ln w="25400">
              <a:solidFill>
                <a:srgbClr val="ff0000"/>
              </a:solidFill>
              <a:round/>
            </a:ln>
          </xdr:spPr>
          <xdr:style>
            <a:lnRef idx="0"/>
            <a:fillRef idx="0"/>
            <a:effectRef idx="0"/>
            <a:fontRef idx="minor"/>
          </xdr:style>
        </xdr:sp>
        <xdr:sp>
          <xdr:nvSpPr>
            <xdr:cNvPr id="2228" name="Line 78"/>
            <xdr:cNvSpPr/>
          </xdr:nvSpPr>
          <xdr:spPr>
            <a:xfrm>
              <a:off x="22923720" y="4595040"/>
              <a:ext cx="2520" cy="673920"/>
            </a:xfrm>
            <a:prstGeom prst="line">
              <a:avLst/>
            </a:prstGeom>
            <a:ln w="19050">
              <a:solidFill>
                <a:srgbClr val="ff0000"/>
              </a:solidFill>
              <a:prstDash val="dash"/>
              <a:round/>
            </a:ln>
          </xdr:spPr>
          <xdr:style>
            <a:lnRef idx="0"/>
            <a:fillRef idx="0"/>
            <a:effectRef idx="0"/>
            <a:fontRef idx="minor"/>
          </xdr:style>
        </xdr:sp>
        <xdr:sp>
          <xdr:nvSpPr>
            <xdr:cNvPr id="2229" name="AutoShape 78"/>
            <xdr:cNvSpPr/>
          </xdr:nvSpPr>
          <xdr:spPr>
            <a:xfrm>
              <a:off x="22875120" y="4662360"/>
              <a:ext cx="82800" cy="77400"/>
            </a:xfrm>
            <a:prstGeom prst="roundRect">
              <a:avLst>
                <a:gd name="adj" fmla="val 16667"/>
              </a:avLst>
            </a:prstGeom>
            <a:solidFill>
              <a:srgbClr val="ff0000"/>
            </a:solidFill>
            <a:ln w="19050">
              <a:solidFill>
                <a:srgbClr val="ff0000"/>
              </a:solidFill>
              <a:round/>
            </a:ln>
          </xdr:spPr>
          <xdr:style>
            <a:lnRef idx="0"/>
            <a:fillRef idx="0"/>
            <a:effectRef idx="0"/>
            <a:fontRef idx="minor"/>
          </xdr:style>
        </xdr:sp>
        <xdr:sp>
          <xdr:nvSpPr>
            <xdr:cNvPr id="2230" name="AutoShape 77"/>
            <xdr:cNvSpPr/>
          </xdr:nvSpPr>
          <xdr:spPr>
            <a:xfrm>
              <a:off x="22882680" y="5092920"/>
              <a:ext cx="82800" cy="89280"/>
            </a:xfrm>
            <a:prstGeom prst="roundRect">
              <a:avLst>
                <a:gd name="adj" fmla="val 16667"/>
              </a:avLst>
            </a:prstGeom>
            <a:solidFill>
              <a:srgbClr val="ff0000"/>
            </a:solidFill>
            <a:ln w="19050">
              <a:solidFill>
                <a:srgbClr val="ff0000"/>
              </a:solidFill>
              <a:round/>
            </a:ln>
          </xdr:spPr>
          <xdr:style>
            <a:lnRef idx="0"/>
            <a:fillRef idx="0"/>
            <a:effectRef idx="0"/>
            <a:fontRef idx="minor"/>
          </xdr:style>
        </xdr:sp>
        <xdr:sp>
          <xdr:nvSpPr>
            <xdr:cNvPr id="2231" name="Line 78"/>
            <xdr:cNvSpPr/>
          </xdr:nvSpPr>
          <xdr:spPr>
            <a:xfrm>
              <a:off x="23149800" y="4607640"/>
              <a:ext cx="2160" cy="654480"/>
            </a:xfrm>
            <a:prstGeom prst="line">
              <a:avLst/>
            </a:prstGeom>
            <a:ln w="19050">
              <a:solidFill>
                <a:srgbClr val="ff0000"/>
              </a:solidFill>
              <a:prstDash val="dash"/>
              <a:round/>
            </a:ln>
          </xdr:spPr>
          <xdr:style>
            <a:lnRef idx="0"/>
            <a:fillRef idx="0"/>
            <a:effectRef idx="0"/>
            <a:fontRef idx="minor"/>
          </xdr:style>
        </xdr:sp>
        <xdr:sp>
          <xdr:nvSpPr>
            <xdr:cNvPr id="2232" name="AutoShape 78"/>
            <xdr:cNvSpPr/>
          </xdr:nvSpPr>
          <xdr:spPr>
            <a:xfrm>
              <a:off x="23101200" y="4674960"/>
              <a:ext cx="82800" cy="77400"/>
            </a:xfrm>
            <a:prstGeom prst="roundRect">
              <a:avLst>
                <a:gd name="adj" fmla="val 16667"/>
              </a:avLst>
            </a:prstGeom>
            <a:solidFill>
              <a:srgbClr val="ff0000"/>
            </a:solidFill>
            <a:ln w="19050">
              <a:solidFill>
                <a:srgbClr val="ff0000"/>
              </a:solidFill>
              <a:round/>
            </a:ln>
          </xdr:spPr>
          <xdr:style>
            <a:lnRef idx="0"/>
            <a:fillRef idx="0"/>
            <a:effectRef idx="0"/>
            <a:fontRef idx="minor"/>
          </xdr:style>
        </xdr:sp>
        <xdr:sp>
          <xdr:nvSpPr>
            <xdr:cNvPr id="2233" name="AutoShape 77"/>
            <xdr:cNvSpPr/>
          </xdr:nvSpPr>
          <xdr:spPr>
            <a:xfrm>
              <a:off x="23108400" y="5105160"/>
              <a:ext cx="82800" cy="89280"/>
            </a:xfrm>
            <a:prstGeom prst="roundRect">
              <a:avLst>
                <a:gd name="adj" fmla="val 16667"/>
              </a:avLst>
            </a:prstGeom>
            <a:solidFill>
              <a:srgbClr val="ff0000"/>
            </a:solidFill>
            <a:ln w="19050">
              <a:solidFill>
                <a:srgbClr val="ff0000"/>
              </a:solidFill>
              <a:round/>
            </a:ln>
          </xdr:spPr>
          <xdr:style>
            <a:lnRef idx="0"/>
            <a:fillRef idx="0"/>
            <a:effectRef idx="0"/>
            <a:fontRef idx="minor"/>
          </xdr:style>
        </xdr:sp>
        <xdr:sp>
          <xdr:nvSpPr>
            <xdr:cNvPr id="2234" name="Text Box 197"/>
            <xdr:cNvSpPr/>
          </xdr:nvSpPr>
          <xdr:spPr>
            <a:xfrm>
              <a:off x="22584600" y="5277240"/>
              <a:ext cx="824400" cy="62928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Arial"/>
                </a:rPr>
                <a:t>San Juan  110kV</a:t>
              </a:r>
              <a:endParaRPr b="0" lang="en-GB" sz="1050" spc="-1" strike="noStrike">
                <a:latin typeface="Times New Roman"/>
              </a:endParaRPr>
            </a:p>
          </xdr:txBody>
        </xdr:sp>
        <xdr:sp>
          <xdr:nvSpPr>
            <xdr:cNvPr id="2235" name="Text Box 100"/>
            <xdr:cNvSpPr/>
          </xdr:nvSpPr>
          <xdr:spPr>
            <a:xfrm>
              <a:off x="23384520" y="4810320"/>
              <a:ext cx="608760" cy="218880"/>
            </a:xfrm>
            <a:prstGeom prst="rect">
              <a:avLst/>
            </a:prstGeom>
            <a:noFill/>
            <a:ln w="9525">
              <a:noFill/>
            </a:ln>
          </xdr:spPr>
          <xdr:style>
            <a:lnRef idx="0"/>
            <a:fillRef idx="0"/>
            <a:effectRef idx="0"/>
            <a:fontRef idx="minor"/>
          </xdr:style>
          <xdr:txBody>
            <a:bodyPr vertOverflow="clip" anchor="t" upright="1">
              <a:noAutofit/>
            </a:bodyPr>
            <a:p>
              <a:pPr>
                <a:lnSpc>
                  <a:spcPct val="100000"/>
                </a:lnSpc>
              </a:pPr>
              <a:endParaRPr b="0" lang="en-GB" sz="1600" spc="-1" strike="noStrike">
                <a:latin typeface="Times New Roman"/>
              </a:endParaRPr>
            </a:p>
            <a:p>
              <a:pPr>
                <a:lnSpc>
                  <a:spcPct val="100000"/>
                </a:lnSpc>
              </a:pPr>
              <a:r>
                <a:rPr b="0" lang="es-CO" sz="1050" spc="-1" strike="noStrike">
                  <a:solidFill>
                    <a:srgbClr val="40637a"/>
                  </a:solidFill>
                  <a:latin typeface="Arial"/>
                </a:rPr>
                <a:t> </a:t>
              </a:r>
              <a:endParaRPr b="0" lang="en-GB" sz="1050" spc="-1" strike="noStrike">
                <a:latin typeface="Times New Roman"/>
              </a:endParaRPr>
            </a:p>
          </xdr:txBody>
        </xdr:sp>
        <xdr:sp>
          <xdr:nvSpPr>
            <xdr:cNvPr id="2236" name="Text Box 100"/>
            <xdr:cNvSpPr/>
          </xdr:nvSpPr>
          <xdr:spPr>
            <a:xfrm>
              <a:off x="22426200" y="4768200"/>
              <a:ext cx="608760" cy="218880"/>
            </a:xfrm>
            <a:prstGeom prst="rect">
              <a:avLst/>
            </a:prstGeom>
            <a:noFill/>
            <a:ln w="9525">
              <a:noFill/>
            </a:ln>
          </xdr:spPr>
          <xdr:style>
            <a:lnRef idx="0"/>
            <a:fillRef idx="0"/>
            <a:effectRef idx="0"/>
            <a:fontRef idx="minor"/>
          </xdr:style>
          <xdr:txBody>
            <a:bodyPr vertOverflow="clip" anchor="t" upright="1">
              <a:noAutofit/>
            </a:bodyPr>
            <a:p>
              <a:pPr>
                <a:lnSpc>
                  <a:spcPct val="100000"/>
                </a:lnSpc>
              </a:pPr>
              <a:endParaRPr b="0" lang="en-GB" sz="1600" spc="-1" strike="noStrike">
                <a:latin typeface="Times New Roman"/>
              </a:endParaRPr>
            </a:p>
            <a:p>
              <a:pPr>
                <a:lnSpc>
                  <a:spcPct val="100000"/>
                </a:lnSpc>
              </a:pPr>
              <a:r>
                <a:rPr b="0" lang="es-CO" sz="1050" spc="-1" strike="noStrike">
                  <a:solidFill>
                    <a:srgbClr val="40637a"/>
                  </a:solidFill>
                  <a:latin typeface="Arial"/>
                </a:rPr>
                <a:t> </a:t>
              </a:r>
              <a:endParaRPr b="0" lang="en-GB" sz="1050" spc="-1" strike="noStrike">
                <a:latin typeface="Times New Roman"/>
              </a:endParaRPr>
            </a:p>
          </xdr:txBody>
        </xdr:sp>
        <xdr:sp>
          <xdr:nvSpPr>
            <xdr:cNvPr id="2237" name="Rectangle 137"/>
            <xdr:cNvSpPr/>
          </xdr:nvSpPr>
          <xdr:spPr>
            <a:xfrm>
              <a:off x="22736520" y="4525560"/>
              <a:ext cx="496080" cy="669600"/>
            </a:xfrm>
            <a:prstGeom prst="rect">
              <a:avLst/>
            </a:prstGeom>
            <a:solidFill>
              <a:srgbClr val="b8cce4">
                <a:alpha val="20000"/>
              </a:srgbClr>
            </a:solidFill>
            <a:ln w="9525">
              <a:noFill/>
            </a:ln>
            <a:effectLst>
              <a:outerShdw algn="ctr" dir="3806096" dist="28174" rotWithShape="0">
                <a:srgbClr val="7f7f7f">
                  <a:alpha val="50000"/>
                </a:srgbClr>
              </a:outerShdw>
            </a:effectLst>
          </xdr:spPr>
          <xdr:style>
            <a:lnRef idx="0"/>
            <a:fillRef idx="0"/>
            <a:effectRef idx="0"/>
            <a:fontRef idx="minor"/>
          </xdr:style>
          <xdr:txBody>
            <a:bodyPr vertOverflow="clip" lIns="0" rIns="0" tIns="0" bIns="0" anchor="t" upright="1">
              <a:noAutofit/>
            </a:bodyPr>
            <a:p>
              <a:pPr>
                <a:lnSpc>
                  <a:spcPct val="100000"/>
                </a:lnSpc>
              </a:pPr>
              <a:r>
                <a:rPr b="0" lang="es-CO" sz="1600" spc="-1" strike="noStrike">
                  <a:solidFill>
                    <a:srgbClr val="000000"/>
                  </a:solidFill>
                  <a:latin typeface="Arial"/>
                </a:rPr>
                <a:t> </a:t>
              </a:r>
              <a:endParaRPr b="0" lang="en-GB" sz="1600" spc="-1" strike="noStrike">
                <a:latin typeface="Times New Roman"/>
              </a:endParaRPr>
            </a:p>
          </xdr:txBody>
        </xdr:sp>
        <xdr:sp>
          <xdr:nvSpPr>
            <xdr:cNvPr id="2238" name="Rectangle 137"/>
            <xdr:cNvSpPr/>
          </xdr:nvSpPr>
          <xdr:spPr>
            <a:xfrm>
              <a:off x="23288040" y="4599000"/>
              <a:ext cx="343800" cy="1243080"/>
            </a:xfrm>
            <a:prstGeom prst="rect">
              <a:avLst/>
            </a:prstGeom>
            <a:solidFill>
              <a:srgbClr val="b8cce4">
                <a:alpha val="20000"/>
              </a:srgbClr>
            </a:solidFill>
            <a:ln w="9525">
              <a:noFill/>
            </a:ln>
            <a:effectLst>
              <a:outerShdw algn="ctr" dir="3806096" dist="28174" rotWithShape="0">
                <a:srgbClr val="7f7f7f">
                  <a:alpha val="50000"/>
                </a:srgbClr>
              </a:outerShdw>
            </a:effectLst>
          </xdr:spPr>
          <xdr:style>
            <a:lnRef idx="0"/>
            <a:fillRef idx="0"/>
            <a:effectRef idx="0"/>
            <a:fontRef idx="minor"/>
          </xdr:style>
          <xdr:txBody>
            <a:bodyPr vertOverflow="clip" lIns="0" rIns="0" tIns="0" bIns="0" anchor="t" upright="1">
              <a:noAutofit/>
            </a:bodyPr>
            <a:p>
              <a:pPr>
                <a:lnSpc>
                  <a:spcPct val="100000"/>
                </a:lnSpc>
              </a:pPr>
              <a:r>
                <a:rPr b="0" lang="es-CO" sz="1600" spc="-1" strike="noStrike">
                  <a:solidFill>
                    <a:srgbClr val="000000"/>
                  </a:solidFill>
                  <a:latin typeface="Arial"/>
                </a:rPr>
                <a:t> </a:t>
              </a:r>
              <a:endParaRPr b="0" lang="en-GB" sz="1600" spc="-1" strike="noStrike">
                <a:latin typeface="Times New Roman"/>
              </a:endParaRPr>
            </a:p>
          </xdr:txBody>
        </xdr:sp>
        <xdr:sp>
          <xdr:nvSpPr>
            <xdr:cNvPr id="2239" name="Text Box 197"/>
            <xdr:cNvSpPr/>
          </xdr:nvSpPr>
          <xdr:spPr>
            <a:xfrm>
              <a:off x="23227920" y="5776200"/>
              <a:ext cx="1017720" cy="55368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Arial"/>
                </a:rPr>
                <a:t>hacia Guarapuri 110kV</a:t>
              </a:r>
              <a:endParaRPr b="0" lang="en-GB" sz="1050" spc="-1" strike="noStrike">
                <a:latin typeface="Times New Roman"/>
              </a:endParaRPr>
            </a:p>
          </xdr:txBody>
        </xdr:sp>
        <xdr:sp>
          <xdr:nvSpPr>
            <xdr:cNvPr id="2240" name="Line 167"/>
            <xdr:cNvSpPr/>
          </xdr:nvSpPr>
          <xdr:spPr>
            <a:xfrm flipH="1">
              <a:off x="32973480" y="4170240"/>
              <a:ext cx="2042280" cy="360"/>
            </a:xfrm>
            <a:prstGeom prst="line">
              <a:avLst/>
            </a:prstGeom>
            <a:ln w="12700">
              <a:solidFill>
                <a:srgbClr val="ff0000"/>
              </a:solidFill>
              <a:round/>
            </a:ln>
          </xdr:spPr>
          <xdr:style>
            <a:lnRef idx="0"/>
            <a:fillRef idx="0"/>
            <a:effectRef idx="0"/>
            <a:fontRef idx="minor"/>
          </xdr:style>
        </xdr:sp>
        <xdr:sp>
          <xdr:nvSpPr>
            <xdr:cNvPr id="2241" name="Line 167"/>
            <xdr:cNvSpPr/>
          </xdr:nvSpPr>
          <xdr:spPr>
            <a:xfrm>
              <a:off x="32851080" y="4416480"/>
              <a:ext cx="360" cy="393480"/>
            </a:xfrm>
            <a:prstGeom prst="line">
              <a:avLst/>
            </a:prstGeom>
            <a:ln w="12700">
              <a:solidFill>
                <a:srgbClr val="ff0000"/>
              </a:solidFill>
              <a:prstDash val="sysDash"/>
              <a:round/>
            </a:ln>
          </xdr:spPr>
          <xdr:style>
            <a:lnRef idx="0"/>
            <a:fillRef idx="0"/>
            <a:effectRef idx="0"/>
            <a:fontRef idx="minor"/>
          </xdr:style>
        </xdr:sp>
        <xdr:sp>
          <xdr:nvSpPr>
            <xdr:cNvPr id="2242" name="Line 167"/>
            <xdr:cNvSpPr/>
          </xdr:nvSpPr>
          <xdr:spPr>
            <a:xfrm>
              <a:off x="33148080" y="4420440"/>
              <a:ext cx="360" cy="381240"/>
            </a:xfrm>
            <a:prstGeom prst="line">
              <a:avLst/>
            </a:prstGeom>
            <a:ln w="12700">
              <a:solidFill>
                <a:srgbClr val="ff0000"/>
              </a:solidFill>
              <a:prstDash val="sysDash"/>
              <a:round/>
            </a:ln>
          </xdr:spPr>
          <xdr:style>
            <a:lnRef idx="0"/>
            <a:fillRef idx="0"/>
            <a:effectRef idx="0"/>
            <a:fontRef idx="minor"/>
          </xdr:style>
        </xdr:sp>
        <xdr:sp>
          <xdr:nvSpPr>
            <xdr:cNvPr id="2243" name="399 Rectángulo"/>
            <xdr:cNvSpPr/>
          </xdr:nvSpPr>
          <xdr:spPr>
            <a:xfrm rot="5400000">
              <a:off x="31198680" y="4848480"/>
              <a:ext cx="725400" cy="1291320"/>
            </a:xfrm>
            <a:prstGeom prst="rect">
              <a:avLst/>
            </a:prstGeom>
            <a:pattFill prst="ltDnDiag">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244" name="399 Rectángulo"/>
            <xdr:cNvSpPr/>
          </xdr:nvSpPr>
          <xdr:spPr>
            <a:xfrm rot="5400000">
              <a:off x="32438880" y="4894200"/>
              <a:ext cx="231840" cy="716760"/>
            </a:xfrm>
            <a:prstGeom prst="rect">
              <a:avLst/>
            </a:prstGeom>
            <a:pattFill prst="ltDnDiag">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245" name="399 Rectángulo"/>
            <xdr:cNvSpPr/>
          </xdr:nvSpPr>
          <xdr:spPr>
            <a:xfrm rot="5400000">
              <a:off x="33044760" y="4734720"/>
              <a:ext cx="231840" cy="1927800"/>
            </a:xfrm>
            <a:prstGeom prst="rect">
              <a:avLst/>
            </a:prstGeom>
            <a:pattFill prst="ltDnDiag">
              <a:fgClr>
                <a:srgbClr val="4472c4"/>
              </a:fgClr>
              <a:bgClr>
                <a:srgbClr val="ffffff"/>
              </a:bgClr>
            </a:pattFill>
            <a:ln>
              <a:noFill/>
            </a:ln>
          </xdr:spPr>
          <xdr:style>
            <a:lnRef idx="2">
              <a:schemeClr val="accent1">
                <a:shade val="50000"/>
              </a:schemeClr>
            </a:lnRef>
            <a:fillRef idx="1">
              <a:schemeClr val="accent1"/>
            </a:fillRef>
            <a:effectRef idx="0">
              <a:schemeClr val="accent1"/>
            </a:effectRef>
            <a:fontRef idx="minor"/>
          </xdr:style>
        </xdr:sp>
        <xdr:sp>
          <xdr:nvSpPr>
            <xdr:cNvPr id="2246" name="Line 38"/>
            <xdr:cNvSpPr/>
          </xdr:nvSpPr>
          <xdr:spPr>
            <a:xfrm>
              <a:off x="30917160" y="4866480"/>
              <a:ext cx="360" cy="1092600"/>
            </a:xfrm>
            <a:prstGeom prst="line">
              <a:avLst/>
            </a:prstGeom>
            <a:ln w="25400">
              <a:solidFill>
                <a:srgbClr val="ffc000"/>
              </a:solidFill>
              <a:round/>
            </a:ln>
          </xdr:spPr>
          <xdr:style>
            <a:lnRef idx="0"/>
            <a:fillRef idx="0"/>
            <a:effectRef idx="0"/>
            <a:fontRef idx="minor"/>
          </xdr:style>
        </xdr:sp>
        <xdr:sp>
          <xdr:nvSpPr>
            <xdr:cNvPr id="2247" name="Text Box 188"/>
            <xdr:cNvSpPr/>
          </xdr:nvSpPr>
          <xdr:spPr>
            <a:xfrm>
              <a:off x="30384000" y="4564440"/>
              <a:ext cx="1017360" cy="29376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800" spc="-1" strike="noStrike">
                  <a:solidFill>
                    <a:srgbClr val="000000"/>
                  </a:solidFill>
                  <a:latin typeface="Arial"/>
                  <a:ea typeface="MS PGothic"/>
                </a:rPr>
                <a:t>Guacamayal 34,5 kV</a:t>
              </a:r>
              <a:endParaRPr b="0" lang="en-GB" sz="800" spc="-1" strike="noStrike">
                <a:latin typeface="Times New Roman"/>
              </a:endParaRPr>
            </a:p>
          </xdr:txBody>
        </xdr:sp>
        <xdr:grpSp>
          <xdr:nvGrpSpPr>
            <xdr:cNvPr id="2248" name="Grupo 774"/>
            <xdr:cNvGrpSpPr/>
          </xdr:nvGrpSpPr>
          <xdr:grpSpPr>
            <a:xfrm>
              <a:off x="30685680" y="6508080"/>
              <a:ext cx="1728000" cy="782640"/>
              <a:chOff x="30685680" y="6508080"/>
              <a:chExt cx="1728000" cy="782640"/>
            </a:xfrm>
          </xdr:grpSpPr>
          <xdr:sp>
            <xdr:nvSpPr>
              <xdr:cNvPr id="2249" name="Text Box 138"/>
              <xdr:cNvSpPr/>
            </xdr:nvSpPr>
            <xdr:spPr>
              <a:xfrm>
                <a:off x="30685680" y="6685560"/>
                <a:ext cx="1229040" cy="60516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900" spc="-1" strike="noStrike">
                    <a:solidFill>
                      <a:srgbClr val="000000"/>
                    </a:solidFill>
                    <a:latin typeface="Arial"/>
                    <a:ea typeface="MS PGothic"/>
                  </a:rPr>
                  <a:t>42/37/20 MVA</a:t>
                </a:r>
                <a:endParaRPr b="0" lang="en-GB" sz="900" spc="-1" strike="noStrike">
                  <a:latin typeface="Times New Roman"/>
                </a:endParaRPr>
              </a:p>
              <a:p>
                <a:pPr algn="ctr">
                  <a:lnSpc>
                    <a:spcPct val="100000"/>
                  </a:lnSpc>
                  <a:tabLst>
                    <a:tab algn="l" pos="0"/>
                  </a:tabLst>
                </a:pPr>
                <a:r>
                  <a:rPr b="0" lang="es-CO" sz="900" spc="-1" strike="noStrike">
                    <a:solidFill>
                      <a:srgbClr val="000000"/>
                    </a:solidFill>
                    <a:latin typeface="Arial"/>
                    <a:ea typeface="MS PGothic"/>
                  </a:rPr>
                  <a:t>110/34,5/13,8kV</a:t>
                </a:r>
                <a:endParaRPr b="0" lang="en-GB" sz="900" spc="-1" strike="noStrike">
                  <a:latin typeface="Times New Roman"/>
                </a:endParaRPr>
              </a:p>
            </xdr:txBody>
          </xdr:sp>
          <xdr:sp>
            <xdr:nvSpPr>
              <xdr:cNvPr id="2250" name="Line 38"/>
              <xdr:cNvSpPr/>
            </xdr:nvSpPr>
            <xdr:spPr>
              <a:xfrm>
                <a:off x="31608000" y="7174440"/>
                <a:ext cx="805680" cy="360"/>
              </a:xfrm>
              <a:prstGeom prst="line">
                <a:avLst/>
              </a:prstGeom>
              <a:ln w="25400">
                <a:solidFill>
                  <a:srgbClr val="ffc000"/>
                </a:solidFill>
                <a:round/>
              </a:ln>
            </xdr:spPr>
            <xdr:style>
              <a:lnRef idx="0"/>
              <a:fillRef idx="0"/>
              <a:effectRef idx="0"/>
              <a:fontRef idx="minor"/>
            </xdr:style>
          </xdr:sp>
          <xdr:sp>
            <xdr:nvSpPr>
              <xdr:cNvPr id="2251" name="Line 244"/>
              <xdr:cNvSpPr/>
            </xdr:nvSpPr>
            <xdr:spPr>
              <a:xfrm>
                <a:off x="32180400" y="6890400"/>
                <a:ext cx="151920" cy="360"/>
              </a:xfrm>
              <a:prstGeom prst="line">
                <a:avLst/>
              </a:prstGeom>
              <a:ln w="15875">
                <a:solidFill>
                  <a:srgbClr val="000000"/>
                </a:solidFill>
                <a:round/>
              </a:ln>
            </xdr:spPr>
            <xdr:style>
              <a:lnRef idx="0"/>
              <a:fillRef idx="0"/>
              <a:effectRef idx="0"/>
              <a:fontRef idx="minor"/>
            </xdr:style>
          </xdr:sp>
          <xdr:sp>
            <xdr:nvSpPr>
              <xdr:cNvPr id="2252" name="455 Rectángulo redondeado"/>
              <xdr:cNvSpPr/>
            </xdr:nvSpPr>
            <xdr:spPr>
              <a:xfrm rot="16200000">
                <a:off x="32223600" y="6870600"/>
                <a:ext cx="43200" cy="460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nvGrpSpPr>
              <xdr:cNvPr id="2253" name="Grupo 881"/>
              <xdr:cNvGrpSpPr/>
            </xdr:nvGrpSpPr>
            <xdr:grpSpPr>
              <a:xfrm>
                <a:off x="31856400" y="6684480"/>
                <a:ext cx="322200" cy="339480"/>
                <a:chOff x="31856400" y="6684480"/>
                <a:chExt cx="322200" cy="339480"/>
              </a:xfrm>
            </xdr:grpSpPr>
            <xdr:sp>
              <xdr:nvSpPr>
                <xdr:cNvPr id="2254" name="Oval 40"/>
                <xdr:cNvSpPr/>
              </xdr:nvSpPr>
              <xdr:spPr>
                <a:xfrm rot="10800000">
                  <a:off x="31856400" y="6796800"/>
                  <a:ext cx="201960" cy="227160"/>
                </a:xfrm>
                <a:prstGeom prst="ellipse">
                  <a:avLst/>
                </a:prstGeom>
                <a:noFill/>
                <a:ln w="12700">
                  <a:solidFill>
                    <a:srgbClr val="ffc000"/>
                  </a:solidFill>
                  <a:round/>
                </a:ln>
              </xdr:spPr>
              <xdr:style>
                <a:lnRef idx="0"/>
                <a:fillRef idx="0"/>
                <a:effectRef idx="0"/>
                <a:fontRef idx="minor"/>
              </xdr:style>
            </xdr:sp>
            <xdr:sp>
              <xdr:nvSpPr>
                <xdr:cNvPr id="2255" name="Oval 41"/>
                <xdr:cNvSpPr/>
              </xdr:nvSpPr>
              <xdr:spPr>
                <a:xfrm rot="10800000">
                  <a:off x="31856400" y="6684480"/>
                  <a:ext cx="201960" cy="227160"/>
                </a:xfrm>
                <a:prstGeom prst="ellipse">
                  <a:avLst/>
                </a:prstGeom>
                <a:noFill/>
                <a:ln w="12700">
                  <a:solidFill>
                    <a:srgbClr val="ff0000"/>
                  </a:solidFill>
                  <a:round/>
                </a:ln>
              </xdr:spPr>
              <xdr:style>
                <a:lnRef idx="0"/>
                <a:fillRef idx="0"/>
                <a:effectRef idx="0"/>
                <a:fontRef idx="minor"/>
              </xdr:style>
            </xdr:sp>
            <xdr:sp>
              <xdr:nvSpPr>
                <xdr:cNvPr id="2256" name="Oval 63"/>
                <xdr:cNvSpPr/>
              </xdr:nvSpPr>
              <xdr:spPr>
                <a:xfrm>
                  <a:off x="31977360" y="6768360"/>
                  <a:ext cx="201240" cy="226080"/>
                </a:xfrm>
                <a:prstGeom prst="ellipse">
                  <a:avLst/>
                </a:prstGeom>
                <a:noFill/>
                <a:ln w="12700">
                  <a:solidFill>
                    <a:srgbClr val="000000"/>
                  </a:solidFill>
                  <a:round/>
                </a:ln>
              </xdr:spPr>
              <xdr:style>
                <a:lnRef idx="0"/>
                <a:fillRef idx="0"/>
                <a:effectRef idx="0"/>
                <a:fontRef idx="minor"/>
              </xdr:style>
            </xdr:sp>
          </xdr:grpSp>
          <xdr:sp>
            <xdr:nvSpPr>
              <xdr:cNvPr id="2257" name="Line 100"/>
              <xdr:cNvSpPr/>
            </xdr:nvSpPr>
            <xdr:spPr>
              <a:xfrm>
                <a:off x="31952160" y="7025400"/>
                <a:ext cx="360" cy="141120"/>
              </a:xfrm>
              <a:prstGeom prst="line">
                <a:avLst/>
              </a:prstGeom>
              <a:ln w="15875">
                <a:solidFill>
                  <a:srgbClr val="ffc000"/>
                </a:solidFill>
                <a:round/>
              </a:ln>
            </xdr:spPr>
            <xdr:style>
              <a:lnRef idx="0"/>
              <a:fillRef idx="0"/>
              <a:effectRef idx="0"/>
              <a:fontRef idx="minor"/>
            </xdr:style>
          </xdr:sp>
          <xdr:sp>
            <xdr:nvSpPr>
              <xdr:cNvPr id="2258" name="455 Rectángulo redondeado"/>
              <xdr:cNvSpPr/>
            </xdr:nvSpPr>
            <xdr:spPr>
              <a:xfrm>
                <a:off x="31928400" y="7065000"/>
                <a:ext cx="46080" cy="432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2259" name="Line 206"/>
              <xdr:cNvSpPr/>
            </xdr:nvSpPr>
            <xdr:spPr>
              <a:xfrm>
                <a:off x="31960440" y="6508080"/>
                <a:ext cx="360" cy="171360"/>
              </a:xfrm>
              <a:prstGeom prst="line">
                <a:avLst/>
              </a:prstGeom>
              <a:ln w="25400">
                <a:solidFill>
                  <a:srgbClr val="ff0000"/>
                </a:solidFill>
                <a:round/>
              </a:ln>
            </xdr:spPr>
            <xdr:style>
              <a:lnRef idx="0"/>
              <a:fillRef idx="0"/>
              <a:effectRef idx="0"/>
              <a:fontRef idx="minor"/>
            </xdr:style>
          </xdr:sp>
          <xdr:sp>
            <xdr:nvSpPr>
              <xdr:cNvPr id="2260" name="452 Rectángulo redondeado"/>
              <xdr:cNvSpPr/>
            </xdr:nvSpPr>
            <xdr:spPr>
              <a:xfrm>
                <a:off x="31938120" y="6572520"/>
                <a:ext cx="46080" cy="4320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sp>
          <xdr:nvSpPr>
            <xdr:cNvPr id="2261" name="Text Box 188"/>
            <xdr:cNvSpPr/>
          </xdr:nvSpPr>
          <xdr:spPr>
            <a:xfrm>
              <a:off x="31665960" y="7249680"/>
              <a:ext cx="1063800" cy="35244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900" spc="-1" strike="noStrike">
                  <a:solidFill>
                    <a:srgbClr val="000000"/>
                  </a:solidFill>
                  <a:latin typeface="Arial"/>
                  <a:ea typeface="MS PGothic"/>
                </a:rPr>
                <a:t>Fundación 34,5 kV</a:t>
              </a:r>
              <a:endParaRPr b="0" lang="en-GB" sz="900" spc="-1" strike="noStrike">
                <a:latin typeface="Times New Roman"/>
              </a:endParaRPr>
            </a:p>
          </xdr:txBody>
        </xdr:sp>
        <xdr:sp>
          <xdr:nvSpPr>
            <xdr:cNvPr id="2262" name="Line 99"/>
            <xdr:cNvSpPr/>
          </xdr:nvSpPr>
          <xdr:spPr>
            <a:xfrm>
              <a:off x="32334120" y="6756120"/>
              <a:ext cx="360" cy="275040"/>
            </a:xfrm>
            <a:prstGeom prst="line">
              <a:avLst/>
            </a:prstGeom>
            <a:ln w="25400">
              <a:solidFill>
                <a:srgbClr val="000000"/>
              </a:solidFill>
              <a:round/>
            </a:ln>
          </xdr:spPr>
          <xdr:style>
            <a:lnRef idx="0"/>
            <a:fillRef idx="0"/>
            <a:effectRef idx="0"/>
            <a:fontRef idx="minor"/>
          </xdr:style>
        </xdr:sp>
        <xdr:sp>
          <xdr:nvSpPr>
            <xdr:cNvPr id="2263" name="Line 280"/>
            <xdr:cNvSpPr/>
          </xdr:nvSpPr>
          <xdr:spPr>
            <a:xfrm>
              <a:off x="32326560" y="6891480"/>
              <a:ext cx="217800" cy="360"/>
            </a:xfrm>
            <a:prstGeom prst="line">
              <a:avLst/>
            </a:prstGeom>
            <a:ln w="15875">
              <a:solidFill>
                <a:srgbClr val="000000"/>
              </a:solidFill>
              <a:round/>
              <a:tailEnd len="med" type="triangle" w="med"/>
            </a:ln>
          </xdr:spPr>
          <xdr:style>
            <a:lnRef idx="0"/>
            <a:fillRef idx="0"/>
            <a:effectRef idx="0"/>
            <a:fontRef idx="minor"/>
          </xdr:style>
        </xdr:sp>
        <xdr:sp>
          <xdr:nvSpPr>
            <xdr:cNvPr id="2264" name="455 Rectángulo redondeado"/>
            <xdr:cNvSpPr/>
          </xdr:nvSpPr>
          <xdr:spPr>
            <a:xfrm rot="5400000">
              <a:off x="32367600" y="6864840"/>
              <a:ext cx="44640" cy="4752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2265" name="Text Box 188"/>
            <xdr:cNvSpPr/>
          </xdr:nvSpPr>
          <xdr:spPr>
            <a:xfrm>
              <a:off x="32369040" y="6802200"/>
              <a:ext cx="952200" cy="1105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900" spc="-1" strike="noStrike">
                  <a:solidFill>
                    <a:srgbClr val="000000"/>
                  </a:solidFill>
                  <a:latin typeface="Arial"/>
                  <a:ea typeface="MS PGothic"/>
                </a:rPr>
                <a:t>Fundación 13,8 kV </a:t>
              </a:r>
              <a:endParaRPr b="0" lang="en-GB" sz="900" spc="-1" strike="noStrike">
                <a:latin typeface="Times New Roman"/>
              </a:endParaRPr>
            </a:p>
          </xdr:txBody>
        </xdr:sp>
        <xdr:sp>
          <xdr:nvSpPr>
            <xdr:cNvPr id="2266" name="Text Box 223"/>
            <xdr:cNvSpPr/>
          </xdr:nvSpPr>
          <xdr:spPr>
            <a:xfrm>
              <a:off x="34357320" y="6290640"/>
              <a:ext cx="1381320" cy="22248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Fundación 110 kV</a:t>
              </a:r>
              <a:endParaRPr b="0" lang="en-GB" sz="900" spc="-1" strike="noStrike">
                <a:latin typeface="Times New Roman"/>
              </a:endParaRPr>
            </a:p>
          </xdr:txBody>
        </xdr:sp>
        <xdr:sp>
          <xdr:nvSpPr>
            <xdr:cNvPr id="2267" name="Text Box 222"/>
            <xdr:cNvSpPr/>
          </xdr:nvSpPr>
          <xdr:spPr>
            <a:xfrm>
              <a:off x="35407080" y="6648840"/>
              <a:ext cx="666360" cy="53820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TR-FUN 100 MVA</a:t>
              </a:r>
              <a:endParaRPr b="0" lang="en-GB" sz="900" spc="-1" strike="noStrike">
                <a:latin typeface="Times New Roman"/>
              </a:endParaRPr>
            </a:p>
            <a:p>
              <a:pPr>
                <a:lnSpc>
                  <a:spcPct val="100000"/>
                </a:lnSpc>
              </a:pPr>
              <a:r>
                <a:rPr b="0" lang="es-CO" sz="900" spc="-1" strike="noStrike">
                  <a:solidFill>
                    <a:srgbClr val="40637a"/>
                  </a:solidFill>
                  <a:latin typeface="Arial"/>
                </a:rPr>
                <a:t> </a:t>
              </a:r>
              <a:endParaRPr b="0" lang="en-GB" sz="900" spc="-1" strike="noStrike">
                <a:latin typeface="Times New Roman"/>
              </a:endParaRPr>
            </a:p>
          </xdr:txBody>
        </xdr:sp>
        <xdr:sp>
          <xdr:nvSpPr>
            <xdr:cNvPr id="2268" name="Line 164"/>
            <xdr:cNvSpPr/>
          </xdr:nvSpPr>
          <xdr:spPr>
            <a:xfrm>
              <a:off x="31730040" y="6493320"/>
              <a:ext cx="3947760" cy="360"/>
            </a:xfrm>
            <a:prstGeom prst="line">
              <a:avLst/>
            </a:prstGeom>
            <a:ln w="25400">
              <a:solidFill>
                <a:srgbClr val="ff0000"/>
              </a:solidFill>
              <a:round/>
            </a:ln>
          </xdr:spPr>
          <xdr:style>
            <a:lnRef idx="0"/>
            <a:fillRef idx="0"/>
            <a:effectRef idx="0"/>
            <a:fontRef idx="minor"/>
          </xdr:style>
        </xdr:sp>
        <xdr:sp>
          <xdr:nvSpPr>
            <xdr:cNvPr id="2269" name="Line 165"/>
            <xdr:cNvSpPr/>
          </xdr:nvSpPr>
          <xdr:spPr>
            <a:xfrm>
              <a:off x="34680960" y="4788720"/>
              <a:ext cx="1756800" cy="360"/>
            </a:xfrm>
            <a:prstGeom prst="line">
              <a:avLst/>
            </a:prstGeom>
            <a:ln w="25400">
              <a:solidFill>
                <a:srgbClr val="ff0000"/>
              </a:solidFill>
              <a:round/>
            </a:ln>
          </xdr:spPr>
          <xdr:style>
            <a:lnRef idx="0"/>
            <a:fillRef idx="0"/>
            <a:effectRef idx="0"/>
            <a:fontRef idx="minor"/>
          </xdr:style>
        </xdr:sp>
        <xdr:sp>
          <xdr:nvSpPr>
            <xdr:cNvPr id="2270" name="Text Box 177"/>
            <xdr:cNvSpPr/>
          </xdr:nvSpPr>
          <xdr:spPr>
            <a:xfrm>
              <a:off x="33742080" y="6683760"/>
              <a:ext cx="745560" cy="43380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TR-FUN</a:t>
              </a:r>
              <a:endParaRPr b="0" lang="en-GB" sz="900" spc="-1" strike="noStrike">
                <a:latin typeface="Times New Roman"/>
              </a:endParaRPr>
            </a:p>
            <a:p>
              <a:pPr>
                <a:lnSpc>
                  <a:spcPct val="100000"/>
                </a:lnSpc>
              </a:pPr>
              <a:r>
                <a:rPr b="0" lang="es-CO" sz="900" spc="-1" strike="noStrike">
                  <a:solidFill>
                    <a:srgbClr val="40637a"/>
                  </a:solidFill>
                  <a:latin typeface="Arial"/>
                </a:rPr>
                <a:t>55 MVA</a:t>
              </a:r>
              <a:endParaRPr b="0" lang="en-GB" sz="900" spc="-1" strike="noStrike">
                <a:latin typeface="Times New Roman"/>
              </a:endParaRPr>
            </a:p>
          </xdr:txBody>
        </xdr:sp>
        <xdr:sp>
          <xdr:nvSpPr>
            <xdr:cNvPr id="2271" name="Line 178"/>
            <xdr:cNvSpPr/>
          </xdr:nvSpPr>
          <xdr:spPr>
            <a:xfrm>
              <a:off x="33621120" y="7198920"/>
              <a:ext cx="2094480" cy="16920"/>
            </a:xfrm>
            <a:prstGeom prst="line">
              <a:avLst/>
            </a:prstGeom>
            <a:ln w="25400">
              <a:solidFill>
                <a:srgbClr val="0000ff"/>
              </a:solidFill>
              <a:round/>
            </a:ln>
          </xdr:spPr>
          <xdr:style>
            <a:lnRef idx="0"/>
            <a:fillRef idx="0"/>
            <a:effectRef idx="0"/>
            <a:fontRef idx="minor"/>
          </xdr:style>
        </xdr:sp>
        <xdr:sp>
          <xdr:nvSpPr>
            <xdr:cNvPr id="2272" name="Line 157"/>
            <xdr:cNvSpPr/>
          </xdr:nvSpPr>
          <xdr:spPr>
            <a:xfrm>
              <a:off x="35747640" y="5531760"/>
              <a:ext cx="785520" cy="360"/>
            </a:xfrm>
            <a:prstGeom prst="line">
              <a:avLst/>
            </a:prstGeom>
            <a:ln w="25400">
              <a:solidFill>
                <a:srgbClr val="0000ff"/>
              </a:solidFill>
              <a:round/>
            </a:ln>
          </xdr:spPr>
          <xdr:style>
            <a:lnRef idx="0"/>
            <a:fillRef idx="0"/>
            <a:effectRef idx="0"/>
            <a:fontRef idx="minor"/>
          </xdr:style>
        </xdr:sp>
        <xdr:sp>
          <xdr:nvSpPr>
            <xdr:cNvPr id="2273" name="Oval 140"/>
            <xdr:cNvSpPr/>
          </xdr:nvSpPr>
          <xdr:spPr>
            <a:xfrm rot="10675800">
              <a:off x="35772840" y="5105520"/>
              <a:ext cx="256680" cy="227880"/>
            </a:xfrm>
            <a:prstGeom prst="ellipse">
              <a:avLst/>
            </a:prstGeom>
            <a:noFill/>
            <a:ln w="12700">
              <a:solidFill>
                <a:srgbClr val="0000ff"/>
              </a:solidFill>
              <a:round/>
            </a:ln>
          </xdr:spPr>
          <xdr:style>
            <a:lnRef idx="0"/>
            <a:fillRef idx="0"/>
            <a:effectRef idx="0"/>
            <a:fontRef idx="minor"/>
          </xdr:style>
          <xdr:txBody>
            <a:bodyPr vertOverflow="clip" lIns="73080" rIns="73080" tIns="36720" bIns="36720" anchor="t" rot="-10620000">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274" name="Oval 141"/>
            <xdr:cNvSpPr/>
          </xdr:nvSpPr>
          <xdr:spPr>
            <a:xfrm rot="10675800">
              <a:off x="35768880" y="4993920"/>
              <a:ext cx="256680" cy="227880"/>
            </a:xfrm>
            <a:prstGeom prst="ellipse">
              <a:avLst/>
            </a:prstGeom>
            <a:noFill/>
            <a:ln w="12700">
              <a:solidFill>
                <a:srgbClr val="ff0000"/>
              </a:solidFill>
              <a:round/>
            </a:ln>
          </xdr:spPr>
          <xdr:style>
            <a:lnRef idx="0"/>
            <a:fillRef idx="0"/>
            <a:effectRef idx="0"/>
            <a:fontRef idx="minor"/>
          </xdr:style>
          <xdr:txBody>
            <a:bodyPr vertOverflow="clip" lIns="73080" rIns="73080" tIns="36720" bIns="36720" anchor="t" rot="-10620000">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275" name="Line 186"/>
            <xdr:cNvSpPr/>
          </xdr:nvSpPr>
          <xdr:spPr>
            <a:xfrm>
              <a:off x="35894160" y="4791600"/>
              <a:ext cx="360" cy="197280"/>
            </a:xfrm>
            <a:prstGeom prst="line">
              <a:avLst/>
            </a:prstGeom>
            <a:ln w="25400">
              <a:solidFill>
                <a:srgbClr val="ff0000"/>
              </a:solidFill>
              <a:round/>
            </a:ln>
          </xdr:spPr>
          <xdr:style>
            <a:lnRef idx="0"/>
            <a:fillRef idx="0"/>
            <a:effectRef idx="0"/>
            <a:fontRef idx="minor"/>
          </xdr:style>
        </xdr:sp>
        <xdr:sp>
          <xdr:nvSpPr>
            <xdr:cNvPr id="2276" name="Line 144"/>
            <xdr:cNvSpPr/>
          </xdr:nvSpPr>
          <xdr:spPr>
            <a:xfrm>
              <a:off x="35896680" y="5327640"/>
              <a:ext cx="360" cy="199440"/>
            </a:xfrm>
            <a:prstGeom prst="line">
              <a:avLst/>
            </a:prstGeom>
            <a:ln w="25400">
              <a:solidFill>
                <a:srgbClr val="0000ff"/>
              </a:solidFill>
              <a:round/>
            </a:ln>
          </xdr:spPr>
          <xdr:style>
            <a:lnRef idx="0"/>
            <a:fillRef idx="0"/>
            <a:effectRef idx="0"/>
            <a:fontRef idx="minor"/>
          </xdr:style>
        </xdr:sp>
        <xdr:sp>
          <xdr:nvSpPr>
            <xdr:cNvPr id="2277" name="Text Box 166"/>
            <xdr:cNvSpPr/>
          </xdr:nvSpPr>
          <xdr:spPr>
            <a:xfrm>
              <a:off x="35568360" y="5547240"/>
              <a:ext cx="1099440" cy="48708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gn="ctr">
                <a:lnSpc>
                  <a:spcPct val="100000"/>
                </a:lnSpc>
              </a:pPr>
              <a:r>
                <a:rPr b="0" lang="es-CO" sz="900" spc="-1" strike="noStrike">
                  <a:solidFill>
                    <a:srgbClr val="40637a"/>
                  </a:solidFill>
                  <a:latin typeface="Arial"/>
                </a:rPr>
                <a:t>Rio Córdoba 220/110 KV</a:t>
              </a:r>
              <a:endParaRPr b="0" lang="en-GB" sz="900" spc="-1" strike="noStrike">
                <a:latin typeface="Times New Roman"/>
              </a:endParaRPr>
            </a:p>
            <a:p>
              <a:pPr algn="ctr">
                <a:lnSpc>
                  <a:spcPct val="100000"/>
                </a:lnSpc>
              </a:pPr>
              <a:r>
                <a:rPr b="0" lang="es-CO" sz="900" spc="-1" strike="noStrike">
                  <a:solidFill>
                    <a:srgbClr val="40637a"/>
                  </a:solidFill>
                  <a:latin typeface="Arial"/>
                </a:rPr>
                <a:t>2X100MVA</a:t>
              </a:r>
              <a:endParaRPr b="0" lang="en-GB" sz="900" spc="-1" strike="noStrike">
                <a:latin typeface="Times New Roman"/>
              </a:endParaRPr>
            </a:p>
          </xdr:txBody>
        </xdr:sp>
        <xdr:sp>
          <xdr:nvSpPr>
            <xdr:cNvPr id="2278" name="Oval 140"/>
            <xdr:cNvSpPr/>
          </xdr:nvSpPr>
          <xdr:spPr>
            <a:xfrm rot="10675800">
              <a:off x="36124920" y="5105520"/>
              <a:ext cx="256680" cy="227880"/>
            </a:xfrm>
            <a:prstGeom prst="ellipse">
              <a:avLst/>
            </a:prstGeom>
            <a:noFill/>
            <a:ln w="12700">
              <a:solidFill>
                <a:srgbClr val="0000ff"/>
              </a:solidFill>
              <a:round/>
            </a:ln>
          </xdr:spPr>
          <xdr:style>
            <a:lnRef idx="0"/>
            <a:fillRef idx="0"/>
            <a:effectRef idx="0"/>
            <a:fontRef idx="minor"/>
          </xdr:style>
          <xdr:txBody>
            <a:bodyPr vertOverflow="clip" lIns="73080" rIns="73080" tIns="36720" bIns="36720" anchor="t" rot="-10620000">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279" name="Oval 141"/>
            <xdr:cNvSpPr/>
          </xdr:nvSpPr>
          <xdr:spPr>
            <a:xfrm rot="10675800">
              <a:off x="36120960" y="4993920"/>
              <a:ext cx="256680" cy="227880"/>
            </a:xfrm>
            <a:prstGeom prst="ellipse">
              <a:avLst/>
            </a:prstGeom>
            <a:noFill/>
            <a:ln w="12700">
              <a:solidFill>
                <a:srgbClr val="ff0000"/>
              </a:solidFill>
              <a:round/>
            </a:ln>
          </xdr:spPr>
          <xdr:style>
            <a:lnRef idx="0"/>
            <a:fillRef idx="0"/>
            <a:effectRef idx="0"/>
            <a:fontRef idx="minor"/>
          </xdr:style>
          <xdr:txBody>
            <a:bodyPr vertOverflow="clip" lIns="73080" rIns="73080" tIns="36720" bIns="36720" anchor="t" rot="-10620000">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280" name="Line 177"/>
            <xdr:cNvSpPr/>
          </xdr:nvSpPr>
          <xdr:spPr>
            <a:xfrm>
              <a:off x="36246240" y="4791600"/>
              <a:ext cx="360" cy="211320"/>
            </a:xfrm>
            <a:prstGeom prst="line">
              <a:avLst/>
            </a:prstGeom>
            <a:ln w="25400">
              <a:solidFill>
                <a:srgbClr val="ff0000"/>
              </a:solidFill>
              <a:round/>
            </a:ln>
          </xdr:spPr>
          <xdr:style>
            <a:lnRef idx="0"/>
            <a:fillRef idx="0"/>
            <a:effectRef idx="0"/>
            <a:fontRef idx="minor"/>
          </xdr:style>
        </xdr:sp>
        <xdr:sp>
          <xdr:nvSpPr>
            <xdr:cNvPr id="2281" name="Line 144"/>
            <xdr:cNvSpPr/>
          </xdr:nvSpPr>
          <xdr:spPr>
            <a:xfrm>
              <a:off x="36248760" y="5337000"/>
              <a:ext cx="360" cy="190080"/>
            </a:xfrm>
            <a:prstGeom prst="line">
              <a:avLst/>
            </a:prstGeom>
            <a:ln w="25400">
              <a:solidFill>
                <a:srgbClr val="17365d"/>
              </a:solidFill>
              <a:round/>
            </a:ln>
          </xdr:spPr>
          <xdr:style>
            <a:lnRef idx="0"/>
            <a:fillRef idx="0"/>
            <a:effectRef idx="0"/>
            <a:fontRef idx="minor"/>
          </xdr:style>
        </xdr:sp>
        <xdr:sp>
          <xdr:nvSpPr>
            <xdr:cNvPr id="2282" name="AutoShape 168"/>
            <xdr:cNvSpPr/>
          </xdr:nvSpPr>
          <xdr:spPr>
            <a:xfrm>
              <a:off x="35327520" y="465300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283" name="AutoShape 167"/>
            <xdr:cNvSpPr/>
          </xdr:nvSpPr>
          <xdr:spPr>
            <a:xfrm>
              <a:off x="34962480" y="464976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284" name="AutoShape 165"/>
            <xdr:cNvSpPr/>
          </xdr:nvSpPr>
          <xdr:spPr>
            <a:xfrm>
              <a:off x="32256360" y="565740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285" name="AutoShape 164"/>
            <xdr:cNvSpPr/>
          </xdr:nvSpPr>
          <xdr:spPr>
            <a:xfrm>
              <a:off x="34034400" y="635436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286" name="AutoShape 153"/>
            <xdr:cNvSpPr/>
          </xdr:nvSpPr>
          <xdr:spPr>
            <a:xfrm>
              <a:off x="35842680" y="483192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287" name="AutoShape 149"/>
            <xdr:cNvSpPr/>
          </xdr:nvSpPr>
          <xdr:spPr>
            <a:xfrm>
              <a:off x="36200160" y="484380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288" name="AutoShape 147"/>
            <xdr:cNvSpPr/>
          </xdr:nvSpPr>
          <xdr:spPr>
            <a:xfrm>
              <a:off x="36200160" y="5387400"/>
              <a:ext cx="91440" cy="86760"/>
            </a:xfrm>
            <a:prstGeom prst="roundRect">
              <a:avLst>
                <a:gd name="adj" fmla="val 16667"/>
              </a:avLst>
            </a:prstGeom>
            <a:solidFill>
              <a:srgbClr val="0000ff"/>
            </a:solidFill>
            <a:ln w="9525">
              <a:solidFill>
                <a:srgbClr val="0000ff"/>
              </a:solidFill>
              <a:round/>
            </a:ln>
          </xdr:spPr>
          <xdr:style>
            <a:lnRef idx="0"/>
            <a:fillRef idx="0"/>
            <a:effectRef idx="0"/>
            <a:fontRef idx="minor"/>
          </xdr:style>
        </xdr:sp>
        <xdr:sp>
          <xdr:nvSpPr>
            <xdr:cNvPr id="2289" name="AutoShape 146"/>
            <xdr:cNvSpPr/>
          </xdr:nvSpPr>
          <xdr:spPr>
            <a:xfrm>
              <a:off x="35842680" y="5387400"/>
              <a:ext cx="91440" cy="86760"/>
            </a:xfrm>
            <a:prstGeom prst="roundRect">
              <a:avLst>
                <a:gd name="adj" fmla="val 16667"/>
              </a:avLst>
            </a:prstGeom>
            <a:solidFill>
              <a:srgbClr val="0000ff"/>
            </a:solidFill>
            <a:ln w="9525">
              <a:solidFill>
                <a:srgbClr val="0000ff"/>
              </a:solidFill>
              <a:round/>
            </a:ln>
          </xdr:spPr>
          <xdr:style>
            <a:lnRef idx="0"/>
            <a:fillRef idx="0"/>
            <a:effectRef idx="0"/>
            <a:fontRef idx="minor"/>
          </xdr:style>
        </xdr:sp>
        <xdr:sp>
          <xdr:nvSpPr>
            <xdr:cNvPr id="2290" name="Oval 129"/>
            <xdr:cNvSpPr/>
          </xdr:nvSpPr>
          <xdr:spPr>
            <a:xfrm>
              <a:off x="35103240" y="6675480"/>
              <a:ext cx="256680" cy="229320"/>
            </a:xfrm>
            <a:prstGeom prst="ellipse">
              <a:avLst/>
            </a:prstGeom>
            <a:noFill/>
            <a:ln w="12700">
              <a:solidFill>
                <a:srgbClr val="ff0000"/>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291" name="Oval 130"/>
            <xdr:cNvSpPr/>
          </xdr:nvSpPr>
          <xdr:spPr>
            <a:xfrm>
              <a:off x="35103240" y="6788880"/>
              <a:ext cx="256680" cy="229320"/>
            </a:xfrm>
            <a:prstGeom prst="ellipse">
              <a:avLst/>
            </a:prstGeom>
            <a:noFill/>
            <a:ln w="12700">
              <a:solidFill>
                <a:srgbClr val="0000ff"/>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292" name="Line 134"/>
            <xdr:cNvSpPr/>
          </xdr:nvSpPr>
          <xdr:spPr>
            <a:xfrm>
              <a:off x="35232840" y="7018200"/>
              <a:ext cx="360" cy="214920"/>
            </a:xfrm>
            <a:prstGeom prst="line">
              <a:avLst/>
            </a:prstGeom>
            <a:ln w="25400">
              <a:solidFill>
                <a:srgbClr val="0000ff"/>
              </a:solidFill>
              <a:round/>
            </a:ln>
          </xdr:spPr>
          <xdr:style>
            <a:lnRef idx="0"/>
            <a:fillRef idx="0"/>
            <a:effectRef idx="0"/>
            <a:fontRef idx="minor"/>
          </xdr:style>
        </xdr:sp>
        <xdr:sp>
          <xdr:nvSpPr>
            <xdr:cNvPr id="2293" name="Line 137"/>
            <xdr:cNvSpPr/>
          </xdr:nvSpPr>
          <xdr:spPr>
            <a:xfrm>
              <a:off x="35235360" y="6509160"/>
              <a:ext cx="360" cy="171720"/>
            </a:xfrm>
            <a:prstGeom prst="line">
              <a:avLst/>
            </a:prstGeom>
            <a:ln w="25400">
              <a:solidFill>
                <a:srgbClr val="ff0000"/>
              </a:solidFill>
              <a:round/>
            </a:ln>
          </xdr:spPr>
          <xdr:style>
            <a:lnRef idx="0"/>
            <a:fillRef idx="0"/>
            <a:effectRef idx="0"/>
            <a:fontRef idx="minor"/>
          </xdr:style>
        </xdr:sp>
        <xdr:sp>
          <xdr:nvSpPr>
            <xdr:cNvPr id="2294" name="AutoShape 162"/>
            <xdr:cNvSpPr/>
          </xdr:nvSpPr>
          <xdr:spPr>
            <a:xfrm>
              <a:off x="35189640" y="6554520"/>
              <a:ext cx="91440" cy="8784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295" name="AutoShape 142"/>
            <xdr:cNvSpPr/>
          </xdr:nvSpPr>
          <xdr:spPr>
            <a:xfrm>
              <a:off x="35188560" y="7058880"/>
              <a:ext cx="91440" cy="87840"/>
            </a:xfrm>
            <a:prstGeom prst="roundRect">
              <a:avLst>
                <a:gd name="adj" fmla="val 16667"/>
              </a:avLst>
            </a:prstGeom>
            <a:solidFill>
              <a:srgbClr val="0000ff"/>
            </a:solidFill>
            <a:ln w="9525">
              <a:solidFill>
                <a:srgbClr val="0000ff"/>
              </a:solidFill>
              <a:round/>
            </a:ln>
          </xdr:spPr>
          <xdr:style>
            <a:lnRef idx="0"/>
            <a:fillRef idx="0"/>
            <a:effectRef idx="0"/>
            <a:fontRef idx="minor"/>
          </xdr:style>
        </xdr:sp>
        <xdr:sp>
          <xdr:nvSpPr>
            <xdr:cNvPr id="2296" name="Text Box 169"/>
            <xdr:cNvSpPr/>
          </xdr:nvSpPr>
          <xdr:spPr>
            <a:xfrm>
              <a:off x="35462520" y="4536000"/>
              <a:ext cx="1719360" cy="34992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Rio Cordoba 110 KV</a:t>
              </a:r>
              <a:endParaRPr b="0" lang="en-GB" sz="900" spc="-1" strike="noStrike">
                <a:latin typeface="Times New Roman"/>
              </a:endParaRPr>
            </a:p>
          </xdr:txBody>
        </xdr:sp>
        <xdr:sp>
          <xdr:nvSpPr>
            <xdr:cNvPr id="2297" name="Oval 129"/>
            <xdr:cNvSpPr/>
          </xdr:nvSpPr>
          <xdr:spPr>
            <a:xfrm>
              <a:off x="34473240" y="6678360"/>
              <a:ext cx="256680" cy="229320"/>
            </a:xfrm>
            <a:prstGeom prst="ellipse">
              <a:avLst/>
            </a:prstGeom>
            <a:noFill/>
            <a:ln w="12700">
              <a:solidFill>
                <a:srgbClr val="ff0000"/>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298" name="Oval 130"/>
            <xdr:cNvSpPr/>
          </xdr:nvSpPr>
          <xdr:spPr>
            <a:xfrm>
              <a:off x="34473240" y="6791400"/>
              <a:ext cx="256680" cy="229320"/>
            </a:xfrm>
            <a:prstGeom prst="ellipse">
              <a:avLst/>
            </a:prstGeom>
            <a:noFill/>
            <a:ln w="12700">
              <a:solidFill>
                <a:srgbClr val="0000ff"/>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299" name="Line 134"/>
            <xdr:cNvSpPr/>
          </xdr:nvSpPr>
          <xdr:spPr>
            <a:xfrm>
              <a:off x="34602840" y="7020720"/>
              <a:ext cx="360" cy="201240"/>
            </a:xfrm>
            <a:prstGeom prst="line">
              <a:avLst/>
            </a:prstGeom>
            <a:ln w="25400">
              <a:solidFill>
                <a:srgbClr val="0000ff"/>
              </a:solidFill>
              <a:round/>
            </a:ln>
          </xdr:spPr>
          <xdr:style>
            <a:lnRef idx="0"/>
            <a:fillRef idx="0"/>
            <a:effectRef idx="0"/>
            <a:fontRef idx="minor"/>
          </xdr:style>
        </xdr:sp>
        <xdr:sp>
          <xdr:nvSpPr>
            <xdr:cNvPr id="2300" name="Line 137"/>
            <xdr:cNvSpPr/>
          </xdr:nvSpPr>
          <xdr:spPr>
            <a:xfrm>
              <a:off x="34605360" y="6508080"/>
              <a:ext cx="360" cy="175680"/>
            </a:xfrm>
            <a:prstGeom prst="line">
              <a:avLst/>
            </a:prstGeom>
            <a:ln w="25400">
              <a:solidFill>
                <a:srgbClr val="ff0000"/>
              </a:solidFill>
              <a:round/>
            </a:ln>
          </xdr:spPr>
          <xdr:style>
            <a:lnRef idx="0"/>
            <a:fillRef idx="0"/>
            <a:effectRef idx="0"/>
            <a:fontRef idx="minor"/>
          </xdr:style>
        </xdr:sp>
        <xdr:sp>
          <xdr:nvSpPr>
            <xdr:cNvPr id="2301" name="AutoShape 162"/>
            <xdr:cNvSpPr/>
          </xdr:nvSpPr>
          <xdr:spPr>
            <a:xfrm>
              <a:off x="34559640" y="6557400"/>
              <a:ext cx="91440" cy="8784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302" name="AutoShape 142"/>
            <xdr:cNvSpPr/>
          </xdr:nvSpPr>
          <xdr:spPr>
            <a:xfrm>
              <a:off x="34558560" y="7061400"/>
              <a:ext cx="91440" cy="87840"/>
            </a:xfrm>
            <a:prstGeom prst="roundRect">
              <a:avLst>
                <a:gd name="adj" fmla="val 16667"/>
              </a:avLst>
            </a:prstGeom>
            <a:solidFill>
              <a:srgbClr val="0000ff"/>
            </a:solidFill>
            <a:ln w="9525">
              <a:solidFill>
                <a:srgbClr val="0000ff"/>
              </a:solidFill>
              <a:round/>
            </a:ln>
          </xdr:spPr>
          <xdr:style>
            <a:lnRef idx="0"/>
            <a:fillRef idx="0"/>
            <a:effectRef idx="0"/>
            <a:fontRef idx="minor"/>
          </xdr:style>
        </xdr:sp>
        <xdr:sp>
          <xdr:nvSpPr>
            <xdr:cNvPr id="2303" name="Line 167"/>
            <xdr:cNvSpPr/>
          </xdr:nvSpPr>
          <xdr:spPr>
            <a:xfrm>
              <a:off x="34084800" y="5703840"/>
              <a:ext cx="360" cy="793080"/>
            </a:xfrm>
            <a:prstGeom prst="line">
              <a:avLst/>
            </a:prstGeom>
            <a:ln w="12700">
              <a:solidFill>
                <a:srgbClr val="ff0000"/>
              </a:solidFill>
              <a:round/>
            </a:ln>
          </xdr:spPr>
          <xdr:style>
            <a:lnRef idx="0"/>
            <a:fillRef idx="0"/>
            <a:effectRef idx="0"/>
            <a:fontRef idx="minor"/>
          </xdr:style>
        </xdr:sp>
        <xdr:sp>
          <xdr:nvSpPr>
            <xdr:cNvPr id="2304" name="Line 168"/>
            <xdr:cNvSpPr/>
          </xdr:nvSpPr>
          <xdr:spPr>
            <a:xfrm>
              <a:off x="32178240" y="5169960"/>
              <a:ext cx="360" cy="639000"/>
            </a:xfrm>
            <a:prstGeom prst="line">
              <a:avLst/>
            </a:prstGeom>
            <a:ln w="25400">
              <a:solidFill>
                <a:srgbClr val="ff0000"/>
              </a:solidFill>
              <a:round/>
            </a:ln>
          </xdr:spPr>
          <xdr:style>
            <a:lnRef idx="0"/>
            <a:fillRef idx="0"/>
            <a:effectRef idx="0"/>
            <a:fontRef idx="minor"/>
          </xdr:style>
        </xdr:sp>
        <xdr:sp>
          <xdr:nvSpPr>
            <xdr:cNvPr id="2305" name="Text Box 169"/>
            <xdr:cNvSpPr/>
          </xdr:nvSpPr>
          <xdr:spPr>
            <a:xfrm>
              <a:off x="31788000" y="5838480"/>
              <a:ext cx="990000" cy="35532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gn="ctr">
                <a:lnSpc>
                  <a:spcPct val="100000"/>
                </a:lnSpc>
              </a:pPr>
              <a:r>
                <a:rPr b="0" lang="es-CO" sz="900" spc="-1" strike="noStrike">
                  <a:solidFill>
                    <a:srgbClr val="40637a"/>
                  </a:solidFill>
                  <a:latin typeface="Arial"/>
                </a:rPr>
                <a:t>Guacamayal 110 KV</a:t>
              </a:r>
              <a:endParaRPr b="0" lang="en-GB" sz="900" spc="-1" strike="noStrike">
                <a:latin typeface="Times New Roman"/>
              </a:endParaRPr>
            </a:p>
          </xdr:txBody>
        </xdr:sp>
        <xdr:sp>
          <xdr:nvSpPr>
            <xdr:cNvPr id="2306" name="Line 167"/>
            <xdr:cNvSpPr/>
          </xdr:nvSpPr>
          <xdr:spPr>
            <a:xfrm flipH="1">
              <a:off x="32190480" y="5703840"/>
              <a:ext cx="1901160" cy="360"/>
            </a:xfrm>
            <a:prstGeom prst="line">
              <a:avLst/>
            </a:prstGeom>
            <a:ln w="12700">
              <a:solidFill>
                <a:srgbClr val="ff0000"/>
              </a:solidFill>
              <a:prstDash val="dash"/>
              <a:round/>
            </a:ln>
          </xdr:spPr>
          <xdr:style>
            <a:lnRef idx="0"/>
            <a:fillRef idx="0"/>
            <a:effectRef idx="0"/>
            <a:fontRef idx="minor"/>
          </xdr:style>
        </xdr:sp>
        <xdr:sp>
          <xdr:nvSpPr>
            <xdr:cNvPr id="2307" name="Line 167"/>
            <xdr:cNvSpPr/>
          </xdr:nvSpPr>
          <xdr:spPr>
            <a:xfrm flipH="1">
              <a:off x="32180760" y="5275800"/>
              <a:ext cx="672840" cy="360"/>
            </a:xfrm>
            <a:prstGeom prst="line">
              <a:avLst/>
            </a:prstGeom>
            <a:ln w="12700">
              <a:solidFill>
                <a:srgbClr val="ff0000"/>
              </a:solidFill>
              <a:prstDash val="sysDash"/>
              <a:round/>
            </a:ln>
          </xdr:spPr>
          <xdr:style>
            <a:lnRef idx="0"/>
            <a:fillRef idx="0"/>
            <a:effectRef idx="0"/>
            <a:fontRef idx="minor"/>
          </xdr:style>
        </xdr:sp>
        <xdr:sp>
          <xdr:nvSpPr>
            <xdr:cNvPr id="2308" name="AutoShape 164"/>
            <xdr:cNvSpPr/>
          </xdr:nvSpPr>
          <xdr:spPr>
            <a:xfrm>
              <a:off x="32275440" y="523836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309" name="Text Box 173"/>
            <xdr:cNvSpPr/>
          </xdr:nvSpPr>
          <xdr:spPr>
            <a:xfrm>
              <a:off x="33014160" y="5380200"/>
              <a:ext cx="609840" cy="269640"/>
            </a:xfrm>
            <a:prstGeom prst="rect">
              <a:avLst/>
            </a:prstGeom>
            <a:noFill/>
            <a:ln w="9525">
              <a:noFill/>
            </a:ln>
          </xdr:spPr>
          <xdr:style>
            <a:lnRef idx="0"/>
            <a:fillRef idx="0"/>
            <a:effectRef idx="0"/>
            <a:fontRef idx="minor"/>
          </xdr:style>
        </xdr:sp>
        <xdr:sp>
          <xdr:nvSpPr>
            <xdr:cNvPr id="2310" name="Oval 40"/>
            <xdr:cNvSpPr/>
          </xdr:nvSpPr>
          <xdr:spPr>
            <a:xfrm rot="5400000">
              <a:off x="31493160" y="5582520"/>
              <a:ext cx="193680" cy="241920"/>
            </a:xfrm>
            <a:prstGeom prst="ellipse">
              <a:avLst/>
            </a:prstGeom>
            <a:noFill/>
            <a:ln w="12700">
              <a:solidFill>
                <a:srgbClr val="ff0000"/>
              </a:solidFill>
              <a:prstDash val="sysDash"/>
              <a:round/>
            </a:ln>
          </xdr:spPr>
          <xdr:style>
            <a:lnRef idx="0"/>
            <a:fillRef idx="0"/>
            <a:effectRef idx="0"/>
            <a:fontRef idx="minor"/>
          </xdr:style>
        </xdr:sp>
        <xdr:sp>
          <xdr:nvSpPr>
            <xdr:cNvPr id="2311" name="Oval 41"/>
            <xdr:cNvSpPr/>
          </xdr:nvSpPr>
          <xdr:spPr>
            <a:xfrm rot="5400000">
              <a:off x="31363920" y="5585400"/>
              <a:ext cx="193680" cy="241920"/>
            </a:xfrm>
            <a:prstGeom prst="ellipse">
              <a:avLst/>
            </a:prstGeom>
            <a:noFill/>
            <a:ln w="12700">
              <a:solidFill>
                <a:srgbClr val="ffc000"/>
              </a:solidFill>
              <a:prstDash val="sysDash"/>
              <a:round/>
            </a:ln>
          </xdr:spPr>
          <xdr:style>
            <a:lnRef idx="0"/>
            <a:fillRef idx="0"/>
            <a:effectRef idx="0"/>
            <a:fontRef idx="minor"/>
          </xdr:style>
        </xdr:sp>
        <xdr:sp>
          <xdr:nvSpPr>
            <xdr:cNvPr id="2312" name="Line 206"/>
            <xdr:cNvSpPr/>
          </xdr:nvSpPr>
          <xdr:spPr>
            <a:xfrm>
              <a:off x="30920400" y="5711400"/>
              <a:ext cx="423000" cy="360"/>
            </a:xfrm>
            <a:prstGeom prst="line">
              <a:avLst/>
            </a:prstGeom>
            <a:ln w="15875">
              <a:solidFill>
                <a:srgbClr val="ffc000"/>
              </a:solidFill>
              <a:prstDash val="sysDash"/>
              <a:round/>
            </a:ln>
          </xdr:spPr>
          <xdr:style>
            <a:lnRef idx="0"/>
            <a:fillRef idx="0"/>
            <a:effectRef idx="0"/>
            <a:fontRef idx="minor"/>
          </xdr:style>
        </xdr:sp>
        <xdr:sp>
          <xdr:nvSpPr>
            <xdr:cNvPr id="2313" name="Line 280"/>
            <xdr:cNvSpPr/>
          </xdr:nvSpPr>
          <xdr:spPr>
            <a:xfrm>
              <a:off x="31715640" y="5703840"/>
              <a:ext cx="457560" cy="360"/>
            </a:xfrm>
            <a:prstGeom prst="line">
              <a:avLst/>
            </a:prstGeom>
            <a:ln w="15875">
              <a:solidFill>
                <a:srgbClr val="ff0000"/>
              </a:solidFill>
              <a:prstDash val="sysDash"/>
              <a:round/>
            </a:ln>
          </xdr:spPr>
          <xdr:style>
            <a:lnRef idx="0"/>
            <a:fillRef idx="0"/>
            <a:effectRef idx="0"/>
            <a:fontRef idx="minor"/>
          </xdr:style>
        </xdr:sp>
        <xdr:sp>
          <xdr:nvSpPr>
            <xdr:cNvPr id="2314" name="61 CuadroTexto"/>
            <xdr:cNvSpPr/>
          </xdr:nvSpPr>
          <xdr:spPr>
            <a:xfrm>
              <a:off x="31084920" y="5847480"/>
              <a:ext cx="898200" cy="30528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800" spc="-1" strike="noStrike">
                  <a:solidFill>
                    <a:srgbClr val="000000"/>
                  </a:solidFill>
                  <a:latin typeface="Arial"/>
                </a:rPr>
                <a:t>30 MVA</a:t>
              </a:r>
              <a:endParaRPr b="0" lang="en-GB" sz="800" spc="-1" strike="noStrike">
                <a:latin typeface="Times New Roman"/>
              </a:endParaRPr>
            </a:p>
            <a:p>
              <a:pPr algn="ctr">
                <a:lnSpc>
                  <a:spcPct val="100000"/>
                </a:lnSpc>
                <a:tabLst>
                  <a:tab algn="l" pos="0"/>
                </a:tabLst>
              </a:pPr>
              <a:r>
                <a:rPr b="0" lang="es-CO" sz="800" spc="-1" strike="noStrike">
                  <a:solidFill>
                    <a:srgbClr val="000000"/>
                  </a:solidFill>
                  <a:latin typeface="Arial"/>
                </a:rPr>
                <a:t>110/34,5 KV</a:t>
              </a:r>
              <a:endParaRPr b="0" lang="en-GB" sz="800" spc="-1" strike="noStrike">
                <a:latin typeface="Times New Roman"/>
              </a:endParaRPr>
            </a:p>
          </xdr:txBody>
        </xdr:sp>
        <xdr:sp>
          <xdr:nvSpPr>
            <xdr:cNvPr id="2315" name="Oval 40"/>
            <xdr:cNvSpPr/>
          </xdr:nvSpPr>
          <xdr:spPr>
            <a:xfrm rot="5400000">
              <a:off x="31492080" y="5118480"/>
              <a:ext cx="193680" cy="241920"/>
            </a:xfrm>
            <a:prstGeom prst="ellipse">
              <a:avLst/>
            </a:prstGeom>
            <a:noFill/>
            <a:ln w="12700">
              <a:solidFill>
                <a:srgbClr val="ff0000"/>
              </a:solidFill>
              <a:prstDash val="sysDash"/>
              <a:round/>
            </a:ln>
          </xdr:spPr>
          <xdr:style>
            <a:lnRef idx="0"/>
            <a:fillRef idx="0"/>
            <a:effectRef idx="0"/>
            <a:fontRef idx="minor"/>
          </xdr:style>
        </xdr:sp>
        <xdr:sp>
          <xdr:nvSpPr>
            <xdr:cNvPr id="2316" name="Oval 41"/>
            <xdr:cNvSpPr/>
          </xdr:nvSpPr>
          <xdr:spPr>
            <a:xfrm rot="5400000">
              <a:off x="31363200" y="5121360"/>
              <a:ext cx="193680" cy="241920"/>
            </a:xfrm>
            <a:prstGeom prst="ellipse">
              <a:avLst/>
            </a:prstGeom>
            <a:noFill/>
            <a:ln w="12700">
              <a:solidFill>
                <a:srgbClr val="ffc000"/>
              </a:solidFill>
              <a:prstDash val="sysDash"/>
              <a:round/>
            </a:ln>
          </xdr:spPr>
          <xdr:style>
            <a:lnRef idx="0"/>
            <a:fillRef idx="0"/>
            <a:effectRef idx="0"/>
            <a:fontRef idx="minor"/>
          </xdr:style>
        </xdr:sp>
        <xdr:sp>
          <xdr:nvSpPr>
            <xdr:cNvPr id="2317" name="Line 206"/>
            <xdr:cNvSpPr/>
          </xdr:nvSpPr>
          <xdr:spPr>
            <a:xfrm>
              <a:off x="30920400" y="5247360"/>
              <a:ext cx="423000" cy="360"/>
            </a:xfrm>
            <a:prstGeom prst="line">
              <a:avLst/>
            </a:prstGeom>
            <a:ln w="15875">
              <a:solidFill>
                <a:srgbClr val="ffc000"/>
              </a:solidFill>
              <a:prstDash val="sysDash"/>
              <a:round/>
            </a:ln>
          </xdr:spPr>
          <xdr:style>
            <a:lnRef idx="0"/>
            <a:fillRef idx="0"/>
            <a:effectRef idx="0"/>
            <a:fontRef idx="minor"/>
          </xdr:style>
        </xdr:sp>
        <xdr:sp>
          <xdr:nvSpPr>
            <xdr:cNvPr id="2318" name="Line 280"/>
            <xdr:cNvSpPr/>
          </xdr:nvSpPr>
          <xdr:spPr>
            <a:xfrm>
              <a:off x="31703760" y="5239800"/>
              <a:ext cx="465480" cy="360"/>
            </a:xfrm>
            <a:prstGeom prst="line">
              <a:avLst/>
            </a:prstGeom>
            <a:ln w="15875">
              <a:solidFill>
                <a:srgbClr val="ff0000"/>
              </a:solidFill>
              <a:prstDash val="sysDash"/>
              <a:round/>
            </a:ln>
          </xdr:spPr>
          <xdr:style>
            <a:lnRef idx="0"/>
            <a:fillRef idx="0"/>
            <a:effectRef idx="0"/>
            <a:fontRef idx="minor"/>
          </xdr:style>
        </xdr:sp>
        <xdr:sp>
          <xdr:nvSpPr>
            <xdr:cNvPr id="2319" name="61 CuadroTexto"/>
            <xdr:cNvSpPr/>
          </xdr:nvSpPr>
          <xdr:spPr>
            <a:xfrm>
              <a:off x="31064400" y="4815000"/>
              <a:ext cx="955080" cy="30312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800" spc="-1" strike="noStrike">
                  <a:solidFill>
                    <a:srgbClr val="000000"/>
                  </a:solidFill>
                  <a:latin typeface="Arial"/>
                </a:rPr>
                <a:t>30 MVA</a:t>
              </a:r>
              <a:endParaRPr b="0" lang="en-GB" sz="800" spc="-1" strike="noStrike">
                <a:latin typeface="Times New Roman"/>
              </a:endParaRPr>
            </a:p>
            <a:p>
              <a:pPr algn="ctr">
                <a:lnSpc>
                  <a:spcPct val="100000"/>
                </a:lnSpc>
                <a:tabLst>
                  <a:tab algn="l" pos="0"/>
                </a:tabLst>
              </a:pPr>
              <a:r>
                <a:rPr b="0" lang="es-CO" sz="800" spc="-1" strike="noStrike">
                  <a:solidFill>
                    <a:srgbClr val="000000"/>
                  </a:solidFill>
                  <a:latin typeface="Arial"/>
                </a:rPr>
                <a:t>110/34,5 KV</a:t>
              </a:r>
              <a:endParaRPr b="0" lang="en-GB" sz="800" spc="-1" strike="noStrike">
                <a:latin typeface="Times New Roman"/>
              </a:endParaRPr>
            </a:p>
          </xdr:txBody>
        </xdr:sp>
        <xdr:sp>
          <xdr:nvSpPr>
            <xdr:cNvPr id="2320" name="452 Rectángulo redondeado"/>
            <xdr:cNvSpPr/>
          </xdr:nvSpPr>
          <xdr:spPr>
            <a:xfrm rot="5400000">
              <a:off x="30956400" y="5221080"/>
              <a:ext cx="43560" cy="471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2321" name="452 Rectángulo redondeado"/>
            <xdr:cNvSpPr/>
          </xdr:nvSpPr>
          <xdr:spPr>
            <a:xfrm rot="5400000">
              <a:off x="30972600" y="5683680"/>
              <a:ext cx="43560" cy="471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2322" name="452 Rectángulo redondeado"/>
            <xdr:cNvSpPr/>
          </xdr:nvSpPr>
          <xdr:spPr>
            <a:xfrm rot="5400000">
              <a:off x="32085000" y="5214600"/>
              <a:ext cx="43560" cy="4716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323" name="452 Rectángulo redondeado"/>
            <xdr:cNvSpPr/>
          </xdr:nvSpPr>
          <xdr:spPr>
            <a:xfrm rot="5400000">
              <a:off x="32083560" y="5683680"/>
              <a:ext cx="43560" cy="4716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324" name="Text Box 173"/>
            <xdr:cNvSpPr/>
          </xdr:nvSpPr>
          <xdr:spPr>
            <a:xfrm>
              <a:off x="31286160" y="4907520"/>
              <a:ext cx="609840" cy="269640"/>
            </a:xfrm>
            <a:prstGeom prst="rect">
              <a:avLst/>
            </a:prstGeom>
            <a:noFill/>
            <a:ln w="9525">
              <a:noFill/>
            </a:ln>
          </xdr:spPr>
          <xdr:style>
            <a:lnRef idx="0"/>
            <a:fillRef idx="0"/>
            <a:effectRef idx="0"/>
            <a:fontRef idx="minor"/>
          </xdr:style>
        </xdr:sp>
        <xdr:sp>
          <xdr:nvSpPr>
            <xdr:cNvPr id="2325" name="Elipse 839"/>
            <xdr:cNvSpPr/>
          </xdr:nvSpPr>
          <xdr:spPr>
            <a:xfrm>
              <a:off x="34058520" y="5681880"/>
              <a:ext cx="52200" cy="49320"/>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326" name="Elipse 840"/>
            <xdr:cNvSpPr/>
          </xdr:nvSpPr>
          <xdr:spPr>
            <a:xfrm>
              <a:off x="32828040" y="5248800"/>
              <a:ext cx="52200" cy="49320"/>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327" name="AutoShape 164"/>
            <xdr:cNvSpPr/>
          </xdr:nvSpPr>
          <xdr:spPr>
            <a:xfrm>
              <a:off x="33102360" y="446256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328" name="AutoShape 164"/>
            <xdr:cNvSpPr/>
          </xdr:nvSpPr>
          <xdr:spPr>
            <a:xfrm>
              <a:off x="34853760" y="486432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329" name="Line 167"/>
            <xdr:cNvSpPr/>
          </xdr:nvSpPr>
          <xdr:spPr>
            <a:xfrm>
              <a:off x="34898400" y="4782240"/>
              <a:ext cx="360" cy="288360"/>
            </a:xfrm>
            <a:prstGeom prst="line">
              <a:avLst/>
            </a:prstGeom>
            <a:ln w="12700">
              <a:solidFill>
                <a:srgbClr val="ff0000"/>
              </a:solidFill>
              <a:round/>
            </a:ln>
          </xdr:spPr>
          <xdr:style>
            <a:lnRef idx="0"/>
            <a:fillRef idx="0"/>
            <a:effectRef idx="0"/>
            <a:fontRef idx="minor"/>
          </xdr:style>
        </xdr:sp>
        <xdr:sp>
          <xdr:nvSpPr>
            <xdr:cNvPr id="2330" name="Line 167"/>
            <xdr:cNvSpPr/>
          </xdr:nvSpPr>
          <xdr:spPr>
            <a:xfrm flipH="1">
              <a:off x="33141240" y="5074200"/>
              <a:ext cx="1766520" cy="360"/>
            </a:xfrm>
            <a:prstGeom prst="line">
              <a:avLst/>
            </a:prstGeom>
            <a:ln w="12700">
              <a:solidFill>
                <a:srgbClr val="ff0000"/>
              </a:solidFill>
              <a:round/>
            </a:ln>
          </xdr:spPr>
          <xdr:style>
            <a:lnRef idx="0"/>
            <a:fillRef idx="0"/>
            <a:effectRef idx="0"/>
            <a:fontRef idx="minor"/>
          </xdr:style>
        </xdr:sp>
        <xdr:sp>
          <xdr:nvSpPr>
            <xdr:cNvPr id="2331" name="Elipse 845"/>
            <xdr:cNvSpPr/>
          </xdr:nvSpPr>
          <xdr:spPr>
            <a:xfrm>
              <a:off x="33121080" y="4754160"/>
              <a:ext cx="52200" cy="49320"/>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332" name="Rectangle 131"/>
            <xdr:cNvSpPr/>
          </xdr:nvSpPr>
          <xdr:spPr>
            <a:xfrm>
              <a:off x="34155720" y="5958360"/>
              <a:ext cx="544680" cy="147600"/>
            </a:xfrm>
            <a:prstGeom prst="rect">
              <a:avLst/>
            </a:prstGeom>
            <a:noFill/>
            <a:ln w="9525">
              <a:noFill/>
            </a:ln>
          </xdr:spPr>
          <xdr:style>
            <a:lnRef idx="0"/>
            <a:fillRef idx="0"/>
            <a:effectRef idx="0"/>
            <a:fontRef idx="minor"/>
          </xdr:style>
          <xdr:txBody>
            <a:bodyPr numCol="1" spcCol="0" lIns="0" rIns="0" tIns="0" bIns="0" anchor="t">
              <a:noAutofit/>
            </a:bodyPr>
            <a:p>
              <a:pPr algn="ctr">
                <a:lnSpc>
                  <a:spcPct val="100000"/>
                </a:lnSpc>
              </a:pPr>
              <a:r>
                <a:rPr b="0" lang="en-US" sz="900" spc="-1" strike="noStrike">
                  <a:solidFill>
                    <a:srgbClr val="000000"/>
                  </a:solidFill>
                  <a:latin typeface="Arial"/>
                  <a:ea typeface="Times New Roman"/>
                </a:rPr>
                <a:t>Tramo 1</a:t>
              </a:r>
              <a:endParaRPr b="0" lang="en-GB" sz="900" spc="-1" strike="noStrike">
                <a:latin typeface="Times New Roman"/>
              </a:endParaRPr>
            </a:p>
          </xdr:txBody>
        </xdr:sp>
        <xdr:sp>
          <xdr:nvSpPr>
            <xdr:cNvPr id="2333" name="Rectangle 131"/>
            <xdr:cNvSpPr/>
          </xdr:nvSpPr>
          <xdr:spPr>
            <a:xfrm>
              <a:off x="33044400" y="5816880"/>
              <a:ext cx="544680" cy="147600"/>
            </a:xfrm>
            <a:prstGeom prst="rect">
              <a:avLst/>
            </a:prstGeom>
            <a:noFill/>
            <a:ln w="9525">
              <a:noFill/>
            </a:ln>
          </xdr:spPr>
          <xdr:style>
            <a:lnRef idx="0"/>
            <a:fillRef idx="0"/>
            <a:effectRef idx="0"/>
            <a:fontRef idx="minor"/>
          </xdr:style>
          <xdr:txBody>
            <a:bodyPr numCol="1" spcCol="0" lIns="0" rIns="0" tIns="0" bIns="0" anchor="t">
              <a:noAutofit/>
            </a:bodyPr>
            <a:p>
              <a:pPr algn="ctr">
                <a:lnSpc>
                  <a:spcPct val="100000"/>
                </a:lnSpc>
              </a:pPr>
              <a:r>
                <a:rPr b="0" lang="en-US" sz="900" spc="-1" strike="noStrike">
                  <a:solidFill>
                    <a:srgbClr val="000000"/>
                  </a:solidFill>
                  <a:latin typeface="Arial"/>
                  <a:ea typeface="Times New Roman"/>
                </a:rPr>
                <a:t>Tramo 2</a:t>
              </a:r>
              <a:endParaRPr b="0" lang="en-GB" sz="900" spc="-1" strike="noStrike">
                <a:latin typeface="Times New Roman"/>
              </a:endParaRPr>
            </a:p>
          </xdr:txBody>
        </xdr:sp>
        <xdr:sp>
          <xdr:nvSpPr>
            <xdr:cNvPr id="2334" name="Rectangle 131"/>
            <xdr:cNvSpPr/>
          </xdr:nvSpPr>
          <xdr:spPr>
            <a:xfrm>
              <a:off x="32355000" y="5355720"/>
              <a:ext cx="544680" cy="147600"/>
            </a:xfrm>
            <a:prstGeom prst="rect">
              <a:avLst/>
            </a:prstGeom>
            <a:noFill/>
            <a:ln w="9525">
              <a:noFill/>
            </a:ln>
          </xdr:spPr>
          <xdr:style>
            <a:lnRef idx="0"/>
            <a:fillRef idx="0"/>
            <a:effectRef idx="0"/>
            <a:fontRef idx="minor"/>
          </xdr:style>
          <xdr:txBody>
            <a:bodyPr numCol="1" spcCol="0" lIns="0" rIns="0" tIns="0" bIns="0" anchor="t">
              <a:noAutofit/>
            </a:bodyPr>
            <a:p>
              <a:pPr algn="ctr">
                <a:lnSpc>
                  <a:spcPct val="100000"/>
                </a:lnSpc>
              </a:pPr>
              <a:r>
                <a:rPr b="0" lang="en-US" sz="900" spc="-1" strike="noStrike">
                  <a:solidFill>
                    <a:srgbClr val="000000"/>
                  </a:solidFill>
                  <a:latin typeface="Arial"/>
                  <a:ea typeface="Times New Roman"/>
                </a:rPr>
                <a:t>Tramo 3</a:t>
              </a:r>
              <a:endParaRPr b="0" lang="en-GB" sz="900" spc="-1" strike="noStrike">
                <a:latin typeface="Times New Roman"/>
              </a:endParaRPr>
            </a:p>
          </xdr:txBody>
        </xdr:sp>
        <xdr:sp>
          <xdr:nvSpPr>
            <xdr:cNvPr id="2335" name="Rectangle 131"/>
            <xdr:cNvSpPr/>
          </xdr:nvSpPr>
          <xdr:spPr>
            <a:xfrm>
              <a:off x="32176080" y="4918680"/>
              <a:ext cx="725400" cy="192240"/>
            </a:xfrm>
            <a:prstGeom prst="rect">
              <a:avLst/>
            </a:prstGeom>
            <a:noFill/>
            <a:ln w="9525">
              <a:noFill/>
            </a:ln>
          </xdr:spPr>
          <xdr:style>
            <a:lnRef idx="0"/>
            <a:fillRef idx="0"/>
            <a:effectRef idx="0"/>
            <a:fontRef idx="minor"/>
          </xdr:style>
          <xdr:txBody>
            <a:bodyPr numCol="1" spcCol="0" lIns="0" rIns="0" tIns="0" bIns="0" anchor="t">
              <a:noAutofit/>
            </a:bodyPr>
            <a:p>
              <a:pPr algn="ctr">
                <a:lnSpc>
                  <a:spcPct val="100000"/>
                </a:lnSpc>
              </a:pPr>
              <a:r>
                <a:rPr b="0" lang="en-US" sz="900" spc="-1" strike="noStrike">
                  <a:solidFill>
                    <a:srgbClr val="000000"/>
                  </a:solidFill>
                  <a:latin typeface="Arial"/>
                  <a:ea typeface="Times New Roman"/>
                </a:rPr>
                <a:t>Tramo 4</a:t>
              </a:r>
              <a:endParaRPr b="0" lang="en-GB" sz="900" spc="-1" strike="noStrike">
                <a:latin typeface="Times New Roman"/>
              </a:endParaRPr>
            </a:p>
          </xdr:txBody>
        </xdr:sp>
        <xdr:sp>
          <xdr:nvSpPr>
            <xdr:cNvPr id="2336" name="Rectangle 131"/>
            <xdr:cNvSpPr/>
          </xdr:nvSpPr>
          <xdr:spPr>
            <a:xfrm>
              <a:off x="33247440" y="4574160"/>
              <a:ext cx="705240" cy="190800"/>
            </a:xfrm>
            <a:prstGeom prst="rect">
              <a:avLst/>
            </a:prstGeom>
            <a:noFill/>
            <a:ln w="9525">
              <a:noFill/>
            </a:ln>
          </xdr:spPr>
          <xdr:style>
            <a:lnRef idx="0"/>
            <a:fillRef idx="0"/>
            <a:effectRef idx="0"/>
            <a:fontRef idx="minor"/>
          </xdr:style>
          <xdr:txBody>
            <a:bodyPr numCol="1" spcCol="0" lIns="0" rIns="0" tIns="0" bIns="0" anchor="t">
              <a:noAutofit/>
            </a:bodyPr>
            <a:p>
              <a:pPr algn="ctr">
                <a:lnSpc>
                  <a:spcPct val="100000"/>
                </a:lnSpc>
              </a:pPr>
              <a:r>
                <a:rPr b="0" lang="en-US" sz="900" spc="-1" strike="noStrike">
                  <a:solidFill>
                    <a:srgbClr val="000000"/>
                  </a:solidFill>
                  <a:latin typeface="Arial"/>
                  <a:ea typeface="Times New Roman"/>
                </a:rPr>
                <a:t>Tramo 6</a:t>
              </a:r>
              <a:endParaRPr b="0" lang="en-GB" sz="900" spc="-1" strike="noStrike">
                <a:latin typeface="Times New Roman"/>
              </a:endParaRPr>
            </a:p>
          </xdr:txBody>
        </xdr:sp>
        <xdr:sp>
          <xdr:nvSpPr>
            <xdr:cNvPr id="2337" name="Rectangle 131"/>
            <xdr:cNvSpPr/>
          </xdr:nvSpPr>
          <xdr:spPr>
            <a:xfrm>
              <a:off x="34319880" y="4874760"/>
              <a:ext cx="544680" cy="147600"/>
            </a:xfrm>
            <a:prstGeom prst="rect">
              <a:avLst/>
            </a:prstGeom>
            <a:noFill/>
            <a:ln w="9525">
              <a:noFill/>
            </a:ln>
          </xdr:spPr>
          <xdr:style>
            <a:lnRef idx="0"/>
            <a:fillRef idx="0"/>
            <a:effectRef idx="0"/>
            <a:fontRef idx="minor"/>
          </xdr:style>
          <xdr:txBody>
            <a:bodyPr numCol="1" spcCol="0" lIns="0" rIns="0" tIns="0" bIns="0" anchor="t">
              <a:noAutofit/>
            </a:bodyPr>
            <a:p>
              <a:pPr algn="ctr">
                <a:lnSpc>
                  <a:spcPct val="100000"/>
                </a:lnSpc>
              </a:pPr>
              <a:r>
                <a:rPr b="0" lang="en-US" sz="900" spc="-1" strike="noStrike">
                  <a:solidFill>
                    <a:srgbClr val="000000"/>
                  </a:solidFill>
                  <a:latin typeface="Arial"/>
                  <a:ea typeface="Times New Roman"/>
                </a:rPr>
                <a:t>Tramo 7</a:t>
              </a:r>
              <a:endParaRPr b="0" lang="en-GB" sz="900" spc="-1" strike="noStrike">
                <a:latin typeface="Times New Roman"/>
              </a:endParaRPr>
            </a:p>
          </xdr:txBody>
        </xdr:sp>
        <xdr:sp>
          <xdr:nvSpPr>
            <xdr:cNvPr id="2338" name="AutoShape 164"/>
            <xdr:cNvSpPr/>
          </xdr:nvSpPr>
          <xdr:spPr>
            <a:xfrm>
              <a:off x="32804280" y="446220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339" name="Elipse 853"/>
            <xdr:cNvSpPr/>
          </xdr:nvSpPr>
          <xdr:spPr>
            <a:xfrm>
              <a:off x="32826240" y="4752000"/>
              <a:ext cx="52200" cy="49320"/>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340" name="Rectangle 131"/>
            <xdr:cNvSpPr/>
          </xdr:nvSpPr>
          <xdr:spPr>
            <a:xfrm>
              <a:off x="32137920" y="4557240"/>
              <a:ext cx="560880" cy="190080"/>
            </a:xfrm>
            <a:prstGeom prst="rect">
              <a:avLst/>
            </a:prstGeom>
            <a:noFill/>
            <a:ln w="9525">
              <a:noFill/>
            </a:ln>
          </xdr:spPr>
          <xdr:style>
            <a:lnRef idx="0"/>
            <a:fillRef idx="0"/>
            <a:effectRef idx="0"/>
            <a:fontRef idx="minor"/>
          </xdr:style>
          <xdr:txBody>
            <a:bodyPr numCol="1" spcCol="0" lIns="0" rIns="0" tIns="0" bIns="0" anchor="t">
              <a:noAutofit/>
            </a:bodyPr>
            <a:p>
              <a:pPr algn="ctr">
                <a:lnSpc>
                  <a:spcPct val="100000"/>
                </a:lnSpc>
              </a:pPr>
              <a:r>
                <a:rPr b="0" lang="en-US" sz="900" spc="-1" strike="noStrike">
                  <a:solidFill>
                    <a:srgbClr val="000000"/>
                  </a:solidFill>
                  <a:latin typeface="Arial"/>
                  <a:ea typeface="Times New Roman"/>
                </a:rPr>
                <a:t>Tramo 5</a:t>
              </a:r>
              <a:endParaRPr b="0" lang="en-GB" sz="900" spc="-1" strike="noStrike">
                <a:latin typeface="Times New Roman"/>
              </a:endParaRPr>
            </a:p>
          </xdr:txBody>
        </xdr:sp>
        <xdr:sp>
          <xdr:nvSpPr>
            <xdr:cNvPr id="2341" name="Line 167"/>
            <xdr:cNvSpPr/>
          </xdr:nvSpPr>
          <xdr:spPr>
            <a:xfrm>
              <a:off x="32851080" y="4764240"/>
              <a:ext cx="360" cy="500760"/>
            </a:xfrm>
            <a:prstGeom prst="line">
              <a:avLst/>
            </a:prstGeom>
            <a:ln w="12700">
              <a:solidFill>
                <a:srgbClr val="ff0000"/>
              </a:solidFill>
              <a:round/>
            </a:ln>
          </xdr:spPr>
          <xdr:style>
            <a:lnRef idx="0"/>
            <a:fillRef idx="0"/>
            <a:effectRef idx="0"/>
            <a:fontRef idx="minor"/>
          </xdr:style>
        </xdr:sp>
        <xdr:sp>
          <xdr:nvSpPr>
            <xdr:cNvPr id="2342" name="Line 167"/>
            <xdr:cNvSpPr/>
          </xdr:nvSpPr>
          <xdr:spPr>
            <a:xfrm>
              <a:off x="33146640" y="4801320"/>
              <a:ext cx="360" cy="277560"/>
            </a:xfrm>
            <a:prstGeom prst="line">
              <a:avLst/>
            </a:prstGeom>
            <a:ln w="12700">
              <a:solidFill>
                <a:srgbClr val="ff0000"/>
              </a:solidFill>
              <a:round/>
            </a:ln>
          </xdr:spPr>
          <xdr:style>
            <a:lnRef idx="0"/>
            <a:fillRef idx="0"/>
            <a:effectRef idx="0"/>
            <a:fontRef idx="minor"/>
          </xdr:style>
        </xdr:sp>
        <xdr:sp>
          <xdr:nvSpPr>
            <xdr:cNvPr id="2343" name="Line 136"/>
            <xdr:cNvSpPr/>
          </xdr:nvSpPr>
          <xdr:spPr>
            <a:xfrm flipV="1">
              <a:off x="29270880" y="7147800"/>
              <a:ext cx="770400" cy="720"/>
            </a:xfrm>
            <a:prstGeom prst="line">
              <a:avLst/>
            </a:prstGeom>
            <a:ln w="25400">
              <a:solidFill>
                <a:srgbClr val="ff0000"/>
              </a:solidFill>
              <a:round/>
            </a:ln>
          </xdr:spPr>
          <xdr:style>
            <a:lnRef idx="0"/>
            <a:fillRef idx="0"/>
            <a:effectRef idx="0"/>
            <a:fontRef idx="minor"/>
          </xdr:style>
        </xdr:sp>
        <xdr:sp>
          <xdr:nvSpPr>
            <xdr:cNvPr id="2344" name="Text Box 150"/>
            <xdr:cNvSpPr/>
          </xdr:nvSpPr>
          <xdr:spPr>
            <a:xfrm>
              <a:off x="29202120" y="7164000"/>
              <a:ext cx="1131120" cy="20844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Jouktai110 kV</a:t>
              </a:r>
              <a:endParaRPr b="0" lang="en-GB" sz="900" spc="-1" strike="noStrike">
                <a:latin typeface="Times New Roman"/>
              </a:endParaRPr>
            </a:p>
          </xdr:txBody>
        </xdr:sp>
        <xdr:sp>
          <xdr:nvSpPr>
            <xdr:cNvPr id="2345" name="Text Box 159"/>
            <xdr:cNvSpPr/>
          </xdr:nvSpPr>
          <xdr:spPr>
            <a:xfrm>
              <a:off x="27441720" y="5858640"/>
              <a:ext cx="1033560" cy="21924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Uribia 110 kV</a:t>
              </a:r>
              <a:endParaRPr b="0" lang="en-GB" sz="900" spc="-1" strike="noStrike">
                <a:latin typeface="Times New Roman"/>
              </a:endParaRPr>
            </a:p>
          </xdr:txBody>
        </xdr:sp>
        <xdr:sp>
          <xdr:nvSpPr>
            <xdr:cNvPr id="2346" name="Line 160"/>
            <xdr:cNvSpPr/>
          </xdr:nvSpPr>
          <xdr:spPr>
            <a:xfrm>
              <a:off x="29660760" y="2855880"/>
              <a:ext cx="360" cy="3083760"/>
            </a:xfrm>
            <a:prstGeom prst="line">
              <a:avLst/>
            </a:prstGeom>
            <a:ln w="12700">
              <a:solidFill>
                <a:srgbClr val="ff0000"/>
              </a:solidFill>
              <a:round/>
            </a:ln>
          </xdr:spPr>
          <xdr:style>
            <a:lnRef idx="0"/>
            <a:fillRef idx="0"/>
            <a:effectRef idx="0"/>
            <a:fontRef idx="minor"/>
          </xdr:style>
        </xdr:sp>
        <xdr:sp>
          <xdr:nvSpPr>
            <xdr:cNvPr id="2347" name="Line 160"/>
            <xdr:cNvSpPr/>
          </xdr:nvSpPr>
          <xdr:spPr>
            <a:xfrm>
              <a:off x="28446120" y="5526720"/>
              <a:ext cx="360" cy="912600"/>
            </a:xfrm>
            <a:prstGeom prst="line">
              <a:avLst/>
            </a:prstGeom>
            <a:ln w="25400">
              <a:solidFill>
                <a:srgbClr val="ff0000"/>
              </a:solidFill>
              <a:round/>
            </a:ln>
          </xdr:spPr>
          <xdr:style>
            <a:lnRef idx="0"/>
            <a:fillRef idx="0"/>
            <a:effectRef idx="0"/>
            <a:fontRef idx="minor"/>
          </xdr:style>
        </xdr:sp>
        <xdr:sp>
          <xdr:nvSpPr>
            <xdr:cNvPr id="2348" name="AutoShape 175"/>
            <xdr:cNvSpPr/>
          </xdr:nvSpPr>
          <xdr:spPr>
            <a:xfrm>
              <a:off x="29604240" y="293688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349" name="AutoShape 174"/>
            <xdr:cNvSpPr/>
          </xdr:nvSpPr>
          <xdr:spPr>
            <a:xfrm>
              <a:off x="29619000" y="699660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350" name="AutoShape 173"/>
            <xdr:cNvSpPr/>
          </xdr:nvSpPr>
          <xdr:spPr>
            <a:xfrm>
              <a:off x="28582560" y="588744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351" name="AutoShape 173"/>
            <xdr:cNvSpPr/>
          </xdr:nvSpPr>
          <xdr:spPr>
            <a:xfrm>
              <a:off x="28603080" y="620532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352" name="Elipse 866"/>
            <xdr:cNvSpPr/>
          </xdr:nvSpPr>
          <xdr:spPr>
            <a:xfrm>
              <a:off x="29633400" y="5908680"/>
              <a:ext cx="52200" cy="49320"/>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353" name="Line 167"/>
            <xdr:cNvSpPr/>
          </xdr:nvSpPr>
          <xdr:spPr>
            <a:xfrm flipH="1">
              <a:off x="28446480" y="5943240"/>
              <a:ext cx="1197000" cy="360"/>
            </a:xfrm>
            <a:prstGeom prst="line">
              <a:avLst/>
            </a:prstGeom>
            <a:ln w="12700">
              <a:solidFill>
                <a:srgbClr val="ff0000"/>
              </a:solidFill>
              <a:prstDash val="dash"/>
              <a:round/>
            </a:ln>
          </xdr:spPr>
          <xdr:style>
            <a:lnRef idx="0"/>
            <a:fillRef idx="0"/>
            <a:effectRef idx="0"/>
            <a:fontRef idx="minor"/>
          </xdr:style>
        </xdr:sp>
        <xdr:sp>
          <xdr:nvSpPr>
            <xdr:cNvPr id="2354" name="Line 167"/>
            <xdr:cNvSpPr/>
          </xdr:nvSpPr>
          <xdr:spPr>
            <a:xfrm flipH="1">
              <a:off x="28442160" y="6246000"/>
              <a:ext cx="1212480" cy="360"/>
            </a:xfrm>
            <a:prstGeom prst="line">
              <a:avLst/>
            </a:prstGeom>
            <a:ln w="12700">
              <a:solidFill>
                <a:srgbClr val="ff0000"/>
              </a:solidFill>
              <a:prstDash val="dash"/>
              <a:round/>
            </a:ln>
          </xdr:spPr>
          <xdr:style>
            <a:lnRef idx="0"/>
            <a:fillRef idx="0"/>
            <a:effectRef idx="0"/>
            <a:fontRef idx="minor"/>
          </xdr:style>
        </xdr:sp>
        <xdr:sp>
          <xdr:nvSpPr>
            <xdr:cNvPr id="2355" name="Line 160"/>
            <xdr:cNvSpPr/>
          </xdr:nvSpPr>
          <xdr:spPr>
            <a:xfrm>
              <a:off x="29660400" y="6245640"/>
              <a:ext cx="360" cy="918000"/>
            </a:xfrm>
            <a:prstGeom prst="line">
              <a:avLst/>
            </a:prstGeom>
            <a:ln w="12700">
              <a:solidFill>
                <a:srgbClr val="ff0000"/>
              </a:solidFill>
              <a:round/>
            </a:ln>
          </xdr:spPr>
          <xdr:style>
            <a:lnRef idx="0"/>
            <a:fillRef idx="0"/>
            <a:effectRef idx="0"/>
            <a:fontRef idx="minor"/>
          </xdr:style>
        </xdr:sp>
        <xdr:sp>
          <xdr:nvSpPr>
            <xdr:cNvPr id="2356" name="Elipse 870"/>
            <xdr:cNvSpPr/>
          </xdr:nvSpPr>
          <xdr:spPr>
            <a:xfrm>
              <a:off x="29641680" y="6216120"/>
              <a:ext cx="52200" cy="49320"/>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357" name="Line 167"/>
            <xdr:cNvSpPr/>
          </xdr:nvSpPr>
          <xdr:spPr>
            <a:xfrm flipH="1">
              <a:off x="28440720" y="5667480"/>
              <a:ext cx="511560" cy="360"/>
            </a:xfrm>
            <a:prstGeom prst="line">
              <a:avLst/>
            </a:prstGeom>
            <a:ln w="12700">
              <a:solidFill>
                <a:srgbClr val="ff0000"/>
              </a:solidFill>
              <a:prstDash val="dash"/>
              <a:round/>
            </a:ln>
          </xdr:spPr>
          <xdr:style>
            <a:lnRef idx="0"/>
            <a:fillRef idx="0"/>
            <a:effectRef idx="0"/>
            <a:fontRef idx="minor"/>
          </xdr:style>
        </xdr:sp>
        <xdr:sp>
          <xdr:nvSpPr>
            <xdr:cNvPr id="2358" name="Line 167"/>
            <xdr:cNvSpPr/>
          </xdr:nvSpPr>
          <xdr:spPr>
            <a:xfrm flipV="1">
              <a:off x="28942560" y="4508640"/>
              <a:ext cx="360" cy="1171080"/>
            </a:xfrm>
            <a:prstGeom prst="line">
              <a:avLst/>
            </a:prstGeom>
            <a:ln w="12700">
              <a:solidFill>
                <a:srgbClr val="ff0000"/>
              </a:solidFill>
              <a:prstDash val="dash"/>
              <a:round/>
            </a:ln>
          </xdr:spPr>
          <xdr:style>
            <a:lnRef idx="0"/>
            <a:fillRef idx="0"/>
            <a:effectRef idx="0"/>
            <a:fontRef idx="minor"/>
          </xdr:style>
        </xdr:sp>
        <xdr:sp>
          <xdr:nvSpPr>
            <xdr:cNvPr id="2359" name="AutoShape 175"/>
            <xdr:cNvSpPr/>
          </xdr:nvSpPr>
          <xdr:spPr>
            <a:xfrm>
              <a:off x="28892880" y="458820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360" name="AutoShape 173"/>
            <xdr:cNvSpPr/>
          </xdr:nvSpPr>
          <xdr:spPr>
            <a:xfrm>
              <a:off x="28576800" y="5628960"/>
              <a:ext cx="91440" cy="8676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361" name="Rectangle 131"/>
            <xdr:cNvSpPr/>
          </xdr:nvSpPr>
          <xdr:spPr>
            <a:xfrm>
              <a:off x="29070720" y="5703120"/>
              <a:ext cx="544680" cy="147600"/>
            </a:xfrm>
            <a:prstGeom prst="rect">
              <a:avLst/>
            </a:prstGeom>
            <a:noFill/>
            <a:ln w="9525">
              <a:noFill/>
            </a:ln>
          </xdr:spPr>
          <xdr:style>
            <a:lnRef idx="0"/>
            <a:fillRef idx="0"/>
            <a:effectRef idx="0"/>
            <a:fontRef idx="minor"/>
          </xdr:style>
          <xdr:txBody>
            <a:bodyPr numCol="1" spcCol="0" lIns="0" rIns="0" tIns="0" bIns="0" anchor="t">
              <a:noAutofit/>
            </a:bodyPr>
            <a:p>
              <a:pPr algn="ctr">
                <a:lnSpc>
                  <a:spcPct val="100000"/>
                </a:lnSpc>
              </a:pPr>
              <a:r>
                <a:rPr b="0" lang="en-US" sz="900" spc="-1" strike="noStrike">
                  <a:solidFill>
                    <a:srgbClr val="000000"/>
                  </a:solidFill>
                  <a:latin typeface="Arial"/>
                  <a:ea typeface="Times New Roman"/>
                </a:rPr>
                <a:t>Tramo 1</a:t>
              </a:r>
              <a:endParaRPr b="0" lang="en-GB" sz="900" spc="-1" strike="noStrike">
                <a:latin typeface="Times New Roman"/>
              </a:endParaRPr>
            </a:p>
          </xdr:txBody>
        </xdr:sp>
        <xdr:sp>
          <xdr:nvSpPr>
            <xdr:cNvPr id="2362" name="Rectangle 131"/>
            <xdr:cNvSpPr/>
          </xdr:nvSpPr>
          <xdr:spPr>
            <a:xfrm>
              <a:off x="29088720" y="6354000"/>
              <a:ext cx="544680" cy="147600"/>
            </a:xfrm>
            <a:prstGeom prst="rect">
              <a:avLst/>
            </a:prstGeom>
            <a:noFill/>
            <a:ln w="9525">
              <a:noFill/>
            </a:ln>
          </xdr:spPr>
          <xdr:style>
            <a:lnRef idx="0"/>
            <a:fillRef idx="0"/>
            <a:effectRef idx="0"/>
            <a:fontRef idx="minor"/>
          </xdr:style>
          <xdr:txBody>
            <a:bodyPr numCol="1" spcCol="0" lIns="0" rIns="0" tIns="0" bIns="0" anchor="t">
              <a:noAutofit/>
            </a:bodyPr>
            <a:p>
              <a:pPr algn="ctr">
                <a:lnSpc>
                  <a:spcPct val="100000"/>
                </a:lnSpc>
              </a:pPr>
              <a:r>
                <a:rPr b="0" lang="en-US" sz="900" spc="-1" strike="noStrike">
                  <a:solidFill>
                    <a:srgbClr val="000000"/>
                  </a:solidFill>
                  <a:latin typeface="Arial"/>
                  <a:ea typeface="Times New Roman"/>
                </a:rPr>
                <a:t>Tramo 2</a:t>
              </a:r>
              <a:endParaRPr b="0" lang="en-GB" sz="900" spc="-1" strike="noStrike">
                <a:latin typeface="Times New Roman"/>
              </a:endParaRPr>
            </a:p>
          </xdr:txBody>
        </xdr:sp>
      </xdr:grpSp>
    </xdr:grpSp>
    <xdr:clientData/>
  </xdr:twoCellAnchor>
  <xdr:twoCellAnchor editAs="twoCell">
    <xdr:from>
      <xdr:col>4</xdr:col>
      <xdr:colOff>58320</xdr:colOff>
      <xdr:row>8</xdr:row>
      <xdr:rowOff>86760</xdr:rowOff>
    </xdr:from>
    <xdr:to>
      <xdr:col>19</xdr:col>
      <xdr:colOff>678600</xdr:colOff>
      <xdr:row>39</xdr:row>
      <xdr:rowOff>152640</xdr:rowOff>
    </xdr:to>
    <xdr:grpSp>
      <xdr:nvGrpSpPr>
        <xdr:cNvPr id="2363" name="Grupo 949"/>
        <xdr:cNvGrpSpPr/>
      </xdr:nvGrpSpPr>
      <xdr:grpSpPr>
        <a:xfrm>
          <a:off x="3411000" y="1772640"/>
          <a:ext cx="13193280" cy="5971320"/>
          <a:chOff x="3411000" y="1772640"/>
          <a:chExt cx="13193280" cy="5971320"/>
        </a:xfrm>
      </xdr:grpSpPr>
      <xdr:sp>
        <xdr:nvSpPr>
          <xdr:cNvPr id="2364" name="CuadroTexto 950"/>
          <xdr:cNvSpPr/>
        </xdr:nvSpPr>
        <xdr:spPr>
          <a:xfrm>
            <a:off x="16003080" y="7134120"/>
            <a:ext cx="507600" cy="245520"/>
          </a:xfrm>
          <a:prstGeom prst="rect">
            <a:avLst/>
          </a:prstGeom>
          <a:noFill/>
          <a:ln w="0">
            <a:noFill/>
          </a:ln>
        </xdr:spPr>
        <xdr:style>
          <a:lnRef idx="0"/>
          <a:fillRef idx="0"/>
          <a:effectRef idx="0"/>
          <a:fontRef idx="minor"/>
        </xdr:style>
        <xdr:txBody>
          <a:bodyPr wrap="none" horzOverflow="clip" vertOverflow="clip" lIns="90000" rIns="90000" tIns="45000" bIns="45000" anchor="t">
            <a:spAutoFit/>
          </a:bodyPr>
          <a:p>
            <a:pPr>
              <a:lnSpc>
                <a:spcPct val="100000"/>
              </a:lnSpc>
            </a:pPr>
            <a:r>
              <a:rPr b="0" lang="es-CO" sz="900" spc="-1" strike="noStrike">
                <a:solidFill>
                  <a:srgbClr val="000000"/>
                </a:solidFill>
                <a:latin typeface="Calibri"/>
              </a:rPr>
              <a:t>220kV</a:t>
            </a:r>
            <a:endParaRPr b="0" lang="en-GB" sz="900" spc="-1" strike="noStrike">
              <a:latin typeface="Times New Roman"/>
            </a:endParaRPr>
          </a:p>
        </xdr:txBody>
      </xdr:sp>
      <xdr:sp>
        <xdr:nvSpPr>
          <xdr:cNvPr id="2365" name="CuadroTexto 951"/>
          <xdr:cNvSpPr/>
        </xdr:nvSpPr>
        <xdr:spPr>
          <a:xfrm>
            <a:off x="15992640" y="7315200"/>
            <a:ext cx="507600" cy="245520"/>
          </a:xfrm>
          <a:prstGeom prst="rect">
            <a:avLst/>
          </a:prstGeom>
          <a:noFill/>
          <a:ln w="0">
            <a:noFill/>
          </a:ln>
        </xdr:spPr>
        <xdr:style>
          <a:lnRef idx="0"/>
          <a:fillRef idx="0"/>
          <a:effectRef idx="0"/>
          <a:fontRef idx="minor"/>
        </xdr:style>
        <xdr:txBody>
          <a:bodyPr wrap="none" horzOverflow="clip" vertOverflow="clip" lIns="90000" rIns="90000" tIns="45000" bIns="45000" anchor="t">
            <a:spAutoFit/>
          </a:bodyPr>
          <a:p>
            <a:pPr>
              <a:lnSpc>
                <a:spcPct val="100000"/>
              </a:lnSpc>
            </a:pPr>
            <a:r>
              <a:rPr b="0" lang="es-CO" sz="900" spc="-1" strike="noStrike">
                <a:solidFill>
                  <a:srgbClr val="000000"/>
                </a:solidFill>
                <a:latin typeface="Calibri"/>
              </a:rPr>
              <a:t>110kV</a:t>
            </a:r>
            <a:endParaRPr b="0" lang="en-GB" sz="900" spc="-1" strike="noStrike">
              <a:latin typeface="Times New Roman"/>
            </a:endParaRPr>
          </a:p>
        </xdr:txBody>
      </xdr:sp>
      <xdr:sp>
        <xdr:nvSpPr>
          <xdr:cNvPr id="2366" name="CuadroTexto 952"/>
          <xdr:cNvSpPr/>
        </xdr:nvSpPr>
        <xdr:spPr>
          <a:xfrm>
            <a:off x="15982560" y="7477200"/>
            <a:ext cx="538200" cy="245520"/>
          </a:xfrm>
          <a:prstGeom prst="rect">
            <a:avLst/>
          </a:prstGeom>
          <a:noFill/>
          <a:ln w="0">
            <a:noFill/>
          </a:ln>
        </xdr:spPr>
        <xdr:style>
          <a:lnRef idx="0"/>
          <a:fillRef idx="0"/>
          <a:effectRef idx="0"/>
          <a:fontRef idx="minor"/>
        </xdr:style>
        <xdr:txBody>
          <a:bodyPr wrap="none" horzOverflow="clip" vertOverflow="clip" lIns="90000" rIns="90000" tIns="45000" bIns="45000" anchor="t">
            <a:spAutoFit/>
          </a:bodyPr>
          <a:p>
            <a:pPr>
              <a:lnSpc>
                <a:spcPct val="100000"/>
              </a:lnSpc>
            </a:pPr>
            <a:r>
              <a:rPr b="0" lang="es-CO" sz="900" spc="-1" strike="noStrike">
                <a:solidFill>
                  <a:srgbClr val="000000"/>
                </a:solidFill>
                <a:latin typeface="Calibri"/>
              </a:rPr>
              <a:t>34,5kV</a:t>
            </a:r>
            <a:endParaRPr b="0" lang="en-GB" sz="900" spc="-1" strike="noStrike">
              <a:latin typeface="Times New Roman"/>
            </a:endParaRPr>
          </a:p>
        </xdr:txBody>
      </xdr:sp>
      <xdr:sp>
        <xdr:nvSpPr>
          <xdr:cNvPr id="2367" name="Rectángulo 953"/>
          <xdr:cNvSpPr/>
        </xdr:nvSpPr>
        <xdr:spPr>
          <a:xfrm>
            <a:off x="15348240" y="7093800"/>
            <a:ext cx="1256040" cy="650160"/>
          </a:xfrm>
          <a:prstGeom prst="rect">
            <a:avLst/>
          </a:prstGeom>
          <a:noFill/>
          <a:ln>
            <a:solidFill>
              <a:srgbClr val="1d3155"/>
            </a:solidFill>
          </a:ln>
        </xdr:spPr>
        <xdr:style>
          <a:lnRef idx="2">
            <a:schemeClr val="accent1">
              <a:shade val="15000"/>
            </a:schemeClr>
          </a:lnRef>
          <a:fillRef idx="1">
            <a:schemeClr val="accent1"/>
          </a:fillRef>
          <a:effectRef idx="0">
            <a:schemeClr val="accent1"/>
          </a:effectRef>
          <a:fontRef idx="minor"/>
        </xdr:style>
      </xdr:sp>
      <xdr:cxnSp>
        <xdr:nvCxnSpPr>
          <xdr:cNvPr id="2368" name="Conector recto 954"/>
          <xdr:cNvCxnSpPr/>
        </xdr:nvCxnSpPr>
        <xdr:spPr>
          <a:xfrm>
            <a:off x="15474240" y="7424280"/>
            <a:ext cx="532080" cy="360"/>
          </a:xfrm>
          <a:prstGeom prst="straightConnector1">
            <a:avLst/>
          </a:prstGeom>
          <a:ln w="25400">
            <a:solidFill>
              <a:srgbClr val="ff0000"/>
            </a:solidFill>
          </a:ln>
        </xdr:spPr>
      </xdr:cxnSp>
      <xdr:cxnSp>
        <xdr:nvCxnSpPr>
          <xdr:cNvPr id="2369" name="Conector recto 955"/>
          <xdr:cNvCxnSpPr/>
        </xdr:nvCxnSpPr>
        <xdr:spPr>
          <a:xfrm>
            <a:off x="15473880" y="7257960"/>
            <a:ext cx="532080" cy="360"/>
          </a:xfrm>
          <a:prstGeom prst="straightConnector1">
            <a:avLst/>
          </a:prstGeom>
          <a:ln w="25400">
            <a:solidFill>
              <a:srgbClr val="0000ff"/>
            </a:solidFill>
            <a:round/>
          </a:ln>
        </xdr:spPr>
      </xdr:cxnSp>
      <xdr:cxnSp>
        <xdr:nvCxnSpPr>
          <xdr:cNvPr id="2370" name="Conector recto 956"/>
          <xdr:cNvCxnSpPr/>
        </xdr:nvCxnSpPr>
        <xdr:spPr>
          <a:xfrm>
            <a:off x="15473520" y="7585920"/>
            <a:ext cx="532080" cy="360"/>
          </a:xfrm>
          <a:prstGeom prst="straightConnector1">
            <a:avLst/>
          </a:prstGeom>
          <a:ln w="25400">
            <a:solidFill>
              <a:srgbClr val="ffcc00"/>
            </a:solidFill>
            <a:round/>
          </a:ln>
        </xdr:spPr>
      </xdr:cxnSp>
      <xdr:cxnSp>
        <xdr:nvCxnSpPr>
          <xdr:cNvPr id="2371" name="AutoShape 5"/>
          <xdr:cNvCxnSpPr/>
        </xdr:nvCxnSpPr>
        <xdr:spPr>
          <a:xfrm>
            <a:off x="5549040" y="2031840"/>
            <a:ext cx="3859200" cy="360"/>
          </a:xfrm>
          <a:prstGeom prst="straightConnector1">
            <a:avLst/>
          </a:prstGeom>
          <a:ln w="25400">
            <a:solidFill>
              <a:srgbClr val="0000ff"/>
            </a:solidFill>
            <a:round/>
          </a:ln>
        </xdr:spPr>
      </xdr:cxnSp>
      <xdr:sp>
        <xdr:nvSpPr>
          <xdr:cNvPr id="2372" name="Line 146"/>
          <xdr:cNvSpPr/>
        </xdr:nvSpPr>
        <xdr:spPr>
          <a:xfrm>
            <a:off x="5946840" y="2031840"/>
            <a:ext cx="360" cy="358560"/>
          </a:xfrm>
          <a:prstGeom prst="line">
            <a:avLst/>
          </a:prstGeom>
          <a:ln w="25400">
            <a:solidFill>
              <a:srgbClr val="0000ff"/>
            </a:solidFill>
            <a:round/>
          </a:ln>
        </xdr:spPr>
        <xdr:style>
          <a:lnRef idx="0"/>
          <a:fillRef idx="0"/>
          <a:effectRef idx="0"/>
          <a:fontRef idx="minor"/>
        </xdr:style>
      </xdr:sp>
      <xdr:grpSp>
        <xdr:nvGrpSpPr>
          <xdr:cNvPr id="2373" name="Group 139"/>
          <xdr:cNvGrpSpPr/>
        </xdr:nvGrpSpPr>
        <xdr:grpSpPr>
          <a:xfrm>
            <a:off x="8766000" y="2413800"/>
            <a:ext cx="328680" cy="425520"/>
            <a:chOff x="8766000" y="2413800"/>
            <a:chExt cx="328680" cy="425520"/>
          </a:xfrm>
        </xdr:grpSpPr>
        <xdr:sp>
          <xdr:nvSpPr>
            <xdr:cNvPr id="2374" name="Oval 140"/>
            <xdr:cNvSpPr/>
          </xdr:nvSpPr>
          <xdr:spPr>
            <a:xfrm>
              <a:off x="8766000" y="2413800"/>
              <a:ext cx="328680" cy="284760"/>
            </a:xfrm>
            <a:prstGeom prst="ellipse">
              <a:avLst/>
            </a:prstGeom>
            <a:noFill/>
            <a:ln w="12700">
              <a:solidFill>
                <a:srgbClr val="0000ff"/>
              </a:solidFill>
              <a:round/>
            </a:ln>
          </xdr:spPr>
          <xdr:style>
            <a:lnRef idx="0"/>
            <a:fillRef idx="0"/>
            <a:effectRef idx="0"/>
            <a:fontRef idx="minor"/>
          </xdr:style>
        </xdr:sp>
        <xdr:sp>
          <xdr:nvSpPr>
            <xdr:cNvPr id="2375" name="Oval 141"/>
            <xdr:cNvSpPr/>
          </xdr:nvSpPr>
          <xdr:spPr>
            <a:xfrm>
              <a:off x="8766000" y="2554560"/>
              <a:ext cx="328680" cy="284760"/>
            </a:xfrm>
            <a:prstGeom prst="ellipse">
              <a:avLst/>
            </a:prstGeom>
            <a:noFill/>
            <a:ln w="12700">
              <a:solidFill>
                <a:srgbClr val="ff0000"/>
              </a:solidFill>
              <a:round/>
            </a:ln>
          </xdr:spPr>
          <xdr:style>
            <a:lnRef idx="0"/>
            <a:fillRef idx="0"/>
            <a:effectRef idx="0"/>
            <a:fontRef idx="minor"/>
          </xdr:style>
        </xdr:sp>
      </xdr:grpSp>
      <xdr:sp>
        <xdr:nvSpPr>
          <xdr:cNvPr id="2376" name="Line 11"/>
          <xdr:cNvSpPr/>
        </xdr:nvSpPr>
        <xdr:spPr>
          <a:xfrm>
            <a:off x="8928720" y="2835000"/>
            <a:ext cx="360" cy="323640"/>
          </a:xfrm>
          <a:prstGeom prst="line">
            <a:avLst/>
          </a:prstGeom>
          <a:ln w="25400">
            <a:solidFill>
              <a:srgbClr val="ff0000"/>
            </a:solidFill>
            <a:round/>
          </a:ln>
        </xdr:spPr>
        <xdr:style>
          <a:lnRef idx="0"/>
          <a:fillRef idx="0"/>
          <a:effectRef idx="0"/>
          <a:fontRef idx="minor"/>
        </xdr:style>
      </xdr:sp>
      <xdr:grpSp>
        <xdr:nvGrpSpPr>
          <xdr:cNvPr id="2377" name="Group 173"/>
          <xdr:cNvGrpSpPr/>
        </xdr:nvGrpSpPr>
        <xdr:grpSpPr>
          <a:xfrm>
            <a:off x="8893800" y="2468160"/>
            <a:ext cx="511200" cy="351720"/>
            <a:chOff x="8893800" y="2468160"/>
            <a:chExt cx="511200" cy="351720"/>
          </a:xfrm>
        </xdr:grpSpPr>
        <xdr:sp>
          <xdr:nvSpPr>
            <xdr:cNvPr id="2378" name="Oval 174"/>
            <xdr:cNvSpPr/>
          </xdr:nvSpPr>
          <xdr:spPr>
            <a:xfrm>
              <a:off x="8893800" y="2534040"/>
              <a:ext cx="328680" cy="285840"/>
            </a:xfrm>
            <a:prstGeom prst="ellipse">
              <a:avLst/>
            </a:prstGeom>
            <a:noFill/>
            <a:ln w="12700">
              <a:solidFill>
                <a:srgbClr val="ffcc00"/>
              </a:solidFill>
              <a:round/>
            </a:ln>
          </xdr:spPr>
          <xdr:style>
            <a:lnRef idx="0"/>
            <a:fillRef idx="0"/>
            <a:effectRef idx="0"/>
            <a:fontRef idx="minor"/>
          </xdr:style>
        </xdr:sp>
        <xdr:sp>
          <xdr:nvSpPr>
            <xdr:cNvPr id="2379" name="Line 175"/>
            <xdr:cNvSpPr/>
          </xdr:nvSpPr>
          <xdr:spPr>
            <a:xfrm>
              <a:off x="9404640" y="2468160"/>
              <a:ext cx="360" cy="313200"/>
            </a:xfrm>
            <a:prstGeom prst="line">
              <a:avLst/>
            </a:prstGeom>
            <a:ln w="25400">
              <a:solidFill>
                <a:srgbClr val="ffcc00"/>
              </a:solidFill>
              <a:round/>
            </a:ln>
          </xdr:spPr>
          <xdr:style>
            <a:lnRef idx="0"/>
            <a:fillRef idx="0"/>
            <a:effectRef idx="0"/>
            <a:fontRef idx="minor"/>
          </xdr:style>
        </xdr:sp>
        <xdr:sp>
          <xdr:nvSpPr>
            <xdr:cNvPr id="2380" name="Line 176"/>
            <xdr:cNvSpPr/>
          </xdr:nvSpPr>
          <xdr:spPr>
            <a:xfrm>
              <a:off x="9230040" y="2652840"/>
              <a:ext cx="174600" cy="360"/>
            </a:xfrm>
            <a:prstGeom prst="line">
              <a:avLst/>
            </a:prstGeom>
            <a:ln w="25400">
              <a:solidFill>
                <a:srgbClr val="ff9900"/>
              </a:solidFill>
              <a:round/>
            </a:ln>
          </xdr:spPr>
          <xdr:style>
            <a:lnRef idx="0"/>
            <a:fillRef idx="0"/>
            <a:effectRef idx="0"/>
            <a:fontRef idx="minor"/>
          </xdr:style>
        </xdr:sp>
      </xdr:grpSp>
      <xdr:grpSp>
        <xdr:nvGrpSpPr>
          <xdr:cNvPr id="2381" name="Group 139"/>
          <xdr:cNvGrpSpPr/>
        </xdr:nvGrpSpPr>
        <xdr:grpSpPr>
          <a:xfrm>
            <a:off x="6869880" y="2400120"/>
            <a:ext cx="329040" cy="424800"/>
            <a:chOff x="6869880" y="2400120"/>
            <a:chExt cx="329040" cy="424800"/>
          </a:xfrm>
        </xdr:grpSpPr>
        <xdr:sp>
          <xdr:nvSpPr>
            <xdr:cNvPr id="2382" name="Oval 140"/>
            <xdr:cNvSpPr/>
          </xdr:nvSpPr>
          <xdr:spPr>
            <a:xfrm>
              <a:off x="6869880" y="2400120"/>
              <a:ext cx="329040" cy="285120"/>
            </a:xfrm>
            <a:prstGeom prst="ellipse">
              <a:avLst/>
            </a:prstGeom>
            <a:noFill/>
            <a:ln w="12700">
              <a:solidFill>
                <a:srgbClr val="0000ff"/>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sp>
          <xdr:nvSpPr>
            <xdr:cNvPr id="2383" name="Oval 141"/>
            <xdr:cNvSpPr/>
          </xdr:nvSpPr>
          <xdr:spPr>
            <a:xfrm>
              <a:off x="6869880" y="2539800"/>
              <a:ext cx="329040" cy="285120"/>
            </a:xfrm>
            <a:prstGeom prst="ellipse">
              <a:avLst/>
            </a:prstGeom>
            <a:noFill/>
            <a:ln w="12700">
              <a:solidFill>
                <a:srgbClr val="ff0000"/>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grpSp>
      <xdr:sp>
        <xdr:nvSpPr>
          <xdr:cNvPr id="2384" name="Line 20"/>
          <xdr:cNvSpPr/>
        </xdr:nvSpPr>
        <xdr:spPr>
          <a:xfrm>
            <a:off x="7032600" y="2820600"/>
            <a:ext cx="360" cy="351000"/>
          </a:xfrm>
          <a:prstGeom prst="line">
            <a:avLst/>
          </a:prstGeom>
          <a:ln w="25400">
            <a:solidFill>
              <a:srgbClr val="ff0000"/>
            </a:solidFill>
            <a:round/>
          </a:ln>
        </xdr:spPr>
        <xdr:style>
          <a:lnRef idx="0"/>
          <a:fillRef idx="0"/>
          <a:effectRef idx="0"/>
          <a:fontRef idx="minor"/>
        </xdr:style>
      </xdr:sp>
      <xdr:grpSp>
        <xdr:nvGrpSpPr>
          <xdr:cNvPr id="2385" name="Group 173"/>
          <xdr:cNvGrpSpPr/>
        </xdr:nvGrpSpPr>
        <xdr:grpSpPr>
          <a:xfrm>
            <a:off x="6998040" y="2475000"/>
            <a:ext cx="511920" cy="316800"/>
            <a:chOff x="6998040" y="2475000"/>
            <a:chExt cx="511920" cy="316800"/>
          </a:xfrm>
        </xdr:grpSpPr>
        <xdr:sp>
          <xdr:nvSpPr>
            <xdr:cNvPr id="2386" name="Oval 174"/>
            <xdr:cNvSpPr/>
          </xdr:nvSpPr>
          <xdr:spPr>
            <a:xfrm>
              <a:off x="6998040" y="2506680"/>
              <a:ext cx="329400" cy="285120"/>
            </a:xfrm>
            <a:prstGeom prst="ellipse">
              <a:avLst/>
            </a:prstGeom>
            <a:noFill/>
            <a:ln w="12700">
              <a:solidFill>
                <a:srgbClr val="ffcc00"/>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sp>
          <xdr:nvSpPr>
            <xdr:cNvPr id="2387" name="Line 175"/>
            <xdr:cNvSpPr/>
          </xdr:nvSpPr>
          <xdr:spPr>
            <a:xfrm>
              <a:off x="7509600" y="2475000"/>
              <a:ext cx="360" cy="313920"/>
            </a:xfrm>
            <a:prstGeom prst="line">
              <a:avLst/>
            </a:prstGeom>
            <a:ln w="25400">
              <a:solidFill>
                <a:srgbClr val="ffcc00"/>
              </a:solidFill>
              <a:round/>
            </a:ln>
          </xdr:spPr>
          <xdr:style>
            <a:lnRef idx="0"/>
            <a:fillRef idx="0"/>
            <a:effectRef idx="0"/>
            <a:fontRef idx="minor"/>
          </xdr:style>
        </xdr:sp>
        <xdr:sp>
          <xdr:nvSpPr>
            <xdr:cNvPr id="2388" name="Line 176"/>
            <xdr:cNvSpPr/>
          </xdr:nvSpPr>
          <xdr:spPr>
            <a:xfrm>
              <a:off x="7334640" y="2625840"/>
              <a:ext cx="174960" cy="360"/>
            </a:xfrm>
            <a:prstGeom prst="line">
              <a:avLst/>
            </a:prstGeom>
            <a:ln w="25400">
              <a:solidFill>
                <a:srgbClr val="ff9900"/>
              </a:solidFill>
              <a:round/>
            </a:ln>
          </xdr:spPr>
          <xdr:style>
            <a:lnRef idx="0"/>
            <a:fillRef idx="0"/>
            <a:effectRef idx="0"/>
            <a:fontRef idx="minor"/>
          </xdr:style>
        </xdr:sp>
      </xdr:grpSp>
      <xdr:grpSp>
        <xdr:nvGrpSpPr>
          <xdr:cNvPr id="2389" name="Group 139"/>
          <xdr:cNvGrpSpPr/>
        </xdr:nvGrpSpPr>
        <xdr:grpSpPr>
          <a:xfrm>
            <a:off x="5783760" y="2413800"/>
            <a:ext cx="329040" cy="425520"/>
            <a:chOff x="5783760" y="2413800"/>
            <a:chExt cx="329040" cy="425520"/>
          </a:xfrm>
        </xdr:grpSpPr>
        <xdr:sp>
          <xdr:nvSpPr>
            <xdr:cNvPr id="2390" name="Oval 140"/>
            <xdr:cNvSpPr/>
          </xdr:nvSpPr>
          <xdr:spPr>
            <a:xfrm>
              <a:off x="5783760" y="2413800"/>
              <a:ext cx="329040" cy="284760"/>
            </a:xfrm>
            <a:prstGeom prst="ellipse">
              <a:avLst/>
            </a:prstGeom>
            <a:noFill/>
            <a:ln w="12700">
              <a:solidFill>
                <a:srgbClr val="0000ff"/>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sp>
          <xdr:nvSpPr>
            <xdr:cNvPr id="2391" name="Oval 141"/>
            <xdr:cNvSpPr/>
          </xdr:nvSpPr>
          <xdr:spPr>
            <a:xfrm>
              <a:off x="5783760" y="2554560"/>
              <a:ext cx="329040" cy="284760"/>
            </a:xfrm>
            <a:prstGeom prst="ellipse">
              <a:avLst/>
            </a:prstGeom>
            <a:noFill/>
            <a:ln w="12700">
              <a:solidFill>
                <a:srgbClr val="ff0000"/>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grpSp>
      <xdr:sp>
        <xdr:nvSpPr>
          <xdr:cNvPr id="2392" name="Line 29"/>
          <xdr:cNvSpPr/>
        </xdr:nvSpPr>
        <xdr:spPr>
          <a:xfrm>
            <a:off x="5946840" y="2843640"/>
            <a:ext cx="360" cy="336600"/>
          </a:xfrm>
          <a:prstGeom prst="line">
            <a:avLst/>
          </a:prstGeom>
          <a:ln w="25400">
            <a:solidFill>
              <a:srgbClr val="ff0000"/>
            </a:solidFill>
            <a:round/>
          </a:ln>
        </xdr:spPr>
        <xdr:style>
          <a:lnRef idx="0"/>
          <a:fillRef idx="0"/>
          <a:effectRef idx="0"/>
          <a:fontRef idx="minor"/>
        </xdr:style>
      </xdr:sp>
      <xdr:grpSp>
        <xdr:nvGrpSpPr>
          <xdr:cNvPr id="2393" name="Group 173"/>
          <xdr:cNvGrpSpPr/>
        </xdr:nvGrpSpPr>
        <xdr:grpSpPr>
          <a:xfrm>
            <a:off x="5911920" y="2489040"/>
            <a:ext cx="511920" cy="316440"/>
            <a:chOff x="5911920" y="2489040"/>
            <a:chExt cx="511920" cy="316440"/>
          </a:xfrm>
        </xdr:grpSpPr>
        <xdr:sp>
          <xdr:nvSpPr>
            <xdr:cNvPr id="2394" name="Oval 174"/>
            <xdr:cNvSpPr/>
          </xdr:nvSpPr>
          <xdr:spPr>
            <a:xfrm>
              <a:off x="5911920" y="2520720"/>
              <a:ext cx="329400" cy="284760"/>
            </a:xfrm>
            <a:prstGeom prst="ellipse">
              <a:avLst/>
            </a:prstGeom>
            <a:noFill/>
            <a:ln w="12700">
              <a:solidFill>
                <a:srgbClr val="ffcc00"/>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sp>
          <xdr:nvSpPr>
            <xdr:cNvPr id="2395" name="Line 175"/>
            <xdr:cNvSpPr/>
          </xdr:nvSpPr>
          <xdr:spPr>
            <a:xfrm>
              <a:off x="6423480" y="2489040"/>
              <a:ext cx="360" cy="313560"/>
            </a:xfrm>
            <a:prstGeom prst="line">
              <a:avLst/>
            </a:prstGeom>
            <a:ln w="25400">
              <a:solidFill>
                <a:srgbClr val="ffcc00"/>
              </a:solidFill>
              <a:round/>
            </a:ln>
          </xdr:spPr>
          <xdr:style>
            <a:lnRef idx="0"/>
            <a:fillRef idx="0"/>
            <a:effectRef idx="0"/>
            <a:fontRef idx="minor"/>
          </xdr:style>
        </xdr:sp>
        <xdr:sp>
          <xdr:nvSpPr>
            <xdr:cNvPr id="2396" name="Line 176"/>
            <xdr:cNvSpPr/>
          </xdr:nvSpPr>
          <xdr:spPr>
            <a:xfrm>
              <a:off x="6248880" y="2639520"/>
              <a:ext cx="174600" cy="360"/>
            </a:xfrm>
            <a:prstGeom prst="line">
              <a:avLst/>
            </a:prstGeom>
            <a:ln w="25400">
              <a:solidFill>
                <a:srgbClr val="ff9900"/>
              </a:solidFill>
              <a:round/>
            </a:ln>
          </xdr:spPr>
          <xdr:style>
            <a:lnRef idx="0"/>
            <a:fillRef idx="0"/>
            <a:effectRef idx="0"/>
            <a:fontRef idx="minor"/>
          </xdr:style>
        </xdr:sp>
      </xdr:grpSp>
      <xdr:sp>
        <xdr:nvSpPr>
          <xdr:cNvPr id="2397" name="Line 34"/>
          <xdr:cNvSpPr/>
        </xdr:nvSpPr>
        <xdr:spPr>
          <a:xfrm>
            <a:off x="7014240" y="2030400"/>
            <a:ext cx="360" cy="358560"/>
          </a:xfrm>
          <a:prstGeom prst="line">
            <a:avLst/>
          </a:prstGeom>
          <a:ln w="25400">
            <a:solidFill>
              <a:srgbClr val="0000ff"/>
            </a:solidFill>
            <a:round/>
          </a:ln>
        </xdr:spPr>
        <xdr:style>
          <a:lnRef idx="0"/>
          <a:fillRef idx="0"/>
          <a:effectRef idx="0"/>
          <a:fontRef idx="minor"/>
        </xdr:style>
      </xdr:sp>
      <xdr:sp>
        <xdr:nvSpPr>
          <xdr:cNvPr id="2398" name="Line 35"/>
          <xdr:cNvSpPr/>
        </xdr:nvSpPr>
        <xdr:spPr>
          <a:xfrm>
            <a:off x="8929080" y="2040480"/>
            <a:ext cx="360" cy="358920"/>
          </a:xfrm>
          <a:prstGeom prst="line">
            <a:avLst/>
          </a:prstGeom>
          <a:ln w="25400">
            <a:solidFill>
              <a:srgbClr val="0000ff"/>
            </a:solidFill>
            <a:round/>
          </a:ln>
        </xdr:spPr>
        <xdr:style>
          <a:lnRef idx="0"/>
          <a:fillRef idx="0"/>
          <a:effectRef idx="0"/>
          <a:fontRef idx="minor"/>
        </xdr:style>
      </xdr:sp>
      <xdr:cxnSp>
        <xdr:nvCxnSpPr>
          <xdr:cNvPr id="2399" name="AutoShape 36"/>
          <xdr:cNvCxnSpPr/>
        </xdr:nvCxnSpPr>
        <xdr:spPr>
          <a:xfrm>
            <a:off x="5589360" y="3165120"/>
            <a:ext cx="3880440" cy="360"/>
          </a:xfrm>
          <a:prstGeom prst="straightConnector1">
            <a:avLst/>
          </a:prstGeom>
          <a:ln w="25400">
            <a:solidFill>
              <a:srgbClr val="ff0000"/>
            </a:solidFill>
            <a:round/>
          </a:ln>
        </xdr:spPr>
      </xdr:cxnSp>
      <xdr:sp>
        <xdr:nvSpPr>
          <xdr:cNvPr id="2400" name="Text Box 40"/>
          <xdr:cNvSpPr/>
        </xdr:nvSpPr>
        <xdr:spPr>
          <a:xfrm>
            <a:off x="6944760" y="1772640"/>
            <a:ext cx="1680480" cy="28404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Calibri"/>
              </a:rPr>
              <a:t>Cuestecitas 220 kV</a:t>
            </a:r>
            <a:endParaRPr b="0" lang="en-GB" sz="1050" spc="-1" strike="noStrike">
              <a:latin typeface="Times New Roman"/>
            </a:endParaRPr>
          </a:p>
          <a:p>
            <a:pPr>
              <a:lnSpc>
                <a:spcPct val="100000"/>
              </a:lnSpc>
            </a:pPr>
            <a:endParaRPr b="0" lang="en-GB" sz="1050" spc="-1" strike="noStrike">
              <a:latin typeface="Times New Roman"/>
            </a:endParaRPr>
          </a:p>
        </xdr:txBody>
      </xdr:sp>
      <xdr:sp>
        <xdr:nvSpPr>
          <xdr:cNvPr id="2401" name="Text Box 41"/>
          <xdr:cNvSpPr/>
        </xdr:nvSpPr>
        <xdr:spPr>
          <a:xfrm>
            <a:off x="5260320" y="3162960"/>
            <a:ext cx="1680480" cy="28404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Calibri"/>
              </a:rPr>
              <a:t>Cuestecitas 110 kV</a:t>
            </a:r>
            <a:endParaRPr b="0" lang="en-GB" sz="1050" spc="-1" strike="noStrike">
              <a:latin typeface="Times New Roman"/>
            </a:endParaRPr>
          </a:p>
          <a:p>
            <a:pPr>
              <a:lnSpc>
                <a:spcPct val="100000"/>
              </a:lnSpc>
            </a:pPr>
            <a:endParaRPr b="0" lang="en-GB" sz="1050" spc="-1" strike="noStrike">
              <a:latin typeface="Times New Roman"/>
            </a:endParaRPr>
          </a:p>
        </xdr:txBody>
      </xdr:sp>
      <xdr:sp>
        <xdr:nvSpPr>
          <xdr:cNvPr id="2402" name="Line 45"/>
          <xdr:cNvSpPr/>
        </xdr:nvSpPr>
        <xdr:spPr>
          <a:xfrm>
            <a:off x="6316560" y="5058360"/>
            <a:ext cx="873000" cy="360"/>
          </a:xfrm>
          <a:prstGeom prst="line">
            <a:avLst/>
          </a:prstGeom>
          <a:ln w="25400">
            <a:solidFill>
              <a:srgbClr val="ff0000"/>
            </a:solidFill>
            <a:round/>
          </a:ln>
        </xdr:spPr>
        <xdr:style>
          <a:lnRef idx="0"/>
          <a:fillRef idx="0"/>
          <a:effectRef idx="0"/>
          <a:fontRef idx="minor"/>
        </xdr:style>
      </xdr:sp>
      <xdr:sp>
        <xdr:nvSpPr>
          <xdr:cNvPr id="2403" name="Text Box 62"/>
          <xdr:cNvSpPr/>
        </xdr:nvSpPr>
        <xdr:spPr>
          <a:xfrm>
            <a:off x="5191560" y="2366280"/>
            <a:ext cx="597960" cy="47376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Calibri"/>
              </a:rPr>
              <a:t>100</a:t>
            </a:r>
            <a:endParaRPr b="0" lang="en-GB" sz="1050" spc="-1" strike="noStrike">
              <a:latin typeface="Times New Roman"/>
            </a:endParaRPr>
          </a:p>
          <a:p>
            <a:pPr>
              <a:lnSpc>
                <a:spcPct val="100000"/>
              </a:lnSpc>
            </a:pPr>
            <a:r>
              <a:rPr b="0" lang="es-CO" sz="1050" spc="-1" strike="noStrike">
                <a:solidFill>
                  <a:srgbClr val="40637a"/>
                </a:solidFill>
                <a:latin typeface="Calibri"/>
              </a:rPr>
              <a:t>MVA</a:t>
            </a:r>
            <a:endParaRPr b="0" lang="en-GB" sz="1050" spc="-1" strike="noStrike">
              <a:latin typeface="Times New Roman"/>
            </a:endParaRPr>
          </a:p>
          <a:p>
            <a:pPr>
              <a:lnSpc>
                <a:spcPct val="100000"/>
              </a:lnSpc>
            </a:pPr>
            <a:endParaRPr b="0" lang="en-GB" sz="1050" spc="-1" strike="noStrike">
              <a:latin typeface="Times New Roman"/>
            </a:endParaRPr>
          </a:p>
        </xdr:txBody>
      </xdr:sp>
      <xdr:grpSp>
        <xdr:nvGrpSpPr>
          <xdr:cNvPr id="2404" name="Group 139"/>
          <xdr:cNvGrpSpPr/>
        </xdr:nvGrpSpPr>
        <xdr:grpSpPr>
          <a:xfrm>
            <a:off x="7657560" y="2400120"/>
            <a:ext cx="329040" cy="419040"/>
            <a:chOff x="7657560" y="2400120"/>
            <a:chExt cx="329040" cy="419040"/>
          </a:xfrm>
        </xdr:grpSpPr>
        <xdr:sp>
          <xdr:nvSpPr>
            <xdr:cNvPr id="2405" name="Oval 140"/>
            <xdr:cNvSpPr/>
          </xdr:nvSpPr>
          <xdr:spPr>
            <a:xfrm>
              <a:off x="7657560" y="2400120"/>
              <a:ext cx="329040" cy="280080"/>
            </a:xfrm>
            <a:prstGeom prst="ellipse">
              <a:avLst/>
            </a:prstGeom>
            <a:noFill/>
            <a:ln w="12700">
              <a:solidFill>
                <a:srgbClr val="0000ff"/>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sp>
          <xdr:nvSpPr>
            <xdr:cNvPr id="2406" name="Oval 141"/>
            <xdr:cNvSpPr/>
          </xdr:nvSpPr>
          <xdr:spPr>
            <a:xfrm>
              <a:off x="7657560" y="2539080"/>
              <a:ext cx="329040" cy="280080"/>
            </a:xfrm>
            <a:prstGeom prst="ellipse">
              <a:avLst/>
            </a:prstGeom>
            <a:noFill/>
            <a:ln w="12700">
              <a:solidFill>
                <a:srgbClr val="ff0000"/>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grpSp>
      <xdr:grpSp>
        <xdr:nvGrpSpPr>
          <xdr:cNvPr id="2407" name="Group 173"/>
          <xdr:cNvGrpSpPr/>
        </xdr:nvGrpSpPr>
        <xdr:grpSpPr>
          <a:xfrm>
            <a:off x="7785720" y="2473560"/>
            <a:ext cx="511920" cy="327960"/>
            <a:chOff x="7785720" y="2473560"/>
            <a:chExt cx="511920" cy="327960"/>
          </a:xfrm>
        </xdr:grpSpPr>
        <xdr:sp>
          <xdr:nvSpPr>
            <xdr:cNvPr id="2408" name="Oval 174"/>
            <xdr:cNvSpPr/>
          </xdr:nvSpPr>
          <xdr:spPr>
            <a:xfrm>
              <a:off x="7785720" y="2520000"/>
              <a:ext cx="329400" cy="281520"/>
            </a:xfrm>
            <a:prstGeom prst="ellipse">
              <a:avLst/>
            </a:prstGeom>
            <a:noFill/>
            <a:ln w="12700">
              <a:solidFill>
                <a:srgbClr val="ffcc00"/>
              </a:solidFill>
              <a:round/>
            </a:ln>
          </xdr:spPr>
          <xdr:style>
            <a:lnRef idx="0"/>
            <a:fillRef idx="0"/>
            <a:effectRef idx="0"/>
            <a:fontRef idx="minor"/>
          </xdr:style>
          <xdr:txBody>
            <a:bodyPr vertOverflow="clip" anchor="t" upright="1">
              <a:noAutofit/>
            </a:bodyPr>
            <a:p>
              <a:pPr>
                <a:lnSpc>
                  <a:spcPct val="100000"/>
                </a:lnSpc>
              </a:pPr>
              <a:endParaRPr b="0" lang="en-GB" sz="3200" spc="-1" strike="noStrike">
                <a:latin typeface="Times New Roman"/>
              </a:endParaRPr>
            </a:p>
            <a:p>
              <a:pPr>
                <a:lnSpc>
                  <a:spcPct val="100000"/>
                </a:lnSpc>
              </a:pPr>
              <a:endParaRPr b="0" lang="en-GB" sz="3200" spc="-1" strike="noStrike">
                <a:latin typeface="Times New Roman"/>
              </a:endParaRPr>
            </a:p>
          </xdr:txBody>
        </xdr:sp>
        <xdr:sp>
          <xdr:nvSpPr>
            <xdr:cNvPr id="2409" name="Line 175"/>
            <xdr:cNvSpPr/>
          </xdr:nvSpPr>
          <xdr:spPr>
            <a:xfrm>
              <a:off x="8297280" y="2473560"/>
              <a:ext cx="360" cy="308160"/>
            </a:xfrm>
            <a:prstGeom prst="line">
              <a:avLst/>
            </a:prstGeom>
            <a:ln w="25400">
              <a:solidFill>
                <a:srgbClr val="ffcc00"/>
              </a:solidFill>
              <a:round/>
            </a:ln>
          </xdr:spPr>
          <xdr:style>
            <a:lnRef idx="0"/>
            <a:fillRef idx="0"/>
            <a:effectRef idx="0"/>
            <a:fontRef idx="minor"/>
          </xdr:style>
        </xdr:sp>
        <xdr:sp>
          <xdr:nvSpPr>
            <xdr:cNvPr id="2410" name="Line 176"/>
            <xdr:cNvSpPr/>
          </xdr:nvSpPr>
          <xdr:spPr>
            <a:xfrm>
              <a:off x="8122680" y="2637000"/>
              <a:ext cx="174600" cy="360"/>
            </a:xfrm>
            <a:prstGeom prst="line">
              <a:avLst/>
            </a:prstGeom>
            <a:ln w="25400">
              <a:solidFill>
                <a:srgbClr val="ff9900"/>
              </a:solidFill>
              <a:round/>
            </a:ln>
          </xdr:spPr>
          <xdr:style>
            <a:lnRef idx="0"/>
            <a:fillRef idx="0"/>
            <a:effectRef idx="0"/>
            <a:fontRef idx="minor"/>
          </xdr:style>
        </xdr:sp>
      </xdr:grpSp>
      <xdr:sp>
        <xdr:nvSpPr>
          <xdr:cNvPr id="2411" name="Line 73"/>
          <xdr:cNvSpPr/>
        </xdr:nvSpPr>
        <xdr:spPr>
          <a:xfrm>
            <a:off x="7824600" y="2051640"/>
            <a:ext cx="360" cy="358560"/>
          </a:xfrm>
          <a:prstGeom prst="line">
            <a:avLst/>
          </a:prstGeom>
          <a:ln cap="rnd" w="25400">
            <a:solidFill>
              <a:srgbClr val="0000ff"/>
            </a:solidFill>
            <a:round/>
          </a:ln>
        </xdr:spPr>
        <xdr:style>
          <a:lnRef idx="0"/>
          <a:fillRef idx="0"/>
          <a:effectRef idx="0"/>
          <a:fontRef idx="minor"/>
        </xdr:style>
      </xdr:sp>
      <xdr:sp>
        <xdr:nvSpPr>
          <xdr:cNvPr id="2412" name="Line 75"/>
          <xdr:cNvSpPr/>
        </xdr:nvSpPr>
        <xdr:spPr>
          <a:xfrm flipV="1">
            <a:off x="7840080" y="2831040"/>
            <a:ext cx="360" cy="313200"/>
          </a:xfrm>
          <a:prstGeom prst="line">
            <a:avLst/>
          </a:prstGeom>
          <a:ln cap="rnd" w="25400">
            <a:solidFill>
              <a:srgbClr val="ff0000"/>
            </a:solidFill>
            <a:round/>
          </a:ln>
        </xdr:spPr>
        <xdr:style>
          <a:lnRef idx="0"/>
          <a:fillRef idx="0"/>
          <a:effectRef idx="0"/>
          <a:fontRef idx="minor"/>
        </xdr:style>
      </xdr:sp>
      <xdr:sp>
        <xdr:nvSpPr>
          <xdr:cNvPr id="2413" name="Text Box 76"/>
          <xdr:cNvSpPr/>
        </xdr:nvSpPr>
        <xdr:spPr>
          <a:xfrm>
            <a:off x="6378840" y="2352960"/>
            <a:ext cx="575280" cy="55620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Calibri"/>
              </a:rPr>
              <a:t>  </a:t>
            </a:r>
            <a:r>
              <a:rPr b="0" lang="es-CO" sz="1050" spc="-1" strike="noStrike">
                <a:solidFill>
                  <a:srgbClr val="40637a"/>
                </a:solidFill>
                <a:latin typeface="Calibri"/>
              </a:rPr>
              <a:t>60</a:t>
            </a:r>
            <a:endParaRPr b="0" lang="en-GB" sz="1050" spc="-1" strike="noStrike">
              <a:latin typeface="Times New Roman"/>
            </a:endParaRPr>
          </a:p>
          <a:p>
            <a:pPr>
              <a:lnSpc>
                <a:spcPct val="100000"/>
              </a:lnSpc>
            </a:pPr>
            <a:r>
              <a:rPr b="0" lang="es-CO" sz="1050" spc="-1" strike="noStrike">
                <a:solidFill>
                  <a:srgbClr val="40637a"/>
                </a:solidFill>
                <a:latin typeface="Calibri"/>
              </a:rPr>
              <a:t>MVA</a:t>
            </a:r>
            <a:endParaRPr b="0" lang="en-GB" sz="1050" spc="-1" strike="noStrike">
              <a:latin typeface="Times New Roman"/>
            </a:endParaRPr>
          </a:p>
          <a:p>
            <a:pPr>
              <a:lnSpc>
                <a:spcPct val="100000"/>
              </a:lnSpc>
            </a:pPr>
            <a:endParaRPr b="0" lang="en-GB" sz="1050" spc="-1" strike="noStrike">
              <a:latin typeface="Times New Roman"/>
            </a:endParaRPr>
          </a:p>
        </xdr:txBody>
      </xdr:sp>
      <xdr:sp>
        <xdr:nvSpPr>
          <xdr:cNvPr id="2414" name="Text Box 78"/>
          <xdr:cNvSpPr/>
        </xdr:nvSpPr>
        <xdr:spPr>
          <a:xfrm>
            <a:off x="9504360" y="2427480"/>
            <a:ext cx="515880" cy="41652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Calibri"/>
              </a:rPr>
              <a:t>100</a:t>
            </a:r>
            <a:endParaRPr b="0" lang="en-GB" sz="1050" spc="-1" strike="noStrike">
              <a:latin typeface="Times New Roman"/>
            </a:endParaRPr>
          </a:p>
          <a:p>
            <a:pPr>
              <a:lnSpc>
                <a:spcPct val="100000"/>
              </a:lnSpc>
            </a:pPr>
            <a:r>
              <a:rPr b="0" lang="es-CO" sz="1050" spc="-1" strike="noStrike">
                <a:solidFill>
                  <a:srgbClr val="40637a"/>
                </a:solidFill>
                <a:latin typeface="Calibri"/>
              </a:rPr>
              <a:t>MVA</a:t>
            </a:r>
            <a:endParaRPr b="0" lang="en-GB" sz="1050" spc="-1" strike="noStrike">
              <a:latin typeface="Times New Roman"/>
            </a:endParaRPr>
          </a:p>
          <a:p>
            <a:pPr>
              <a:lnSpc>
                <a:spcPct val="100000"/>
              </a:lnSpc>
            </a:pPr>
            <a:endParaRPr b="0" lang="en-GB" sz="1050" spc="-1" strike="noStrike">
              <a:latin typeface="Times New Roman"/>
            </a:endParaRPr>
          </a:p>
        </xdr:txBody>
      </xdr:sp>
      <xdr:sp>
        <xdr:nvSpPr>
          <xdr:cNvPr id="2415" name="379 Rectángulo redondeado"/>
          <xdr:cNvSpPr/>
        </xdr:nvSpPr>
        <xdr:spPr>
          <a:xfrm>
            <a:off x="5898240" y="2106360"/>
            <a:ext cx="93960" cy="89280"/>
          </a:xfrm>
          <a:prstGeom prst="roundRect">
            <a:avLst>
              <a:gd name="adj" fmla="val 16667"/>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xdr:style>
      </xdr:sp>
      <xdr:sp>
        <xdr:nvSpPr>
          <xdr:cNvPr id="2416" name="380 Rectángulo redondeado"/>
          <xdr:cNvSpPr/>
        </xdr:nvSpPr>
        <xdr:spPr>
          <a:xfrm>
            <a:off x="6963840" y="2115360"/>
            <a:ext cx="93960" cy="89280"/>
          </a:xfrm>
          <a:prstGeom prst="roundRect">
            <a:avLst>
              <a:gd name="adj" fmla="val 16667"/>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xdr:style>
      </xdr:sp>
      <xdr:sp>
        <xdr:nvSpPr>
          <xdr:cNvPr id="2417" name="381 Rectángulo redondeado"/>
          <xdr:cNvSpPr/>
        </xdr:nvSpPr>
        <xdr:spPr>
          <a:xfrm>
            <a:off x="8881200" y="2106360"/>
            <a:ext cx="93960" cy="89280"/>
          </a:xfrm>
          <a:prstGeom prst="roundRect">
            <a:avLst>
              <a:gd name="adj" fmla="val 16667"/>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xdr:style>
      </xdr:sp>
      <xdr:sp>
        <xdr:nvSpPr>
          <xdr:cNvPr id="2418" name="382 Rectángulo redondeado"/>
          <xdr:cNvSpPr/>
        </xdr:nvSpPr>
        <xdr:spPr>
          <a:xfrm>
            <a:off x="5898240" y="2991600"/>
            <a:ext cx="93960" cy="8928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419" name="383 Rectángulo redondeado"/>
          <xdr:cNvSpPr/>
        </xdr:nvSpPr>
        <xdr:spPr>
          <a:xfrm>
            <a:off x="6982920" y="3009960"/>
            <a:ext cx="93960" cy="8928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420" name="384 Rectángulo redondeado"/>
          <xdr:cNvSpPr/>
        </xdr:nvSpPr>
        <xdr:spPr>
          <a:xfrm>
            <a:off x="8881200" y="3000960"/>
            <a:ext cx="93960" cy="8928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nvGrpSpPr>
          <xdr:cNvPr id="2421" name="Group 48"/>
          <xdr:cNvGrpSpPr/>
        </xdr:nvGrpSpPr>
        <xdr:grpSpPr>
          <a:xfrm>
            <a:off x="6525000" y="4721400"/>
            <a:ext cx="270720" cy="324000"/>
            <a:chOff x="6525000" y="4721400"/>
            <a:chExt cx="270720" cy="324000"/>
          </a:xfrm>
        </xdr:grpSpPr>
        <xdr:sp>
          <xdr:nvSpPr>
            <xdr:cNvPr id="2422" name="Line 257"/>
            <xdr:cNvSpPr/>
          </xdr:nvSpPr>
          <xdr:spPr>
            <a:xfrm>
              <a:off x="6648480" y="4832640"/>
              <a:ext cx="360" cy="212760"/>
            </a:xfrm>
            <a:prstGeom prst="line">
              <a:avLst/>
            </a:prstGeom>
            <a:ln w="15875">
              <a:solidFill>
                <a:srgbClr val="ff0000"/>
              </a:solidFill>
              <a:round/>
            </a:ln>
          </xdr:spPr>
          <xdr:style>
            <a:lnRef idx="0"/>
            <a:fillRef idx="0"/>
            <a:effectRef idx="0"/>
            <a:fontRef idx="minor"/>
          </xdr:style>
        </xdr:sp>
        <xdr:sp>
          <xdr:nvSpPr>
            <xdr:cNvPr id="2423" name="Line 257"/>
            <xdr:cNvSpPr/>
          </xdr:nvSpPr>
          <xdr:spPr>
            <a:xfrm>
              <a:off x="6525000" y="4831920"/>
              <a:ext cx="258840" cy="720"/>
            </a:xfrm>
            <a:prstGeom prst="line">
              <a:avLst/>
            </a:prstGeom>
            <a:ln w="15875">
              <a:solidFill>
                <a:srgbClr val="ff0000"/>
              </a:solidFill>
              <a:round/>
            </a:ln>
          </xdr:spPr>
          <xdr:style>
            <a:lnRef idx="0"/>
            <a:fillRef idx="0"/>
            <a:effectRef idx="0"/>
            <a:fontRef idx="minor"/>
          </xdr:style>
        </xdr:sp>
        <xdr:sp>
          <xdr:nvSpPr>
            <xdr:cNvPr id="2424" name="Line 257"/>
            <xdr:cNvSpPr/>
          </xdr:nvSpPr>
          <xdr:spPr>
            <a:xfrm>
              <a:off x="6656760" y="4721400"/>
              <a:ext cx="720" cy="64800"/>
            </a:xfrm>
            <a:prstGeom prst="line">
              <a:avLst/>
            </a:prstGeom>
            <a:ln w="15875">
              <a:solidFill>
                <a:srgbClr val="ff0000"/>
              </a:solidFill>
              <a:round/>
            </a:ln>
          </xdr:spPr>
          <xdr:style>
            <a:lnRef idx="0"/>
            <a:fillRef idx="0"/>
            <a:effectRef idx="0"/>
            <a:fontRef idx="minor"/>
          </xdr:style>
        </xdr:sp>
        <xdr:sp>
          <xdr:nvSpPr>
            <xdr:cNvPr id="2425" name="Line 257"/>
            <xdr:cNvSpPr/>
          </xdr:nvSpPr>
          <xdr:spPr>
            <a:xfrm>
              <a:off x="6559200" y="4725360"/>
              <a:ext cx="186480" cy="720"/>
            </a:xfrm>
            <a:prstGeom prst="line">
              <a:avLst/>
            </a:prstGeom>
            <a:ln w="15875">
              <a:solidFill>
                <a:srgbClr val="ff0000"/>
              </a:solidFill>
              <a:round/>
            </a:ln>
          </xdr:spPr>
          <xdr:style>
            <a:lnRef idx="0"/>
            <a:fillRef idx="0"/>
            <a:effectRef idx="0"/>
            <a:fontRef idx="minor"/>
          </xdr:style>
        </xdr:sp>
        <xdr:sp>
          <xdr:nvSpPr>
            <xdr:cNvPr id="2426" name="Line 257"/>
            <xdr:cNvSpPr/>
          </xdr:nvSpPr>
          <xdr:spPr>
            <a:xfrm>
              <a:off x="6536880" y="4786200"/>
              <a:ext cx="258840" cy="720"/>
            </a:xfrm>
            <a:prstGeom prst="line">
              <a:avLst/>
            </a:prstGeom>
            <a:ln w="15875">
              <a:solidFill>
                <a:srgbClr val="ff0000"/>
              </a:solidFill>
              <a:round/>
            </a:ln>
          </xdr:spPr>
          <xdr:style>
            <a:lnRef idx="0"/>
            <a:fillRef idx="0"/>
            <a:effectRef idx="0"/>
            <a:fontRef idx="minor"/>
          </xdr:style>
        </xdr:sp>
      </xdr:grpSp>
      <xdr:sp>
        <xdr:nvSpPr>
          <xdr:cNvPr id="2427" name="391 Rectángulo redondeado"/>
          <xdr:cNvSpPr/>
        </xdr:nvSpPr>
        <xdr:spPr>
          <a:xfrm>
            <a:off x="6599880" y="4898880"/>
            <a:ext cx="93960" cy="8928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428" name="381 Rectángulo redondeado"/>
          <xdr:cNvSpPr/>
        </xdr:nvSpPr>
        <xdr:spPr>
          <a:xfrm>
            <a:off x="7779960" y="2106360"/>
            <a:ext cx="93960" cy="89280"/>
          </a:xfrm>
          <a:prstGeom prst="roundRect">
            <a:avLst>
              <a:gd name="adj" fmla="val 16667"/>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xdr:style>
      </xdr:sp>
      <xdr:sp>
        <xdr:nvSpPr>
          <xdr:cNvPr id="2429" name="384 Rectángulo redondeado"/>
          <xdr:cNvSpPr/>
        </xdr:nvSpPr>
        <xdr:spPr>
          <a:xfrm>
            <a:off x="7794720" y="3000960"/>
            <a:ext cx="93960" cy="8928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430" name="Text Box 76"/>
          <xdr:cNvSpPr/>
        </xdr:nvSpPr>
        <xdr:spPr>
          <a:xfrm>
            <a:off x="8264160" y="2435760"/>
            <a:ext cx="515160" cy="44460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Calibri"/>
              </a:rPr>
              <a:t>  </a:t>
            </a:r>
            <a:r>
              <a:rPr b="0" lang="es-CO" sz="1050" spc="-1" strike="noStrike">
                <a:solidFill>
                  <a:srgbClr val="40637a"/>
                </a:solidFill>
                <a:latin typeface="Calibri"/>
              </a:rPr>
              <a:t>40</a:t>
            </a:r>
            <a:endParaRPr b="0" lang="en-GB" sz="1050" spc="-1" strike="noStrike">
              <a:latin typeface="Times New Roman"/>
            </a:endParaRPr>
          </a:p>
          <a:p>
            <a:pPr>
              <a:lnSpc>
                <a:spcPct val="100000"/>
              </a:lnSpc>
            </a:pPr>
            <a:r>
              <a:rPr b="0" lang="es-CO" sz="1050" spc="-1" strike="noStrike">
                <a:solidFill>
                  <a:srgbClr val="40637a"/>
                </a:solidFill>
                <a:latin typeface="Calibri"/>
              </a:rPr>
              <a:t>MVA</a:t>
            </a:r>
            <a:endParaRPr b="0" lang="en-GB" sz="1050" spc="-1" strike="noStrike">
              <a:latin typeface="Times New Roman"/>
            </a:endParaRPr>
          </a:p>
          <a:p>
            <a:pPr>
              <a:lnSpc>
                <a:spcPct val="100000"/>
              </a:lnSpc>
            </a:pPr>
            <a:endParaRPr b="0" lang="en-GB" sz="1050" spc="-1" strike="noStrike">
              <a:latin typeface="Times New Roman"/>
            </a:endParaRPr>
          </a:p>
        </xdr:txBody>
      </xdr:sp>
      <xdr:sp>
        <xdr:nvSpPr>
          <xdr:cNvPr id="2431" name="AutoShape 244"/>
          <xdr:cNvSpPr/>
        </xdr:nvSpPr>
        <xdr:spPr>
          <a:xfrm>
            <a:off x="10383480" y="2034360"/>
            <a:ext cx="4494960" cy="5411520"/>
          </a:xfrm>
          <a:prstGeom prst="rect">
            <a:avLst/>
          </a:prstGeom>
          <a:noFill/>
          <a:ln w="0">
            <a:noFill/>
          </a:ln>
        </xdr:spPr>
        <xdr:style>
          <a:lnRef idx="0"/>
          <a:fillRef idx="0"/>
          <a:effectRef idx="0"/>
          <a:fontRef idx="minor"/>
        </xdr:style>
      </xdr:sp>
      <xdr:sp>
        <xdr:nvSpPr>
          <xdr:cNvPr id="2432" name="Line 136"/>
          <xdr:cNvSpPr/>
        </xdr:nvSpPr>
        <xdr:spPr>
          <a:xfrm flipV="1">
            <a:off x="10721520" y="3800880"/>
            <a:ext cx="799920" cy="720"/>
          </a:xfrm>
          <a:prstGeom prst="line">
            <a:avLst/>
          </a:prstGeom>
          <a:ln w="25400">
            <a:solidFill>
              <a:srgbClr val="ff0000"/>
            </a:solidFill>
            <a:round/>
          </a:ln>
        </xdr:spPr>
        <xdr:style>
          <a:lnRef idx="0"/>
          <a:fillRef idx="0"/>
          <a:effectRef idx="0"/>
          <a:fontRef idx="minor"/>
        </xdr:style>
      </xdr:sp>
      <xdr:sp>
        <xdr:nvSpPr>
          <xdr:cNvPr id="2433" name="Oval 140"/>
          <xdr:cNvSpPr/>
        </xdr:nvSpPr>
        <xdr:spPr>
          <a:xfrm>
            <a:off x="11693520" y="2226600"/>
            <a:ext cx="266760" cy="232200"/>
          </a:xfrm>
          <a:prstGeom prst="ellipse">
            <a:avLst/>
          </a:prstGeom>
          <a:noFill/>
          <a:ln w="12700">
            <a:solidFill>
              <a:srgbClr val="0000ff"/>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434" name="Oval 141"/>
          <xdr:cNvSpPr/>
        </xdr:nvSpPr>
        <xdr:spPr>
          <a:xfrm>
            <a:off x="11693520" y="2341440"/>
            <a:ext cx="266760" cy="232200"/>
          </a:xfrm>
          <a:prstGeom prst="ellipse">
            <a:avLst/>
          </a:prstGeom>
          <a:noFill/>
          <a:ln w="12700">
            <a:solidFill>
              <a:srgbClr val="ff0000"/>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435" name="Oval 142"/>
          <xdr:cNvSpPr/>
        </xdr:nvSpPr>
        <xdr:spPr>
          <a:xfrm>
            <a:off x="12346200" y="2248560"/>
            <a:ext cx="265680" cy="232920"/>
          </a:xfrm>
          <a:prstGeom prst="ellipse">
            <a:avLst/>
          </a:prstGeom>
          <a:noFill/>
          <a:ln w="19050">
            <a:solidFill>
              <a:srgbClr val="0000ff"/>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436" name="Oval 143"/>
          <xdr:cNvSpPr/>
        </xdr:nvSpPr>
        <xdr:spPr>
          <a:xfrm>
            <a:off x="12346200" y="2363400"/>
            <a:ext cx="265680" cy="232200"/>
          </a:xfrm>
          <a:prstGeom prst="ellipse">
            <a:avLst/>
          </a:prstGeom>
          <a:noFill/>
          <a:ln w="19050">
            <a:solidFill>
              <a:srgbClr val="ff0000"/>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437" name="Line 144"/>
          <xdr:cNvSpPr/>
        </xdr:nvSpPr>
        <xdr:spPr>
          <a:xfrm>
            <a:off x="11837160" y="2050560"/>
            <a:ext cx="1080" cy="178200"/>
          </a:xfrm>
          <a:prstGeom prst="line">
            <a:avLst/>
          </a:prstGeom>
          <a:ln w="25400">
            <a:solidFill>
              <a:srgbClr val="0000ff"/>
            </a:solidFill>
            <a:round/>
          </a:ln>
        </xdr:spPr>
        <xdr:style>
          <a:lnRef idx="0"/>
          <a:fillRef idx="0"/>
          <a:effectRef idx="0"/>
          <a:fontRef idx="minor"/>
        </xdr:style>
      </xdr:sp>
      <xdr:sp>
        <xdr:nvSpPr>
          <xdr:cNvPr id="2438" name="Line 145"/>
          <xdr:cNvSpPr/>
        </xdr:nvSpPr>
        <xdr:spPr>
          <a:xfrm>
            <a:off x="12493080" y="2039760"/>
            <a:ext cx="1080" cy="222120"/>
          </a:xfrm>
          <a:prstGeom prst="line">
            <a:avLst/>
          </a:prstGeom>
          <a:ln w="25400">
            <a:solidFill>
              <a:srgbClr val="0000ff"/>
            </a:solidFill>
            <a:round/>
          </a:ln>
        </xdr:spPr>
        <xdr:style>
          <a:lnRef idx="0"/>
          <a:fillRef idx="0"/>
          <a:effectRef idx="0"/>
          <a:fontRef idx="minor"/>
        </xdr:style>
      </xdr:sp>
      <xdr:sp>
        <xdr:nvSpPr>
          <xdr:cNvPr id="2439" name="Line 228"/>
          <xdr:cNvSpPr/>
        </xdr:nvSpPr>
        <xdr:spPr>
          <a:xfrm>
            <a:off x="11825280" y="2568960"/>
            <a:ext cx="1080" cy="222120"/>
          </a:xfrm>
          <a:prstGeom prst="line">
            <a:avLst/>
          </a:prstGeom>
          <a:ln w="25400">
            <a:solidFill>
              <a:srgbClr val="ff0000"/>
            </a:solidFill>
            <a:round/>
          </a:ln>
        </xdr:spPr>
        <xdr:style>
          <a:lnRef idx="0"/>
          <a:fillRef idx="0"/>
          <a:effectRef idx="0"/>
          <a:fontRef idx="minor"/>
        </xdr:style>
      </xdr:sp>
      <xdr:sp>
        <xdr:nvSpPr>
          <xdr:cNvPr id="2440" name="Line 147"/>
          <xdr:cNvSpPr/>
        </xdr:nvSpPr>
        <xdr:spPr>
          <a:xfrm>
            <a:off x="12495600" y="2583720"/>
            <a:ext cx="1080" cy="222120"/>
          </a:xfrm>
          <a:prstGeom prst="line">
            <a:avLst/>
          </a:prstGeom>
          <a:ln w="25400">
            <a:solidFill>
              <a:srgbClr val="ff0000"/>
            </a:solidFill>
            <a:round/>
          </a:ln>
        </xdr:spPr>
        <xdr:style>
          <a:lnRef idx="0"/>
          <a:fillRef idx="0"/>
          <a:effectRef idx="0"/>
          <a:fontRef idx="minor"/>
        </xdr:style>
      </xdr:sp>
      <xdr:sp>
        <xdr:nvSpPr>
          <xdr:cNvPr id="2441" name="Text Box 226"/>
          <xdr:cNvSpPr/>
        </xdr:nvSpPr>
        <xdr:spPr>
          <a:xfrm>
            <a:off x="12939480" y="2339640"/>
            <a:ext cx="1117080" cy="36072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3x100/70/30 MVA </a:t>
            </a:r>
            <a:endParaRPr b="0" lang="en-GB" sz="900" spc="-1" strike="noStrike">
              <a:latin typeface="Times New Roman"/>
            </a:endParaRPr>
          </a:p>
        </xdr:txBody>
      </xdr:sp>
      <xdr:sp>
        <xdr:nvSpPr>
          <xdr:cNvPr id="2442" name="Text Box 149"/>
          <xdr:cNvSpPr/>
        </xdr:nvSpPr>
        <xdr:spPr>
          <a:xfrm>
            <a:off x="13486320" y="4054680"/>
            <a:ext cx="733320" cy="421200"/>
          </a:xfrm>
          <a:prstGeom prst="rect">
            <a:avLst/>
          </a:prstGeom>
          <a:noFill/>
          <a:ln w="9525">
            <a:noFill/>
          </a:ln>
        </xdr:spPr>
        <xdr:style>
          <a:lnRef idx="0"/>
          <a:fillRef idx="0"/>
          <a:effectRef idx="0"/>
          <a:fontRef idx="minor"/>
        </xdr:style>
        <xdr:txBody>
          <a:bodyPr vertOverflow="clip" lIns="73080" rIns="73080" tIns="36720" bIns="36720" anchor="ctr" upright="1">
            <a:noAutofit/>
          </a:bodyPr>
          <a:p>
            <a:pPr algn="ctr">
              <a:lnSpc>
                <a:spcPct val="100000"/>
              </a:lnSpc>
            </a:pPr>
            <a:r>
              <a:rPr b="0" lang="es-CO" sz="900" spc="-1" strike="noStrike">
                <a:solidFill>
                  <a:srgbClr val="40637a"/>
                </a:solidFill>
                <a:latin typeface="Arial"/>
              </a:rPr>
              <a:t>Gaira </a:t>
            </a:r>
            <a:endParaRPr b="0" lang="en-GB" sz="900" spc="-1" strike="noStrike">
              <a:latin typeface="Times New Roman"/>
            </a:endParaRPr>
          </a:p>
          <a:p>
            <a:pPr algn="ctr">
              <a:lnSpc>
                <a:spcPct val="100000"/>
              </a:lnSpc>
            </a:pPr>
            <a:r>
              <a:rPr b="0" lang="es-CO" sz="900" spc="-1" strike="noStrike">
                <a:solidFill>
                  <a:srgbClr val="40637a"/>
                </a:solidFill>
                <a:latin typeface="Arial"/>
              </a:rPr>
              <a:t>110 KV</a:t>
            </a:r>
            <a:endParaRPr b="0" lang="en-GB" sz="900" spc="-1" strike="noStrike">
              <a:latin typeface="Times New Roman"/>
            </a:endParaRPr>
          </a:p>
        </xdr:txBody>
      </xdr:sp>
      <xdr:sp>
        <xdr:nvSpPr>
          <xdr:cNvPr id="2443" name="Text Box 150"/>
          <xdr:cNvSpPr/>
        </xdr:nvSpPr>
        <xdr:spPr>
          <a:xfrm>
            <a:off x="10659960" y="3834360"/>
            <a:ext cx="1072440" cy="36072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Manzanares 110 kV</a:t>
            </a:r>
            <a:endParaRPr b="0" lang="en-GB" sz="900" spc="-1" strike="noStrike">
              <a:latin typeface="Times New Roman"/>
            </a:endParaRPr>
          </a:p>
        </xdr:txBody>
      </xdr:sp>
      <xdr:sp>
        <xdr:nvSpPr>
          <xdr:cNvPr id="2444" name="Text Box 223"/>
          <xdr:cNvSpPr/>
        </xdr:nvSpPr>
        <xdr:spPr>
          <a:xfrm>
            <a:off x="11662560" y="6206760"/>
            <a:ext cx="1191240" cy="22644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Fundación 110 kV</a:t>
            </a:r>
            <a:endParaRPr b="0" lang="en-GB" sz="900" spc="-1" strike="noStrike">
              <a:latin typeface="Times New Roman"/>
            </a:endParaRPr>
          </a:p>
        </xdr:txBody>
      </xdr:sp>
      <xdr:sp>
        <xdr:nvSpPr>
          <xdr:cNvPr id="2445" name="Text Box 222"/>
          <xdr:cNvSpPr/>
        </xdr:nvSpPr>
        <xdr:spPr>
          <a:xfrm>
            <a:off x="13264920" y="6549840"/>
            <a:ext cx="630720" cy="35208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TR-FUN 100 MVA</a:t>
            </a:r>
            <a:endParaRPr b="0" lang="en-GB" sz="900" spc="-1" strike="noStrike">
              <a:latin typeface="Times New Roman"/>
            </a:endParaRPr>
          </a:p>
          <a:p>
            <a:pPr>
              <a:lnSpc>
                <a:spcPct val="100000"/>
              </a:lnSpc>
            </a:pPr>
            <a:r>
              <a:rPr b="0" lang="es-CO" sz="900" spc="-1" strike="noStrike">
                <a:solidFill>
                  <a:srgbClr val="40637a"/>
                </a:solidFill>
                <a:latin typeface="Arial"/>
              </a:rPr>
              <a:t> </a:t>
            </a:r>
            <a:endParaRPr b="0" lang="en-GB" sz="900" spc="-1" strike="noStrike">
              <a:latin typeface="Times New Roman"/>
            </a:endParaRPr>
          </a:p>
        </xdr:txBody>
      </xdr:sp>
      <xdr:sp>
        <xdr:nvSpPr>
          <xdr:cNvPr id="2446" name="Oval 154"/>
          <xdr:cNvSpPr/>
        </xdr:nvSpPr>
        <xdr:spPr>
          <a:xfrm>
            <a:off x="12479040" y="2314080"/>
            <a:ext cx="265320" cy="239040"/>
          </a:xfrm>
          <a:prstGeom prst="ellipse">
            <a:avLst/>
          </a:prstGeom>
          <a:noFill/>
          <a:ln w="12700">
            <a:solidFill>
              <a:srgbClr val="ffcc00"/>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447" name="Line 155"/>
          <xdr:cNvSpPr/>
        </xdr:nvSpPr>
        <xdr:spPr>
          <a:xfrm>
            <a:off x="12891600" y="2286360"/>
            <a:ext cx="360" cy="262800"/>
          </a:xfrm>
          <a:prstGeom prst="line">
            <a:avLst/>
          </a:prstGeom>
          <a:ln w="25400">
            <a:solidFill>
              <a:srgbClr val="ffcc00"/>
            </a:solidFill>
            <a:round/>
          </a:ln>
        </xdr:spPr>
        <xdr:style>
          <a:lnRef idx="0"/>
          <a:fillRef idx="0"/>
          <a:effectRef idx="0"/>
          <a:fontRef idx="minor"/>
        </xdr:style>
      </xdr:sp>
      <xdr:sp>
        <xdr:nvSpPr>
          <xdr:cNvPr id="2448" name="Line 156"/>
          <xdr:cNvSpPr/>
        </xdr:nvSpPr>
        <xdr:spPr>
          <a:xfrm>
            <a:off x="12750480" y="2412360"/>
            <a:ext cx="141120" cy="360"/>
          </a:xfrm>
          <a:prstGeom prst="line">
            <a:avLst/>
          </a:prstGeom>
          <a:ln w="25400">
            <a:solidFill>
              <a:srgbClr val="ff9900"/>
            </a:solidFill>
            <a:round/>
          </a:ln>
        </xdr:spPr>
        <xdr:style>
          <a:lnRef idx="0"/>
          <a:fillRef idx="0"/>
          <a:effectRef idx="0"/>
          <a:fontRef idx="minor"/>
        </xdr:style>
      </xdr:sp>
      <xdr:sp>
        <xdr:nvSpPr>
          <xdr:cNvPr id="2449" name="Line 157"/>
          <xdr:cNvSpPr/>
        </xdr:nvSpPr>
        <xdr:spPr>
          <a:xfrm flipV="1">
            <a:off x="11886120" y="3797640"/>
            <a:ext cx="799920" cy="1080"/>
          </a:xfrm>
          <a:prstGeom prst="line">
            <a:avLst/>
          </a:prstGeom>
          <a:ln w="25400">
            <a:solidFill>
              <a:srgbClr val="ff0000"/>
            </a:solidFill>
            <a:round/>
          </a:ln>
        </xdr:spPr>
        <xdr:style>
          <a:lnRef idx="0"/>
          <a:fillRef idx="0"/>
          <a:effectRef idx="0"/>
          <a:fontRef idx="minor"/>
        </xdr:style>
      </xdr:sp>
      <xdr:sp>
        <xdr:nvSpPr>
          <xdr:cNvPr id="2450" name="Line 158"/>
          <xdr:cNvSpPr/>
        </xdr:nvSpPr>
        <xdr:spPr>
          <a:xfrm>
            <a:off x="10488960" y="2785680"/>
            <a:ext cx="3153240" cy="360"/>
          </a:xfrm>
          <a:prstGeom prst="line">
            <a:avLst/>
          </a:prstGeom>
          <a:ln w="25400">
            <a:solidFill>
              <a:srgbClr val="ff0000"/>
            </a:solidFill>
            <a:round/>
          </a:ln>
        </xdr:spPr>
        <xdr:style>
          <a:lnRef idx="0"/>
          <a:fillRef idx="0"/>
          <a:effectRef idx="0"/>
          <a:fontRef idx="minor"/>
        </xdr:style>
      </xdr:sp>
      <xdr:sp>
        <xdr:nvSpPr>
          <xdr:cNvPr id="2451" name="Text Box 159"/>
          <xdr:cNvSpPr/>
        </xdr:nvSpPr>
        <xdr:spPr>
          <a:xfrm>
            <a:off x="11929680" y="3830040"/>
            <a:ext cx="858600" cy="36072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Libertador 110 kV</a:t>
            </a:r>
            <a:endParaRPr b="0" lang="en-GB" sz="900" spc="-1" strike="noStrike">
              <a:latin typeface="Times New Roman"/>
            </a:endParaRPr>
          </a:p>
        </xdr:txBody>
      </xdr:sp>
      <xdr:sp>
        <xdr:nvSpPr>
          <xdr:cNvPr id="2452" name="Line 160"/>
          <xdr:cNvSpPr/>
        </xdr:nvSpPr>
        <xdr:spPr>
          <a:xfrm>
            <a:off x="11125800" y="2770560"/>
            <a:ext cx="720" cy="1024200"/>
          </a:xfrm>
          <a:prstGeom prst="line">
            <a:avLst/>
          </a:prstGeom>
          <a:ln w="12700">
            <a:solidFill>
              <a:srgbClr val="ff0000"/>
            </a:solidFill>
            <a:round/>
          </a:ln>
        </xdr:spPr>
        <xdr:style>
          <a:lnRef idx="0"/>
          <a:fillRef idx="0"/>
          <a:effectRef idx="0"/>
          <a:fontRef idx="minor"/>
        </xdr:style>
      </xdr:sp>
      <xdr:sp>
        <xdr:nvSpPr>
          <xdr:cNvPr id="2453" name="Line 162"/>
          <xdr:cNvSpPr/>
        </xdr:nvSpPr>
        <xdr:spPr>
          <a:xfrm>
            <a:off x="10511640" y="2041200"/>
            <a:ext cx="2581200" cy="360"/>
          </a:xfrm>
          <a:prstGeom prst="line">
            <a:avLst/>
          </a:prstGeom>
          <a:ln w="25400">
            <a:solidFill>
              <a:srgbClr val="0000ff"/>
            </a:solidFill>
            <a:round/>
          </a:ln>
        </xdr:spPr>
        <xdr:style>
          <a:lnRef idx="0"/>
          <a:fillRef idx="0"/>
          <a:effectRef idx="0"/>
          <a:fontRef idx="minor"/>
        </xdr:style>
      </xdr:sp>
      <xdr:sp>
        <xdr:nvSpPr>
          <xdr:cNvPr id="2454" name="Line 163"/>
          <xdr:cNvSpPr/>
        </xdr:nvSpPr>
        <xdr:spPr>
          <a:xfrm>
            <a:off x="12816720" y="4264200"/>
            <a:ext cx="801360" cy="360"/>
          </a:xfrm>
          <a:prstGeom prst="line">
            <a:avLst/>
          </a:prstGeom>
          <a:ln w="25400">
            <a:solidFill>
              <a:srgbClr val="ff0000"/>
            </a:solidFill>
            <a:round/>
          </a:ln>
        </xdr:spPr>
        <xdr:style>
          <a:lnRef idx="0"/>
          <a:fillRef idx="0"/>
          <a:effectRef idx="0"/>
          <a:fontRef idx="minor"/>
        </xdr:style>
      </xdr:sp>
      <xdr:sp>
        <xdr:nvSpPr>
          <xdr:cNvPr id="2455" name="Line 164"/>
          <xdr:cNvSpPr/>
        </xdr:nvSpPr>
        <xdr:spPr>
          <a:xfrm>
            <a:off x="11958840" y="6413400"/>
            <a:ext cx="1586880" cy="360"/>
          </a:xfrm>
          <a:prstGeom prst="line">
            <a:avLst/>
          </a:prstGeom>
          <a:ln w="25400">
            <a:solidFill>
              <a:srgbClr val="ff0000"/>
            </a:solidFill>
            <a:round/>
          </a:ln>
        </xdr:spPr>
        <xdr:style>
          <a:lnRef idx="0"/>
          <a:fillRef idx="0"/>
          <a:effectRef idx="0"/>
          <a:fontRef idx="minor"/>
        </xdr:style>
      </xdr:sp>
      <xdr:sp>
        <xdr:nvSpPr>
          <xdr:cNvPr id="2456" name="Line 165"/>
          <xdr:cNvSpPr/>
        </xdr:nvSpPr>
        <xdr:spPr>
          <a:xfrm>
            <a:off x="12511080" y="5135760"/>
            <a:ext cx="1823760" cy="360"/>
          </a:xfrm>
          <a:prstGeom prst="line">
            <a:avLst/>
          </a:prstGeom>
          <a:ln w="25400">
            <a:solidFill>
              <a:srgbClr val="ff0000"/>
            </a:solidFill>
            <a:round/>
          </a:ln>
        </xdr:spPr>
        <xdr:style>
          <a:lnRef idx="0"/>
          <a:fillRef idx="0"/>
          <a:effectRef idx="0"/>
          <a:fontRef idx="minor"/>
        </xdr:style>
      </xdr:sp>
      <xdr:sp>
        <xdr:nvSpPr>
          <xdr:cNvPr id="2457" name="Line 167"/>
          <xdr:cNvSpPr/>
        </xdr:nvSpPr>
        <xdr:spPr>
          <a:xfrm>
            <a:off x="13231800" y="2785680"/>
            <a:ext cx="360" cy="3624480"/>
          </a:xfrm>
          <a:prstGeom prst="line">
            <a:avLst/>
          </a:prstGeom>
          <a:ln w="12700">
            <a:solidFill>
              <a:srgbClr val="ff0000"/>
            </a:solidFill>
            <a:round/>
          </a:ln>
        </xdr:spPr>
        <xdr:style>
          <a:lnRef idx="0"/>
          <a:fillRef idx="0"/>
          <a:effectRef idx="0"/>
          <a:fontRef idx="minor"/>
        </xdr:style>
      </xdr:sp>
      <xdr:sp>
        <xdr:nvSpPr>
          <xdr:cNvPr id="2458" name="Line 170"/>
          <xdr:cNvSpPr/>
        </xdr:nvSpPr>
        <xdr:spPr>
          <a:xfrm>
            <a:off x="10732320" y="4893120"/>
            <a:ext cx="2271960" cy="360"/>
          </a:xfrm>
          <a:custGeom>
            <a:avLst/>
            <a:gdLst>
              <a:gd name="textAreaLeft" fmla="*/ 0 w 2271960"/>
              <a:gd name="textAreaRight" fmla="*/ 2272320 w 2271960"/>
              <a:gd name="textAreaTop" fmla="*/ 0 h 360"/>
              <a:gd name="textAreaBottom" fmla="*/ 720 h 360"/>
            </a:gdLst>
            <a:ahLst/>
            <a:rect l="textAreaLeft" t="textAreaTop" r="textAreaRight" b="textAreaBottom"/>
            <a:pathLst>
              <a:path w="2295" h="1">
                <a:moveTo>
                  <a:pt x="0" y="0"/>
                </a:moveTo>
                <a:lnTo>
                  <a:pt x="2295" y="1"/>
                </a:lnTo>
              </a:path>
            </a:pathLst>
          </a:custGeom>
          <a:noFill/>
          <a:ln w="12700">
            <a:solidFill>
              <a:srgbClr val="ff0000"/>
            </a:solidFill>
            <a:round/>
          </a:ln>
        </xdr:spPr>
        <xdr:style>
          <a:lnRef idx="0"/>
          <a:fillRef idx="0"/>
          <a:effectRef idx="0"/>
          <a:fontRef idx="minor"/>
        </xdr:style>
      </xdr:sp>
      <xdr:sp>
        <xdr:nvSpPr>
          <xdr:cNvPr id="2459" name="Line 172"/>
          <xdr:cNvSpPr/>
        </xdr:nvSpPr>
        <xdr:spPr>
          <a:xfrm>
            <a:off x="12996720" y="4895640"/>
            <a:ext cx="360" cy="230760"/>
          </a:xfrm>
          <a:prstGeom prst="line">
            <a:avLst/>
          </a:prstGeom>
          <a:ln w="12700">
            <a:solidFill>
              <a:srgbClr val="ff0000"/>
            </a:solidFill>
            <a:round/>
          </a:ln>
        </xdr:spPr>
        <xdr:style>
          <a:lnRef idx="0"/>
          <a:fillRef idx="0"/>
          <a:effectRef idx="0"/>
          <a:fontRef idx="minor"/>
        </xdr:style>
      </xdr:sp>
      <xdr:sp>
        <xdr:nvSpPr>
          <xdr:cNvPr id="2460" name="Oval 174"/>
          <xdr:cNvSpPr/>
        </xdr:nvSpPr>
        <xdr:spPr>
          <a:xfrm>
            <a:off x="11796840" y="2313360"/>
            <a:ext cx="267120" cy="231840"/>
          </a:xfrm>
          <a:prstGeom prst="ellipse">
            <a:avLst/>
          </a:prstGeom>
          <a:noFill/>
          <a:ln w="12700">
            <a:solidFill>
              <a:srgbClr val="ffcc00"/>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461" name="Line 175"/>
          <xdr:cNvSpPr/>
        </xdr:nvSpPr>
        <xdr:spPr>
          <a:xfrm>
            <a:off x="12211920" y="2286360"/>
            <a:ext cx="360" cy="255240"/>
          </a:xfrm>
          <a:prstGeom prst="line">
            <a:avLst/>
          </a:prstGeom>
          <a:ln w="25400">
            <a:solidFill>
              <a:srgbClr val="ffcc00"/>
            </a:solidFill>
            <a:round/>
          </a:ln>
        </xdr:spPr>
        <xdr:style>
          <a:lnRef idx="0"/>
          <a:fillRef idx="0"/>
          <a:effectRef idx="0"/>
          <a:fontRef idx="minor"/>
        </xdr:style>
      </xdr:sp>
      <xdr:sp>
        <xdr:nvSpPr>
          <xdr:cNvPr id="2462" name="Line 176"/>
          <xdr:cNvSpPr/>
        </xdr:nvSpPr>
        <xdr:spPr>
          <a:xfrm>
            <a:off x="12070080" y="2408760"/>
            <a:ext cx="141840" cy="360"/>
          </a:xfrm>
          <a:prstGeom prst="line">
            <a:avLst/>
          </a:prstGeom>
          <a:ln w="25400">
            <a:solidFill>
              <a:srgbClr val="ff9900"/>
            </a:solidFill>
            <a:round/>
          </a:ln>
        </xdr:spPr>
        <xdr:style>
          <a:lnRef idx="0"/>
          <a:fillRef idx="0"/>
          <a:effectRef idx="0"/>
          <a:fontRef idx="minor"/>
        </xdr:style>
      </xdr:sp>
      <xdr:sp>
        <xdr:nvSpPr>
          <xdr:cNvPr id="2463" name="Text Box 177"/>
          <xdr:cNvSpPr/>
        </xdr:nvSpPr>
        <xdr:spPr>
          <a:xfrm>
            <a:off x="11734200" y="6550200"/>
            <a:ext cx="680040" cy="49896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TR-FUN</a:t>
            </a:r>
            <a:endParaRPr b="0" lang="en-GB" sz="900" spc="-1" strike="noStrike">
              <a:latin typeface="Times New Roman"/>
            </a:endParaRPr>
          </a:p>
          <a:p>
            <a:pPr>
              <a:lnSpc>
                <a:spcPct val="100000"/>
              </a:lnSpc>
            </a:pPr>
            <a:r>
              <a:rPr b="0" lang="es-CO" sz="900" spc="-1" strike="noStrike">
                <a:solidFill>
                  <a:srgbClr val="40637a"/>
                </a:solidFill>
                <a:latin typeface="Arial"/>
              </a:rPr>
              <a:t>55 MVA</a:t>
            </a:r>
            <a:endParaRPr b="0" lang="en-GB" sz="900" spc="-1" strike="noStrike">
              <a:latin typeface="Times New Roman"/>
            </a:endParaRPr>
          </a:p>
        </xdr:txBody>
      </xdr:sp>
      <xdr:sp>
        <xdr:nvSpPr>
          <xdr:cNvPr id="2464" name="Line 178"/>
          <xdr:cNvSpPr/>
        </xdr:nvSpPr>
        <xdr:spPr>
          <a:xfrm>
            <a:off x="11879640" y="7137360"/>
            <a:ext cx="1869480" cy="360"/>
          </a:xfrm>
          <a:prstGeom prst="line">
            <a:avLst/>
          </a:prstGeom>
          <a:ln w="25400">
            <a:solidFill>
              <a:srgbClr val="0000ff"/>
            </a:solidFill>
            <a:round/>
          </a:ln>
        </xdr:spPr>
        <xdr:style>
          <a:lnRef idx="0"/>
          <a:fillRef idx="0"/>
          <a:effectRef idx="0"/>
          <a:fontRef idx="minor"/>
        </xdr:style>
      </xdr:sp>
      <xdr:sp>
        <xdr:nvSpPr>
          <xdr:cNvPr id="2465" name="Oval 140"/>
          <xdr:cNvSpPr/>
        </xdr:nvSpPr>
        <xdr:spPr>
          <a:xfrm>
            <a:off x="11003760" y="2231280"/>
            <a:ext cx="265680" cy="232200"/>
          </a:xfrm>
          <a:prstGeom prst="ellipse">
            <a:avLst/>
          </a:prstGeom>
          <a:noFill/>
          <a:ln w="12700">
            <a:solidFill>
              <a:srgbClr val="0000ff"/>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466" name="Oval 141"/>
          <xdr:cNvSpPr/>
        </xdr:nvSpPr>
        <xdr:spPr>
          <a:xfrm>
            <a:off x="11003760" y="2346120"/>
            <a:ext cx="265680" cy="232200"/>
          </a:xfrm>
          <a:prstGeom prst="ellipse">
            <a:avLst/>
          </a:prstGeom>
          <a:noFill/>
          <a:ln w="12700">
            <a:solidFill>
              <a:srgbClr val="ff0000"/>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467" name="Line 144"/>
          <xdr:cNvSpPr/>
        </xdr:nvSpPr>
        <xdr:spPr>
          <a:xfrm>
            <a:off x="11145960" y="2055240"/>
            <a:ext cx="720" cy="178200"/>
          </a:xfrm>
          <a:prstGeom prst="line">
            <a:avLst/>
          </a:prstGeom>
          <a:ln w="25400">
            <a:solidFill>
              <a:srgbClr val="0000ff"/>
            </a:solidFill>
            <a:round/>
          </a:ln>
        </xdr:spPr>
        <xdr:style>
          <a:lnRef idx="0"/>
          <a:fillRef idx="0"/>
          <a:effectRef idx="0"/>
          <a:fontRef idx="minor"/>
        </xdr:style>
      </xdr:sp>
      <xdr:sp>
        <xdr:nvSpPr>
          <xdr:cNvPr id="2468" name="Line 194"/>
          <xdr:cNvSpPr/>
        </xdr:nvSpPr>
        <xdr:spPr>
          <a:xfrm>
            <a:off x="11134800" y="2573640"/>
            <a:ext cx="1080" cy="222120"/>
          </a:xfrm>
          <a:prstGeom prst="line">
            <a:avLst/>
          </a:prstGeom>
          <a:ln w="25400">
            <a:solidFill>
              <a:srgbClr val="ff0000"/>
            </a:solidFill>
            <a:round/>
          </a:ln>
        </xdr:spPr>
        <xdr:style>
          <a:lnRef idx="0"/>
          <a:fillRef idx="0"/>
          <a:effectRef idx="0"/>
          <a:fontRef idx="minor"/>
        </xdr:style>
      </xdr:sp>
      <xdr:sp>
        <xdr:nvSpPr>
          <xdr:cNvPr id="2469" name="Oval 174"/>
          <xdr:cNvSpPr/>
        </xdr:nvSpPr>
        <xdr:spPr>
          <a:xfrm>
            <a:off x="11105640" y="2318040"/>
            <a:ext cx="267120" cy="232560"/>
          </a:xfrm>
          <a:prstGeom prst="ellipse">
            <a:avLst/>
          </a:prstGeom>
          <a:noFill/>
          <a:ln w="12700">
            <a:solidFill>
              <a:srgbClr val="ffcc00"/>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470" name="Line 175"/>
          <xdr:cNvSpPr/>
        </xdr:nvSpPr>
        <xdr:spPr>
          <a:xfrm>
            <a:off x="11520720" y="2291040"/>
            <a:ext cx="360" cy="255960"/>
          </a:xfrm>
          <a:prstGeom prst="line">
            <a:avLst/>
          </a:prstGeom>
          <a:ln w="25400">
            <a:solidFill>
              <a:srgbClr val="ffcc00"/>
            </a:solidFill>
            <a:round/>
          </a:ln>
        </xdr:spPr>
        <xdr:style>
          <a:lnRef idx="0"/>
          <a:fillRef idx="0"/>
          <a:effectRef idx="0"/>
          <a:fontRef idx="minor"/>
        </xdr:style>
      </xdr:sp>
      <xdr:sp>
        <xdr:nvSpPr>
          <xdr:cNvPr id="2471" name="Line 176"/>
          <xdr:cNvSpPr/>
        </xdr:nvSpPr>
        <xdr:spPr>
          <a:xfrm>
            <a:off x="11378880" y="2413800"/>
            <a:ext cx="135720" cy="360"/>
          </a:xfrm>
          <a:prstGeom prst="line">
            <a:avLst/>
          </a:prstGeom>
          <a:ln w="25400">
            <a:solidFill>
              <a:srgbClr val="ff9900"/>
            </a:solidFill>
            <a:round/>
          </a:ln>
        </xdr:spPr>
        <xdr:style>
          <a:lnRef idx="0"/>
          <a:fillRef idx="0"/>
          <a:effectRef idx="0"/>
          <a:fontRef idx="minor"/>
        </xdr:style>
      </xdr:sp>
      <xdr:sp>
        <xdr:nvSpPr>
          <xdr:cNvPr id="2472" name="Line 157"/>
          <xdr:cNvSpPr/>
        </xdr:nvSpPr>
        <xdr:spPr>
          <a:xfrm>
            <a:off x="13618080" y="5892120"/>
            <a:ext cx="828000" cy="360"/>
          </a:xfrm>
          <a:prstGeom prst="line">
            <a:avLst/>
          </a:prstGeom>
          <a:ln w="25400">
            <a:solidFill>
              <a:srgbClr val="0000ff"/>
            </a:solidFill>
            <a:round/>
          </a:ln>
        </xdr:spPr>
        <xdr:style>
          <a:lnRef idx="0"/>
          <a:fillRef idx="0"/>
          <a:effectRef idx="0"/>
          <a:fontRef idx="minor"/>
        </xdr:style>
      </xdr:sp>
      <xdr:sp>
        <xdr:nvSpPr>
          <xdr:cNvPr id="2473" name="Oval 140"/>
          <xdr:cNvSpPr/>
        </xdr:nvSpPr>
        <xdr:spPr>
          <a:xfrm rot="10675800">
            <a:off x="13644360" y="5457960"/>
            <a:ext cx="266760" cy="232200"/>
          </a:xfrm>
          <a:prstGeom prst="ellipse">
            <a:avLst/>
          </a:prstGeom>
          <a:noFill/>
          <a:ln w="12700">
            <a:solidFill>
              <a:srgbClr val="0000ff"/>
            </a:solidFill>
            <a:round/>
          </a:ln>
        </xdr:spPr>
        <xdr:style>
          <a:lnRef idx="0"/>
          <a:fillRef idx="0"/>
          <a:effectRef idx="0"/>
          <a:fontRef idx="minor"/>
        </xdr:style>
        <xdr:txBody>
          <a:bodyPr vertOverflow="clip" lIns="73080" rIns="73080" tIns="36720" bIns="36720" anchor="t" rot="-10620000">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474" name="Oval 141"/>
          <xdr:cNvSpPr/>
        </xdr:nvSpPr>
        <xdr:spPr>
          <a:xfrm rot="10675800">
            <a:off x="13640400" y="5344200"/>
            <a:ext cx="266760" cy="232200"/>
          </a:xfrm>
          <a:prstGeom prst="ellipse">
            <a:avLst/>
          </a:prstGeom>
          <a:noFill/>
          <a:ln w="12700">
            <a:solidFill>
              <a:srgbClr val="ff0000"/>
            </a:solidFill>
            <a:round/>
          </a:ln>
        </xdr:spPr>
        <xdr:style>
          <a:lnRef idx="0"/>
          <a:fillRef idx="0"/>
          <a:effectRef idx="0"/>
          <a:fontRef idx="minor"/>
        </xdr:style>
        <xdr:txBody>
          <a:bodyPr vertOverflow="clip" lIns="73080" rIns="73080" tIns="36720" bIns="36720" anchor="t" rot="-10620000">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475" name="Line 186"/>
          <xdr:cNvSpPr/>
        </xdr:nvSpPr>
        <xdr:spPr>
          <a:xfrm>
            <a:off x="13770720" y="5146920"/>
            <a:ext cx="360" cy="190080"/>
          </a:xfrm>
          <a:prstGeom prst="line">
            <a:avLst/>
          </a:prstGeom>
          <a:ln w="25400">
            <a:solidFill>
              <a:srgbClr val="ff0000"/>
            </a:solidFill>
            <a:round/>
          </a:ln>
        </xdr:spPr>
        <xdr:style>
          <a:lnRef idx="0"/>
          <a:fillRef idx="0"/>
          <a:effectRef idx="0"/>
          <a:fontRef idx="minor"/>
        </xdr:style>
      </xdr:sp>
      <xdr:sp>
        <xdr:nvSpPr>
          <xdr:cNvPr id="2476" name="Line 144"/>
          <xdr:cNvSpPr/>
        </xdr:nvSpPr>
        <xdr:spPr>
          <a:xfrm>
            <a:off x="13773240" y="5691960"/>
            <a:ext cx="360" cy="195120"/>
          </a:xfrm>
          <a:prstGeom prst="line">
            <a:avLst/>
          </a:prstGeom>
          <a:ln w="25400">
            <a:solidFill>
              <a:srgbClr val="0000ff"/>
            </a:solidFill>
            <a:round/>
          </a:ln>
        </xdr:spPr>
        <xdr:style>
          <a:lnRef idx="0"/>
          <a:fillRef idx="0"/>
          <a:effectRef idx="0"/>
          <a:fontRef idx="minor"/>
        </xdr:style>
      </xdr:sp>
      <xdr:sp>
        <xdr:nvSpPr>
          <xdr:cNvPr id="2477" name="Text Box 166"/>
          <xdr:cNvSpPr/>
        </xdr:nvSpPr>
        <xdr:spPr>
          <a:xfrm>
            <a:off x="13432320" y="5872680"/>
            <a:ext cx="1181880" cy="49608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gn="ctr">
              <a:lnSpc>
                <a:spcPct val="100000"/>
              </a:lnSpc>
            </a:pPr>
            <a:r>
              <a:rPr b="0" lang="es-CO" sz="900" spc="-1" strike="noStrike">
                <a:solidFill>
                  <a:srgbClr val="40637a"/>
                </a:solidFill>
                <a:latin typeface="Arial"/>
              </a:rPr>
              <a:t>Rio Córdoba 220/110 KV</a:t>
            </a:r>
            <a:endParaRPr b="0" lang="en-GB" sz="900" spc="-1" strike="noStrike">
              <a:latin typeface="Times New Roman"/>
            </a:endParaRPr>
          </a:p>
          <a:p>
            <a:pPr algn="ctr">
              <a:lnSpc>
                <a:spcPct val="100000"/>
              </a:lnSpc>
            </a:pPr>
            <a:r>
              <a:rPr b="0" lang="es-CO" sz="900" spc="-1" strike="noStrike">
                <a:solidFill>
                  <a:srgbClr val="40637a"/>
                </a:solidFill>
                <a:latin typeface="Arial"/>
              </a:rPr>
              <a:t>2X100MVA</a:t>
            </a:r>
            <a:endParaRPr b="0" lang="en-GB" sz="900" spc="-1" strike="noStrike">
              <a:latin typeface="Times New Roman"/>
            </a:endParaRPr>
          </a:p>
        </xdr:txBody>
      </xdr:sp>
      <xdr:sp>
        <xdr:nvSpPr>
          <xdr:cNvPr id="2478" name="Line 160"/>
          <xdr:cNvSpPr/>
        </xdr:nvSpPr>
        <xdr:spPr>
          <a:xfrm>
            <a:off x="12330720" y="2778480"/>
            <a:ext cx="720" cy="1023840"/>
          </a:xfrm>
          <a:prstGeom prst="line">
            <a:avLst/>
          </a:prstGeom>
          <a:ln w="12700">
            <a:solidFill>
              <a:srgbClr val="ff0000"/>
            </a:solidFill>
            <a:round/>
          </a:ln>
        </xdr:spPr>
        <xdr:style>
          <a:lnRef idx="0"/>
          <a:fillRef idx="0"/>
          <a:effectRef idx="0"/>
          <a:fontRef idx="minor"/>
        </xdr:style>
      </xdr:sp>
      <xdr:sp>
        <xdr:nvSpPr>
          <xdr:cNvPr id="2479" name="Oval 140"/>
          <xdr:cNvSpPr/>
        </xdr:nvSpPr>
        <xdr:spPr>
          <a:xfrm rot="10675800">
            <a:off x="14010120" y="5457960"/>
            <a:ext cx="266760" cy="232200"/>
          </a:xfrm>
          <a:prstGeom prst="ellipse">
            <a:avLst/>
          </a:prstGeom>
          <a:noFill/>
          <a:ln w="12700">
            <a:solidFill>
              <a:srgbClr val="0000ff"/>
            </a:solidFill>
            <a:round/>
          </a:ln>
        </xdr:spPr>
        <xdr:style>
          <a:lnRef idx="0"/>
          <a:fillRef idx="0"/>
          <a:effectRef idx="0"/>
          <a:fontRef idx="minor"/>
        </xdr:style>
        <xdr:txBody>
          <a:bodyPr vertOverflow="clip" lIns="73080" rIns="73080" tIns="36720" bIns="36720" anchor="t" rot="-10620000">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480" name="Oval 141"/>
          <xdr:cNvSpPr/>
        </xdr:nvSpPr>
        <xdr:spPr>
          <a:xfrm rot="10675800">
            <a:off x="14005800" y="5344200"/>
            <a:ext cx="266760" cy="232200"/>
          </a:xfrm>
          <a:prstGeom prst="ellipse">
            <a:avLst/>
          </a:prstGeom>
          <a:noFill/>
          <a:ln w="12700">
            <a:solidFill>
              <a:srgbClr val="ff0000"/>
            </a:solidFill>
            <a:round/>
          </a:ln>
        </xdr:spPr>
        <xdr:style>
          <a:lnRef idx="0"/>
          <a:fillRef idx="0"/>
          <a:effectRef idx="0"/>
          <a:fontRef idx="minor"/>
        </xdr:style>
        <xdr:txBody>
          <a:bodyPr vertOverflow="clip" lIns="73080" rIns="73080" tIns="36720" bIns="36720" anchor="t" rot="-10620000">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481" name="Line 177"/>
          <xdr:cNvSpPr/>
        </xdr:nvSpPr>
        <xdr:spPr>
          <a:xfrm>
            <a:off x="14136120" y="5146920"/>
            <a:ext cx="360" cy="196200"/>
          </a:xfrm>
          <a:prstGeom prst="line">
            <a:avLst/>
          </a:prstGeom>
          <a:ln w="25400">
            <a:solidFill>
              <a:srgbClr val="ff0000"/>
            </a:solidFill>
            <a:round/>
          </a:ln>
        </xdr:spPr>
        <xdr:style>
          <a:lnRef idx="0"/>
          <a:fillRef idx="0"/>
          <a:effectRef idx="0"/>
          <a:fontRef idx="minor"/>
        </xdr:style>
      </xdr:sp>
      <xdr:sp>
        <xdr:nvSpPr>
          <xdr:cNvPr id="2482" name="AutoShape 175"/>
          <xdr:cNvSpPr/>
        </xdr:nvSpPr>
        <xdr:spPr>
          <a:xfrm>
            <a:off x="11067840" y="2828160"/>
            <a:ext cx="94680" cy="8820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483" name="AutoShape 174"/>
          <xdr:cNvSpPr/>
        </xdr:nvSpPr>
        <xdr:spPr>
          <a:xfrm>
            <a:off x="11082960" y="3647160"/>
            <a:ext cx="94680" cy="8820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484" name="AutoShape 173"/>
          <xdr:cNvSpPr/>
        </xdr:nvSpPr>
        <xdr:spPr>
          <a:xfrm>
            <a:off x="12284640" y="2835360"/>
            <a:ext cx="94680" cy="8820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485" name="AutoShape 172"/>
          <xdr:cNvSpPr/>
        </xdr:nvSpPr>
        <xdr:spPr>
          <a:xfrm>
            <a:off x="12292200" y="3647160"/>
            <a:ext cx="94680" cy="8820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486" name="AutoShape 171"/>
          <xdr:cNvSpPr/>
        </xdr:nvSpPr>
        <xdr:spPr>
          <a:xfrm>
            <a:off x="13182120" y="2820960"/>
            <a:ext cx="94680" cy="8820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487" name="AutoShape 170"/>
          <xdr:cNvSpPr/>
        </xdr:nvSpPr>
        <xdr:spPr>
          <a:xfrm>
            <a:off x="13182120" y="4120560"/>
            <a:ext cx="94680" cy="8820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488" name="AutoShape 169"/>
          <xdr:cNvSpPr/>
        </xdr:nvSpPr>
        <xdr:spPr>
          <a:xfrm>
            <a:off x="13182120" y="4309200"/>
            <a:ext cx="94680" cy="8820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489" name="AutoShape 168"/>
          <xdr:cNvSpPr/>
        </xdr:nvSpPr>
        <xdr:spPr>
          <a:xfrm>
            <a:off x="13182120" y="4997880"/>
            <a:ext cx="94680" cy="8820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490" name="AutoShape 167"/>
          <xdr:cNvSpPr/>
        </xdr:nvSpPr>
        <xdr:spPr>
          <a:xfrm>
            <a:off x="12945600" y="4990680"/>
            <a:ext cx="94680" cy="8820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491" name="AutoShape 165"/>
          <xdr:cNvSpPr/>
        </xdr:nvSpPr>
        <xdr:spPr>
          <a:xfrm>
            <a:off x="13182120" y="5191560"/>
            <a:ext cx="94680" cy="8820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492" name="AutoShape 164"/>
          <xdr:cNvSpPr/>
        </xdr:nvSpPr>
        <xdr:spPr>
          <a:xfrm>
            <a:off x="13182120" y="6260400"/>
            <a:ext cx="94680" cy="8820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493" name="AutoShape 161"/>
          <xdr:cNvSpPr/>
        </xdr:nvSpPr>
        <xdr:spPr>
          <a:xfrm>
            <a:off x="11083680" y="2640600"/>
            <a:ext cx="94680" cy="8820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494" name="AutoShape 160"/>
          <xdr:cNvSpPr/>
        </xdr:nvSpPr>
        <xdr:spPr>
          <a:xfrm>
            <a:off x="11772720" y="2640600"/>
            <a:ext cx="94680" cy="8820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495" name="AutoShape 159"/>
          <xdr:cNvSpPr/>
        </xdr:nvSpPr>
        <xdr:spPr>
          <a:xfrm>
            <a:off x="12448800" y="2647440"/>
            <a:ext cx="94680" cy="8820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496" name="AutoShape 158"/>
          <xdr:cNvSpPr/>
        </xdr:nvSpPr>
        <xdr:spPr>
          <a:xfrm>
            <a:off x="11098800" y="2098080"/>
            <a:ext cx="94680" cy="88200"/>
          </a:xfrm>
          <a:prstGeom prst="roundRect">
            <a:avLst>
              <a:gd name="adj" fmla="val 16667"/>
            </a:avLst>
          </a:prstGeom>
          <a:solidFill>
            <a:srgbClr val="0000ff"/>
          </a:solidFill>
          <a:ln w="9525">
            <a:solidFill>
              <a:srgbClr val="0000ff"/>
            </a:solidFill>
            <a:round/>
          </a:ln>
        </xdr:spPr>
        <xdr:style>
          <a:lnRef idx="0"/>
          <a:fillRef idx="0"/>
          <a:effectRef idx="0"/>
          <a:fontRef idx="minor"/>
        </xdr:style>
      </xdr:sp>
      <xdr:sp>
        <xdr:nvSpPr>
          <xdr:cNvPr id="2497" name="AutoShape 157"/>
          <xdr:cNvSpPr/>
        </xdr:nvSpPr>
        <xdr:spPr>
          <a:xfrm>
            <a:off x="11787840" y="2090880"/>
            <a:ext cx="94680" cy="88200"/>
          </a:xfrm>
          <a:prstGeom prst="roundRect">
            <a:avLst>
              <a:gd name="adj" fmla="val 16667"/>
            </a:avLst>
          </a:prstGeom>
          <a:solidFill>
            <a:srgbClr val="0000ff"/>
          </a:solidFill>
          <a:ln w="9525">
            <a:solidFill>
              <a:srgbClr val="0000ff"/>
            </a:solidFill>
            <a:round/>
          </a:ln>
        </xdr:spPr>
        <xdr:style>
          <a:lnRef idx="0"/>
          <a:fillRef idx="0"/>
          <a:effectRef idx="0"/>
          <a:fontRef idx="minor"/>
        </xdr:style>
      </xdr:sp>
      <xdr:sp>
        <xdr:nvSpPr>
          <xdr:cNvPr id="2498" name="AutoShape 156"/>
          <xdr:cNvSpPr/>
        </xdr:nvSpPr>
        <xdr:spPr>
          <a:xfrm>
            <a:off x="12448800" y="2090880"/>
            <a:ext cx="94680" cy="88200"/>
          </a:xfrm>
          <a:prstGeom prst="roundRect">
            <a:avLst>
              <a:gd name="adj" fmla="val 16667"/>
            </a:avLst>
          </a:prstGeom>
          <a:solidFill>
            <a:srgbClr val="0000ff"/>
          </a:solidFill>
          <a:ln w="9525">
            <a:solidFill>
              <a:srgbClr val="0000ff"/>
            </a:solidFill>
            <a:round/>
          </a:ln>
        </xdr:spPr>
        <xdr:style>
          <a:lnRef idx="0"/>
          <a:fillRef idx="0"/>
          <a:effectRef idx="0"/>
          <a:fontRef idx="minor"/>
        </xdr:style>
      </xdr:sp>
      <xdr:sp>
        <xdr:nvSpPr>
          <xdr:cNvPr id="2499" name="AutoShape 153"/>
          <xdr:cNvSpPr/>
        </xdr:nvSpPr>
        <xdr:spPr>
          <a:xfrm>
            <a:off x="13717080" y="5180040"/>
            <a:ext cx="94680" cy="8820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500" name="AutoShape 149"/>
          <xdr:cNvSpPr/>
        </xdr:nvSpPr>
        <xdr:spPr>
          <a:xfrm>
            <a:off x="14088240" y="5191560"/>
            <a:ext cx="94680" cy="8820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501" name="AutoShape 147"/>
          <xdr:cNvSpPr/>
        </xdr:nvSpPr>
        <xdr:spPr>
          <a:xfrm>
            <a:off x="14088240" y="5745240"/>
            <a:ext cx="94680" cy="88200"/>
          </a:xfrm>
          <a:prstGeom prst="roundRect">
            <a:avLst>
              <a:gd name="adj" fmla="val 16667"/>
            </a:avLst>
          </a:prstGeom>
          <a:solidFill>
            <a:srgbClr val="0000ff"/>
          </a:solidFill>
          <a:ln w="9525">
            <a:solidFill>
              <a:srgbClr val="0000ff"/>
            </a:solidFill>
            <a:round/>
          </a:ln>
        </xdr:spPr>
        <xdr:style>
          <a:lnRef idx="0"/>
          <a:fillRef idx="0"/>
          <a:effectRef idx="0"/>
          <a:fontRef idx="minor"/>
        </xdr:style>
      </xdr:sp>
      <xdr:sp>
        <xdr:nvSpPr>
          <xdr:cNvPr id="2502" name="AutoShape 146"/>
          <xdr:cNvSpPr/>
        </xdr:nvSpPr>
        <xdr:spPr>
          <a:xfrm>
            <a:off x="13717080" y="5745240"/>
            <a:ext cx="94680" cy="88200"/>
          </a:xfrm>
          <a:prstGeom prst="roundRect">
            <a:avLst>
              <a:gd name="adj" fmla="val 16667"/>
            </a:avLst>
          </a:prstGeom>
          <a:solidFill>
            <a:srgbClr val="0000ff"/>
          </a:solidFill>
          <a:ln w="9525">
            <a:solidFill>
              <a:srgbClr val="0000ff"/>
            </a:solidFill>
            <a:round/>
          </a:ln>
        </xdr:spPr>
        <xdr:style>
          <a:lnRef idx="0"/>
          <a:fillRef idx="0"/>
          <a:effectRef idx="0"/>
          <a:fontRef idx="minor"/>
        </xdr:style>
      </xdr:sp>
      <xdr:sp>
        <xdr:nvSpPr>
          <xdr:cNvPr id="2503" name="Oval 129"/>
          <xdr:cNvSpPr/>
        </xdr:nvSpPr>
        <xdr:spPr>
          <a:xfrm>
            <a:off x="12949200" y="6576840"/>
            <a:ext cx="266760" cy="233280"/>
          </a:xfrm>
          <a:prstGeom prst="ellipse">
            <a:avLst/>
          </a:prstGeom>
          <a:noFill/>
          <a:ln w="12700">
            <a:solidFill>
              <a:srgbClr val="ff0000"/>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504" name="Oval 130"/>
          <xdr:cNvSpPr/>
        </xdr:nvSpPr>
        <xdr:spPr>
          <a:xfrm>
            <a:off x="12949200" y="6692040"/>
            <a:ext cx="266760" cy="233280"/>
          </a:xfrm>
          <a:prstGeom prst="ellipse">
            <a:avLst/>
          </a:prstGeom>
          <a:noFill/>
          <a:ln w="12700">
            <a:solidFill>
              <a:srgbClr val="0000ff"/>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505" name="Line 134"/>
          <xdr:cNvSpPr/>
        </xdr:nvSpPr>
        <xdr:spPr>
          <a:xfrm>
            <a:off x="13083840" y="6925680"/>
            <a:ext cx="360" cy="218520"/>
          </a:xfrm>
          <a:prstGeom prst="line">
            <a:avLst/>
          </a:prstGeom>
          <a:ln w="25400">
            <a:solidFill>
              <a:srgbClr val="0000ff"/>
            </a:solidFill>
            <a:round/>
          </a:ln>
        </xdr:spPr>
        <xdr:style>
          <a:lnRef idx="0"/>
          <a:fillRef idx="0"/>
          <a:effectRef idx="0"/>
          <a:fontRef idx="minor"/>
        </xdr:style>
      </xdr:sp>
      <xdr:sp>
        <xdr:nvSpPr>
          <xdr:cNvPr id="2506" name="Line 137"/>
          <xdr:cNvSpPr/>
        </xdr:nvSpPr>
        <xdr:spPr>
          <a:xfrm>
            <a:off x="13086720" y="6407640"/>
            <a:ext cx="360" cy="174600"/>
          </a:xfrm>
          <a:prstGeom prst="line">
            <a:avLst/>
          </a:prstGeom>
          <a:ln w="25400">
            <a:solidFill>
              <a:srgbClr val="ff0000"/>
            </a:solidFill>
            <a:round/>
          </a:ln>
        </xdr:spPr>
        <xdr:style>
          <a:lnRef idx="0"/>
          <a:fillRef idx="0"/>
          <a:effectRef idx="0"/>
          <a:fontRef idx="minor"/>
        </xdr:style>
      </xdr:sp>
      <xdr:sp>
        <xdr:nvSpPr>
          <xdr:cNvPr id="2507" name="AutoShape 162"/>
          <xdr:cNvSpPr/>
        </xdr:nvSpPr>
        <xdr:spPr>
          <a:xfrm>
            <a:off x="13038840" y="6453720"/>
            <a:ext cx="94680" cy="8928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508" name="AutoShape 142"/>
          <xdr:cNvSpPr/>
        </xdr:nvSpPr>
        <xdr:spPr>
          <a:xfrm>
            <a:off x="13038120" y="6967080"/>
            <a:ext cx="94680" cy="89280"/>
          </a:xfrm>
          <a:prstGeom prst="roundRect">
            <a:avLst>
              <a:gd name="adj" fmla="val 16667"/>
            </a:avLst>
          </a:prstGeom>
          <a:solidFill>
            <a:srgbClr val="0000ff"/>
          </a:solidFill>
          <a:ln w="9525">
            <a:solidFill>
              <a:srgbClr val="0000ff"/>
            </a:solidFill>
            <a:round/>
          </a:ln>
        </xdr:spPr>
        <xdr:style>
          <a:lnRef idx="0"/>
          <a:fillRef idx="0"/>
          <a:effectRef idx="0"/>
          <a:fontRef idx="minor"/>
        </xdr:style>
      </xdr:sp>
      <xdr:sp>
        <xdr:nvSpPr>
          <xdr:cNvPr id="2509" name="Text Box 169"/>
          <xdr:cNvSpPr/>
        </xdr:nvSpPr>
        <xdr:spPr>
          <a:xfrm>
            <a:off x="13242960" y="4924800"/>
            <a:ext cx="1354680" cy="36072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Rio Cordoba 110 KV</a:t>
            </a:r>
            <a:endParaRPr b="0" lang="en-GB" sz="900" spc="-1" strike="noStrike">
              <a:latin typeface="Times New Roman"/>
            </a:endParaRPr>
          </a:p>
        </xdr:txBody>
      </xdr:sp>
      <xdr:sp>
        <xdr:nvSpPr>
          <xdr:cNvPr id="2510" name="Text Box 159"/>
          <xdr:cNvSpPr/>
        </xdr:nvSpPr>
        <xdr:spPr>
          <a:xfrm>
            <a:off x="11225160" y="1815480"/>
            <a:ext cx="1586160" cy="36180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Santa Marta  220 kV</a:t>
            </a:r>
            <a:endParaRPr b="0" lang="en-GB" sz="900" spc="-1" strike="noStrike">
              <a:latin typeface="Times New Roman"/>
            </a:endParaRPr>
          </a:p>
        </xdr:txBody>
      </xdr:sp>
      <xdr:sp>
        <xdr:nvSpPr>
          <xdr:cNvPr id="2511" name="Line 168"/>
          <xdr:cNvSpPr/>
        </xdr:nvSpPr>
        <xdr:spPr>
          <a:xfrm>
            <a:off x="10317600" y="5145120"/>
            <a:ext cx="815760" cy="360"/>
          </a:xfrm>
          <a:prstGeom prst="line">
            <a:avLst/>
          </a:prstGeom>
          <a:ln w="25400">
            <a:solidFill>
              <a:srgbClr val="ff0000"/>
            </a:solidFill>
            <a:round/>
          </a:ln>
        </xdr:spPr>
        <xdr:style>
          <a:lnRef idx="0"/>
          <a:fillRef idx="0"/>
          <a:effectRef idx="0"/>
          <a:fontRef idx="minor"/>
        </xdr:style>
      </xdr:sp>
      <xdr:sp>
        <xdr:nvSpPr>
          <xdr:cNvPr id="2512" name="Text Box 169"/>
          <xdr:cNvSpPr/>
        </xdr:nvSpPr>
        <xdr:spPr>
          <a:xfrm>
            <a:off x="10177560" y="5146560"/>
            <a:ext cx="1187280" cy="260280"/>
          </a:xfrm>
          <a:prstGeom prst="rect">
            <a:avLst/>
          </a:prstGeom>
          <a:noFill/>
          <a:ln w="9525">
            <a:noFill/>
          </a:ln>
        </xdr:spPr>
        <xdr:style>
          <a:lnRef idx="0"/>
          <a:fillRef idx="0"/>
          <a:effectRef idx="0"/>
          <a:fontRef idx="minor"/>
        </xdr:style>
        <xdr:txBody>
          <a:bodyPr vertOverflow="clip" lIns="73080" rIns="73080" tIns="36720" bIns="36720" anchor="t" upright="1">
            <a:noAutofit/>
          </a:bodyPr>
          <a:p>
            <a:pPr>
              <a:lnSpc>
                <a:spcPct val="100000"/>
              </a:lnSpc>
            </a:pPr>
            <a:r>
              <a:rPr b="0" lang="es-CO" sz="900" spc="-1" strike="noStrike">
                <a:solidFill>
                  <a:srgbClr val="40637a"/>
                </a:solidFill>
                <a:latin typeface="Arial"/>
              </a:rPr>
              <a:t>Ciénaga 110 KV</a:t>
            </a:r>
            <a:endParaRPr b="0" lang="en-GB" sz="900" spc="-1" strike="noStrike">
              <a:latin typeface="Times New Roman"/>
            </a:endParaRPr>
          </a:p>
        </xdr:txBody>
      </xdr:sp>
      <xdr:sp>
        <xdr:nvSpPr>
          <xdr:cNvPr id="2513" name="Line 171"/>
          <xdr:cNvSpPr/>
        </xdr:nvSpPr>
        <xdr:spPr>
          <a:xfrm>
            <a:off x="10737360" y="4895640"/>
            <a:ext cx="360" cy="240120"/>
          </a:xfrm>
          <a:prstGeom prst="line">
            <a:avLst/>
          </a:prstGeom>
          <a:ln w="12700">
            <a:solidFill>
              <a:srgbClr val="ff0000"/>
            </a:solidFill>
            <a:round/>
          </a:ln>
        </xdr:spPr>
        <xdr:style>
          <a:lnRef idx="0"/>
          <a:fillRef idx="0"/>
          <a:effectRef idx="0"/>
          <a:fontRef idx="minor"/>
        </xdr:style>
      </xdr:sp>
      <xdr:sp>
        <xdr:nvSpPr>
          <xdr:cNvPr id="2514" name="AutoShape 166"/>
          <xdr:cNvSpPr/>
        </xdr:nvSpPr>
        <xdr:spPr>
          <a:xfrm>
            <a:off x="10685520" y="4997880"/>
            <a:ext cx="94320" cy="8820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515" name="386 Rectángulo redondeado"/>
          <xdr:cNvSpPr/>
        </xdr:nvSpPr>
        <xdr:spPr>
          <a:xfrm>
            <a:off x="7068240" y="3219480"/>
            <a:ext cx="93960" cy="8928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516" name="389 Rectángulo redondeado"/>
          <xdr:cNvSpPr/>
        </xdr:nvSpPr>
        <xdr:spPr>
          <a:xfrm>
            <a:off x="7068240" y="4911840"/>
            <a:ext cx="93960" cy="8928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517" name="Line 38"/>
          <xdr:cNvSpPr/>
        </xdr:nvSpPr>
        <xdr:spPr>
          <a:xfrm>
            <a:off x="7108200" y="3161880"/>
            <a:ext cx="360" cy="1901880"/>
          </a:xfrm>
          <a:prstGeom prst="line">
            <a:avLst/>
          </a:prstGeom>
          <a:ln w="9525">
            <a:solidFill>
              <a:srgbClr val="ff0000"/>
            </a:solidFill>
            <a:round/>
          </a:ln>
        </xdr:spPr>
        <xdr:style>
          <a:lnRef idx="0"/>
          <a:fillRef idx="0"/>
          <a:effectRef idx="0"/>
          <a:fontRef idx="minor"/>
        </xdr:style>
      </xdr:sp>
      <xdr:sp>
        <xdr:nvSpPr>
          <xdr:cNvPr id="2518" name="Text Box 43"/>
          <xdr:cNvSpPr/>
        </xdr:nvSpPr>
        <xdr:spPr>
          <a:xfrm>
            <a:off x="5358600" y="4787640"/>
            <a:ext cx="1168920" cy="28404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Calibri"/>
              </a:rPr>
              <a:t>Riohacha 110 kV</a:t>
            </a:r>
            <a:endParaRPr b="0" lang="en-GB" sz="1050" spc="-1" strike="noStrike">
              <a:latin typeface="Times New Roman"/>
            </a:endParaRPr>
          </a:p>
          <a:p>
            <a:pPr>
              <a:lnSpc>
                <a:spcPct val="100000"/>
              </a:lnSpc>
            </a:pPr>
            <a:endParaRPr b="0" lang="en-GB" sz="1050" spc="-1" strike="noStrike">
              <a:latin typeface="Times New Roman"/>
            </a:endParaRPr>
          </a:p>
        </xdr:txBody>
      </xdr:sp>
      <xdr:sp>
        <xdr:nvSpPr>
          <xdr:cNvPr id="2519" name="Oval 129"/>
          <xdr:cNvSpPr/>
        </xdr:nvSpPr>
        <xdr:spPr>
          <a:xfrm>
            <a:off x="12295080" y="6579720"/>
            <a:ext cx="266760" cy="233280"/>
          </a:xfrm>
          <a:prstGeom prst="ellipse">
            <a:avLst/>
          </a:prstGeom>
          <a:noFill/>
          <a:ln w="12700">
            <a:solidFill>
              <a:srgbClr val="ff0000"/>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520" name="Oval 130"/>
          <xdr:cNvSpPr/>
        </xdr:nvSpPr>
        <xdr:spPr>
          <a:xfrm>
            <a:off x="12295080" y="6694920"/>
            <a:ext cx="266760" cy="233280"/>
          </a:xfrm>
          <a:prstGeom prst="ellipse">
            <a:avLst/>
          </a:prstGeom>
          <a:noFill/>
          <a:ln w="12700">
            <a:solidFill>
              <a:srgbClr val="0000ff"/>
            </a:solidFill>
            <a:round/>
          </a:ln>
        </xdr:spPr>
        <xdr:style>
          <a:lnRef idx="0"/>
          <a:fillRef idx="0"/>
          <a:effectRef idx="0"/>
          <a:fontRef idx="minor"/>
        </xdr:style>
        <xdr:txBody>
          <a:bodyPr vertOverflow="clip" lIns="73080" rIns="73080" tIns="36720" bIns="36720" anchor="t" upright="1">
            <a:noAutofit/>
          </a:bodyPr>
          <a:p>
            <a:pPr>
              <a:lnSpc>
                <a:spcPct val="100000"/>
              </a:lnSpc>
            </a:pPr>
            <a:r>
              <a:rPr b="0" lang="es-CO" sz="2400" spc="-1" strike="noStrike">
                <a:solidFill>
                  <a:srgbClr val="40637a"/>
                </a:solidFill>
                <a:latin typeface="Arial"/>
              </a:rPr>
              <a:t> </a:t>
            </a:r>
            <a:endParaRPr b="0" lang="en-GB" sz="2400" spc="-1" strike="noStrike">
              <a:latin typeface="Times New Roman"/>
            </a:endParaRPr>
          </a:p>
        </xdr:txBody>
      </xdr:sp>
      <xdr:sp>
        <xdr:nvSpPr>
          <xdr:cNvPr id="2521" name="Line 134"/>
          <xdr:cNvSpPr/>
        </xdr:nvSpPr>
        <xdr:spPr>
          <a:xfrm>
            <a:off x="12429720" y="6928200"/>
            <a:ext cx="360" cy="204840"/>
          </a:xfrm>
          <a:prstGeom prst="line">
            <a:avLst/>
          </a:prstGeom>
          <a:ln w="25400">
            <a:solidFill>
              <a:srgbClr val="0000ff"/>
            </a:solidFill>
            <a:round/>
          </a:ln>
        </xdr:spPr>
        <xdr:style>
          <a:lnRef idx="0"/>
          <a:fillRef idx="0"/>
          <a:effectRef idx="0"/>
          <a:fontRef idx="minor"/>
        </xdr:style>
      </xdr:sp>
      <xdr:sp>
        <xdr:nvSpPr>
          <xdr:cNvPr id="2522" name="Line 137"/>
          <xdr:cNvSpPr/>
        </xdr:nvSpPr>
        <xdr:spPr>
          <a:xfrm>
            <a:off x="12432240" y="6410160"/>
            <a:ext cx="360" cy="174960"/>
          </a:xfrm>
          <a:prstGeom prst="line">
            <a:avLst/>
          </a:prstGeom>
          <a:ln w="25400">
            <a:solidFill>
              <a:srgbClr val="ff0000"/>
            </a:solidFill>
            <a:round/>
          </a:ln>
        </xdr:spPr>
        <xdr:style>
          <a:lnRef idx="0"/>
          <a:fillRef idx="0"/>
          <a:effectRef idx="0"/>
          <a:fontRef idx="minor"/>
        </xdr:style>
      </xdr:sp>
      <xdr:sp>
        <xdr:nvSpPr>
          <xdr:cNvPr id="2523" name="AutoShape 162"/>
          <xdr:cNvSpPr/>
        </xdr:nvSpPr>
        <xdr:spPr>
          <a:xfrm>
            <a:off x="12384720" y="6456600"/>
            <a:ext cx="94680" cy="89280"/>
          </a:xfrm>
          <a:prstGeom prst="roundRect">
            <a:avLst>
              <a:gd name="adj" fmla="val 16667"/>
            </a:avLst>
          </a:prstGeom>
          <a:solidFill>
            <a:srgbClr val="ff0000"/>
          </a:solidFill>
          <a:ln w="9525">
            <a:solidFill>
              <a:srgbClr val="ff0000"/>
            </a:solidFill>
            <a:round/>
          </a:ln>
        </xdr:spPr>
        <xdr:style>
          <a:lnRef idx="0"/>
          <a:fillRef idx="0"/>
          <a:effectRef idx="0"/>
          <a:fontRef idx="minor"/>
        </xdr:style>
      </xdr:sp>
      <xdr:sp>
        <xdr:nvSpPr>
          <xdr:cNvPr id="2524" name="AutoShape 142"/>
          <xdr:cNvSpPr/>
        </xdr:nvSpPr>
        <xdr:spPr>
          <a:xfrm>
            <a:off x="12383640" y="6969600"/>
            <a:ext cx="94680" cy="89280"/>
          </a:xfrm>
          <a:prstGeom prst="roundRect">
            <a:avLst>
              <a:gd name="adj" fmla="val 16667"/>
            </a:avLst>
          </a:prstGeom>
          <a:solidFill>
            <a:srgbClr val="0000ff"/>
          </a:solidFill>
          <a:ln w="9525">
            <a:solidFill>
              <a:srgbClr val="0000ff"/>
            </a:solidFill>
            <a:round/>
          </a:ln>
        </xdr:spPr>
        <xdr:style>
          <a:lnRef idx="0"/>
          <a:fillRef idx="0"/>
          <a:effectRef idx="0"/>
          <a:fontRef idx="minor"/>
        </xdr:style>
      </xdr:sp>
      <xdr:grpSp>
        <xdr:nvGrpSpPr>
          <xdr:cNvPr id="2525" name="Grupo 1086"/>
          <xdr:cNvGrpSpPr/>
        </xdr:nvGrpSpPr>
        <xdr:grpSpPr>
          <a:xfrm>
            <a:off x="8147520" y="3180960"/>
            <a:ext cx="2130840" cy="2012400"/>
            <a:chOff x="8147520" y="3180960"/>
            <a:chExt cx="2130840" cy="2012400"/>
          </a:xfrm>
        </xdr:grpSpPr>
        <xdr:sp>
          <xdr:nvSpPr>
            <xdr:cNvPr id="2526" name="Text Box 43"/>
            <xdr:cNvSpPr/>
          </xdr:nvSpPr>
          <xdr:spPr>
            <a:xfrm>
              <a:off x="8605080" y="4865760"/>
              <a:ext cx="1673280" cy="28404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Calibri"/>
                </a:rPr>
                <a:t>Maicao 110 kV</a:t>
              </a:r>
              <a:endParaRPr b="0" lang="en-GB" sz="1050" spc="-1" strike="noStrike">
                <a:latin typeface="Times New Roman"/>
              </a:endParaRPr>
            </a:p>
            <a:p>
              <a:pPr>
                <a:lnSpc>
                  <a:spcPct val="100000"/>
                </a:lnSpc>
              </a:pPr>
              <a:endParaRPr b="0" lang="en-GB" sz="1050" spc="-1" strike="noStrike">
                <a:latin typeface="Times New Roman"/>
              </a:endParaRPr>
            </a:p>
          </xdr:txBody>
        </xdr:sp>
        <xdr:grpSp>
          <xdr:nvGrpSpPr>
            <xdr:cNvPr id="2527" name="Grupo 1102"/>
            <xdr:cNvGrpSpPr/>
          </xdr:nvGrpSpPr>
          <xdr:grpSpPr>
            <a:xfrm>
              <a:off x="8147520" y="3180960"/>
              <a:ext cx="681120" cy="2012400"/>
              <a:chOff x="8147520" y="3180960"/>
              <a:chExt cx="681120" cy="2012400"/>
            </a:xfrm>
          </xdr:grpSpPr>
          <xdr:sp>
            <xdr:nvSpPr>
              <xdr:cNvPr id="2528" name="392 Rectángulo redondeado"/>
              <xdr:cNvSpPr/>
            </xdr:nvSpPr>
            <xdr:spPr>
              <a:xfrm>
                <a:off x="8233200" y="4914720"/>
                <a:ext cx="93600" cy="8928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nvGrpSpPr>
              <xdr:cNvPr id="2529" name="Grupo 1104"/>
              <xdr:cNvGrpSpPr/>
            </xdr:nvGrpSpPr>
            <xdr:grpSpPr>
              <a:xfrm>
                <a:off x="8147520" y="3180960"/>
                <a:ext cx="681120" cy="2012400"/>
                <a:chOff x="8147520" y="3180960"/>
                <a:chExt cx="681120" cy="2012400"/>
              </a:xfrm>
            </xdr:grpSpPr>
            <xdr:sp>
              <xdr:nvSpPr>
                <xdr:cNvPr id="2530" name="Line 47"/>
                <xdr:cNvSpPr/>
              </xdr:nvSpPr>
              <xdr:spPr>
                <a:xfrm>
                  <a:off x="8484840" y="3180960"/>
                  <a:ext cx="360" cy="1644840"/>
                </a:xfrm>
                <a:prstGeom prst="line">
                  <a:avLst/>
                </a:prstGeom>
                <a:ln w="9525">
                  <a:solidFill>
                    <a:srgbClr val="ff0000"/>
                  </a:solidFill>
                  <a:round/>
                </a:ln>
              </xdr:spPr>
              <xdr:style>
                <a:lnRef idx="0"/>
                <a:fillRef idx="0"/>
                <a:effectRef idx="0"/>
                <a:fontRef idx="minor"/>
              </xdr:style>
            </xdr:sp>
            <xdr:grpSp>
              <xdr:nvGrpSpPr>
                <xdr:cNvPr id="2531" name="Grupo 1106"/>
                <xdr:cNvGrpSpPr/>
              </xdr:nvGrpSpPr>
              <xdr:grpSpPr>
                <a:xfrm>
                  <a:off x="8147520" y="3231720"/>
                  <a:ext cx="681120" cy="1961640"/>
                  <a:chOff x="8147520" y="3231720"/>
                  <a:chExt cx="681120" cy="1961640"/>
                </a:xfrm>
              </xdr:grpSpPr>
              <xdr:sp>
                <xdr:nvSpPr>
                  <xdr:cNvPr id="2532" name="Line 46"/>
                  <xdr:cNvSpPr/>
                </xdr:nvSpPr>
                <xdr:spPr>
                  <a:xfrm>
                    <a:off x="8182440" y="4834800"/>
                    <a:ext cx="646200" cy="360"/>
                  </a:xfrm>
                  <a:prstGeom prst="line">
                    <a:avLst/>
                  </a:prstGeom>
                  <a:ln w="25400">
                    <a:solidFill>
                      <a:srgbClr val="ff0000"/>
                    </a:solidFill>
                    <a:round/>
                  </a:ln>
                </xdr:spPr>
                <xdr:style>
                  <a:lnRef idx="0"/>
                  <a:fillRef idx="0"/>
                  <a:effectRef idx="0"/>
                  <a:fontRef idx="minor"/>
                </xdr:style>
              </xdr:sp>
              <xdr:grpSp>
                <xdr:nvGrpSpPr>
                  <xdr:cNvPr id="2533" name="Group 54"/>
                  <xdr:cNvGrpSpPr/>
                </xdr:nvGrpSpPr>
                <xdr:grpSpPr>
                  <a:xfrm>
                    <a:off x="8147520" y="4836960"/>
                    <a:ext cx="269280" cy="356400"/>
                    <a:chOff x="8147520" y="4836960"/>
                    <a:chExt cx="269280" cy="356400"/>
                  </a:xfrm>
                </xdr:grpSpPr>
                <xdr:sp>
                  <xdr:nvSpPr>
                    <xdr:cNvPr id="2534" name="Line 257"/>
                    <xdr:cNvSpPr/>
                  </xdr:nvSpPr>
                  <xdr:spPr>
                    <a:xfrm flipV="1">
                      <a:off x="8294400" y="4836960"/>
                      <a:ext cx="360" cy="236880"/>
                    </a:xfrm>
                    <a:prstGeom prst="line">
                      <a:avLst/>
                    </a:prstGeom>
                    <a:ln w="15875">
                      <a:solidFill>
                        <a:srgbClr val="ff0000"/>
                      </a:solidFill>
                      <a:round/>
                    </a:ln>
                  </xdr:spPr>
                  <xdr:style>
                    <a:lnRef idx="0"/>
                    <a:fillRef idx="0"/>
                    <a:effectRef idx="0"/>
                    <a:fontRef idx="minor"/>
                  </xdr:style>
                </xdr:sp>
                <xdr:sp>
                  <xdr:nvSpPr>
                    <xdr:cNvPr id="2535" name="Line 257"/>
                    <xdr:cNvSpPr/>
                  </xdr:nvSpPr>
                  <xdr:spPr>
                    <a:xfrm flipH="1" flipV="1">
                      <a:off x="8159040" y="5073840"/>
                      <a:ext cx="257760" cy="1080"/>
                    </a:xfrm>
                    <a:prstGeom prst="line">
                      <a:avLst/>
                    </a:prstGeom>
                    <a:ln w="15875">
                      <a:solidFill>
                        <a:srgbClr val="ff0000"/>
                      </a:solidFill>
                      <a:round/>
                    </a:ln>
                  </xdr:spPr>
                  <xdr:style>
                    <a:lnRef idx="0"/>
                    <a:fillRef idx="0"/>
                    <a:effectRef idx="0"/>
                    <a:fontRef idx="minor"/>
                  </xdr:style>
                </xdr:sp>
                <xdr:sp>
                  <xdr:nvSpPr>
                    <xdr:cNvPr id="2536" name="Line 257"/>
                    <xdr:cNvSpPr/>
                  </xdr:nvSpPr>
                  <xdr:spPr>
                    <a:xfrm flipH="1" flipV="1">
                      <a:off x="8285040" y="5120640"/>
                      <a:ext cx="1080" cy="64800"/>
                    </a:xfrm>
                    <a:prstGeom prst="line">
                      <a:avLst/>
                    </a:prstGeom>
                    <a:ln w="15875">
                      <a:solidFill>
                        <a:srgbClr val="ff0000"/>
                      </a:solidFill>
                      <a:round/>
                    </a:ln>
                  </xdr:spPr>
                  <xdr:style>
                    <a:lnRef idx="0"/>
                    <a:fillRef idx="0"/>
                    <a:effectRef idx="0"/>
                    <a:fontRef idx="minor"/>
                  </xdr:style>
                </xdr:sp>
                <xdr:sp>
                  <xdr:nvSpPr>
                    <xdr:cNvPr id="2537" name="Line 257"/>
                    <xdr:cNvSpPr/>
                  </xdr:nvSpPr>
                  <xdr:spPr>
                    <a:xfrm flipH="1" flipV="1">
                      <a:off x="8197200" y="5192640"/>
                      <a:ext cx="185760" cy="720"/>
                    </a:xfrm>
                    <a:prstGeom prst="line">
                      <a:avLst/>
                    </a:prstGeom>
                    <a:ln w="15875">
                      <a:solidFill>
                        <a:srgbClr val="ff0000"/>
                      </a:solidFill>
                      <a:round/>
                    </a:ln>
                  </xdr:spPr>
                  <xdr:style>
                    <a:lnRef idx="0"/>
                    <a:fillRef idx="0"/>
                    <a:effectRef idx="0"/>
                    <a:fontRef idx="minor"/>
                  </xdr:style>
                </xdr:sp>
                <xdr:sp>
                  <xdr:nvSpPr>
                    <xdr:cNvPr id="2538" name="Line 257"/>
                    <xdr:cNvSpPr/>
                  </xdr:nvSpPr>
                  <xdr:spPr>
                    <a:xfrm flipH="1" flipV="1">
                      <a:off x="8147520" y="5119920"/>
                      <a:ext cx="257760" cy="720"/>
                    </a:xfrm>
                    <a:prstGeom prst="line">
                      <a:avLst/>
                    </a:prstGeom>
                    <a:ln w="15875">
                      <a:solidFill>
                        <a:srgbClr val="ff0000"/>
                      </a:solidFill>
                      <a:round/>
                    </a:ln>
                  </xdr:spPr>
                  <xdr:style>
                    <a:lnRef idx="0"/>
                    <a:fillRef idx="0"/>
                    <a:effectRef idx="0"/>
                    <a:fontRef idx="minor"/>
                  </xdr:style>
                </xdr:sp>
              </xdr:grpSp>
              <xdr:sp>
                <xdr:nvSpPr>
                  <xdr:cNvPr id="2539" name="387 Rectángulo redondeado"/>
                  <xdr:cNvSpPr/>
                </xdr:nvSpPr>
                <xdr:spPr>
                  <a:xfrm>
                    <a:off x="8434080" y="3231720"/>
                    <a:ext cx="93600" cy="8928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540" name="388 Rectángulo redondeado"/>
                  <xdr:cNvSpPr/>
                </xdr:nvSpPr>
                <xdr:spPr>
                  <a:xfrm>
                    <a:off x="8443440" y="4677840"/>
                    <a:ext cx="93600" cy="8928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541" name="393 Rectángulo redondeado"/>
                  <xdr:cNvSpPr/>
                </xdr:nvSpPr>
                <xdr:spPr>
                  <a:xfrm>
                    <a:off x="8443440" y="4914720"/>
                    <a:ext cx="93600" cy="8928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grpSp>
          </xdr:grpSp>
        </xdr:grpSp>
      </xdr:grpSp>
      <xdr:sp>
        <xdr:nvSpPr>
          <xdr:cNvPr id="2542" name="Line 38"/>
          <xdr:cNvSpPr/>
        </xdr:nvSpPr>
        <xdr:spPr>
          <a:xfrm>
            <a:off x="8483400" y="4827240"/>
            <a:ext cx="360" cy="658800"/>
          </a:xfrm>
          <a:prstGeom prst="line">
            <a:avLst/>
          </a:prstGeom>
          <a:ln w="9525">
            <a:solidFill>
              <a:srgbClr val="ff0000"/>
            </a:solidFill>
            <a:round/>
          </a:ln>
        </xdr:spPr>
        <xdr:style>
          <a:lnRef idx="0"/>
          <a:fillRef idx="0"/>
          <a:effectRef idx="0"/>
          <a:fontRef idx="minor"/>
        </xdr:style>
      </xdr:sp>
      <xdr:sp>
        <xdr:nvSpPr>
          <xdr:cNvPr id="2543" name="388 Rectángulo redondeado"/>
          <xdr:cNvSpPr/>
        </xdr:nvSpPr>
        <xdr:spPr>
          <a:xfrm>
            <a:off x="7006320" y="5130720"/>
            <a:ext cx="93960" cy="8928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544" name="Line 38"/>
          <xdr:cNvSpPr/>
        </xdr:nvSpPr>
        <xdr:spPr>
          <a:xfrm>
            <a:off x="7057800" y="5061240"/>
            <a:ext cx="360" cy="424440"/>
          </a:xfrm>
          <a:prstGeom prst="line">
            <a:avLst/>
          </a:prstGeom>
          <a:ln w="9525">
            <a:solidFill>
              <a:srgbClr val="ff0000"/>
            </a:solidFill>
            <a:round/>
          </a:ln>
        </xdr:spPr>
        <xdr:style>
          <a:lnRef idx="0"/>
          <a:fillRef idx="0"/>
          <a:effectRef idx="0"/>
          <a:fontRef idx="minor"/>
        </xdr:style>
      </xdr:sp>
      <xdr:sp>
        <xdr:nvSpPr>
          <xdr:cNvPr id="2545" name="Line 38"/>
          <xdr:cNvSpPr/>
        </xdr:nvSpPr>
        <xdr:spPr>
          <a:xfrm flipH="1">
            <a:off x="7057440" y="5480280"/>
            <a:ext cx="1428120" cy="360"/>
          </a:xfrm>
          <a:prstGeom prst="line">
            <a:avLst/>
          </a:prstGeom>
          <a:ln w="9525">
            <a:solidFill>
              <a:srgbClr val="ff0000"/>
            </a:solidFill>
            <a:round/>
          </a:ln>
        </xdr:spPr>
        <xdr:style>
          <a:lnRef idx="0"/>
          <a:fillRef idx="0"/>
          <a:effectRef idx="0"/>
          <a:fontRef idx="minor"/>
        </xdr:style>
      </xdr:sp>
      <xdr:sp>
        <xdr:nvSpPr>
          <xdr:cNvPr id="2546" name="386 Rectángulo redondeado"/>
          <xdr:cNvSpPr/>
        </xdr:nvSpPr>
        <xdr:spPr>
          <a:xfrm>
            <a:off x="6854040" y="3223800"/>
            <a:ext cx="93960" cy="8928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547" name="389 Rectángulo redondeado"/>
          <xdr:cNvSpPr/>
        </xdr:nvSpPr>
        <xdr:spPr>
          <a:xfrm>
            <a:off x="6858360" y="4916160"/>
            <a:ext cx="93960" cy="8928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sp>
        <xdr:nvSpPr>
          <xdr:cNvPr id="2548" name="Line 38"/>
          <xdr:cNvSpPr/>
        </xdr:nvSpPr>
        <xdr:spPr>
          <a:xfrm>
            <a:off x="6898320" y="3166200"/>
            <a:ext cx="360" cy="1901880"/>
          </a:xfrm>
          <a:prstGeom prst="line">
            <a:avLst/>
          </a:prstGeom>
          <a:ln w="9525">
            <a:solidFill>
              <a:srgbClr val="ff0000"/>
            </a:solidFill>
            <a:round/>
          </a:ln>
        </xdr:spPr>
        <xdr:style>
          <a:lnRef idx="0"/>
          <a:fillRef idx="0"/>
          <a:effectRef idx="0"/>
          <a:fontRef idx="minor"/>
        </xdr:style>
      </xdr:sp>
      <xdr:sp>
        <xdr:nvSpPr>
          <xdr:cNvPr id="2549" name="Line 99"/>
          <xdr:cNvSpPr/>
        </xdr:nvSpPr>
        <xdr:spPr>
          <a:xfrm>
            <a:off x="3631320" y="3828240"/>
            <a:ext cx="860760" cy="360"/>
          </a:xfrm>
          <a:prstGeom prst="line">
            <a:avLst/>
          </a:prstGeom>
          <a:ln w="25400">
            <a:solidFill>
              <a:srgbClr val="ff0000"/>
            </a:solidFill>
            <a:round/>
          </a:ln>
        </xdr:spPr>
        <xdr:style>
          <a:lnRef idx="0"/>
          <a:fillRef idx="0"/>
          <a:effectRef idx="0"/>
          <a:fontRef idx="minor"/>
        </xdr:style>
      </xdr:sp>
      <xdr:sp>
        <xdr:nvSpPr>
          <xdr:cNvPr id="2550" name="Line 78"/>
          <xdr:cNvSpPr/>
        </xdr:nvSpPr>
        <xdr:spPr>
          <a:xfrm>
            <a:off x="4101120" y="3823920"/>
            <a:ext cx="2160" cy="664560"/>
          </a:xfrm>
          <a:prstGeom prst="line">
            <a:avLst/>
          </a:prstGeom>
          <a:ln w="19050">
            <a:solidFill>
              <a:srgbClr val="ff0000"/>
            </a:solidFill>
            <a:round/>
            <a:tailEnd len="med" type="triangle" w="med"/>
          </a:ln>
        </xdr:spPr>
        <xdr:style>
          <a:lnRef idx="0"/>
          <a:fillRef idx="0"/>
          <a:effectRef idx="0"/>
          <a:fontRef idx="minor"/>
        </xdr:style>
      </xdr:sp>
      <xdr:sp>
        <xdr:nvSpPr>
          <xdr:cNvPr id="2551" name="AutoShape 77"/>
          <xdr:cNvSpPr/>
        </xdr:nvSpPr>
        <xdr:spPr>
          <a:xfrm>
            <a:off x="4058280" y="3903120"/>
            <a:ext cx="86040" cy="90720"/>
          </a:xfrm>
          <a:prstGeom prst="roundRect">
            <a:avLst>
              <a:gd name="adj" fmla="val 16667"/>
            </a:avLst>
          </a:prstGeom>
          <a:solidFill>
            <a:srgbClr val="ff0000"/>
          </a:solidFill>
          <a:ln w="19050">
            <a:solidFill>
              <a:srgbClr val="ff0000"/>
            </a:solidFill>
            <a:round/>
          </a:ln>
        </xdr:spPr>
        <xdr:style>
          <a:lnRef idx="0"/>
          <a:fillRef idx="0"/>
          <a:effectRef idx="0"/>
          <a:fontRef idx="minor"/>
        </xdr:style>
      </xdr:sp>
      <xdr:sp>
        <xdr:nvSpPr>
          <xdr:cNvPr id="2552" name="Text Box 197"/>
          <xdr:cNvSpPr/>
        </xdr:nvSpPr>
        <xdr:spPr>
          <a:xfrm>
            <a:off x="3411000" y="3569400"/>
            <a:ext cx="1348200" cy="43020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Arial"/>
              </a:rPr>
              <a:t>San Juan 110kV</a:t>
            </a:r>
            <a:endParaRPr b="0" lang="en-GB" sz="1050" spc="-1" strike="noStrike">
              <a:latin typeface="Times New Roman"/>
            </a:endParaRPr>
          </a:p>
        </xdr:txBody>
      </xdr:sp>
      <xdr:sp>
        <xdr:nvSpPr>
          <xdr:cNvPr id="2553" name="Text Box 197"/>
          <xdr:cNvSpPr/>
        </xdr:nvSpPr>
        <xdr:spPr>
          <a:xfrm>
            <a:off x="3660840" y="4462920"/>
            <a:ext cx="931320" cy="430200"/>
          </a:xfrm>
          <a:prstGeom prst="rect">
            <a:avLst/>
          </a:prstGeom>
          <a:noFill/>
          <a:ln w="9525">
            <a:noFill/>
          </a:ln>
        </xdr:spPr>
        <xdr:style>
          <a:lnRef idx="0"/>
          <a:fillRef idx="0"/>
          <a:effectRef idx="0"/>
          <a:fontRef idx="minor"/>
        </xdr:style>
        <xdr:txBody>
          <a:bodyPr vertOverflow="clip" anchor="t" upright="1">
            <a:noAutofit/>
          </a:bodyPr>
          <a:p>
            <a:pPr algn="ctr">
              <a:lnSpc>
                <a:spcPct val="100000"/>
              </a:lnSpc>
            </a:pPr>
            <a:r>
              <a:rPr b="0" lang="es-CO" sz="1050" spc="-1" strike="noStrike">
                <a:solidFill>
                  <a:srgbClr val="40637a"/>
                </a:solidFill>
                <a:latin typeface="Arial"/>
              </a:rPr>
              <a:t>Hacia Guatapurí</a:t>
            </a:r>
            <a:endParaRPr b="0" lang="en-GB" sz="1050" spc="-1" strike="noStrike">
              <a:latin typeface="Times New Roman"/>
            </a:endParaRPr>
          </a:p>
        </xdr:txBody>
      </xdr:sp>
      <xdr:sp>
        <xdr:nvSpPr>
          <xdr:cNvPr id="2554" name="Text Box 40"/>
          <xdr:cNvSpPr/>
        </xdr:nvSpPr>
        <xdr:spPr>
          <a:xfrm>
            <a:off x="12258720" y="7144920"/>
            <a:ext cx="1680480" cy="284040"/>
          </a:xfrm>
          <a:prstGeom prst="rect">
            <a:avLst/>
          </a:prstGeom>
          <a:noFill/>
          <a:ln w="9525">
            <a:noFill/>
          </a:ln>
        </xdr:spPr>
        <xdr:style>
          <a:lnRef idx="0"/>
          <a:fillRef idx="0"/>
          <a:effectRef idx="0"/>
          <a:fontRef idx="minor"/>
        </xdr:style>
        <xdr:txBody>
          <a:bodyPr vertOverflow="clip" anchor="t" upright="1">
            <a:noAutofit/>
          </a:bodyPr>
          <a:p>
            <a:pPr>
              <a:lnSpc>
                <a:spcPct val="100000"/>
              </a:lnSpc>
            </a:pPr>
            <a:r>
              <a:rPr b="0" lang="es-CO" sz="1050" spc="-1" strike="noStrike">
                <a:solidFill>
                  <a:srgbClr val="40637a"/>
                </a:solidFill>
                <a:latin typeface="Calibri"/>
              </a:rPr>
              <a:t>FUNDACIÓN 220 kV</a:t>
            </a:r>
            <a:endParaRPr b="0" lang="en-GB" sz="1050" spc="-1" strike="noStrike">
              <a:latin typeface="Times New Roman"/>
            </a:endParaRPr>
          </a:p>
          <a:p>
            <a:pPr>
              <a:lnSpc>
                <a:spcPct val="100000"/>
              </a:lnSpc>
            </a:pPr>
            <a:endParaRPr b="0" lang="en-GB" sz="1050" spc="-1" strike="noStrike">
              <a:latin typeface="Times New Roman"/>
            </a:endParaRPr>
          </a:p>
        </xdr:txBody>
      </xdr:sp>
      <xdr:sp>
        <xdr:nvSpPr>
          <xdr:cNvPr id="2555" name="Line 144"/>
          <xdr:cNvSpPr/>
        </xdr:nvSpPr>
        <xdr:spPr>
          <a:xfrm>
            <a:off x="14133600" y="5689440"/>
            <a:ext cx="360" cy="195120"/>
          </a:xfrm>
          <a:prstGeom prst="line">
            <a:avLst/>
          </a:prstGeom>
          <a:ln w="25400">
            <a:solidFill>
              <a:srgbClr val="0000ff"/>
            </a:solidFill>
            <a:round/>
          </a:ln>
        </xdr:spPr>
        <xdr:style>
          <a:lnRef idx="0"/>
          <a:fillRef idx="0"/>
          <a:effectRef idx="0"/>
          <a:fontRef idx="minor"/>
        </xdr:style>
      </xdr:sp>
    </xdr:grpSp>
    <xdr:clientData/>
  </xdr:twoCellAnchor>
  <xdr:twoCellAnchor editAs="twoCell">
    <xdr:from>
      <xdr:col>10</xdr:col>
      <xdr:colOff>132120</xdr:colOff>
      <xdr:row>54</xdr:row>
      <xdr:rowOff>117720</xdr:rowOff>
    </xdr:from>
    <xdr:to>
      <xdr:col>16</xdr:col>
      <xdr:colOff>283320</xdr:colOff>
      <xdr:row>54</xdr:row>
      <xdr:rowOff>117720</xdr:rowOff>
    </xdr:to>
    <xdr:sp>
      <xdr:nvSpPr>
        <xdr:cNvPr id="2556" name="Line 205"/>
        <xdr:cNvSpPr/>
      </xdr:nvSpPr>
      <xdr:spPr>
        <a:xfrm>
          <a:off x="8514000" y="10604880"/>
          <a:ext cx="5180400" cy="0"/>
        </a:xfrm>
        <a:prstGeom prst="line">
          <a:avLst/>
        </a:prstGeom>
        <a:ln w="25400">
          <a:solidFill>
            <a:srgbClr val="ff0000"/>
          </a:solidFill>
          <a:round/>
        </a:ln>
      </xdr:spPr>
      <xdr:style>
        <a:lnRef idx="0"/>
        <a:fillRef idx="0"/>
        <a:effectRef idx="0"/>
        <a:fontRef idx="minor"/>
      </xdr:style>
    </xdr:sp>
    <xdr:clientData/>
  </xdr:twoCellAnchor>
  <xdr:twoCellAnchor editAs="twoCell">
    <xdr:from>
      <xdr:col>10</xdr:col>
      <xdr:colOff>725040</xdr:colOff>
      <xdr:row>55</xdr:row>
      <xdr:rowOff>150840</xdr:rowOff>
    </xdr:from>
    <xdr:to>
      <xdr:col>11</xdr:col>
      <xdr:colOff>701640</xdr:colOff>
      <xdr:row>57</xdr:row>
      <xdr:rowOff>4680</xdr:rowOff>
    </xdr:to>
    <xdr:sp>
      <xdr:nvSpPr>
        <xdr:cNvPr id="2557" name="Text Box 138"/>
        <xdr:cNvSpPr/>
      </xdr:nvSpPr>
      <xdr:spPr>
        <a:xfrm>
          <a:off x="9106920" y="10828440"/>
          <a:ext cx="815040" cy="2347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TR02 RCH</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20/10/13,3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110/33/13,8kV</a:t>
          </a:r>
          <a:endParaRPr b="0" lang="en-GB" sz="600" spc="-1" strike="noStrike">
            <a:latin typeface="Times New Roman"/>
          </a:endParaRPr>
        </a:p>
      </xdr:txBody>
    </xdr:sp>
    <xdr:clientData/>
  </xdr:twoCellAnchor>
  <xdr:twoCellAnchor editAs="twoCell">
    <xdr:from>
      <xdr:col>12</xdr:col>
      <xdr:colOff>577080</xdr:colOff>
      <xdr:row>53</xdr:row>
      <xdr:rowOff>135720</xdr:rowOff>
    </xdr:from>
    <xdr:to>
      <xdr:col>14</xdr:col>
      <xdr:colOff>35640</xdr:colOff>
      <xdr:row>54</xdr:row>
      <xdr:rowOff>92880</xdr:rowOff>
    </xdr:to>
    <xdr:sp>
      <xdr:nvSpPr>
        <xdr:cNvPr id="2558" name="Text Box 188"/>
        <xdr:cNvSpPr/>
      </xdr:nvSpPr>
      <xdr:spPr>
        <a:xfrm>
          <a:off x="10635480" y="10432080"/>
          <a:ext cx="1135080" cy="14796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Riohacha 110 kV </a:t>
          </a:r>
          <a:endParaRPr b="0" lang="en-GB" sz="600" spc="-1" strike="noStrike">
            <a:latin typeface="Times New Roman"/>
          </a:endParaRPr>
        </a:p>
      </xdr:txBody>
    </xdr:sp>
    <xdr:clientData/>
  </xdr:twoCellAnchor>
  <xdr:twoCellAnchor editAs="twoCell">
    <xdr:from>
      <xdr:col>10</xdr:col>
      <xdr:colOff>429120</xdr:colOff>
      <xdr:row>58</xdr:row>
      <xdr:rowOff>24480</xdr:rowOff>
    </xdr:from>
    <xdr:to>
      <xdr:col>13</xdr:col>
      <xdr:colOff>718560</xdr:colOff>
      <xdr:row>62</xdr:row>
      <xdr:rowOff>135000</xdr:rowOff>
    </xdr:to>
    <xdr:grpSp>
      <xdr:nvGrpSpPr>
        <xdr:cNvPr id="2559" name="Grupo 1145"/>
        <xdr:cNvGrpSpPr/>
      </xdr:nvGrpSpPr>
      <xdr:grpSpPr>
        <a:xfrm>
          <a:off x="8811000" y="11273400"/>
          <a:ext cx="2804040" cy="872640"/>
          <a:chOff x="8811000" y="11273400"/>
          <a:chExt cx="2804040" cy="872640"/>
        </a:xfrm>
      </xdr:grpSpPr>
      <xdr:sp>
        <xdr:nvSpPr>
          <xdr:cNvPr id="2560" name="Line 38"/>
          <xdr:cNvSpPr/>
        </xdr:nvSpPr>
        <xdr:spPr>
          <a:xfrm>
            <a:off x="9643680" y="11410200"/>
            <a:ext cx="1971360" cy="360"/>
          </a:xfrm>
          <a:prstGeom prst="line">
            <a:avLst/>
          </a:prstGeom>
          <a:ln w="25400">
            <a:solidFill>
              <a:srgbClr val="ffc000"/>
            </a:solidFill>
            <a:round/>
          </a:ln>
        </xdr:spPr>
        <xdr:style>
          <a:lnRef idx="0"/>
          <a:fillRef idx="0"/>
          <a:effectRef idx="0"/>
          <a:fontRef idx="minor"/>
        </xdr:style>
      </xdr:sp>
      <xdr:sp>
        <xdr:nvSpPr>
          <xdr:cNvPr id="2561" name="Line 244"/>
          <xdr:cNvSpPr/>
        </xdr:nvSpPr>
        <xdr:spPr>
          <a:xfrm>
            <a:off x="9722880" y="11765520"/>
            <a:ext cx="360" cy="380520"/>
          </a:xfrm>
          <a:prstGeom prst="line">
            <a:avLst/>
          </a:prstGeom>
          <a:ln w="15875">
            <a:solidFill>
              <a:srgbClr val="ffc000"/>
            </a:solidFill>
            <a:round/>
          </a:ln>
        </xdr:spPr>
        <xdr:style>
          <a:lnRef idx="0"/>
          <a:fillRef idx="0"/>
          <a:effectRef idx="0"/>
          <a:fontRef idx="minor"/>
        </xdr:style>
      </xdr:sp>
      <xdr:sp>
        <xdr:nvSpPr>
          <xdr:cNvPr id="2562" name="455 Rectángulo redondeado"/>
          <xdr:cNvSpPr/>
        </xdr:nvSpPr>
        <xdr:spPr>
          <a:xfrm>
            <a:off x="8811000" y="11273400"/>
            <a:ext cx="439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11</xdr:col>
      <xdr:colOff>731160</xdr:colOff>
      <xdr:row>57</xdr:row>
      <xdr:rowOff>116640</xdr:rowOff>
    </xdr:from>
    <xdr:to>
      <xdr:col>11</xdr:col>
      <xdr:colOff>731160</xdr:colOff>
      <xdr:row>58</xdr:row>
      <xdr:rowOff>154800</xdr:rowOff>
    </xdr:to>
    <xdr:sp>
      <xdr:nvSpPr>
        <xdr:cNvPr id="2563" name="Line 100"/>
        <xdr:cNvSpPr/>
      </xdr:nvSpPr>
      <xdr:spPr>
        <a:xfrm>
          <a:off x="9951480" y="11175120"/>
          <a:ext cx="0" cy="228600"/>
        </a:xfrm>
        <a:prstGeom prst="line">
          <a:avLst/>
        </a:prstGeom>
        <a:ln w="15875">
          <a:solidFill>
            <a:srgbClr val="ffc000"/>
          </a:solidFill>
          <a:round/>
        </a:ln>
      </xdr:spPr>
      <xdr:style>
        <a:lnRef idx="0"/>
        <a:fillRef idx="0"/>
        <a:effectRef idx="0"/>
        <a:fontRef idx="minor"/>
      </xdr:style>
    </xdr:sp>
    <xdr:clientData/>
  </xdr:twoCellAnchor>
  <xdr:twoCellAnchor editAs="twoCell">
    <xdr:from>
      <xdr:col>11</xdr:col>
      <xdr:colOff>710280</xdr:colOff>
      <xdr:row>58</xdr:row>
      <xdr:rowOff>51480</xdr:rowOff>
    </xdr:from>
    <xdr:to>
      <xdr:col>11</xdr:col>
      <xdr:colOff>750240</xdr:colOff>
      <xdr:row>58</xdr:row>
      <xdr:rowOff>91080</xdr:rowOff>
    </xdr:to>
    <xdr:sp>
      <xdr:nvSpPr>
        <xdr:cNvPr id="2564" name="455 Rectángulo redondeado"/>
        <xdr:cNvSpPr/>
      </xdr:nvSpPr>
      <xdr:spPr>
        <a:xfrm>
          <a:off x="9930600" y="11300400"/>
          <a:ext cx="3996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11</xdr:col>
      <xdr:colOff>738000</xdr:colOff>
      <xdr:row>54</xdr:row>
      <xdr:rowOff>123120</xdr:rowOff>
    </xdr:from>
    <xdr:to>
      <xdr:col>11</xdr:col>
      <xdr:colOff>738000</xdr:colOff>
      <xdr:row>55</xdr:row>
      <xdr:rowOff>181800</xdr:rowOff>
    </xdr:to>
    <xdr:sp>
      <xdr:nvSpPr>
        <xdr:cNvPr id="2565" name="Line 206"/>
        <xdr:cNvSpPr/>
      </xdr:nvSpPr>
      <xdr:spPr>
        <a:xfrm>
          <a:off x="9958320" y="10610280"/>
          <a:ext cx="0" cy="249120"/>
        </a:xfrm>
        <a:prstGeom prst="line">
          <a:avLst/>
        </a:prstGeom>
        <a:ln w="19050">
          <a:solidFill>
            <a:srgbClr val="ff0000"/>
          </a:solidFill>
          <a:round/>
        </a:ln>
      </xdr:spPr>
      <xdr:style>
        <a:lnRef idx="0"/>
        <a:fillRef idx="0"/>
        <a:effectRef idx="0"/>
        <a:fontRef idx="minor"/>
      </xdr:style>
    </xdr:sp>
    <xdr:clientData/>
  </xdr:twoCellAnchor>
  <xdr:twoCellAnchor editAs="twoCell">
    <xdr:from>
      <xdr:col>11</xdr:col>
      <xdr:colOff>703080</xdr:colOff>
      <xdr:row>54</xdr:row>
      <xdr:rowOff>172440</xdr:rowOff>
    </xdr:from>
    <xdr:to>
      <xdr:col>12</xdr:col>
      <xdr:colOff>9720</xdr:colOff>
      <xdr:row>55</xdr:row>
      <xdr:rowOff>45000</xdr:rowOff>
    </xdr:to>
    <xdr:sp>
      <xdr:nvSpPr>
        <xdr:cNvPr id="2566" name="452 Rectángulo redondeado"/>
        <xdr:cNvSpPr/>
      </xdr:nvSpPr>
      <xdr:spPr>
        <a:xfrm>
          <a:off x="9923400" y="10659600"/>
          <a:ext cx="144720" cy="6300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10</xdr:col>
      <xdr:colOff>588240</xdr:colOff>
      <xdr:row>60</xdr:row>
      <xdr:rowOff>128880</xdr:rowOff>
    </xdr:from>
    <xdr:to>
      <xdr:col>11</xdr:col>
      <xdr:colOff>364320</xdr:colOff>
      <xdr:row>61</xdr:row>
      <xdr:rowOff>59760</xdr:rowOff>
    </xdr:to>
    <xdr:sp>
      <xdr:nvSpPr>
        <xdr:cNvPr id="2567" name="Text Box 188"/>
        <xdr:cNvSpPr/>
      </xdr:nvSpPr>
      <xdr:spPr>
        <a:xfrm>
          <a:off x="8970120" y="11759040"/>
          <a:ext cx="61452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LN-592</a:t>
          </a:r>
          <a:endParaRPr b="0" lang="en-GB" sz="600" spc="-1" strike="noStrike">
            <a:latin typeface="Times New Roman"/>
          </a:endParaRPr>
        </a:p>
      </xdr:txBody>
    </xdr:sp>
    <xdr:clientData/>
  </xdr:twoCellAnchor>
  <xdr:twoCellAnchor editAs="twoCell">
    <xdr:from>
      <xdr:col>12</xdr:col>
      <xdr:colOff>116280</xdr:colOff>
      <xdr:row>58</xdr:row>
      <xdr:rowOff>-720</xdr:rowOff>
    </xdr:from>
    <xdr:to>
      <xdr:col>13</xdr:col>
      <xdr:colOff>235800</xdr:colOff>
      <xdr:row>59</xdr:row>
      <xdr:rowOff>20160</xdr:rowOff>
    </xdr:to>
    <xdr:sp>
      <xdr:nvSpPr>
        <xdr:cNvPr id="2568" name="Text Box 188"/>
        <xdr:cNvSpPr/>
      </xdr:nvSpPr>
      <xdr:spPr>
        <a:xfrm>
          <a:off x="10174680" y="11248200"/>
          <a:ext cx="957600" cy="21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Riohacha 34,5 kV</a:t>
          </a:r>
          <a:endParaRPr b="0" lang="en-GB" sz="600" spc="-1" strike="noStrike">
            <a:latin typeface="Times New Roman"/>
          </a:endParaRPr>
        </a:p>
      </xdr:txBody>
    </xdr:sp>
    <xdr:clientData/>
  </xdr:twoCellAnchor>
  <xdr:twoCellAnchor editAs="twoCell">
    <xdr:from>
      <xdr:col>12</xdr:col>
      <xdr:colOff>826560</xdr:colOff>
      <xdr:row>61</xdr:row>
      <xdr:rowOff>10800</xdr:rowOff>
    </xdr:from>
    <xdr:to>
      <xdr:col>14</xdr:col>
      <xdr:colOff>33120</xdr:colOff>
      <xdr:row>61</xdr:row>
      <xdr:rowOff>51120</xdr:rowOff>
    </xdr:to>
    <xdr:grpSp>
      <xdr:nvGrpSpPr>
        <xdr:cNvPr id="2569" name="Grupo 1155"/>
        <xdr:cNvGrpSpPr/>
      </xdr:nvGrpSpPr>
      <xdr:grpSpPr>
        <a:xfrm>
          <a:off x="11306160" y="11410200"/>
          <a:ext cx="40320" cy="883080"/>
          <a:chOff x="11306160" y="11410200"/>
          <a:chExt cx="40320" cy="883080"/>
        </a:xfrm>
      </xdr:grpSpPr>
      <xdr:sp>
        <xdr:nvSpPr>
          <xdr:cNvPr id="2570" name="Line 244"/>
          <xdr:cNvSpPr/>
        </xdr:nvSpPr>
        <xdr:spPr>
          <a:xfrm>
            <a:off x="11323080" y="11410200"/>
            <a:ext cx="360" cy="883080"/>
          </a:xfrm>
          <a:prstGeom prst="line">
            <a:avLst/>
          </a:prstGeom>
          <a:ln w="15875">
            <a:solidFill>
              <a:srgbClr val="ffc000"/>
            </a:solidFill>
            <a:round/>
          </a:ln>
        </xdr:spPr>
        <xdr:style>
          <a:lnRef idx="0"/>
          <a:fillRef idx="0"/>
          <a:effectRef idx="0"/>
          <a:fontRef idx="minor"/>
        </xdr:style>
      </xdr:sp>
      <xdr:sp>
        <xdr:nvSpPr>
          <xdr:cNvPr id="2571" name="455 Rectángulo redondeado"/>
          <xdr:cNvSpPr/>
        </xdr:nvSpPr>
        <xdr:spPr>
          <a:xfrm>
            <a:off x="11306160" y="1146672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10</xdr:col>
      <xdr:colOff>520920</xdr:colOff>
      <xdr:row>62</xdr:row>
      <xdr:rowOff>4320</xdr:rowOff>
    </xdr:from>
    <xdr:to>
      <xdr:col>12</xdr:col>
      <xdr:colOff>20520</xdr:colOff>
      <xdr:row>67</xdr:row>
      <xdr:rowOff>53280</xdr:rowOff>
    </xdr:to>
    <xdr:grpSp>
      <xdr:nvGrpSpPr>
        <xdr:cNvPr id="2572" name="Grupo 1158"/>
        <xdr:cNvGrpSpPr/>
      </xdr:nvGrpSpPr>
      <xdr:grpSpPr>
        <a:xfrm>
          <a:off x="8902800" y="12015360"/>
          <a:ext cx="1176120" cy="1001520"/>
          <a:chOff x="8902800" y="12015360"/>
          <a:chExt cx="1176120" cy="1001520"/>
        </a:xfrm>
      </xdr:grpSpPr>
      <xdr:sp>
        <xdr:nvSpPr>
          <xdr:cNvPr id="2573" name="Text Box 188"/>
          <xdr:cNvSpPr/>
        </xdr:nvSpPr>
        <xdr:spPr>
          <a:xfrm>
            <a:off x="8902800" y="12015360"/>
            <a:ext cx="68292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Camarones 34,5 kV</a:t>
            </a:r>
            <a:endParaRPr b="0" lang="en-GB" sz="600" spc="-1" strike="noStrike">
              <a:latin typeface="Times New Roman"/>
            </a:endParaRPr>
          </a:p>
        </xdr:txBody>
      </xdr:sp>
      <xdr:grpSp>
        <xdr:nvGrpSpPr>
          <xdr:cNvPr id="2574" name="Grupo 1160"/>
          <xdr:cNvGrpSpPr/>
        </xdr:nvGrpSpPr>
        <xdr:grpSpPr>
          <a:xfrm>
            <a:off x="8961120" y="12070800"/>
            <a:ext cx="1117800" cy="946080"/>
            <a:chOff x="8961120" y="12070800"/>
            <a:chExt cx="1117800" cy="946080"/>
          </a:xfrm>
        </xdr:grpSpPr>
        <xdr:sp>
          <xdr:nvSpPr>
            <xdr:cNvPr id="2575" name="Line 38"/>
            <xdr:cNvSpPr/>
          </xdr:nvSpPr>
          <xdr:spPr>
            <a:xfrm>
              <a:off x="9475200" y="12146760"/>
              <a:ext cx="603720" cy="360"/>
            </a:xfrm>
            <a:prstGeom prst="line">
              <a:avLst/>
            </a:prstGeom>
            <a:ln w="25400">
              <a:solidFill>
                <a:srgbClr val="ffc000"/>
              </a:solidFill>
              <a:round/>
            </a:ln>
          </xdr:spPr>
          <xdr:style>
            <a:lnRef idx="0"/>
            <a:fillRef idx="0"/>
            <a:effectRef idx="0"/>
            <a:fontRef idx="minor"/>
          </xdr:style>
        </xdr:sp>
        <xdr:sp>
          <xdr:nvSpPr>
            <xdr:cNvPr id="2576" name="455 Rectángulo redondeado"/>
            <xdr:cNvSpPr/>
          </xdr:nvSpPr>
          <xdr:spPr>
            <a:xfrm>
              <a:off x="9736200" y="12070800"/>
              <a:ext cx="4608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nvGrpSpPr>
            <xdr:cNvPr id="2577" name="Grupo 1163"/>
            <xdr:cNvGrpSpPr/>
          </xdr:nvGrpSpPr>
          <xdr:grpSpPr>
            <a:xfrm>
              <a:off x="9631080" y="12156120"/>
              <a:ext cx="313920" cy="860760"/>
              <a:chOff x="9631080" y="12156120"/>
              <a:chExt cx="313920" cy="860760"/>
            </a:xfrm>
          </xdr:grpSpPr>
          <xdr:sp>
            <xdr:nvSpPr>
              <xdr:cNvPr id="2578" name="Oval 40"/>
              <xdr:cNvSpPr/>
            </xdr:nvSpPr>
            <xdr:spPr>
              <a:xfrm rot="10800000">
                <a:off x="9666720" y="12403440"/>
                <a:ext cx="204840" cy="209160"/>
              </a:xfrm>
              <a:prstGeom prst="ellipse">
                <a:avLst/>
              </a:prstGeom>
              <a:noFill/>
              <a:ln w="12700">
                <a:solidFill>
                  <a:srgbClr val="000000"/>
                </a:solidFill>
                <a:round/>
              </a:ln>
            </xdr:spPr>
            <xdr:style>
              <a:lnRef idx="0"/>
              <a:fillRef idx="0"/>
              <a:effectRef idx="0"/>
              <a:fontRef idx="minor"/>
            </xdr:style>
          </xdr:sp>
          <xdr:sp>
            <xdr:nvSpPr>
              <xdr:cNvPr id="2579" name="Oval 41"/>
              <xdr:cNvSpPr/>
            </xdr:nvSpPr>
            <xdr:spPr>
              <a:xfrm rot="10800000">
                <a:off x="9663480" y="12291840"/>
                <a:ext cx="204840" cy="209160"/>
              </a:xfrm>
              <a:prstGeom prst="ellipse">
                <a:avLst/>
              </a:prstGeom>
              <a:noFill/>
              <a:ln w="12700">
                <a:solidFill>
                  <a:srgbClr val="ffc000"/>
                </a:solidFill>
                <a:round/>
              </a:ln>
            </xdr:spPr>
            <xdr:style>
              <a:lnRef idx="0"/>
              <a:fillRef idx="0"/>
              <a:effectRef idx="0"/>
              <a:fontRef idx="minor"/>
            </xdr:style>
          </xdr:sp>
          <xdr:sp>
            <xdr:nvSpPr>
              <xdr:cNvPr id="2580" name="Line 206"/>
              <xdr:cNvSpPr/>
            </xdr:nvSpPr>
            <xdr:spPr>
              <a:xfrm>
                <a:off x="9760320" y="12156120"/>
                <a:ext cx="360" cy="132480"/>
              </a:xfrm>
              <a:prstGeom prst="line">
                <a:avLst/>
              </a:prstGeom>
              <a:ln w="15875">
                <a:solidFill>
                  <a:srgbClr val="ffc000"/>
                </a:solidFill>
                <a:round/>
              </a:ln>
            </xdr:spPr>
            <xdr:style>
              <a:lnRef idx="0"/>
              <a:fillRef idx="0"/>
              <a:effectRef idx="0"/>
              <a:fontRef idx="minor"/>
            </xdr:style>
          </xdr:sp>
          <xdr:sp>
            <xdr:nvSpPr>
              <xdr:cNvPr id="2581" name="452 Rectángulo redondeado"/>
              <xdr:cNvSpPr/>
            </xdr:nvSpPr>
            <xdr:spPr>
              <a:xfrm>
                <a:off x="9736920" y="12192120"/>
                <a:ext cx="4680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2582" name="Line 99"/>
              <xdr:cNvSpPr/>
            </xdr:nvSpPr>
            <xdr:spPr>
              <a:xfrm>
                <a:off x="9631080" y="12754080"/>
                <a:ext cx="313920" cy="360"/>
              </a:xfrm>
              <a:prstGeom prst="line">
                <a:avLst/>
              </a:prstGeom>
              <a:ln w="25400">
                <a:solidFill>
                  <a:srgbClr val="000000"/>
                </a:solidFill>
                <a:round/>
              </a:ln>
            </xdr:spPr>
            <xdr:style>
              <a:lnRef idx="0"/>
              <a:fillRef idx="0"/>
              <a:effectRef idx="0"/>
              <a:fontRef idx="minor"/>
            </xdr:style>
          </xdr:sp>
          <xdr:sp>
            <xdr:nvSpPr>
              <xdr:cNvPr id="2583" name="Line 280"/>
              <xdr:cNvSpPr/>
            </xdr:nvSpPr>
            <xdr:spPr>
              <a:xfrm>
                <a:off x="9767880" y="12614040"/>
                <a:ext cx="360" cy="402840"/>
              </a:xfrm>
              <a:prstGeom prst="line">
                <a:avLst/>
              </a:prstGeom>
              <a:ln w="15875">
                <a:solidFill>
                  <a:srgbClr val="000000"/>
                </a:solidFill>
                <a:round/>
                <a:tailEnd len="med" type="triangle" w="med"/>
              </a:ln>
            </xdr:spPr>
            <xdr:style>
              <a:lnRef idx="0"/>
              <a:fillRef idx="0"/>
              <a:effectRef idx="0"/>
              <a:fontRef idx="minor"/>
            </xdr:style>
          </xdr:sp>
          <xdr:sp>
            <xdr:nvSpPr>
              <xdr:cNvPr id="2584" name="455 Rectángulo redondeado"/>
              <xdr:cNvSpPr/>
            </xdr:nvSpPr>
            <xdr:spPr>
              <a:xfrm rot="5400000">
                <a:off x="9747720" y="12791520"/>
                <a:ext cx="39960" cy="468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2585" name="455 Rectángulo redondeado"/>
              <xdr:cNvSpPr/>
            </xdr:nvSpPr>
            <xdr:spPr>
              <a:xfrm rot="5400000">
                <a:off x="9750600" y="12659040"/>
                <a:ext cx="39960" cy="468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sp>
          <xdr:nvSpPr>
            <xdr:cNvPr id="2586" name="61 CuadroTexto"/>
            <xdr:cNvSpPr/>
          </xdr:nvSpPr>
          <xdr:spPr>
            <a:xfrm>
              <a:off x="8961120" y="12356640"/>
              <a:ext cx="72720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4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sp>
          <xdr:nvSpPr>
            <xdr:cNvPr id="2587" name="Text Box 188"/>
            <xdr:cNvSpPr/>
          </xdr:nvSpPr>
          <xdr:spPr>
            <a:xfrm>
              <a:off x="8977320" y="12664080"/>
              <a:ext cx="66528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Camarones 13,8 kV</a:t>
              </a:r>
              <a:endParaRPr b="0" lang="en-GB" sz="600" spc="-1" strike="noStrike">
                <a:latin typeface="Times New Roman"/>
              </a:endParaRPr>
            </a:p>
          </xdr:txBody>
        </xdr:sp>
      </xdr:grpSp>
    </xdr:grpSp>
    <xdr:clientData/>
  </xdr:twoCellAnchor>
  <xdr:twoCellAnchor editAs="twoCell">
    <xdr:from>
      <xdr:col>12</xdr:col>
      <xdr:colOff>507240</xdr:colOff>
      <xdr:row>62</xdr:row>
      <xdr:rowOff>175680</xdr:rowOff>
    </xdr:from>
    <xdr:to>
      <xdr:col>13</xdr:col>
      <xdr:colOff>402480</xdr:colOff>
      <xdr:row>67</xdr:row>
      <xdr:rowOff>86040</xdr:rowOff>
    </xdr:to>
    <xdr:grpSp>
      <xdr:nvGrpSpPr>
        <xdr:cNvPr id="2588" name="Grupo 1174"/>
        <xdr:cNvGrpSpPr/>
      </xdr:nvGrpSpPr>
      <xdr:grpSpPr>
        <a:xfrm>
          <a:off x="10565640" y="12186720"/>
          <a:ext cx="733320" cy="862920"/>
          <a:chOff x="10565640" y="12186720"/>
          <a:chExt cx="733320" cy="862920"/>
        </a:xfrm>
      </xdr:grpSpPr>
      <xdr:sp>
        <xdr:nvSpPr>
          <xdr:cNvPr id="2589" name="Text Box 188"/>
          <xdr:cNvSpPr/>
        </xdr:nvSpPr>
        <xdr:spPr>
          <a:xfrm>
            <a:off x="10635840" y="12186720"/>
            <a:ext cx="66312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Ballenas 34,5 kV</a:t>
            </a:r>
            <a:endParaRPr b="0" lang="en-GB" sz="600" spc="-1" strike="noStrike">
              <a:latin typeface="Times New Roman"/>
            </a:endParaRPr>
          </a:p>
        </xdr:txBody>
      </xdr:sp>
      <xdr:grpSp>
        <xdr:nvGrpSpPr>
          <xdr:cNvPr id="2590" name="Grupo 1176"/>
          <xdr:cNvGrpSpPr/>
        </xdr:nvGrpSpPr>
        <xdr:grpSpPr>
          <a:xfrm>
            <a:off x="10565640" y="12470400"/>
            <a:ext cx="705960" cy="579240"/>
            <a:chOff x="10565640" y="12470400"/>
            <a:chExt cx="705960" cy="579240"/>
          </a:xfrm>
        </xdr:grpSpPr>
        <xdr:sp>
          <xdr:nvSpPr>
            <xdr:cNvPr id="2591" name="61 CuadroTexto"/>
            <xdr:cNvSpPr/>
          </xdr:nvSpPr>
          <xdr:spPr>
            <a:xfrm>
              <a:off x="10565640" y="12470400"/>
              <a:ext cx="705960" cy="25020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sp>
          <xdr:nvSpPr>
            <xdr:cNvPr id="2592" name="Text Box 188"/>
            <xdr:cNvSpPr/>
          </xdr:nvSpPr>
          <xdr:spPr>
            <a:xfrm>
              <a:off x="10605240" y="12816720"/>
              <a:ext cx="64584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Ballenas 13,8 kV</a:t>
              </a:r>
              <a:endParaRPr b="0" lang="en-GB" sz="600" spc="-1" strike="noStrike">
                <a:latin typeface="Times New Roman"/>
              </a:endParaRPr>
            </a:p>
          </xdr:txBody>
        </xdr:sp>
      </xdr:grpSp>
    </xdr:grpSp>
    <xdr:clientData/>
  </xdr:twoCellAnchor>
  <xdr:twoCellAnchor editAs="twoCell">
    <xdr:from>
      <xdr:col>11</xdr:col>
      <xdr:colOff>648000</xdr:colOff>
      <xdr:row>55</xdr:row>
      <xdr:rowOff>181440</xdr:rowOff>
    </xdr:from>
    <xdr:to>
      <xdr:col>12</xdr:col>
      <xdr:colOff>339480</xdr:colOff>
      <xdr:row>57</xdr:row>
      <xdr:rowOff>110520</xdr:rowOff>
    </xdr:to>
    <xdr:grpSp>
      <xdr:nvGrpSpPr>
        <xdr:cNvPr id="2593" name="Grupo 1179"/>
        <xdr:cNvGrpSpPr/>
      </xdr:nvGrpSpPr>
      <xdr:grpSpPr>
        <a:xfrm>
          <a:off x="9868320" y="10859040"/>
          <a:ext cx="529560" cy="309960"/>
          <a:chOff x="9868320" y="10859040"/>
          <a:chExt cx="529560" cy="309960"/>
        </a:xfrm>
      </xdr:grpSpPr>
      <xdr:sp>
        <xdr:nvSpPr>
          <xdr:cNvPr id="2594" name="Line 244"/>
          <xdr:cNvSpPr/>
        </xdr:nvSpPr>
        <xdr:spPr>
          <a:xfrm>
            <a:off x="10196640" y="11046960"/>
            <a:ext cx="153720" cy="360"/>
          </a:xfrm>
          <a:prstGeom prst="line">
            <a:avLst/>
          </a:prstGeom>
          <a:ln w="15875">
            <a:solidFill>
              <a:srgbClr val="000000"/>
            </a:solidFill>
            <a:round/>
          </a:ln>
        </xdr:spPr>
        <xdr:style>
          <a:lnRef idx="0"/>
          <a:fillRef idx="0"/>
          <a:effectRef idx="0"/>
          <a:fontRef idx="minor"/>
        </xdr:style>
      </xdr:sp>
      <xdr:sp>
        <xdr:nvSpPr>
          <xdr:cNvPr id="2595" name="455 Rectángulo redondeado"/>
          <xdr:cNvSpPr/>
        </xdr:nvSpPr>
        <xdr:spPr>
          <a:xfrm rot="16200000">
            <a:off x="10242360" y="11026440"/>
            <a:ext cx="39240" cy="468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nvGrpSpPr>
          <xdr:cNvPr id="2596" name="Grupo 1182"/>
          <xdr:cNvGrpSpPr/>
        </xdr:nvGrpSpPr>
        <xdr:grpSpPr>
          <a:xfrm>
            <a:off x="9868320" y="10859040"/>
            <a:ext cx="326520" cy="309960"/>
            <a:chOff x="9868320" y="10859040"/>
            <a:chExt cx="326520" cy="309960"/>
          </a:xfrm>
        </xdr:grpSpPr>
        <xdr:sp>
          <xdr:nvSpPr>
            <xdr:cNvPr id="2597" name="Oval 40"/>
            <xdr:cNvSpPr/>
          </xdr:nvSpPr>
          <xdr:spPr>
            <a:xfrm rot="10800000">
              <a:off x="9868320" y="10961640"/>
              <a:ext cx="204840" cy="207360"/>
            </a:xfrm>
            <a:prstGeom prst="ellipse">
              <a:avLst/>
            </a:prstGeom>
            <a:noFill/>
            <a:ln w="12700">
              <a:solidFill>
                <a:srgbClr val="ffc000"/>
              </a:solidFill>
              <a:round/>
            </a:ln>
          </xdr:spPr>
          <xdr:style>
            <a:lnRef idx="0"/>
            <a:fillRef idx="0"/>
            <a:effectRef idx="0"/>
            <a:fontRef idx="minor"/>
          </xdr:style>
        </xdr:sp>
        <xdr:sp>
          <xdr:nvSpPr>
            <xdr:cNvPr id="2598" name="Oval 41"/>
            <xdr:cNvSpPr/>
          </xdr:nvSpPr>
          <xdr:spPr>
            <a:xfrm rot="10800000">
              <a:off x="9868320" y="10859040"/>
              <a:ext cx="204840" cy="207360"/>
            </a:xfrm>
            <a:prstGeom prst="ellipse">
              <a:avLst/>
            </a:prstGeom>
            <a:noFill/>
            <a:ln w="12700">
              <a:solidFill>
                <a:srgbClr val="ff0000"/>
              </a:solidFill>
              <a:round/>
            </a:ln>
          </xdr:spPr>
          <xdr:style>
            <a:lnRef idx="0"/>
            <a:fillRef idx="0"/>
            <a:effectRef idx="0"/>
            <a:fontRef idx="minor"/>
          </xdr:style>
        </xdr:sp>
        <xdr:sp>
          <xdr:nvSpPr>
            <xdr:cNvPr id="2599" name="Oval 63"/>
            <xdr:cNvSpPr/>
          </xdr:nvSpPr>
          <xdr:spPr>
            <a:xfrm>
              <a:off x="9990720" y="10935720"/>
              <a:ext cx="204120" cy="206280"/>
            </a:xfrm>
            <a:prstGeom prst="ellipse">
              <a:avLst/>
            </a:prstGeom>
            <a:noFill/>
            <a:ln w="12700">
              <a:solidFill>
                <a:srgbClr val="000000"/>
              </a:solidFill>
              <a:round/>
            </a:ln>
          </xdr:spPr>
          <xdr:style>
            <a:lnRef idx="0"/>
            <a:fillRef idx="0"/>
            <a:effectRef idx="0"/>
            <a:fontRef idx="minor"/>
          </xdr:style>
        </xdr:sp>
      </xdr:grpSp>
      <xdr:sp>
        <xdr:nvSpPr>
          <xdr:cNvPr id="2600" name="Elipse 1183"/>
          <xdr:cNvSpPr/>
        </xdr:nvSpPr>
        <xdr:spPr>
          <a:xfrm rot="10800000">
            <a:off x="10344960" y="11027160"/>
            <a:ext cx="52920" cy="44640"/>
          </a:xfrm>
          <a:prstGeom prst="ellipse">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12</xdr:col>
      <xdr:colOff>643680</xdr:colOff>
      <xdr:row>55</xdr:row>
      <xdr:rowOff>97920</xdr:rowOff>
    </xdr:from>
    <xdr:to>
      <xdr:col>12</xdr:col>
      <xdr:colOff>643680</xdr:colOff>
      <xdr:row>55</xdr:row>
      <xdr:rowOff>174600</xdr:rowOff>
    </xdr:to>
    <xdr:sp>
      <xdr:nvSpPr>
        <xdr:cNvPr id="2601" name="Line 206"/>
        <xdr:cNvSpPr/>
      </xdr:nvSpPr>
      <xdr:spPr>
        <a:xfrm>
          <a:off x="10702080" y="10775520"/>
          <a:ext cx="0" cy="76680"/>
        </a:xfrm>
        <a:prstGeom prst="line">
          <a:avLst/>
        </a:prstGeom>
        <a:ln w="19050">
          <a:solidFill>
            <a:srgbClr val="ff0000"/>
          </a:solidFill>
          <a:round/>
        </a:ln>
      </xdr:spPr>
      <xdr:style>
        <a:lnRef idx="0"/>
        <a:fillRef idx="0"/>
        <a:effectRef idx="0"/>
        <a:fontRef idx="minor"/>
      </xdr:style>
    </xdr:sp>
    <xdr:clientData/>
  </xdr:twoCellAnchor>
  <xdr:twoCellAnchor editAs="twoCell">
    <xdr:from>
      <xdr:col>11</xdr:col>
      <xdr:colOff>736200</xdr:colOff>
      <xdr:row>55</xdr:row>
      <xdr:rowOff>106560</xdr:rowOff>
    </xdr:from>
    <xdr:to>
      <xdr:col>12</xdr:col>
      <xdr:colOff>654840</xdr:colOff>
      <xdr:row>55</xdr:row>
      <xdr:rowOff>106560</xdr:rowOff>
    </xdr:to>
    <xdr:sp>
      <xdr:nvSpPr>
        <xdr:cNvPr id="2602" name="Line 206"/>
        <xdr:cNvSpPr/>
      </xdr:nvSpPr>
      <xdr:spPr>
        <a:xfrm flipH="1">
          <a:off x="9956520" y="10784160"/>
          <a:ext cx="756720" cy="0"/>
        </a:xfrm>
        <a:prstGeom prst="line">
          <a:avLst/>
        </a:prstGeom>
        <a:ln w="19050">
          <a:solidFill>
            <a:srgbClr val="ff0000"/>
          </a:solidFill>
          <a:round/>
        </a:ln>
      </xdr:spPr>
      <xdr:style>
        <a:lnRef idx="0"/>
        <a:fillRef idx="0"/>
        <a:effectRef idx="0"/>
        <a:fontRef idx="minor"/>
      </xdr:style>
    </xdr:sp>
    <xdr:clientData/>
  </xdr:twoCellAnchor>
  <xdr:twoCellAnchor editAs="twoCell">
    <xdr:from>
      <xdr:col>12</xdr:col>
      <xdr:colOff>544680</xdr:colOff>
      <xdr:row>55</xdr:row>
      <xdr:rowOff>177120</xdr:rowOff>
    </xdr:from>
    <xdr:to>
      <xdr:col>13</xdr:col>
      <xdr:colOff>235800</xdr:colOff>
      <xdr:row>57</xdr:row>
      <xdr:rowOff>106560</xdr:rowOff>
    </xdr:to>
    <xdr:grpSp>
      <xdr:nvGrpSpPr>
        <xdr:cNvPr id="2603" name="Grupo 1189"/>
        <xdr:cNvGrpSpPr/>
      </xdr:nvGrpSpPr>
      <xdr:grpSpPr>
        <a:xfrm>
          <a:off x="10603080" y="10854720"/>
          <a:ext cx="529200" cy="310320"/>
          <a:chOff x="10603080" y="10854720"/>
          <a:chExt cx="529200" cy="310320"/>
        </a:xfrm>
      </xdr:grpSpPr>
      <xdr:grpSp>
        <xdr:nvGrpSpPr>
          <xdr:cNvPr id="2604" name="Grupo 1190"/>
          <xdr:cNvGrpSpPr/>
        </xdr:nvGrpSpPr>
        <xdr:grpSpPr>
          <a:xfrm>
            <a:off x="10603080" y="10854720"/>
            <a:ext cx="326880" cy="310320"/>
            <a:chOff x="10603080" y="10854720"/>
            <a:chExt cx="326880" cy="310320"/>
          </a:xfrm>
        </xdr:grpSpPr>
        <xdr:sp>
          <xdr:nvSpPr>
            <xdr:cNvPr id="2605" name="Oval 40"/>
            <xdr:cNvSpPr/>
          </xdr:nvSpPr>
          <xdr:spPr>
            <a:xfrm rot="10800000">
              <a:off x="10603080" y="10957680"/>
              <a:ext cx="204840" cy="207360"/>
            </a:xfrm>
            <a:prstGeom prst="ellipse">
              <a:avLst/>
            </a:prstGeom>
            <a:noFill/>
            <a:ln w="12700">
              <a:solidFill>
                <a:srgbClr val="ffc000"/>
              </a:solidFill>
              <a:round/>
            </a:ln>
          </xdr:spPr>
          <xdr:style>
            <a:lnRef idx="0"/>
            <a:fillRef idx="0"/>
            <a:effectRef idx="0"/>
            <a:fontRef idx="minor"/>
          </xdr:style>
        </xdr:sp>
        <xdr:sp>
          <xdr:nvSpPr>
            <xdr:cNvPr id="2606" name="Oval 41"/>
            <xdr:cNvSpPr/>
          </xdr:nvSpPr>
          <xdr:spPr>
            <a:xfrm rot="10800000">
              <a:off x="10603080" y="10854720"/>
              <a:ext cx="204840" cy="207360"/>
            </a:xfrm>
            <a:prstGeom prst="ellipse">
              <a:avLst/>
            </a:prstGeom>
            <a:noFill/>
            <a:ln w="12700">
              <a:solidFill>
                <a:srgbClr val="ff0000"/>
              </a:solidFill>
              <a:round/>
            </a:ln>
          </xdr:spPr>
          <xdr:style>
            <a:lnRef idx="0"/>
            <a:fillRef idx="0"/>
            <a:effectRef idx="0"/>
            <a:fontRef idx="minor"/>
          </xdr:style>
        </xdr:sp>
        <xdr:sp>
          <xdr:nvSpPr>
            <xdr:cNvPr id="2607" name="Oval 63"/>
            <xdr:cNvSpPr/>
          </xdr:nvSpPr>
          <xdr:spPr>
            <a:xfrm>
              <a:off x="10725840" y="10931400"/>
              <a:ext cx="204120" cy="206280"/>
            </a:xfrm>
            <a:prstGeom prst="ellipse">
              <a:avLst/>
            </a:prstGeom>
            <a:noFill/>
            <a:ln w="12700">
              <a:solidFill>
                <a:srgbClr val="000000"/>
              </a:solidFill>
              <a:round/>
            </a:ln>
          </xdr:spPr>
          <xdr:style>
            <a:lnRef idx="0"/>
            <a:fillRef idx="0"/>
            <a:effectRef idx="0"/>
            <a:fontRef idx="minor"/>
          </xdr:style>
        </xdr:sp>
      </xdr:grpSp>
      <xdr:sp>
        <xdr:nvSpPr>
          <xdr:cNvPr id="2608" name="Line 244"/>
          <xdr:cNvSpPr/>
        </xdr:nvSpPr>
        <xdr:spPr>
          <a:xfrm>
            <a:off x="10931040" y="11043000"/>
            <a:ext cx="154080" cy="360"/>
          </a:xfrm>
          <a:prstGeom prst="line">
            <a:avLst/>
          </a:prstGeom>
          <a:ln w="15875">
            <a:solidFill>
              <a:srgbClr val="000000"/>
            </a:solidFill>
            <a:round/>
          </a:ln>
        </xdr:spPr>
        <xdr:style>
          <a:lnRef idx="0"/>
          <a:fillRef idx="0"/>
          <a:effectRef idx="0"/>
          <a:fontRef idx="minor"/>
        </xdr:style>
      </xdr:sp>
      <xdr:sp>
        <xdr:nvSpPr>
          <xdr:cNvPr id="2609" name="455 Rectángulo redondeado"/>
          <xdr:cNvSpPr/>
        </xdr:nvSpPr>
        <xdr:spPr>
          <a:xfrm rot="16200000">
            <a:off x="10977120" y="11022480"/>
            <a:ext cx="39240" cy="468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2610" name="Elipse 1193"/>
          <xdr:cNvSpPr/>
        </xdr:nvSpPr>
        <xdr:spPr>
          <a:xfrm rot="10800000">
            <a:off x="11079360" y="11023200"/>
            <a:ext cx="52920" cy="44640"/>
          </a:xfrm>
          <a:prstGeom prst="ellipse">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13</xdr:col>
      <xdr:colOff>173160</xdr:colOff>
      <xdr:row>56</xdr:row>
      <xdr:rowOff>14400</xdr:rowOff>
    </xdr:from>
    <xdr:to>
      <xdr:col>14</xdr:col>
      <xdr:colOff>149760</xdr:colOff>
      <xdr:row>57</xdr:row>
      <xdr:rowOff>58680</xdr:rowOff>
    </xdr:to>
    <xdr:sp>
      <xdr:nvSpPr>
        <xdr:cNvPr id="2611" name="Text Box 138"/>
        <xdr:cNvSpPr/>
      </xdr:nvSpPr>
      <xdr:spPr>
        <a:xfrm>
          <a:off x="11069640" y="10882440"/>
          <a:ext cx="815040" cy="2347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TR03 RCH</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20/10/13,3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110/33/13,8kV</a:t>
          </a:r>
          <a:endParaRPr b="0" lang="en-GB" sz="600" spc="-1" strike="noStrike">
            <a:latin typeface="Times New Roman"/>
          </a:endParaRPr>
        </a:p>
      </xdr:txBody>
    </xdr:sp>
    <xdr:clientData/>
  </xdr:twoCellAnchor>
  <xdr:twoCellAnchor editAs="twoCell">
    <xdr:from>
      <xdr:col>12</xdr:col>
      <xdr:colOff>637560</xdr:colOff>
      <xdr:row>57</xdr:row>
      <xdr:rowOff>107640</xdr:rowOff>
    </xdr:from>
    <xdr:to>
      <xdr:col>12</xdr:col>
      <xdr:colOff>637560</xdr:colOff>
      <xdr:row>57</xdr:row>
      <xdr:rowOff>189360</xdr:rowOff>
    </xdr:to>
    <xdr:sp>
      <xdr:nvSpPr>
        <xdr:cNvPr id="2612" name="Line 100"/>
        <xdr:cNvSpPr/>
      </xdr:nvSpPr>
      <xdr:spPr>
        <a:xfrm>
          <a:off x="10695960" y="11166120"/>
          <a:ext cx="0" cy="81720"/>
        </a:xfrm>
        <a:prstGeom prst="line">
          <a:avLst/>
        </a:prstGeom>
        <a:ln w="15875">
          <a:solidFill>
            <a:srgbClr val="ffc000"/>
          </a:solidFill>
          <a:round/>
        </a:ln>
      </xdr:spPr>
      <xdr:style>
        <a:lnRef idx="0"/>
        <a:fillRef idx="0"/>
        <a:effectRef idx="0"/>
        <a:fontRef idx="minor"/>
      </xdr:style>
    </xdr:sp>
    <xdr:clientData/>
  </xdr:twoCellAnchor>
  <xdr:twoCellAnchor editAs="twoCell">
    <xdr:from>
      <xdr:col>11</xdr:col>
      <xdr:colOff>723960</xdr:colOff>
      <xdr:row>57</xdr:row>
      <xdr:rowOff>182160</xdr:rowOff>
    </xdr:from>
    <xdr:to>
      <xdr:col>12</xdr:col>
      <xdr:colOff>632520</xdr:colOff>
      <xdr:row>57</xdr:row>
      <xdr:rowOff>182160</xdr:rowOff>
    </xdr:to>
    <xdr:sp>
      <xdr:nvSpPr>
        <xdr:cNvPr id="2613" name="Line 100"/>
        <xdr:cNvSpPr/>
      </xdr:nvSpPr>
      <xdr:spPr>
        <a:xfrm flipH="1">
          <a:off x="9944280" y="11240640"/>
          <a:ext cx="746640" cy="0"/>
        </a:xfrm>
        <a:prstGeom prst="line">
          <a:avLst/>
        </a:prstGeom>
        <a:ln w="15875">
          <a:solidFill>
            <a:srgbClr val="ffc000"/>
          </a:solidFill>
          <a:round/>
        </a:ln>
      </xdr:spPr>
      <xdr:style>
        <a:lnRef idx="0"/>
        <a:fillRef idx="0"/>
        <a:effectRef idx="0"/>
        <a:fontRef idx="minor"/>
      </xdr:style>
    </xdr:sp>
    <xdr:clientData/>
  </xdr:twoCellAnchor>
  <xdr:twoCellAnchor editAs="twoCell">
    <xdr:from>
      <xdr:col>13</xdr:col>
      <xdr:colOff>402840</xdr:colOff>
      <xdr:row>63</xdr:row>
      <xdr:rowOff>94320</xdr:rowOff>
    </xdr:from>
    <xdr:to>
      <xdr:col>15</xdr:col>
      <xdr:colOff>87840</xdr:colOff>
      <xdr:row>63</xdr:row>
      <xdr:rowOff>94320</xdr:rowOff>
    </xdr:to>
    <xdr:sp>
      <xdr:nvSpPr>
        <xdr:cNvPr id="2614" name="Line 244"/>
        <xdr:cNvSpPr/>
      </xdr:nvSpPr>
      <xdr:spPr>
        <a:xfrm flipH="1">
          <a:off x="11299320" y="12295800"/>
          <a:ext cx="1361520" cy="0"/>
        </a:xfrm>
        <a:prstGeom prst="line">
          <a:avLst/>
        </a:prstGeom>
        <a:ln w="15875">
          <a:solidFill>
            <a:srgbClr val="ffc000"/>
          </a:solidFill>
          <a:round/>
        </a:ln>
      </xdr:spPr>
      <xdr:style>
        <a:lnRef idx="0"/>
        <a:fillRef idx="0"/>
        <a:effectRef idx="0"/>
        <a:fontRef idx="minor"/>
      </xdr:style>
    </xdr:sp>
    <xdr:clientData/>
  </xdr:twoCellAnchor>
  <xdr:twoCellAnchor editAs="twoCell">
    <xdr:from>
      <xdr:col>15</xdr:col>
      <xdr:colOff>14400</xdr:colOff>
      <xdr:row>61</xdr:row>
      <xdr:rowOff>138960</xdr:rowOff>
    </xdr:from>
    <xdr:to>
      <xdr:col>16</xdr:col>
      <xdr:colOff>22320</xdr:colOff>
      <xdr:row>62</xdr:row>
      <xdr:rowOff>181440</xdr:rowOff>
    </xdr:to>
    <xdr:sp>
      <xdr:nvSpPr>
        <xdr:cNvPr id="2615" name="Text Box 188"/>
        <xdr:cNvSpPr/>
      </xdr:nvSpPr>
      <xdr:spPr>
        <a:xfrm>
          <a:off x="12587400" y="11959560"/>
          <a:ext cx="84600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Manaure 34,5 kV</a:t>
          </a:r>
          <a:endParaRPr b="0" lang="en-GB" sz="600" spc="-1" strike="noStrike">
            <a:latin typeface="Times New Roman"/>
          </a:endParaRPr>
        </a:p>
      </xdr:txBody>
    </xdr:sp>
    <xdr:clientData/>
  </xdr:twoCellAnchor>
  <xdr:twoCellAnchor editAs="twoCell">
    <xdr:from>
      <xdr:col>15</xdr:col>
      <xdr:colOff>16200</xdr:colOff>
      <xdr:row>62</xdr:row>
      <xdr:rowOff>135360</xdr:rowOff>
    </xdr:from>
    <xdr:to>
      <xdr:col>16</xdr:col>
      <xdr:colOff>49320</xdr:colOff>
      <xdr:row>62</xdr:row>
      <xdr:rowOff>135360</xdr:rowOff>
    </xdr:to>
    <xdr:sp>
      <xdr:nvSpPr>
        <xdr:cNvPr id="2616" name="Line 38"/>
        <xdr:cNvSpPr/>
      </xdr:nvSpPr>
      <xdr:spPr>
        <a:xfrm>
          <a:off x="12589200" y="12146400"/>
          <a:ext cx="871200" cy="0"/>
        </a:xfrm>
        <a:prstGeom prst="line">
          <a:avLst/>
        </a:prstGeom>
        <a:ln w="25400">
          <a:solidFill>
            <a:srgbClr val="ffc000"/>
          </a:solidFill>
          <a:round/>
        </a:ln>
      </xdr:spPr>
      <xdr:style>
        <a:lnRef idx="0"/>
        <a:fillRef idx="0"/>
        <a:effectRef idx="0"/>
        <a:fontRef idx="minor"/>
      </xdr:style>
    </xdr:sp>
    <xdr:clientData/>
  </xdr:twoCellAnchor>
  <xdr:twoCellAnchor editAs="twoCell">
    <xdr:from>
      <xdr:col>15</xdr:col>
      <xdr:colOff>283680</xdr:colOff>
      <xdr:row>62</xdr:row>
      <xdr:rowOff>145080</xdr:rowOff>
    </xdr:from>
    <xdr:to>
      <xdr:col>15</xdr:col>
      <xdr:colOff>708480</xdr:colOff>
      <xdr:row>67</xdr:row>
      <xdr:rowOff>52920</xdr:rowOff>
    </xdr:to>
    <xdr:grpSp>
      <xdr:nvGrpSpPr>
        <xdr:cNvPr id="2617" name="Grupo 1203"/>
        <xdr:cNvGrpSpPr/>
      </xdr:nvGrpSpPr>
      <xdr:grpSpPr>
        <a:xfrm>
          <a:off x="12856680" y="12156120"/>
          <a:ext cx="424800" cy="860400"/>
          <a:chOff x="12856680" y="12156120"/>
          <a:chExt cx="424800" cy="860400"/>
        </a:xfrm>
      </xdr:grpSpPr>
      <xdr:sp>
        <xdr:nvSpPr>
          <xdr:cNvPr id="2618" name="Oval 40"/>
          <xdr:cNvSpPr/>
        </xdr:nvSpPr>
        <xdr:spPr>
          <a:xfrm rot="10800000">
            <a:off x="12887640" y="12403080"/>
            <a:ext cx="178200" cy="209160"/>
          </a:xfrm>
          <a:prstGeom prst="ellipse">
            <a:avLst/>
          </a:prstGeom>
          <a:noFill/>
          <a:ln w="12700">
            <a:solidFill>
              <a:srgbClr val="000000"/>
            </a:solidFill>
            <a:round/>
          </a:ln>
        </xdr:spPr>
        <xdr:style>
          <a:lnRef idx="0"/>
          <a:fillRef idx="0"/>
          <a:effectRef idx="0"/>
          <a:fontRef idx="minor"/>
        </xdr:style>
      </xdr:sp>
      <xdr:sp>
        <xdr:nvSpPr>
          <xdr:cNvPr id="2619" name="Oval 41"/>
          <xdr:cNvSpPr/>
        </xdr:nvSpPr>
        <xdr:spPr>
          <a:xfrm rot="10800000">
            <a:off x="12885120" y="12291480"/>
            <a:ext cx="178200" cy="209160"/>
          </a:xfrm>
          <a:prstGeom prst="ellipse">
            <a:avLst/>
          </a:prstGeom>
          <a:noFill/>
          <a:ln w="12700">
            <a:solidFill>
              <a:srgbClr val="ffc000"/>
            </a:solidFill>
            <a:round/>
          </a:ln>
        </xdr:spPr>
        <xdr:style>
          <a:lnRef idx="0"/>
          <a:fillRef idx="0"/>
          <a:effectRef idx="0"/>
          <a:fontRef idx="minor"/>
        </xdr:style>
      </xdr:sp>
      <xdr:sp>
        <xdr:nvSpPr>
          <xdr:cNvPr id="2620" name="Line 206"/>
          <xdr:cNvSpPr/>
        </xdr:nvSpPr>
        <xdr:spPr>
          <a:xfrm>
            <a:off x="12969000" y="12156120"/>
            <a:ext cx="360" cy="132120"/>
          </a:xfrm>
          <a:prstGeom prst="line">
            <a:avLst/>
          </a:prstGeom>
          <a:ln w="15875">
            <a:solidFill>
              <a:srgbClr val="ffc000"/>
            </a:solidFill>
            <a:round/>
          </a:ln>
        </xdr:spPr>
        <xdr:style>
          <a:lnRef idx="0"/>
          <a:fillRef idx="0"/>
          <a:effectRef idx="0"/>
          <a:fontRef idx="minor"/>
        </xdr:style>
      </xdr:sp>
      <xdr:sp>
        <xdr:nvSpPr>
          <xdr:cNvPr id="2621" name="452 Rectángulo redondeado"/>
          <xdr:cNvSpPr/>
        </xdr:nvSpPr>
        <xdr:spPr>
          <a:xfrm>
            <a:off x="12948840" y="12191760"/>
            <a:ext cx="406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2622" name="Line 99"/>
          <xdr:cNvSpPr/>
        </xdr:nvSpPr>
        <xdr:spPr>
          <a:xfrm>
            <a:off x="12856680" y="12753720"/>
            <a:ext cx="424800" cy="360"/>
          </a:xfrm>
          <a:prstGeom prst="line">
            <a:avLst/>
          </a:prstGeom>
          <a:ln w="25400">
            <a:solidFill>
              <a:srgbClr val="000000"/>
            </a:solidFill>
            <a:round/>
          </a:ln>
        </xdr:spPr>
        <xdr:style>
          <a:lnRef idx="0"/>
          <a:fillRef idx="0"/>
          <a:effectRef idx="0"/>
          <a:fontRef idx="minor"/>
        </xdr:style>
      </xdr:sp>
      <xdr:sp>
        <xdr:nvSpPr>
          <xdr:cNvPr id="2623" name="Line 280"/>
          <xdr:cNvSpPr/>
        </xdr:nvSpPr>
        <xdr:spPr>
          <a:xfrm>
            <a:off x="12975840" y="12614040"/>
            <a:ext cx="360" cy="402480"/>
          </a:xfrm>
          <a:prstGeom prst="line">
            <a:avLst/>
          </a:prstGeom>
          <a:ln w="15875">
            <a:solidFill>
              <a:srgbClr val="000000"/>
            </a:solidFill>
            <a:round/>
            <a:tailEnd len="med" type="triangle" w="med"/>
          </a:ln>
        </xdr:spPr>
        <xdr:style>
          <a:lnRef idx="0"/>
          <a:fillRef idx="0"/>
          <a:effectRef idx="0"/>
          <a:fontRef idx="minor"/>
        </xdr:style>
      </xdr:sp>
      <xdr:sp>
        <xdr:nvSpPr>
          <xdr:cNvPr id="2624" name="455 Rectángulo redondeado"/>
          <xdr:cNvSpPr/>
        </xdr:nvSpPr>
        <xdr:spPr>
          <a:xfrm rot="5400000">
            <a:off x="12955680" y="12794760"/>
            <a:ext cx="3996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2625" name="455 Rectángulo redondeado"/>
          <xdr:cNvSpPr/>
        </xdr:nvSpPr>
        <xdr:spPr>
          <a:xfrm rot="5400000">
            <a:off x="12958200" y="12661920"/>
            <a:ext cx="3996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14</xdr:col>
      <xdr:colOff>519840</xdr:colOff>
      <xdr:row>65</xdr:row>
      <xdr:rowOff>57240</xdr:rowOff>
    </xdr:from>
    <xdr:to>
      <xdr:col>15</xdr:col>
      <xdr:colOff>336600</xdr:colOff>
      <xdr:row>66</xdr:row>
      <xdr:rowOff>99720</xdr:rowOff>
    </xdr:to>
    <xdr:sp>
      <xdr:nvSpPr>
        <xdr:cNvPr id="2626" name="Text Box 188"/>
        <xdr:cNvSpPr/>
      </xdr:nvSpPr>
      <xdr:spPr>
        <a:xfrm>
          <a:off x="12254760" y="12639600"/>
          <a:ext cx="654840" cy="2332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Manaure 13,8 kV</a:t>
          </a:r>
          <a:endParaRPr b="0" lang="en-GB" sz="600" spc="-1" strike="noStrike">
            <a:latin typeface="Times New Roman"/>
          </a:endParaRPr>
        </a:p>
      </xdr:txBody>
    </xdr:sp>
    <xdr:clientData/>
  </xdr:twoCellAnchor>
  <xdr:twoCellAnchor editAs="twoCell">
    <xdr:from>
      <xdr:col>15</xdr:col>
      <xdr:colOff>13680</xdr:colOff>
      <xdr:row>63</xdr:row>
      <xdr:rowOff>1440</xdr:rowOff>
    </xdr:from>
    <xdr:to>
      <xdr:col>15</xdr:col>
      <xdr:colOff>160200</xdr:colOff>
      <xdr:row>63</xdr:row>
      <xdr:rowOff>41760</xdr:rowOff>
    </xdr:to>
    <xdr:grpSp>
      <xdr:nvGrpSpPr>
        <xdr:cNvPr id="2627" name="Grupo 1213"/>
        <xdr:cNvGrpSpPr/>
      </xdr:nvGrpSpPr>
      <xdr:grpSpPr>
        <a:xfrm>
          <a:off x="12639600" y="12150000"/>
          <a:ext cx="40320" cy="146520"/>
          <a:chOff x="12639600" y="12150000"/>
          <a:chExt cx="40320" cy="146520"/>
        </a:xfrm>
      </xdr:grpSpPr>
      <xdr:sp>
        <xdr:nvSpPr>
          <xdr:cNvPr id="2628" name="Line 244"/>
          <xdr:cNvSpPr/>
        </xdr:nvSpPr>
        <xdr:spPr>
          <a:xfrm>
            <a:off x="12659400" y="12150000"/>
            <a:ext cx="360" cy="146520"/>
          </a:xfrm>
          <a:prstGeom prst="line">
            <a:avLst/>
          </a:prstGeom>
          <a:ln w="15875">
            <a:solidFill>
              <a:srgbClr val="ffc000"/>
            </a:solidFill>
            <a:round/>
          </a:ln>
        </xdr:spPr>
        <xdr:style>
          <a:lnRef idx="0"/>
          <a:fillRef idx="0"/>
          <a:effectRef idx="0"/>
          <a:fontRef idx="minor"/>
        </xdr:style>
      </xdr:sp>
      <xdr:sp>
        <xdr:nvSpPr>
          <xdr:cNvPr id="2629" name="455 Rectángulo redondeado"/>
          <xdr:cNvSpPr/>
        </xdr:nvSpPr>
        <xdr:spPr>
          <a:xfrm>
            <a:off x="12639600" y="1219212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15</xdr:col>
      <xdr:colOff>488880</xdr:colOff>
      <xdr:row>66</xdr:row>
      <xdr:rowOff>55800</xdr:rowOff>
    </xdr:from>
    <xdr:to>
      <xdr:col>15</xdr:col>
      <xdr:colOff>757440</xdr:colOff>
      <xdr:row>66</xdr:row>
      <xdr:rowOff>184320</xdr:rowOff>
    </xdr:to>
    <xdr:grpSp>
      <xdr:nvGrpSpPr>
        <xdr:cNvPr id="2630" name="Grupo 1216"/>
        <xdr:cNvGrpSpPr/>
      </xdr:nvGrpSpPr>
      <xdr:grpSpPr>
        <a:xfrm>
          <a:off x="13132080" y="12758760"/>
          <a:ext cx="128520" cy="268560"/>
          <a:chOff x="13132080" y="12758760"/>
          <a:chExt cx="128520" cy="268560"/>
        </a:xfrm>
      </xdr:grpSpPr>
      <xdr:sp>
        <xdr:nvSpPr>
          <xdr:cNvPr id="2631" name="Line 280"/>
          <xdr:cNvSpPr/>
        </xdr:nvSpPr>
        <xdr:spPr>
          <a:xfrm>
            <a:off x="13193280" y="12758760"/>
            <a:ext cx="360" cy="144360"/>
          </a:xfrm>
          <a:prstGeom prst="line">
            <a:avLst/>
          </a:prstGeom>
          <a:ln w="15875">
            <a:solidFill>
              <a:srgbClr val="000000"/>
            </a:solidFill>
            <a:round/>
          </a:ln>
        </xdr:spPr>
        <xdr:style>
          <a:lnRef idx="0"/>
          <a:fillRef idx="0"/>
          <a:effectRef idx="0"/>
          <a:fontRef idx="minor"/>
        </xdr:style>
      </xdr:sp>
      <xdr:sp>
        <xdr:nvSpPr>
          <xdr:cNvPr id="2632" name="455 Rectángulo redondeado"/>
          <xdr:cNvSpPr/>
        </xdr:nvSpPr>
        <xdr:spPr>
          <a:xfrm rot="5400000">
            <a:off x="13174920" y="12805560"/>
            <a:ext cx="40680" cy="39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2633" name="Line 280"/>
          <xdr:cNvSpPr/>
        </xdr:nvSpPr>
        <xdr:spPr>
          <a:xfrm flipH="1">
            <a:off x="13143240" y="12903840"/>
            <a:ext cx="103320" cy="360"/>
          </a:xfrm>
          <a:prstGeom prst="line">
            <a:avLst/>
          </a:prstGeom>
          <a:ln w="15875">
            <a:solidFill>
              <a:srgbClr val="000000"/>
            </a:solidFill>
            <a:round/>
          </a:ln>
        </xdr:spPr>
        <xdr:style>
          <a:lnRef idx="0"/>
          <a:fillRef idx="0"/>
          <a:effectRef idx="0"/>
          <a:fontRef idx="minor"/>
        </xdr:style>
      </xdr:sp>
      <xdr:sp>
        <xdr:nvSpPr>
          <xdr:cNvPr id="2634" name="Line 280"/>
          <xdr:cNvSpPr/>
        </xdr:nvSpPr>
        <xdr:spPr>
          <a:xfrm>
            <a:off x="13194000" y="12931920"/>
            <a:ext cx="360" cy="95400"/>
          </a:xfrm>
          <a:prstGeom prst="line">
            <a:avLst/>
          </a:prstGeom>
          <a:ln w="15875">
            <a:solidFill>
              <a:srgbClr val="000000"/>
            </a:solidFill>
            <a:round/>
          </a:ln>
        </xdr:spPr>
        <xdr:style>
          <a:lnRef idx="0"/>
          <a:fillRef idx="0"/>
          <a:effectRef idx="0"/>
          <a:fontRef idx="minor"/>
        </xdr:style>
      </xdr:sp>
      <xdr:sp>
        <xdr:nvSpPr>
          <xdr:cNvPr id="2635" name="Line 280"/>
          <xdr:cNvSpPr/>
        </xdr:nvSpPr>
        <xdr:spPr>
          <a:xfrm flipH="1">
            <a:off x="13132080" y="13022280"/>
            <a:ext cx="128520" cy="360"/>
          </a:xfrm>
          <a:prstGeom prst="line">
            <a:avLst/>
          </a:prstGeom>
          <a:ln w="15875">
            <a:solidFill>
              <a:srgbClr val="000000"/>
            </a:solidFill>
            <a:round/>
          </a:ln>
        </xdr:spPr>
        <xdr:style>
          <a:lnRef idx="0"/>
          <a:fillRef idx="0"/>
          <a:effectRef idx="0"/>
          <a:fontRef idx="minor"/>
        </xdr:style>
      </xdr:sp>
      <xdr:sp>
        <xdr:nvSpPr>
          <xdr:cNvPr id="2636" name="Line 280"/>
          <xdr:cNvSpPr/>
        </xdr:nvSpPr>
        <xdr:spPr>
          <a:xfrm flipH="1">
            <a:off x="13141800" y="12929400"/>
            <a:ext cx="102960" cy="360"/>
          </a:xfrm>
          <a:prstGeom prst="line">
            <a:avLst/>
          </a:prstGeom>
          <a:ln w="15875">
            <a:solidFill>
              <a:srgbClr val="000000"/>
            </a:solidFill>
            <a:round/>
          </a:ln>
        </xdr:spPr>
        <xdr:style>
          <a:lnRef idx="0"/>
          <a:fillRef idx="0"/>
          <a:effectRef idx="0"/>
          <a:fontRef idx="minor"/>
        </xdr:style>
      </xdr:sp>
    </xdr:grpSp>
    <xdr:clientData/>
  </xdr:twoCellAnchor>
  <xdr:twoCellAnchor editAs="twoCell">
    <xdr:from>
      <xdr:col>15</xdr:col>
      <xdr:colOff>636480</xdr:colOff>
      <xdr:row>63</xdr:row>
      <xdr:rowOff>6480</xdr:rowOff>
    </xdr:from>
    <xdr:to>
      <xdr:col>15</xdr:col>
      <xdr:colOff>782640</xdr:colOff>
      <xdr:row>63</xdr:row>
      <xdr:rowOff>46800</xdr:rowOff>
    </xdr:to>
    <xdr:grpSp>
      <xdr:nvGrpSpPr>
        <xdr:cNvPr id="2637" name="Grupo 1223"/>
        <xdr:cNvGrpSpPr/>
      </xdr:nvGrpSpPr>
      <xdr:grpSpPr>
        <a:xfrm>
          <a:off x="13262400" y="12155040"/>
          <a:ext cx="40320" cy="146160"/>
          <a:chOff x="13262400" y="12155040"/>
          <a:chExt cx="40320" cy="146160"/>
        </a:xfrm>
      </xdr:grpSpPr>
      <xdr:sp>
        <xdr:nvSpPr>
          <xdr:cNvPr id="2638" name="Line 244"/>
          <xdr:cNvSpPr/>
        </xdr:nvSpPr>
        <xdr:spPr>
          <a:xfrm>
            <a:off x="13279680" y="12155040"/>
            <a:ext cx="360" cy="146160"/>
          </a:xfrm>
          <a:prstGeom prst="line">
            <a:avLst/>
          </a:prstGeom>
          <a:ln w="15875">
            <a:solidFill>
              <a:srgbClr val="ffc000"/>
            </a:solidFill>
            <a:round/>
          </a:ln>
        </xdr:spPr>
        <xdr:style>
          <a:lnRef idx="0"/>
          <a:fillRef idx="0"/>
          <a:effectRef idx="0"/>
          <a:fontRef idx="minor"/>
        </xdr:style>
      </xdr:sp>
      <xdr:sp>
        <xdr:nvSpPr>
          <xdr:cNvPr id="2639" name="455 Rectángulo redondeado"/>
          <xdr:cNvSpPr/>
        </xdr:nvSpPr>
        <xdr:spPr>
          <a:xfrm>
            <a:off x="13262400" y="1219428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15</xdr:col>
      <xdr:colOff>701640</xdr:colOff>
      <xdr:row>63</xdr:row>
      <xdr:rowOff>97920</xdr:rowOff>
    </xdr:from>
    <xdr:to>
      <xdr:col>17</xdr:col>
      <xdr:colOff>46440</xdr:colOff>
      <xdr:row>63</xdr:row>
      <xdr:rowOff>97920</xdr:rowOff>
    </xdr:to>
    <xdr:sp>
      <xdr:nvSpPr>
        <xdr:cNvPr id="2640" name="Line 244"/>
        <xdr:cNvSpPr/>
      </xdr:nvSpPr>
      <xdr:spPr>
        <a:xfrm flipH="1">
          <a:off x="13274640" y="12299400"/>
          <a:ext cx="1021320" cy="0"/>
        </a:xfrm>
        <a:prstGeom prst="line">
          <a:avLst/>
        </a:prstGeom>
        <a:ln w="15875">
          <a:solidFill>
            <a:srgbClr val="ffc000"/>
          </a:solidFill>
          <a:round/>
        </a:ln>
      </xdr:spPr>
      <xdr:style>
        <a:lnRef idx="0"/>
        <a:fillRef idx="0"/>
        <a:effectRef idx="0"/>
        <a:fontRef idx="minor"/>
      </xdr:style>
    </xdr:sp>
    <xdr:clientData/>
  </xdr:twoCellAnchor>
  <xdr:twoCellAnchor editAs="twoCell">
    <xdr:from>
      <xdr:col>16</xdr:col>
      <xdr:colOff>807120</xdr:colOff>
      <xdr:row>63</xdr:row>
      <xdr:rowOff>5400</xdr:rowOff>
    </xdr:from>
    <xdr:to>
      <xdr:col>17</xdr:col>
      <xdr:colOff>114840</xdr:colOff>
      <xdr:row>63</xdr:row>
      <xdr:rowOff>45720</xdr:rowOff>
    </xdr:to>
    <xdr:grpSp>
      <xdr:nvGrpSpPr>
        <xdr:cNvPr id="2641" name="Grupo 1227"/>
        <xdr:cNvGrpSpPr/>
      </xdr:nvGrpSpPr>
      <xdr:grpSpPr>
        <a:xfrm>
          <a:off x="14271120" y="12153960"/>
          <a:ext cx="40320" cy="146160"/>
          <a:chOff x="14271120" y="12153960"/>
          <a:chExt cx="40320" cy="146160"/>
        </a:xfrm>
      </xdr:grpSpPr>
      <xdr:sp>
        <xdr:nvSpPr>
          <xdr:cNvPr id="2642" name="Line 244"/>
          <xdr:cNvSpPr/>
        </xdr:nvSpPr>
        <xdr:spPr>
          <a:xfrm>
            <a:off x="14290920" y="12153960"/>
            <a:ext cx="360" cy="146160"/>
          </a:xfrm>
          <a:prstGeom prst="line">
            <a:avLst/>
          </a:prstGeom>
          <a:ln w="15875">
            <a:solidFill>
              <a:srgbClr val="ffc000"/>
            </a:solidFill>
            <a:round/>
          </a:ln>
        </xdr:spPr>
        <xdr:style>
          <a:lnRef idx="0"/>
          <a:fillRef idx="0"/>
          <a:effectRef idx="0"/>
          <a:fontRef idx="minor"/>
        </xdr:style>
      </xdr:sp>
      <xdr:sp>
        <xdr:nvSpPr>
          <xdr:cNvPr id="2643" name="455 Rectángulo redondeado"/>
          <xdr:cNvSpPr/>
        </xdr:nvSpPr>
        <xdr:spPr>
          <a:xfrm>
            <a:off x="14271120" y="1219608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12</xdr:col>
      <xdr:colOff>742680</xdr:colOff>
      <xdr:row>60</xdr:row>
      <xdr:rowOff>105120</xdr:rowOff>
    </xdr:from>
    <xdr:to>
      <xdr:col>13</xdr:col>
      <xdr:colOff>441360</xdr:colOff>
      <xdr:row>61</xdr:row>
      <xdr:rowOff>36000</xdr:rowOff>
    </xdr:to>
    <xdr:sp>
      <xdr:nvSpPr>
        <xdr:cNvPr id="2644" name="Text Box 188"/>
        <xdr:cNvSpPr/>
      </xdr:nvSpPr>
      <xdr:spPr>
        <a:xfrm>
          <a:off x="10801080" y="11735280"/>
          <a:ext cx="53676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LN-529</a:t>
          </a:r>
          <a:endParaRPr b="0" lang="en-GB" sz="600" spc="-1" strike="noStrike">
            <a:latin typeface="Times New Roman"/>
          </a:endParaRPr>
        </a:p>
      </xdr:txBody>
    </xdr:sp>
    <xdr:clientData/>
  </xdr:twoCellAnchor>
  <xdr:twoCellAnchor editAs="twoCell">
    <xdr:from>
      <xdr:col>13</xdr:col>
      <xdr:colOff>616680</xdr:colOff>
      <xdr:row>62</xdr:row>
      <xdr:rowOff>155160</xdr:rowOff>
    </xdr:from>
    <xdr:to>
      <xdr:col>14</xdr:col>
      <xdr:colOff>315360</xdr:colOff>
      <xdr:row>63</xdr:row>
      <xdr:rowOff>86040</xdr:rowOff>
    </xdr:to>
    <xdr:sp>
      <xdr:nvSpPr>
        <xdr:cNvPr id="2645" name="Text Box 188"/>
        <xdr:cNvSpPr/>
      </xdr:nvSpPr>
      <xdr:spPr>
        <a:xfrm>
          <a:off x="11513160" y="12166200"/>
          <a:ext cx="53712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LN-529</a:t>
          </a:r>
          <a:endParaRPr b="0" lang="en-GB" sz="600" spc="-1" strike="noStrike">
            <a:latin typeface="Times New Roman"/>
          </a:endParaRPr>
        </a:p>
      </xdr:txBody>
    </xdr:sp>
    <xdr:clientData/>
  </xdr:twoCellAnchor>
  <xdr:twoCellAnchor editAs="twoCell">
    <xdr:from>
      <xdr:col>16</xdr:col>
      <xdr:colOff>144720</xdr:colOff>
      <xdr:row>62</xdr:row>
      <xdr:rowOff>169920</xdr:rowOff>
    </xdr:from>
    <xdr:to>
      <xdr:col>16</xdr:col>
      <xdr:colOff>643320</xdr:colOff>
      <xdr:row>63</xdr:row>
      <xdr:rowOff>100800</xdr:rowOff>
    </xdr:to>
    <xdr:sp>
      <xdr:nvSpPr>
        <xdr:cNvPr id="2646" name="Text Box 188"/>
        <xdr:cNvSpPr/>
      </xdr:nvSpPr>
      <xdr:spPr>
        <a:xfrm>
          <a:off x="13555800" y="12180960"/>
          <a:ext cx="49860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LN-5135</a:t>
          </a:r>
          <a:endParaRPr b="0" lang="en-GB" sz="600" spc="-1" strike="noStrike">
            <a:latin typeface="Times New Roman"/>
          </a:endParaRPr>
        </a:p>
      </xdr:txBody>
    </xdr:sp>
    <xdr:clientData/>
  </xdr:twoCellAnchor>
  <xdr:twoCellAnchor editAs="twoCell">
    <xdr:from>
      <xdr:col>17</xdr:col>
      <xdr:colOff>140760</xdr:colOff>
      <xdr:row>62</xdr:row>
      <xdr:rowOff>158040</xdr:rowOff>
    </xdr:from>
    <xdr:to>
      <xdr:col>17</xdr:col>
      <xdr:colOff>565560</xdr:colOff>
      <xdr:row>66</xdr:row>
      <xdr:rowOff>2160</xdr:rowOff>
    </xdr:to>
    <xdr:grpSp>
      <xdr:nvGrpSpPr>
        <xdr:cNvPr id="2647" name="Grupo 1233"/>
        <xdr:cNvGrpSpPr/>
      </xdr:nvGrpSpPr>
      <xdr:grpSpPr>
        <a:xfrm>
          <a:off x="14390280" y="12169080"/>
          <a:ext cx="424800" cy="606240"/>
          <a:chOff x="14390280" y="12169080"/>
          <a:chExt cx="424800" cy="606240"/>
        </a:xfrm>
      </xdr:grpSpPr>
      <xdr:sp>
        <xdr:nvSpPr>
          <xdr:cNvPr id="2648" name="Oval 40"/>
          <xdr:cNvSpPr/>
        </xdr:nvSpPr>
        <xdr:spPr>
          <a:xfrm rot="10800000">
            <a:off x="14420880" y="12416400"/>
            <a:ext cx="178200" cy="209160"/>
          </a:xfrm>
          <a:prstGeom prst="ellipse">
            <a:avLst/>
          </a:prstGeom>
          <a:noFill/>
          <a:ln w="12700">
            <a:solidFill>
              <a:srgbClr val="000000"/>
            </a:solidFill>
            <a:round/>
          </a:ln>
        </xdr:spPr>
        <xdr:style>
          <a:lnRef idx="0"/>
          <a:fillRef idx="0"/>
          <a:effectRef idx="0"/>
          <a:fontRef idx="minor"/>
        </xdr:style>
      </xdr:sp>
      <xdr:sp>
        <xdr:nvSpPr>
          <xdr:cNvPr id="2649" name="Oval 41"/>
          <xdr:cNvSpPr/>
        </xdr:nvSpPr>
        <xdr:spPr>
          <a:xfrm rot="10800000">
            <a:off x="14418360" y="12304800"/>
            <a:ext cx="178200" cy="209160"/>
          </a:xfrm>
          <a:prstGeom prst="ellipse">
            <a:avLst/>
          </a:prstGeom>
          <a:noFill/>
          <a:ln w="12700">
            <a:solidFill>
              <a:srgbClr val="ffc000"/>
            </a:solidFill>
            <a:round/>
          </a:ln>
        </xdr:spPr>
        <xdr:style>
          <a:lnRef idx="0"/>
          <a:fillRef idx="0"/>
          <a:effectRef idx="0"/>
          <a:fontRef idx="minor"/>
        </xdr:style>
      </xdr:sp>
      <xdr:sp>
        <xdr:nvSpPr>
          <xdr:cNvPr id="2650" name="Line 206"/>
          <xdr:cNvSpPr/>
        </xdr:nvSpPr>
        <xdr:spPr>
          <a:xfrm>
            <a:off x="14502240" y="12169080"/>
            <a:ext cx="360" cy="132480"/>
          </a:xfrm>
          <a:prstGeom prst="line">
            <a:avLst/>
          </a:prstGeom>
          <a:ln w="15875">
            <a:solidFill>
              <a:srgbClr val="ffc000"/>
            </a:solidFill>
            <a:round/>
          </a:ln>
        </xdr:spPr>
        <xdr:style>
          <a:lnRef idx="0"/>
          <a:fillRef idx="0"/>
          <a:effectRef idx="0"/>
          <a:fontRef idx="minor"/>
        </xdr:style>
      </xdr:sp>
      <xdr:sp>
        <xdr:nvSpPr>
          <xdr:cNvPr id="2651" name="452 Rectángulo redondeado"/>
          <xdr:cNvSpPr/>
        </xdr:nvSpPr>
        <xdr:spPr>
          <a:xfrm>
            <a:off x="14482440" y="12205080"/>
            <a:ext cx="4068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2652" name="Line 99"/>
          <xdr:cNvSpPr/>
        </xdr:nvSpPr>
        <xdr:spPr>
          <a:xfrm>
            <a:off x="14390280" y="12767040"/>
            <a:ext cx="424800" cy="360"/>
          </a:xfrm>
          <a:prstGeom prst="line">
            <a:avLst/>
          </a:prstGeom>
          <a:ln w="25400">
            <a:solidFill>
              <a:srgbClr val="000000"/>
            </a:solidFill>
            <a:round/>
          </a:ln>
        </xdr:spPr>
        <xdr:style>
          <a:lnRef idx="0"/>
          <a:fillRef idx="0"/>
          <a:effectRef idx="0"/>
          <a:fontRef idx="minor"/>
        </xdr:style>
      </xdr:sp>
      <xdr:sp>
        <xdr:nvSpPr>
          <xdr:cNvPr id="2653" name="Line 280"/>
          <xdr:cNvSpPr/>
        </xdr:nvSpPr>
        <xdr:spPr>
          <a:xfrm>
            <a:off x="14509080" y="12627000"/>
            <a:ext cx="360" cy="148320"/>
          </a:xfrm>
          <a:prstGeom prst="line">
            <a:avLst/>
          </a:prstGeom>
          <a:ln w="15875">
            <a:solidFill>
              <a:srgbClr val="000000"/>
            </a:solidFill>
            <a:round/>
          </a:ln>
        </xdr:spPr>
        <xdr:style>
          <a:lnRef idx="0"/>
          <a:fillRef idx="0"/>
          <a:effectRef idx="0"/>
          <a:fontRef idx="minor"/>
        </xdr:style>
      </xdr:sp>
      <xdr:sp>
        <xdr:nvSpPr>
          <xdr:cNvPr id="2654" name="455 Rectángulo redondeado"/>
          <xdr:cNvSpPr/>
        </xdr:nvSpPr>
        <xdr:spPr>
          <a:xfrm rot="5400000">
            <a:off x="14491440" y="12675240"/>
            <a:ext cx="3996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16</xdr:col>
      <xdr:colOff>632160</xdr:colOff>
      <xdr:row>62</xdr:row>
      <xdr:rowOff>142920</xdr:rowOff>
    </xdr:from>
    <xdr:to>
      <xdr:col>18</xdr:col>
      <xdr:colOff>254880</xdr:colOff>
      <xdr:row>62</xdr:row>
      <xdr:rowOff>142920</xdr:rowOff>
    </xdr:to>
    <xdr:sp>
      <xdr:nvSpPr>
        <xdr:cNvPr id="2655" name="Line 38"/>
        <xdr:cNvSpPr/>
      </xdr:nvSpPr>
      <xdr:spPr>
        <a:xfrm>
          <a:off x="14043240" y="12153960"/>
          <a:ext cx="1299240" cy="0"/>
        </a:xfrm>
        <a:prstGeom prst="line">
          <a:avLst/>
        </a:prstGeom>
        <a:ln w="25400">
          <a:solidFill>
            <a:srgbClr val="ffc000"/>
          </a:solidFill>
          <a:round/>
        </a:ln>
      </xdr:spPr>
      <xdr:style>
        <a:lnRef idx="0"/>
        <a:fillRef idx="0"/>
        <a:effectRef idx="0"/>
        <a:fontRef idx="minor"/>
      </xdr:style>
    </xdr:sp>
    <xdr:clientData/>
  </xdr:twoCellAnchor>
  <xdr:twoCellAnchor editAs="twoCell">
    <xdr:from>
      <xdr:col>16</xdr:col>
      <xdr:colOff>723600</xdr:colOff>
      <xdr:row>61</xdr:row>
      <xdr:rowOff>158400</xdr:rowOff>
    </xdr:from>
    <xdr:to>
      <xdr:col>17</xdr:col>
      <xdr:colOff>677520</xdr:colOff>
      <xdr:row>62</xdr:row>
      <xdr:rowOff>120960</xdr:rowOff>
    </xdr:to>
    <xdr:sp>
      <xdr:nvSpPr>
        <xdr:cNvPr id="2656" name="Text Box 188"/>
        <xdr:cNvSpPr/>
      </xdr:nvSpPr>
      <xdr:spPr>
        <a:xfrm>
          <a:off x="14134680" y="11979000"/>
          <a:ext cx="792360" cy="15300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Uribia 34,5 kV</a:t>
          </a:r>
          <a:endParaRPr b="0" lang="en-GB" sz="600" spc="-1" strike="noStrike">
            <a:latin typeface="Times New Roman"/>
          </a:endParaRPr>
        </a:p>
      </xdr:txBody>
    </xdr:sp>
    <xdr:clientData/>
  </xdr:twoCellAnchor>
  <xdr:twoCellAnchor editAs="twoCell">
    <xdr:from>
      <xdr:col>17</xdr:col>
      <xdr:colOff>540720</xdr:colOff>
      <xdr:row>62</xdr:row>
      <xdr:rowOff>158040</xdr:rowOff>
    </xdr:from>
    <xdr:to>
      <xdr:col>18</xdr:col>
      <xdr:colOff>203400</xdr:colOff>
      <xdr:row>66</xdr:row>
      <xdr:rowOff>5760</xdr:rowOff>
    </xdr:to>
    <xdr:grpSp>
      <xdr:nvGrpSpPr>
        <xdr:cNvPr id="2657" name="Grupo 1243"/>
        <xdr:cNvGrpSpPr/>
      </xdr:nvGrpSpPr>
      <xdr:grpSpPr>
        <a:xfrm>
          <a:off x="14790240" y="12169080"/>
          <a:ext cx="500760" cy="609840"/>
          <a:chOff x="14790240" y="12169080"/>
          <a:chExt cx="500760" cy="609840"/>
        </a:xfrm>
      </xdr:grpSpPr>
      <xdr:sp>
        <xdr:nvSpPr>
          <xdr:cNvPr id="2658" name="Oval 40"/>
          <xdr:cNvSpPr/>
        </xdr:nvSpPr>
        <xdr:spPr>
          <a:xfrm rot="10800000">
            <a:off x="14826600" y="12416400"/>
            <a:ext cx="210240" cy="209160"/>
          </a:xfrm>
          <a:prstGeom prst="ellipse">
            <a:avLst/>
          </a:prstGeom>
          <a:noFill/>
          <a:ln w="12700">
            <a:solidFill>
              <a:srgbClr val="000000"/>
            </a:solidFill>
            <a:round/>
          </a:ln>
        </xdr:spPr>
        <xdr:style>
          <a:lnRef idx="0"/>
          <a:fillRef idx="0"/>
          <a:effectRef idx="0"/>
          <a:fontRef idx="minor"/>
        </xdr:style>
      </xdr:sp>
      <xdr:sp>
        <xdr:nvSpPr>
          <xdr:cNvPr id="2659" name="Oval 41"/>
          <xdr:cNvSpPr/>
        </xdr:nvSpPr>
        <xdr:spPr>
          <a:xfrm rot="10800000">
            <a:off x="14823360" y="12304800"/>
            <a:ext cx="210240" cy="209160"/>
          </a:xfrm>
          <a:prstGeom prst="ellipse">
            <a:avLst/>
          </a:prstGeom>
          <a:noFill/>
          <a:ln w="12700">
            <a:solidFill>
              <a:srgbClr val="ffc000"/>
            </a:solidFill>
            <a:round/>
          </a:ln>
        </xdr:spPr>
        <xdr:style>
          <a:lnRef idx="0"/>
          <a:fillRef idx="0"/>
          <a:effectRef idx="0"/>
          <a:fontRef idx="minor"/>
        </xdr:style>
      </xdr:sp>
      <xdr:sp>
        <xdr:nvSpPr>
          <xdr:cNvPr id="2660" name="Line 206"/>
          <xdr:cNvSpPr/>
        </xdr:nvSpPr>
        <xdr:spPr>
          <a:xfrm>
            <a:off x="14922720" y="12169080"/>
            <a:ext cx="360" cy="132480"/>
          </a:xfrm>
          <a:prstGeom prst="line">
            <a:avLst/>
          </a:prstGeom>
          <a:ln w="15875">
            <a:solidFill>
              <a:srgbClr val="ffc000"/>
            </a:solidFill>
            <a:round/>
          </a:ln>
        </xdr:spPr>
        <xdr:style>
          <a:lnRef idx="0"/>
          <a:fillRef idx="0"/>
          <a:effectRef idx="0"/>
          <a:fontRef idx="minor"/>
        </xdr:style>
      </xdr:sp>
      <xdr:sp>
        <xdr:nvSpPr>
          <xdr:cNvPr id="2661" name="452 Rectángulo redondeado"/>
          <xdr:cNvSpPr/>
        </xdr:nvSpPr>
        <xdr:spPr>
          <a:xfrm>
            <a:off x="14898960" y="12205080"/>
            <a:ext cx="4824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2662" name="Line 99"/>
          <xdr:cNvSpPr/>
        </xdr:nvSpPr>
        <xdr:spPr>
          <a:xfrm>
            <a:off x="14790240" y="12767040"/>
            <a:ext cx="500760" cy="360"/>
          </a:xfrm>
          <a:prstGeom prst="line">
            <a:avLst/>
          </a:prstGeom>
          <a:ln w="25400">
            <a:solidFill>
              <a:srgbClr val="000000"/>
            </a:solidFill>
            <a:round/>
          </a:ln>
        </xdr:spPr>
        <xdr:style>
          <a:lnRef idx="0"/>
          <a:fillRef idx="0"/>
          <a:effectRef idx="0"/>
          <a:fontRef idx="minor"/>
        </xdr:style>
      </xdr:sp>
      <xdr:sp>
        <xdr:nvSpPr>
          <xdr:cNvPr id="2663" name="Line 280"/>
          <xdr:cNvSpPr/>
        </xdr:nvSpPr>
        <xdr:spPr>
          <a:xfrm>
            <a:off x="14930640" y="12627000"/>
            <a:ext cx="360" cy="151920"/>
          </a:xfrm>
          <a:prstGeom prst="line">
            <a:avLst/>
          </a:prstGeom>
          <a:ln w="15875">
            <a:solidFill>
              <a:srgbClr val="000000"/>
            </a:solidFill>
            <a:round/>
          </a:ln>
        </xdr:spPr>
        <xdr:style>
          <a:lnRef idx="0"/>
          <a:fillRef idx="0"/>
          <a:effectRef idx="0"/>
          <a:fontRef idx="minor"/>
        </xdr:style>
      </xdr:sp>
      <xdr:sp>
        <xdr:nvSpPr>
          <xdr:cNvPr id="2664" name="455 Rectángulo redondeado"/>
          <xdr:cNvSpPr/>
        </xdr:nvSpPr>
        <xdr:spPr>
          <a:xfrm rot="5400000">
            <a:off x="14913000" y="12671280"/>
            <a:ext cx="39960" cy="482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18</xdr:col>
      <xdr:colOff>3600</xdr:colOff>
      <xdr:row>66</xdr:row>
      <xdr:rowOff>59400</xdr:rowOff>
    </xdr:from>
    <xdr:to>
      <xdr:col>18</xdr:col>
      <xdr:colOff>719640</xdr:colOff>
      <xdr:row>66</xdr:row>
      <xdr:rowOff>184680</xdr:rowOff>
    </xdr:to>
    <xdr:sp>
      <xdr:nvSpPr>
        <xdr:cNvPr id="2665" name="Text Box 188"/>
        <xdr:cNvSpPr/>
      </xdr:nvSpPr>
      <xdr:spPr>
        <a:xfrm>
          <a:off x="15091200" y="12832560"/>
          <a:ext cx="716040" cy="1252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Uribia 13,8 kV</a:t>
          </a:r>
          <a:endParaRPr b="0" lang="en-GB" sz="600" spc="-1" strike="noStrike">
            <a:latin typeface="Times New Roman"/>
          </a:endParaRPr>
        </a:p>
      </xdr:txBody>
    </xdr:sp>
    <xdr:clientData/>
  </xdr:twoCellAnchor>
  <xdr:twoCellAnchor editAs="twoCell">
    <xdr:from>
      <xdr:col>16</xdr:col>
      <xdr:colOff>342720</xdr:colOff>
      <xdr:row>63</xdr:row>
      <xdr:rowOff>158400</xdr:rowOff>
    </xdr:from>
    <xdr:to>
      <xdr:col>17</xdr:col>
      <xdr:colOff>163440</xdr:colOff>
      <xdr:row>65</xdr:row>
      <xdr:rowOff>27360</xdr:rowOff>
    </xdr:to>
    <xdr:sp>
      <xdr:nvSpPr>
        <xdr:cNvPr id="2666" name="61 CuadroTexto"/>
        <xdr:cNvSpPr/>
      </xdr:nvSpPr>
      <xdr:spPr>
        <a:xfrm>
          <a:off x="13753800" y="12359880"/>
          <a:ext cx="659160" cy="24984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6,5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30/13,8 KV</a:t>
          </a:r>
          <a:endParaRPr b="0" lang="en-GB" sz="600" spc="-1" strike="noStrike">
            <a:latin typeface="Times New Roman"/>
          </a:endParaRPr>
        </a:p>
      </xdr:txBody>
    </xdr:sp>
    <xdr:clientData/>
  </xdr:twoCellAnchor>
  <xdr:twoCellAnchor editAs="twoCell">
    <xdr:from>
      <xdr:col>17</xdr:col>
      <xdr:colOff>731160</xdr:colOff>
      <xdr:row>63</xdr:row>
      <xdr:rowOff>143280</xdr:rowOff>
    </xdr:from>
    <xdr:to>
      <xdr:col>18</xdr:col>
      <xdr:colOff>551880</xdr:colOff>
      <xdr:row>65</xdr:row>
      <xdr:rowOff>12240</xdr:rowOff>
    </xdr:to>
    <xdr:sp>
      <xdr:nvSpPr>
        <xdr:cNvPr id="2667" name="61 CuadroTexto"/>
        <xdr:cNvSpPr/>
      </xdr:nvSpPr>
      <xdr:spPr>
        <a:xfrm>
          <a:off x="14980680" y="12344760"/>
          <a:ext cx="658800" cy="24984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6,5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30/13,8 KV</a:t>
          </a:r>
          <a:endParaRPr b="0" lang="en-GB" sz="600" spc="-1" strike="noStrike">
            <a:latin typeface="Times New Roman"/>
          </a:endParaRPr>
        </a:p>
      </xdr:txBody>
    </xdr:sp>
    <xdr:clientData/>
  </xdr:twoCellAnchor>
  <xdr:twoCellAnchor editAs="twoCell">
    <xdr:from>
      <xdr:col>17</xdr:col>
      <xdr:colOff>506520</xdr:colOff>
      <xdr:row>65</xdr:row>
      <xdr:rowOff>188640</xdr:rowOff>
    </xdr:from>
    <xdr:to>
      <xdr:col>17</xdr:col>
      <xdr:colOff>506520</xdr:colOff>
      <xdr:row>67</xdr:row>
      <xdr:rowOff>82080</xdr:rowOff>
    </xdr:to>
    <xdr:sp>
      <xdr:nvSpPr>
        <xdr:cNvPr id="2668" name="Line 280"/>
        <xdr:cNvSpPr/>
      </xdr:nvSpPr>
      <xdr:spPr>
        <a:xfrm>
          <a:off x="14756040" y="12771000"/>
          <a:ext cx="0" cy="27468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17</xdr:col>
      <xdr:colOff>484200</xdr:colOff>
      <xdr:row>66</xdr:row>
      <xdr:rowOff>40320</xdr:rowOff>
    </xdr:from>
    <xdr:to>
      <xdr:col>17</xdr:col>
      <xdr:colOff>524160</xdr:colOff>
      <xdr:row>66</xdr:row>
      <xdr:rowOff>81000</xdr:rowOff>
    </xdr:to>
    <xdr:sp>
      <xdr:nvSpPr>
        <xdr:cNvPr id="2669" name="455 Rectángulo redondeado"/>
        <xdr:cNvSpPr/>
      </xdr:nvSpPr>
      <xdr:spPr>
        <a:xfrm rot="5400000">
          <a:off x="14733360" y="12813840"/>
          <a:ext cx="40680" cy="39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15</xdr:col>
      <xdr:colOff>308520</xdr:colOff>
      <xdr:row>67</xdr:row>
      <xdr:rowOff>43200</xdr:rowOff>
    </xdr:from>
    <xdr:to>
      <xdr:col>16</xdr:col>
      <xdr:colOff>239040</xdr:colOff>
      <xdr:row>68</xdr:row>
      <xdr:rowOff>85680</xdr:rowOff>
    </xdr:to>
    <xdr:sp>
      <xdr:nvSpPr>
        <xdr:cNvPr id="2670" name="Text Box 188"/>
        <xdr:cNvSpPr/>
      </xdr:nvSpPr>
      <xdr:spPr>
        <a:xfrm>
          <a:off x="12881520" y="13006800"/>
          <a:ext cx="76860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Compesación</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3 Mvar</a:t>
          </a:r>
          <a:endParaRPr b="0" lang="en-GB" sz="600" spc="-1" strike="noStrike">
            <a:latin typeface="Times New Roman"/>
          </a:endParaRPr>
        </a:p>
      </xdr:txBody>
    </xdr:sp>
    <xdr:clientData/>
  </xdr:twoCellAnchor>
  <xdr:twoCellAnchor editAs="twoCell">
    <xdr:from>
      <xdr:col>13</xdr:col>
      <xdr:colOff>312120</xdr:colOff>
      <xdr:row>63</xdr:row>
      <xdr:rowOff>83160</xdr:rowOff>
    </xdr:from>
    <xdr:to>
      <xdr:col>13</xdr:col>
      <xdr:colOff>563400</xdr:colOff>
      <xdr:row>68</xdr:row>
      <xdr:rowOff>33480</xdr:rowOff>
    </xdr:to>
    <xdr:grpSp>
      <xdr:nvGrpSpPr>
        <xdr:cNvPr id="2671" name="Grupo 1257"/>
        <xdr:cNvGrpSpPr/>
      </xdr:nvGrpSpPr>
      <xdr:grpSpPr>
        <a:xfrm>
          <a:off x="11208600" y="12284640"/>
          <a:ext cx="251280" cy="902880"/>
          <a:chOff x="11208600" y="12284640"/>
          <a:chExt cx="251280" cy="902880"/>
        </a:xfrm>
      </xdr:grpSpPr>
      <xdr:sp>
        <xdr:nvSpPr>
          <xdr:cNvPr id="2672" name="Oval 63"/>
          <xdr:cNvSpPr/>
        </xdr:nvSpPr>
        <xdr:spPr>
          <a:xfrm flipV="1">
            <a:off x="11305440" y="12284280"/>
            <a:ext cx="35640" cy="35640"/>
          </a:xfrm>
          <a:prstGeom prst="ellipse">
            <a:avLst/>
          </a:prstGeom>
          <a:solidFill>
            <a:srgbClr val="ffc000"/>
          </a:solidFill>
          <a:ln w="12700">
            <a:solidFill>
              <a:srgbClr val="ffc000"/>
            </a:solidFill>
            <a:round/>
          </a:ln>
        </xdr:spPr>
        <xdr:style>
          <a:lnRef idx="0"/>
          <a:fillRef idx="0"/>
          <a:effectRef idx="0"/>
          <a:fontRef idx="minor"/>
        </xdr:style>
      </xdr:sp>
      <xdr:grpSp>
        <xdr:nvGrpSpPr>
          <xdr:cNvPr id="2673" name="Grupo 1259"/>
          <xdr:cNvGrpSpPr/>
        </xdr:nvGrpSpPr>
        <xdr:grpSpPr>
          <a:xfrm>
            <a:off x="11208600" y="12317040"/>
            <a:ext cx="251280" cy="870480"/>
            <a:chOff x="11208600" y="12317040"/>
            <a:chExt cx="251280" cy="870480"/>
          </a:xfrm>
        </xdr:grpSpPr>
        <xdr:sp>
          <xdr:nvSpPr>
            <xdr:cNvPr id="2674" name="Oval 40"/>
            <xdr:cNvSpPr/>
          </xdr:nvSpPr>
          <xdr:spPr>
            <a:xfrm rot="10800000">
              <a:off x="11239560" y="12566880"/>
              <a:ext cx="178200" cy="211680"/>
            </a:xfrm>
            <a:prstGeom prst="ellipse">
              <a:avLst/>
            </a:prstGeom>
            <a:noFill/>
            <a:ln w="12700">
              <a:solidFill>
                <a:srgbClr val="000000"/>
              </a:solidFill>
              <a:round/>
            </a:ln>
          </xdr:spPr>
          <xdr:style>
            <a:lnRef idx="0"/>
            <a:fillRef idx="0"/>
            <a:effectRef idx="0"/>
            <a:fontRef idx="minor"/>
          </xdr:style>
        </xdr:sp>
        <xdr:sp>
          <xdr:nvSpPr>
            <xdr:cNvPr id="2675" name="Oval 41"/>
            <xdr:cNvSpPr/>
          </xdr:nvSpPr>
          <xdr:spPr>
            <a:xfrm rot="10800000">
              <a:off x="11236680" y="12453840"/>
              <a:ext cx="178200" cy="211680"/>
            </a:xfrm>
            <a:prstGeom prst="ellipse">
              <a:avLst/>
            </a:prstGeom>
            <a:noFill/>
            <a:ln w="12700">
              <a:solidFill>
                <a:srgbClr val="ffc000"/>
              </a:solidFill>
              <a:round/>
            </a:ln>
          </xdr:spPr>
          <xdr:style>
            <a:lnRef idx="0"/>
            <a:fillRef idx="0"/>
            <a:effectRef idx="0"/>
            <a:fontRef idx="minor"/>
          </xdr:style>
        </xdr:sp>
        <xdr:sp>
          <xdr:nvSpPr>
            <xdr:cNvPr id="2676" name="Line 206"/>
            <xdr:cNvSpPr/>
          </xdr:nvSpPr>
          <xdr:spPr>
            <a:xfrm>
              <a:off x="11320920" y="12317040"/>
              <a:ext cx="360" cy="133560"/>
            </a:xfrm>
            <a:prstGeom prst="line">
              <a:avLst/>
            </a:prstGeom>
            <a:ln w="15875">
              <a:solidFill>
                <a:srgbClr val="ffc000"/>
              </a:solidFill>
              <a:round/>
            </a:ln>
          </xdr:spPr>
          <xdr:style>
            <a:lnRef idx="0"/>
            <a:fillRef idx="0"/>
            <a:effectRef idx="0"/>
            <a:fontRef idx="minor"/>
          </xdr:style>
        </xdr:sp>
        <xdr:sp>
          <xdr:nvSpPr>
            <xdr:cNvPr id="2677" name="452 Rectángulo redondeado"/>
            <xdr:cNvSpPr/>
          </xdr:nvSpPr>
          <xdr:spPr>
            <a:xfrm>
              <a:off x="11300760" y="12353400"/>
              <a:ext cx="40680" cy="4032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2678" name="Line 99"/>
            <xdr:cNvSpPr/>
          </xdr:nvSpPr>
          <xdr:spPr>
            <a:xfrm>
              <a:off x="11208600" y="12921840"/>
              <a:ext cx="251280" cy="360"/>
            </a:xfrm>
            <a:prstGeom prst="line">
              <a:avLst/>
            </a:prstGeom>
            <a:ln w="25400">
              <a:solidFill>
                <a:srgbClr val="000000"/>
              </a:solidFill>
              <a:round/>
            </a:ln>
          </xdr:spPr>
          <xdr:style>
            <a:lnRef idx="0"/>
            <a:fillRef idx="0"/>
            <a:effectRef idx="0"/>
            <a:fontRef idx="minor"/>
          </xdr:style>
        </xdr:sp>
        <xdr:sp>
          <xdr:nvSpPr>
            <xdr:cNvPr id="2679" name="Line 280"/>
            <xdr:cNvSpPr/>
          </xdr:nvSpPr>
          <xdr:spPr>
            <a:xfrm>
              <a:off x="11327760" y="12780000"/>
              <a:ext cx="360" cy="407520"/>
            </a:xfrm>
            <a:prstGeom prst="line">
              <a:avLst/>
            </a:prstGeom>
            <a:ln w="15875">
              <a:solidFill>
                <a:srgbClr val="000000"/>
              </a:solidFill>
              <a:round/>
              <a:tailEnd len="med" type="triangle" w="med"/>
            </a:ln>
          </xdr:spPr>
          <xdr:style>
            <a:lnRef idx="0"/>
            <a:fillRef idx="0"/>
            <a:effectRef idx="0"/>
            <a:fontRef idx="minor"/>
          </xdr:style>
        </xdr:sp>
        <xdr:sp>
          <xdr:nvSpPr>
            <xdr:cNvPr id="2680" name="455 Rectángulo redondeado"/>
            <xdr:cNvSpPr/>
          </xdr:nvSpPr>
          <xdr:spPr>
            <a:xfrm rot="5400000">
              <a:off x="11309760" y="12972960"/>
              <a:ext cx="4068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2681" name="455 Rectángulo redondeado"/>
            <xdr:cNvSpPr/>
          </xdr:nvSpPr>
          <xdr:spPr>
            <a:xfrm rot="5400000">
              <a:off x="11309760" y="12829320"/>
              <a:ext cx="4068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grpSp>
    <xdr:clientData/>
  </xdr:twoCellAnchor>
  <xdr:twoCellAnchor editAs="twoCell">
    <xdr:from>
      <xdr:col>10</xdr:col>
      <xdr:colOff>123480</xdr:colOff>
      <xdr:row>55</xdr:row>
      <xdr:rowOff>168120</xdr:rowOff>
    </xdr:from>
    <xdr:to>
      <xdr:col>10</xdr:col>
      <xdr:colOff>536400</xdr:colOff>
      <xdr:row>57</xdr:row>
      <xdr:rowOff>97200</xdr:rowOff>
    </xdr:to>
    <xdr:grpSp>
      <xdr:nvGrpSpPr>
        <xdr:cNvPr id="2682" name="Grupo 1268"/>
        <xdr:cNvGrpSpPr/>
      </xdr:nvGrpSpPr>
      <xdr:grpSpPr>
        <a:xfrm>
          <a:off x="8505360" y="10845720"/>
          <a:ext cx="412920" cy="309960"/>
          <a:chOff x="8505360" y="10845720"/>
          <a:chExt cx="412920" cy="309960"/>
        </a:xfrm>
      </xdr:grpSpPr>
      <xdr:grpSp>
        <xdr:nvGrpSpPr>
          <xdr:cNvPr id="2683" name="Grupo 1269"/>
          <xdr:cNvGrpSpPr/>
        </xdr:nvGrpSpPr>
        <xdr:grpSpPr>
          <a:xfrm>
            <a:off x="8637840" y="10845720"/>
            <a:ext cx="280440" cy="309960"/>
            <a:chOff x="8637840" y="10845720"/>
            <a:chExt cx="280440" cy="309960"/>
          </a:xfrm>
        </xdr:grpSpPr>
        <xdr:sp>
          <xdr:nvSpPr>
            <xdr:cNvPr id="2684" name="Oval 40"/>
            <xdr:cNvSpPr/>
          </xdr:nvSpPr>
          <xdr:spPr>
            <a:xfrm flipH="1" rot="10800000">
              <a:off x="8742600" y="10948320"/>
              <a:ext cx="175320" cy="207360"/>
            </a:xfrm>
            <a:prstGeom prst="ellipse">
              <a:avLst/>
            </a:prstGeom>
            <a:noFill/>
            <a:ln w="12700">
              <a:solidFill>
                <a:srgbClr val="ffc000"/>
              </a:solidFill>
              <a:round/>
            </a:ln>
          </xdr:spPr>
          <xdr:style>
            <a:lnRef idx="0"/>
            <a:fillRef idx="0"/>
            <a:effectRef idx="0"/>
            <a:fontRef idx="minor"/>
          </xdr:style>
        </xdr:sp>
        <xdr:sp>
          <xdr:nvSpPr>
            <xdr:cNvPr id="2685" name="Oval 41"/>
            <xdr:cNvSpPr/>
          </xdr:nvSpPr>
          <xdr:spPr>
            <a:xfrm flipH="1" rot="10800000">
              <a:off x="8742600" y="10845720"/>
              <a:ext cx="175320" cy="207360"/>
            </a:xfrm>
            <a:prstGeom prst="ellipse">
              <a:avLst/>
            </a:prstGeom>
            <a:noFill/>
            <a:ln w="12700">
              <a:solidFill>
                <a:srgbClr val="ff0000"/>
              </a:solidFill>
              <a:round/>
            </a:ln>
          </xdr:spPr>
          <xdr:style>
            <a:lnRef idx="0"/>
            <a:fillRef idx="0"/>
            <a:effectRef idx="0"/>
            <a:fontRef idx="minor"/>
          </xdr:style>
        </xdr:sp>
        <xdr:sp>
          <xdr:nvSpPr>
            <xdr:cNvPr id="2686" name="Oval 63"/>
            <xdr:cNvSpPr/>
          </xdr:nvSpPr>
          <xdr:spPr>
            <a:xfrm flipH="1">
              <a:off x="8637480" y="10922400"/>
              <a:ext cx="174600" cy="206280"/>
            </a:xfrm>
            <a:prstGeom prst="ellipse">
              <a:avLst/>
            </a:prstGeom>
            <a:noFill/>
            <a:ln w="12700">
              <a:solidFill>
                <a:srgbClr val="000000"/>
              </a:solidFill>
              <a:round/>
            </a:ln>
          </xdr:spPr>
          <xdr:style>
            <a:lnRef idx="0"/>
            <a:fillRef idx="0"/>
            <a:effectRef idx="0"/>
            <a:fontRef idx="minor"/>
          </xdr:style>
        </xdr:sp>
      </xdr:grpSp>
      <xdr:sp>
        <xdr:nvSpPr>
          <xdr:cNvPr id="2687" name="Line 244"/>
          <xdr:cNvSpPr/>
        </xdr:nvSpPr>
        <xdr:spPr>
          <a:xfrm flipH="1">
            <a:off x="8505360" y="11034000"/>
            <a:ext cx="131760" cy="360"/>
          </a:xfrm>
          <a:prstGeom prst="line">
            <a:avLst/>
          </a:prstGeom>
          <a:ln w="15875">
            <a:solidFill>
              <a:srgbClr val="000000"/>
            </a:solidFill>
            <a:round/>
          </a:ln>
        </xdr:spPr>
        <xdr:style>
          <a:lnRef idx="0"/>
          <a:fillRef idx="0"/>
          <a:effectRef idx="0"/>
          <a:fontRef idx="minor"/>
        </xdr:style>
      </xdr:sp>
      <xdr:sp>
        <xdr:nvSpPr>
          <xdr:cNvPr id="2688" name="455 Rectángulo redondeado"/>
          <xdr:cNvSpPr/>
        </xdr:nvSpPr>
        <xdr:spPr>
          <a:xfrm flipH="1" rot="5400000">
            <a:off x="8560440" y="11016720"/>
            <a:ext cx="39240" cy="39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10</xdr:col>
      <xdr:colOff>455400</xdr:colOff>
      <xdr:row>54</xdr:row>
      <xdr:rowOff>105480</xdr:rowOff>
    </xdr:from>
    <xdr:to>
      <xdr:col>10</xdr:col>
      <xdr:colOff>455400</xdr:colOff>
      <xdr:row>55</xdr:row>
      <xdr:rowOff>164520</xdr:rowOff>
    </xdr:to>
    <xdr:sp>
      <xdr:nvSpPr>
        <xdr:cNvPr id="2689" name="Line 206"/>
        <xdr:cNvSpPr/>
      </xdr:nvSpPr>
      <xdr:spPr>
        <a:xfrm>
          <a:off x="8837280" y="10592640"/>
          <a:ext cx="0" cy="249480"/>
        </a:xfrm>
        <a:prstGeom prst="line">
          <a:avLst/>
        </a:prstGeom>
        <a:ln w="19050">
          <a:solidFill>
            <a:srgbClr val="ff0000"/>
          </a:solidFill>
          <a:round/>
        </a:ln>
      </xdr:spPr>
      <xdr:style>
        <a:lnRef idx="0"/>
        <a:fillRef idx="0"/>
        <a:effectRef idx="0"/>
        <a:fontRef idx="minor"/>
      </xdr:style>
    </xdr:sp>
    <xdr:clientData/>
  </xdr:twoCellAnchor>
  <xdr:twoCellAnchor editAs="twoCell">
    <xdr:from>
      <xdr:col>10</xdr:col>
      <xdr:colOff>424080</xdr:colOff>
      <xdr:row>54</xdr:row>
      <xdr:rowOff>181800</xdr:rowOff>
    </xdr:from>
    <xdr:to>
      <xdr:col>10</xdr:col>
      <xdr:colOff>492840</xdr:colOff>
      <xdr:row>55</xdr:row>
      <xdr:rowOff>54360</xdr:rowOff>
    </xdr:to>
    <xdr:sp>
      <xdr:nvSpPr>
        <xdr:cNvPr id="2690" name="452 Rectángulo redondeado"/>
        <xdr:cNvSpPr/>
      </xdr:nvSpPr>
      <xdr:spPr>
        <a:xfrm>
          <a:off x="8805960" y="10668960"/>
          <a:ext cx="68760" cy="6300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10</xdr:col>
      <xdr:colOff>451440</xdr:colOff>
      <xdr:row>57</xdr:row>
      <xdr:rowOff>102240</xdr:rowOff>
    </xdr:from>
    <xdr:to>
      <xdr:col>10</xdr:col>
      <xdr:colOff>451440</xdr:colOff>
      <xdr:row>60</xdr:row>
      <xdr:rowOff>141480</xdr:rowOff>
    </xdr:to>
    <xdr:sp>
      <xdr:nvSpPr>
        <xdr:cNvPr id="2691" name="Line 100"/>
        <xdr:cNvSpPr/>
      </xdr:nvSpPr>
      <xdr:spPr>
        <a:xfrm>
          <a:off x="8833320" y="11160720"/>
          <a:ext cx="0" cy="610920"/>
        </a:xfrm>
        <a:prstGeom prst="line">
          <a:avLst/>
        </a:prstGeom>
        <a:ln w="15875">
          <a:solidFill>
            <a:srgbClr val="ffc000"/>
          </a:solidFill>
          <a:round/>
        </a:ln>
      </xdr:spPr>
      <xdr:style>
        <a:lnRef idx="0"/>
        <a:fillRef idx="0"/>
        <a:effectRef idx="0"/>
        <a:fontRef idx="minor"/>
      </xdr:style>
    </xdr:sp>
    <xdr:clientData/>
  </xdr:twoCellAnchor>
  <xdr:twoCellAnchor editAs="twoCell">
    <xdr:from>
      <xdr:col>10</xdr:col>
      <xdr:colOff>447480</xdr:colOff>
      <xdr:row>60</xdr:row>
      <xdr:rowOff>136800</xdr:rowOff>
    </xdr:from>
    <xdr:to>
      <xdr:col>11</xdr:col>
      <xdr:colOff>512280</xdr:colOff>
      <xdr:row>60</xdr:row>
      <xdr:rowOff>136800</xdr:rowOff>
    </xdr:to>
    <xdr:sp>
      <xdr:nvSpPr>
        <xdr:cNvPr id="2692" name="Line 100"/>
        <xdr:cNvSpPr/>
      </xdr:nvSpPr>
      <xdr:spPr>
        <a:xfrm flipH="1">
          <a:off x="8829360" y="11766960"/>
          <a:ext cx="903240" cy="0"/>
        </a:xfrm>
        <a:prstGeom prst="line">
          <a:avLst/>
        </a:prstGeom>
        <a:ln w="15875">
          <a:solidFill>
            <a:srgbClr val="ffc000"/>
          </a:solidFill>
          <a:round/>
        </a:ln>
      </xdr:spPr>
      <xdr:style>
        <a:lnRef idx="0"/>
        <a:fillRef idx="0"/>
        <a:effectRef idx="0"/>
        <a:fontRef idx="minor"/>
      </xdr:style>
    </xdr:sp>
    <xdr:clientData/>
  </xdr:twoCellAnchor>
  <xdr:twoCellAnchor editAs="twoCell">
    <xdr:from>
      <xdr:col>10</xdr:col>
      <xdr:colOff>115920</xdr:colOff>
      <xdr:row>56</xdr:row>
      <xdr:rowOff>12600</xdr:rowOff>
    </xdr:from>
    <xdr:to>
      <xdr:col>10</xdr:col>
      <xdr:colOff>115920</xdr:colOff>
      <xdr:row>57</xdr:row>
      <xdr:rowOff>126360</xdr:rowOff>
    </xdr:to>
    <xdr:sp>
      <xdr:nvSpPr>
        <xdr:cNvPr id="2693" name="Line 99"/>
        <xdr:cNvSpPr/>
      </xdr:nvSpPr>
      <xdr:spPr>
        <a:xfrm>
          <a:off x="8497800" y="10880640"/>
          <a:ext cx="0" cy="304200"/>
        </a:xfrm>
        <a:prstGeom prst="line">
          <a:avLst/>
        </a:prstGeom>
        <a:ln w="25400">
          <a:solidFill>
            <a:srgbClr val="000000"/>
          </a:solidFill>
          <a:round/>
        </a:ln>
      </xdr:spPr>
      <xdr:style>
        <a:lnRef idx="0"/>
        <a:fillRef idx="0"/>
        <a:effectRef idx="0"/>
        <a:fontRef idx="minor"/>
      </xdr:style>
    </xdr:sp>
    <xdr:clientData/>
  </xdr:twoCellAnchor>
  <xdr:twoCellAnchor editAs="twoCell">
    <xdr:from>
      <xdr:col>9</xdr:col>
      <xdr:colOff>453240</xdr:colOff>
      <xdr:row>57</xdr:row>
      <xdr:rowOff>138600</xdr:rowOff>
    </xdr:from>
    <xdr:to>
      <xdr:col>10</xdr:col>
      <xdr:colOff>429840</xdr:colOff>
      <xdr:row>58</xdr:row>
      <xdr:rowOff>182880</xdr:rowOff>
    </xdr:to>
    <xdr:sp>
      <xdr:nvSpPr>
        <xdr:cNvPr id="2694" name="Text Box 138"/>
        <xdr:cNvSpPr/>
      </xdr:nvSpPr>
      <xdr:spPr>
        <a:xfrm>
          <a:off x="7997040" y="11197080"/>
          <a:ext cx="814680" cy="2347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TR01 RCH</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30/10/25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110/34,5/13,8kV</a:t>
          </a:r>
          <a:endParaRPr b="0" lang="en-GB" sz="600" spc="-1" strike="noStrike">
            <a:latin typeface="Times New Roman"/>
          </a:endParaRPr>
        </a:p>
      </xdr:txBody>
    </xdr:sp>
    <xdr:clientData/>
  </xdr:twoCellAnchor>
  <xdr:twoCellAnchor editAs="twoCell">
    <xdr:from>
      <xdr:col>9</xdr:col>
      <xdr:colOff>555480</xdr:colOff>
      <xdr:row>56</xdr:row>
      <xdr:rowOff>163800</xdr:rowOff>
    </xdr:from>
    <xdr:to>
      <xdr:col>10</xdr:col>
      <xdr:colOff>125640</xdr:colOff>
      <xdr:row>56</xdr:row>
      <xdr:rowOff>166320</xdr:rowOff>
    </xdr:to>
    <xdr:sp>
      <xdr:nvSpPr>
        <xdr:cNvPr id="2695" name="Line 280"/>
        <xdr:cNvSpPr/>
      </xdr:nvSpPr>
      <xdr:spPr>
        <a:xfrm flipH="1">
          <a:off x="8099280" y="11031840"/>
          <a:ext cx="408240" cy="252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10</xdr:col>
      <xdr:colOff>20880</xdr:colOff>
      <xdr:row>56</xdr:row>
      <xdr:rowOff>142920</xdr:rowOff>
    </xdr:from>
    <xdr:to>
      <xdr:col>10</xdr:col>
      <xdr:colOff>60480</xdr:colOff>
      <xdr:row>56</xdr:row>
      <xdr:rowOff>182880</xdr:rowOff>
    </xdr:to>
    <xdr:sp>
      <xdr:nvSpPr>
        <xdr:cNvPr id="2696" name="455 Rectángulo redondeado"/>
        <xdr:cNvSpPr/>
      </xdr:nvSpPr>
      <xdr:spPr>
        <a:xfrm flipH="1" rot="5400000">
          <a:off x="8402400" y="11010960"/>
          <a:ext cx="39960" cy="396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14</xdr:col>
      <xdr:colOff>417960</xdr:colOff>
      <xdr:row>58</xdr:row>
      <xdr:rowOff>95760</xdr:rowOff>
    </xdr:from>
    <xdr:to>
      <xdr:col>15</xdr:col>
      <xdr:colOff>187560</xdr:colOff>
      <xdr:row>58</xdr:row>
      <xdr:rowOff>95760</xdr:rowOff>
    </xdr:to>
    <xdr:sp>
      <xdr:nvSpPr>
        <xdr:cNvPr id="2697" name="Line 99"/>
        <xdr:cNvSpPr/>
      </xdr:nvSpPr>
      <xdr:spPr>
        <a:xfrm>
          <a:off x="12152880" y="11344680"/>
          <a:ext cx="607680" cy="0"/>
        </a:xfrm>
        <a:prstGeom prst="line">
          <a:avLst/>
        </a:prstGeom>
        <a:ln w="25400">
          <a:solidFill>
            <a:srgbClr val="000000"/>
          </a:solidFill>
          <a:round/>
        </a:ln>
      </xdr:spPr>
      <xdr:style>
        <a:lnRef idx="0"/>
        <a:fillRef idx="0"/>
        <a:effectRef idx="0"/>
        <a:fontRef idx="minor"/>
      </xdr:style>
    </xdr:sp>
    <xdr:clientData/>
  </xdr:twoCellAnchor>
  <xdr:twoCellAnchor editAs="twoCell">
    <xdr:from>
      <xdr:col>14</xdr:col>
      <xdr:colOff>590040</xdr:colOff>
      <xdr:row>54</xdr:row>
      <xdr:rowOff>111240</xdr:rowOff>
    </xdr:from>
    <xdr:to>
      <xdr:col>15</xdr:col>
      <xdr:colOff>27720</xdr:colOff>
      <xdr:row>58</xdr:row>
      <xdr:rowOff>90000</xdr:rowOff>
    </xdr:to>
    <xdr:grpSp>
      <xdr:nvGrpSpPr>
        <xdr:cNvPr id="2698" name="Grupo 1284"/>
        <xdr:cNvGrpSpPr/>
      </xdr:nvGrpSpPr>
      <xdr:grpSpPr>
        <a:xfrm>
          <a:off x="12324960" y="10598400"/>
          <a:ext cx="275760" cy="740520"/>
          <a:chOff x="12324960" y="10598400"/>
          <a:chExt cx="275760" cy="740520"/>
        </a:xfrm>
      </xdr:grpSpPr>
      <xdr:sp>
        <xdr:nvSpPr>
          <xdr:cNvPr id="2699" name="Oval 40"/>
          <xdr:cNvSpPr/>
        </xdr:nvSpPr>
        <xdr:spPr>
          <a:xfrm rot="10800000">
            <a:off x="12328920" y="10927800"/>
            <a:ext cx="271800" cy="239760"/>
          </a:xfrm>
          <a:prstGeom prst="ellipse">
            <a:avLst/>
          </a:prstGeom>
          <a:noFill/>
          <a:ln w="12700">
            <a:solidFill>
              <a:srgbClr val="000000"/>
            </a:solidFill>
            <a:round/>
          </a:ln>
        </xdr:spPr>
        <xdr:style>
          <a:lnRef idx="0"/>
          <a:fillRef idx="0"/>
          <a:effectRef idx="0"/>
          <a:fontRef idx="minor"/>
        </xdr:style>
      </xdr:sp>
      <xdr:sp>
        <xdr:nvSpPr>
          <xdr:cNvPr id="2700" name="Oval 41"/>
          <xdr:cNvSpPr/>
        </xdr:nvSpPr>
        <xdr:spPr>
          <a:xfrm rot="10800000">
            <a:off x="12324960" y="10799640"/>
            <a:ext cx="271800" cy="239760"/>
          </a:xfrm>
          <a:prstGeom prst="ellipse">
            <a:avLst/>
          </a:prstGeom>
          <a:noFill/>
          <a:ln w="12700">
            <a:solidFill>
              <a:srgbClr val="ee0000"/>
            </a:solidFill>
            <a:round/>
          </a:ln>
        </xdr:spPr>
        <xdr:style>
          <a:lnRef idx="0"/>
          <a:fillRef idx="0"/>
          <a:effectRef idx="0"/>
          <a:fontRef idx="minor"/>
        </xdr:style>
      </xdr:sp>
      <xdr:sp>
        <xdr:nvSpPr>
          <xdr:cNvPr id="2701" name="Line 206"/>
          <xdr:cNvSpPr/>
        </xdr:nvSpPr>
        <xdr:spPr>
          <a:xfrm>
            <a:off x="12453480" y="10598400"/>
            <a:ext cx="360" cy="198000"/>
          </a:xfrm>
          <a:prstGeom prst="line">
            <a:avLst/>
          </a:prstGeom>
          <a:ln w="15875">
            <a:solidFill>
              <a:srgbClr val="ee0000"/>
            </a:solidFill>
            <a:round/>
          </a:ln>
        </xdr:spPr>
        <xdr:style>
          <a:lnRef idx="0"/>
          <a:fillRef idx="0"/>
          <a:effectRef idx="0"/>
          <a:fontRef idx="minor"/>
        </xdr:style>
      </xdr:sp>
      <xdr:sp>
        <xdr:nvSpPr>
          <xdr:cNvPr id="2702" name="452 Rectángulo redondeado"/>
          <xdr:cNvSpPr/>
        </xdr:nvSpPr>
        <xdr:spPr>
          <a:xfrm>
            <a:off x="12422880" y="10685880"/>
            <a:ext cx="62280" cy="45720"/>
          </a:xfrm>
          <a:prstGeom prst="roundRect">
            <a:avLst>
              <a:gd name="adj" fmla="val 16667"/>
            </a:avLst>
          </a:prstGeom>
          <a:solidFill>
            <a:srgbClr val="ee0000"/>
          </a:solidFill>
          <a:ln>
            <a:solidFill>
              <a:srgbClr val="ee0000"/>
            </a:solidFill>
          </a:ln>
        </xdr:spPr>
        <xdr:style>
          <a:lnRef idx="2">
            <a:schemeClr val="accent1">
              <a:shade val="50000"/>
            </a:schemeClr>
          </a:lnRef>
          <a:fillRef idx="1">
            <a:schemeClr val="accent1"/>
          </a:fillRef>
          <a:effectRef idx="0">
            <a:schemeClr val="accent1"/>
          </a:effectRef>
          <a:fontRef idx="minor"/>
        </xdr:style>
      </xdr:sp>
      <xdr:sp>
        <xdr:nvSpPr>
          <xdr:cNvPr id="2703" name="Line 280"/>
          <xdr:cNvSpPr/>
        </xdr:nvSpPr>
        <xdr:spPr>
          <a:xfrm>
            <a:off x="12463920" y="11169360"/>
            <a:ext cx="360" cy="169560"/>
          </a:xfrm>
          <a:prstGeom prst="line">
            <a:avLst/>
          </a:prstGeom>
          <a:ln w="15875">
            <a:solidFill>
              <a:srgbClr val="000000"/>
            </a:solidFill>
            <a:round/>
          </a:ln>
        </xdr:spPr>
        <xdr:style>
          <a:lnRef idx="0"/>
          <a:fillRef idx="0"/>
          <a:effectRef idx="0"/>
          <a:fontRef idx="minor"/>
        </xdr:style>
      </xdr:sp>
      <xdr:sp>
        <xdr:nvSpPr>
          <xdr:cNvPr id="2704" name="455 Rectángulo redondeado"/>
          <xdr:cNvSpPr/>
        </xdr:nvSpPr>
        <xdr:spPr>
          <a:xfrm rot="5400000">
            <a:off x="12444120" y="11216520"/>
            <a:ext cx="46080" cy="62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15</xdr:col>
      <xdr:colOff>590040</xdr:colOff>
      <xdr:row>58</xdr:row>
      <xdr:rowOff>95760</xdr:rowOff>
    </xdr:from>
    <xdr:to>
      <xdr:col>16</xdr:col>
      <xdr:colOff>359640</xdr:colOff>
      <xdr:row>58</xdr:row>
      <xdr:rowOff>95760</xdr:rowOff>
    </xdr:to>
    <xdr:sp>
      <xdr:nvSpPr>
        <xdr:cNvPr id="2705" name="Line 99"/>
        <xdr:cNvSpPr/>
      </xdr:nvSpPr>
      <xdr:spPr>
        <a:xfrm>
          <a:off x="13163040" y="11344680"/>
          <a:ext cx="607680" cy="0"/>
        </a:xfrm>
        <a:prstGeom prst="line">
          <a:avLst/>
        </a:prstGeom>
        <a:ln w="25400">
          <a:solidFill>
            <a:srgbClr val="000000"/>
          </a:solidFill>
          <a:round/>
        </a:ln>
      </xdr:spPr>
      <xdr:style>
        <a:lnRef idx="0"/>
        <a:fillRef idx="0"/>
        <a:effectRef idx="0"/>
        <a:fontRef idx="minor"/>
      </xdr:style>
    </xdr:sp>
    <xdr:clientData/>
  </xdr:twoCellAnchor>
  <xdr:twoCellAnchor editAs="twoCell">
    <xdr:from>
      <xdr:col>16</xdr:col>
      <xdr:colOff>3240</xdr:colOff>
      <xdr:row>56</xdr:row>
      <xdr:rowOff>59760</xdr:rowOff>
    </xdr:from>
    <xdr:to>
      <xdr:col>16</xdr:col>
      <xdr:colOff>199800</xdr:colOff>
      <xdr:row>57</xdr:row>
      <xdr:rowOff>109080</xdr:rowOff>
    </xdr:to>
    <xdr:sp>
      <xdr:nvSpPr>
        <xdr:cNvPr id="2706" name="Oval 40"/>
        <xdr:cNvSpPr/>
      </xdr:nvSpPr>
      <xdr:spPr>
        <a:xfrm rot="10800000">
          <a:off x="13414320" y="10927800"/>
          <a:ext cx="196560" cy="239760"/>
        </a:xfrm>
        <a:prstGeom prst="ellipse">
          <a:avLst/>
        </a:prstGeom>
        <a:noFill/>
        <a:ln w="12700">
          <a:solidFill>
            <a:srgbClr val="000000"/>
          </a:solidFill>
          <a:round/>
        </a:ln>
      </xdr:spPr>
      <xdr:style>
        <a:lnRef idx="0"/>
        <a:fillRef idx="0"/>
        <a:effectRef idx="0"/>
        <a:fontRef idx="minor"/>
      </xdr:style>
    </xdr:sp>
    <xdr:clientData/>
  </xdr:twoCellAnchor>
  <xdr:twoCellAnchor editAs="twoCell">
    <xdr:from>
      <xdr:col>15</xdr:col>
      <xdr:colOff>762120</xdr:colOff>
      <xdr:row>55</xdr:row>
      <xdr:rowOff>122040</xdr:rowOff>
    </xdr:from>
    <xdr:to>
      <xdr:col>16</xdr:col>
      <xdr:colOff>196920</xdr:colOff>
      <xdr:row>56</xdr:row>
      <xdr:rowOff>171360</xdr:rowOff>
    </xdr:to>
    <xdr:sp>
      <xdr:nvSpPr>
        <xdr:cNvPr id="2707" name="Oval 41"/>
        <xdr:cNvSpPr/>
      </xdr:nvSpPr>
      <xdr:spPr>
        <a:xfrm rot="10800000">
          <a:off x="13335120" y="10799640"/>
          <a:ext cx="272880" cy="239760"/>
        </a:xfrm>
        <a:prstGeom prst="ellipse">
          <a:avLst/>
        </a:prstGeom>
        <a:noFill/>
        <a:ln w="12700">
          <a:solidFill>
            <a:srgbClr val="ee0000"/>
          </a:solidFill>
          <a:round/>
        </a:ln>
      </xdr:spPr>
      <xdr:style>
        <a:lnRef idx="0"/>
        <a:fillRef idx="0"/>
        <a:effectRef idx="0"/>
        <a:fontRef idx="minor"/>
      </xdr:style>
    </xdr:sp>
    <xdr:clientData/>
  </xdr:twoCellAnchor>
  <xdr:twoCellAnchor editAs="twoCell">
    <xdr:from>
      <xdr:col>16</xdr:col>
      <xdr:colOff>92880</xdr:colOff>
      <xdr:row>55</xdr:row>
      <xdr:rowOff>88200</xdr:rowOff>
    </xdr:from>
    <xdr:to>
      <xdr:col>16</xdr:col>
      <xdr:colOff>92880</xdr:colOff>
      <xdr:row>55</xdr:row>
      <xdr:rowOff>118800</xdr:rowOff>
    </xdr:to>
    <xdr:sp>
      <xdr:nvSpPr>
        <xdr:cNvPr id="2708" name="Line 206"/>
        <xdr:cNvSpPr/>
      </xdr:nvSpPr>
      <xdr:spPr>
        <a:xfrm>
          <a:off x="13503960" y="10765800"/>
          <a:ext cx="0" cy="30600"/>
        </a:xfrm>
        <a:prstGeom prst="line">
          <a:avLst/>
        </a:prstGeom>
        <a:ln w="15875">
          <a:solidFill>
            <a:srgbClr val="ee0000"/>
          </a:solidFill>
          <a:round/>
        </a:ln>
      </xdr:spPr>
      <xdr:style>
        <a:lnRef idx="0"/>
        <a:fillRef idx="0"/>
        <a:effectRef idx="0"/>
        <a:fontRef idx="minor"/>
      </xdr:style>
    </xdr:sp>
    <xdr:clientData/>
  </xdr:twoCellAnchor>
  <xdr:twoCellAnchor editAs="twoCell">
    <xdr:from>
      <xdr:col>16</xdr:col>
      <xdr:colOff>100440</xdr:colOff>
      <xdr:row>57</xdr:row>
      <xdr:rowOff>110880</xdr:rowOff>
    </xdr:from>
    <xdr:to>
      <xdr:col>16</xdr:col>
      <xdr:colOff>100440</xdr:colOff>
      <xdr:row>58</xdr:row>
      <xdr:rowOff>90000</xdr:rowOff>
    </xdr:to>
    <xdr:sp>
      <xdr:nvSpPr>
        <xdr:cNvPr id="2709" name="Line 280"/>
        <xdr:cNvSpPr/>
      </xdr:nvSpPr>
      <xdr:spPr>
        <a:xfrm>
          <a:off x="13511520" y="11169360"/>
          <a:ext cx="0" cy="169560"/>
        </a:xfrm>
        <a:prstGeom prst="line">
          <a:avLst/>
        </a:prstGeom>
        <a:ln w="15875">
          <a:solidFill>
            <a:srgbClr val="000000"/>
          </a:solidFill>
          <a:round/>
        </a:ln>
      </xdr:spPr>
      <xdr:style>
        <a:lnRef idx="0"/>
        <a:fillRef idx="0"/>
        <a:effectRef idx="0"/>
        <a:fontRef idx="minor"/>
      </xdr:style>
    </xdr:sp>
    <xdr:clientData/>
  </xdr:twoCellAnchor>
  <xdr:twoCellAnchor editAs="twoCell">
    <xdr:from>
      <xdr:col>16</xdr:col>
      <xdr:colOff>80640</xdr:colOff>
      <xdr:row>57</xdr:row>
      <xdr:rowOff>166320</xdr:rowOff>
    </xdr:from>
    <xdr:to>
      <xdr:col>16</xdr:col>
      <xdr:colOff>125640</xdr:colOff>
      <xdr:row>58</xdr:row>
      <xdr:rowOff>21600</xdr:rowOff>
    </xdr:to>
    <xdr:sp>
      <xdr:nvSpPr>
        <xdr:cNvPr id="2710" name="455 Rectángulo redondeado"/>
        <xdr:cNvSpPr/>
      </xdr:nvSpPr>
      <xdr:spPr>
        <a:xfrm rot="5400000">
          <a:off x="13491360" y="11225160"/>
          <a:ext cx="45720" cy="450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14</xdr:col>
      <xdr:colOff>729360</xdr:colOff>
      <xdr:row>55</xdr:row>
      <xdr:rowOff>139320</xdr:rowOff>
    </xdr:from>
    <xdr:to>
      <xdr:col>15</xdr:col>
      <xdr:colOff>705960</xdr:colOff>
      <xdr:row>56</xdr:row>
      <xdr:rowOff>183600</xdr:rowOff>
    </xdr:to>
    <xdr:sp>
      <xdr:nvSpPr>
        <xdr:cNvPr id="2711" name="Text Box 138"/>
        <xdr:cNvSpPr/>
      </xdr:nvSpPr>
      <xdr:spPr>
        <a:xfrm>
          <a:off x="12464280" y="10816920"/>
          <a:ext cx="814680" cy="2347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TR04 RCH</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30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110/34,5/13,8kV</a:t>
          </a:r>
          <a:endParaRPr b="0" lang="en-GB" sz="600" spc="-1" strike="noStrike">
            <a:latin typeface="Times New Roman"/>
          </a:endParaRPr>
        </a:p>
      </xdr:txBody>
    </xdr:sp>
    <xdr:clientData/>
  </xdr:twoCellAnchor>
  <xdr:twoCellAnchor editAs="twoCell">
    <xdr:from>
      <xdr:col>16</xdr:col>
      <xdr:colOff>162720</xdr:colOff>
      <xdr:row>55</xdr:row>
      <xdr:rowOff>139320</xdr:rowOff>
    </xdr:from>
    <xdr:to>
      <xdr:col>17</xdr:col>
      <xdr:colOff>139320</xdr:colOff>
      <xdr:row>56</xdr:row>
      <xdr:rowOff>183600</xdr:rowOff>
    </xdr:to>
    <xdr:sp>
      <xdr:nvSpPr>
        <xdr:cNvPr id="2712" name="Text Box 138"/>
        <xdr:cNvSpPr/>
      </xdr:nvSpPr>
      <xdr:spPr>
        <a:xfrm>
          <a:off x="13573800" y="10816920"/>
          <a:ext cx="815040" cy="2347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TR05 RCH</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50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110/34,5/13,8kV</a:t>
          </a:r>
          <a:endParaRPr b="0" lang="en-GB" sz="600" spc="-1" strike="noStrike">
            <a:latin typeface="Times New Roman"/>
          </a:endParaRPr>
        </a:p>
      </xdr:txBody>
    </xdr:sp>
    <xdr:clientData/>
  </xdr:twoCellAnchor>
  <xdr:twoCellAnchor editAs="twoCell">
    <xdr:from>
      <xdr:col>14</xdr:col>
      <xdr:colOff>687600</xdr:colOff>
      <xdr:row>55</xdr:row>
      <xdr:rowOff>83520</xdr:rowOff>
    </xdr:from>
    <xdr:to>
      <xdr:col>16</xdr:col>
      <xdr:colOff>97560</xdr:colOff>
      <xdr:row>55</xdr:row>
      <xdr:rowOff>83520</xdr:rowOff>
    </xdr:to>
    <xdr:sp>
      <xdr:nvSpPr>
        <xdr:cNvPr id="2713" name="Line 206"/>
        <xdr:cNvSpPr/>
      </xdr:nvSpPr>
      <xdr:spPr>
        <a:xfrm>
          <a:off x="12422520" y="10761120"/>
          <a:ext cx="1086120" cy="0"/>
        </a:xfrm>
        <a:prstGeom prst="line">
          <a:avLst/>
        </a:prstGeom>
        <a:ln w="15875">
          <a:solidFill>
            <a:srgbClr val="ee0000"/>
          </a:solidFill>
          <a:round/>
        </a:ln>
      </xdr:spPr>
      <xdr:style>
        <a:lnRef idx="0"/>
        <a:fillRef idx="0"/>
        <a:effectRef idx="0"/>
        <a:fontRef idx="minor"/>
      </xdr:style>
    </xdr:sp>
    <xdr:clientData/>
  </xdr:twoCellAnchor>
  <xdr:twoCellAnchor editAs="twoCell">
    <xdr:from>
      <xdr:col>14</xdr:col>
      <xdr:colOff>691920</xdr:colOff>
      <xdr:row>58</xdr:row>
      <xdr:rowOff>97560</xdr:rowOff>
    </xdr:from>
    <xdr:to>
      <xdr:col>14</xdr:col>
      <xdr:colOff>691920</xdr:colOff>
      <xdr:row>59</xdr:row>
      <xdr:rowOff>181080</xdr:rowOff>
    </xdr:to>
    <xdr:sp>
      <xdr:nvSpPr>
        <xdr:cNvPr id="2714" name="Line 280"/>
        <xdr:cNvSpPr/>
      </xdr:nvSpPr>
      <xdr:spPr>
        <a:xfrm>
          <a:off x="12426840" y="11346480"/>
          <a:ext cx="0" cy="27396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14</xdr:col>
      <xdr:colOff>669600</xdr:colOff>
      <xdr:row>58</xdr:row>
      <xdr:rowOff>139320</xdr:rowOff>
    </xdr:from>
    <xdr:to>
      <xdr:col>14</xdr:col>
      <xdr:colOff>709560</xdr:colOff>
      <xdr:row>58</xdr:row>
      <xdr:rowOff>180000</xdr:rowOff>
    </xdr:to>
    <xdr:sp>
      <xdr:nvSpPr>
        <xdr:cNvPr id="2715" name="455 Rectángulo redondeado"/>
        <xdr:cNvSpPr/>
      </xdr:nvSpPr>
      <xdr:spPr>
        <a:xfrm rot="5400000">
          <a:off x="12404160" y="11388600"/>
          <a:ext cx="40680" cy="39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16</xdr:col>
      <xdr:colOff>96120</xdr:colOff>
      <xdr:row>58</xdr:row>
      <xdr:rowOff>101160</xdr:rowOff>
    </xdr:from>
    <xdr:to>
      <xdr:col>16</xdr:col>
      <xdr:colOff>96120</xdr:colOff>
      <xdr:row>59</xdr:row>
      <xdr:rowOff>185040</xdr:rowOff>
    </xdr:to>
    <xdr:sp>
      <xdr:nvSpPr>
        <xdr:cNvPr id="2716" name="Line 280"/>
        <xdr:cNvSpPr/>
      </xdr:nvSpPr>
      <xdr:spPr>
        <a:xfrm>
          <a:off x="13507200" y="11350080"/>
          <a:ext cx="0" cy="27432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16</xdr:col>
      <xdr:colOff>73800</xdr:colOff>
      <xdr:row>58</xdr:row>
      <xdr:rowOff>143280</xdr:rowOff>
    </xdr:from>
    <xdr:to>
      <xdr:col>16</xdr:col>
      <xdr:colOff>113760</xdr:colOff>
      <xdr:row>58</xdr:row>
      <xdr:rowOff>183960</xdr:rowOff>
    </xdr:to>
    <xdr:sp>
      <xdr:nvSpPr>
        <xdr:cNvPr id="2717" name="455 Rectángulo redondeado"/>
        <xdr:cNvSpPr/>
      </xdr:nvSpPr>
      <xdr:spPr>
        <a:xfrm rot="5400000">
          <a:off x="13484520" y="11392560"/>
          <a:ext cx="40680" cy="39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5</xdr:col>
      <xdr:colOff>360360</xdr:colOff>
      <xdr:row>107</xdr:row>
      <xdr:rowOff>124200</xdr:rowOff>
    </xdr:from>
    <xdr:to>
      <xdr:col>5</xdr:col>
      <xdr:colOff>360360</xdr:colOff>
      <xdr:row>109</xdr:row>
      <xdr:rowOff>5400</xdr:rowOff>
    </xdr:to>
    <xdr:sp>
      <xdr:nvSpPr>
        <xdr:cNvPr id="2718" name="Line 280"/>
        <xdr:cNvSpPr/>
      </xdr:nvSpPr>
      <xdr:spPr>
        <a:xfrm>
          <a:off x="4551480" y="20764800"/>
          <a:ext cx="0" cy="26244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5</xdr:col>
      <xdr:colOff>339840</xdr:colOff>
      <xdr:row>107</xdr:row>
      <xdr:rowOff>178920</xdr:rowOff>
    </xdr:from>
    <xdr:to>
      <xdr:col>5</xdr:col>
      <xdr:colOff>379800</xdr:colOff>
      <xdr:row>108</xdr:row>
      <xdr:rowOff>29160</xdr:rowOff>
    </xdr:to>
    <xdr:sp>
      <xdr:nvSpPr>
        <xdr:cNvPr id="2719" name="455 Rectángulo redondeado"/>
        <xdr:cNvSpPr/>
      </xdr:nvSpPr>
      <xdr:spPr>
        <a:xfrm rot="5400000">
          <a:off x="4530600" y="20819880"/>
          <a:ext cx="40680" cy="3996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5</xdr:col>
      <xdr:colOff>87120</xdr:colOff>
      <xdr:row>107</xdr:row>
      <xdr:rowOff>91080</xdr:rowOff>
    </xdr:from>
    <xdr:to>
      <xdr:col>5</xdr:col>
      <xdr:colOff>160200</xdr:colOff>
      <xdr:row>107</xdr:row>
      <xdr:rowOff>168480</xdr:rowOff>
    </xdr:to>
    <xdr:sp>
      <xdr:nvSpPr>
        <xdr:cNvPr id="2720" name="455 Rectángulo redondeado"/>
        <xdr:cNvSpPr/>
      </xdr:nvSpPr>
      <xdr:spPr>
        <a:xfrm rot="5400000">
          <a:off x="4276080" y="20733840"/>
          <a:ext cx="77400" cy="73080"/>
        </a:xfrm>
        <a:prstGeom prst="roundRect">
          <a:avLst>
            <a:gd name="adj" fmla="val 16667"/>
          </a:avLst>
        </a:prstGeom>
        <a:solidFill>
          <a:schemeClr val="bg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26</xdr:col>
      <xdr:colOff>301320</xdr:colOff>
      <xdr:row>77</xdr:row>
      <xdr:rowOff>20520</xdr:rowOff>
    </xdr:from>
    <xdr:to>
      <xdr:col>28</xdr:col>
      <xdr:colOff>574200</xdr:colOff>
      <xdr:row>77</xdr:row>
      <xdr:rowOff>20520</xdr:rowOff>
    </xdr:to>
    <xdr:sp>
      <xdr:nvSpPr>
        <xdr:cNvPr id="2721" name="Line 205"/>
        <xdr:cNvSpPr/>
      </xdr:nvSpPr>
      <xdr:spPr>
        <a:xfrm>
          <a:off x="22685040" y="14917680"/>
          <a:ext cx="1949400" cy="0"/>
        </a:xfrm>
        <a:prstGeom prst="line">
          <a:avLst/>
        </a:prstGeom>
        <a:ln w="25400">
          <a:solidFill>
            <a:srgbClr val="ff0000"/>
          </a:solidFill>
          <a:round/>
        </a:ln>
      </xdr:spPr>
      <xdr:style>
        <a:lnRef idx="0"/>
        <a:fillRef idx="0"/>
        <a:effectRef idx="0"/>
        <a:fontRef idx="minor"/>
      </xdr:style>
    </xdr:sp>
    <xdr:clientData/>
  </xdr:twoCellAnchor>
  <xdr:twoCellAnchor editAs="twoCell">
    <xdr:from>
      <xdr:col>25</xdr:col>
      <xdr:colOff>448560</xdr:colOff>
      <xdr:row>77</xdr:row>
      <xdr:rowOff>174600</xdr:rowOff>
    </xdr:from>
    <xdr:to>
      <xdr:col>26</xdr:col>
      <xdr:colOff>425160</xdr:colOff>
      <xdr:row>79</xdr:row>
      <xdr:rowOff>28440</xdr:rowOff>
    </xdr:to>
    <xdr:sp>
      <xdr:nvSpPr>
        <xdr:cNvPr id="2722" name="Text Box 138"/>
        <xdr:cNvSpPr/>
      </xdr:nvSpPr>
      <xdr:spPr>
        <a:xfrm>
          <a:off x="21994200" y="15071760"/>
          <a:ext cx="814680" cy="2347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60/30/30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110/34,5/13,8kV</a:t>
          </a:r>
          <a:endParaRPr b="0" lang="en-GB" sz="600" spc="-1" strike="noStrike">
            <a:latin typeface="Times New Roman"/>
          </a:endParaRPr>
        </a:p>
      </xdr:txBody>
    </xdr:sp>
    <xdr:clientData/>
  </xdr:twoCellAnchor>
  <xdr:twoCellAnchor editAs="twoCell">
    <xdr:from>
      <xdr:col>27</xdr:col>
      <xdr:colOff>8640</xdr:colOff>
      <xdr:row>76</xdr:row>
      <xdr:rowOff>56520</xdr:rowOff>
    </xdr:from>
    <xdr:to>
      <xdr:col>28</xdr:col>
      <xdr:colOff>228960</xdr:colOff>
      <xdr:row>77</xdr:row>
      <xdr:rowOff>13680</xdr:rowOff>
    </xdr:to>
    <xdr:sp>
      <xdr:nvSpPr>
        <xdr:cNvPr id="2723" name="Text Box 188"/>
        <xdr:cNvSpPr/>
      </xdr:nvSpPr>
      <xdr:spPr>
        <a:xfrm>
          <a:off x="23230440" y="14763240"/>
          <a:ext cx="1058760" cy="14760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Gaira 110 kV </a:t>
          </a:r>
          <a:endParaRPr b="0" lang="en-GB" sz="600" spc="-1" strike="noStrike">
            <a:latin typeface="Times New Roman"/>
          </a:endParaRPr>
        </a:p>
      </xdr:txBody>
    </xdr:sp>
    <xdr:clientData/>
  </xdr:twoCellAnchor>
  <xdr:twoCellAnchor editAs="twoCell">
    <xdr:from>
      <xdr:col>26</xdr:col>
      <xdr:colOff>189360</xdr:colOff>
      <xdr:row>80</xdr:row>
      <xdr:rowOff>47160</xdr:rowOff>
    </xdr:from>
    <xdr:to>
      <xdr:col>27</xdr:col>
      <xdr:colOff>745560</xdr:colOff>
      <xdr:row>80</xdr:row>
      <xdr:rowOff>47160</xdr:rowOff>
    </xdr:to>
    <xdr:sp>
      <xdr:nvSpPr>
        <xdr:cNvPr id="2724" name="Line 38"/>
        <xdr:cNvSpPr/>
      </xdr:nvSpPr>
      <xdr:spPr>
        <a:xfrm>
          <a:off x="22573080" y="15515640"/>
          <a:ext cx="1394280" cy="0"/>
        </a:xfrm>
        <a:prstGeom prst="line">
          <a:avLst/>
        </a:prstGeom>
        <a:ln w="25400">
          <a:solidFill>
            <a:srgbClr val="ffc000"/>
          </a:solidFill>
          <a:round/>
        </a:ln>
      </xdr:spPr>
      <xdr:style>
        <a:lnRef idx="0"/>
        <a:fillRef idx="0"/>
        <a:effectRef idx="0"/>
        <a:fontRef idx="minor"/>
      </xdr:style>
    </xdr:sp>
    <xdr:clientData/>
  </xdr:twoCellAnchor>
  <xdr:twoCellAnchor editAs="twoCell">
    <xdr:from>
      <xdr:col>26</xdr:col>
      <xdr:colOff>686160</xdr:colOff>
      <xdr:row>78</xdr:row>
      <xdr:rowOff>168480</xdr:rowOff>
    </xdr:from>
    <xdr:to>
      <xdr:col>27</xdr:col>
      <xdr:colOff>56160</xdr:colOff>
      <xdr:row>78</xdr:row>
      <xdr:rowOff>168480</xdr:rowOff>
    </xdr:to>
    <xdr:sp>
      <xdr:nvSpPr>
        <xdr:cNvPr id="2725" name="Line 244"/>
        <xdr:cNvSpPr/>
      </xdr:nvSpPr>
      <xdr:spPr>
        <a:xfrm>
          <a:off x="23069880" y="15256080"/>
          <a:ext cx="208080" cy="0"/>
        </a:xfrm>
        <a:prstGeom prst="line">
          <a:avLst/>
        </a:prstGeom>
        <a:ln w="15875">
          <a:solidFill>
            <a:srgbClr val="000000"/>
          </a:solidFill>
          <a:round/>
        </a:ln>
      </xdr:spPr>
      <xdr:style>
        <a:lnRef idx="0"/>
        <a:fillRef idx="0"/>
        <a:effectRef idx="0"/>
        <a:fontRef idx="minor"/>
      </xdr:style>
    </xdr:sp>
    <xdr:clientData/>
  </xdr:twoCellAnchor>
  <xdr:twoCellAnchor editAs="twoCell">
    <xdr:from>
      <xdr:col>26</xdr:col>
      <xdr:colOff>722520</xdr:colOff>
      <xdr:row>78</xdr:row>
      <xdr:rowOff>151920</xdr:rowOff>
    </xdr:from>
    <xdr:to>
      <xdr:col>27</xdr:col>
      <xdr:colOff>720</xdr:colOff>
      <xdr:row>79</xdr:row>
      <xdr:rowOff>720</xdr:rowOff>
    </xdr:to>
    <xdr:sp>
      <xdr:nvSpPr>
        <xdr:cNvPr id="2726" name="455 Rectángulo redondeado"/>
        <xdr:cNvSpPr/>
      </xdr:nvSpPr>
      <xdr:spPr>
        <a:xfrm rot="16200000">
          <a:off x="23144760" y="15201000"/>
          <a:ext cx="39240" cy="1162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26</xdr:col>
      <xdr:colOff>405360</xdr:colOff>
      <xdr:row>77</xdr:row>
      <xdr:rowOff>171000</xdr:rowOff>
    </xdr:from>
    <xdr:to>
      <xdr:col>26</xdr:col>
      <xdr:colOff>684720</xdr:colOff>
      <xdr:row>79</xdr:row>
      <xdr:rowOff>100080</xdr:rowOff>
    </xdr:to>
    <xdr:grpSp>
      <xdr:nvGrpSpPr>
        <xdr:cNvPr id="2727" name="Grupo 1313"/>
        <xdr:cNvGrpSpPr/>
      </xdr:nvGrpSpPr>
      <xdr:grpSpPr>
        <a:xfrm>
          <a:off x="22789080" y="15068160"/>
          <a:ext cx="279360" cy="309960"/>
          <a:chOff x="22789080" y="15068160"/>
          <a:chExt cx="279360" cy="309960"/>
        </a:xfrm>
      </xdr:grpSpPr>
      <xdr:sp>
        <xdr:nvSpPr>
          <xdr:cNvPr id="2728" name="Oval 40"/>
          <xdr:cNvSpPr/>
        </xdr:nvSpPr>
        <xdr:spPr>
          <a:xfrm rot="10800000">
            <a:off x="22789080" y="15170760"/>
            <a:ext cx="175320" cy="207360"/>
          </a:xfrm>
          <a:prstGeom prst="ellipse">
            <a:avLst/>
          </a:prstGeom>
          <a:noFill/>
          <a:ln w="12700">
            <a:solidFill>
              <a:srgbClr val="ffc000"/>
            </a:solidFill>
            <a:round/>
          </a:ln>
        </xdr:spPr>
        <xdr:style>
          <a:lnRef idx="0"/>
          <a:fillRef idx="0"/>
          <a:effectRef idx="0"/>
          <a:fontRef idx="minor"/>
        </xdr:style>
      </xdr:sp>
      <xdr:sp>
        <xdr:nvSpPr>
          <xdr:cNvPr id="2729" name="Oval 41"/>
          <xdr:cNvSpPr/>
        </xdr:nvSpPr>
        <xdr:spPr>
          <a:xfrm rot="10800000">
            <a:off x="22789080" y="15068160"/>
            <a:ext cx="175320" cy="207360"/>
          </a:xfrm>
          <a:prstGeom prst="ellipse">
            <a:avLst/>
          </a:prstGeom>
          <a:noFill/>
          <a:ln w="12700">
            <a:solidFill>
              <a:srgbClr val="ff0000"/>
            </a:solidFill>
            <a:round/>
          </a:ln>
        </xdr:spPr>
        <xdr:style>
          <a:lnRef idx="0"/>
          <a:fillRef idx="0"/>
          <a:effectRef idx="0"/>
          <a:fontRef idx="minor"/>
        </xdr:style>
      </xdr:sp>
      <xdr:sp>
        <xdr:nvSpPr>
          <xdr:cNvPr id="2730" name="Oval 63"/>
          <xdr:cNvSpPr/>
        </xdr:nvSpPr>
        <xdr:spPr>
          <a:xfrm>
            <a:off x="22893840" y="15144840"/>
            <a:ext cx="174600" cy="206280"/>
          </a:xfrm>
          <a:prstGeom prst="ellipse">
            <a:avLst/>
          </a:prstGeom>
          <a:noFill/>
          <a:ln w="12700">
            <a:solidFill>
              <a:srgbClr val="000000"/>
            </a:solidFill>
            <a:round/>
          </a:ln>
        </xdr:spPr>
        <xdr:style>
          <a:lnRef idx="0"/>
          <a:fillRef idx="0"/>
          <a:effectRef idx="0"/>
          <a:fontRef idx="minor"/>
        </xdr:style>
      </xdr:sp>
    </xdr:grpSp>
    <xdr:clientData/>
  </xdr:twoCellAnchor>
  <xdr:twoCellAnchor editAs="twoCell">
    <xdr:from>
      <xdr:col>26</xdr:col>
      <xdr:colOff>488160</xdr:colOff>
      <xdr:row>79</xdr:row>
      <xdr:rowOff>101160</xdr:rowOff>
    </xdr:from>
    <xdr:to>
      <xdr:col>26</xdr:col>
      <xdr:colOff>488160</xdr:colOff>
      <xdr:row>80</xdr:row>
      <xdr:rowOff>39960</xdr:rowOff>
    </xdr:to>
    <xdr:sp>
      <xdr:nvSpPr>
        <xdr:cNvPr id="2731" name="Line 100"/>
        <xdr:cNvSpPr/>
      </xdr:nvSpPr>
      <xdr:spPr>
        <a:xfrm>
          <a:off x="22871880" y="15379200"/>
          <a:ext cx="0" cy="129240"/>
        </a:xfrm>
        <a:prstGeom prst="line">
          <a:avLst/>
        </a:prstGeom>
        <a:ln w="15875">
          <a:solidFill>
            <a:srgbClr val="ffc000"/>
          </a:solidFill>
          <a:round/>
        </a:ln>
      </xdr:spPr>
      <xdr:style>
        <a:lnRef idx="0"/>
        <a:fillRef idx="0"/>
        <a:effectRef idx="0"/>
        <a:fontRef idx="minor"/>
      </xdr:style>
    </xdr:sp>
    <xdr:clientData/>
  </xdr:twoCellAnchor>
  <xdr:twoCellAnchor editAs="twoCell">
    <xdr:from>
      <xdr:col>26</xdr:col>
      <xdr:colOff>467640</xdr:colOff>
      <xdr:row>79</xdr:row>
      <xdr:rowOff>137880</xdr:rowOff>
    </xdr:from>
    <xdr:to>
      <xdr:col>26</xdr:col>
      <xdr:colOff>507600</xdr:colOff>
      <xdr:row>79</xdr:row>
      <xdr:rowOff>177480</xdr:rowOff>
    </xdr:to>
    <xdr:sp>
      <xdr:nvSpPr>
        <xdr:cNvPr id="2732" name="455 Rectángulo redondeado"/>
        <xdr:cNvSpPr/>
      </xdr:nvSpPr>
      <xdr:spPr>
        <a:xfrm>
          <a:off x="22851360" y="15415920"/>
          <a:ext cx="3996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26</xdr:col>
      <xdr:colOff>495360</xdr:colOff>
      <xdr:row>77</xdr:row>
      <xdr:rowOff>9720</xdr:rowOff>
    </xdr:from>
    <xdr:to>
      <xdr:col>26</xdr:col>
      <xdr:colOff>495360</xdr:colOff>
      <xdr:row>77</xdr:row>
      <xdr:rowOff>166320</xdr:rowOff>
    </xdr:to>
    <xdr:sp>
      <xdr:nvSpPr>
        <xdr:cNvPr id="2733" name="Line 206"/>
        <xdr:cNvSpPr/>
      </xdr:nvSpPr>
      <xdr:spPr>
        <a:xfrm>
          <a:off x="22879080" y="14906880"/>
          <a:ext cx="0" cy="156600"/>
        </a:xfrm>
        <a:prstGeom prst="line">
          <a:avLst/>
        </a:prstGeom>
        <a:ln w="12700">
          <a:solidFill>
            <a:srgbClr val="ff0000"/>
          </a:solidFill>
          <a:round/>
        </a:ln>
      </xdr:spPr>
      <xdr:style>
        <a:lnRef idx="0"/>
        <a:fillRef idx="0"/>
        <a:effectRef idx="0"/>
        <a:fontRef idx="minor"/>
      </xdr:style>
    </xdr:sp>
    <xdr:clientData/>
  </xdr:twoCellAnchor>
  <xdr:twoCellAnchor editAs="twoCell">
    <xdr:from>
      <xdr:col>26</xdr:col>
      <xdr:colOff>475920</xdr:colOff>
      <xdr:row>77</xdr:row>
      <xdr:rowOff>68760</xdr:rowOff>
    </xdr:from>
    <xdr:to>
      <xdr:col>26</xdr:col>
      <xdr:colOff>515880</xdr:colOff>
      <xdr:row>77</xdr:row>
      <xdr:rowOff>108360</xdr:rowOff>
    </xdr:to>
    <xdr:sp>
      <xdr:nvSpPr>
        <xdr:cNvPr id="2734" name="452 Rectángulo redondeado"/>
        <xdr:cNvSpPr/>
      </xdr:nvSpPr>
      <xdr:spPr>
        <a:xfrm>
          <a:off x="22859640" y="14965920"/>
          <a:ext cx="39960" cy="3960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25</xdr:col>
      <xdr:colOff>521640</xdr:colOff>
      <xdr:row>79</xdr:row>
      <xdr:rowOff>131040</xdr:rowOff>
    </xdr:from>
    <xdr:to>
      <xdr:col>26</xdr:col>
      <xdr:colOff>248400</xdr:colOff>
      <xdr:row>80</xdr:row>
      <xdr:rowOff>152280</xdr:rowOff>
    </xdr:to>
    <xdr:sp>
      <xdr:nvSpPr>
        <xdr:cNvPr id="2735" name="Text Box 188"/>
        <xdr:cNvSpPr/>
      </xdr:nvSpPr>
      <xdr:spPr>
        <a:xfrm>
          <a:off x="22067280" y="15409080"/>
          <a:ext cx="564840" cy="2116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Gaira 34,5 kV</a:t>
          </a:r>
          <a:endParaRPr b="0" lang="en-GB" sz="600" spc="-1" strike="noStrike">
            <a:latin typeface="Times New Roman"/>
          </a:endParaRPr>
        </a:p>
      </xdr:txBody>
    </xdr:sp>
    <xdr:clientData/>
  </xdr:twoCellAnchor>
  <xdr:twoCellAnchor editAs="twoCell">
    <xdr:from>
      <xdr:col>27</xdr:col>
      <xdr:colOff>57960</xdr:colOff>
      <xdr:row>78</xdr:row>
      <xdr:rowOff>45720</xdr:rowOff>
    </xdr:from>
    <xdr:to>
      <xdr:col>27</xdr:col>
      <xdr:colOff>57960</xdr:colOff>
      <xdr:row>79</xdr:row>
      <xdr:rowOff>106560</xdr:rowOff>
    </xdr:to>
    <xdr:sp>
      <xdr:nvSpPr>
        <xdr:cNvPr id="2736" name="Line 99"/>
        <xdr:cNvSpPr/>
      </xdr:nvSpPr>
      <xdr:spPr>
        <a:xfrm>
          <a:off x="23279760" y="15133320"/>
          <a:ext cx="0" cy="251280"/>
        </a:xfrm>
        <a:prstGeom prst="line">
          <a:avLst/>
        </a:prstGeom>
        <a:ln w="25400">
          <a:solidFill>
            <a:srgbClr val="000000"/>
          </a:solidFill>
          <a:round/>
        </a:ln>
      </xdr:spPr>
      <xdr:style>
        <a:lnRef idx="0"/>
        <a:fillRef idx="0"/>
        <a:effectRef idx="0"/>
        <a:fontRef idx="minor"/>
      </xdr:style>
    </xdr:sp>
    <xdr:clientData/>
  </xdr:twoCellAnchor>
  <xdr:twoCellAnchor editAs="twoCell">
    <xdr:from>
      <xdr:col>27</xdr:col>
      <xdr:colOff>51120</xdr:colOff>
      <xdr:row>78</xdr:row>
      <xdr:rowOff>169560</xdr:rowOff>
    </xdr:from>
    <xdr:to>
      <xdr:col>27</xdr:col>
      <xdr:colOff>240480</xdr:colOff>
      <xdr:row>78</xdr:row>
      <xdr:rowOff>169560</xdr:rowOff>
    </xdr:to>
    <xdr:sp>
      <xdr:nvSpPr>
        <xdr:cNvPr id="2737" name="Line 280"/>
        <xdr:cNvSpPr/>
      </xdr:nvSpPr>
      <xdr:spPr>
        <a:xfrm>
          <a:off x="23272920" y="15257160"/>
          <a:ext cx="189360" cy="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27</xdr:col>
      <xdr:colOff>86040</xdr:colOff>
      <xdr:row>78</xdr:row>
      <xdr:rowOff>146880</xdr:rowOff>
    </xdr:from>
    <xdr:to>
      <xdr:col>27</xdr:col>
      <xdr:colOff>127080</xdr:colOff>
      <xdr:row>78</xdr:row>
      <xdr:rowOff>187560</xdr:rowOff>
    </xdr:to>
    <xdr:sp>
      <xdr:nvSpPr>
        <xdr:cNvPr id="2738" name="455 Rectángulo redondeado"/>
        <xdr:cNvSpPr/>
      </xdr:nvSpPr>
      <xdr:spPr>
        <a:xfrm rot="5400000">
          <a:off x="23307840" y="15234120"/>
          <a:ext cx="40680" cy="4104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26</xdr:col>
      <xdr:colOff>596520</xdr:colOff>
      <xdr:row>77</xdr:row>
      <xdr:rowOff>105840</xdr:rowOff>
    </xdr:from>
    <xdr:to>
      <xdr:col>27</xdr:col>
      <xdr:colOff>292320</xdr:colOff>
      <xdr:row>78</xdr:row>
      <xdr:rowOff>29160</xdr:rowOff>
    </xdr:to>
    <xdr:sp>
      <xdr:nvSpPr>
        <xdr:cNvPr id="2739" name="Text Box 188"/>
        <xdr:cNvSpPr/>
      </xdr:nvSpPr>
      <xdr:spPr>
        <a:xfrm>
          <a:off x="22980240" y="15003000"/>
          <a:ext cx="533880" cy="11376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Gaira 13,8 kV </a:t>
          </a:r>
          <a:endParaRPr b="0" lang="en-GB" sz="600" spc="-1" strike="noStrike">
            <a:latin typeface="Times New Roman"/>
          </a:endParaRPr>
        </a:p>
      </xdr:txBody>
    </xdr:sp>
    <xdr:clientData/>
  </xdr:twoCellAnchor>
  <xdr:twoCellAnchor editAs="twoCell">
    <xdr:from>
      <xdr:col>26</xdr:col>
      <xdr:colOff>209880</xdr:colOff>
      <xdr:row>84</xdr:row>
      <xdr:rowOff>82440</xdr:rowOff>
    </xdr:from>
    <xdr:to>
      <xdr:col>27</xdr:col>
      <xdr:colOff>253080</xdr:colOff>
      <xdr:row>84</xdr:row>
      <xdr:rowOff>82440</xdr:rowOff>
    </xdr:to>
    <xdr:sp>
      <xdr:nvSpPr>
        <xdr:cNvPr id="2740" name="Line 38"/>
        <xdr:cNvSpPr/>
      </xdr:nvSpPr>
      <xdr:spPr>
        <a:xfrm>
          <a:off x="22593600" y="16313040"/>
          <a:ext cx="881280" cy="0"/>
        </a:xfrm>
        <a:prstGeom prst="line">
          <a:avLst/>
        </a:prstGeom>
        <a:ln w="25400">
          <a:solidFill>
            <a:srgbClr val="ffc000"/>
          </a:solidFill>
          <a:round/>
        </a:ln>
      </xdr:spPr>
      <xdr:style>
        <a:lnRef idx="0"/>
        <a:fillRef idx="0"/>
        <a:effectRef idx="0"/>
        <a:fontRef idx="minor"/>
      </xdr:style>
    </xdr:sp>
    <xdr:clientData/>
  </xdr:twoCellAnchor>
  <xdr:twoCellAnchor editAs="twoCell">
    <xdr:from>
      <xdr:col>25</xdr:col>
      <xdr:colOff>423720</xdr:colOff>
      <xdr:row>83</xdr:row>
      <xdr:rowOff>185760</xdr:rowOff>
    </xdr:from>
    <xdr:to>
      <xdr:col>26</xdr:col>
      <xdr:colOff>257040</xdr:colOff>
      <xdr:row>85</xdr:row>
      <xdr:rowOff>16200</xdr:rowOff>
    </xdr:to>
    <xdr:sp>
      <xdr:nvSpPr>
        <xdr:cNvPr id="2741" name="Text Box 188"/>
        <xdr:cNvSpPr/>
      </xdr:nvSpPr>
      <xdr:spPr>
        <a:xfrm>
          <a:off x="21969360" y="16225920"/>
          <a:ext cx="671400" cy="21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Aeropuerto 34,5 kV</a:t>
          </a:r>
          <a:endParaRPr b="0" lang="en-GB" sz="600" spc="-1" strike="noStrike">
            <a:latin typeface="Times New Roman"/>
          </a:endParaRPr>
        </a:p>
      </xdr:txBody>
    </xdr:sp>
    <xdr:clientData/>
  </xdr:twoCellAnchor>
  <xdr:twoCellAnchor editAs="twoCell">
    <xdr:from>
      <xdr:col>26</xdr:col>
      <xdr:colOff>554760</xdr:colOff>
      <xdr:row>80</xdr:row>
      <xdr:rowOff>54000</xdr:rowOff>
    </xdr:from>
    <xdr:to>
      <xdr:col>26</xdr:col>
      <xdr:colOff>554760</xdr:colOff>
      <xdr:row>84</xdr:row>
      <xdr:rowOff>95760</xdr:rowOff>
    </xdr:to>
    <xdr:sp>
      <xdr:nvSpPr>
        <xdr:cNvPr id="2742" name="Line 244"/>
        <xdr:cNvSpPr/>
      </xdr:nvSpPr>
      <xdr:spPr>
        <a:xfrm>
          <a:off x="22938480" y="15522480"/>
          <a:ext cx="0" cy="803880"/>
        </a:xfrm>
        <a:prstGeom prst="line">
          <a:avLst/>
        </a:prstGeom>
        <a:ln w="15875">
          <a:solidFill>
            <a:srgbClr val="ffc000"/>
          </a:solidFill>
          <a:round/>
        </a:ln>
      </xdr:spPr>
      <xdr:style>
        <a:lnRef idx="0"/>
        <a:fillRef idx="0"/>
        <a:effectRef idx="0"/>
        <a:fontRef idx="minor"/>
      </xdr:style>
    </xdr:sp>
    <xdr:clientData/>
  </xdr:twoCellAnchor>
  <xdr:twoCellAnchor editAs="twoCell">
    <xdr:from>
      <xdr:col>26</xdr:col>
      <xdr:colOff>535680</xdr:colOff>
      <xdr:row>80</xdr:row>
      <xdr:rowOff>94320</xdr:rowOff>
    </xdr:from>
    <xdr:to>
      <xdr:col>26</xdr:col>
      <xdr:colOff>576000</xdr:colOff>
      <xdr:row>80</xdr:row>
      <xdr:rowOff>133920</xdr:rowOff>
    </xdr:to>
    <xdr:sp>
      <xdr:nvSpPr>
        <xdr:cNvPr id="2743" name="455 Rectángulo redondeado"/>
        <xdr:cNvSpPr/>
      </xdr:nvSpPr>
      <xdr:spPr>
        <a:xfrm>
          <a:off x="22919400" y="1556280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26</xdr:col>
      <xdr:colOff>534600</xdr:colOff>
      <xdr:row>84</xdr:row>
      <xdr:rowOff>1440</xdr:rowOff>
    </xdr:from>
    <xdr:to>
      <xdr:col>26</xdr:col>
      <xdr:colOff>574920</xdr:colOff>
      <xdr:row>84</xdr:row>
      <xdr:rowOff>41040</xdr:rowOff>
    </xdr:to>
    <xdr:sp>
      <xdr:nvSpPr>
        <xdr:cNvPr id="2744" name="455 Rectángulo redondeado"/>
        <xdr:cNvSpPr/>
      </xdr:nvSpPr>
      <xdr:spPr>
        <a:xfrm>
          <a:off x="22918320" y="1623204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26</xdr:col>
      <xdr:colOff>162000</xdr:colOff>
      <xdr:row>82</xdr:row>
      <xdr:rowOff>48960</xdr:rowOff>
    </xdr:from>
    <xdr:to>
      <xdr:col>26</xdr:col>
      <xdr:colOff>607320</xdr:colOff>
      <xdr:row>82</xdr:row>
      <xdr:rowOff>170280</xdr:rowOff>
    </xdr:to>
    <xdr:sp>
      <xdr:nvSpPr>
        <xdr:cNvPr id="2745" name="Text Box 188"/>
        <xdr:cNvSpPr/>
      </xdr:nvSpPr>
      <xdr:spPr>
        <a:xfrm>
          <a:off x="22545720" y="15898680"/>
          <a:ext cx="44532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LN-578</a:t>
          </a:r>
          <a:endParaRPr b="0" lang="en-GB" sz="600" spc="-1" strike="noStrike">
            <a:latin typeface="Times New Roman"/>
          </a:endParaRPr>
        </a:p>
      </xdr:txBody>
    </xdr:sp>
    <xdr:clientData/>
  </xdr:twoCellAnchor>
  <xdr:twoCellAnchor editAs="twoCell">
    <xdr:from>
      <xdr:col>26</xdr:col>
      <xdr:colOff>304920</xdr:colOff>
      <xdr:row>84</xdr:row>
      <xdr:rowOff>81000</xdr:rowOff>
    </xdr:from>
    <xdr:to>
      <xdr:col>27</xdr:col>
      <xdr:colOff>68040</xdr:colOff>
      <xdr:row>88</xdr:row>
      <xdr:rowOff>99720</xdr:rowOff>
    </xdr:to>
    <xdr:grpSp>
      <xdr:nvGrpSpPr>
        <xdr:cNvPr id="2746" name="Grupo 1332"/>
        <xdr:cNvGrpSpPr/>
      </xdr:nvGrpSpPr>
      <xdr:grpSpPr>
        <a:xfrm>
          <a:off x="22688640" y="16311600"/>
          <a:ext cx="601200" cy="780840"/>
          <a:chOff x="22688640" y="16311600"/>
          <a:chExt cx="601200" cy="780840"/>
        </a:xfrm>
      </xdr:grpSpPr>
      <xdr:sp>
        <xdr:nvSpPr>
          <xdr:cNvPr id="2747" name="Oval 40"/>
          <xdr:cNvSpPr/>
        </xdr:nvSpPr>
        <xdr:spPr>
          <a:xfrm rot="10800000">
            <a:off x="22879080" y="16641360"/>
            <a:ext cx="204120" cy="209160"/>
          </a:xfrm>
          <a:prstGeom prst="ellipse">
            <a:avLst/>
          </a:prstGeom>
          <a:noFill/>
          <a:ln w="12700">
            <a:solidFill>
              <a:srgbClr val="000000"/>
            </a:solidFill>
            <a:round/>
          </a:ln>
        </xdr:spPr>
        <xdr:style>
          <a:lnRef idx="0"/>
          <a:fillRef idx="0"/>
          <a:effectRef idx="0"/>
          <a:fontRef idx="minor"/>
        </xdr:style>
      </xdr:sp>
      <xdr:sp>
        <xdr:nvSpPr>
          <xdr:cNvPr id="2748" name="Oval 41"/>
          <xdr:cNvSpPr/>
        </xdr:nvSpPr>
        <xdr:spPr>
          <a:xfrm rot="10800000">
            <a:off x="22876200" y="16529760"/>
            <a:ext cx="204120" cy="209160"/>
          </a:xfrm>
          <a:prstGeom prst="ellipse">
            <a:avLst/>
          </a:prstGeom>
          <a:noFill/>
          <a:ln w="12700">
            <a:solidFill>
              <a:srgbClr val="ffc000"/>
            </a:solidFill>
            <a:round/>
          </a:ln>
        </xdr:spPr>
        <xdr:style>
          <a:lnRef idx="0"/>
          <a:fillRef idx="0"/>
          <a:effectRef idx="0"/>
          <a:fontRef idx="minor"/>
        </xdr:style>
      </xdr:sp>
      <xdr:sp>
        <xdr:nvSpPr>
          <xdr:cNvPr id="2749" name="Line 206"/>
          <xdr:cNvSpPr/>
        </xdr:nvSpPr>
        <xdr:spPr>
          <a:xfrm>
            <a:off x="22972320" y="16311600"/>
            <a:ext cx="360" cy="214920"/>
          </a:xfrm>
          <a:prstGeom prst="line">
            <a:avLst/>
          </a:prstGeom>
          <a:ln w="15875">
            <a:solidFill>
              <a:srgbClr val="ffc000"/>
            </a:solidFill>
            <a:round/>
          </a:ln>
        </xdr:spPr>
        <xdr:style>
          <a:lnRef idx="0"/>
          <a:fillRef idx="0"/>
          <a:effectRef idx="0"/>
          <a:fontRef idx="minor"/>
        </xdr:style>
      </xdr:sp>
      <xdr:sp>
        <xdr:nvSpPr>
          <xdr:cNvPr id="2750" name="452 Rectángulo redondeado"/>
          <xdr:cNvSpPr/>
        </xdr:nvSpPr>
        <xdr:spPr>
          <a:xfrm>
            <a:off x="22949280" y="16370280"/>
            <a:ext cx="46800" cy="3996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sp>
        <xdr:nvSpPr>
          <xdr:cNvPr id="2751" name="Line 99"/>
          <xdr:cNvSpPr/>
        </xdr:nvSpPr>
        <xdr:spPr>
          <a:xfrm>
            <a:off x="22688640" y="16992360"/>
            <a:ext cx="601200" cy="360"/>
          </a:xfrm>
          <a:prstGeom prst="line">
            <a:avLst/>
          </a:prstGeom>
          <a:ln w="25400">
            <a:solidFill>
              <a:srgbClr val="000000"/>
            </a:solidFill>
            <a:round/>
          </a:ln>
        </xdr:spPr>
        <xdr:style>
          <a:lnRef idx="0"/>
          <a:fillRef idx="0"/>
          <a:effectRef idx="0"/>
          <a:fontRef idx="minor"/>
        </xdr:style>
      </xdr:sp>
      <xdr:sp>
        <xdr:nvSpPr>
          <xdr:cNvPr id="2752" name="Line 280"/>
          <xdr:cNvSpPr/>
        </xdr:nvSpPr>
        <xdr:spPr>
          <a:xfrm>
            <a:off x="22980240" y="16852320"/>
            <a:ext cx="360" cy="150840"/>
          </a:xfrm>
          <a:prstGeom prst="line">
            <a:avLst/>
          </a:prstGeom>
          <a:ln w="15875">
            <a:solidFill>
              <a:srgbClr val="000000"/>
            </a:solidFill>
            <a:round/>
          </a:ln>
        </xdr:spPr>
        <xdr:style>
          <a:lnRef idx="0"/>
          <a:fillRef idx="0"/>
          <a:effectRef idx="0"/>
          <a:fontRef idx="minor"/>
        </xdr:style>
      </xdr:sp>
      <xdr:sp>
        <xdr:nvSpPr>
          <xdr:cNvPr id="2753" name="455 Rectángulo redondeado"/>
          <xdr:cNvSpPr/>
        </xdr:nvSpPr>
        <xdr:spPr>
          <a:xfrm rot="5400000">
            <a:off x="22961520" y="17048880"/>
            <a:ext cx="39960" cy="468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sp>
        <xdr:nvSpPr>
          <xdr:cNvPr id="2754" name="455 Rectángulo redondeado"/>
          <xdr:cNvSpPr/>
        </xdr:nvSpPr>
        <xdr:spPr>
          <a:xfrm rot="5400000">
            <a:off x="22962600" y="16897320"/>
            <a:ext cx="39960" cy="468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25</xdr:col>
      <xdr:colOff>639360</xdr:colOff>
      <xdr:row>85</xdr:row>
      <xdr:rowOff>123120</xdr:rowOff>
    </xdr:from>
    <xdr:to>
      <xdr:col>26</xdr:col>
      <xdr:colOff>510120</xdr:colOff>
      <xdr:row>86</xdr:row>
      <xdr:rowOff>182520</xdr:rowOff>
    </xdr:to>
    <xdr:sp>
      <xdr:nvSpPr>
        <xdr:cNvPr id="2755" name="61 CuadroTexto"/>
        <xdr:cNvSpPr/>
      </xdr:nvSpPr>
      <xdr:spPr>
        <a:xfrm>
          <a:off x="22185000" y="16544160"/>
          <a:ext cx="708840" cy="24984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15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clientData/>
  </xdr:twoCellAnchor>
  <xdr:twoCellAnchor editAs="twoCell">
    <xdr:from>
      <xdr:col>25</xdr:col>
      <xdr:colOff>572760</xdr:colOff>
      <xdr:row>87</xdr:row>
      <xdr:rowOff>87480</xdr:rowOff>
    </xdr:from>
    <xdr:to>
      <xdr:col>26</xdr:col>
      <xdr:colOff>387720</xdr:colOff>
      <xdr:row>88</xdr:row>
      <xdr:rowOff>129960</xdr:rowOff>
    </xdr:to>
    <xdr:sp>
      <xdr:nvSpPr>
        <xdr:cNvPr id="2756" name="Text Box 188"/>
        <xdr:cNvSpPr/>
      </xdr:nvSpPr>
      <xdr:spPr>
        <a:xfrm>
          <a:off x="22118400" y="16889760"/>
          <a:ext cx="65304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Aeropuerto 13,8 kV</a:t>
          </a:r>
          <a:endParaRPr b="0" lang="en-GB" sz="600" spc="-1" strike="noStrike">
            <a:latin typeface="Times New Roman"/>
          </a:endParaRPr>
        </a:p>
      </xdr:txBody>
    </xdr:sp>
    <xdr:clientData/>
  </xdr:twoCellAnchor>
  <xdr:twoCellAnchor editAs="twoCell">
    <xdr:from>
      <xdr:col>26</xdr:col>
      <xdr:colOff>559080</xdr:colOff>
      <xdr:row>87</xdr:row>
      <xdr:rowOff>182520</xdr:rowOff>
    </xdr:from>
    <xdr:to>
      <xdr:col>26</xdr:col>
      <xdr:colOff>559080</xdr:colOff>
      <xdr:row>89</xdr:row>
      <xdr:rowOff>83880</xdr:rowOff>
    </xdr:to>
    <xdr:sp>
      <xdr:nvSpPr>
        <xdr:cNvPr id="2757" name="Line 280"/>
        <xdr:cNvSpPr/>
      </xdr:nvSpPr>
      <xdr:spPr>
        <a:xfrm>
          <a:off x="22942800" y="16984800"/>
          <a:ext cx="0" cy="28224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27</xdr:col>
      <xdr:colOff>621360</xdr:colOff>
      <xdr:row>80</xdr:row>
      <xdr:rowOff>60840</xdr:rowOff>
    </xdr:from>
    <xdr:to>
      <xdr:col>27</xdr:col>
      <xdr:colOff>621360</xdr:colOff>
      <xdr:row>81</xdr:row>
      <xdr:rowOff>121680</xdr:rowOff>
    </xdr:to>
    <xdr:sp>
      <xdr:nvSpPr>
        <xdr:cNvPr id="2758" name="Line 244"/>
        <xdr:cNvSpPr/>
      </xdr:nvSpPr>
      <xdr:spPr>
        <a:xfrm>
          <a:off x="23843160" y="15529320"/>
          <a:ext cx="0" cy="251640"/>
        </a:xfrm>
        <a:prstGeom prst="line">
          <a:avLst/>
        </a:prstGeom>
        <a:ln w="15875">
          <a:solidFill>
            <a:srgbClr val="ffc000"/>
          </a:solidFill>
          <a:round/>
          <a:tailEnd len="med" type="triangle" w="med"/>
        </a:ln>
      </xdr:spPr>
      <xdr:style>
        <a:lnRef idx="0"/>
        <a:fillRef idx="0"/>
        <a:effectRef idx="0"/>
        <a:fontRef idx="minor"/>
      </xdr:style>
    </xdr:sp>
    <xdr:clientData/>
  </xdr:twoCellAnchor>
  <xdr:twoCellAnchor editAs="twoCell">
    <xdr:from>
      <xdr:col>27</xdr:col>
      <xdr:colOff>601920</xdr:colOff>
      <xdr:row>80</xdr:row>
      <xdr:rowOff>100800</xdr:rowOff>
    </xdr:from>
    <xdr:to>
      <xdr:col>27</xdr:col>
      <xdr:colOff>642240</xdr:colOff>
      <xdr:row>80</xdr:row>
      <xdr:rowOff>140400</xdr:rowOff>
    </xdr:to>
    <xdr:sp>
      <xdr:nvSpPr>
        <xdr:cNvPr id="2759" name="455 Rectángulo redondeado"/>
        <xdr:cNvSpPr/>
      </xdr:nvSpPr>
      <xdr:spPr>
        <a:xfrm>
          <a:off x="23823720" y="1556928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27</xdr:col>
      <xdr:colOff>346680</xdr:colOff>
      <xdr:row>81</xdr:row>
      <xdr:rowOff>186840</xdr:rowOff>
    </xdr:from>
    <xdr:to>
      <xdr:col>28</xdr:col>
      <xdr:colOff>83880</xdr:colOff>
      <xdr:row>82</xdr:row>
      <xdr:rowOff>164880</xdr:rowOff>
    </xdr:to>
    <xdr:sp>
      <xdr:nvSpPr>
        <xdr:cNvPr id="2760" name="Text Box 188"/>
        <xdr:cNvSpPr/>
      </xdr:nvSpPr>
      <xdr:spPr>
        <a:xfrm>
          <a:off x="23568480" y="15846120"/>
          <a:ext cx="575640" cy="1684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Cargas Asocidas LN 5117</a:t>
          </a:r>
          <a:endParaRPr b="0" lang="en-GB" sz="600" spc="-1" strike="noStrike">
            <a:latin typeface="Times New Roman"/>
          </a:endParaRPr>
        </a:p>
      </xdr:txBody>
    </xdr:sp>
    <xdr:clientData/>
  </xdr:twoCellAnchor>
  <xdr:twoCellAnchor editAs="twoCell">
    <xdr:from>
      <xdr:col>27</xdr:col>
      <xdr:colOff>204120</xdr:colOff>
      <xdr:row>80</xdr:row>
      <xdr:rowOff>53640</xdr:rowOff>
    </xdr:from>
    <xdr:to>
      <xdr:col>27</xdr:col>
      <xdr:colOff>204120</xdr:colOff>
      <xdr:row>81</xdr:row>
      <xdr:rowOff>114480</xdr:rowOff>
    </xdr:to>
    <xdr:sp>
      <xdr:nvSpPr>
        <xdr:cNvPr id="2761" name="Line 244"/>
        <xdr:cNvSpPr/>
      </xdr:nvSpPr>
      <xdr:spPr>
        <a:xfrm>
          <a:off x="23425920" y="15522120"/>
          <a:ext cx="0" cy="251640"/>
        </a:xfrm>
        <a:prstGeom prst="line">
          <a:avLst/>
        </a:prstGeom>
        <a:ln w="15875">
          <a:solidFill>
            <a:srgbClr val="ffc000"/>
          </a:solidFill>
          <a:round/>
          <a:tailEnd len="med" type="triangle" w="med"/>
        </a:ln>
      </xdr:spPr>
      <xdr:style>
        <a:lnRef idx="0"/>
        <a:fillRef idx="0"/>
        <a:effectRef idx="0"/>
        <a:fontRef idx="minor"/>
      </xdr:style>
    </xdr:sp>
    <xdr:clientData/>
  </xdr:twoCellAnchor>
  <xdr:twoCellAnchor editAs="twoCell">
    <xdr:from>
      <xdr:col>27</xdr:col>
      <xdr:colOff>185040</xdr:colOff>
      <xdr:row>80</xdr:row>
      <xdr:rowOff>93600</xdr:rowOff>
    </xdr:from>
    <xdr:to>
      <xdr:col>27</xdr:col>
      <xdr:colOff>225360</xdr:colOff>
      <xdr:row>80</xdr:row>
      <xdr:rowOff>133200</xdr:rowOff>
    </xdr:to>
    <xdr:sp>
      <xdr:nvSpPr>
        <xdr:cNvPr id="2762" name="455 Rectángulo redondeado"/>
        <xdr:cNvSpPr/>
      </xdr:nvSpPr>
      <xdr:spPr>
        <a:xfrm>
          <a:off x="23406840" y="15562080"/>
          <a:ext cx="40320" cy="39600"/>
        </a:xfrm>
        <a:prstGeom prst="roundRect">
          <a:avLst>
            <a:gd name="adj" fmla="val 16667"/>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26</xdr:col>
      <xdr:colOff>706320</xdr:colOff>
      <xdr:row>82</xdr:row>
      <xdr:rowOff>6840</xdr:rowOff>
    </xdr:from>
    <xdr:to>
      <xdr:col>27</xdr:col>
      <xdr:colOff>443520</xdr:colOff>
      <xdr:row>82</xdr:row>
      <xdr:rowOff>175320</xdr:rowOff>
    </xdr:to>
    <xdr:sp>
      <xdr:nvSpPr>
        <xdr:cNvPr id="2763" name="Text Box 188"/>
        <xdr:cNvSpPr/>
      </xdr:nvSpPr>
      <xdr:spPr>
        <a:xfrm>
          <a:off x="23090040" y="15856560"/>
          <a:ext cx="575280" cy="16848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Cargas Asocidas LN 578</a:t>
          </a:r>
          <a:endParaRPr b="0" lang="en-GB" sz="600" spc="-1" strike="noStrike">
            <a:latin typeface="Times New Roman"/>
          </a:endParaRPr>
        </a:p>
      </xdr:txBody>
    </xdr:sp>
    <xdr:clientData/>
  </xdr:twoCellAnchor>
  <xdr:twoCellAnchor editAs="twoCell">
    <xdr:from>
      <xdr:col>27</xdr:col>
      <xdr:colOff>308160</xdr:colOff>
      <xdr:row>86</xdr:row>
      <xdr:rowOff>35280</xdr:rowOff>
    </xdr:from>
    <xdr:to>
      <xdr:col>27</xdr:col>
      <xdr:colOff>486360</xdr:colOff>
      <xdr:row>87</xdr:row>
      <xdr:rowOff>54000</xdr:rowOff>
    </xdr:to>
    <xdr:sp>
      <xdr:nvSpPr>
        <xdr:cNvPr id="2764" name="Oval 40"/>
        <xdr:cNvSpPr/>
      </xdr:nvSpPr>
      <xdr:spPr>
        <a:xfrm rot="10800000">
          <a:off x="23529960" y="16646760"/>
          <a:ext cx="178200" cy="209520"/>
        </a:xfrm>
        <a:prstGeom prst="ellipse">
          <a:avLst/>
        </a:prstGeom>
        <a:noFill/>
        <a:ln w="12700">
          <a:solidFill>
            <a:srgbClr val="000000"/>
          </a:solidFill>
          <a:round/>
        </a:ln>
      </xdr:spPr>
      <xdr:style>
        <a:lnRef idx="0"/>
        <a:fillRef idx="0"/>
        <a:effectRef idx="0"/>
        <a:fontRef idx="minor"/>
      </xdr:style>
    </xdr:sp>
    <xdr:clientData/>
  </xdr:twoCellAnchor>
  <xdr:twoCellAnchor editAs="twoCell">
    <xdr:from>
      <xdr:col>27</xdr:col>
      <xdr:colOff>305280</xdr:colOff>
      <xdr:row>85</xdr:row>
      <xdr:rowOff>114120</xdr:rowOff>
    </xdr:from>
    <xdr:to>
      <xdr:col>27</xdr:col>
      <xdr:colOff>483480</xdr:colOff>
      <xdr:row>86</xdr:row>
      <xdr:rowOff>132840</xdr:rowOff>
    </xdr:to>
    <xdr:sp>
      <xdr:nvSpPr>
        <xdr:cNvPr id="2765" name="Oval 41"/>
        <xdr:cNvSpPr/>
      </xdr:nvSpPr>
      <xdr:spPr>
        <a:xfrm rot="10800000">
          <a:off x="23527080" y="16535160"/>
          <a:ext cx="178200" cy="209160"/>
        </a:xfrm>
        <a:prstGeom prst="ellipse">
          <a:avLst/>
        </a:prstGeom>
        <a:noFill/>
        <a:ln w="12700">
          <a:solidFill>
            <a:srgbClr val="ffc000"/>
          </a:solidFill>
          <a:round/>
        </a:ln>
      </xdr:spPr>
      <xdr:style>
        <a:lnRef idx="0"/>
        <a:fillRef idx="0"/>
        <a:effectRef idx="0"/>
        <a:fontRef idx="minor"/>
      </xdr:style>
    </xdr:sp>
    <xdr:clientData/>
  </xdr:twoCellAnchor>
  <xdr:twoCellAnchor editAs="twoCell">
    <xdr:from>
      <xdr:col>27</xdr:col>
      <xdr:colOff>389520</xdr:colOff>
      <xdr:row>85</xdr:row>
      <xdr:rowOff>37440</xdr:rowOff>
    </xdr:from>
    <xdr:to>
      <xdr:col>27</xdr:col>
      <xdr:colOff>389520</xdr:colOff>
      <xdr:row>85</xdr:row>
      <xdr:rowOff>110880</xdr:rowOff>
    </xdr:to>
    <xdr:sp>
      <xdr:nvSpPr>
        <xdr:cNvPr id="2766" name="Line 206"/>
        <xdr:cNvSpPr/>
      </xdr:nvSpPr>
      <xdr:spPr>
        <a:xfrm>
          <a:off x="23611320" y="16458480"/>
          <a:ext cx="0" cy="73440"/>
        </a:xfrm>
        <a:prstGeom prst="line">
          <a:avLst/>
        </a:prstGeom>
        <a:ln w="15875">
          <a:solidFill>
            <a:srgbClr val="ffc000"/>
          </a:solidFill>
          <a:round/>
        </a:ln>
      </xdr:spPr>
      <xdr:style>
        <a:lnRef idx="0"/>
        <a:fillRef idx="0"/>
        <a:effectRef idx="0"/>
        <a:fontRef idx="minor"/>
      </xdr:style>
    </xdr:sp>
    <xdr:clientData/>
  </xdr:twoCellAnchor>
  <xdr:twoCellAnchor editAs="twoCell">
    <xdr:from>
      <xdr:col>27</xdr:col>
      <xdr:colOff>141480</xdr:colOff>
      <xdr:row>88</xdr:row>
      <xdr:rowOff>5040</xdr:rowOff>
    </xdr:from>
    <xdr:to>
      <xdr:col>27</xdr:col>
      <xdr:colOff>666720</xdr:colOff>
      <xdr:row>88</xdr:row>
      <xdr:rowOff>5040</xdr:rowOff>
    </xdr:to>
    <xdr:sp>
      <xdr:nvSpPr>
        <xdr:cNvPr id="2767" name="Line 99"/>
        <xdr:cNvSpPr/>
      </xdr:nvSpPr>
      <xdr:spPr>
        <a:xfrm>
          <a:off x="23363280" y="16997760"/>
          <a:ext cx="525240" cy="0"/>
        </a:xfrm>
        <a:prstGeom prst="line">
          <a:avLst/>
        </a:prstGeom>
        <a:ln w="25400">
          <a:solidFill>
            <a:srgbClr val="000000"/>
          </a:solidFill>
          <a:round/>
        </a:ln>
      </xdr:spPr>
      <xdr:style>
        <a:lnRef idx="0"/>
        <a:fillRef idx="0"/>
        <a:effectRef idx="0"/>
        <a:fontRef idx="minor"/>
      </xdr:style>
    </xdr:sp>
    <xdr:clientData/>
  </xdr:twoCellAnchor>
  <xdr:twoCellAnchor editAs="twoCell">
    <xdr:from>
      <xdr:col>27</xdr:col>
      <xdr:colOff>396360</xdr:colOff>
      <xdr:row>87</xdr:row>
      <xdr:rowOff>55440</xdr:rowOff>
    </xdr:from>
    <xdr:to>
      <xdr:col>27</xdr:col>
      <xdr:colOff>396360</xdr:colOff>
      <xdr:row>88</xdr:row>
      <xdr:rowOff>15840</xdr:rowOff>
    </xdr:to>
    <xdr:sp>
      <xdr:nvSpPr>
        <xdr:cNvPr id="2768" name="Line 280"/>
        <xdr:cNvSpPr/>
      </xdr:nvSpPr>
      <xdr:spPr>
        <a:xfrm>
          <a:off x="23618160" y="16857720"/>
          <a:ext cx="0" cy="150840"/>
        </a:xfrm>
        <a:prstGeom prst="line">
          <a:avLst/>
        </a:prstGeom>
        <a:ln w="15875">
          <a:solidFill>
            <a:srgbClr val="000000"/>
          </a:solidFill>
          <a:round/>
        </a:ln>
      </xdr:spPr>
      <xdr:style>
        <a:lnRef idx="0"/>
        <a:fillRef idx="0"/>
        <a:effectRef idx="0"/>
        <a:fontRef idx="minor"/>
      </xdr:style>
    </xdr:sp>
    <xdr:clientData/>
  </xdr:twoCellAnchor>
  <xdr:twoCellAnchor editAs="twoCell">
    <xdr:from>
      <xdr:col>27</xdr:col>
      <xdr:colOff>377280</xdr:colOff>
      <xdr:row>88</xdr:row>
      <xdr:rowOff>65160</xdr:rowOff>
    </xdr:from>
    <xdr:to>
      <xdr:col>27</xdr:col>
      <xdr:colOff>417960</xdr:colOff>
      <xdr:row>88</xdr:row>
      <xdr:rowOff>105120</xdr:rowOff>
    </xdr:to>
    <xdr:sp>
      <xdr:nvSpPr>
        <xdr:cNvPr id="2769" name="455 Rectángulo redondeado"/>
        <xdr:cNvSpPr/>
      </xdr:nvSpPr>
      <xdr:spPr>
        <a:xfrm rot="5400000">
          <a:off x="23599440" y="17057520"/>
          <a:ext cx="3996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27</xdr:col>
      <xdr:colOff>378360</xdr:colOff>
      <xdr:row>87</xdr:row>
      <xdr:rowOff>104040</xdr:rowOff>
    </xdr:from>
    <xdr:to>
      <xdr:col>27</xdr:col>
      <xdr:colOff>419040</xdr:colOff>
      <xdr:row>87</xdr:row>
      <xdr:rowOff>144000</xdr:rowOff>
    </xdr:to>
    <xdr:sp>
      <xdr:nvSpPr>
        <xdr:cNvPr id="2770" name="455 Rectángulo redondeado"/>
        <xdr:cNvSpPr/>
      </xdr:nvSpPr>
      <xdr:spPr>
        <a:xfrm rot="5400000">
          <a:off x="23600520" y="16905960"/>
          <a:ext cx="3996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26</xdr:col>
      <xdr:colOff>552600</xdr:colOff>
      <xdr:row>85</xdr:row>
      <xdr:rowOff>34560</xdr:rowOff>
    </xdr:from>
    <xdr:to>
      <xdr:col>27</xdr:col>
      <xdr:colOff>399960</xdr:colOff>
      <xdr:row>85</xdr:row>
      <xdr:rowOff>34560</xdr:rowOff>
    </xdr:to>
    <xdr:sp>
      <xdr:nvSpPr>
        <xdr:cNvPr id="2771" name="Line 206"/>
        <xdr:cNvSpPr/>
      </xdr:nvSpPr>
      <xdr:spPr>
        <a:xfrm flipH="1">
          <a:off x="22936320" y="16455600"/>
          <a:ext cx="685440" cy="0"/>
        </a:xfrm>
        <a:prstGeom prst="line">
          <a:avLst/>
        </a:prstGeom>
        <a:ln w="15875">
          <a:solidFill>
            <a:srgbClr val="ffc000"/>
          </a:solidFill>
          <a:round/>
        </a:ln>
      </xdr:spPr>
      <xdr:style>
        <a:lnRef idx="0"/>
        <a:fillRef idx="0"/>
        <a:effectRef idx="0"/>
        <a:fontRef idx="minor"/>
      </xdr:style>
    </xdr:sp>
    <xdr:clientData/>
  </xdr:twoCellAnchor>
  <xdr:twoCellAnchor editAs="twoCell">
    <xdr:from>
      <xdr:col>27</xdr:col>
      <xdr:colOff>395640</xdr:colOff>
      <xdr:row>88</xdr:row>
      <xdr:rowOff>13680</xdr:rowOff>
    </xdr:from>
    <xdr:to>
      <xdr:col>27</xdr:col>
      <xdr:colOff>395640</xdr:colOff>
      <xdr:row>89</xdr:row>
      <xdr:rowOff>105480</xdr:rowOff>
    </xdr:to>
    <xdr:sp>
      <xdr:nvSpPr>
        <xdr:cNvPr id="2772" name="Line 280"/>
        <xdr:cNvSpPr/>
      </xdr:nvSpPr>
      <xdr:spPr>
        <a:xfrm>
          <a:off x="23617440" y="17006400"/>
          <a:ext cx="0" cy="28224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27</xdr:col>
      <xdr:colOff>390600</xdr:colOff>
      <xdr:row>85</xdr:row>
      <xdr:rowOff>99000</xdr:rowOff>
    </xdr:from>
    <xdr:to>
      <xdr:col>28</xdr:col>
      <xdr:colOff>432000</xdr:colOff>
      <xdr:row>86</xdr:row>
      <xdr:rowOff>158400</xdr:rowOff>
    </xdr:to>
    <xdr:sp>
      <xdr:nvSpPr>
        <xdr:cNvPr id="2773" name="61 CuadroTexto"/>
        <xdr:cNvSpPr/>
      </xdr:nvSpPr>
      <xdr:spPr>
        <a:xfrm>
          <a:off x="23612400" y="16520040"/>
          <a:ext cx="879840" cy="24984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T-PROV AOR</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12,5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clientData/>
  </xdr:twoCellAnchor>
  <xdr:twoCellAnchor editAs="twoCell">
    <xdr:from>
      <xdr:col>27</xdr:col>
      <xdr:colOff>592200</xdr:colOff>
      <xdr:row>87</xdr:row>
      <xdr:rowOff>74160</xdr:rowOff>
    </xdr:from>
    <xdr:to>
      <xdr:col>28</xdr:col>
      <xdr:colOff>407160</xdr:colOff>
      <xdr:row>88</xdr:row>
      <xdr:rowOff>116640</xdr:rowOff>
    </xdr:to>
    <xdr:sp>
      <xdr:nvSpPr>
        <xdr:cNvPr id="2774" name="Text Box 188"/>
        <xdr:cNvSpPr/>
      </xdr:nvSpPr>
      <xdr:spPr>
        <a:xfrm>
          <a:off x="23814000" y="16876440"/>
          <a:ext cx="653400" cy="2329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Aeropuerto 13,8 kV</a:t>
          </a:r>
          <a:endParaRPr b="0" lang="en-GB" sz="600" spc="-1" strike="noStrike">
            <a:latin typeface="Times New Roman"/>
          </a:endParaRPr>
        </a:p>
      </xdr:txBody>
    </xdr:sp>
    <xdr:clientData/>
  </xdr:twoCellAnchor>
  <xdr:twoCellAnchor editAs="twoCell">
    <xdr:from>
      <xdr:col>28</xdr:col>
      <xdr:colOff>245160</xdr:colOff>
      <xdr:row>77</xdr:row>
      <xdr:rowOff>172800</xdr:rowOff>
    </xdr:from>
    <xdr:to>
      <xdr:col>28</xdr:col>
      <xdr:colOff>420480</xdr:colOff>
      <xdr:row>79</xdr:row>
      <xdr:rowOff>100080</xdr:rowOff>
    </xdr:to>
    <xdr:grpSp>
      <xdr:nvGrpSpPr>
        <xdr:cNvPr id="2775" name="Grupo 1361"/>
        <xdr:cNvGrpSpPr/>
      </xdr:nvGrpSpPr>
      <xdr:grpSpPr>
        <a:xfrm>
          <a:off x="24305400" y="15069960"/>
          <a:ext cx="175320" cy="308160"/>
          <a:chOff x="24305400" y="15069960"/>
          <a:chExt cx="175320" cy="308160"/>
        </a:xfrm>
      </xdr:grpSpPr>
      <xdr:sp>
        <xdr:nvSpPr>
          <xdr:cNvPr id="2776" name="Oval 40"/>
          <xdr:cNvSpPr/>
        </xdr:nvSpPr>
        <xdr:spPr>
          <a:xfrm rot="10800000">
            <a:off x="24305400" y="15172200"/>
            <a:ext cx="175320" cy="205920"/>
          </a:xfrm>
          <a:prstGeom prst="ellipse">
            <a:avLst/>
          </a:prstGeom>
          <a:noFill/>
          <a:ln w="12700">
            <a:solidFill>
              <a:srgbClr val="000000"/>
            </a:solidFill>
            <a:round/>
          </a:ln>
        </xdr:spPr>
        <xdr:style>
          <a:lnRef idx="0"/>
          <a:fillRef idx="0"/>
          <a:effectRef idx="0"/>
          <a:fontRef idx="minor"/>
        </xdr:style>
      </xdr:sp>
      <xdr:sp>
        <xdr:nvSpPr>
          <xdr:cNvPr id="2777" name="Oval 41"/>
          <xdr:cNvSpPr/>
        </xdr:nvSpPr>
        <xdr:spPr>
          <a:xfrm rot="10800000">
            <a:off x="24305400" y="15069960"/>
            <a:ext cx="175320" cy="205920"/>
          </a:xfrm>
          <a:prstGeom prst="ellipse">
            <a:avLst/>
          </a:prstGeom>
          <a:noFill/>
          <a:ln w="12700">
            <a:solidFill>
              <a:srgbClr val="ff0000"/>
            </a:solidFill>
            <a:round/>
          </a:ln>
        </xdr:spPr>
        <xdr:style>
          <a:lnRef idx="0"/>
          <a:fillRef idx="0"/>
          <a:effectRef idx="0"/>
          <a:fontRef idx="minor"/>
        </xdr:style>
      </xdr:sp>
    </xdr:grpSp>
    <xdr:clientData/>
  </xdr:twoCellAnchor>
  <xdr:twoCellAnchor editAs="twoCell">
    <xdr:from>
      <xdr:col>28</xdr:col>
      <xdr:colOff>327960</xdr:colOff>
      <xdr:row>79</xdr:row>
      <xdr:rowOff>101160</xdr:rowOff>
    </xdr:from>
    <xdr:to>
      <xdr:col>28</xdr:col>
      <xdr:colOff>328320</xdr:colOff>
      <xdr:row>80</xdr:row>
      <xdr:rowOff>39600</xdr:rowOff>
    </xdr:to>
    <xdr:sp>
      <xdr:nvSpPr>
        <xdr:cNvPr id="2778" name="Line 100"/>
        <xdr:cNvSpPr/>
      </xdr:nvSpPr>
      <xdr:spPr>
        <a:xfrm>
          <a:off x="24388200" y="15379200"/>
          <a:ext cx="360" cy="128880"/>
        </a:xfrm>
        <a:prstGeom prst="line">
          <a:avLst/>
        </a:prstGeom>
        <a:ln w="15875">
          <a:solidFill>
            <a:srgbClr val="000000"/>
          </a:solidFill>
          <a:round/>
        </a:ln>
      </xdr:spPr>
      <xdr:style>
        <a:lnRef idx="0"/>
        <a:fillRef idx="0"/>
        <a:effectRef idx="0"/>
        <a:fontRef idx="minor"/>
      </xdr:style>
    </xdr:sp>
    <xdr:clientData/>
  </xdr:twoCellAnchor>
  <xdr:twoCellAnchor editAs="twoCell">
    <xdr:from>
      <xdr:col>28</xdr:col>
      <xdr:colOff>307440</xdr:colOff>
      <xdr:row>79</xdr:row>
      <xdr:rowOff>137520</xdr:rowOff>
    </xdr:from>
    <xdr:to>
      <xdr:col>28</xdr:col>
      <xdr:colOff>347400</xdr:colOff>
      <xdr:row>79</xdr:row>
      <xdr:rowOff>177120</xdr:rowOff>
    </xdr:to>
    <xdr:sp>
      <xdr:nvSpPr>
        <xdr:cNvPr id="2779" name="455 Rectángulo redondeado"/>
        <xdr:cNvSpPr/>
      </xdr:nvSpPr>
      <xdr:spPr>
        <a:xfrm>
          <a:off x="24367680" y="15415560"/>
          <a:ext cx="39960" cy="3960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28</xdr:col>
      <xdr:colOff>335160</xdr:colOff>
      <xdr:row>77</xdr:row>
      <xdr:rowOff>11520</xdr:rowOff>
    </xdr:from>
    <xdr:to>
      <xdr:col>28</xdr:col>
      <xdr:colOff>335160</xdr:colOff>
      <xdr:row>77</xdr:row>
      <xdr:rowOff>168120</xdr:rowOff>
    </xdr:to>
    <xdr:sp>
      <xdr:nvSpPr>
        <xdr:cNvPr id="2780" name="Line 206"/>
        <xdr:cNvSpPr/>
      </xdr:nvSpPr>
      <xdr:spPr>
        <a:xfrm>
          <a:off x="24395400" y="14908680"/>
          <a:ext cx="0" cy="156600"/>
        </a:xfrm>
        <a:prstGeom prst="line">
          <a:avLst/>
        </a:prstGeom>
        <a:ln w="12700">
          <a:solidFill>
            <a:srgbClr val="ff0000"/>
          </a:solidFill>
          <a:round/>
        </a:ln>
      </xdr:spPr>
      <xdr:style>
        <a:lnRef idx="0"/>
        <a:fillRef idx="0"/>
        <a:effectRef idx="0"/>
        <a:fontRef idx="minor"/>
      </xdr:style>
    </xdr:sp>
    <xdr:clientData/>
  </xdr:twoCellAnchor>
  <xdr:twoCellAnchor editAs="twoCell">
    <xdr:from>
      <xdr:col>28</xdr:col>
      <xdr:colOff>315720</xdr:colOff>
      <xdr:row>77</xdr:row>
      <xdr:rowOff>70560</xdr:rowOff>
    </xdr:from>
    <xdr:to>
      <xdr:col>28</xdr:col>
      <xdr:colOff>355680</xdr:colOff>
      <xdr:row>77</xdr:row>
      <xdr:rowOff>110160</xdr:rowOff>
    </xdr:to>
    <xdr:sp>
      <xdr:nvSpPr>
        <xdr:cNvPr id="2781" name="452 Rectángulo redondeado"/>
        <xdr:cNvSpPr/>
      </xdr:nvSpPr>
      <xdr:spPr>
        <a:xfrm>
          <a:off x="24375960" y="14967720"/>
          <a:ext cx="39960" cy="39600"/>
        </a:xfrm>
        <a:prstGeom prst="roundRect">
          <a:avLst>
            <a:gd name="adj" fmla="val 16667"/>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28</xdr:col>
      <xdr:colOff>508320</xdr:colOff>
      <xdr:row>79</xdr:row>
      <xdr:rowOff>176760</xdr:rowOff>
    </xdr:from>
    <xdr:to>
      <xdr:col>29</xdr:col>
      <xdr:colOff>204120</xdr:colOff>
      <xdr:row>80</xdr:row>
      <xdr:rowOff>100080</xdr:rowOff>
    </xdr:to>
    <xdr:sp>
      <xdr:nvSpPr>
        <xdr:cNvPr id="2782" name="Text Box 188"/>
        <xdr:cNvSpPr/>
      </xdr:nvSpPr>
      <xdr:spPr>
        <a:xfrm>
          <a:off x="24568560" y="15454800"/>
          <a:ext cx="533880" cy="11376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ea typeface="MS PGothic"/>
            </a:rPr>
            <a:t>Gaira 13,8 kV </a:t>
          </a:r>
          <a:endParaRPr b="0" lang="en-GB" sz="600" spc="-1" strike="noStrike">
            <a:latin typeface="Times New Roman"/>
          </a:endParaRPr>
        </a:p>
      </xdr:txBody>
    </xdr:sp>
    <xdr:clientData/>
  </xdr:twoCellAnchor>
  <xdr:twoCellAnchor editAs="twoCell">
    <xdr:from>
      <xdr:col>28</xdr:col>
      <xdr:colOff>117000</xdr:colOff>
      <xdr:row>80</xdr:row>
      <xdr:rowOff>46800</xdr:rowOff>
    </xdr:from>
    <xdr:to>
      <xdr:col>28</xdr:col>
      <xdr:colOff>561240</xdr:colOff>
      <xdr:row>80</xdr:row>
      <xdr:rowOff>46800</xdr:rowOff>
    </xdr:to>
    <xdr:sp>
      <xdr:nvSpPr>
        <xdr:cNvPr id="2783" name="Line 205"/>
        <xdr:cNvSpPr/>
      </xdr:nvSpPr>
      <xdr:spPr>
        <a:xfrm>
          <a:off x="24177240" y="15515280"/>
          <a:ext cx="444240" cy="0"/>
        </a:xfrm>
        <a:prstGeom prst="line">
          <a:avLst/>
        </a:prstGeom>
        <a:ln w="25400">
          <a:solidFill>
            <a:srgbClr val="000000"/>
          </a:solidFill>
          <a:round/>
        </a:ln>
      </xdr:spPr>
      <xdr:style>
        <a:lnRef idx="0"/>
        <a:fillRef idx="0"/>
        <a:effectRef idx="0"/>
        <a:fontRef idx="minor"/>
      </xdr:style>
    </xdr:sp>
    <xdr:clientData/>
  </xdr:twoCellAnchor>
  <xdr:twoCellAnchor editAs="twoCell">
    <xdr:from>
      <xdr:col>28</xdr:col>
      <xdr:colOff>340560</xdr:colOff>
      <xdr:row>77</xdr:row>
      <xdr:rowOff>152640</xdr:rowOff>
    </xdr:from>
    <xdr:to>
      <xdr:col>29</xdr:col>
      <xdr:colOff>366480</xdr:colOff>
      <xdr:row>79</xdr:row>
      <xdr:rowOff>6480</xdr:rowOff>
    </xdr:to>
    <xdr:sp>
      <xdr:nvSpPr>
        <xdr:cNvPr id="2784" name="Text Box 138"/>
        <xdr:cNvSpPr/>
      </xdr:nvSpPr>
      <xdr:spPr>
        <a:xfrm>
          <a:off x="24400800" y="15049800"/>
          <a:ext cx="864000" cy="234720"/>
        </a:xfrm>
        <a:prstGeom prst="rect">
          <a:avLst/>
        </a:prstGeom>
        <a:noFill/>
        <a:ln w="9525">
          <a:noFill/>
        </a:ln>
      </xdr:spPr>
      <xdr:style>
        <a:lnRef idx="0"/>
        <a:fillRef idx="0"/>
        <a:effectRef idx="0"/>
        <a:fontRef idx="minor"/>
      </xdr:style>
      <xdr:txBody>
        <a:bodyPr numCol="1" spcCol="0" anchor="t">
          <a:noAutofit/>
        </a:bodyPr>
        <a:p>
          <a:pPr algn="ctr">
            <a:lnSpc>
              <a:spcPct val="100000"/>
            </a:lnSpc>
            <a:tabLst>
              <a:tab algn="l" pos="0"/>
            </a:tabLst>
          </a:pPr>
          <a:r>
            <a:rPr b="0" lang="es-CO" sz="600" spc="-1" strike="noStrike">
              <a:solidFill>
                <a:srgbClr val="000000"/>
              </a:solidFill>
              <a:latin typeface="Arial"/>
              <a:ea typeface="MS PGothic"/>
            </a:rPr>
            <a:t>T-Móvil GAI prov</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30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ea typeface="MS PGothic"/>
            </a:rPr>
            <a:t>110/13,8kV</a:t>
          </a:r>
          <a:endParaRPr b="0" lang="en-GB" sz="600" spc="-1" strike="noStrike">
            <a:latin typeface="Times New Roman"/>
          </a:endParaRPr>
        </a:p>
      </xdr:txBody>
    </xdr:sp>
    <xdr:clientData/>
  </xdr:twoCellAnchor>
  <xdr:twoCellAnchor editAs="twoCell">
    <xdr:from>
      <xdr:col>28</xdr:col>
      <xdr:colOff>308160</xdr:colOff>
      <xdr:row>80</xdr:row>
      <xdr:rowOff>95400</xdr:rowOff>
    </xdr:from>
    <xdr:to>
      <xdr:col>28</xdr:col>
      <xdr:colOff>348840</xdr:colOff>
      <xdr:row>80</xdr:row>
      <xdr:rowOff>135360</xdr:rowOff>
    </xdr:to>
    <xdr:sp>
      <xdr:nvSpPr>
        <xdr:cNvPr id="2785" name="455 Rectángulo redondeado"/>
        <xdr:cNvSpPr/>
      </xdr:nvSpPr>
      <xdr:spPr>
        <a:xfrm rot="5400000">
          <a:off x="24368760" y="15563520"/>
          <a:ext cx="39960" cy="40680"/>
        </a:xfrm>
        <a:prstGeom prst="roundRect">
          <a:avLst>
            <a:gd name="adj" fmla="val 16667"/>
          </a:avLst>
        </a:prstGeom>
        <a:solidFill>
          <a:schemeClr val="tx1"/>
        </a:solidFill>
        <a:ln>
          <a:solidFill>
            <a:srgbClr val="000000"/>
          </a:solidFill>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28</xdr:col>
      <xdr:colOff>326520</xdr:colOff>
      <xdr:row>80</xdr:row>
      <xdr:rowOff>43920</xdr:rowOff>
    </xdr:from>
    <xdr:to>
      <xdr:col>28</xdr:col>
      <xdr:colOff>326520</xdr:colOff>
      <xdr:row>81</xdr:row>
      <xdr:rowOff>135720</xdr:rowOff>
    </xdr:to>
    <xdr:sp>
      <xdr:nvSpPr>
        <xdr:cNvPr id="2786" name="Line 280"/>
        <xdr:cNvSpPr/>
      </xdr:nvSpPr>
      <xdr:spPr>
        <a:xfrm>
          <a:off x="24386760" y="15512400"/>
          <a:ext cx="0" cy="282600"/>
        </a:xfrm>
        <a:prstGeom prst="line">
          <a:avLst/>
        </a:prstGeom>
        <a:ln w="15875">
          <a:solidFill>
            <a:srgbClr val="000000"/>
          </a:solidFill>
          <a:round/>
          <a:tailEnd len="med" type="triangle" w="med"/>
        </a:ln>
      </xdr:spPr>
      <xdr:style>
        <a:lnRef idx="0"/>
        <a:fillRef idx="0"/>
        <a:effectRef idx="0"/>
        <a:fontRef idx="minor"/>
      </xdr:style>
    </xdr:sp>
    <xdr:clientData/>
  </xdr:twoCellAnchor>
  <xdr:twoCellAnchor editAs="twoCell">
    <xdr:from>
      <xdr:col>14</xdr:col>
      <xdr:colOff>527400</xdr:colOff>
      <xdr:row>63</xdr:row>
      <xdr:rowOff>6480</xdr:rowOff>
    </xdr:from>
    <xdr:to>
      <xdr:col>14</xdr:col>
      <xdr:colOff>741240</xdr:colOff>
      <xdr:row>64</xdr:row>
      <xdr:rowOff>51480</xdr:rowOff>
    </xdr:to>
    <xdr:grpSp>
      <xdr:nvGrpSpPr>
        <xdr:cNvPr id="2787" name="Grupo 1373"/>
        <xdr:cNvGrpSpPr/>
      </xdr:nvGrpSpPr>
      <xdr:grpSpPr>
        <a:xfrm>
          <a:off x="12251520" y="12218760"/>
          <a:ext cx="235440" cy="213840"/>
          <a:chOff x="12251520" y="12218760"/>
          <a:chExt cx="235440" cy="213840"/>
        </a:xfrm>
      </xdr:grpSpPr>
      <xdr:sp>
        <xdr:nvSpPr>
          <xdr:cNvPr id="2788" name="Rectángulo 1374"/>
          <xdr:cNvSpPr/>
        </xdr:nvSpPr>
        <xdr:spPr>
          <a:xfrm rot="5400000">
            <a:off x="12261960" y="12207960"/>
            <a:ext cx="213840" cy="235080"/>
          </a:xfrm>
          <a:prstGeom prst="rect">
            <a:avLst/>
          </a:prstGeom>
          <a:solidFill>
            <a:srgbClr val="ffffff"/>
          </a:solidFill>
          <a:ln>
            <a:solidFill>
              <a:srgbClr val="ffffff"/>
            </a:solidFill>
          </a:ln>
        </xdr:spPr>
        <xdr:style>
          <a:lnRef idx="2">
            <a:schemeClr val="accent1">
              <a:shade val="15000"/>
            </a:schemeClr>
          </a:lnRef>
          <a:fillRef idx="1">
            <a:schemeClr val="accent1"/>
          </a:fillRef>
          <a:effectRef idx="0">
            <a:schemeClr val="accent1"/>
          </a:effectRef>
          <a:fontRef idx="minor"/>
        </xdr:style>
      </xdr:sp>
      <xdr:sp>
        <xdr:nvSpPr>
          <xdr:cNvPr id="2789" name="Oval 41"/>
          <xdr:cNvSpPr/>
        </xdr:nvSpPr>
        <xdr:spPr>
          <a:xfrm rot="16200000">
            <a:off x="12264480" y="12225240"/>
            <a:ext cx="145080" cy="150120"/>
          </a:xfrm>
          <a:prstGeom prst="ellipse">
            <a:avLst/>
          </a:prstGeom>
          <a:noFill/>
          <a:ln w="12700">
            <a:solidFill>
              <a:srgbClr val="ffc000"/>
            </a:solidFill>
            <a:round/>
          </a:ln>
        </xdr:spPr>
        <xdr:style>
          <a:lnRef idx="0"/>
          <a:fillRef idx="0"/>
          <a:effectRef idx="0"/>
          <a:fontRef idx="minor"/>
        </xdr:style>
      </xdr:sp>
      <xdr:sp>
        <xdr:nvSpPr>
          <xdr:cNvPr id="2790" name="Oval 41"/>
          <xdr:cNvSpPr/>
        </xdr:nvSpPr>
        <xdr:spPr>
          <a:xfrm rot="16200000">
            <a:off x="12339360" y="12225240"/>
            <a:ext cx="145080" cy="150120"/>
          </a:xfrm>
          <a:prstGeom prst="ellipse">
            <a:avLst/>
          </a:prstGeom>
          <a:noFill/>
          <a:ln w="12700">
            <a:solidFill>
              <a:srgbClr val="ffc000"/>
            </a:solidFill>
            <a:round/>
          </a:ln>
        </xdr:spPr>
        <xdr:style>
          <a:lnRef idx="0"/>
          <a:fillRef idx="0"/>
          <a:effectRef idx="0"/>
          <a:fontRef idx="minor"/>
        </xdr:style>
      </xdr:sp>
    </xdr:grpSp>
    <xdr:clientData/>
  </xdr:twoCellAnchor>
  <xdr:twoCellAnchor editAs="twoCell">
    <xdr:from>
      <xdr:col>14</xdr:col>
      <xdr:colOff>425160</xdr:colOff>
      <xdr:row>63</xdr:row>
      <xdr:rowOff>136080</xdr:rowOff>
    </xdr:from>
    <xdr:to>
      <xdr:col>15</xdr:col>
      <xdr:colOff>295920</xdr:colOff>
      <xdr:row>65</xdr:row>
      <xdr:rowOff>5040</xdr:rowOff>
    </xdr:to>
    <xdr:sp>
      <xdr:nvSpPr>
        <xdr:cNvPr id="2791" name="61 CuadroTexto"/>
        <xdr:cNvSpPr/>
      </xdr:nvSpPr>
      <xdr:spPr>
        <a:xfrm>
          <a:off x="12160080" y="12337560"/>
          <a:ext cx="708840" cy="249840"/>
        </a:xfrm>
        <a:prstGeom prst="rect">
          <a:avLst/>
        </a:prstGeom>
        <a:noFill/>
        <a:ln w="9525">
          <a:noFill/>
        </a:ln>
      </xdr:spPr>
      <xdr:style>
        <a:lnRef idx="0"/>
        <a:fillRef idx="0"/>
        <a:effectRef idx="0"/>
        <a:fontRef idx="minor"/>
      </xdr:style>
      <xdr:txBody>
        <a:bodyPr lIns="90000" rIns="90000" tIns="45000" bIns="45000" anchor="t">
          <a:noAutofit/>
        </a:bodyPr>
        <a:p>
          <a:pPr algn="ctr">
            <a:lnSpc>
              <a:spcPct val="100000"/>
            </a:lnSpc>
            <a:tabLst>
              <a:tab algn="l" pos="0"/>
            </a:tabLst>
          </a:pPr>
          <a:r>
            <a:rPr b="0" lang="es-CO" sz="600" spc="-1" strike="noStrike">
              <a:solidFill>
                <a:srgbClr val="000000"/>
              </a:solidFill>
              <a:latin typeface="Arial"/>
            </a:rPr>
            <a:t>8 MVA</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34,5/13,8 KV</a:t>
          </a:r>
          <a:endParaRPr b="0" lang="en-GB" sz="600" spc="-1" strike="noStrike">
            <a:latin typeface="Times New Roman"/>
          </a:endParaRPr>
        </a:p>
      </xdr:txBody>
    </xdr:sp>
    <xdr:clientData/>
  </xdr:twoCellAnchor>
  <xdr:twoCellAnchor editAs="twoCell">
    <xdr:from>
      <xdr:col>14</xdr:col>
      <xdr:colOff>151560</xdr:colOff>
      <xdr:row>62</xdr:row>
      <xdr:rowOff>43200</xdr:rowOff>
    </xdr:from>
    <xdr:to>
      <xdr:col>15</xdr:col>
      <xdr:colOff>249840</xdr:colOff>
      <xdr:row>62</xdr:row>
      <xdr:rowOff>164520</xdr:rowOff>
    </xdr:to>
    <xdr:sp>
      <xdr:nvSpPr>
        <xdr:cNvPr id="2792" name="Text Box 188"/>
        <xdr:cNvSpPr/>
      </xdr:nvSpPr>
      <xdr:spPr>
        <a:xfrm>
          <a:off x="11886480" y="12054240"/>
          <a:ext cx="93636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Regulador</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 </a:t>
          </a:r>
          <a:r>
            <a:rPr b="0" lang="es-CO" sz="600" spc="-1" strike="noStrike">
              <a:solidFill>
                <a:srgbClr val="000000"/>
              </a:solidFill>
              <a:latin typeface="Arial"/>
            </a:rPr>
            <a:t>LN-529</a:t>
          </a:r>
          <a:endParaRPr b="0" lang="en-GB" sz="600" spc="-1" strike="noStrike">
            <a:latin typeface="Times New Roman"/>
          </a:endParaRPr>
        </a:p>
      </xdr:txBody>
    </xdr:sp>
    <xdr:clientData/>
  </xdr:twoCellAnchor>
  <xdr:twoCellAnchor editAs="twoCell">
    <xdr:from>
      <xdr:col>4</xdr:col>
      <xdr:colOff>319320</xdr:colOff>
      <xdr:row>83</xdr:row>
      <xdr:rowOff>51480</xdr:rowOff>
    </xdr:from>
    <xdr:to>
      <xdr:col>4</xdr:col>
      <xdr:colOff>533160</xdr:colOff>
      <xdr:row>84</xdr:row>
      <xdr:rowOff>96480</xdr:rowOff>
    </xdr:to>
    <xdr:grpSp>
      <xdr:nvGrpSpPr>
        <xdr:cNvPr id="2793" name="Grupo 1379"/>
        <xdr:cNvGrpSpPr/>
      </xdr:nvGrpSpPr>
      <xdr:grpSpPr>
        <a:xfrm>
          <a:off x="3672000" y="16091640"/>
          <a:ext cx="213840" cy="235440"/>
          <a:chOff x="3672000" y="16091640"/>
          <a:chExt cx="213840" cy="235440"/>
        </a:xfrm>
      </xdr:grpSpPr>
      <xdr:sp>
        <xdr:nvSpPr>
          <xdr:cNvPr id="2794" name="Rectángulo 1380"/>
          <xdr:cNvSpPr/>
        </xdr:nvSpPr>
        <xdr:spPr>
          <a:xfrm>
            <a:off x="3672000" y="16092000"/>
            <a:ext cx="213840" cy="235080"/>
          </a:xfrm>
          <a:prstGeom prst="rect">
            <a:avLst/>
          </a:prstGeom>
          <a:solidFill>
            <a:srgbClr val="ffffff"/>
          </a:solidFill>
          <a:ln>
            <a:solidFill>
              <a:srgbClr val="ffffff"/>
            </a:solidFill>
          </a:ln>
        </xdr:spPr>
        <xdr:style>
          <a:lnRef idx="2">
            <a:schemeClr val="accent1">
              <a:shade val="15000"/>
            </a:schemeClr>
          </a:lnRef>
          <a:fillRef idx="1">
            <a:schemeClr val="accent1"/>
          </a:fillRef>
          <a:effectRef idx="0">
            <a:schemeClr val="accent1"/>
          </a:effectRef>
          <a:fontRef idx="minor"/>
        </xdr:style>
      </xdr:sp>
      <xdr:sp>
        <xdr:nvSpPr>
          <xdr:cNvPr id="2795" name="Oval 41"/>
          <xdr:cNvSpPr/>
        </xdr:nvSpPr>
        <xdr:spPr>
          <a:xfrm rot="10800000">
            <a:off x="3681000" y="16166520"/>
            <a:ext cx="145080" cy="150120"/>
          </a:xfrm>
          <a:prstGeom prst="ellipse">
            <a:avLst/>
          </a:prstGeom>
          <a:noFill/>
          <a:ln w="12700">
            <a:solidFill>
              <a:srgbClr val="ffc000"/>
            </a:solidFill>
            <a:round/>
          </a:ln>
        </xdr:spPr>
        <xdr:style>
          <a:lnRef idx="0"/>
          <a:fillRef idx="0"/>
          <a:effectRef idx="0"/>
          <a:fontRef idx="minor"/>
        </xdr:style>
      </xdr:sp>
      <xdr:sp>
        <xdr:nvSpPr>
          <xdr:cNvPr id="2796" name="Oval 41"/>
          <xdr:cNvSpPr/>
        </xdr:nvSpPr>
        <xdr:spPr>
          <a:xfrm rot="10800000">
            <a:off x="3681000" y="16091640"/>
            <a:ext cx="145080" cy="150120"/>
          </a:xfrm>
          <a:prstGeom prst="ellipse">
            <a:avLst/>
          </a:prstGeom>
          <a:noFill/>
          <a:ln w="12700">
            <a:solidFill>
              <a:srgbClr val="ffc000"/>
            </a:solidFill>
            <a:round/>
          </a:ln>
        </xdr:spPr>
        <xdr:style>
          <a:lnRef idx="0"/>
          <a:fillRef idx="0"/>
          <a:effectRef idx="0"/>
          <a:fontRef idx="minor"/>
        </xdr:style>
      </xdr:sp>
    </xdr:grpSp>
    <xdr:clientData/>
  </xdr:twoCellAnchor>
  <xdr:twoCellAnchor editAs="twoCell">
    <xdr:from>
      <xdr:col>4</xdr:col>
      <xdr:colOff>264960</xdr:colOff>
      <xdr:row>83</xdr:row>
      <xdr:rowOff>104400</xdr:rowOff>
    </xdr:from>
    <xdr:to>
      <xdr:col>5</xdr:col>
      <xdr:colOff>363240</xdr:colOff>
      <xdr:row>84</xdr:row>
      <xdr:rowOff>35280</xdr:rowOff>
    </xdr:to>
    <xdr:sp>
      <xdr:nvSpPr>
        <xdr:cNvPr id="2797" name="Text Box 188"/>
        <xdr:cNvSpPr/>
      </xdr:nvSpPr>
      <xdr:spPr>
        <a:xfrm>
          <a:off x="3617640" y="16144560"/>
          <a:ext cx="936720" cy="1213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600" spc="-1" strike="noStrike">
              <a:solidFill>
                <a:srgbClr val="000000"/>
              </a:solidFill>
              <a:latin typeface="Arial"/>
            </a:rPr>
            <a:t>Regulador</a:t>
          </a:r>
          <a:endParaRPr b="0" lang="en-GB" sz="600" spc="-1" strike="noStrike">
            <a:latin typeface="Times New Roman"/>
          </a:endParaRPr>
        </a:p>
        <a:p>
          <a:pPr algn="ctr">
            <a:lnSpc>
              <a:spcPct val="100000"/>
            </a:lnSpc>
            <a:tabLst>
              <a:tab algn="l" pos="0"/>
            </a:tabLst>
          </a:pPr>
          <a:r>
            <a:rPr b="0" lang="es-CO" sz="600" spc="-1" strike="noStrike">
              <a:solidFill>
                <a:srgbClr val="000000"/>
              </a:solidFill>
              <a:latin typeface="Arial"/>
            </a:rPr>
            <a:t> </a:t>
          </a:r>
          <a:r>
            <a:rPr b="0" lang="es-CO" sz="600" spc="-1" strike="noStrike">
              <a:solidFill>
                <a:srgbClr val="000000"/>
              </a:solidFill>
              <a:latin typeface="Arial"/>
            </a:rPr>
            <a:t>LN-564</a:t>
          </a:r>
          <a:endParaRPr b="0" lang="en-GB" sz="600" spc="-1" strike="noStrike">
            <a:latin typeface="Times New Roman"/>
          </a:endParaRPr>
        </a:p>
      </xdr:txBody>
    </xdr:sp>
    <xdr:clientData/>
  </xdr:twoCellAnchor>
  <xdr:twoCellAnchor editAs="twoCell">
    <xdr:from>
      <xdr:col>15</xdr:col>
      <xdr:colOff>228240</xdr:colOff>
      <xdr:row>84</xdr:row>
      <xdr:rowOff>55440</xdr:rowOff>
    </xdr:from>
    <xdr:to>
      <xdr:col>15</xdr:col>
      <xdr:colOff>732240</xdr:colOff>
      <xdr:row>84</xdr:row>
      <xdr:rowOff>160560</xdr:rowOff>
    </xdr:to>
    <xdr:sp>
      <xdr:nvSpPr>
        <xdr:cNvPr id="2798" name="Text Box 188"/>
        <xdr:cNvSpPr/>
      </xdr:nvSpPr>
      <xdr:spPr>
        <a:xfrm>
          <a:off x="12801240" y="16286040"/>
          <a:ext cx="504000" cy="105120"/>
        </a:xfrm>
        <a:prstGeom prst="rect">
          <a:avLst/>
        </a:prstGeom>
        <a:noFill/>
        <a:ln w="9525">
          <a:noFill/>
        </a:ln>
      </xdr:spPr>
      <xdr:style>
        <a:lnRef idx="0"/>
        <a:fillRef idx="0"/>
        <a:effectRef idx="0"/>
        <a:fontRef idx="minor"/>
      </xdr:style>
      <xdr:txBody>
        <a:bodyPr numCol="1" spcCol="0" anchor="ctr">
          <a:noAutofit/>
        </a:bodyPr>
        <a:p>
          <a:pPr algn="ctr">
            <a:lnSpc>
              <a:spcPct val="100000"/>
            </a:lnSpc>
            <a:tabLst>
              <a:tab algn="l" pos="0"/>
            </a:tabLst>
          </a:pPr>
          <a:r>
            <a:rPr b="0" lang="es-CO" sz="400" spc="-1" strike="noStrike">
              <a:solidFill>
                <a:srgbClr val="000000"/>
              </a:solidFill>
              <a:latin typeface="Arial"/>
            </a:rPr>
            <a:t>N.A.</a:t>
          </a:r>
          <a:endParaRPr b="0" lang="en-GB" sz="4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C:/Users/aacosta/Downloads/Circular_002_Anexo.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personal/juan_guzman_air-e_com/Documents/Escritorio/ANALISTA%20AT%20TERCEROS/Circular014-2022%20Anexo2%20Actualizaci&#243;n_Vf.xlsx"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Users/aacosta/Downloads/Circular_002_Anexo.xlsx" TargetMode="External"/>
</Relationships>
</file>

<file path=xl/externalLinks/_rels/externalLink4.xml.rels><?xml version="1.0" encoding="UTF-8"?>
<Relationships xmlns="http://schemas.openxmlformats.org/package/2006/relationships"><Relationship Id="rId1" Type="http://schemas.openxmlformats.org/officeDocument/2006/relationships/externalLinkPath" Target="../../../../personal/carlos_pernett_air-e_com/Documents/Documentos/CEPV/PLANIFICACION%20AT/Actualizaci&#243;n%20circular%20014/Circular014-2022%20Anexo2%20Actualizaci&#243;n%2012.2022%20(2).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Manual de Uso"/>
      <sheetName val="Generalidades"/>
      <sheetName val="Solicitudes"/>
      <sheetName val="Listas Desplegables"/>
    </sheetNames>
    <sheetDataSet>
      <sheetData sheetId="0"/>
      <sheetData sheetId="1"/>
      <sheetData sheetId="2"/>
      <sheetData sheetId="3">
        <row r="3">
          <cell r="H3" t="str">
            <v>GD</v>
          </cell>
          <cell r="I3">
            <v>0</v>
          </cell>
          <cell r="J3">
            <v>100</v>
          </cell>
        </row>
        <row r="4">
          <cell r="H4" t="str">
            <v>AGPE con excedentes</v>
          </cell>
          <cell r="I4">
            <v>0</v>
          </cell>
          <cell r="J4">
            <v>1000</v>
          </cell>
        </row>
        <row r="5">
          <cell r="H5" t="str">
            <v>AGPE sin excedentes</v>
          </cell>
          <cell r="I5">
            <v>0</v>
          </cell>
          <cell r="J5">
            <v>1000</v>
          </cell>
        </row>
        <row r="6">
          <cell r="H6" t="str">
            <v>AGGE con excedentes</v>
          </cell>
          <cell r="I6">
            <v>1000.00001</v>
          </cell>
          <cell r="J6">
            <v>1E+040</v>
          </cell>
        </row>
        <row r="7">
          <cell r="H7" t="str">
            <v>AGGE sin excedentes</v>
          </cell>
          <cell r="I7">
            <v>1000.00001</v>
          </cell>
          <cell r="J7">
            <v>1E+040</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anual de Uso"/>
      <sheetName val="Unifilares Atlantico"/>
      <sheetName val="Unifiliares Magdalena y Guajira"/>
      <sheetName val="1. Líneas"/>
      <sheetName val="2. Tr3"/>
      <sheetName val="3. Tr2"/>
      <sheetName val="4. Subestaciones"/>
      <sheetName val="5. Demanda"/>
      <sheetName val="6. Compensacion"/>
      <sheetName val="7. Compensacion dinamica"/>
      <sheetName val="8. DFACTS"/>
      <sheetName val="9. Formato espacio físico"/>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anual de Uso"/>
      <sheetName val="Generalidades"/>
      <sheetName val="Solicitudes"/>
      <sheetName val="Listas Desplegables"/>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Manual de Uso"/>
      <sheetName val="Unifiliares Magdalena y Guajira"/>
      <sheetName val="Unifilares Atlantico"/>
      <sheetName val="1. Líneas"/>
      <sheetName val="2. Tr3"/>
      <sheetName val="3. Tr2"/>
      <sheetName val="4. Subestaciones"/>
      <sheetName val="5. Demanda"/>
      <sheetName val="6. Compensacion"/>
      <sheetName val="7. Compensacion dinamica"/>
      <sheetName val="8. DFACTS"/>
      <sheetName val="9. Formato espacio físico"/>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173"/>
  <sheetViews>
    <sheetView showFormulas="false" showGridLines="false" showRowColHeaders="true" showZeros="true" rightToLeft="false" tabSelected="false" showOutlineSymbols="true" defaultGridColor="true" view="normal" topLeftCell="A37" colorId="64" zoomScale="70" zoomScaleNormal="70" zoomScalePageLayoutView="100" workbookViewId="0">
      <selection pane="topLeft" activeCell="G30" activeCellId="0" sqref="G30"/>
    </sheetView>
  </sheetViews>
  <sheetFormatPr defaultColWidth="9.14453125" defaultRowHeight="15" zeroHeight="false" outlineLevelRow="0" outlineLevelCol="0"/>
  <cols>
    <col collapsed="false" customWidth="true" hidden="false" outlineLevel="0" max="1" min="1" style="0" width="3.72"/>
    <col collapsed="false" customWidth="true" hidden="false" outlineLevel="0" max="2" min="2" style="0" width="43.72"/>
    <col collapsed="false" customWidth="true" hidden="false" outlineLevel="0" max="3" min="3" style="1" width="48.14"/>
    <col collapsed="false" customWidth="true" hidden="false" outlineLevel="0" max="4" min="4" style="2" width="80.29"/>
  </cols>
  <sheetData>
    <row r="1" customFormat="false" ht="15.75" hidden="false" customHeight="false" outlineLevel="0" collapsed="false"/>
    <row r="2" customFormat="false" ht="15" hidden="false" customHeight="true" outlineLevel="0" collapsed="false">
      <c r="B2" s="3" t="s">
        <v>0</v>
      </c>
      <c r="C2" s="3"/>
      <c r="D2" s="3"/>
    </row>
    <row r="3" customFormat="false" ht="15" hidden="false" customHeight="true" outlineLevel="0" collapsed="false">
      <c r="B3" s="3"/>
      <c r="C3" s="3"/>
      <c r="D3" s="3"/>
    </row>
    <row r="4" customFormat="false" ht="15" hidden="false" customHeight="true" outlineLevel="0" collapsed="false">
      <c r="B4" s="3"/>
      <c r="C4" s="3"/>
      <c r="D4" s="3"/>
    </row>
    <row r="5" customFormat="false" ht="15.75" hidden="false" customHeight="true" outlineLevel="0" collapsed="false">
      <c r="B5" s="3"/>
      <c r="C5" s="3"/>
      <c r="D5" s="3"/>
    </row>
    <row r="6" customFormat="false" ht="15.75" hidden="false" customHeight="true" outlineLevel="0" collapsed="false">
      <c r="B6" s="4"/>
      <c r="C6" s="4"/>
      <c r="D6" s="5"/>
    </row>
    <row r="7" customFormat="false" ht="15.75" hidden="false" customHeight="true" outlineLevel="0" collapsed="false">
      <c r="B7" s="6" t="s">
        <v>1</v>
      </c>
      <c r="C7" s="6"/>
      <c r="D7" s="6"/>
    </row>
    <row r="8" customFormat="false" ht="15.75" hidden="false" customHeight="true" outlineLevel="0" collapsed="false">
      <c r="B8" s="7" t="s">
        <v>2</v>
      </c>
      <c r="C8" s="7"/>
      <c r="D8" s="7"/>
    </row>
    <row r="9" customFormat="false" ht="15.75" hidden="false" customHeight="true" outlineLevel="0" collapsed="false">
      <c r="B9" s="7"/>
      <c r="C9" s="7"/>
      <c r="D9" s="7"/>
    </row>
    <row r="10" customFormat="false" ht="15.75" hidden="false" customHeight="true" outlineLevel="0" collapsed="false">
      <c r="B10" s="7"/>
      <c r="C10" s="7"/>
      <c r="D10" s="7"/>
    </row>
    <row r="11" customFormat="false" ht="15.75" hidden="false" customHeight="true" outlineLevel="0" collapsed="false">
      <c r="B11" s="7"/>
      <c r="C11" s="7"/>
      <c r="D11" s="7"/>
    </row>
    <row r="12" customFormat="false" ht="15.75" hidden="false" customHeight="true" outlineLevel="0" collapsed="false">
      <c r="B12" s="7"/>
      <c r="C12" s="7"/>
      <c r="D12" s="7"/>
    </row>
    <row r="13" customFormat="false" ht="15.75" hidden="false" customHeight="true" outlineLevel="0" collapsed="false">
      <c r="B13" s="8"/>
      <c r="C13" s="8"/>
      <c r="D13" s="8"/>
    </row>
    <row r="14" customFormat="false" ht="15.75" hidden="false" customHeight="true" outlineLevel="0" collapsed="false">
      <c r="B14" s="6" t="s">
        <v>3</v>
      </c>
      <c r="C14" s="6"/>
      <c r="D14" s="6"/>
    </row>
    <row r="15" customFormat="false" ht="15.75" hidden="false" customHeight="true" outlineLevel="0" collapsed="false">
      <c r="B15" s="7" t="s">
        <v>4</v>
      </c>
      <c r="C15" s="7"/>
      <c r="D15" s="7"/>
    </row>
    <row r="16" customFormat="false" ht="15.75" hidden="false" customHeight="true" outlineLevel="0" collapsed="false">
      <c r="B16" s="7"/>
      <c r="C16" s="7"/>
      <c r="D16" s="7"/>
    </row>
    <row r="17" customFormat="false" ht="15.75" hidden="false" customHeight="true" outlineLevel="0" collapsed="false">
      <c r="B17" s="7"/>
      <c r="C17" s="7"/>
      <c r="D17" s="7"/>
    </row>
    <row r="18" customFormat="false" ht="15.75" hidden="false" customHeight="true" outlineLevel="0" collapsed="false">
      <c r="B18" s="7"/>
      <c r="C18" s="7"/>
      <c r="D18" s="7"/>
    </row>
    <row r="19" customFormat="false" ht="15.75" hidden="false" customHeight="true" outlineLevel="0" collapsed="false">
      <c r="B19" s="7"/>
      <c r="C19" s="7"/>
      <c r="D19" s="7"/>
    </row>
    <row r="20" customFormat="false" ht="15.75" hidden="false" customHeight="true" outlineLevel="0" collapsed="false">
      <c r="B20" s="7"/>
      <c r="C20" s="7"/>
      <c r="D20" s="7"/>
    </row>
    <row r="21" customFormat="false" ht="15.75" hidden="false" customHeight="true" outlineLevel="0" collapsed="false">
      <c r="B21" s="7"/>
      <c r="C21" s="7"/>
      <c r="D21" s="7"/>
    </row>
    <row r="22" customFormat="false" ht="15.75" hidden="false" customHeight="true" outlineLevel="0" collapsed="false">
      <c r="B22" s="7"/>
      <c r="C22" s="7"/>
      <c r="D22" s="7"/>
    </row>
    <row r="23" customFormat="false" ht="15.75" hidden="false" customHeight="true" outlineLevel="0" collapsed="false">
      <c r="B23" s="7"/>
      <c r="C23" s="7"/>
      <c r="D23" s="7"/>
    </row>
    <row r="24" customFormat="false" ht="15.75" hidden="false" customHeight="true" outlineLevel="0" collapsed="false">
      <c r="B24" s="7"/>
      <c r="C24" s="7"/>
      <c r="D24" s="7"/>
    </row>
    <row r="25" customFormat="false" ht="15.75" hidden="false" customHeight="true" outlineLevel="0" collapsed="false"/>
    <row r="26" customFormat="false" ht="15.75" hidden="false" customHeight="true" outlineLevel="0" collapsed="false">
      <c r="B26" s="6" t="s">
        <v>5</v>
      </c>
      <c r="C26" s="6"/>
      <c r="D26" s="6"/>
    </row>
    <row r="27" customFormat="false" ht="15.75" hidden="false" customHeight="true" outlineLevel="0" collapsed="false">
      <c r="B27" s="7" t="s">
        <v>6</v>
      </c>
      <c r="C27" s="7"/>
      <c r="D27" s="7"/>
    </row>
    <row r="28" customFormat="false" ht="15.75" hidden="false" customHeight="true" outlineLevel="0" collapsed="false">
      <c r="B28" s="7"/>
      <c r="C28" s="7"/>
      <c r="D28" s="7"/>
    </row>
    <row r="29" customFormat="false" ht="15.75" hidden="false" customHeight="true" outlineLevel="0" collapsed="false">
      <c r="B29" s="9" t="s">
        <v>7</v>
      </c>
      <c r="C29" s="10" t="s">
        <v>8</v>
      </c>
      <c r="D29" s="11" t="s">
        <v>9</v>
      </c>
    </row>
    <row r="30" customFormat="false" ht="15" hidden="false" customHeight="true" outlineLevel="0" collapsed="false">
      <c r="B30" s="9"/>
      <c r="C30" s="12" t="s">
        <v>10</v>
      </c>
      <c r="D30" s="13" t="s">
        <v>11</v>
      </c>
    </row>
    <row r="31" customFormat="false" ht="15" hidden="false" customHeight="false" outlineLevel="0" collapsed="false">
      <c r="B31" s="9"/>
      <c r="C31" s="12" t="s">
        <v>12</v>
      </c>
      <c r="D31" s="13" t="s">
        <v>13</v>
      </c>
    </row>
    <row r="32" customFormat="false" ht="15" hidden="false" customHeight="false" outlineLevel="0" collapsed="false">
      <c r="B32" s="9"/>
      <c r="C32" s="12" t="s">
        <v>14</v>
      </c>
      <c r="D32" s="13" t="s">
        <v>15</v>
      </c>
    </row>
    <row r="33" customFormat="false" ht="15" hidden="false" customHeight="false" outlineLevel="0" collapsed="false">
      <c r="B33" s="9"/>
      <c r="C33" s="12" t="s">
        <v>16</v>
      </c>
      <c r="D33" s="13" t="s">
        <v>17</v>
      </c>
    </row>
    <row r="34" customFormat="false" ht="30" hidden="false" customHeight="false" outlineLevel="0" collapsed="false">
      <c r="B34" s="9"/>
      <c r="C34" s="12" t="s">
        <v>18</v>
      </c>
      <c r="D34" s="13" t="s">
        <v>19</v>
      </c>
    </row>
    <row r="35" customFormat="false" ht="30" hidden="false" customHeight="false" outlineLevel="0" collapsed="false">
      <c r="B35" s="9"/>
      <c r="C35" s="12" t="s">
        <v>20</v>
      </c>
      <c r="D35" s="13" t="s">
        <v>21</v>
      </c>
    </row>
    <row r="36" customFormat="false" ht="30" hidden="false" customHeight="false" outlineLevel="0" collapsed="false">
      <c r="B36" s="9"/>
      <c r="C36" s="12" t="s">
        <v>22</v>
      </c>
      <c r="D36" s="13" t="s">
        <v>23</v>
      </c>
    </row>
    <row r="37" customFormat="false" ht="60" hidden="false" customHeight="false" outlineLevel="0" collapsed="false">
      <c r="B37" s="9"/>
      <c r="C37" s="14" t="s">
        <v>24</v>
      </c>
      <c r="D37" s="15" t="s">
        <v>25</v>
      </c>
    </row>
    <row r="38" customFormat="false" ht="15" hidden="false" customHeight="false" outlineLevel="0" collapsed="false">
      <c r="B38" s="9"/>
      <c r="C38" s="12" t="s">
        <v>26</v>
      </c>
      <c r="D38" s="13" t="s">
        <v>27</v>
      </c>
    </row>
    <row r="39" customFormat="false" ht="15" hidden="false" customHeight="false" outlineLevel="0" collapsed="false">
      <c r="B39" s="9"/>
      <c r="C39" s="12" t="s">
        <v>28</v>
      </c>
      <c r="D39" s="13" t="s">
        <v>29</v>
      </c>
    </row>
    <row r="40" customFormat="false" ht="30" hidden="false" customHeight="false" outlineLevel="0" collapsed="false">
      <c r="B40" s="9"/>
      <c r="C40" s="12" t="s">
        <v>30</v>
      </c>
      <c r="D40" s="13" t="s">
        <v>31</v>
      </c>
    </row>
    <row r="41" customFormat="false" ht="15" hidden="false" customHeight="false" outlineLevel="0" collapsed="false">
      <c r="B41" s="9"/>
      <c r="C41" s="12" t="s">
        <v>32</v>
      </c>
      <c r="D41" s="13" t="s">
        <v>33</v>
      </c>
    </row>
    <row r="42" customFormat="false" ht="15" hidden="false" customHeight="false" outlineLevel="0" collapsed="false">
      <c r="B42" s="9"/>
      <c r="C42" s="12" t="s">
        <v>34</v>
      </c>
      <c r="D42" s="13" t="s">
        <v>35</v>
      </c>
    </row>
    <row r="43" customFormat="false" ht="15" hidden="false" customHeight="false" outlineLevel="0" collapsed="false">
      <c r="B43" s="9"/>
      <c r="C43" s="12" t="s">
        <v>36</v>
      </c>
      <c r="D43" s="13" t="s">
        <v>37</v>
      </c>
    </row>
    <row r="44" customFormat="false" ht="30" hidden="false" customHeight="false" outlineLevel="0" collapsed="false">
      <c r="B44" s="9"/>
      <c r="C44" s="12" t="s">
        <v>38</v>
      </c>
      <c r="D44" s="13" t="s">
        <v>39</v>
      </c>
    </row>
    <row r="45" customFormat="false" ht="15" hidden="false" customHeight="false" outlineLevel="0" collapsed="false">
      <c r="B45" s="9"/>
      <c r="C45" s="12" t="s">
        <v>40</v>
      </c>
      <c r="D45" s="13" t="s">
        <v>41</v>
      </c>
    </row>
    <row r="46" customFormat="false" ht="45" hidden="false" customHeight="false" outlineLevel="0" collapsed="false">
      <c r="B46" s="9"/>
      <c r="C46" s="12" t="s">
        <v>42</v>
      </c>
      <c r="D46" s="13" t="s">
        <v>43</v>
      </c>
      <c r="I46" s="0" t="s">
        <v>44</v>
      </c>
    </row>
    <row r="47" customFormat="false" ht="30" hidden="false" customHeight="false" outlineLevel="0" collapsed="false">
      <c r="B47" s="9"/>
      <c r="C47" s="12" t="s">
        <v>45</v>
      </c>
      <c r="D47" s="13" t="s">
        <v>46</v>
      </c>
      <c r="I47" s="0" t="s">
        <v>47</v>
      </c>
    </row>
    <row r="48" customFormat="false" ht="30" hidden="false" customHeight="false" outlineLevel="0" collapsed="false">
      <c r="B48" s="9"/>
      <c r="C48" s="12" t="s">
        <v>48</v>
      </c>
      <c r="D48" s="13" t="s">
        <v>49</v>
      </c>
      <c r="I48" s="0" t="s">
        <v>50</v>
      </c>
    </row>
    <row r="49" customFormat="false" ht="15" hidden="false" customHeight="false" outlineLevel="0" collapsed="false">
      <c r="B49" s="9"/>
      <c r="C49" s="12" t="s">
        <v>51</v>
      </c>
      <c r="D49" s="13" t="s">
        <v>52</v>
      </c>
      <c r="I49" s="0" t="s">
        <v>53</v>
      </c>
    </row>
    <row r="50" customFormat="false" ht="15" hidden="false" customHeight="false" outlineLevel="0" collapsed="false">
      <c r="B50" s="9"/>
      <c r="C50" s="12" t="s">
        <v>54</v>
      </c>
      <c r="D50" s="13" t="s">
        <v>55</v>
      </c>
    </row>
    <row r="51" customFormat="false" ht="15" hidden="false" customHeight="false" outlineLevel="0" collapsed="false">
      <c r="B51" s="9"/>
      <c r="C51" s="12" t="s">
        <v>56</v>
      </c>
      <c r="D51" s="13" t="s">
        <v>57</v>
      </c>
    </row>
    <row r="52" customFormat="false" ht="15" hidden="false" customHeight="false" outlineLevel="0" collapsed="false">
      <c r="B52" s="9"/>
      <c r="C52" s="16" t="s">
        <v>58</v>
      </c>
      <c r="D52" s="15" t="s">
        <v>59</v>
      </c>
    </row>
    <row r="53" customFormat="false" ht="270" hidden="false" customHeight="false" outlineLevel="0" collapsed="false">
      <c r="B53" s="9"/>
      <c r="C53" s="16" t="s">
        <v>60</v>
      </c>
      <c r="D53" s="17" t="s">
        <v>61</v>
      </c>
    </row>
    <row r="54" customFormat="false" ht="75.75" hidden="false" customHeight="false" outlineLevel="0" collapsed="false">
      <c r="B54" s="9"/>
      <c r="C54" s="12" t="s">
        <v>62</v>
      </c>
      <c r="D54" s="13" t="s">
        <v>63</v>
      </c>
    </row>
    <row r="55" customFormat="false" ht="30" hidden="false" customHeight="true" outlineLevel="0" collapsed="false">
      <c r="B55" s="18" t="s">
        <v>64</v>
      </c>
      <c r="C55" s="19" t="s">
        <v>8</v>
      </c>
      <c r="D55" s="20" t="s">
        <v>65</v>
      </c>
    </row>
    <row r="56" customFormat="false" ht="15" hidden="false" customHeight="false" outlineLevel="0" collapsed="false">
      <c r="B56" s="18"/>
      <c r="C56" s="21" t="s">
        <v>66</v>
      </c>
      <c r="D56" s="22" t="s">
        <v>67</v>
      </c>
    </row>
    <row r="57" customFormat="false" ht="30" hidden="false" customHeight="false" outlineLevel="0" collapsed="false">
      <c r="B57" s="18"/>
      <c r="C57" s="21" t="s">
        <v>68</v>
      </c>
      <c r="D57" s="22" t="s">
        <v>69</v>
      </c>
    </row>
    <row r="58" customFormat="false" ht="30" hidden="false" customHeight="false" outlineLevel="0" collapsed="false">
      <c r="B58" s="18"/>
      <c r="C58" s="21" t="s">
        <v>70</v>
      </c>
      <c r="D58" s="22" t="s">
        <v>71</v>
      </c>
    </row>
    <row r="59" customFormat="false" ht="30" hidden="false" customHeight="false" outlineLevel="0" collapsed="false">
      <c r="B59" s="18"/>
      <c r="C59" s="21" t="s">
        <v>72</v>
      </c>
      <c r="D59" s="22" t="s">
        <v>73</v>
      </c>
    </row>
    <row r="60" customFormat="false" ht="15" hidden="false" customHeight="false" outlineLevel="0" collapsed="false">
      <c r="B60" s="18"/>
      <c r="C60" s="21" t="s">
        <v>74</v>
      </c>
      <c r="D60" s="22" t="s">
        <v>75</v>
      </c>
    </row>
    <row r="61" customFormat="false" ht="15" hidden="false" customHeight="false" outlineLevel="0" collapsed="false">
      <c r="B61" s="18"/>
      <c r="C61" s="21" t="s">
        <v>76</v>
      </c>
      <c r="D61" s="22" t="s">
        <v>77</v>
      </c>
    </row>
    <row r="62" customFormat="false" ht="15" hidden="false" customHeight="false" outlineLevel="0" collapsed="false">
      <c r="B62" s="18"/>
      <c r="C62" s="21" t="s">
        <v>78</v>
      </c>
      <c r="D62" s="22" t="s">
        <v>79</v>
      </c>
    </row>
    <row r="63" customFormat="false" ht="45" hidden="false" customHeight="false" outlineLevel="0" collapsed="false">
      <c r="B63" s="18"/>
      <c r="C63" s="21" t="s">
        <v>80</v>
      </c>
      <c r="D63" s="22" t="s">
        <v>81</v>
      </c>
    </row>
    <row r="64" customFormat="false" ht="30" hidden="false" customHeight="false" outlineLevel="0" collapsed="false">
      <c r="B64" s="18"/>
      <c r="C64" s="21" t="s">
        <v>82</v>
      </c>
      <c r="D64" s="22" t="s">
        <v>83</v>
      </c>
    </row>
    <row r="65" customFormat="false" ht="30" hidden="false" customHeight="false" outlineLevel="0" collapsed="false">
      <c r="B65" s="18"/>
      <c r="C65" s="21" t="s">
        <v>84</v>
      </c>
      <c r="D65" s="22" t="s">
        <v>85</v>
      </c>
    </row>
    <row r="66" customFormat="false" ht="30" hidden="false" customHeight="false" outlineLevel="0" collapsed="false">
      <c r="B66" s="18"/>
      <c r="C66" s="21" t="s">
        <v>86</v>
      </c>
      <c r="D66" s="22" t="s">
        <v>87</v>
      </c>
    </row>
    <row r="67" customFormat="false" ht="30" hidden="false" customHeight="false" outlineLevel="0" collapsed="false">
      <c r="B67" s="18"/>
      <c r="C67" s="21" t="s">
        <v>88</v>
      </c>
      <c r="D67" s="22" t="s">
        <v>89</v>
      </c>
    </row>
    <row r="68" customFormat="false" ht="30" hidden="false" customHeight="false" outlineLevel="0" collapsed="false">
      <c r="B68" s="18"/>
      <c r="C68" s="21" t="s">
        <v>90</v>
      </c>
      <c r="D68" s="22" t="s">
        <v>91</v>
      </c>
    </row>
    <row r="69" customFormat="false" ht="30" hidden="false" customHeight="false" outlineLevel="0" collapsed="false">
      <c r="B69" s="18"/>
      <c r="C69" s="21" t="s">
        <v>92</v>
      </c>
      <c r="D69" s="22" t="s">
        <v>93</v>
      </c>
    </row>
    <row r="70" customFormat="false" ht="30" hidden="false" customHeight="false" outlineLevel="0" collapsed="false">
      <c r="B70" s="18"/>
      <c r="C70" s="21" t="s">
        <v>94</v>
      </c>
      <c r="D70" s="22" t="s">
        <v>95</v>
      </c>
    </row>
    <row r="71" customFormat="false" ht="15" hidden="false" customHeight="false" outlineLevel="0" collapsed="false">
      <c r="B71" s="18"/>
      <c r="C71" s="21" t="s">
        <v>96</v>
      </c>
      <c r="D71" s="22" t="s">
        <v>97</v>
      </c>
    </row>
    <row r="72" customFormat="false" ht="15" hidden="false" customHeight="false" outlineLevel="0" collapsed="false">
      <c r="B72" s="18"/>
      <c r="C72" s="21" t="s">
        <v>98</v>
      </c>
      <c r="D72" s="22" t="s">
        <v>99</v>
      </c>
    </row>
    <row r="73" customFormat="false" ht="30" hidden="false" customHeight="false" outlineLevel="0" collapsed="false">
      <c r="B73" s="18"/>
      <c r="C73" s="23" t="s">
        <v>100</v>
      </c>
      <c r="D73" s="24" t="s">
        <v>101</v>
      </c>
    </row>
    <row r="74" customFormat="false" ht="45" hidden="false" customHeight="false" outlineLevel="0" collapsed="false">
      <c r="B74" s="18"/>
      <c r="C74" s="23" t="s">
        <v>102</v>
      </c>
      <c r="D74" s="24" t="s">
        <v>103</v>
      </c>
    </row>
    <row r="75" customFormat="false" ht="45" hidden="false" customHeight="false" outlineLevel="0" collapsed="false">
      <c r="B75" s="18"/>
      <c r="C75" s="12" t="s">
        <v>42</v>
      </c>
      <c r="D75" s="13" t="s">
        <v>43</v>
      </c>
    </row>
    <row r="76" customFormat="false" ht="30" hidden="false" customHeight="false" outlineLevel="0" collapsed="false">
      <c r="B76" s="18"/>
      <c r="C76" s="12" t="s">
        <v>45</v>
      </c>
      <c r="D76" s="13" t="s">
        <v>46</v>
      </c>
    </row>
    <row r="77" customFormat="false" ht="30" hidden="false" customHeight="false" outlineLevel="0" collapsed="false">
      <c r="B77" s="18"/>
      <c r="C77" s="12" t="s">
        <v>38</v>
      </c>
      <c r="D77" s="13" t="s">
        <v>104</v>
      </c>
    </row>
    <row r="78" customFormat="false" ht="30" hidden="false" customHeight="false" outlineLevel="0" collapsed="false">
      <c r="B78" s="18"/>
      <c r="C78" s="25" t="s">
        <v>105</v>
      </c>
      <c r="D78" s="26" t="s">
        <v>106</v>
      </c>
    </row>
    <row r="79" customFormat="false" ht="30" hidden="false" customHeight="false" outlineLevel="0" collapsed="false">
      <c r="B79" s="18"/>
      <c r="C79" s="25" t="s">
        <v>107</v>
      </c>
      <c r="D79" s="26" t="s">
        <v>108</v>
      </c>
    </row>
    <row r="80" customFormat="false" ht="30" hidden="false" customHeight="false" outlineLevel="0" collapsed="false">
      <c r="B80" s="18"/>
      <c r="C80" s="25" t="s">
        <v>109</v>
      </c>
      <c r="D80" s="26" t="s">
        <v>110</v>
      </c>
    </row>
    <row r="81" customFormat="false" ht="15" hidden="false" customHeight="false" outlineLevel="0" collapsed="false">
      <c r="B81" s="18"/>
      <c r="C81" s="12" t="s">
        <v>51</v>
      </c>
      <c r="D81" s="13" t="s">
        <v>52</v>
      </c>
    </row>
    <row r="82" customFormat="false" ht="15" hidden="false" customHeight="false" outlineLevel="0" collapsed="false">
      <c r="B82" s="18"/>
      <c r="C82" s="12" t="s">
        <v>54</v>
      </c>
      <c r="D82" s="13" t="s">
        <v>55</v>
      </c>
    </row>
    <row r="83" customFormat="false" ht="15" hidden="false" customHeight="false" outlineLevel="0" collapsed="false">
      <c r="B83" s="18"/>
      <c r="C83" s="12" t="s">
        <v>56</v>
      </c>
      <c r="D83" s="13" t="s">
        <v>57</v>
      </c>
    </row>
    <row r="84" customFormat="false" ht="15" hidden="false" customHeight="false" outlineLevel="0" collapsed="false">
      <c r="B84" s="18"/>
      <c r="C84" s="16" t="s">
        <v>58</v>
      </c>
      <c r="D84" s="15" t="s">
        <v>59</v>
      </c>
    </row>
    <row r="85" customFormat="false" ht="270" hidden="false" customHeight="false" outlineLevel="0" collapsed="false">
      <c r="B85" s="18"/>
      <c r="C85" s="16" t="s">
        <v>60</v>
      </c>
      <c r="D85" s="17" t="s">
        <v>61</v>
      </c>
    </row>
    <row r="86" customFormat="false" ht="45.75" hidden="false" customHeight="false" outlineLevel="0" collapsed="false">
      <c r="B86" s="18"/>
      <c r="C86" s="12" t="s">
        <v>62</v>
      </c>
      <c r="D86" s="13" t="s">
        <v>111</v>
      </c>
    </row>
    <row r="87" customFormat="false" ht="30" hidden="false" customHeight="true" outlineLevel="0" collapsed="false">
      <c r="B87" s="18" t="s">
        <v>112</v>
      </c>
      <c r="C87" s="19" t="s">
        <v>8</v>
      </c>
      <c r="D87" s="20" t="s">
        <v>65</v>
      </c>
    </row>
    <row r="88" customFormat="false" ht="15" hidden="false" customHeight="false" outlineLevel="0" collapsed="false">
      <c r="B88" s="18"/>
      <c r="C88" s="21" t="s">
        <v>66</v>
      </c>
      <c r="D88" s="22" t="s">
        <v>67</v>
      </c>
    </row>
    <row r="89" customFormat="false" ht="30" hidden="false" customHeight="false" outlineLevel="0" collapsed="false">
      <c r="B89" s="18"/>
      <c r="C89" s="21" t="s">
        <v>68</v>
      </c>
      <c r="D89" s="22" t="s">
        <v>69</v>
      </c>
    </row>
    <row r="90" customFormat="false" ht="30" hidden="false" customHeight="false" outlineLevel="0" collapsed="false">
      <c r="B90" s="18"/>
      <c r="C90" s="21" t="s">
        <v>72</v>
      </c>
      <c r="D90" s="22" t="s">
        <v>73</v>
      </c>
    </row>
    <row r="91" customFormat="false" ht="15" hidden="false" customHeight="false" outlineLevel="0" collapsed="false">
      <c r="B91" s="18"/>
      <c r="C91" s="27" t="s">
        <v>113</v>
      </c>
      <c r="D91" s="22" t="s">
        <v>114</v>
      </c>
    </row>
    <row r="92" customFormat="false" ht="45" hidden="false" customHeight="false" outlineLevel="0" collapsed="false">
      <c r="B92" s="18"/>
      <c r="C92" s="27" t="s">
        <v>80</v>
      </c>
      <c r="D92" s="22" t="s">
        <v>115</v>
      </c>
    </row>
    <row r="93" customFormat="false" ht="30" hidden="false" customHeight="false" outlineLevel="0" collapsed="false">
      <c r="B93" s="18"/>
      <c r="C93" s="27" t="s">
        <v>116</v>
      </c>
      <c r="D93" s="22" t="s">
        <v>117</v>
      </c>
    </row>
    <row r="94" customFormat="false" ht="30" hidden="false" customHeight="false" outlineLevel="0" collapsed="false">
      <c r="B94" s="18"/>
      <c r="C94" s="28" t="s">
        <v>118</v>
      </c>
      <c r="D94" s="22" t="s">
        <v>119</v>
      </c>
    </row>
    <row r="95" customFormat="false" ht="30" hidden="false" customHeight="false" outlineLevel="0" collapsed="false">
      <c r="B95" s="18"/>
      <c r="C95" s="28" t="s">
        <v>94</v>
      </c>
      <c r="D95" s="22" t="s">
        <v>95</v>
      </c>
    </row>
    <row r="96" customFormat="false" ht="15" hidden="false" customHeight="false" outlineLevel="0" collapsed="false">
      <c r="B96" s="18"/>
      <c r="C96" s="28" t="s">
        <v>96</v>
      </c>
      <c r="D96" s="22" t="s">
        <v>97</v>
      </c>
    </row>
    <row r="97" customFormat="false" ht="15" hidden="false" customHeight="false" outlineLevel="0" collapsed="false">
      <c r="B97" s="18"/>
      <c r="C97" s="28" t="s">
        <v>98</v>
      </c>
      <c r="D97" s="22" t="s">
        <v>99</v>
      </c>
    </row>
    <row r="98" customFormat="false" ht="30" hidden="false" customHeight="false" outlineLevel="0" collapsed="false">
      <c r="B98" s="18"/>
      <c r="C98" s="29" t="s">
        <v>100</v>
      </c>
      <c r="D98" s="24" t="s">
        <v>101</v>
      </c>
    </row>
    <row r="99" customFormat="false" ht="45" hidden="false" customHeight="false" outlineLevel="0" collapsed="false">
      <c r="B99" s="18"/>
      <c r="C99" s="23" t="s">
        <v>102</v>
      </c>
      <c r="D99" s="24" t="s">
        <v>103</v>
      </c>
    </row>
    <row r="100" customFormat="false" ht="45" hidden="false" customHeight="false" outlineLevel="0" collapsed="false">
      <c r="B100" s="18"/>
      <c r="C100" s="12" t="s">
        <v>42</v>
      </c>
      <c r="D100" s="13" t="s">
        <v>43</v>
      </c>
    </row>
    <row r="101" customFormat="false" ht="30" hidden="false" customHeight="false" outlineLevel="0" collapsed="false">
      <c r="B101" s="18"/>
      <c r="C101" s="12" t="s">
        <v>45</v>
      </c>
      <c r="D101" s="13" t="s">
        <v>46</v>
      </c>
    </row>
    <row r="102" customFormat="false" ht="30" hidden="false" customHeight="false" outlineLevel="0" collapsed="false">
      <c r="B102" s="18"/>
      <c r="C102" s="12" t="s">
        <v>38</v>
      </c>
      <c r="D102" s="13" t="s">
        <v>104</v>
      </c>
    </row>
    <row r="103" customFormat="false" ht="15" hidden="false" customHeight="false" outlineLevel="0" collapsed="false">
      <c r="B103" s="18"/>
      <c r="C103" s="12" t="s">
        <v>120</v>
      </c>
      <c r="D103" s="24" t="s">
        <v>121</v>
      </c>
    </row>
    <row r="104" customFormat="false" ht="15" hidden="false" customHeight="false" outlineLevel="0" collapsed="false">
      <c r="B104" s="18"/>
      <c r="C104" s="12" t="s">
        <v>51</v>
      </c>
      <c r="D104" s="13" t="s">
        <v>52</v>
      </c>
    </row>
    <row r="105" customFormat="false" ht="15" hidden="false" customHeight="false" outlineLevel="0" collapsed="false">
      <c r="B105" s="18"/>
      <c r="C105" s="12" t="s">
        <v>54</v>
      </c>
      <c r="D105" s="13" t="s">
        <v>55</v>
      </c>
    </row>
    <row r="106" customFormat="false" ht="15" hidden="false" customHeight="false" outlineLevel="0" collapsed="false">
      <c r="B106" s="18"/>
      <c r="C106" s="12" t="s">
        <v>56</v>
      </c>
      <c r="D106" s="13" t="s">
        <v>57</v>
      </c>
    </row>
    <row r="107" customFormat="false" ht="15" hidden="false" customHeight="false" outlineLevel="0" collapsed="false">
      <c r="B107" s="18"/>
      <c r="C107" s="16" t="s">
        <v>58</v>
      </c>
      <c r="D107" s="15" t="s">
        <v>59</v>
      </c>
    </row>
    <row r="108" customFormat="false" ht="270" hidden="false" customHeight="false" outlineLevel="0" collapsed="false">
      <c r="B108" s="18"/>
      <c r="C108" s="16" t="s">
        <v>60</v>
      </c>
      <c r="D108" s="17" t="s">
        <v>61</v>
      </c>
    </row>
    <row r="109" customFormat="false" ht="45.75" hidden="false" customHeight="false" outlineLevel="0" collapsed="false">
      <c r="B109" s="18"/>
      <c r="C109" s="12" t="s">
        <v>62</v>
      </c>
      <c r="D109" s="13" t="s">
        <v>111</v>
      </c>
    </row>
    <row r="110" customFormat="false" ht="15" hidden="false" customHeight="true" outlineLevel="0" collapsed="false">
      <c r="B110" s="9" t="s">
        <v>122</v>
      </c>
      <c r="C110" s="30" t="s">
        <v>8</v>
      </c>
      <c r="D110" s="31" t="s">
        <v>123</v>
      </c>
    </row>
    <row r="111" customFormat="false" ht="30" hidden="false" customHeight="false" outlineLevel="0" collapsed="false">
      <c r="B111" s="9"/>
      <c r="C111" s="32" t="s">
        <v>124</v>
      </c>
      <c r="D111" s="33" t="s">
        <v>125</v>
      </c>
    </row>
    <row r="112" customFormat="false" ht="15" hidden="false" customHeight="false" outlineLevel="0" collapsed="false">
      <c r="B112" s="9"/>
      <c r="C112" s="32" t="s">
        <v>14</v>
      </c>
      <c r="D112" s="33" t="s">
        <v>126</v>
      </c>
    </row>
    <row r="113" customFormat="false" ht="75" hidden="false" customHeight="false" outlineLevel="0" collapsed="false">
      <c r="B113" s="9"/>
      <c r="C113" s="32" t="s">
        <v>127</v>
      </c>
      <c r="D113" s="34" t="s">
        <v>128</v>
      </c>
    </row>
    <row r="114" customFormat="false" ht="90" hidden="false" customHeight="false" outlineLevel="0" collapsed="false">
      <c r="B114" s="9"/>
      <c r="C114" s="35" t="s">
        <v>129</v>
      </c>
      <c r="D114" s="36" t="s">
        <v>130</v>
      </c>
    </row>
    <row r="115" customFormat="false" ht="60" hidden="false" customHeight="false" outlineLevel="0" collapsed="false">
      <c r="B115" s="9"/>
      <c r="C115" s="35" t="s">
        <v>131</v>
      </c>
      <c r="D115" s="13" t="s">
        <v>132</v>
      </c>
    </row>
    <row r="116" customFormat="false" ht="15" hidden="false" customHeight="false" outlineLevel="0" collapsed="false">
      <c r="B116" s="9"/>
      <c r="C116" s="35" t="s">
        <v>40</v>
      </c>
      <c r="D116" s="13" t="s">
        <v>133</v>
      </c>
    </row>
    <row r="117" customFormat="false" ht="45" hidden="false" customHeight="false" outlineLevel="0" collapsed="false">
      <c r="B117" s="9"/>
      <c r="C117" s="12" t="s">
        <v>42</v>
      </c>
      <c r="D117" s="13" t="s">
        <v>43</v>
      </c>
    </row>
    <row r="118" customFormat="false" ht="30" hidden="false" customHeight="false" outlineLevel="0" collapsed="false">
      <c r="B118" s="9"/>
      <c r="C118" s="12" t="s">
        <v>45</v>
      </c>
      <c r="D118" s="13" t="s">
        <v>46</v>
      </c>
    </row>
    <row r="119" customFormat="false" ht="15" hidden="false" customHeight="false" outlineLevel="0" collapsed="false">
      <c r="B119" s="9"/>
      <c r="C119" s="35" t="s">
        <v>134</v>
      </c>
      <c r="D119" s="13" t="s">
        <v>135</v>
      </c>
    </row>
    <row r="120" customFormat="false" ht="15" hidden="false" customHeight="false" outlineLevel="0" collapsed="false">
      <c r="B120" s="9"/>
      <c r="C120" s="35" t="s">
        <v>136</v>
      </c>
      <c r="D120" s="13" t="s">
        <v>137</v>
      </c>
    </row>
    <row r="121" customFormat="false" ht="15" hidden="false" customHeight="false" outlineLevel="0" collapsed="false">
      <c r="B121" s="9"/>
      <c r="C121" s="16" t="s">
        <v>58</v>
      </c>
      <c r="D121" s="15" t="s">
        <v>59</v>
      </c>
    </row>
    <row r="122" customFormat="false" ht="270" hidden="false" customHeight="false" outlineLevel="0" collapsed="false">
      <c r="B122" s="9"/>
      <c r="C122" s="16" t="s">
        <v>60</v>
      </c>
      <c r="D122" s="17" t="s">
        <v>61</v>
      </c>
    </row>
    <row r="123" customFormat="false" ht="45.75" hidden="false" customHeight="false" outlineLevel="0" collapsed="false">
      <c r="B123" s="9"/>
      <c r="C123" s="12" t="s">
        <v>62</v>
      </c>
      <c r="D123" s="13" t="s">
        <v>111</v>
      </c>
    </row>
    <row r="124" customFormat="false" ht="15" hidden="false" customHeight="true" outlineLevel="0" collapsed="false">
      <c r="B124" s="18" t="s">
        <v>138</v>
      </c>
      <c r="C124" s="30" t="s">
        <v>8</v>
      </c>
      <c r="D124" s="20" t="s">
        <v>139</v>
      </c>
    </row>
    <row r="125" customFormat="false" ht="30" hidden="false" customHeight="false" outlineLevel="0" collapsed="false">
      <c r="B125" s="18"/>
      <c r="C125" s="32" t="s">
        <v>66</v>
      </c>
      <c r="D125" s="37" t="s">
        <v>140</v>
      </c>
    </row>
    <row r="126" customFormat="false" ht="15" hidden="false" customHeight="false" outlineLevel="0" collapsed="false">
      <c r="B126" s="18"/>
      <c r="C126" s="32" t="s">
        <v>14</v>
      </c>
      <c r="D126" s="37" t="s">
        <v>141</v>
      </c>
    </row>
    <row r="127" customFormat="false" ht="45" hidden="false" customHeight="false" outlineLevel="0" collapsed="false">
      <c r="B127" s="18"/>
      <c r="C127" s="35" t="s">
        <v>40</v>
      </c>
      <c r="D127" s="13" t="s">
        <v>142</v>
      </c>
    </row>
    <row r="128" customFormat="false" ht="15" hidden="false" customHeight="false" outlineLevel="0" collapsed="false">
      <c r="B128" s="18"/>
      <c r="C128" s="38" t="s">
        <v>143</v>
      </c>
      <c r="D128" s="22" t="s">
        <v>144</v>
      </c>
    </row>
    <row r="129" customFormat="false" ht="45" hidden="false" customHeight="false" outlineLevel="0" collapsed="false">
      <c r="B129" s="18"/>
      <c r="C129" s="12" t="s">
        <v>42</v>
      </c>
      <c r="D129" s="13" t="s">
        <v>43</v>
      </c>
    </row>
    <row r="130" customFormat="false" ht="30" hidden="false" customHeight="false" outlineLevel="0" collapsed="false">
      <c r="B130" s="18"/>
      <c r="C130" s="12" t="s">
        <v>45</v>
      </c>
      <c r="D130" s="13" t="s">
        <v>46</v>
      </c>
    </row>
    <row r="131" customFormat="false" ht="45" hidden="false" customHeight="false" outlineLevel="0" collapsed="false">
      <c r="B131" s="18"/>
      <c r="C131" s="16" t="s">
        <v>145</v>
      </c>
      <c r="D131" s="15" t="s">
        <v>146</v>
      </c>
    </row>
    <row r="132" customFormat="false" ht="45" hidden="false" customHeight="false" outlineLevel="0" collapsed="false">
      <c r="B132" s="18"/>
      <c r="C132" s="16" t="s">
        <v>147</v>
      </c>
      <c r="D132" s="15" t="s">
        <v>148</v>
      </c>
    </row>
    <row r="133" customFormat="false" ht="45" hidden="false" customHeight="false" outlineLevel="0" collapsed="false">
      <c r="B133" s="18"/>
      <c r="C133" s="39" t="s">
        <v>149</v>
      </c>
      <c r="D133" s="15" t="s">
        <v>150</v>
      </c>
    </row>
    <row r="134" customFormat="false" ht="30" hidden="false" customHeight="false" outlineLevel="0" collapsed="false">
      <c r="B134" s="18"/>
      <c r="C134" s="40" t="s">
        <v>151</v>
      </c>
      <c r="D134" s="36" t="s">
        <v>152</v>
      </c>
    </row>
    <row r="135" customFormat="false" ht="90" hidden="false" customHeight="false" outlineLevel="0" collapsed="false">
      <c r="B135" s="18"/>
      <c r="C135" s="40" t="s">
        <v>153</v>
      </c>
      <c r="D135" s="36" t="s">
        <v>154</v>
      </c>
    </row>
    <row r="136" customFormat="false" ht="45" hidden="false" customHeight="false" outlineLevel="0" collapsed="false">
      <c r="B136" s="18"/>
      <c r="C136" s="40" t="s">
        <v>155</v>
      </c>
      <c r="D136" s="36" t="s">
        <v>156</v>
      </c>
    </row>
    <row r="137" customFormat="false" ht="45.75" hidden="false" customHeight="false" outlineLevel="0" collapsed="false">
      <c r="B137" s="18"/>
      <c r="C137" s="41" t="s">
        <v>62</v>
      </c>
      <c r="D137" s="42" t="s">
        <v>111</v>
      </c>
    </row>
    <row r="138" customFormat="false" ht="30" hidden="false" customHeight="true" outlineLevel="0" collapsed="false">
      <c r="B138" s="43" t="s">
        <v>157</v>
      </c>
      <c r="C138" s="19" t="s">
        <v>8</v>
      </c>
      <c r="D138" s="31" t="s">
        <v>158</v>
      </c>
    </row>
    <row r="139" customFormat="false" ht="15" hidden="false" customHeight="false" outlineLevel="0" collapsed="false">
      <c r="B139" s="43"/>
      <c r="C139" s="21" t="s">
        <v>66</v>
      </c>
      <c r="D139" s="33" t="s">
        <v>159</v>
      </c>
    </row>
    <row r="140" customFormat="false" ht="15" hidden="false" customHeight="false" outlineLevel="0" collapsed="false">
      <c r="B140" s="43"/>
      <c r="C140" s="21" t="s">
        <v>14</v>
      </c>
      <c r="D140" s="33" t="s">
        <v>160</v>
      </c>
    </row>
    <row r="141" customFormat="false" ht="15" hidden="false" customHeight="false" outlineLevel="0" collapsed="false">
      <c r="B141" s="43"/>
      <c r="C141" s="27" t="s">
        <v>161</v>
      </c>
      <c r="D141" s="13" t="s">
        <v>162</v>
      </c>
    </row>
    <row r="142" customFormat="false" ht="15" hidden="false" customHeight="false" outlineLevel="0" collapsed="false">
      <c r="B142" s="43"/>
      <c r="C142" s="27" t="s">
        <v>163</v>
      </c>
      <c r="D142" s="13" t="s">
        <v>164</v>
      </c>
    </row>
    <row r="143" customFormat="false" ht="15" hidden="false" customHeight="false" outlineLevel="0" collapsed="false">
      <c r="B143" s="43"/>
      <c r="C143" s="12" t="s">
        <v>165</v>
      </c>
      <c r="D143" s="13" t="s">
        <v>166</v>
      </c>
    </row>
    <row r="144" customFormat="false" ht="15" hidden="false" customHeight="false" outlineLevel="0" collapsed="false">
      <c r="B144" s="43"/>
      <c r="C144" s="12" t="s">
        <v>167</v>
      </c>
      <c r="D144" s="13" t="s">
        <v>168</v>
      </c>
    </row>
    <row r="145" customFormat="false" ht="15" hidden="false" customHeight="false" outlineLevel="0" collapsed="false">
      <c r="B145" s="43"/>
      <c r="C145" s="12" t="s">
        <v>169</v>
      </c>
      <c r="D145" s="13" t="s">
        <v>170</v>
      </c>
    </row>
    <row r="146" customFormat="false" ht="45" hidden="false" customHeight="false" outlineLevel="0" collapsed="false">
      <c r="B146" s="43"/>
      <c r="C146" s="12" t="s">
        <v>42</v>
      </c>
      <c r="D146" s="13" t="s">
        <v>43</v>
      </c>
    </row>
    <row r="147" customFormat="false" ht="30" hidden="false" customHeight="false" outlineLevel="0" collapsed="false">
      <c r="B147" s="43"/>
      <c r="C147" s="12" t="s">
        <v>45</v>
      </c>
      <c r="D147" s="13" t="s">
        <v>46</v>
      </c>
    </row>
    <row r="148" customFormat="false" ht="15" hidden="false" customHeight="false" outlineLevel="0" collapsed="false">
      <c r="B148" s="43"/>
      <c r="C148" s="16" t="s">
        <v>58</v>
      </c>
      <c r="D148" s="15" t="s">
        <v>59</v>
      </c>
    </row>
    <row r="149" customFormat="false" ht="270" hidden="false" customHeight="false" outlineLevel="0" collapsed="false">
      <c r="B149" s="43"/>
      <c r="C149" s="16" t="s">
        <v>60</v>
      </c>
      <c r="D149" s="17" t="s">
        <v>61</v>
      </c>
    </row>
    <row r="150" customFormat="false" ht="45.75" hidden="false" customHeight="false" outlineLevel="0" collapsed="false">
      <c r="B150" s="43"/>
      <c r="C150" s="41" t="s">
        <v>62</v>
      </c>
      <c r="D150" s="42" t="s">
        <v>111</v>
      </c>
    </row>
    <row r="151" customFormat="false" ht="30" hidden="false" customHeight="true" outlineLevel="0" collapsed="false">
      <c r="B151" s="44" t="s">
        <v>171</v>
      </c>
      <c r="C151" s="19" t="s">
        <v>8</v>
      </c>
      <c r="D151" s="31" t="s">
        <v>172</v>
      </c>
    </row>
    <row r="152" customFormat="false" ht="15" hidden="false" customHeight="false" outlineLevel="0" collapsed="false">
      <c r="B152" s="44"/>
      <c r="C152" s="21" t="s">
        <v>66</v>
      </c>
      <c r="D152" s="33" t="s">
        <v>173</v>
      </c>
    </row>
    <row r="153" customFormat="false" ht="15" hidden="false" customHeight="false" outlineLevel="0" collapsed="false">
      <c r="B153" s="44"/>
      <c r="C153" s="21" t="s">
        <v>14</v>
      </c>
      <c r="D153" s="33" t="s">
        <v>160</v>
      </c>
    </row>
    <row r="154" customFormat="false" ht="30" hidden="false" customHeight="false" outlineLevel="0" collapsed="false">
      <c r="B154" s="44"/>
      <c r="C154" s="45" t="s">
        <v>174</v>
      </c>
      <c r="D154" s="13" t="s">
        <v>175</v>
      </c>
    </row>
    <row r="155" customFormat="false" ht="45" hidden="false" customHeight="false" outlineLevel="0" collapsed="false">
      <c r="B155" s="44"/>
      <c r="C155" s="46" t="s">
        <v>42</v>
      </c>
      <c r="D155" s="13" t="s">
        <v>43</v>
      </c>
    </row>
    <row r="156" customFormat="false" ht="30" hidden="false" customHeight="false" outlineLevel="0" collapsed="false">
      <c r="B156" s="44"/>
      <c r="C156" s="46" t="s">
        <v>45</v>
      </c>
      <c r="D156" s="13" t="s">
        <v>46</v>
      </c>
    </row>
    <row r="157" customFormat="false" ht="15" hidden="false" customHeight="false" outlineLevel="0" collapsed="false">
      <c r="B157" s="44"/>
      <c r="C157" s="46" t="s">
        <v>176</v>
      </c>
      <c r="D157" s="13" t="s">
        <v>177</v>
      </c>
    </row>
    <row r="158" customFormat="false" ht="15" hidden="false" customHeight="false" outlineLevel="0" collapsed="false">
      <c r="B158" s="44"/>
      <c r="C158" s="46" t="s">
        <v>178</v>
      </c>
      <c r="D158" s="13" t="s">
        <v>179</v>
      </c>
    </row>
    <row r="159" customFormat="false" ht="15" hidden="false" customHeight="false" outlineLevel="0" collapsed="false">
      <c r="B159" s="44"/>
      <c r="C159" s="16" t="s">
        <v>58</v>
      </c>
      <c r="D159" s="15" t="s">
        <v>59</v>
      </c>
    </row>
    <row r="160" customFormat="false" ht="270" hidden="false" customHeight="false" outlineLevel="0" collapsed="false">
      <c r="B160" s="44"/>
      <c r="C160" s="16" t="s">
        <v>60</v>
      </c>
      <c r="D160" s="17" t="s">
        <v>61</v>
      </c>
    </row>
    <row r="161" customFormat="false" ht="45.75" hidden="false" customHeight="false" outlineLevel="0" collapsed="false">
      <c r="B161" s="44"/>
      <c r="C161" s="47" t="s">
        <v>62</v>
      </c>
      <c r="D161" s="42" t="s">
        <v>111</v>
      </c>
    </row>
    <row r="162" customFormat="false" ht="30" hidden="false" customHeight="true" outlineLevel="0" collapsed="false">
      <c r="B162" s="44" t="s">
        <v>180</v>
      </c>
      <c r="C162" s="19" t="s">
        <v>8</v>
      </c>
      <c r="D162" s="31" t="s">
        <v>181</v>
      </c>
    </row>
    <row r="163" customFormat="false" ht="30" hidden="false" customHeight="false" outlineLevel="0" collapsed="false">
      <c r="B163" s="44"/>
      <c r="C163" s="21" t="s">
        <v>182</v>
      </c>
      <c r="D163" s="33" t="s">
        <v>183</v>
      </c>
    </row>
    <row r="164" customFormat="false" ht="15" hidden="false" customHeight="false" outlineLevel="0" collapsed="false">
      <c r="B164" s="44"/>
      <c r="C164" s="21" t="s">
        <v>14</v>
      </c>
      <c r="D164" s="33" t="s">
        <v>184</v>
      </c>
    </row>
    <row r="165" customFormat="false" ht="45" hidden="false" customHeight="false" outlineLevel="0" collapsed="false">
      <c r="B165" s="44"/>
      <c r="C165" s="46" t="s">
        <v>42</v>
      </c>
      <c r="D165" s="13" t="s">
        <v>43</v>
      </c>
    </row>
    <row r="166" customFormat="false" ht="30" hidden="false" customHeight="false" outlineLevel="0" collapsed="false">
      <c r="B166" s="44"/>
      <c r="C166" s="46" t="s">
        <v>45</v>
      </c>
      <c r="D166" s="13" t="s">
        <v>46</v>
      </c>
    </row>
    <row r="167" customFormat="false" ht="15" hidden="false" customHeight="false" outlineLevel="0" collapsed="false">
      <c r="B167" s="44"/>
      <c r="C167" s="48" t="s">
        <v>185</v>
      </c>
      <c r="D167" s="49" t="s">
        <v>186</v>
      </c>
    </row>
    <row r="168" customFormat="false" ht="15" hidden="false" customHeight="false" outlineLevel="0" collapsed="false">
      <c r="B168" s="44"/>
      <c r="C168" s="46" t="s">
        <v>187</v>
      </c>
      <c r="D168" s="13" t="s">
        <v>188</v>
      </c>
    </row>
    <row r="169" customFormat="false" ht="15" hidden="false" customHeight="false" outlineLevel="0" collapsed="false">
      <c r="B169" s="44"/>
      <c r="C169" s="46" t="s">
        <v>189</v>
      </c>
      <c r="D169" s="13" t="s">
        <v>190</v>
      </c>
    </row>
    <row r="170" customFormat="false" ht="15" hidden="false" customHeight="false" outlineLevel="0" collapsed="false">
      <c r="B170" s="44"/>
      <c r="C170" s="50" t="s">
        <v>191</v>
      </c>
      <c r="D170" s="26" t="s">
        <v>192</v>
      </c>
    </row>
    <row r="171" customFormat="false" ht="15" hidden="false" customHeight="false" outlineLevel="0" collapsed="false">
      <c r="B171" s="44"/>
      <c r="C171" s="16" t="s">
        <v>58</v>
      </c>
      <c r="D171" s="15" t="s">
        <v>59</v>
      </c>
    </row>
    <row r="172" customFormat="false" ht="270" hidden="false" customHeight="false" outlineLevel="0" collapsed="false">
      <c r="B172" s="44"/>
      <c r="C172" s="16" t="s">
        <v>60</v>
      </c>
      <c r="D172" s="17" t="s">
        <v>61</v>
      </c>
    </row>
    <row r="173" customFormat="false" ht="45.75" hidden="false" customHeight="false" outlineLevel="0" collapsed="false">
      <c r="B173" s="44"/>
      <c r="C173" s="47" t="s">
        <v>62</v>
      </c>
      <c r="D173" s="42" t="s">
        <v>111</v>
      </c>
    </row>
  </sheetData>
  <mergeCells count="15">
    <mergeCell ref="B2:D5"/>
    <mergeCell ref="B7:D7"/>
    <mergeCell ref="B8:D12"/>
    <mergeCell ref="B14:D14"/>
    <mergeCell ref="B15:D24"/>
    <mergeCell ref="B26:D26"/>
    <mergeCell ref="B27:D28"/>
    <mergeCell ref="B29:B54"/>
    <mergeCell ref="B55:B86"/>
    <mergeCell ref="B87:B109"/>
    <mergeCell ref="B110:B123"/>
    <mergeCell ref="B124:B137"/>
    <mergeCell ref="B138:B150"/>
    <mergeCell ref="B151:B161"/>
    <mergeCell ref="B162:B173"/>
  </mergeCells>
  <conditionalFormatting sqref="E134:E136">
    <cfRule type="cellIs" priority="2" operator="equal" aboveAverage="0" equalAverage="0" bottom="0" percent="0" rank="0" text="" dxfId="0">
      <formula>"Sin coincidencia"</formula>
    </cfRule>
  </conditionalFormatting>
  <printOptions headings="false" gridLines="false" gridLinesSet="true" horizontalCentered="false" verticalCentered="false"/>
  <pageMargins left="0.7" right="0.7" top="0.75" bottom="0.75" header="0.511811023622047" footer="0.511811023622047"/>
  <pageSetup paperSize="1" scale="64"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8:AM102"/>
  <sheetViews>
    <sheetView showFormulas="false" showGridLines="true" showRowColHeaders="true" showZeros="true" rightToLeft="false" tabSelected="false" showOutlineSymbols="true" defaultGridColor="true" view="normal" topLeftCell="U56" colorId="64" zoomScale="115" zoomScaleNormal="115" zoomScalePageLayoutView="100" workbookViewId="0">
      <selection pane="topLeft" activeCell="V64" activeCellId="0" sqref="V64"/>
    </sheetView>
  </sheetViews>
  <sheetFormatPr defaultColWidth="10.4765625" defaultRowHeight="15" zeroHeight="false" outlineLevelRow="0" outlineLevelCol="0"/>
  <cols>
    <col collapsed="false" customWidth="true" hidden="false" outlineLevel="0" max="9" min="9" style="0" width="15.57"/>
    <col collapsed="false" customWidth="true" hidden="false" outlineLevel="0" max="12" min="10" style="0" width="14.43"/>
  </cols>
  <sheetData>
    <row r="8" customFormat="false" ht="15.75" hidden="false" customHeight="false" outlineLevel="0" collapsed="false"/>
    <row r="9" customFormat="false" ht="15.75" hidden="false" customHeight="false" outlineLevel="0" collapsed="false">
      <c r="B9" s="51" t="s">
        <v>193</v>
      </c>
      <c r="C9" s="51"/>
      <c r="D9" s="51"/>
      <c r="E9" s="51"/>
      <c r="F9" s="51"/>
      <c r="G9" s="51"/>
      <c r="H9" s="51"/>
      <c r="I9" s="51"/>
      <c r="J9" s="51"/>
      <c r="K9" s="51"/>
      <c r="L9" s="51"/>
      <c r="N9" s="52" t="s">
        <v>194</v>
      </c>
      <c r="O9" s="52"/>
      <c r="P9" s="52"/>
      <c r="Q9" s="52"/>
      <c r="R9" s="52"/>
      <c r="S9" s="52"/>
      <c r="T9" s="52"/>
      <c r="U9" s="52"/>
      <c r="V9" s="52"/>
      <c r="W9" s="52"/>
      <c r="X9" s="52"/>
      <c r="Y9" s="52"/>
    </row>
    <row r="10" customFormat="false" ht="15" hidden="false" customHeight="false" outlineLevel="0" collapsed="false">
      <c r="B10" s="53"/>
      <c r="C10" s="53"/>
      <c r="D10" s="53"/>
      <c r="E10" s="53"/>
      <c r="F10" s="53"/>
      <c r="G10" s="53"/>
      <c r="H10" s="53"/>
      <c r="I10" s="53"/>
      <c r="J10" s="53"/>
      <c r="K10" s="53"/>
      <c r="L10" s="53"/>
      <c r="N10" s="53"/>
      <c r="O10" s="53"/>
      <c r="P10" s="53"/>
      <c r="Q10" s="53"/>
      <c r="R10" s="53"/>
      <c r="S10" s="53"/>
      <c r="T10" s="53"/>
      <c r="U10" s="53"/>
      <c r="V10" s="53"/>
      <c r="W10" s="53"/>
      <c r="X10" s="53"/>
      <c r="Y10" s="53"/>
    </row>
    <row r="11" customFormat="false" ht="15" hidden="false" customHeight="false" outlineLevel="0" collapsed="false">
      <c r="B11" s="53"/>
      <c r="C11" s="53"/>
      <c r="D11" s="53"/>
      <c r="E11" s="53"/>
      <c r="F11" s="53"/>
      <c r="G11" s="53"/>
      <c r="H11" s="53"/>
      <c r="I11" s="53"/>
      <c r="J11" s="53"/>
      <c r="K11" s="53"/>
      <c r="L11" s="53"/>
      <c r="N11" s="53"/>
      <c r="O11" s="53"/>
      <c r="P11" s="53"/>
      <c r="Q11" s="53"/>
      <c r="R11" s="53"/>
      <c r="S11" s="53"/>
      <c r="T11" s="53"/>
      <c r="U11" s="53"/>
      <c r="V11" s="53"/>
      <c r="W11" s="53"/>
      <c r="X11" s="53"/>
      <c r="Y11" s="53"/>
    </row>
    <row r="12" customFormat="false" ht="15" hidden="false" customHeight="false" outlineLevel="0" collapsed="false">
      <c r="B12" s="53"/>
      <c r="C12" s="53"/>
      <c r="D12" s="53"/>
      <c r="E12" s="53"/>
      <c r="F12" s="53"/>
      <c r="G12" s="53"/>
      <c r="H12" s="53"/>
      <c r="I12" s="53"/>
      <c r="J12" s="53"/>
      <c r="K12" s="53"/>
      <c r="L12" s="53"/>
      <c r="N12" s="53"/>
      <c r="O12" s="53"/>
      <c r="P12" s="53"/>
      <c r="Q12" s="53"/>
      <c r="R12" s="53"/>
      <c r="S12" s="53"/>
      <c r="T12" s="53"/>
      <c r="U12" s="53"/>
      <c r="V12" s="53"/>
      <c r="W12" s="53"/>
      <c r="X12" s="53"/>
      <c r="Y12" s="53"/>
    </row>
    <row r="13" customFormat="false" ht="15" hidden="false" customHeight="false" outlineLevel="0" collapsed="false">
      <c r="B13" s="53"/>
      <c r="C13" s="53"/>
      <c r="D13" s="53"/>
      <c r="E13" s="53"/>
      <c r="F13" s="53"/>
      <c r="G13" s="53"/>
      <c r="H13" s="53"/>
      <c r="I13" s="53"/>
      <c r="J13" s="53"/>
      <c r="K13" s="53"/>
      <c r="L13" s="53"/>
      <c r="N13" s="53"/>
      <c r="O13" s="53"/>
      <c r="P13" s="53"/>
      <c r="Q13" s="53"/>
      <c r="R13" s="53"/>
      <c r="S13" s="53"/>
      <c r="T13" s="53"/>
      <c r="U13" s="53"/>
      <c r="V13" s="53"/>
      <c r="W13" s="53"/>
      <c r="X13" s="53"/>
      <c r="Y13" s="53"/>
    </row>
    <row r="14" customFormat="false" ht="15" hidden="false" customHeight="false" outlineLevel="0" collapsed="false">
      <c r="B14" s="53"/>
      <c r="C14" s="53"/>
      <c r="D14" s="53"/>
      <c r="E14" s="53"/>
      <c r="F14" s="53"/>
      <c r="G14" s="53"/>
      <c r="H14" s="53"/>
      <c r="I14" s="53"/>
      <c r="J14" s="53"/>
      <c r="K14" s="53"/>
      <c r="L14" s="53"/>
      <c r="N14" s="53"/>
      <c r="O14" s="53"/>
      <c r="P14" s="53"/>
      <c r="Q14" s="53"/>
      <c r="R14" s="53"/>
      <c r="S14" s="53"/>
      <c r="T14" s="53"/>
      <c r="U14" s="53"/>
      <c r="V14" s="53"/>
      <c r="W14" s="53"/>
      <c r="X14" s="53"/>
      <c r="Y14" s="53"/>
    </row>
    <row r="15" customFormat="false" ht="15" hidden="false" customHeight="false" outlineLevel="0" collapsed="false">
      <c r="B15" s="53"/>
      <c r="C15" s="53"/>
      <c r="D15" s="53"/>
      <c r="E15" s="53"/>
      <c r="F15" s="53"/>
      <c r="G15" s="53"/>
      <c r="H15" s="53"/>
      <c r="I15" s="53"/>
      <c r="J15" s="53"/>
      <c r="K15" s="53"/>
      <c r="L15" s="53"/>
      <c r="N15" s="53"/>
      <c r="O15" s="53"/>
      <c r="P15" s="53"/>
      <c r="Q15" s="53"/>
      <c r="R15" s="53"/>
      <c r="S15" s="53"/>
      <c r="T15" s="53"/>
      <c r="U15" s="53"/>
      <c r="V15" s="53"/>
      <c r="W15" s="53"/>
      <c r="X15" s="53"/>
      <c r="Y15" s="53"/>
    </row>
    <row r="16" customFormat="false" ht="15" hidden="false" customHeight="false" outlineLevel="0" collapsed="false">
      <c r="B16" s="53"/>
      <c r="C16" s="53"/>
      <c r="D16" s="53"/>
      <c r="E16" s="53"/>
      <c r="F16" s="53"/>
      <c r="G16" s="53"/>
      <c r="H16" s="53"/>
      <c r="I16" s="53"/>
      <c r="J16" s="53"/>
      <c r="K16" s="53"/>
      <c r="L16" s="53"/>
      <c r="N16" s="53"/>
      <c r="O16" s="53"/>
      <c r="P16" s="53"/>
      <c r="Q16" s="53"/>
      <c r="R16" s="53"/>
      <c r="S16" s="53"/>
      <c r="T16" s="53"/>
      <c r="U16" s="53"/>
      <c r="V16" s="53"/>
      <c r="W16" s="53"/>
      <c r="X16" s="53"/>
      <c r="Y16" s="53"/>
    </row>
    <row r="17" customFormat="false" ht="15" hidden="false" customHeight="false" outlineLevel="0" collapsed="false">
      <c r="B17" s="53"/>
      <c r="C17" s="53"/>
      <c r="D17" s="53"/>
      <c r="E17" s="53"/>
      <c r="F17" s="53"/>
      <c r="G17" s="53"/>
      <c r="H17" s="53"/>
      <c r="I17" s="53"/>
      <c r="J17" s="53"/>
      <c r="K17" s="53"/>
      <c r="L17" s="53"/>
      <c r="N17" s="53"/>
      <c r="O17" s="53"/>
      <c r="P17" s="53"/>
      <c r="Q17" s="53"/>
      <c r="R17" s="53"/>
      <c r="S17" s="53"/>
      <c r="T17" s="53"/>
      <c r="U17" s="53"/>
      <c r="V17" s="53"/>
      <c r="W17" s="53"/>
      <c r="X17" s="53"/>
      <c r="Y17" s="53"/>
    </row>
    <row r="18" customFormat="false" ht="15" hidden="false" customHeight="false" outlineLevel="0" collapsed="false">
      <c r="B18" s="53"/>
      <c r="C18" s="53"/>
      <c r="D18" s="53"/>
      <c r="E18" s="53"/>
      <c r="F18" s="53"/>
      <c r="G18" s="53"/>
      <c r="H18" s="53"/>
      <c r="I18" s="53"/>
      <c r="J18" s="53"/>
      <c r="K18" s="53"/>
      <c r="L18" s="53"/>
      <c r="N18" s="53"/>
      <c r="O18" s="53"/>
      <c r="P18" s="53"/>
      <c r="Q18" s="53"/>
      <c r="R18" s="53"/>
      <c r="S18" s="53"/>
      <c r="T18" s="53"/>
      <c r="U18" s="53"/>
      <c r="V18" s="53"/>
      <c r="W18" s="53"/>
      <c r="X18" s="53"/>
      <c r="Y18" s="53"/>
    </row>
    <row r="19" customFormat="false" ht="15" hidden="false" customHeight="false" outlineLevel="0" collapsed="false">
      <c r="B19" s="53"/>
      <c r="C19" s="53"/>
      <c r="D19" s="53"/>
      <c r="E19" s="53"/>
      <c r="F19" s="53"/>
      <c r="G19" s="53"/>
      <c r="H19" s="53"/>
      <c r="I19" s="53"/>
      <c r="J19" s="53"/>
      <c r="K19" s="53"/>
      <c r="L19" s="53"/>
      <c r="N19" s="53"/>
      <c r="O19" s="53"/>
      <c r="P19" s="53"/>
      <c r="Q19" s="53"/>
      <c r="R19" s="53"/>
      <c r="S19" s="53"/>
      <c r="T19" s="53"/>
      <c r="U19" s="53"/>
      <c r="V19" s="53"/>
      <c r="W19" s="53"/>
      <c r="X19" s="53"/>
      <c r="Y19" s="53"/>
    </row>
    <row r="20" customFormat="false" ht="15" hidden="false" customHeight="false" outlineLevel="0" collapsed="false">
      <c r="B20" s="53"/>
      <c r="C20" s="53"/>
      <c r="D20" s="53"/>
      <c r="E20" s="53"/>
      <c r="F20" s="53"/>
      <c r="G20" s="53"/>
      <c r="H20" s="53"/>
      <c r="I20" s="53"/>
      <c r="J20" s="53"/>
      <c r="K20" s="53"/>
      <c r="L20" s="53"/>
      <c r="N20" s="53"/>
      <c r="O20" s="53"/>
      <c r="P20" s="53"/>
      <c r="Q20" s="53"/>
      <c r="R20" s="53"/>
      <c r="S20" s="53"/>
      <c r="T20" s="53"/>
      <c r="U20" s="53"/>
      <c r="V20" s="53"/>
      <c r="W20" s="53"/>
      <c r="X20" s="53"/>
      <c r="Y20" s="53"/>
    </row>
    <row r="21" customFormat="false" ht="15" hidden="false" customHeight="false" outlineLevel="0" collapsed="false">
      <c r="B21" s="53"/>
      <c r="C21" s="53"/>
      <c r="D21" s="53"/>
      <c r="E21" s="53"/>
      <c r="F21" s="53"/>
      <c r="G21" s="53"/>
      <c r="H21" s="53"/>
      <c r="I21" s="53"/>
      <c r="J21" s="53"/>
      <c r="K21" s="53"/>
      <c r="L21" s="53"/>
      <c r="N21" s="53"/>
      <c r="O21" s="53"/>
      <c r="P21" s="53"/>
      <c r="Q21" s="53"/>
      <c r="R21" s="53"/>
      <c r="S21" s="53"/>
      <c r="T21" s="53"/>
      <c r="U21" s="53"/>
      <c r="V21" s="53"/>
      <c r="W21" s="53"/>
      <c r="X21" s="53"/>
      <c r="Y21" s="53"/>
    </row>
    <row r="22" customFormat="false" ht="15" hidden="false" customHeight="false" outlineLevel="0" collapsed="false">
      <c r="B22" s="53"/>
      <c r="C22" s="53"/>
      <c r="D22" s="53"/>
      <c r="E22" s="53"/>
      <c r="F22" s="53"/>
      <c r="G22" s="53"/>
      <c r="H22" s="53"/>
      <c r="I22" s="53"/>
      <c r="J22" s="53"/>
      <c r="K22" s="53"/>
      <c r="L22" s="53"/>
      <c r="N22" s="53"/>
      <c r="O22" s="53"/>
      <c r="P22" s="53"/>
      <c r="Q22" s="53"/>
      <c r="R22" s="53"/>
      <c r="S22" s="53"/>
      <c r="T22" s="53"/>
      <c r="U22" s="53"/>
      <c r="V22" s="53"/>
      <c r="W22" s="53"/>
      <c r="X22" s="53"/>
      <c r="Y22" s="53"/>
    </row>
    <row r="23" customFormat="false" ht="15" hidden="false" customHeight="false" outlineLevel="0" collapsed="false">
      <c r="B23" s="53"/>
      <c r="C23" s="53"/>
      <c r="D23" s="53"/>
      <c r="E23" s="53"/>
      <c r="F23" s="53"/>
      <c r="G23" s="53"/>
      <c r="H23" s="53"/>
      <c r="I23" s="53"/>
      <c r="J23" s="53"/>
      <c r="K23" s="53"/>
      <c r="L23" s="53"/>
      <c r="N23" s="53"/>
      <c r="O23" s="53"/>
      <c r="P23" s="53"/>
      <c r="Q23" s="53"/>
      <c r="R23" s="53"/>
      <c r="S23" s="53"/>
      <c r="T23" s="53"/>
      <c r="U23" s="53"/>
      <c r="V23" s="53"/>
      <c r="W23" s="53"/>
      <c r="X23" s="53"/>
      <c r="Y23" s="53"/>
    </row>
    <row r="24" customFormat="false" ht="15" hidden="false" customHeight="false" outlineLevel="0" collapsed="false">
      <c r="B24" s="53"/>
      <c r="C24" s="53"/>
      <c r="D24" s="53"/>
      <c r="E24" s="53"/>
      <c r="F24" s="53"/>
      <c r="G24" s="53"/>
      <c r="H24" s="53"/>
      <c r="I24" s="53"/>
      <c r="J24" s="53"/>
      <c r="K24" s="53"/>
      <c r="L24" s="53"/>
      <c r="N24" s="53"/>
      <c r="O24" s="53"/>
      <c r="P24" s="53"/>
      <c r="Q24" s="53"/>
      <c r="R24" s="53"/>
      <c r="S24" s="53"/>
      <c r="T24" s="53"/>
      <c r="U24" s="53"/>
      <c r="V24" s="53"/>
      <c r="W24" s="53"/>
      <c r="X24" s="53"/>
      <c r="Y24" s="53"/>
    </row>
    <row r="25" customFormat="false" ht="15" hidden="false" customHeight="false" outlineLevel="0" collapsed="false">
      <c r="B25" s="53"/>
      <c r="C25" s="53"/>
      <c r="D25" s="53"/>
      <c r="E25" s="53"/>
      <c r="F25" s="53"/>
      <c r="G25" s="53"/>
      <c r="H25" s="53"/>
      <c r="I25" s="53"/>
      <c r="J25" s="53"/>
      <c r="K25" s="53"/>
      <c r="L25" s="53"/>
      <c r="N25" s="53"/>
      <c r="O25" s="53"/>
      <c r="P25" s="53"/>
      <c r="Q25" s="53"/>
      <c r="R25" s="53"/>
      <c r="S25" s="53"/>
      <c r="T25" s="53"/>
      <c r="U25" s="53"/>
      <c r="V25" s="53"/>
      <c r="W25" s="53"/>
      <c r="X25" s="53"/>
      <c r="Y25" s="53"/>
    </row>
    <row r="26" customFormat="false" ht="15" hidden="false" customHeight="false" outlineLevel="0" collapsed="false">
      <c r="B26" s="53"/>
      <c r="C26" s="53"/>
      <c r="D26" s="53"/>
      <c r="E26" s="53"/>
      <c r="F26" s="53"/>
      <c r="G26" s="53"/>
      <c r="H26" s="53"/>
      <c r="I26" s="53"/>
      <c r="J26" s="53"/>
      <c r="K26" s="53"/>
      <c r="L26" s="53"/>
      <c r="N26" s="53"/>
      <c r="O26" s="53"/>
      <c r="P26" s="53"/>
      <c r="Q26" s="53"/>
      <c r="R26" s="53"/>
      <c r="S26" s="53"/>
      <c r="T26" s="53"/>
      <c r="U26" s="53"/>
      <c r="V26" s="53"/>
      <c r="W26" s="53"/>
      <c r="X26" s="53"/>
      <c r="Y26" s="53"/>
    </row>
    <row r="27" customFormat="false" ht="15" hidden="false" customHeight="false" outlineLevel="0" collapsed="false">
      <c r="B27" s="53"/>
      <c r="C27" s="53"/>
      <c r="D27" s="53"/>
      <c r="E27" s="53"/>
      <c r="F27" s="53"/>
      <c r="G27" s="53"/>
      <c r="H27" s="53"/>
      <c r="I27" s="53"/>
      <c r="J27" s="53"/>
      <c r="K27" s="53"/>
      <c r="L27" s="53"/>
      <c r="N27" s="53"/>
      <c r="O27" s="53"/>
      <c r="P27" s="53"/>
      <c r="Q27" s="53"/>
      <c r="R27" s="53"/>
      <c r="S27" s="53"/>
      <c r="T27" s="53"/>
      <c r="U27" s="53"/>
      <c r="V27" s="53"/>
      <c r="W27" s="53"/>
      <c r="X27" s="53"/>
      <c r="Y27" s="53"/>
    </row>
    <row r="28" customFormat="false" ht="15" hidden="false" customHeight="false" outlineLevel="0" collapsed="false">
      <c r="B28" s="53"/>
      <c r="C28" s="53"/>
      <c r="D28" s="53"/>
      <c r="E28" s="53"/>
      <c r="F28" s="53"/>
      <c r="G28" s="53"/>
      <c r="H28" s="53"/>
      <c r="I28" s="53"/>
      <c r="J28" s="53"/>
      <c r="K28" s="53"/>
      <c r="L28" s="53"/>
      <c r="N28" s="53"/>
      <c r="O28" s="53"/>
      <c r="P28" s="53"/>
      <c r="Q28" s="53"/>
      <c r="R28" s="53"/>
      <c r="S28" s="53"/>
      <c r="T28" s="53"/>
      <c r="U28" s="53"/>
      <c r="V28" s="53"/>
      <c r="W28" s="53"/>
      <c r="X28" s="53"/>
      <c r="Y28" s="53"/>
    </row>
    <row r="29" customFormat="false" ht="15" hidden="false" customHeight="false" outlineLevel="0" collapsed="false">
      <c r="B29" s="53"/>
      <c r="C29" s="53"/>
      <c r="D29" s="53"/>
      <c r="E29" s="53"/>
      <c r="F29" s="53"/>
      <c r="G29" s="53"/>
      <c r="H29" s="53"/>
      <c r="I29" s="53"/>
      <c r="J29" s="53"/>
      <c r="K29" s="53"/>
      <c r="L29" s="53"/>
      <c r="N29" s="53"/>
      <c r="O29" s="53"/>
      <c r="P29" s="53"/>
      <c r="Q29" s="53"/>
      <c r="R29" s="53"/>
      <c r="S29" s="53"/>
      <c r="T29" s="53"/>
      <c r="U29" s="53"/>
      <c r="V29" s="53"/>
      <c r="W29" s="53"/>
      <c r="X29" s="53"/>
      <c r="Y29" s="53"/>
    </row>
    <row r="30" customFormat="false" ht="15" hidden="false" customHeight="false" outlineLevel="0" collapsed="false">
      <c r="B30" s="53"/>
      <c r="C30" s="53"/>
      <c r="D30" s="53"/>
      <c r="E30" s="53"/>
      <c r="F30" s="53"/>
      <c r="G30" s="53"/>
      <c r="H30" s="53"/>
      <c r="I30" s="53"/>
      <c r="J30" s="53"/>
      <c r="K30" s="53"/>
      <c r="L30" s="53"/>
      <c r="N30" s="53"/>
      <c r="O30" s="53"/>
      <c r="P30" s="53"/>
      <c r="Q30" s="53"/>
      <c r="R30" s="53"/>
      <c r="S30" s="53"/>
      <c r="T30" s="53"/>
      <c r="U30" s="53"/>
      <c r="V30" s="53"/>
      <c r="W30" s="53"/>
      <c r="X30" s="53"/>
      <c r="Y30" s="53"/>
    </row>
    <row r="31" customFormat="false" ht="15" hidden="false" customHeight="false" outlineLevel="0" collapsed="false">
      <c r="B31" s="53"/>
      <c r="C31" s="53"/>
      <c r="D31" s="53"/>
      <c r="E31" s="53"/>
      <c r="F31" s="53"/>
      <c r="G31" s="53"/>
      <c r="H31" s="53"/>
      <c r="I31" s="53"/>
      <c r="J31" s="53"/>
      <c r="K31" s="53"/>
      <c r="L31" s="53"/>
      <c r="N31" s="53"/>
      <c r="O31" s="53"/>
      <c r="P31" s="53"/>
      <c r="Q31" s="53"/>
      <c r="R31" s="53"/>
      <c r="S31" s="53"/>
      <c r="T31" s="53"/>
      <c r="U31" s="53"/>
      <c r="V31" s="53"/>
      <c r="W31" s="53"/>
      <c r="X31" s="53"/>
      <c r="Y31" s="53"/>
    </row>
    <row r="32" customFormat="false" ht="15" hidden="false" customHeight="false" outlineLevel="0" collapsed="false">
      <c r="B32" s="53"/>
      <c r="C32" s="53"/>
      <c r="D32" s="53"/>
      <c r="E32" s="53"/>
      <c r="F32" s="53"/>
      <c r="G32" s="53"/>
      <c r="H32" s="53"/>
      <c r="I32" s="53"/>
      <c r="J32" s="53"/>
      <c r="K32" s="53"/>
      <c r="L32" s="53"/>
      <c r="N32" s="53"/>
      <c r="O32" s="53"/>
      <c r="P32" s="53"/>
      <c r="Q32" s="53"/>
      <c r="R32" s="53"/>
      <c r="S32" s="53"/>
      <c r="T32" s="53"/>
      <c r="U32" s="53"/>
      <c r="V32" s="53"/>
      <c r="W32" s="53"/>
      <c r="X32" s="53"/>
      <c r="Y32" s="53"/>
    </row>
    <row r="33" customFormat="false" ht="15" hidden="false" customHeight="false" outlineLevel="0" collapsed="false">
      <c r="B33" s="53"/>
      <c r="C33" s="53"/>
      <c r="D33" s="53"/>
      <c r="E33" s="53"/>
      <c r="F33" s="53"/>
      <c r="G33" s="53"/>
      <c r="H33" s="53"/>
      <c r="I33" s="53"/>
      <c r="J33" s="53"/>
      <c r="K33" s="53"/>
      <c r="L33" s="53"/>
      <c r="N33" s="53"/>
      <c r="O33" s="53"/>
      <c r="P33" s="53"/>
      <c r="Q33" s="53"/>
      <c r="R33" s="53"/>
      <c r="S33" s="53"/>
      <c r="T33" s="53"/>
      <c r="U33" s="53"/>
      <c r="V33" s="53"/>
      <c r="W33" s="53"/>
      <c r="X33" s="53"/>
      <c r="Y33" s="53"/>
    </row>
    <row r="34" customFormat="false" ht="15" hidden="false" customHeight="false" outlineLevel="0" collapsed="false">
      <c r="B34" s="53"/>
      <c r="C34" s="53"/>
      <c r="D34" s="53"/>
      <c r="E34" s="53"/>
      <c r="F34" s="53"/>
      <c r="G34" s="53"/>
      <c r="H34" s="53"/>
      <c r="I34" s="53"/>
      <c r="J34" s="53"/>
      <c r="K34" s="53"/>
      <c r="L34" s="53"/>
      <c r="N34" s="53"/>
      <c r="O34" s="53"/>
      <c r="P34" s="53"/>
      <c r="Q34" s="53"/>
      <c r="R34" s="53"/>
      <c r="S34" s="53"/>
      <c r="T34" s="53"/>
      <c r="U34" s="53"/>
      <c r="V34" s="53"/>
      <c r="W34" s="53"/>
      <c r="X34" s="53"/>
      <c r="Y34" s="53"/>
    </row>
    <row r="35" customFormat="false" ht="15" hidden="false" customHeight="false" outlineLevel="0" collapsed="false">
      <c r="B35" s="53"/>
      <c r="C35" s="53"/>
      <c r="D35" s="53"/>
      <c r="E35" s="53"/>
      <c r="F35" s="53"/>
      <c r="G35" s="53"/>
      <c r="H35" s="53"/>
      <c r="I35" s="53"/>
      <c r="J35" s="53"/>
      <c r="K35" s="53"/>
      <c r="L35" s="53"/>
      <c r="N35" s="53"/>
      <c r="O35" s="53"/>
      <c r="P35" s="53"/>
      <c r="Q35" s="53"/>
      <c r="R35" s="53"/>
      <c r="S35" s="53"/>
      <c r="T35" s="53"/>
      <c r="U35" s="53"/>
      <c r="V35" s="53"/>
      <c r="W35" s="53"/>
      <c r="X35" s="53"/>
      <c r="Y35" s="53"/>
    </row>
    <row r="36" customFormat="false" ht="15" hidden="false" customHeight="false" outlineLevel="0" collapsed="false">
      <c r="B36" s="53"/>
      <c r="C36" s="53"/>
      <c r="D36" s="53"/>
      <c r="E36" s="53"/>
      <c r="F36" s="53"/>
      <c r="G36" s="53"/>
      <c r="H36" s="53"/>
      <c r="I36" s="53"/>
      <c r="J36" s="53"/>
      <c r="K36" s="53"/>
      <c r="L36" s="53"/>
      <c r="N36" s="53"/>
      <c r="O36" s="53"/>
      <c r="P36" s="53"/>
      <c r="Q36" s="53"/>
      <c r="R36" s="53"/>
      <c r="S36" s="53"/>
      <c r="T36" s="53"/>
      <c r="U36" s="53"/>
      <c r="V36" s="53"/>
      <c r="W36" s="53"/>
      <c r="X36" s="53"/>
      <c r="Y36" s="53"/>
    </row>
    <row r="37" customFormat="false" ht="15" hidden="false" customHeight="false" outlineLevel="0" collapsed="false">
      <c r="B37" s="53"/>
      <c r="C37" s="53"/>
      <c r="D37" s="53"/>
      <c r="E37" s="53"/>
      <c r="F37" s="53"/>
      <c r="G37" s="53"/>
      <c r="H37" s="53"/>
      <c r="I37" s="53"/>
      <c r="J37" s="53"/>
      <c r="K37" s="53"/>
      <c r="L37" s="53"/>
      <c r="N37" s="53"/>
      <c r="O37" s="53"/>
      <c r="P37" s="53"/>
      <c r="Q37" s="53"/>
      <c r="R37" s="53"/>
      <c r="S37" s="53"/>
      <c r="T37" s="53"/>
      <c r="U37" s="53"/>
      <c r="V37" s="53"/>
      <c r="W37" s="53"/>
      <c r="X37" s="53"/>
      <c r="Y37" s="53"/>
    </row>
    <row r="38" customFormat="false" ht="15" hidden="false" customHeight="false" outlineLevel="0" collapsed="false">
      <c r="B38" s="53"/>
      <c r="C38" s="53"/>
      <c r="D38" s="53"/>
      <c r="E38" s="53"/>
      <c r="F38" s="53"/>
      <c r="G38" s="53"/>
      <c r="H38" s="53"/>
      <c r="I38" s="53"/>
      <c r="J38" s="53"/>
      <c r="K38" s="53"/>
      <c r="L38" s="53"/>
      <c r="N38" s="53"/>
      <c r="O38" s="53"/>
      <c r="P38" s="53"/>
      <c r="Q38" s="53"/>
      <c r="R38" s="53"/>
      <c r="S38" s="53"/>
      <c r="T38" s="53"/>
      <c r="U38" s="53"/>
      <c r="V38" s="53"/>
      <c r="W38" s="53"/>
      <c r="X38" s="53"/>
      <c r="Y38" s="53"/>
    </row>
    <row r="39" customFormat="false" ht="15" hidden="false" customHeight="false" outlineLevel="0" collapsed="false">
      <c r="B39" s="53"/>
      <c r="C39" s="53"/>
      <c r="D39" s="53"/>
      <c r="E39" s="53"/>
      <c r="F39" s="53"/>
      <c r="G39" s="53"/>
      <c r="H39" s="53"/>
      <c r="I39" s="53"/>
      <c r="J39" s="53"/>
      <c r="K39" s="53"/>
      <c r="L39" s="53"/>
      <c r="N39" s="53"/>
      <c r="O39" s="53"/>
      <c r="P39" s="53"/>
      <c r="Q39" s="53"/>
      <c r="R39" s="53"/>
      <c r="S39" s="53"/>
      <c r="T39" s="53"/>
      <c r="U39" s="53"/>
      <c r="V39" s="53"/>
      <c r="W39" s="53"/>
      <c r="X39" s="53"/>
      <c r="Y39" s="53"/>
    </row>
    <row r="40" customFormat="false" ht="15.75" hidden="false" customHeight="false" outlineLevel="0" collapsed="false">
      <c r="B40" s="53"/>
      <c r="C40" s="53"/>
      <c r="D40" s="53"/>
      <c r="E40" s="53"/>
      <c r="F40" s="53"/>
      <c r="G40" s="53"/>
      <c r="H40" s="53"/>
      <c r="I40" s="53"/>
      <c r="J40" s="53"/>
      <c r="K40" s="53"/>
      <c r="L40" s="53"/>
      <c r="N40" s="53"/>
      <c r="O40" s="53"/>
      <c r="P40" s="53"/>
      <c r="Q40" s="53"/>
      <c r="R40" s="53"/>
      <c r="S40" s="53"/>
      <c r="T40" s="53"/>
      <c r="U40" s="53"/>
      <c r="V40" s="53"/>
      <c r="W40" s="53"/>
      <c r="X40" s="53"/>
      <c r="Y40" s="53"/>
    </row>
    <row r="44" customFormat="false" ht="15.75" hidden="false" customHeight="false" outlineLevel="0" collapsed="false"/>
    <row r="45" customFormat="false" ht="15.75" hidden="false" customHeight="false" outlineLevel="0" collapsed="false">
      <c r="C45" s="54" t="s">
        <v>195</v>
      </c>
      <c r="D45" s="54"/>
      <c r="E45" s="54"/>
      <c r="F45" s="54"/>
      <c r="G45" s="54"/>
      <c r="H45" s="54"/>
      <c r="I45" s="54"/>
      <c r="O45" s="51" t="s">
        <v>196</v>
      </c>
      <c r="P45" s="51"/>
      <c r="Q45" s="51"/>
      <c r="R45" s="51"/>
      <c r="S45" s="51"/>
      <c r="T45" s="51"/>
      <c r="Z45" s="51" t="s">
        <v>197</v>
      </c>
      <c r="AA45" s="51"/>
      <c r="AB45" s="51"/>
      <c r="AC45" s="51"/>
      <c r="AD45" s="51"/>
      <c r="AE45" s="51"/>
      <c r="AF45" s="51"/>
      <c r="AG45" s="51"/>
      <c r="AH45" s="51"/>
    </row>
    <row r="46" customFormat="false" ht="15.75" hidden="false" customHeight="false" outlineLevel="0" collapsed="false">
      <c r="C46" s="55"/>
      <c r="D46" s="56"/>
      <c r="E46" s="56"/>
      <c r="F46" s="56"/>
      <c r="G46" s="56"/>
      <c r="H46" s="56"/>
      <c r="I46" s="57"/>
      <c r="O46" s="55"/>
      <c r="P46" s="56"/>
      <c r="Q46" s="56"/>
      <c r="R46" s="56"/>
      <c r="S46" s="56"/>
      <c r="T46" s="57"/>
      <c r="Z46" s="55"/>
      <c r="AA46" s="56"/>
      <c r="AB46" s="56"/>
      <c r="AC46" s="56"/>
      <c r="AD46" s="56"/>
      <c r="AE46" s="56"/>
      <c r="AF46" s="56"/>
      <c r="AG46" s="56"/>
      <c r="AH46" s="57"/>
    </row>
    <row r="47" customFormat="false" ht="15.75" hidden="false" customHeight="false" outlineLevel="0" collapsed="false">
      <c r="C47" s="58"/>
      <c r="D47" s="59"/>
      <c r="E47" s="59"/>
      <c r="F47" s="59"/>
      <c r="G47" s="59"/>
      <c r="H47" s="59"/>
      <c r="I47" s="60"/>
      <c r="O47" s="58"/>
      <c r="P47" s="59"/>
      <c r="Q47" s="59"/>
      <c r="R47" s="59"/>
      <c r="S47" s="59"/>
      <c r="T47" s="60"/>
      <c r="Z47" s="58"/>
      <c r="AA47" s="59"/>
      <c r="AB47" s="59"/>
      <c r="AC47" s="59"/>
      <c r="AD47" s="59"/>
      <c r="AE47" s="59"/>
      <c r="AF47" s="59"/>
      <c r="AG47" s="59"/>
      <c r="AH47" s="60"/>
      <c r="AK47" s="52" t="s">
        <v>198</v>
      </c>
      <c r="AL47" s="52"/>
      <c r="AM47" s="52"/>
    </row>
    <row r="48" customFormat="false" ht="15" hidden="false" customHeight="false" outlineLevel="0" collapsed="false">
      <c r="C48" s="58"/>
      <c r="D48" s="59"/>
      <c r="E48" s="59"/>
      <c r="F48" s="59"/>
      <c r="G48" s="59"/>
      <c r="H48" s="59"/>
      <c r="I48" s="60"/>
      <c r="O48" s="58"/>
      <c r="P48" s="59"/>
      <c r="Q48" s="59"/>
      <c r="R48" s="59"/>
      <c r="S48" s="59"/>
      <c r="T48" s="60"/>
      <c r="Z48" s="58"/>
      <c r="AA48" s="59"/>
      <c r="AB48" s="59"/>
      <c r="AC48" s="59"/>
      <c r="AD48" s="59"/>
      <c r="AE48" s="59"/>
      <c r="AF48" s="59"/>
      <c r="AG48" s="59"/>
      <c r="AH48" s="60"/>
      <c r="AK48" s="55"/>
      <c r="AL48" s="56"/>
      <c r="AM48" s="57"/>
    </row>
    <row r="49" customFormat="false" ht="15" hidden="false" customHeight="false" outlineLevel="0" collapsed="false">
      <c r="C49" s="58"/>
      <c r="D49" s="59"/>
      <c r="E49" s="59"/>
      <c r="F49" s="59"/>
      <c r="G49" s="59"/>
      <c r="H49" s="59"/>
      <c r="I49" s="60"/>
      <c r="O49" s="58"/>
      <c r="P49" s="59"/>
      <c r="Q49" s="59"/>
      <c r="R49" s="59"/>
      <c r="S49" s="59"/>
      <c r="T49" s="60"/>
      <c r="Z49" s="58"/>
      <c r="AA49" s="59"/>
      <c r="AB49" s="59"/>
      <c r="AC49" s="59"/>
      <c r="AD49" s="59"/>
      <c r="AE49" s="59"/>
      <c r="AF49" s="59"/>
      <c r="AG49" s="59"/>
      <c r="AH49" s="60"/>
      <c r="AK49" s="58"/>
      <c r="AL49" s="59"/>
      <c r="AM49" s="60"/>
    </row>
    <row r="50" customFormat="false" ht="15" hidden="false" customHeight="false" outlineLevel="0" collapsed="false">
      <c r="C50" s="58"/>
      <c r="D50" s="59"/>
      <c r="E50" s="59"/>
      <c r="F50" s="59"/>
      <c r="G50" s="59"/>
      <c r="H50" s="59"/>
      <c r="I50" s="60"/>
      <c r="O50" s="58"/>
      <c r="P50" s="59"/>
      <c r="Q50" s="59"/>
      <c r="R50" s="59"/>
      <c r="S50" s="59"/>
      <c r="T50" s="60"/>
      <c r="Z50" s="58"/>
      <c r="AA50" s="59"/>
      <c r="AB50" s="59"/>
      <c r="AC50" s="59"/>
      <c r="AD50" s="59"/>
      <c r="AE50" s="59"/>
      <c r="AF50" s="59"/>
      <c r="AG50" s="59"/>
      <c r="AH50" s="60"/>
      <c r="AK50" s="58"/>
      <c r="AL50" s="59"/>
      <c r="AM50" s="60"/>
    </row>
    <row r="51" customFormat="false" ht="15" hidden="false" customHeight="false" outlineLevel="0" collapsed="false">
      <c r="C51" s="58"/>
      <c r="D51" s="59"/>
      <c r="E51" s="59"/>
      <c r="F51" s="59"/>
      <c r="G51" s="59"/>
      <c r="H51" s="59"/>
      <c r="I51" s="60"/>
      <c r="O51" s="58"/>
      <c r="P51" s="59"/>
      <c r="Q51" s="59"/>
      <c r="R51" s="59"/>
      <c r="S51" s="59"/>
      <c r="T51" s="60"/>
      <c r="Z51" s="58"/>
      <c r="AA51" s="59"/>
      <c r="AB51" s="59"/>
      <c r="AC51" s="59"/>
      <c r="AD51" s="59"/>
      <c r="AE51" s="59"/>
      <c r="AF51" s="59"/>
      <c r="AG51" s="59"/>
      <c r="AH51" s="60"/>
      <c r="AK51" s="58"/>
      <c r="AL51" s="59"/>
      <c r="AM51" s="60"/>
    </row>
    <row r="52" customFormat="false" ht="15" hidden="false" customHeight="false" outlineLevel="0" collapsed="false">
      <c r="C52" s="58"/>
      <c r="D52" s="59"/>
      <c r="E52" s="59"/>
      <c r="F52" s="59"/>
      <c r="G52" s="59"/>
      <c r="H52" s="59"/>
      <c r="I52" s="60"/>
      <c r="O52" s="58"/>
      <c r="P52" s="59"/>
      <c r="Q52" s="59"/>
      <c r="R52" s="59"/>
      <c r="S52" s="59"/>
      <c r="T52" s="60"/>
      <c r="Z52" s="58"/>
      <c r="AA52" s="59"/>
      <c r="AB52" s="59"/>
      <c r="AC52" s="59"/>
      <c r="AD52" s="59"/>
      <c r="AE52" s="59"/>
      <c r="AF52" s="59"/>
      <c r="AG52" s="59"/>
      <c r="AH52" s="60"/>
      <c r="AK52" s="58"/>
      <c r="AL52" s="59"/>
      <c r="AM52" s="60"/>
    </row>
    <row r="53" customFormat="false" ht="15" hidden="false" customHeight="false" outlineLevel="0" collapsed="false">
      <c r="C53" s="58"/>
      <c r="D53" s="59"/>
      <c r="E53" s="59"/>
      <c r="F53" s="59"/>
      <c r="G53" s="59"/>
      <c r="H53" s="59"/>
      <c r="I53" s="60"/>
      <c r="O53" s="58"/>
      <c r="P53" s="59"/>
      <c r="Q53" s="59"/>
      <c r="R53" s="59"/>
      <c r="S53" s="59"/>
      <c r="T53" s="60"/>
      <c r="Z53" s="58"/>
      <c r="AA53" s="59"/>
      <c r="AB53" s="59"/>
      <c r="AC53" s="59"/>
      <c r="AD53" s="59"/>
      <c r="AE53" s="59"/>
      <c r="AF53" s="59"/>
      <c r="AG53" s="59"/>
      <c r="AH53" s="60"/>
      <c r="AK53" s="58"/>
      <c r="AL53" s="59"/>
      <c r="AM53" s="60"/>
    </row>
    <row r="54" customFormat="false" ht="15" hidden="false" customHeight="false" outlineLevel="0" collapsed="false">
      <c r="C54" s="58"/>
      <c r="D54" s="59"/>
      <c r="E54" s="59"/>
      <c r="F54" s="59"/>
      <c r="G54" s="59"/>
      <c r="H54" s="59"/>
      <c r="I54" s="60"/>
      <c r="O54" s="58"/>
      <c r="P54" s="59"/>
      <c r="Q54" s="59"/>
      <c r="R54" s="59"/>
      <c r="S54" s="59"/>
      <c r="T54" s="60"/>
      <c r="Z54" s="58"/>
      <c r="AA54" s="59"/>
      <c r="AB54" s="59"/>
      <c r="AC54" s="59"/>
      <c r="AD54" s="59"/>
      <c r="AE54" s="59"/>
      <c r="AF54" s="59"/>
      <c r="AG54" s="59"/>
      <c r="AH54" s="60"/>
      <c r="AK54" s="58"/>
      <c r="AL54" s="59"/>
      <c r="AM54" s="60"/>
    </row>
    <row r="55" customFormat="false" ht="15" hidden="false" customHeight="false" outlineLevel="0" collapsed="false">
      <c r="C55" s="58"/>
      <c r="D55" s="59"/>
      <c r="E55" s="59"/>
      <c r="F55" s="59"/>
      <c r="G55" s="59"/>
      <c r="H55" s="59"/>
      <c r="I55" s="60"/>
      <c r="O55" s="58"/>
      <c r="P55" s="59"/>
      <c r="Q55" s="59"/>
      <c r="R55" s="59"/>
      <c r="S55" s="59"/>
      <c r="T55" s="60"/>
      <c r="Z55" s="58"/>
      <c r="AA55" s="59"/>
      <c r="AB55" s="59"/>
      <c r="AC55" s="59"/>
      <c r="AD55" s="59"/>
      <c r="AE55" s="59"/>
      <c r="AF55" s="59"/>
      <c r="AG55" s="59"/>
      <c r="AH55" s="60"/>
      <c r="AK55" s="58"/>
      <c r="AL55" s="59"/>
      <c r="AM55" s="60"/>
    </row>
    <row r="56" customFormat="false" ht="15" hidden="false" customHeight="false" outlineLevel="0" collapsed="false">
      <c r="C56" s="58"/>
      <c r="D56" s="59"/>
      <c r="E56" s="59"/>
      <c r="F56" s="59"/>
      <c r="G56" s="59"/>
      <c r="H56" s="59"/>
      <c r="I56" s="60"/>
      <c r="O56" s="58"/>
      <c r="P56" s="59"/>
      <c r="Q56" s="59"/>
      <c r="R56" s="59"/>
      <c r="S56" s="59"/>
      <c r="T56" s="60"/>
      <c r="Z56" s="58"/>
      <c r="AA56" s="59"/>
      <c r="AB56" s="59"/>
      <c r="AC56" s="59"/>
      <c r="AD56" s="59"/>
      <c r="AE56" s="59"/>
      <c r="AF56" s="59"/>
      <c r="AG56" s="59"/>
      <c r="AH56" s="60"/>
      <c r="AK56" s="58"/>
      <c r="AL56" s="59"/>
      <c r="AM56" s="60"/>
    </row>
    <row r="57" customFormat="false" ht="15" hidden="false" customHeight="false" outlineLevel="0" collapsed="false">
      <c r="C57" s="58"/>
      <c r="D57" s="59"/>
      <c r="E57" s="59"/>
      <c r="F57" s="59"/>
      <c r="G57" s="59"/>
      <c r="H57" s="59"/>
      <c r="I57" s="60"/>
      <c r="O57" s="58"/>
      <c r="P57" s="59"/>
      <c r="Q57" s="59"/>
      <c r="R57" s="59"/>
      <c r="S57" s="59"/>
      <c r="T57" s="60"/>
      <c r="Z57" s="58"/>
      <c r="AA57" s="59"/>
      <c r="AB57" s="59"/>
      <c r="AC57" s="59"/>
      <c r="AD57" s="59"/>
      <c r="AE57" s="59"/>
      <c r="AF57" s="59"/>
      <c r="AG57" s="59"/>
      <c r="AH57" s="60"/>
      <c r="AK57" s="58"/>
      <c r="AL57" s="59"/>
      <c r="AM57" s="60"/>
    </row>
    <row r="58" customFormat="false" ht="15.75" hidden="false" customHeight="false" outlineLevel="0" collapsed="false">
      <c r="C58" s="58"/>
      <c r="D58" s="59"/>
      <c r="E58" s="59"/>
      <c r="F58" s="59"/>
      <c r="G58" s="59"/>
      <c r="H58" s="59"/>
      <c r="I58" s="60"/>
      <c r="O58" s="58"/>
      <c r="P58" s="59"/>
      <c r="Q58" s="59"/>
      <c r="R58" s="59"/>
      <c r="S58" s="59"/>
      <c r="T58" s="60"/>
      <c r="Z58" s="58"/>
      <c r="AA58" s="59"/>
      <c r="AB58" s="59"/>
      <c r="AC58" s="59"/>
      <c r="AD58" s="59"/>
      <c r="AE58" s="59"/>
      <c r="AF58" s="59"/>
      <c r="AG58" s="59"/>
      <c r="AH58" s="60"/>
      <c r="AK58" s="61"/>
      <c r="AL58" s="62"/>
      <c r="AM58" s="63"/>
    </row>
    <row r="59" customFormat="false" ht="15.75" hidden="false" customHeight="false" outlineLevel="0" collapsed="false">
      <c r="C59" s="61"/>
      <c r="D59" s="62"/>
      <c r="E59" s="62"/>
      <c r="F59" s="62"/>
      <c r="G59" s="62"/>
      <c r="H59" s="62"/>
      <c r="I59" s="63"/>
      <c r="J59" s="64"/>
      <c r="K59" s="64"/>
      <c r="L59" s="64"/>
      <c r="O59" s="58"/>
      <c r="P59" s="59"/>
      <c r="Q59" s="59"/>
      <c r="R59" s="59"/>
      <c r="S59" s="59"/>
      <c r="T59" s="60"/>
      <c r="Z59" s="58"/>
      <c r="AA59" s="59"/>
      <c r="AB59" s="59"/>
      <c r="AC59" s="59"/>
      <c r="AD59" s="59"/>
      <c r="AE59" s="59"/>
      <c r="AF59" s="59"/>
      <c r="AG59" s="59"/>
      <c r="AH59" s="60"/>
    </row>
    <row r="60" customFormat="false" ht="15.75" hidden="false" customHeight="false" outlineLevel="0" collapsed="false">
      <c r="O60" s="58"/>
      <c r="P60" s="59"/>
      <c r="Q60" s="59"/>
      <c r="R60" s="59"/>
      <c r="S60" s="59"/>
      <c r="T60" s="60"/>
      <c r="Z60" s="58"/>
      <c r="AA60" s="59"/>
      <c r="AB60" s="59"/>
      <c r="AC60" s="59"/>
      <c r="AD60" s="59"/>
      <c r="AE60" s="59"/>
      <c r="AF60" s="59"/>
      <c r="AG60" s="59"/>
      <c r="AH60" s="60"/>
    </row>
    <row r="61" customFormat="false" ht="15.75" hidden="false" customHeight="false" outlineLevel="0" collapsed="false">
      <c r="J61" s="64"/>
      <c r="K61" s="64"/>
      <c r="L61" s="64"/>
      <c r="O61" s="61"/>
      <c r="P61" s="62"/>
      <c r="Q61" s="62"/>
      <c r="R61" s="62"/>
      <c r="S61" s="62"/>
      <c r="T61" s="63"/>
      <c r="Z61" s="58"/>
      <c r="AA61" s="59"/>
      <c r="AB61" s="59"/>
      <c r="AC61" s="59"/>
      <c r="AD61" s="59"/>
      <c r="AE61" s="59"/>
      <c r="AF61" s="59"/>
      <c r="AG61" s="59"/>
      <c r="AH61" s="60"/>
      <c r="AK61" s="52" t="s">
        <v>199</v>
      </c>
      <c r="AL61" s="52"/>
      <c r="AM61" s="52"/>
    </row>
    <row r="62" customFormat="false" ht="15" hidden="false" customHeight="false" outlineLevel="0" collapsed="false">
      <c r="I62" s="64"/>
      <c r="J62" s="64"/>
      <c r="K62" s="64"/>
      <c r="L62" s="64"/>
      <c r="Z62" s="58"/>
      <c r="AA62" s="59"/>
      <c r="AB62" s="59"/>
      <c r="AC62" s="59"/>
      <c r="AD62" s="59"/>
      <c r="AE62" s="59"/>
      <c r="AF62" s="59"/>
      <c r="AG62" s="59"/>
      <c r="AH62" s="60"/>
      <c r="AK62" s="55"/>
      <c r="AL62" s="56"/>
      <c r="AM62" s="57"/>
    </row>
    <row r="63" customFormat="false" ht="15" hidden="false" customHeight="false" outlineLevel="0" collapsed="false">
      <c r="I63" s="64"/>
      <c r="Z63" s="58"/>
      <c r="AA63" s="59"/>
      <c r="AB63" s="59"/>
      <c r="AC63" s="59"/>
      <c r="AD63" s="59"/>
      <c r="AE63" s="59"/>
      <c r="AF63" s="59"/>
      <c r="AG63" s="59"/>
      <c r="AH63" s="60"/>
      <c r="AK63" s="58"/>
      <c r="AL63" s="59"/>
      <c r="AM63" s="60"/>
    </row>
    <row r="64" customFormat="false" ht="15.75" hidden="false" customHeight="false" outlineLevel="0" collapsed="false">
      <c r="Z64" s="58"/>
      <c r="AA64" s="59"/>
      <c r="AB64" s="59"/>
      <c r="AC64" s="59"/>
      <c r="AD64" s="59"/>
      <c r="AE64" s="59"/>
      <c r="AF64" s="59"/>
      <c r="AG64" s="59"/>
      <c r="AH64" s="60"/>
      <c r="AK64" s="58"/>
      <c r="AL64" s="59"/>
      <c r="AM64" s="60"/>
    </row>
    <row r="65" customFormat="false" ht="15.75" hidden="false" customHeight="false" outlineLevel="0" collapsed="false">
      <c r="C65" s="65" t="s">
        <v>200</v>
      </c>
      <c r="D65" s="65"/>
      <c r="E65" s="65"/>
      <c r="F65" s="65"/>
      <c r="G65" s="65"/>
      <c r="H65" s="65"/>
      <c r="I65" s="65"/>
      <c r="J65" s="65"/>
      <c r="K65" s="65"/>
      <c r="L65" s="65"/>
      <c r="M65" s="65"/>
      <c r="Z65" s="58"/>
      <c r="AA65" s="59"/>
      <c r="AB65" s="59"/>
      <c r="AC65" s="59"/>
      <c r="AD65" s="59"/>
      <c r="AE65" s="59"/>
      <c r="AF65" s="59"/>
      <c r="AG65" s="59"/>
      <c r="AH65" s="60"/>
      <c r="AK65" s="58"/>
      <c r="AL65" s="59"/>
      <c r="AM65" s="60"/>
    </row>
    <row r="66" customFormat="false" ht="15" hidden="false" customHeight="false" outlineLevel="0" collapsed="false">
      <c r="C66" s="66"/>
      <c r="D66" s="66"/>
      <c r="E66" s="66"/>
      <c r="F66" s="66"/>
      <c r="G66" s="66"/>
      <c r="H66" s="66"/>
      <c r="I66" s="66"/>
      <c r="J66" s="66"/>
      <c r="K66" s="66"/>
      <c r="L66" s="66"/>
      <c r="M66" s="66"/>
      <c r="Z66" s="58"/>
      <c r="AA66" s="59"/>
      <c r="AB66" s="59"/>
      <c r="AC66" s="59"/>
      <c r="AD66" s="59"/>
      <c r="AE66" s="59"/>
      <c r="AF66" s="59"/>
      <c r="AG66" s="59"/>
      <c r="AH66" s="60"/>
      <c r="AK66" s="58"/>
      <c r="AL66" s="59"/>
      <c r="AM66" s="60"/>
    </row>
    <row r="67" customFormat="false" ht="15" hidden="false" customHeight="false" outlineLevel="0" collapsed="false">
      <c r="C67" s="66"/>
      <c r="D67" s="66"/>
      <c r="E67" s="66"/>
      <c r="F67" s="66"/>
      <c r="G67" s="66"/>
      <c r="H67" s="66"/>
      <c r="I67" s="66"/>
      <c r="J67" s="66"/>
      <c r="K67" s="66"/>
      <c r="L67" s="66"/>
      <c r="M67" s="66"/>
      <c r="Z67" s="58"/>
      <c r="AA67" s="59"/>
      <c r="AB67" s="59"/>
      <c r="AC67" s="59"/>
      <c r="AD67" s="59"/>
      <c r="AE67" s="59"/>
      <c r="AF67" s="59"/>
      <c r="AG67" s="59"/>
      <c r="AH67" s="60"/>
      <c r="AK67" s="58"/>
      <c r="AL67" s="59"/>
      <c r="AM67" s="60"/>
    </row>
    <row r="68" customFormat="false" ht="15" hidden="false" customHeight="false" outlineLevel="0" collapsed="false">
      <c r="C68" s="66"/>
      <c r="D68" s="66"/>
      <c r="E68" s="66"/>
      <c r="F68" s="66"/>
      <c r="G68" s="66"/>
      <c r="H68" s="66"/>
      <c r="I68" s="66"/>
      <c r="J68" s="66"/>
      <c r="K68" s="66"/>
      <c r="L68" s="66"/>
      <c r="M68" s="66"/>
      <c r="Z68" s="58"/>
      <c r="AA68" s="59"/>
      <c r="AB68" s="59"/>
      <c r="AC68" s="59"/>
      <c r="AD68" s="59"/>
      <c r="AE68" s="59"/>
      <c r="AF68" s="59"/>
      <c r="AG68" s="59"/>
      <c r="AH68" s="60"/>
      <c r="AK68" s="58"/>
      <c r="AL68" s="59"/>
      <c r="AM68" s="60"/>
    </row>
    <row r="69" customFormat="false" ht="15" hidden="false" customHeight="false" outlineLevel="0" collapsed="false">
      <c r="C69" s="66"/>
      <c r="D69" s="66"/>
      <c r="E69" s="66"/>
      <c r="F69" s="66"/>
      <c r="G69" s="66"/>
      <c r="H69" s="66"/>
      <c r="I69" s="66"/>
      <c r="J69" s="66"/>
      <c r="K69" s="66"/>
      <c r="L69" s="66"/>
      <c r="M69" s="66"/>
      <c r="Z69" s="58"/>
      <c r="AA69" s="59"/>
      <c r="AB69" s="59"/>
      <c r="AC69" s="59"/>
      <c r="AD69" s="59"/>
      <c r="AE69" s="59"/>
      <c r="AF69" s="59"/>
      <c r="AG69" s="59"/>
      <c r="AH69" s="60"/>
      <c r="AK69" s="58"/>
      <c r="AL69" s="59"/>
      <c r="AM69" s="60"/>
    </row>
    <row r="70" customFormat="false" ht="15.75" hidden="false" customHeight="false" outlineLevel="0" collapsed="false">
      <c r="C70" s="66"/>
      <c r="D70" s="66"/>
      <c r="E70" s="66"/>
      <c r="F70" s="66"/>
      <c r="G70" s="66"/>
      <c r="H70" s="66"/>
      <c r="I70" s="66"/>
      <c r="J70" s="66"/>
      <c r="K70" s="66"/>
      <c r="L70" s="66"/>
      <c r="M70" s="66"/>
      <c r="Z70" s="61"/>
      <c r="AA70" s="62"/>
      <c r="AB70" s="62"/>
      <c r="AC70" s="62"/>
      <c r="AD70" s="62"/>
      <c r="AE70" s="62"/>
      <c r="AF70" s="62"/>
      <c r="AG70" s="62"/>
      <c r="AH70" s="63"/>
      <c r="AK70" s="58"/>
      <c r="AL70" s="59"/>
      <c r="AM70" s="60"/>
    </row>
    <row r="71" customFormat="false" ht="15" hidden="false" customHeight="false" outlineLevel="0" collapsed="false">
      <c r="C71" s="66"/>
      <c r="D71" s="66"/>
      <c r="E71" s="66"/>
      <c r="F71" s="66"/>
      <c r="G71" s="66"/>
      <c r="H71" s="66"/>
      <c r="I71" s="66"/>
      <c r="J71" s="66"/>
      <c r="K71" s="66"/>
      <c r="L71" s="66"/>
      <c r="M71" s="66"/>
      <c r="AK71" s="58"/>
      <c r="AL71" s="59"/>
      <c r="AM71" s="60"/>
    </row>
    <row r="72" customFormat="false" ht="15.75" hidden="false" customHeight="false" outlineLevel="0" collapsed="false">
      <c r="C72" s="66"/>
      <c r="D72" s="66"/>
      <c r="E72" s="66"/>
      <c r="F72" s="66"/>
      <c r="G72" s="66"/>
      <c r="H72" s="66"/>
      <c r="I72" s="66"/>
      <c r="J72" s="66"/>
      <c r="K72" s="66"/>
      <c r="L72" s="66"/>
      <c r="M72" s="66"/>
      <c r="AK72" s="61"/>
      <c r="AL72" s="62"/>
      <c r="AM72" s="63"/>
    </row>
    <row r="73" customFormat="false" ht="15.75" hidden="false" customHeight="false" outlineLevel="0" collapsed="false">
      <c r="C73" s="66"/>
      <c r="D73" s="66"/>
      <c r="E73" s="66"/>
      <c r="F73" s="66"/>
      <c r="G73" s="66"/>
      <c r="H73" s="66"/>
      <c r="I73" s="66"/>
      <c r="J73" s="66"/>
      <c r="K73" s="66"/>
      <c r="L73" s="66"/>
      <c r="M73" s="66"/>
    </row>
    <row r="74" customFormat="false" ht="15.75" hidden="false" customHeight="false" outlineLevel="0" collapsed="false">
      <c r="C74" s="66"/>
      <c r="D74" s="66"/>
      <c r="E74" s="66"/>
      <c r="F74" s="66"/>
      <c r="G74" s="66"/>
      <c r="H74" s="66"/>
      <c r="I74" s="66"/>
      <c r="J74" s="66"/>
      <c r="K74" s="66"/>
      <c r="L74" s="66"/>
      <c r="M74" s="66"/>
      <c r="U74" s="52" t="s">
        <v>201</v>
      </c>
      <c r="V74" s="52"/>
      <c r="W74" s="52"/>
      <c r="X74" s="52"/>
      <c r="Y74" s="52"/>
      <c r="Z74" s="52"/>
      <c r="AA74" s="52"/>
      <c r="AB74" s="52"/>
      <c r="AC74" s="52"/>
      <c r="AD74" s="52"/>
    </row>
    <row r="75" customFormat="false" ht="15" hidden="false" customHeight="false" outlineLevel="0" collapsed="false">
      <c r="C75" s="66"/>
      <c r="D75" s="66"/>
      <c r="E75" s="66"/>
      <c r="F75" s="66"/>
      <c r="G75" s="66"/>
      <c r="H75" s="66"/>
      <c r="I75" s="66"/>
      <c r="J75" s="66"/>
      <c r="K75" s="66"/>
      <c r="L75" s="66"/>
      <c r="M75" s="66"/>
      <c r="U75" s="55"/>
      <c r="V75" s="56"/>
      <c r="W75" s="56"/>
      <c r="X75" s="56"/>
      <c r="Y75" s="56"/>
      <c r="Z75" s="56"/>
      <c r="AA75" s="56"/>
      <c r="AB75" s="56"/>
      <c r="AC75" s="56"/>
      <c r="AD75" s="57"/>
    </row>
    <row r="76" customFormat="false" ht="15" hidden="false" customHeight="false" outlineLevel="0" collapsed="false">
      <c r="C76" s="66"/>
      <c r="D76" s="66"/>
      <c r="E76" s="66"/>
      <c r="F76" s="66"/>
      <c r="G76" s="66"/>
      <c r="H76" s="66"/>
      <c r="I76" s="66"/>
      <c r="J76" s="66"/>
      <c r="K76" s="66"/>
      <c r="L76" s="66"/>
      <c r="M76" s="66"/>
      <c r="U76" s="58"/>
      <c r="V76" s="59"/>
      <c r="W76" s="59"/>
      <c r="X76" s="59"/>
      <c r="Y76" s="59"/>
      <c r="Z76" s="59"/>
      <c r="AA76" s="59"/>
      <c r="AB76" s="59"/>
      <c r="AC76" s="59"/>
      <c r="AD76" s="60"/>
    </row>
    <row r="77" customFormat="false" ht="15" hidden="false" customHeight="false" outlineLevel="0" collapsed="false">
      <c r="C77" s="66"/>
      <c r="D77" s="66"/>
      <c r="E77" s="66"/>
      <c r="F77" s="66"/>
      <c r="G77" s="66"/>
      <c r="H77" s="66"/>
      <c r="I77" s="66"/>
      <c r="J77" s="66"/>
      <c r="K77" s="66"/>
      <c r="L77" s="66"/>
      <c r="M77" s="66"/>
      <c r="U77" s="58"/>
      <c r="V77" s="59"/>
      <c r="W77" s="59"/>
      <c r="X77" s="59"/>
      <c r="Y77" s="59"/>
      <c r="Z77" s="59"/>
      <c r="AA77" s="59"/>
      <c r="AB77" s="59"/>
      <c r="AC77" s="59"/>
      <c r="AD77" s="60"/>
    </row>
    <row r="78" customFormat="false" ht="15" hidden="false" customHeight="false" outlineLevel="0" collapsed="false">
      <c r="C78" s="66"/>
      <c r="D78" s="66"/>
      <c r="E78" s="66"/>
      <c r="F78" s="66"/>
      <c r="G78" s="66"/>
      <c r="H78" s="66"/>
      <c r="I78" s="66"/>
      <c r="J78" s="66"/>
      <c r="K78" s="66"/>
      <c r="L78" s="66"/>
      <c r="M78" s="66"/>
      <c r="U78" s="58"/>
      <c r="V78" s="59"/>
      <c r="W78" s="59"/>
      <c r="X78" s="59"/>
      <c r="Y78" s="59"/>
      <c r="Z78" s="59"/>
      <c r="AA78" s="59"/>
      <c r="AB78" s="59"/>
      <c r="AC78" s="59"/>
      <c r="AD78" s="60"/>
    </row>
    <row r="79" customFormat="false" ht="15" hidden="false" customHeight="false" outlineLevel="0" collapsed="false">
      <c r="C79" s="66"/>
      <c r="D79" s="66"/>
      <c r="E79" s="66"/>
      <c r="F79" s="66"/>
      <c r="G79" s="66"/>
      <c r="H79" s="66"/>
      <c r="I79" s="66"/>
      <c r="J79" s="66"/>
      <c r="K79" s="66"/>
      <c r="L79" s="66"/>
      <c r="M79" s="66"/>
      <c r="U79" s="58"/>
      <c r="V79" s="59"/>
      <c r="W79" s="59"/>
      <c r="X79" s="59"/>
      <c r="Y79" s="59"/>
      <c r="Z79" s="59"/>
      <c r="AA79" s="59"/>
      <c r="AB79" s="59"/>
      <c r="AC79" s="59"/>
      <c r="AD79" s="60"/>
    </row>
    <row r="80" customFormat="false" ht="15" hidden="false" customHeight="false" outlineLevel="0" collapsed="false">
      <c r="C80" s="66"/>
      <c r="D80" s="66"/>
      <c r="E80" s="66"/>
      <c r="F80" s="66"/>
      <c r="G80" s="66"/>
      <c r="H80" s="66"/>
      <c r="I80" s="66"/>
      <c r="J80" s="66"/>
      <c r="K80" s="66"/>
      <c r="L80" s="66"/>
      <c r="M80" s="66"/>
      <c r="U80" s="58"/>
      <c r="V80" s="59"/>
      <c r="W80" s="59"/>
      <c r="X80" s="59"/>
      <c r="Y80" s="59"/>
      <c r="Z80" s="59"/>
      <c r="AA80" s="59"/>
      <c r="AB80" s="59"/>
      <c r="AC80" s="59"/>
      <c r="AD80" s="60"/>
    </row>
    <row r="81" customFormat="false" ht="15" hidden="false" customHeight="false" outlineLevel="0" collapsed="false">
      <c r="C81" s="66"/>
      <c r="D81" s="66"/>
      <c r="E81" s="66"/>
      <c r="F81" s="66"/>
      <c r="G81" s="66"/>
      <c r="H81" s="66"/>
      <c r="I81" s="66"/>
      <c r="J81" s="66"/>
      <c r="K81" s="66"/>
      <c r="L81" s="66"/>
      <c r="M81" s="66"/>
      <c r="U81" s="58"/>
      <c r="V81" s="59"/>
      <c r="W81" s="59"/>
      <c r="X81" s="59"/>
      <c r="Y81" s="59"/>
      <c r="Z81" s="59"/>
      <c r="AA81" s="59"/>
      <c r="AB81" s="59"/>
      <c r="AC81" s="59"/>
      <c r="AD81" s="60"/>
    </row>
    <row r="82" customFormat="false" ht="15.75" hidden="false" customHeight="false" outlineLevel="0" collapsed="false">
      <c r="C82" s="66"/>
      <c r="D82" s="66"/>
      <c r="E82" s="66"/>
      <c r="F82" s="66"/>
      <c r="G82" s="66"/>
      <c r="H82" s="66"/>
      <c r="I82" s="66"/>
      <c r="J82" s="66"/>
      <c r="K82" s="66"/>
      <c r="L82" s="66"/>
      <c r="M82" s="66"/>
      <c r="U82" s="58"/>
      <c r="V82" s="59"/>
      <c r="W82" s="59"/>
      <c r="X82" s="59"/>
      <c r="Y82" s="59"/>
      <c r="Z82" s="59"/>
      <c r="AA82" s="59"/>
      <c r="AB82" s="59"/>
      <c r="AC82" s="59"/>
      <c r="AD82" s="60"/>
    </row>
    <row r="83" customFormat="false" ht="15" hidden="false" customHeight="false" outlineLevel="0" collapsed="false">
      <c r="U83" s="58"/>
      <c r="V83" s="59"/>
      <c r="W83" s="59"/>
      <c r="X83" s="59"/>
      <c r="Y83" s="59"/>
      <c r="Z83" s="59"/>
      <c r="AA83" s="59"/>
      <c r="AB83" s="59"/>
      <c r="AC83" s="59"/>
      <c r="AD83" s="60"/>
    </row>
    <row r="84" customFormat="false" ht="15" hidden="false" customHeight="false" outlineLevel="0" collapsed="false">
      <c r="U84" s="58"/>
      <c r="V84" s="59"/>
      <c r="W84" s="59"/>
      <c r="X84" s="59"/>
      <c r="Y84" s="59"/>
      <c r="Z84" s="59"/>
      <c r="AA84" s="59"/>
      <c r="AB84" s="59"/>
      <c r="AC84" s="59"/>
      <c r="AD84" s="60"/>
    </row>
    <row r="85" customFormat="false" ht="15.75" hidden="false" customHeight="false" outlineLevel="0" collapsed="false">
      <c r="U85" s="58"/>
      <c r="V85" s="59"/>
      <c r="W85" s="59"/>
      <c r="X85" s="59"/>
      <c r="Y85" s="59"/>
      <c r="Z85" s="59"/>
      <c r="AA85" s="59"/>
      <c r="AC85" s="59"/>
      <c r="AD85" s="60"/>
    </row>
    <row r="86" customFormat="false" ht="15.75" hidden="false" customHeight="false" outlineLevel="0" collapsed="false">
      <c r="C86" s="52" t="s">
        <v>202</v>
      </c>
      <c r="D86" s="52"/>
      <c r="E86" s="52"/>
      <c r="F86" s="52"/>
      <c r="G86" s="52"/>
      <c r="H86" s="52"/>
      <c r="I86" s="52"/>
      <c r="J86" s="52"/>
      <c r="U86" s="58"/>
      <c r="V86" s="59"/>
      <c r="W86" s="59"/>
      <c r="X86" s="59"/>
      <c r="Y86" s="59"/>
      <c r="Z86" s="59"/>
      <c r="AA86" s="59"/>
      <c r="AB86" s="59"/>
      <c r="AC86" s="59"/>
      <c r="AD86" s="60"/>
    </row>
    <row r="87" customFormat="false" ht="15" hidden="false" customHeight="false" outlineLevel="0" collapsed="false">
      <c r="C87" s="55"/>
      <c r="D87" s="56"/>
      <c r="E87" s="56"/>
      <c r="F87" s="56"/>
      <c r="G87" s="56"/>
      <c r="H87" s="56"/>
      <c r="I87" s="56"/>
      <c r="J87" s="57"/>
      <c r="U87" s="58"/>
      <c r="V87" s="59"/>
      <c r="W87" s="59"/>
      <c r="X87" s="59"/>
      <c r="Y87" s="59"/>
      <c r="Z87" s="59"/>
      <c r="AA87" s="59"/>
      <c r="AB87" s="59"/>
      <c r="AC87" s="59"/>
      <c r="AD87" s="60"/>
    </row>
    <row r="88" customFormat="false" ht="15" hidden="false" customHeight="false" outlineLevel="0" collapsed="false">
      <c r="C88" s="58"/>
      <c r="D88" s="59"/>
      <c r="E88" s="59"/>
      <c r="F88" s="59"/>
      <c r="G88" s="59"/>
      <c r="H88" s="59"/>
      <c r="I88" s="59"/>
      <c r="J88" s="60"/>
      <c r="U88" s="58"/>
      <c r="V88" s="59"/>
      <c r="W88" s="59"/>
      <c r="X88" s="59"/>
      <c r="Y88" s="59"/>
      <c r="Z88" s="59"/>
      <c r="AA88" s="59"/>
      <c r="AB88" s="59"/>
      <c r="AC88" s="59"/>
      <c r="AD88" s="60"/>
    </row>
    <row r="89" customFormat="false" ht="15" hidden="false" customHeight="false" outlineLevel="0" collapsed="false">
      <c r="C89" s="58"/>
      <c r="D89" s="59"/>
      <c r="E89" s="59"/>
      <c r="F89" s="59"/>
      <c r="G89" s="59"/>
      <c r="H89" s="59"/>
      <c r="I89" s="59"/>
      <c r="J89" s="60"/>
      <c r="U89" s="58"/>
      <c r="V89" s="59"/>
      <c r="W89" s="59"/>
      <c r="X89" s="59"/>
      <c r="Y89" s="59"/>
      <c r="Z89" s="59"/>
      <c r="AA89" s="59"/>
      <c r="AB89" s="59"/>
      <c r="AC89" s="59"/>
      <c r="AD89" s="60"/>
    </row>
    <row r="90" customFormat="false" ht="15.75" hidden="false" customHeight="false" outlineLevel="0" collapsed="false">
      <c r="C90" s="58"/>
      <c r="D90" s="59"/>
      <c r="E90" s="59"/>
      <c r="F90" s="59"/>
      <c r="G90" s="59"/>
      <c r="H90" s="59"/>
      <c r="I90" s="59"/>
      <c r="J90" s="60"/>
      <c r="U90" s="61"/>
      <c r="V90" s="62"/>
      <c r="W90" s="62"/>
      <c r="X90" s="62"/>
      <c r="Y90" s="62"/>
      <c r="Z90" s="62"/>
      <c r="AA90" s="62"/>
      <c r="AB90" s="62"/>
      <c r="AC90" s="62"/>
      <c r="AD90" s="63"/>
    </row>
    <row r="91" customFormat="false" ht="15" hidden="false" customHeight="false" outlineLevel="0" collapsed="false">
      <c r="C91" s="58"/>
      <c r="D91" s="59"/>
      <c r="E91" s="59"/>
      <c r="F91" s="59"/>
      <c r="G91" s="59"/>
      <c r="H91" s="59"/>
      <c r="I91" s="59"/>
      <c r="J91" s="60"/>
    </row>
    <row r="92" customFormat="false" ht="15" hidden="false" customHeight="false" outlineLevel="0" collapsed="false">
      <c r="C92" s="58"/>
      <c r="D92" s="59"/>
      <c r="E92" s="59"/>
      <c r="F92" s="59"/>
      <c r="G92" s="59"/>
      <c r="H92" s="59"/>
      <c r="I92" s="59"/>
      <c r="J92" s="60"/>
    </row>
    <row r="93" customFormat="false" ht="15" hidden="false" customHeight="false" outlineLevel="0" collapsed="false">
      <c r="C93" s="58"/>
      <c r="D93" s="59"/>
      <c r="E93" s="59"/>
      <c r="F93" s="59"/>
      <c r="G93" s="59"/>
      <c r="H93" s="59"/>
      <c r="I93" s="59"/>
      <c r="J93" s="60"/>
    </row>
    <row r="94" customFormat="false" ht="15" hidden="false" customHeight="false" outlineLevel="0" collapsed="false">
      <c r="C94" s="58"/>
      <c r="D94" s="59"/>
      <c r="E94" s="59"/>
      <c r="F94" s="59"/>
      <c r="G94" s="59"/>
      <c r="H94" s="59"/>
      <c r="I94" s="59"/>
      <c r="J94" s="60"/>
    </row>
    <row r="95" customFormat="false" ht="15" hidden="false" customHeight="false" outlineLevel="0" collapsed="false">
      <c r="C95" s="58"/>
      <c r="D95" s="59"/>
      <c r="E95" s="59"/>
      <c r="F95" s="59"/>
      <c r="G95" s="59"/>
      <c r="H95" s="59"/>
      <c r="I95" s="59"/>
      <c r="J95" s="60"/>
    </row>
    <row r="96" customFormat="false" ht="15" hidden="false" customHeight="false" outlineLevel="0" collapsed="false">
      <c r="C96" s="58"/>
      <c r="D96" s="59"/>
      <c r="E96" s="59"/>
      <c r="F96" s="59"/>
      <c r="G96" s="59"/>
      <c r="H96" s="59"/>
      <c r="I96" s="59"/>
      <c r="J96" s="60"/>
    </row>
    <row r="97" customFormat="false" ht="15" hidden="false" customHeight="false" outlineLevel="0" collapsed="false">
      <c r="C97" s="58"/>
      <c r="D97" s="59"/>
      <c r="E97" s="59"/>
      <c r="F97" s="59"/>
      <c r="G97" s="59"/>
      <c r="I97" s="59"/>
      <c r="J97" s="60"/>
    </row>
    <row r="98" customFormat="false" ht="15" hidden="false" customHeight="false" outlineLevel="0" collapsed="false">
      <c r="C98" s="58"/>
      <c r="D98" s="59"/>
      <c r="E98" s="59"/>
      <c r="F98" s="59"/>
      <c r="G98" s="59"/>
      <c r="H98" s="59"/>
      <c r="I98" s="59"/>
      <c r="J98" s="60"/>
    </row>
    <row r="99" customFormat="false" ht="15" hidden="false" customHeight="false" outlineLevel="0" collapsed="false">
      <c r="C99" s="58"/>
      <c r="D99" s="59"/>
      <c r="E99" s="59"/>
      <c r="F99" s="59"/>
      <c r="G99" s="59"/>
      <c r="H99" s="59"/>
      <c r="I99" s="59"/>
      <c r="J99" s="60"/>
    </row>
    <row r="100" customFormat="false" ht="15" hidden="false" customHeight="false" outlineLevel="0" collapsed="false">
      <c r="C100" s="58"/>
      <c r="D100" s="59"/>
      <c r="E100" s="59"/>
      <c r="F100" s="59"/>
      <c r="G100" s="59"/>
      <c r="H100" s="59"/>
      <c r="I100" s="59"/>
      <c r="J100" s="60"/>
    </row>
    <row r="101" customFormat="false" ht="15" hidden="false" customHeight="false" outlineLevel="0" collapsed="false">
      <c r="C101" s="58"/>
      <c r="D101" s="59"/>
      <c r="E101" s="59"/>
      <c r="F101" s="59"/>
      <c r="G101" s="59"/>
      <c r="H101" s="59"/>
      <c r="I101" s="59"/>
      <c r="J101" s="60"/>
    </row>
    <row r="102" customFormat="false" ht="15.75" hidden="false" customHeight="false" outlineLevel="0" collapsed="false">
      <c r="C102" s="61"/>
      <c r="D102" s="62"/>
      <c r="E102" s="62"/>
      <c r="F102" s="62"/>
      <c r="G102" s="62"/>
      <c r="H102" s="62"/>
      <c r="I102" s="62"/>
      <c r="J102" s="63"/>
    </row>
  </sheetData>
  <mergeCells count="13">
    <mergeCell ref="B9:L9"/>
    <mergeCell ref="N9:Y9"/>
    <mergeCell ref="B10:L40"/>
    <mergeCell ref="N10:Y40"/>
    <mergeCell ref="C45:I45"/>
    <mergeCell ref="O45:T45"/>
    <mergeCell ref="Z45:AH45"/>
    <mergeCell ref="AK47:AM47"/>
    <mergeCell ref="AK61:AM61"/>
    <mergeCell ref="C65:M65"/>
    <mergeCell ref="C66:M82"/>
    <mergeCell ref="U74:AD74"/>
    <mergeCell ref="C86:J8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3:AS112"/>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L66" activeCellId="0" sqref="AL66"/>
    </sheetView>
  </sheetViews>
  <sheetFormatPr defaultColWidth="10.4765625" defaultRowHeight="15" zeroHeight="false" outlineLevelRow="0" outlineLevelCol="0"/>
  <cols>
    <col collapsed="false" customWidth="true" hidden="false" outlineLevel="0" max="23" min="23" style="0" width="17.86"/>
  </cols>
  <sheetData>
    <row r="3" customFormat="false" ht="15.75" hidden="false" customHeight="false" outlineLevel="0" collapsed="false"/>
    <row r="4" customFormat="false" ht="27" hidden="false" customHeight="false" outlineLevel="0" collapsed="false">
      <c r="D4" s="67" t="s">
        <v>203</v>
      </c>
      <c r="E4" s="67"/>
      <c r="F4" s="67"/>
      <c r="G4" s="67"/>
      <c r="H4" s="67"/>
      <c r="I4" s="67"/>
      <c r="J4" s="67"/>
      <c r="K4" s="67"/>
      <c r="L4" s="67"/>
      <c r="M4" s="67"/>
      <c r="N4" s="67"/>
      <c r="O4" s="67"/>
      <c r="P4" s="67"/>
      <c r="Q4" s="67"/>
      <c r="R4" s="67"/>
      <c r="S4" s="67"/>
      <c r="T4" s="67"/>
      <c r="U4" s="67"/>
      <c r="Y4" s="67" t="s">
        <v>204</v>
      </c>
      <c r="Z4" s="67"/>
      <c r="AA4" s="67"/>
      <c r="AB4" s="67"/>
      <c r="AC4" s="67"/>
      <c r="AD4" s="67"/>
      <c r="AE4" s="67"/>
      <c r="AF4" s="67"/>
      <c r="AG4" s="67"/>
      <c r="AH4" s="67"/>
      <c r="AI4" s="67"/>
      <c r="AJ4" s="67"/>
      <c r="AK4" s="67"/>
      <c r="AL4" s="67"/>
      <c r="AM4" s="67"/>
      <c r="AN4" s="67"/>
      <c r="AO4" s="67"/>
      <c r="AP4" s="67"/>
      <c r="AQ4" s="67"/>
      <c r="AR4" s="67"/>
      <c r="AS4" s="67"/>
    </row>
    <row r="5" customFormat="false" ht="15" hidden="false" customHeight="false" outlineLevel="0" collapsed="false">
      <c r="D5" s="66"/>
      <c r="E5" s="66"/>
      <c r="F5" s="66"/>
      <c r="G5" s="66"/>
      <c r="H5" s="66"/>
      <c r="I5" s="66"/>
      <c r="J5" s="66"/>
      <c r="K5" s="66"/>
      <c r="L5" s="66"/>
      <c r="M5" s="66"/>
      <c r="N5" s="66"/>
      <c r="O5" s="66"/>
      <c r="P5" s="66"/>
      <c r="Q5" s="66"/>
      <c r="R5" s="66"/>
      <c r="S5" s="66"/>
      <c r="T5" s="66"/>
      <c r="U5" s="66"/>
      <c r="Y5" s="66"/>
      <c r="Z5" s="66"/>
      <c r="AA5" s="66"/>
      <c r="AB5" s="66"/>
      <c r="AC5" s="66"/>
      <c r="AD5" s="66"/>
      <c r="AE5" s="66"/>
      <c r="AF5" s="66"/>
      <c r="AG5" s="66"/>
      <c r="AH5" s="66"/>
      <c r="AI5" s="66"/>
      <c r="AJ5" s="66"/>
      <c r="AK5" s="66"/>
      <c r="AL5" s="66"/>
      <c r="AM5" s="66"/>
      <c r="AN5" s="66"/>
      <c r="AO5" s="66"/>
      <c r="AP5" s="66"/>
      <c r="AQ5" s="66"/>
      <c r="AR5" s="66"/>
      <c r="AS5" s="66"/>
    </row>
    <row r="6" customFormat="false" ht="15" hidden="false" customHeight="false" outlineLevel="0" collapsed="false">
      <c r="D6" s="66"/>
      <c r="E6" s="66"/>
      <c r="F6" s="66"/>
      <c r="G6" s="66"/>
      <c r="H6" s="66"/>
      <c r="I6" s="66"/>
      <c r="J6" s="66"/>
      <c r="K6" s="66"/>
      <c r="L6" s="66"/>
      <c r="M6" s="66"/>
      <c r="N6" s="66"/>
      <c r="O6" s="66"/>
      <c r="P6" s="66"/>
      <c r="Q6" s="66"/>
      <c r="R6" s="66"/>
      <c r="S6" s="66"/>
      <c r="T6" s="66"/>
      <c r="U6" s="66"/>
      <c r="Y6" s="66"/>
      <c r="Z6" s="66"/>
      <c r="AA6" s="66"/>
      <c r="AB6" s="66"/>
      <c r="AC6" s="66"/>
      <c r="AD6" s="66"/>
      <c r="AE6" s="66"/>
      <c r="AF6" s="66"/>
      <c r="AG6" s="66"/>
      <c r="AH6" s="66"/>
      <c r="AI6" s="66"/>
      <c r="AJ6" s="66"/>
      <c r="AK6" s="66"/>
      <c r="AL6" s="66"/>
      <c r="AM6" s="66"/>
      <c r="AN6" s="66"/>
      <c r="AO6" s="66"/>
      <c r="AP6" s="66"/>
      <c r="AQ6" s="66"/>
      <c r="AR6" s="66"/>
      <c r="AS6" s="66"/>
    </row>
    <row r="7" customFormat="false" ht="15" hidden="false" customHeight="false" outlineLevel="0" collapsed="false">
      <c r="D7" s="66"/>
      <c r="E7" s="66"/>
      <c r="F7" s="66"/>
      <c r="G7" s="66"/>
      <c r="H7" s="66"/>
      <c r="I7" s="66"/>
      <c r="J7" s="66"/>
      <c r="K7" s="66"/>
      <c r="L7" s="66"/>
      <c r="M7" s="66"/>
      <c r="N7" s="66"/>
      <c r="O7" s="66"/>
      <c r="P7" s="66"/>
      <c r="Q7" s="66"/>
      <c r="R7" s="66"/>
      <c r="S7" s="66"/>
      <c r="T7" s="66"/>
      <c r="U7" s="66"/>
      <c r="Y7" s="66"/>
      <c r="Z7" s="66"/>
      <c r="AA7" s="66"/>
      <c r="AB7" s="66"/>
      <c r="AC7" s="66"/>
      <c r="AD7" s="66"/>
      <c r="AE7" s="66"/>
      <c r="AF7" s="66"/>
      <c r="AG7" s="66"/>
      <c r="AH7" s="66"/>
      <c r="AI7" s="66"/>
      <c r="AJ7" s="66"/>
      <c r="AK7" s="66"/>
      <c r="AL7" s="66"/>
      <c r="AM7" s="66"/>
      <c r="AN7" s="66"/>
      <c r="AO7" s="66"/>
      <c r="AP7" s="66"/>
      <c r="AQ7" s="66"/>
      <c r="AR7" s="66"/>
      <c r="AS7" s="66"/>
    </row>
    <row r="8" customFormat="false" ht="15" hidden="false" customHeight="false" outlineLevel="0" collapsed="false">
      <c r="D8" s="66"/>
      <c r="E8" s="66"/>
      <c r="F8" s="66"/>
      <c r="G8" s="66"/>
      <c r="H8" s="66"/>
      <c r="I8" s="66"/>
      <c r="J8" s="66"/>
      <c r="K8" s="66"/>
      <c r="L8" s="66"/>
      <c r="M8" s="66"/>
      <c r="N8" s="66"/>
      <c r="O8" s="66"/>
      <c r="P8" s="66"/>
      <c r="Q8" s="66"/>
      <c r="R8" s="66"/>
      <c r="S8" s="66"/>
      <c r="T8" s="66"/>
      <c r="U8" s="66"/>
      <c r="Y8" s="66"/>
      <c r="Z8" s="66"/>
      <c r="AA8" s="66"/>
      <c r="AB8" s="66"/>
      <c r="AC8" s="66"/>
      <c r="AD8" s="66"/>
      <c r="AE8" s="66"/>
      <c r="AF8" s="66"/>
      <c r="AG8" s="66"/>
      <c r="AH8" s="66"/>
      <c r="AI8" s="66"/>
      <c r="AJ8" s="66"/>
      <c r="AK8" s="66"/>
      <c r="AL8" s="66"/>
      <c r="AM8" s="66"/>
      <c r="AN8" s="66"/>
      <c r="AO8" s="66"/>
      <c r="AP8" s="66"/>
      <c r="AQ8" s="66"/>
      <c r="AR8" s="66"/>
      <c r="AS8" s="66"/>
    </row>
    <row r="9" customFormat="false" ht="15" hidden="false" customHeight="false" outlineLevel="0" collapsed="false">
      <c r="D9" s="66"/>
      <c r="E9" s="66"/>
      <c r="F9" s="66"/>
      <c r="G9" s="66"/>
      <c r="H9" s="66"/>
      <c r="I9" s="66"/>
      <c r="J9" s="66"/>
      <c r="K9" s="66"/>
      <c r="L9" s="66"/>
      <c r="M9" s="66"/>
      <c r="N9" s="66"/>
      <c r="O9" s="66"/>
      <c r="P9" s="66"/>
      <c r="Q9" s="66"/>
      <c r="R9" s="66"/>
      <c r="S9" s="66"/>
      <c r="T9" s="66"/>
      <c r="U9" s="66"/>
      <c r="Y9" s="66"/>
      <c r="Z9" s="66"/>
      <c r="AA9" s="66"/>
      <c r="AB9" s="66"/>
      <c r="AC9" s="66"/>
      <c r="AD9" s="66"/>
      <c r="AE9" s="66"/>
      <c r="AF9" s="66"/>
      <c r="AG9" s="66"/>
      <c r="AH9" s="66"/>
      <c r="AI9" s="66"/>
      <c r="AJ9" s="66"/>
      <c r="AK9" s="66"/>
      <c r="AL9" s="66"/>
      <c r="AM9" s="66"/>
      <c r="AN9" s="66"/>
      <c r="AO9" s="66"/>
      <c r="AP9" s="66"/>
      <c r="AQ9" s="66"/>
      <c r="AR9" s="66"/>
      <c r="AS9" s="66"/>
    </row>
    <row r="10" customFormat="false" ht="15" hidden="false" customHeight="false" outlineLevel="0" collapsed="false">
      <c r="D10" s="66"/>
      <c r="E10" s="66"/>
      <c r="F10" s="66"/>
      <c r="G10" s="66"/>
      <c r="H10" s="66"/>
      <c r="I10" s="66"/>
      <c r="J10" s="66"/>
      <c r="K10" s="66"/>
      <c r="L10" s="66"/>
      <c r="M10" s="66"/>
      <c r="N10" s="66"/>
      <c r="O10" s="66"/>
      <c r="P10" s="66"/>
      <c r="Q10" s="66"/>
      <c r="R10" s="66"/>
      <c r="S10" s="66"/>
      <c r="T10" s="66"/>
      <c r="U10" s="66"/>
      <c r="Y10" s="66"/>
      <c r="Z10" s="66"/>
      <c r="AA10" s="66"/>
      <c r="AB10" s="66"/>
      <c r="AC10" s="66"/>
      <c r="AD10" s="66"/>
      <c r="AE10" s="66"/>
      <c r="AF10" s="66"/>
      <c r="AG10" s="66"/>
      <c r="AH10" s="66"/>
      <c r="AI10" s="66"/>
      <c r="AJ10" s="66"/>
      <c r="AK10" s="66"/>
      <c r="AL10" s="66"/>
      <c r="AM10" s="66"/>
      <c r="AN10" s="66"/>
      <c r="AO10" s="66"/>
      <c r="AP10" s="66"/>
      <c r="AQ10" s="66"/>
      <c r="AR10" s="66"/>
      <c r="AS10" s="66"/>
    </row>
    <row r="11" customFormat="false" ht="15" hidden="false" customHeight="false" outlineLevel="0" collapsed="false">
      <c r="D11" s="66"/>
      <c r="E11" s="66"/>
      <c r="F11" s="66"/>
      <c r="G11" s="66"/>
      <c r="H11" s="66"/>
      <c r="I11" s="66"/>
      <c r="J11" s="66"/>
      <c r="K11" s="66"/>
      <c r="L11" s="66"/>
      <c r="M11" s="66"/>
      <c r="N11" s="66"/>
      <c r="O11" s="66"/>
      <c r="P11" s="66"/>
      <c r="Q11" s="66"/>
      <c r="R11" s="66"/>
      <c r="S11" s="66"/>
      <c r="T11" s="66"/>
      <c r="U11" s="66"/>
      <c r="Y11" s="66"/>
      <c r="Z11" s="66"/>
      <c r="AA11" s="66"/>
      <c r="AB11" s="66"/>
      <c r="AC11" s="66"/>
      <c r="AD11" s="66"/>
      <c r="AE11" s="66"/>
      <c r="AF11" s="66"/>
      <c r="AG11" s="66"/>
      <c r="AH11" s="66"/>
      <c r="AI11" s="66"/>
      <c r="AJ11" s="66"/>
      <c r="AK11" s="66"/>
      <c r="AL11" s="66"/>
      <c r="AM11" s="66"/>
      <c r="AN11" s="66"/>
      <c r="AO11" s="66"/>
      <c r="AP11" s="66"/>
      <c r="AQ11" s="66"/>
      <c r="AR11" s="66"/>
      <c r="AS11" s="66"/>
    </row>
    <row r="12" customFormat="false" ht="15" hidden="false" customHeight="false" outlineLevel="0" collapsed="false">
      <c r="D12" s="66"/>
      <c r="E12" s="66"/>
      <c r="F12" s="66"/>
      <c r="G12" s="66"/>
      <c r="H12" s="66"/>
      <c r="I12" s="66"/>
      <c r="J12" s="66"/>
      <c r="K12" s="66"/>
      <c r="L12" s="66"/>
      <c r="M12" s="66"/>
      <c r="N12" s="66"/>
      <c r="O12" s="66"/>
      <c r="P12" s="66"/>
      <c r="Q12" s="66"/>
      <c r="R12" s="66"/>
      <c r="S12" s="66"/>
      <c r="T12" s="66"/>
      <c r="U12" s="66"/>
      <c r="Y12" s="66"/>
      <c r="Z12" s="66"/>
      <c r="AA12" s="66"/>
      <c r="AB12" s="66"/>
      <c r="AC12" s="66"/>
      <c r="AD12" s="66"/>
      <c r="AE12" s="66"/>
      <c r="AF12" s="66"/>
      <c r="AG12" s="66"/>
      <c r="AH12" s="66"/>
      <c r="AI12" s="66"/>
      <c r="AJ12" s="66"/>
      <c r="AK12" s="66"/>
      <c r="AL12" s="66"/>
      <c r="AM12" s="66"/>
      <c r="AN12" s="66"/>
      <c r="AO12" s="66"/>
      <c r="AP12" s="66"/>
      <c r="AQ12" s="66"/>
      <c r="AR12" s="66"/>
      <c r="AS12" s="66"/>
    </row>
    <row r="13" customFormat="false" ht="15" hidden="false" customHeight="false" outlineLevel="0" collapsed="false">
      <c r="D13" s="66"/>
      <c r="E13" s="66"/>
      <c r="F13" s="66"/>
      <c r="G13" s="66"/>
      <c r="H13" s="66"/>
      <c r="I13" s="66"/>
      <c r="J13" s="66"/>
      <c r="K13" s="66"/>
      <c r="L13" s="66"/>
      <c r="M13" s="66"/>
      <c r="N13" s="66"/>
      <c r="O13" s="66"/>
      <c r="P13" s="66"/>
      <c r="Q13" s="66"/>
      <c r="R13" s="66"/>
      <c r="S13" s="66"/>
      <c r="T13" s="66"/>
      <c r="U13" s="66"/>
      <c r="Y13" s="66"/>
      <c r="Z13" s="66"/>
      <c r="AA13" s="66"/>
      <c r="AB13" s="66"/>
      <c r="AC13" s="66"/>
      <c r="AD13" s="66"/>
      <c r="AE13" s="66"/>
      <c r="AF13" s="66"/>
      <c r="AG13" s="66"/>
      <c r="AH13" s="66"/>
      <c r="AI13" s="66"/>
      <c r="AJ13" s="66"/>
      <c r="AK13" s="66"/>
      <c r="AL13" s="66"/>
      <c r="AM13" s="66"/>
      <c r="AN13" s="66"/>
      <c r="AO13" s="66"/>
      <c r="AP13" s="66"/>
      <c r="AQ13" s="66"/>
      <c r="AR13" s="66"/>
      <c r="AS13" s="66"/>
    </row>
    <row r="14" customFormat="false" ht="15" hidden="false" customHeight="false" outlineLevel="0" collapsed="false">
      <c r="D14" s="66"/>
      <c r="E14" s="66"/>
      <c r="F14" s="66"/>
      <c r="G14" s="66"/>
      <c r="H14" s="66"/>
      <c r="I14" s="66"/>
      <c r="J14" s="66"/>
      <c r="K14" s="66"/>
      <c r="L14" s="66"/>
      <c r="M14" s="66"/>
      <c r="N14" s="66"/>
      <c r="O14" s="66"/>
      <c r="P14" s="66"/>
      <c r="Q14" s="66"/>
      <c r="R14" s="66"/>
      <c r="S14" s="66"/>
      <c r="T14" s="66"/>
      <c r="U14" s="66"/>
      <c r="Y14" s="66"/>
      <c r="Z14" s="66"/>
      <c r="AA14" s="66"/>
      <c r="AB14" s="66"/>
      <c r="AC14" s="66"/>
      <c r="AD14" s="66"/>
      <c r="AE14" s="66"/>
      <c r="AF14" s="66"/>
      <c r="AG14" s="66"/>
      <c r="AH14" s="66"/>
      <c r="AI14" s="66"/>
      <c r="AJ14" s="66"/>
      <c r="AK14" s="66"/>
      <c r="AL14" s="66"/>
      <c r="AM14" s="66"/>
      <c r="AN14" s="66"/>
      <c r="AO14" s="66"/>
      <c r="AP14" s="66"/>
      <c r="AQ14" s="66"/>
      <c r="AR14" s="66"/>
      <c r="AS14" s="66"/>
    </row>
    <row r="15" customFormat="false" ht="15" hidden="false" customHeight="false" outlineLevel="0" collapsed="false">
      <c r="D15" s="66"/>
      <c r="E15" s="66"/>
      <c r="F15" s="66"/>
      <c r="G15" s="66"/>
      <c r="H15" s="66"/>
      <c r="I15" s="66"/>
      <c r="J15" s="66"/>
      <c r="K15" s="66"/>
      <c r="L15" s="66"/>
      <c r="M15" s="66"/>
      <c r="N15" s="66"/>
      <c r="O15" s="66"/>
      <c r="P15" s="66"/>
      <c r="Q15" s="66"/>
      <c r="R15" s="66"/>
      <c r="S15" s="66"/>
      <c r="T15" s="66"/>
      <c r="U15" s="66"/>
      <c r="Y15" s="66"/>
      <c r="Z15" s="66"/>
      <c r="AA15" s="66"/>
      <c r="AB15" s="66"/>
      <c r="AC15" s="66"/>
      <c r="AD15" s="66"/>
      <c r="AE15" s="66"/>
      <c r="AF15" s="66"/>
      <c r="AG15" s="66"/>
      <c r="AH15" s="66"/>
      <c r="AI15" s="66"/>
      <c r="AJ15" s="66"/>
      <c r="AK15" s="66"/>
      <c r="AL15" s="66"/>
      <c r="AM15" s="66"/>
      <c r="AN15" s="66"/>
      <c r="AO15" s="66"/>
      <c r="AP15" s="66"/>
      <c r="AQ15" s="66"/>
      <c r="AR15" s="66"/>
      <c r="AS15" s="66"/>
    </row>
    <row r="16" customFormat="false" ht="15" hidden="false" customHeight="false" outlineLevel="0" collapsed="false">
      <c r="D16" s="66"/>
      <c r="E16" s="66"/>
      <c r="F16" s="66"/>
      <c r="G16" s="66"/>
      <c r="H16" s="66"/>
      <c r="I16" s="66"/>
      <c r="J16" s="66"/>
      <c r="K16" s="66"/>
      <c r="L16" s="66"/>
      <c r="M16" s="66"/>
      <c r="N16" s="66"/>
      <c r="O16" s="66"/>
      <c r="P16" s="66"/>
      <c r="Q16" s="66"/>
      <c r="R16" s="66"/>
      <c r="S16" s="66"/>
      <c r="T16" s="66"/>
      <c r="U16" s="66"/>
      <c r="Y16" s="66"/>
      <c r="Z16" s="66"/>
      <c r="AA16" s="66"/>
      <c r="AB16" s="66"/>
      <c r="AC16" s="66"/>
      <c r="AD16" s="66"/>
      <c r="AE16" s="66"/>
      <c r="AF16" s="66"/>
      <c r="AG16" s="66"/>
      <c r="AH16" s="66"/>
      <c r="AI16" s="66"/>
      <c r="AJ16" s="66"/>
      <c r="AK16" s="66"/>
      <c r="AL16" s="66"/>
      <c r="AM16" s="66"/>
      <c r="AN16" s="66"/>
      <c r="AO16" s="66"/>
      <c r="AP16" s="66"/>
      <c r="AQ16" s="66"/>
      <c r="AR16" s="66"/>
      <c r="AS16" s="66"/>
    </row>
    <row r="17" customFormat="false" ht="15" hidden="false" customHeight="false" outlineLevel="0" collapsed="false">
      <c r="D17" s="66"/>
      <c r="E17" s="66"/>
      <c r="F17" s="66"/>
      <c r="G17" s="66"/>
      <c r="H17" s="66"/>
      <c r="I17" s="66"/>
      <c r="J17" s="66"/>
      <c r="K17" s="66"/>
      <c r="L17" s="66"/>
      <c r="M17" s="66"/>
      <c r="N17" s="66"/>
      <c r="O17" s="66"/>
      <c r="P17" s="66"/>
      <c r="Q17" s="66"/>
      <c r="R17" s="66"/>
      <c r="S17" s="66"/>
      <c r="T17" s="66"/>
      <c r="U17" s="66"/>
      <c r="Y17" s="66"/>
      <c r="Z17" s="66"/>
      <c r="AA17" s="66"/>
      <c r="AB17" s="66"/>
      <c r="AC17" s="66"/>
      <c r="AD17" s="66"/>
      <c r="AE17" s="66"/>
      <c r="AF17" s="66"/>
      <c r="AG17" s="66"/>
      <c r="AH17" s="66"/>
      <c r="AI17" s="66"/>
      <c r="AJ17" s="66"/>
      <c r="AK17" s="66"/>
      <c r="AL17" s="66"/>
      <c r="AM17" s="66"/>
      <c r="AN17" s="66"/>
      <c r="AO17" s="66"/>
      <c r="AP17" s="66"/>
      <c r="AQ17" s="66"/>
      <c r="AR17" s="66"/>
      <c r="AS17" s="66"/>
    </row>
    <row r="18" customFormat="false" ht="15" hidden="false" customHeight="false" outlineLevel="0" collapsed="false">
      <c r="D18" s="66"/>
      <c r="E18" s="66"/>
      <c r="F18" s="66"/>
      <c r="G18" s="66"/>
      <c r="H18" s="66"/>
      <c r="I18" s="66"/>
      <c r="J18" s="66"/>
      <c r="K18" s="66"/>
      <c r="L18" s="66"/>
      <c r="M18" s="66"/>
      <c r="N18" s="66"/>
      <c r="O18" s="66"/>
      <c r="P18" s="66"/>
      <c r="Q18" s="66"/>
      <c r="R18" s="66"/>
      <c r="S18" s="66"/>
      <c r="T18" s="66"/>
      <c r="U18" s="66"/>
      <c r="Y18" s="66"/>
      <c r="Z18" s="66"/>
      <c r="AA18" s="66"/>
      <c r="AB18" s="66"/>
      <c r="AC18" s="66"/>
      <c r="AD18" s="66"/>
      <c r="AE18" s="66"/>
      <c r="AF18" s="66"/>
      <c r="AG18" s="66"/>
      <c r="AH18" s="66"/>
      <c r="AI18" s="66"/>
      <c r="AJ18" s="66"/>
      <c r="AK18" s="66"/>
      <c r="AL18" s="66"/>
      <c r="AM18" s="66"/>
      <c r="AN18" s="66"/>
      <c r="AO18" s="66"/>
      <c r="AP18" s="66"/>
      <c r="AQ18" s="66"/>
      <c r="AR18" s="66"/>
      <c r="AS18" s="66"/>
    </row>
    <row r="19" customFormat="false" ht="15" hidden="false" customHeight="false" outlineLevel="0" collapsed="false">
      <c r="D19" s="66"/>
      <c r="E19" s="66"/>
      <c r="F19" s="66"/>
      <c r="G19" s="66"/>
      <c r="H19" s="66"/>
      <c r="I19" s="66"/>
      <c r="J19" s="66"/>
      <c r="K19" s="66"/>
      <c r="L19" s="66"/>
      <c r="M19" s="66"/>
      <c r="N19" s="66"/>
      <c r="O19" s="66"/>
      <c r="P19" s="66"/>
      <c r="Q19" s="66"/>
      <c r="R19" s="66"/>
      <c r="S19" s="66"/>
      <c r="T19" s="66"/>
      <c r="U19" s="66"/>
      <c r="Y19" s="66"/>
      <c r="Z19" s="66"/>
      <c r="AA19" s="66"/>
      <c r="AB19" s="66"/>
      <c r="AC19" s="66"/>
      <c r="AD19" s="66"/>
      <c r="AE19" s="66"/>
      <c r="AF19" s="66"/>
      <c r="AG19" s="66"/>
      <c r="AH19" s="66"/>
      <c r="AI19" s="66"/>
      <c r="AJ19" s="66"/>
      <c r="AK19" s="66"/>
      <c r="AL19" s="66"/>
      <c r="AM19" s="66"/>
      <c r="AN19" s="66"/>
      <c r="AO19" s="66"/>
      <c r="AP19" s="66"/>
      <c r="AQ19" s="66"/>
      <c r="AR19" s="66"/>
      <c r="AS19" s="66"/>
    </row>
    <row r="20" customFormat="false" ht="15" hidden="false" customHeight="false" outlineLevel="0" collapsed="false">
      <c r="D20" s="66"/>
      <c r="E20" s="66"/>
      <c r="F20" s="66"/>
      <c r="G20" s="66"/>
      <c r="H20" s="66"/>
      <c r="I20" s="66"/>
      <c r="J20" s="66"/>
      <c r="K20" s="66"/>
      <c r="L20" s="66"/>
      <c r="M20" s="66"/>
      <c r="N20" s="66"/>
      <c r="O20" s="66"/>
      <c r="P20" s="66"/>
      <c r="Q20" s="66"/>
      <c r="R20" s="66"/>
      <c r="S20" s="66"/>
      <c r="T20" s="66"/>
      <c r="U20" s="66"/>
      <c r="Y20" s="66"/>
      <c r="Z20" s="66"/>
      <c r="AA20" s="66"/>
      <c r="AB20" s="66"/>
      <c r="AC20" s="66"/>
      <c r="AD20" s="66"/>
      <c r="AE20" s="66"/>
      <c r="AF20" s="66"/>
      <c r="AG20" s="66"/>
      <c r="AH20" s="66"/>
      <c r="AI20" s="66"/>
      <c r="AJ20" s="66"/>
      <c r="AK20" s="66"/>
      <c r="AL20" s="66"/>
      <c r="AM20" s="66"/>
      <c r="AN20" s="66"/>
      <c r="AO20" s="66"/>
      <c r="AP20" s="66"/>
      <c r="AQ20" s="66"/>
      <c r="AR20" s="66"/>
      <c r="AS20" s="66"/>
    </row>
    <row r="21" customFormat="false" ht="15" hidden="false" customHeight="false" outlineLevel="0" collapsed="false">
      <c r="D21" s="66"/>
      <c r="E21" s="66"/>
      <c r="F21" s="66"/>
      <c r="G21" s="66"/>
      <c r="H21" s="66"/>
      <c r="I21" s="66"/>
      <c r="J21" s="66"/>
      <c r="K21" s="66"/>
      <c r="L21" s="66"/>
      <c r="M21" s="66"/>
      <c r="N21" s="66"/>
      <c r="O21" s="66"/>
      <c r="P21" s="66"/>
      <c r="Q21" s="66"/>
      <c r="R21" s="66"/>
      <c r="S21" s="66"/>
      <c r="T21" s="66"/>
      <c r="U21" s="66"/>
      <c r="Y21" s="66"/>
      <c r="Z21" s="66"/>
      <c r="AA21" s="66"/>
      <c r="AB21" s="66"/>
      <c r="AC21" s="66"/>
      <c r="AD21" s="66"/>
      <c r="AE21" s="66"/>
      <c r="AF21" s="66"/>
      <c r="AG21" s="66"/>
      <c r="AH21" s="66"/>
      <c r="AI21" s="66"/>
      <c r="AJ21" s="66"/>
      <c r="AK21" s="66"/>
      <c r="AL21" s="66"/>
      <c r="AM21" s="66"/>
      <c r="AN21" s="66"/>
      <c r="AO21" s="66"/>
      <c r="AP21" s="66"/>
      <c r="AQ21" s="66"/>
      <c r="AR21" s="66"/>
      <c r="AS21" s="66"/>
    </row>
    <row r="22" customFormat="false" ht="15" hidden="false" customHeight="false" outlineLevel="0" collapsed="false">
      <c r="D22" s="66"/>
      <c r="E22" s="66"/>
      <c r="F22" s="66"/>
      <c r="G22" s="66"/>
      <c r="H22" s="66"/>
      <c r="I22" s="66"/>
      <c r="J22" s="66"/>
      <c r="K22" s="66"/>
      <c r="L22" s="66"/>
      <c r="M22" s="66"/>
      <c r="N22" s="66"/>
      <c r="O22" s="66"/>
      <c r="P22" s="66"/>
      <c r="Q22" s="66"/>
      <c r="R22" s="66"/>
      <c r="S22" s="66"/>
      <c r="T22" s="66"/>
      <c r="U22" s="66"/>
      <c r="Y22" s="66"/>
      <c r="Z22" s="66"/>
      <c r="AA22" s="66"/>
      <c r="AB22" s="66"/>
      <c r="AC22" s="66"/>
      <c r="AD22" s="66"/>
      <c r="AE22" s="66"/>
      <c r="AF22" s="66"/>
      <c r="AG22" s="66"/>
      <c r="AH22" s="66"/>
      <c r="AI22" s="66"/>
      <c r="AJ22" s="66"/>
      <c r="AK22" s="66"/>
      <c r="AL22" s="66"/>
      <c r="AM22" s="66"/>
      <c r="AN22" s="66"/>
      <c r="AO22" s="66"/>
      <c r="AP22" s="66"/>
      <c r="AQ22" s="66"/>
      <c r="AR22" s="66"/>
      <c r="AS22" s="66"/>
    </row>
    <row r="23" customFormat="false" ht="15" hidden="false" customHeight="false" outlineLevel="0" collapsed="false">
      <c r="D23" s="66"/>
      <c r="E23" s="66"/>
      <c r="F23" s="66"/>
      <c r="G23" s="66"/>
      <c r="H23" s="66"/>
      <c r="I23" s="66"/>
      <c r="J23" s="66"/>
      <c r="K23" s="66"/>
      <c r="L23" s="66"/>
      <c r="M23" s="66"/>
      <c r="N23" s="66"/>
      <c r="O23" s="66"/>
      <c r="P23" s="66"/>
      <c r="Q23" s="66"/>
      <c r="R23" s="66"/>
      <c r="S23" s="66"/>
      <c r="T23" s="66"/>
      <c r="U23" s="66"/>
      <c r="Y23" s="66"/>
      <c r="Z23" s="66"/>
      <c r="AA23" s="66"/>
      <c r="AB23" s="66"/>
      <c r="AC23" s="66"/>
      <c r="AD23" s="66"/>
      <c r="AE23" s="66"/>
      <c r="AF23" s="66"/>
      <c r="AG23" s="66"/>
      <c r="AH23" s="66"/>
      <c r="AI23" s="66"/>
      <c r="AJ23" s="66"/>
      <c r="AK23" s="66"/>
      <c r="AL23" s="66"/>
      <c r="AM23" s="66"/>
      <c r="AN23" s="66"/>
      <c r="AO23" s="66"/>
      <c r="AP23" s="66"/>
      <c r="AQ23" s="66"/>
      <c r="AR23" s="66"/>
      <c r="AS23" s="66"/>
    </row>
    <row r="24" customFormat="false" ht="15" hidden="false" customHeight="false" outlineLevel="0" collapsed="false">
      <c r="D24" s="66"/>
      <c r="E24" s="66"/>
      <c r="F24" s="66"/>
      <c r="G24" s="66"/>
      <c r="H24" s="66"/>
      <c r="I24" s="66"/>
      <c r="J24" s="66"/>
      <c r="K24" s="66"/>
      <c r="L24" s="66"/>
      <c r="M24" s="66"/>
      <c r="N24" s="66"/>
      <c r="O24" s="66"/>
      <c r="P24" s="66"/>
      <c r="Q24" s="66"/>
      <c r="R24" s="66"/>
      <c r="S24" s="66"/>
      <c r="T24" s="66"/>
      <c r="U24" s="66"/>
      <c r="Y24" s="66"/>
      <c r="Z24" s="66"/>
      <c r="AA24" s="66"/>
      <c r="AB24" s="66"/>
      <c r="AC24" s="66"/>
      <c r="AD24" s="66"/>
      <c r="AE24" s="66"/>
      <c r="AF24" s="66"/>
      <c r="AG24" s="66"/>
      <c r="AH24" s="66"/>
      <c r="AI24" s="66"/>
      <c r="AJ24" s="66"/>
      <c r="AK24" s="66"/>
      <c r="AL24" s="66"/>
      <c r="AM24" s="66"/>
      <c r="AN24" s="66"/>
      <c r="AO24" s="66"/>
      <c r="AP24" s="66"/>
      <c r="AQ24" s="66"/>
      <c r="AR24" s="66"/>
      <c r="AS24" s="66"/>
    </row>
    <row r="25" customFormat="false" ht="15" hidden="false" customHeight="false" outlineLevel="0" collapsed="false">
      <c r="D25" s="66"/>
      <c r="E25" s="66"/>
      <c r="F25" s="66"/>
      <c r="G25" s="66"/>
      <c r="H25" s="66"/>
      <c r="I25" s="66"/>
      <c r="J25" s="66"/>
      <c r="K25" s="66"/>
      <c r="L25" s="66"/>
      <c r="M25" s="66"/>
      <c r="N25" s="66"/>
      <c r="O25" s="66"/>
      <c r="P25" s="66"/>
      <c r="Q25" s="66"/>
      <c r="R25" s="66"/>
      <c r="S25" s="66"/>
      <c r="T25" s="66"/>
      <c r="U25" s="66"/>
      <c r="Y25" s="66"/>
      <c r="Z25" s="66"/>
      <c r="AA25" s="66"/>
      <c r="AB25" s="66"/>
      <c r="AC25" s="66"/>
      <c r="AD25" s="66"/>
      <c r="AE25" s="66"/>
      <c r="AF25" s="66"/>
      <c r="AG25" s="66"/>
      <c r="AH25" s="66"/>
      <c r="AI25" s="66"/>
      <c r="AJ25" s="66"/>
      <c r="AK25" s="66"/>
      <c r="AL25" s="66"/>
      <c r="AM25" s="66"/>
      <c r="AN25" s="66"/>
      <c r="AO25" s="66"/>
      <c r="AP25" s="66"/>
      <c r="AQ25" s="66"/>
      <c r="AR25" s="66"/>
      <c r="AS25" s="66"/>
    </row>
    <row r="26" customFormat="false" ht="15" hidden="false" customHeight="false" outlineLevel="0" collapsed="false">
      <c r="D26" s="66"/>
      <c r="E26" s="66"/>
      <c r="F26" s="66"/>
      <c r="G26" s="66"/>
      <c r="H26" s="66"/>
      <c r="I26" s="66"/>
      <c r="J26" s="66"/>
      <c r="K26" s="66"/>
      <c r="L26" s="66"/>
      <c r="M26" s="66"/>
      <c r="N26" s="66"/>
      <c r="O26" s="66"/>
      <c r="P26" s="66"/>
      <c r="Q26" s="66"/>
      <c r="R26" s="66"/>
      <c r="S26" s="66"/>
      <c r="T26" s="66"/>
      <c r="U26" s="66"/>
      <c r="Y26" s="66"/>
      <c r="Z26" s="66"/>
      <c r="AA26" s="66"/>
      <c r="AB26" s="66"/>
      <c r="AC26" s="66"/>
      <c r="AD26" s="66"/>
      <c r="AE26" s="66"/>
      <c r="AF26" s="66"/>
      <c r="AG26" s="66"/>
      <c r="AH26" s="66"/>
      <c r="AI26" s="66"/>
      <c r="AJ26" s="66"/>
      <c r="AK26" s="66"/>
      <c r="AL26" s="66"/>
      <c r="AM26" s="66"/>
      <c r="AN26" s="66"/>
      <c r="AO26" s="66"/>
      <c r="AP26" s="66"/>
      <c r="AQ26" s="66"/>
      <c r="AR26" s="66"/>
      <c r="AS26" s="66"/>
    </row>
    <row r="27" customFormat="false" ht="15" hidden="false" customHeight="false" outlineLevel="0" collapsed="false">
      <c r="D27" s="66"/>
      <c r="E27" s="66"/>
      <c r="F27" s="66"/>
      <c r="G27" s="66"/>
      <c r="H27" s="66"/>
      <c r="I27" s="66"/>
      <c r="J27" s="66"/>
      <c r="K27" s="66"/>
      <c r="L27" s="66"/>
      <c r="M27" s="66"/>
      <c r="N27" s="66"/>
      <c r="O27" s="66"/>
      <c r="P27" s="66"/>
      <c r="Q27" s="66"/>
      <c r="R27" s="66"/>
      <c r="S27" s="66"/>
      <c r="T27" s="66"/>
      <c r="U27" s="66"/>
      <c r="Y27" s="66"/>
      <c r="Z27" s="66"/>
      <c r="AA27" s="66"/>
      <c r="AB27" s="66"/>
      <c r="AC27" s="66"/>
      <c r="AD27" s="66"/>
      <c r="AE27" s="66"/>
      <c r="AF27" s="66"/>
      <c r="AG27" s="66"/>
      <c r="AH27" s="66"/>
      <c r="AI27" s="66"/>
      <c r="AJ27" s="66"/>
      <c r="AK27" s="66"/>
      <c r="AL27" s="66"/>
      <c r="AM27" s="66"/>
      <c r="AN27" s="66"/>
      <c r="AO27" s="66"/>
      <c r="AP27" s="66"/>
      <c r="AQ27" s="66"/>
      <c r="AR27" s="66"/>
      <c r="AS27" s="66"/>
    </row>
    <row r="28" customFormat="false" ht="15" hidden="false" customHeight="false" outlineLevel="0" collapsed="false">
      <c r="D28" s="66"/>
      <c r="E28" s="66"/>
      <c r="F28" s="66"/>
      <c r="G28" s="66"/>
      <c r="H28" s="66"/>
      <c r="I28" s="66"/>
      <c r="J28" s="66"/>
      <c r="K28" s="66"/>
      <c r="L28" s="66"/>
      <c r="M28" s="66"/>
      <c r="N28" s="66"/>
      <c r="O28" s="66"/>
      <c r="P28" s="66"/>
      <c r="Q28" s="66"/>
      <c r="R28" s="66"/>
      <c r="S28" s="66"/>
      <c r="T28" s="66"/>
      <c r="U28" s="66"/>
      <c r="Y28" s="66"/>
      <c r="Z28" s="66"/>
      <c r="AA28" s="66"/>
      <c r="AB28" s="66"/>
      <c r="AC28" s="66"/>
      <c r="AD28" s="66"/>
      <c r="AE28" s="66"/>
      <c r="AF28" s="66"/>
      <c r="AG28" s="66"/>
      <c r="AH28" s="66"/>
      <c r="AI28" s="66"/>
      <c r="AJ28" s="66"/>
      <c r="AK28" s="66"/>
      <c r="AL28" s="66"/>
      <c r="AM28" s="66"/>
      <c r="AN28" s="66"/>
      <c r="AO28" s="66"/>
      <c r="AP28" s="66"/>
      <c r="AQ28" s="66"/>
      <c r="AR28" s="66"/>
      <c r="AS28" s="66"/>
    </row>
    <row r="29" customFormat="false" ht="15" hidden="false" customHeight="false" outlineLevel="0" collapsed="false">
      <c r="D29" s="66"/>
      <c r="E29" s="66"/>
      <c r="F29" s="66"/>
      <c r="G29" s="66"/>
      <c r="H29" s="66"/>
      <c r="I29" s="66"/>
      <c r="J29" s="66"/>
      <c r="K29" s="66"/>
      <c r="L29" s="66"/>
      <c r="M29" s="66"/>
      <c r="N29" s="66"/>
      <c r="O29" s="66"/>
      <c r="P29" s="66"/>
      <c r="Q29" s="66"/>
      <c r="R29" s="66"/>
      <c r="S29" s="66"/>
      <c r="T29" s="66"/>
      <c r="U29" s="66"/>
      <c r="Y29" s="66"/>
      <c r="Z29" s="66"/>
      <c r="AA29" s="66"/>
      <c r="AB29" s="66"/>
      <c r="AC29" s="66"/>
      <c r="AD29" s="66"/>
      <c r="AE29" s="66"/>
      <c r="AF29" s="66"/>
      <c r="AG29" s="66"/>
      <c r="AH29" s="66"/>
      <c r="AI29" s="66"/>
      <c r="AJ29" s="66"/>
      <c r="AK29" s="66"/>
      <c r="AL29" s="66"/>
      <c r="AM29" s="66"/>
      <c r="AN29" s="66"/>
      <c r="AO29" s="66"/>
      <c r="AP29" s="66"/>
      <c r="AQ29" s="66"/>
      <c r="AR29" s="66"/>
      <c r="AS29" s="66"/>
    </row>
    <row r="30" customFormat="false" ht="15" hidden="false" customHeight="false" outlineLevel="0" collapsed="false">
      <c r="D30" s="66"/>
      <c r="E30" s="66"/>
      <c r="F30" s="66"/>
      <c r="G30" s="66"/>
      <c r="H30" s="66"/>
      <c r="I30" s="66"/>
      <c r="J30" s="66"/>
      <c r="K30" s="66"/>
      <c r="L30" s="66"/>
      <c r="M30" s="66"/>
      <c r="N30" s="66"/>
      <c r="O30" s="66"/>
      <c r="P30" s="66"/>
      <c r="Q30" s="66"/>
      <c r="R30" s="66"/>
      <c r="S30" s="66"/>
      <c r="T30" s="66"/>
      <c r="U30" s="66"/>
      <c r="Y30" s="66"/>
      <c r="Z30" s="66"/>
      <c r="AA30" s="66"/>
      <c r="AB30" s="66"/>
      <c r="AC30" s="66"/>
      <c r="AD30" s="66"/>
      <c r="AE30" s="66"/>
      <c r="AF30" s="66"/>
      <c r="AG30" s="66"/>
      <c r="AH30" s="66"/>
      <c r="AI30" s="66"/>
      <c r="AJ30" s="66"/>
      <c r="AK30" s="66"/>
      <c r="AL30" s="66"/>
      <c r="AM30" s="66"/>
      <c r="AN30" s="66"/>
      <c r="AO30" s="66"/>
      <c r="AP30" s="66"/>
      <c r="AQ30" s="66"/>
      <c r="AR30" s="66"/>
      <c r="AS30" s="66"/>
    </row>
    <row r="31" customFormat="false" ht="15" hidden="false" customHeight="false" outlineLevel="0" collapsed="false">
      <c r="D31" s="66"/>
      <c r="E31" s="66"/>
      <c r="F31" s="66"/>
      <c r="G31" s="66"/>
      <c r="H31" s="66"/>
      <c r="I31" s="66"/>
      <c r="J31" s="66"/>
      <c r="K31" s="66"/>
      <c r="L31" s="66"/>
      <c r="M31" s="66"/>
      <c r="N31" s="66"/>
      <c r="O31" s="66"/>
      <c r="P31" s="66"/>
      <c r="Q31" s="66"/>
      <c r="R31" s="66"/>
      <c r="S31" s="66"/>
      <c r="T31" s="66"/>
      <c r="U31" s="66"/>
      <c r="Y31" s="66"/>
      <c r="Z31" s="66"/>
      <c r="AA31" s="66"/>
      <c r="AB31" s="66"/>
      <c r="AC31" s="66"/>
      <c r="AD31" s="66"/>
      <c r="AE31" s="66"/>
      <c r="AF31" s="66"/>
      <c r="AG31" s="66"/>
      <c r="AH31" s="66"/>
      <c r="AI31" s="66"/>
      <c r="AJ31" s="66"/>
      <c r="AK31" s="66"/>
      <c r="AL31" s="66"/>
      <c r="AM31" s="66"/>
      <c r="AN31" s="66"/>
      <c r="AO31" s="66"/>
      <c r="AP31" s="66"/>
      <c r="AQ31" s="66"/>
      <c r="AR31" s="66"/>
      <c r="AS31" s="66"/>
    </row>
    <row r="32" customFormat="false" ht="15" hidden="false" customHeight="false" outlineLevel="0" collapsed="false">
      <c r="D32" s="66"/>
      <c r="E32" s="66"/>
      <c r="F32" s="66"/>
      <c r="G32" s="66"/>
      <c r="H32" s="66"/>
      <c r="I32" s="66"/>
      <c r="J32" s="66"/>
      <c r="K32" s="66"/>
      <c r="L32" s="66"/>
      <c r="M32" s="66"/>
      <c r="N32" s="66"/>
      <c r="O32" s="66"/>
      <c r="P32" s="66"/>
      <c r="Q32" s="66"/>
      <c r="R32" s="66"/>
      <c r="S32" s="66"/>
      <c r="T32" s="66"/>
      <c r="U32" s="66"/>
      <c r="Y32" s="66"/>
      <c r="Z32" s="66"/>
      <c r="AA32" s="66"/>
      <c r="AB32" s="66"/>
      <c r="AC32" s="66"/>
      <c r="AD32" s="66"/>
      <c r="AE32" s="66"/>
      <c r="AF32" s="66"/>
      <c r="AG32" s="66"/>
      <c r="AH32" s="66"/>
      <c r="AI32" s="66"/>
      <c r="AJ32" s="66"/>
      <c r="AK32" s="66"/>
      <c r="AL32" s="66"/>
      <c r="AM32" s="66"/>
      <c r="AN32" s="66"/>
      <c r="AO32" s="66"/>
      <c r="AP32" s="66"/>
      <c r="AQ32" s="66"/>
      <c r="AR32" s="66"/>
      <c r="AS32" s="66"/>
    </row>
    <row r="33" customFormat="false" ht="15" hidden="false" customHeight="false" outlineLevel="0" collapsed="false">
      <c r="D33" s="66"/>
      <c r="E33" s="66"/>
      <c r="F33" s="66"/>
      <c r="G33" s="66"/>
      <c r="H33" s="66"/>
      <c r="I33" s="66"/>
      <c r="J33" s="66"/>
      <c r="K33" s="66"/>
      <c r="L33" s="66"/>
      <c r="M33" s="66"/>
      <c r="N33" s="66"/>
      <c r="O33" s="66"/>
      <c r="P33" s="66"/>
      <c r="Q33" s="66"/>
      <c r="R33" s="66"/>
      <c r="S33" s="66"/>
      <c r="T33" s="66"/>
      <c r="U33" s="66"/>
      <c r="Y33" s="66"/>
      <c r="Z33" s="66"/>
      <c r="AA33" s="66"/>
      <c r="AB33" s="66"/>
      <c r="AC33" s="66"/>
      <c r="AD33" s="66"/>
      <c r="AE33" s="66"/>
      <c r="AF33" s="66"/>
      <c r="AG33" s="66"/>
      <c r="AH33" s="66"/>
      <c r="AI33" s="66"/>
      <c r="AJ33" s="66"/>
      <c r="AK33" s="66"/>
      <c r="AL33" s="66"/>
      <c r="AM33" s="66"/>
      <c r="AN33" s="66"/>
      <c r="AO33" s="66"/>
      <c r="AP33" s="66"/>
      <c r="AQ33" s="66"/>
      <c r="AR33" s="66"/>
      <c r="AS33" s="66"/>
    </row>
    <row r="34" customFormat="false" ht="15" hidden="false" customHeight="false" outlineLevel="0" collapsed="false">
      <c r="D34" s="66"/>
      <c r="E34" s="66"/>
      <c r="F34" s="66"/>
      <c r="G34" s="66"/>
      <c r="H34" s="66"/>
      <c r="I34" s="66"/>
      <c r="J34" s="66"/>
      <c r="K34" s="66"/>
      <c r="L34" s="66"/>
      <c r="M34" s="66"/>
      <c r="N34" s="66"/>
      <c r="O34" s="66"/>
      <c r="P34" s="66"/>
      <c r="Q34" s="66"/>
      <c r="R34" s="66"/>
      <c r="S34" s="66"/>
      <c r="T34" s="66"/>
      <c r="U34" s="66"/>
      <c r="Y34" s="66"/>
      <c r="Z34" s="66"/>
      <c r="AA34" s="66"/>
      <c r="AB34" s="66"/>
      <c r="AC34" s="66"/>
      <c r="AD34" s="66"/>
      <c r="AE34" s="66"/>
      <c r="AF34" s="66"/>
      <c r="AG34" s="66"/>
      <c r="AH34" s="66"/>
      <c r="AI34" s="66"/>
      <c r="AJ34" s="66"/>
      <c r="AK34" s="66"/>
      <c r="AL34" s="66"/>
      <c r="AM34" s="66"/>
      <c r="AN34" s="66"/>
      <c r="AO34" s="66"/>
      <c r="AP34" s="66"/>
      <c r="AQ34" s="66"/>
      <c r="AR34" s="66"/>
      <c r="AS34" s="66"/>
    </row>
    <row r="35" customFormat="false" ht="15" hidden="false" customHeight="false" outlineLevel="0" collapsed="false">
      <c r="D35" s="66"/>
      <c r="E35" s="66"/>
      <c r="F35" s="66"/>
      <c r="G35" s="66"/>
      <c r="H35" s="66"/>
      <c r="I35" s="66"/>
      <c r="J35" s="66"/>
      <c r="K35" s="66"/>
      <c r="L35" s="66"/>
      <c r="M35" s="66"/>
      <c r="N35" s="66"/>
      <c r="O35" s="66"/>
      <c r="P35" s="66"/>
      <c r="Q35" s="66"/>
      <c r="R35" s="66"/>
      <c r="S35" s="66"/>
      <c r="T35" s="66"/>
      <c r="U35" s="66"/>
      <c r="Y35" s="66"/>
      <c r="Z35" s="66"/>
      <c r="AA35" s="66"/>
      <c r="AB35" s="66"/>
      <c r="AC35" s="66"/>
      <c r="AD35" s="66"/>
      <c r="AE35" s="66"/>
      <c r="AF35" s="66"/>
      <c r="AG35" s="66"/>
      <c r="AH35" s="66"/>
      <c r="AI35" s="66"/>
      <c r="AJ35" s="66"/>
      <c r="AK35" s="66"/>
      <c r="AL35" s="66"/>
      <c r="AM35" s="66"/>
      <c r="AN35" s="66"/>
      <c r="AO35" s="66"/>
      <c r="AP35" s="66"/>
      <c r="AQ35" s="66"/>
      <c r="AR35" s="66"/>
      <c r="AS35" s="66"/>
    </row>
    <row r="36" customFormat="false" ht="15" hidden="false" customHeight="false" outlineLevel="0" collapsed="false">
      <c r="D36" s="66"/>
      <c r="E36" s="66"/>
      <c r="F36" s="66"/>
      <c r="G36" s="66"/>
      <c r="H36" s="66"/>
      <c r="I36" s="66"/>
      <c r="J36" s="66"/>
      <c r="K36" s="66"/>
      <c r="L36" s="66"/>
      <c r="M36" s="66"/>
      <c r="N36" s="66"/>
      <c r="O36" s="66"/>
      <c r="P36" s="66"/>
      <c r="Q36" s="66"/>
      <c r="R36" s="66"/>
      <c r="S36" s="66"/>
      <c r="T36" s="66"/>
      <c r="U36" s="66"/>
      <c r="Y36" s="66"/>
      <c r="Z36" s="66"/>
      <c r="AA36" s="66"/>
      <c r="AB36" s="66"/>
      <c r="AC36" s="66"/>
      <c r="AD36" s="66"/>
      <c r="AE36" s="66"/>
      <c r="AF36" s="66"/>
      <c r="AG36" s="66"/>
      <c r="AH36" s="66"/>
      <c r="AI36" s="66"/>
      <c r="AJ36" s="66"/>
      <c r="AK36" s="66"/>
      <c r="AL36" s="66"/>
      <c r="AM36" s="66"/>
      <c r="AN36" s="66"/>
      <c r="AO36" s="66"/>
      <c r="AP36" s="66"/>
      <c r="AQ36" s="66"/>
      <c r="AR36" s="66"/>
      <c r="AS36" s="66"/>
    </row>
    <row r="37" customFormat="false" ht="15" hidden="false" customHeight="false" outlineLevel="0" collapsed="false">
      <c r="D37" s="66"/>
      <c r="E37" s="66"/>
      <c r="F37" s="66"/>
      <c r="G37" s="66"/>
      <c r="H37" s="66"/>
      <c r="I37" s="66"/>
      <c r="J37" s="66"/>
      <c r="K37" s="66"/>
      <c r="L37" s="66"/>
      <c r="M37" s="66"/>
      <c r="N37" s="66"/>
      <c r="O37" s="66"/>
      <c r="P37" s="66"/>
      <c r="Q37" s="66"/>
      <c r="R37" s="66"/>
      <c r="S37" s="66"/>
      <c r="T37" s="66"/>
      <c r="U37" s="66"/>
      <c r="Y37" s="66"/>
      <c r="Z37" s="66"/>
      <c r="AA37" s="66"/>
      <c r="AB37" s="66"/>
      <c r="AC37" s="66"/>
      <c r="AD37" s="66"/>
      <c r="AE37" s="66"/>
      <c r="AF37" s="66"/>
      <c r="AG37" s="66"/>
      <c r="AH37" s="66"/>
      <c r="AI37" s="66"/>
      <c r="AJ37" s="66"/>
      <c r="AK37" s="66"/>
      <c r="AL37" s="66"/>
      <c r="AM37" s="66"/>
      <c r="AN37" s="66"/>
      <c r="AO37" s="66"/>
      <c r="AP37" s="66"/>
      <c r="AQ37" s="66"/>
      <c r="AR37" s="66"/>
      <c r="AS37" s="66"/>
    </row>
    <row r="38" customFormat="false" ht="15" hidden="false" customHeight="false" outlineLevel="0" collapsed="false">
      <c r="D38" s="66"/>
      <c r="E38" s="66"/>
      <c r="F38" s="66"/>
      <c r="G38" s="66"/>
      <c r="H38" s="66"/>
      <c r="I38" s="66"/>
      <c r="J38" s="66"/>
      <c r="K38" s="66"/>
      <c r="L38" s="66"/>
      <c r="M38" s="66"/>
      <c r="N38" s="66"/>
      <c r="O38" s="66"/>
      <c r="P38" s="66"/>
      <c r="Q38" s="66"/>
      <c r="R38" s="66"/>
      <c r="S38" s="66"/>
      <c r="T38" s="66"/>
      <c r="U38" s="66"/>
      <c r="Y38" s="66"/>
      <c r="Z38" s="66"/>
      <c r="AA38" s="66"/>
      <c r="AB38" s="66"/>
      <c r="AC38" s="66"/>
      <c r="AD38" s="66"/>
      <c r="AE38" s="66"/>
      <c r="AF38" s="66"/>
      <c r="AG38" s="66"/>
      <c r="AH38" s="66"/>
      <c r="AI38" s="66"/>
      <c r="AJ38" s="66"/>
      <c r="AK38" s="66"/>
      <c r="AL38" s="66"/>
      <c r="AM38" s="66"/>
      <c r="AN38" s="66"/>
      <c r="AO38" s="66"/>
      <c r="AP38" s="66"/>
      <c r="AQ38" s="66"/>
      <c r="AR38" s="66"/>
      <c r="AS38" s="66"/>
    </row>
    <row r="39" customFormat="false" ht="15" hidden="false" customHeight="false" outlineLevel="0" collapsed="false">
      <c r="D39" s="66"/>
      <c r="E39" s="66"/>
      <c r="F39" s="66"/>
      <c r="G39" s="66"/>
      <c r="H39" s="66"/>
      <c r="I39" s="66"/>
      <c r="J39" s="66"/>
      <c r="K39" s="66"/>
      <c r="L39" s="66"/>
      <c r="M39" s="66"/>
      <c r="N39" s="66"/>
      <c r="O39" s="66"/>
      <c r="P39" s="66"/>
      <c r="Q39" s="66"/>
      <c r="R39" s="66"/>
      <c r="S39" s="66"/>
      <c r="T39" s="66"/>
      <c r="U39" s="66"/>
      <c r="Y39" s="66"/>
      <c r="Z39" s="66"/>
      <c r="AA39" s="66"/>
      <c r="AB39" s="66"/>
      <c r="AC39" s="66"/>
      <c r="AD39" s="66"/>
      <c r="AE39" s="66"/>
      <c r="AF39" s="66"/>
      <c r="AG39" s="66"/>
      <c r="AH39" s="66"/>
      <c r="AI39" s="66"/>
      <c r="AJ39" s="66"/>
      <c r="AK39" s="66"/>
      <c r="AL39" s="66"/>
      <c r="AM39" s="66"/>
      <c r="AN39" s="66"/>
      <c r="AO39" s="66"/>
      <c r="AP39" s="66"/>
      <c r="AQ39" s="66"/>
      <c r="AR39" s="66"/>
      <c r="AS39" s="66"/>
    </row>
    <row r="40" customFormat="false" ht="15" hidden="false" customHeight="false" outlineLevel="0" collapsed="false">
      <c r="D40" s="66"/>
      <c r="E40" s="66"/>
      <c r="F40" s="66"/>
      <c r="G40" s="66"/>
      <c r="H40" s="66"/>
      <c r="I40" s="66"/>
      <c r="J40" s="66"/>
      <c r="K40" s="66"/>
      <c r="L40" s="66"/>
      <c r="M40" s="66"/>
      <c r="N40" s="66"/>
      <c r="O40" s="66"/>
      <c r="P40" s="66"/>
      <c r="Q40" s="66"/>
      <c r="R40" s="66"/>
      <c r="S40" s="66"/>
      <c r="T40" s="66"/>
      <c r="U40" s="66"/>
      <c r="Y40" s="66"/>
      <c r="Z40" s="66"/>
      <c r="AA40" s="66"/>
      <c r="AB40" s="66"/>
      <c r="AC40" s="66"/>
      <c r="AD40" s="66"/>
      <c r="AE40" s="66"/>
      <c r="AF40" s="66"/>
      <c r="AG40" s="66"/>
      <c r="AH40" s="66"/>
      <c r="AI40" s="66"/>
      <c r="AJ40" s="66"/>
      <c r="AK40" s="66"/>
      <c r="AL40" s="66"/>
      <c r="AM40" s="66"/>
      <c r="AN40" s="66"/>
      <c r="AO40" s="66"/>
      <c r="AP40" s="66"/>
      <c r="AQ40" s="66"/>
      <c r="AR40" s="66"/>
      <c r="AS40" s="66"/>
    </row>
    <row r="41" customFormat="false" ht="15" hidden="false" customHeight="false" outlineLevel="0" collapsed="false">
      <c r="D41" s="66"/>
      <c r="E41" s="66"/>
      <c r="F41" s="66"/>
      <c r="G41" s="66"/>
      <c r="H41" s="66"/>
      <c r="I41" s="66"/>
      <c r="J41" s="66"/>
      <c r="K41" s="66"/>
      <c r="L41" s="66"/>
      <c r="M41" s="66"/>
      <c r="N41" s="66"/>
      <c r="O41" s="66"/>
      <c r="P41" s="66"/>
      <c r="Q41" s="66"/>
      <c r="R41" s="66"/>
      <c r="S41" s="66"/>
      <c r="T41" s="66"/>
      <c r="U41" s="66"/>
      <c r="Y41" s="66"/>
      <c r="Z41" s="66"/>
      <c r="AA41" s="66"/>
      <c r="AB41" s="66"/>
      <c r="AC41" s="66"/>
      <c r="AD41" s="66"/>
      <c r="AE41" s="66"/>
      <c r="AF41" s="66"/>
      <c r="AG41" s="66"/>
      <c r="AH41" s="66"/>
      <c r="AI41" s="66"/>
      <c r="AJ41" s="66"/>
      <c r="AK41" s="66"/>
      <c r="AL41" s="66"/>
      <c r="AM41" s="66"/>
      <c r="AN41" s="66"/>
      <c r="AO41" s="66"/>
      <c r="AP41" s="66"/>
      <c r="AQ41" s="66"/>
      <c r="AR41" s="66"/>
      <c r="AS41" s="66"/>
    </row>
    <row r="42" customFormat="false" ht="15" hidden="false" customHeight="false" outlineLevel="0" collapsed="false">
      <c r="D42" s="66"/>
      <c r="E42" s="66"/>
      <c r="F42" s="66"/>
      <c r="G42" s="66"/>
      <c r="H42" s="66"/>
      <c r="I42" s="66"/>
      <c r="J42" s="66"/>
      <c r="K42" s="66"/>
      <c r="L42" s="66"/>
      <c r="M42" s="66"/>
      <c r="N42" s="66"/>
      <c r="O42" s="66"/>
      <c r="P42" s="66"/>
      <c r="Q42" s="66"/>
      <c r="R42" s="66"/>
      <c r="S42" s="66"/>
      <c r="T42" s="66"/>
      <c r="U42" s="66"/>
      <c r="Y42" s="66"/>
      <c r="Z42" s="66"/>
      <c r="AA42" s="66"/>
      <c r="AB42" s="66"/>
      <c r="AC42" s="66"/>
      <c r="AD42" s="66"/>
      <c r="AE42" s="66"/>
      <c r="AF42" s="66"/>
      <c r="AG42" s="66"/>
      <c r="AH42" s="66"/>
      <c r="AI42" s="66"/>
      <c r="AJ42" s="66"/>
      <c r="AK42" s="66"/>
      <c r="AL42" s="66"/>
      <c r="AM42" s="66"/>
      <c r="AN42" s="66"/>
      <c r="AO42" s="66"/>
      <c r="AP42" s="66"/>
      <c r="AQ42" s="66"/>
      <c r="AR42" s="66"/>
      <c r="AS42" s="66"/>
    </row>
    <row r="43" customFormat="false" ht="15.75" hidden="false" customHeight="false" outlineLevel="0" collapsed="false">
      <c r="D43" s="66"/>
      <c r="E43" s="66"/>
      <c r="F43" s="66"/>
      <c r="G43" s="66"/>
      <c r="H43" s="66"/>
      <c r="I43" s="66"/>
      <c r="J43" s="66"/>
      <c r="K43" s="66"/>
      <c r="L43" s="66"/>
      <c r="M43" s="66"/>
      <c r="N43" s="66"/>
      <c r="O43" s="66"/>
      <c r="P43" s="66"/>
      <c r="Q43" s="66"/>
      <c r="R43" s="66"/>
      <c r="S43" s="66"/>
      <c r="T43" s="66"/>
      <c r="U43" s="66"/>
      <c r="Y43" s="66"/>
      <c r="Z43" s="66"/>
      <c r="AA43" s="66"/>
      <c r="AB43" s="66"/>
      <c r="AC43" s="66"/>
      <c r="AD43" s="66"/>
      <c r="AE43" s="66"/>
      <c r="AF43" s="66"/>
      <c r="AG43" s="66"/>
      <c r="AH43" s="66"/>
      <c r="AI43" s="66"/>
      <c r="AJ43" s="66"/>
      <c r="AK43" s="66"/>
      <c r="AL43" s="66"/>
      <c r="AM43" s="66"/>
      <c r="AN43" s="66"/>
      <c r="AO43" s="66"/>
      <c r="AP43" s="66"/>
      <c r="AQ43" s="66"/>
      <c r="AR43" s="66"/>
      <c r="AS43" s="66"/>
    </row>
    <row r="44" customFormat="false" ht="15" hidden="false" customHeight="false" outlineLevel="0" collapsed="false">
      <c r="Y44" s="66"/>
      <c r="Z44" s="66"/>
      <c r="AA44" s="66"/>
      <c r="AB44" s="66"/>
      <c r="AC44" s="66"/>
      <c r="AD44" s="66"/>
      <c r="AE44" s="66"/>
      <c r="AF44" s="66"/>
      <c r="AG44" s="66"/>
      <c r="AH44" s="66"/>
      <c r="AI44" s="66"/>
      <c r="AJ44" s="66"/>
      <c r="AK44" s="66"/>
      <c r="AL44" s="66"/>
      <c r="AM44" s="66"/>
      <c r="AN44" s="66"/>
      <c r="AO44" s="66"/>
      <c r="AP44" s="66"/>
      <c r="AQ44" s="66"/>
      <c r="AR44" s="66"/>
      <c r="AS44" s="66"/>
    </row>
    <row r="45" customFormat="false" ht="15" hidden="false" customHeight="false" outlineLevel="0" collapsed="false">
      <c r="Y45" s="66"/>
      <c r="Z45" s="66"/>
      <c r="AA45" s="66"/>
      <c r="AB45" s="66"/>
      <c r="AC45" s="66"/>
      <c r="AD45" s="66"/>
      <c r="AE45" s="66"/>
      <c r="AF45" s="66"/>
      <c r="AG45" s="66"/>
      <c r="AH45" s="66"/>
      <c r="AI45" s="66"/>
      <c r="AJ45" s="66"/>
      <c r="AK45" s="66"/>
      <c r="AL45" s="66"/>
      <c r="AM45" s="66"/>
      <c r="AN45" s="66"/>
      <c r="AO45" s="66"/>
      <c r="AP45" s="66"/>
      <c r="AQ45" s="66"/>
      <c r="AR45" s="66"/>
      <c r="AS45" s="66"/>
    </row>
    <row r="46" customFormat="false" ht="15" hidden="false" customHeight="false" outlineLevel="0" collapsed="false">
      <c r="Y46" s="66"/>
      <c r="Z46" s="66"/>
      <c r="AA46" s="66"/>
      <c r="AB46" s="66"/>
      <c r="AC46" s="66"/>
      <c r="AD46" s="66"/>
      <c r="AE46" s="66"/>
      <c r="AF46" s="66"/>
      <c r="AG46" s="66"/>
      <c r="AH46" s="66"/>
      <c r="AI46" s="66"/>
      <c r="AJ46" s="66"/>
      <c r="AK46" s="66"/>
      <c r="AL46" s="66"/>
      <c r="AM46" s="66"/>
      <c r="AN46" s="66"/>
      <c r="AO46" s="66"/>
      <c r="AP46" s="66"/>
      <c r="AQ46" s="66"/>
      <c r="AR46" s="66"/>
      <c r="AS46" s="66"/>
    </row>
    <row r="47" customFormat="false" ht="15" hidden="false" customHeight="false" outlineLevel="0" collapsed="false">
      <c r="Y47" s="66"/>
      <c r="Z47" s="66"/>
      <c r="AA47" s="66"/>
      <c r="AB47" s="66"/>
      <c r="AC47" s="66"/>
      <c r="AD47" s="66"/>
      <c r="AE47" s="66"/>
      <c r="AF47" s="66"/>
      <c r="AG47" s="66"/>
      <c r="AH47" s="66"/>
      <c r="AI47" s="66"/>
      <c r="AJ47" s="66"/>
      <c r="AK47" s="66"/>
      <c r="AL47" s="66"/>
      <c r="AM47" s="66"/>
      <c r="AN47" s="66"/>
      <c r="AO47" s="66"/>
      <c r="AP47" s="66"/>
      <c r="AQ47" s="66"/>
      <c r="AR47" s="66"/>
      <c r="AS47" s="66"/>
    </row>
    <row r="48" customFormat="false" ht="15" hidden="false" customHeight="false" outlineLevel="0" collapsed="false">
      <c r="Y48" s="66"/>
      <c r="Z48" s="66"/>
      <c r="AA48" s="66"/>
      <c r="AB48" s="66"/>
      <c r="AC48" s="66"/>
      <c r="AD48" s="66"/>
      <c r="AE48" s="66"/>
      <c r="AF48" s="66"/>
      <c r="AG48" s="66"/>
      <c r="AH48" s="66"/>
      <c r="AI48" s="66"/>
      <c r="AJ48" s="66"/>
      <c r="AK48" s="66"/>
      <c r="AL48" s="66"/>
      <c r="AM48" s="66"/>
      <c r="AN48" s="66"/>
      <c r="AO48" s="66"/>
      <c r="AP48" s="66"/>
      <c r="AQ48" s="66"/>
      <c r="AR48" s="66"/>
      <c r="AS48" s="66"/>
    </row>
    <row r="49" customFormat="false" ht="15.75" hidden="false" customHeight="false" outlineLevel="0" collapsed="false">
      <c r="Y49" s="66"/>
      <c r="Z49" s="66"/>
      <c r="AA49" s="66"/>
      <c r="AB49" s="66"/>
      <c r="AC49" s="66"/>
      <c r="AD49" s="66"/>
      <c r="AE49" s="66"/>
      <c r="AF49" s="66"/>
      <c r="AG49" s="66"/>
      <c r="AH49" s="66"/>
      <c r="AI49" s="66"/>
      <c r="AJ49" s="66"/>
      <c r="AK49" s="66"/>
      <c r="AL49" s="66"/>
      <c r="AM49" s="66"/>
      <c r="AN49" s="66"/>
      <c r="AO49" s="66"/>
      <c r="AP49" s="66"/>
      <c r="AQ49" s="66"/>
      <c r="AR49" s="66"/>
      <c r="AS49" s="66"/>
    </row>
    <row r="52" customFormat="false" ht="15.75" hidden="false" customHeight="false" outlineLevel="0" collapsed="false"/>
    <row r="53" customFormat="false" ht="15.75" hidden="false" customHeight="false" outlineLevel="0" collapsed="false">
      <c r="C53" s="52" t="s">
        <v>205</v>
      </c>
      <c r="D53" s="52"/>
      <c r="E53" s="52"/>
      <c r="F53" s="52"/>
      <c r="G53" s="52"/>
      <c r="H53" s="52"/>
      <c r="J53" s="52" t="s">
        <v>206</v>
      </c>
      <c r="K53" s="52"/>
      <c r="L53" s="52"/>
      <c r="M53" s="52"/>
      <c r="N53" s="52"/>
      <c r="O53" s="52"/>
      <c r="P53" s="52"/>
      <c r="Q53" s="52"/>
      <c r="R53" s="52"/>
      <c r="S53" s="52"/>
      <c r="T53" s="52"/>
      <c r="Y53" s="52" t="s">
        <v>207</v>
      </c>
      <c r="Z53" s="52"/>
      <c r="AA53" s="52"/>
      <c r="AB53" s="52"/>
      <c r="AC53" s="52"/>
      <c r="AD53" s="52"/>
      <c r="AE53" s="52"/>
    </row>
    <row r="54" customFormat="false" ht="15" hidden="false" customHeight="false" outlineLevel="0" collapsed="false">
      <c r="C54" s="53"/>
      <c r="D54" s="53"/>
      <c r="E54" s="53"/>
      <c r="F54" s="53"/>
      <c r="G54" s="53"/>
      <c r="H54" s="53"/>
      <c r="J54" s="53"/>
      <c r="K54" s="53"/>
      <c r="L54" s="53"/>
      <c r="M54" s="53"/>
      <c r="N54" s="53"/>
      <c r="O54" s="53"/>
      <c r="P54" s="53"/>
      <c r="Q54" s="53"/>
      <c r="R54" s="53"/>
      <c r="S54" s="53"/>
      <c r="T54" s="53"/>
      <c r="Y54" s="55"/>
      <c r="Z54" s="56"/>
      <c r="AA54" s="56"/>
      <c r="AB54" s="56"/>
      <c r="AC54" s="56"/>
      <c r="AD54" s="56"/>
      <c r="AE54" s="57"/>
    </row>
    <row r="55" customFormat="false" ht="15" hidden="false" customHeight="false" outlineLevel="0" collapsed="false">
      <c r="C55" s="53"/>
      <c r="D55" s="53"/>
      <c r="E55" s="53"/>
      <c r="F55" s="53"/>
      <c r="G55" s="53"/>
      <c r="H55" s="53"/>
      <c r="J55" s="53"/>
      <c r="K55" s="53"/>
      <c r="L55" s="53"/>
      <c r="M55" s="53"/>
      <c r="N55" s="53"/>
      <c r="O55" s="53"/>
      <c r="P55" s="53"/>
      <c r="Q55" s="53"/>
      <c r="R55" s="53"/>
      <c r="S55" s="53"/>
      <c r="T55" s="53"/>
      <c r="Y55" s="58"/>
      <c r="Z55" s="59"/>
      <c r="AA55" s="59"/>
      <c r="AB55" s="59"/>
      <c r="AC55" s="59"/>
      <c r="AD55" s="59"/>
      <c r="AE55" s="60"/>
    </row>
    <row r="56" customFormat="false" ht="15" hidden="false" customHeight="false" outlineLevel="0" collapsed="false">
      <c r="C56" s="53"/>
      <c r="D56" s="53"/>
      <c r="E56" s="53"/>
      <c r="F56" s="53"/>
      <c r="G56" s="53"/>
      <c r="H56" s="53"/>
      <c r="J56" s="53"/>
      <c r="K56" s="53"/>
      <c r="L56" s="53"/>
      <c r="M56" s="53"/>
      <c r="N56" s="53"/>
      <c r="O56" s="53"/>
      <c r="P56" s="53"/>
      <c r="Q56" s="53"/>
      <c r="R56" s="53"/>
      <c r="S56" s="53"/>
      <c r="T56" s="53"/>
      <c r="Y56" s="58"/>
      <c r="Z56" s="59"/>
      <c r="AA56" s="59"/>
      <c r="AB56" s="59"/>
      <c r="AC56" s="59"/>
      <c r="AD56" s="59"/>
      <c r="AE56" s="60"/>
    </row>
    <row r="57" customFormat="false" ht="15" hidden="false" customHeight="false" outlineLevel="0" collapsed="false">
      <c r="C57" s="53"/>
      <c r="D57" s="53"/>
      <c r="E57" s="53"/>
      <c r="F57" s="53"/>
      <c r="G57" s="53"/>
      <c r="H57" s="53"/>
      <c r="J57" s="53"/>
      <c r="K57" s="53"/>
      <c r="L57" s="53"/>
      <c r="M57" s="53"/>
      <c r="N57" s="53"/>
      <c r="O57" s="53"/>
      <c r="P57" s="53"/>
      <c r="Q57" s="53"/>
      <c r="R57" s="53"/>
      <c r="S57" s="53"/>
      <c r="T57" s="53"/>
      <c r="Y57" s="58"/>
      <c r="Z57" s="59"/>
      <c r="AA57" s="59"/>
      <c r="AB57" s="59"/>
      <c r="AC57" s="59"/>
      <c r="AD57" s="59"/>
      <c r="AE57" s="60"/>
    </row>
    <row r="58" customFormat="false" ht="15" hidden="false" customHeight="false" outlineLevel="0" collapsed="false">
      <c r="C58" s="53"/>
      <c r="D58" s="53"/>
      <c r="E58" s="53"/>
      <c r="F58" s="53"/>
      <c r="G58" s="53"/>
      <c r="H58" s="53"/>
      <c r="J58" s="53"/>
      <c r="K58" s="53"/>
      <c r="L58" s="53"/>
      <c r="M58" s="53"/>
      <c r="N58" s="53"/>
      <c r="O58" s="53"/>
      <c r="P58" s="53"/>
      <c r="Q58" s="53"/>
      <c r="R58" s="53"/>
      <c r="S58" s="53"/>
      <c r="T58" s="53"/>
      <c r="Y58" s="58"/>
      <c r="Z58" s="59"/>
      <c r="AA58" s="59"/>
      <c r="AB58" s="59"/>
      <c r="AC58" s="59"/>
      <c r="AD58" s="59"/>
      <c r="AE58" s="60"/>
    </row>
    <row r="59" customFormat="false" ht="15" hidden="false" customHeight="false" outlineLevel="0" collapsed="false">
      <c r="C59" s="53"/>
      <c r="D59" s="53"/>
      <c r="E59" s="53"/>
      <c r="F59" s="53"/>
      <c r="G59" s="53"/>
      <c r="H59" s="53"/>
      <c r="J59" s="53"/>
      <c r="K59" s="53"/>
      <c r="L59" s="53"/>
      <c r="M59" s="53"/>
      <c r="N59" s="53"/>
      <c r="O59" s="53"/>
      <c r="P59" s="53"/>
      <c r="Q59" s="53"/>
      <c r="R59" s="53"/>
      <c r="S59" s="53"/>
      <c r="T59" s="53"/>
      <c r="Y59" s="58"/>
      <c r="Z59" s="59"/>
      <c r="AA59" s="59"/>
      <c r="AB59" s="59"/>
      <c r="AC59" s="59"/>
      <c r="AD59" s="59"/>
      <c r="AE59" s="60"/>
    </row>
    <row r="60" customFormat="false" ht="15" hidden="false" customHeight="false" outlineLevel="0" collapsed="false">
      <c r="C60" s="53"/>
      <c r="D60" s="53"/>
      <c r="E60" s="53"/>
      <c r="F60" s="53"/>
      <c r="G60" s="53"/>
      <c r="H60" s="53"/>
      <c r="J60" s="53"/>
      <c r="K60" s="53"/>
      <c r="L60" s="53"/>
      <c r="M60" s="53"/>
      <c r="N60" s="53"/>
      <c r="O60" s="53"/>
      <c r="P60" s="53"/>
      <c r="Q60" s="53"/>
      <c r="R60" s="53"/>
      <c r="S60" s="53"/>
      <c r="T60" s="53"/>
      <c r="Y60" s="58"/>
      <c r="Z60" s="59"/>
      <c r="AA60" s="59"/>
      <c r="AB60" s="59"/>
      <c r="AC60" s="59"/>
      <c r="AD60" s="59"/>
      <c r="AE60" s="60"/>
    </row>
    <row r="61" customFormat="false" ht="15" hidden="false" customHeight="false" outlineLevel="0" collapsed="false">
      <c r="C61" s="53"/>
      <c r="D61" s="53"/>
      <c r="E61" s="53"/>
      <c r="F61" s="53"/>
      <c r="G61" s="53"/>
      <c r="H61" s="53"/>
      <c r="J61" s="53"/>
      <c r="K61" s="53"/>
      <c r="L61" s="53"/>
      <c r="M61" s="53"/>
      <c r="N61" s="53"/>
      <c r="O61" s="53"/>
      <c r="P61" s="53"/>
      <c r="Q61" s="53"/>
      <c r="R61" s="53"/>
      <c r="S61" s="53"/>
      <c r="T61" s="53"/>
      <c r="Y61" s="58"/>
      <c r="Z61" s="59"/>
      <c r="AA61" s="59"/>
      <c r="AB61" s="59"/>
      <c r="AC61" s="59"/>
      <c r="AD61" s="59"/>
      <c r="AE61" s="60"/>
    </row>
    <row r="62" customFormat="false" ht="15" hidden="false" customHeight="false" outlineLevel="0" collapsed="false">
      <c r="C62" s="53"/>
      <c r="D62" s="53"/>
      <c r="E62" s="53"/>
      <c r="F62" s="53"/>
      <c r="G62" s="53"/>
      <c r="H62" s="53"/>
      <c r="J62" s="53"/>
      <c r="K62" s="53"/>
      <c r="L62" s="53"/>
      <c r="M62" s="53"/>
      <c r="N62" s="53"/>
      <c r="O62" s="53"/>
      <c r="P62" s="53"/>
      <c r="Q62" s="53"/>
      <c r="R62" s="53"/>
      <c r="S62" s="53"/>
      <c r="T62" s="53"/>
      <c r="Y62" s="58"/>
      <c r="Z62" s="59"/>
      <c r="AA62" s="59"/>
      <c r="AB62" s="59"/>
      <c r="AC62" s="59"/>
      <c r="AD62" s="59"/>
      <c r="AE62" s="60"/>
    </row>
    <row r="63" customFormat="false" ht="15" hidden="false" customHeight="false" outlineLevel="0" collapsed="false">
      <c r="C63" s="53"/>
      <c r="D63" s="53"/>
      <c r="E63" s="53"/>
      <c r="F63" s="53"/>
      <c r="G63" s="53"/>
      <c r="H63" s="53"/>
      <c r="J63" s="53"/>
      <c r="K63" s="53"/>
      <c r="L63" s="53"/>
      <c r="M63" s="53"/>
      <c r="N63" s="53"/>
      <c r="O63" s="53"/>
      <c r="P63" s="53"/>
      <c r="Q63" s="53"/>
      <c r="R63" s="53"/>
      <c r="S63" s="53"/>
      <c r="T63" s="53"/>
      <c r="Y63" s="58"/>
      <c r="Z63" s="59"/>
      <c r="AA63" s="59"/>
      <c r="AB63" s="59"/>
      <c r="AC63" s="59"/>
      <c r="AD63" s="59"/>
      <c r="AE63" s="60"/>
    </row>
    <row r="64" customFormat="false" ht="15" hidden="false" customHeight="false" outlineLevel="0" collapsed="false">
      <c r="C64" s="53"/>
      <c r="D64" s="53"/>
      <c r="E64" s="53"/>
      <c r="F64" s="53"/>
      <c r="G64" s="53"/>
      <c r="H64" s="53"/>
      <c r="J64" s="53"/>
      <c r="K64" s="53"/>
      <c r="L64" s="53"/>
      <c r="M64" s="53"/>
      <c r="N64" s="53"/>
      <c r="O64" s="53"/>
      <c r="P64" s="53"/>
      <c r="Q64" s="53"/>
      <c r="R64" s="53"/>
      <c r="S64" s="53"/>
      <c r="T64" s="53"/>
      <c r="Y64" s="58"/>
      <c r="Z64" s="59"/>
      <c r="AA64" s="59"/>
      <c r="AB64" s="59"/>
      <c r="AC64" s="59"/>
      <c r="AD64" s="59"/>
      <c r="AE64" s="60"/>
    </row>
    <row r="65" customFormat="false" ht="15" hidden="false" customHeight="false" outlineLevel="0" collapsed="false">
      <c r="C65" s="53"/>
      <c r="D65" s="53"/>
      <c r="E65" s="53"/>
      <c r="F65" s="53"/>
      <c r="G65" s="53"/>
      <c r="H65" s="53"/>
      <c r="J65" s="53"/>
      <c r="K65" s="53"/>
      <c r="L65" s="53"/>
      <c r="M65" s="53"/>
      <c r="N65" s="53"/>
      <c r="O65" s="53"/>
      <c r="P65" s="53"/>
      <c r="Q65" s="53"/>
      <c r="R65" s="53"/>
      <c r="S65" s="53"/>
      <c r="T65" s="53"/>
      <c r="Y65" s="58"/>
      <c r="Z65" s="59"/>
      <c r="AA65" s="59"/>
      <c r="AB65" s="59"/>
      <c r="AC65" s="59"/>
      <c r="AD65" s="59"/>
      <c r="AE65" s="60"/>
    </row>
    <row r="66" customFormat="false" ht="15" hidden="false" customHeight="false" outlineLevel="0" collapsed="false">
      <c r="C66" s="53"/>
      <c r="D66" s="53"/>
      <c r="E66" s="53"/>
      <c r="F66" s="53"/>
      <c r="G66" s="53"/>
      <c r="H66" s="53"/>
      <c r="J66" s="53"/>
      <c r="K66" s="53"/>
      <c r="L66" s="53"/>
      <c r="M66" s="53"/>
      <c r="N66" s="53"/>
      <c r="O66" s="53"/>
      <c r="P66" s="53"/>
      <c r="Q66" s="53"/>
      <c r="R66" s="53"/>
      <c r="S66" s="53"/>
      <c r="T66" s="53"/>
      <c r="Y66" s="58"/>
      <c r="Z66" s="59"/>
      <c r="AA66" s="59"/>
      <c r="AB66" s="59"/>
      <c r="AC66" s="59"/>
      <c r="AD66" s="59"/>
      <c r="AE66" s="60"/>
    </row>
    <row r="67" customFormat="false" ht="15" hidden="false" customHeight="false" outlineLevel="0" collapsed="false">
      <c r="C67" s="53"/>
      <c r="D67" s="53"/>
      <c r="E67" s="53"/>
      <c r="F67" s="53"/>
      <c r="G67" s="53"/>
      <c r="H67" s="53"/>
      <c r="J67" s="53"/>
      <c r="K67" s="53"/>
      <c r="L67" s="53"/>
      <c r="M67" s="53"/>
      <c r="N67" s="53"/>
      <c r="O67" s="53"/>
      <c r="P67" s="53"/>
      <c r="Q67" s="53"/>
      <c r="R67" s="53"/>
      <c r="S67" s="53"/>
      <c r="T67" s="53"/>
      <c r="Y67" s="58"/>
      <c r="Z67" s="59"/>
      <c r="AA67" s="59"/>
      <c r="AB67" s="59"/>
      <c r="AC67" s="59"/>
      <c r="AD67" s="59"/>
      <c r="AE67" s="60"/>
    </row>
    <row r="68" customFormat="false" ht="15" hidden="false" customHeight="false" outlineLevel="0" collapsed="false">
      <c r="C68" s="53"/>
      <c r="D68" s="53"/>
      <c r="E68" s="53"/>
      <c r="F68" s="53"/>
      <c r="G68" s="53"/>
      <c r="H68" s="53"/>
      <c r="J68" s="53"/>
      <c r="K68" s="53"/>
      <c r="L68" s="53"/>
      <c r="M68" s="53"/>
      <c r="N68" s="53"/>
      <c r="O68" s="53"/>
      <c r="P68" s="53"/>
      <c r="Q68" s="53"/>
      <c r="R68" s="53"/>
      <c r="S68" s="53"/>
      <c r="T68" s="53"/>
      <c r="Y68" s="58"/>
      <c r="Z68" s="59"/>
      <c r="AA68" s="59"/>
      <c r="AB68" s="59"/>
      <c r="AC68" s="59"/>
      <c r="AD68" s="59"/>
      <c r="AE68" s="60"/>
    </row>
    <row r="69" customFormat="false" ht="15.75" hidden="false" customHeight="false" outlineLevel="0" collapsed="false">
      <c r="C69" s="53"/>
      <c r="D69" s="53"/>
      <c r="E69" s="53"/>
      <c r="F69" s="53"/>
      <c r="G69" s="53"/>
      <c r="H69" s="53"/>
      <c r="J69" s="53"/>
      <c r="K69" s="53"/>
      <c r="L69" s="53"/>
      <c r="M69" s="53"/>
      <c r="N69" s="53"/>
      <c r="O69" s="53"/>
      <c r="P69" s="53"/>
      <c r="Q69" s="53"/>
      <c r="R69" s="53"/>
      <c r="S69" s="53"/>
      <c r="T69" s="53"/>
      <c r="Y69" s="61"/>
      <c r="Z69" s="62"/>
      <c r="AA69" s="62"/>
      <c r="AB69" s="62"/>
      <c r="AC69" s="62"/>
      <c r="AD69" s="62"/>
      <c r="AE69" s="63"/>
    </row>
    <row r="74" customFormat="false" ht="15.75" hidden="false" customHeight="false" outlineLevel="0" collapsed="false"/>
    <row r="75" customFormat="false" ht="15.75" hidden="false" customHeight="false" outlineLevel="0" collapsed="false">
      <c r="D75" s="52" t="s">
        <v>208</v>
      </c>
      <c r="E75" s="52"/>
      <c r="F75" s="52"/>
      <c r="G75" s="52"/>
      <c r="H75" s="52"/>
      <c r="I75" s="52"/>
      <c r="K75" s="52" t="s">
        <v>209</v>
      </c>
      <c r="L75" s="52"/>
      <c r="M75" s="52"/>
      <c r="N75" s="52"/>
      <c r="O75" s="52"/>
      <c r="P75" s="52"/>
      <c r="Q75" s="52"/>
      <c r="R75" s="52"/>
      <c r="U75" s="52" t="s">
        <v>210</v>
      </c>
      <c r="V75" s="52"/>
      <c r="W75" s="52"/>
      <c r="Z75" s="52" t="s">
        <v>211</v>
      </c>
      <c r="AA75" s="52"/>
      <c r="AB75" s="52"/>
      <c r="AC75" s="52"/>
      <c r="AD75" s="52"/>
    </row>
    <row r="76" customFormat="false" ht="15" hidden="false" customHeight="false" outlineLevel="0" collapsed="false">
      <c r="D76" s="55"/>
      <c r="E76" s="56"/>
      <c r="F76" s="56"/>
      <c r="G76" s="56"/>
      <c r="H76" s="56"/>
      <c r="I76" s="57"/>
      <c r="K76" s="55"/>
      <c r="L76" s="56"/>
      <c r="M76" s="56"/>
      <c r="N76" s="56"/>
      <c r="O76" s="56"/>
      <c r="P76" s="56"/>
      <c r="Q76" s="56"/>
      <c r="R76" s="57"/>
      <c r="U76" s="55"/>
      <c r="V76" s="56"/>
      <c r="W76" s="57"/>
      <c r="Z76" s="66"/>
      <c r="AA76" s="66"/>
      <c r="AB76" s="66"/>
      <c r="AC76" s="66"/>
      <c r="AD76" s="66"/>
    </row>
    <row r="77" customFormat="false" ht="15" hidden="false" customHeight="false" outlineLevel="0" collapsed="false">
      <c r="D77" s="58"/>
      <c r="E77" s="59"/>
      <c r="F77" s="59"/>
      <c r="G77" s="59"/>
      <c r="H77" s="59"/>
      <c r="I77" s="60"/>
      <c r="K77" s="58"/>
      <c r="L77" s="59"/>
      <c r="M77" s="59"/>
      <c r="N77" s="59"/>
      <c r="O77" s="59"/>
      <c r="P77" s="59"/>
      <c r="Q77" s="59"/>
      <c r="R77" s="60"/>
      <c r="U77" s="58"/>
      <c r="V77" s="59"/>
      <c r="W77" s="60"/>
      <c r="Z77" s="66"/>
      <c r="AA77" s="66"/>
      <c r="AB77" s="66"/>
      <c r="AC77" s="66"/>
      <c r="AD77" s="66"/>
    </row>
    <row r="78" customFormat="false" ht="15" hidden="false" customHeight="false" outlineLevel="0" collapsed="false">
      <c r="D78" s="58"/>
      <c r="E78" s="59"/>
      <c r="F78" s="59"/>
      <c r="G78" s="59"/>
      <c r="H78" s="59"/>
      <c r="I78" s="60"/>
      <c r="K78" s="58"/>
      <c r="L78" s="59"/>
      <c r="M78" s="59"/>
      <c r="N78" s="59"/>
      <c r="O78" s="59"/>
      <c r="P78" s="59"/>
      <c r="Q78" s="59"/>
      <c r="R78" s="60"/>
      <c r="U78" s="58"/>
      <c r="V78" s="59"/>
      <c r="W78" s="60"/>
      <c r="Z78" s="66"/>
      <c r="AA78" s="66"/>
      <c r="AB78" s="66"/>
      <c r="AC78" s="66"/>
      <c r="AD78" s="66"/>
    </row>
    <row r="79" customFormat="false" ht="15" hidden="false" customHeight="false" outlineLevel="0" collapsed="false">
      <c r="D79" s="58"/>
      <c r="E79" s="59"/>
      <c r="F79" s="59"/>
      <c r="G79" s="59"/>
      <c r="H79" s="59"/>
      <c r="I79" s="60"/>
      <c r="K79" s="58"/>
      <c r="L79" s="59"/>
      <c r="M79" s="59"/>
      <c r="N79" s="59"/>
      <c r="O79" s="59"/>
      <c r="P79" s="59"/>
      <c r="Q79" s="59"/>
      <c r="R79" s="60"/>
      <c r="U79" s="58"/>
      <c r="V79" s="59"/>
      <c r="W79" s="60"/>
      <c r="Z79" s="66"/>
      <c r="AA79" s="66"/>
      <c r="AB79" s="66"/>
      <c r="AC79" s="66"/>
      <c r="AD79" s="66"/>
    </row>
    <row r="80" customFormat="false" ht="15" hidden="false" customHeight="false" outlineLevel="0" collapsed="false">
      <c r="D80" s="58"/>
      <c r="E80" s="59"/>
      <c r="F80" s="59"/>
      <c r="G80" s="59"/>
      <c r="H80" s="59"/>
      <c r="I80" s="60"/>
      <c r="K80" s="58"/>
      <c r="L80" s="59"/>
      <c r="M80" s="59"/>
      <c r="N80" s="59"/>
      <c r="O80" s="59"/>
      <c r="P80" s="59"/>
      <c r="Q80" s="59"/>
      <c r="R80" s="60"/>
      <c r="U80" s="58"/>
      <c r="V80" s="59"/>
      <c r="W80" s="60"/>
      <c r="Z80" s="66"/>
      <c r="AA80" s="66"/>
      <c r="AB80" s="66"/>
      <c r="AC80" s="66"/>
      <c r="AD80" s="66"/>
    </row>
    <row r="81" customFormat="false" ht="15" hidden="false" customHeight="false" outlineLevel="0" collapsed="false">
      <c r="D81" s="58"/>
      <c r="E81" s="59"/>
      <c r="F81" s="59"/>
      <c r="G81" s="59"/>
      <c r="H81" s="59"/>
      <c r="I81" s="60"/>
      <c r="K81" s="58"/>
      <c r="L81" s="59"/>
      <c r="M81" s="59"/>
      <c r="N81" s="59"/>
      <c r="O81" s="59"/>
      <c r="P81" s="59"/>
      <c r="Q81" s="59"/>
      <c r="R81" s="60"/>
      <c r="U81" s="58"/>
      <c r="V81" s="59"/>
      <c r="W81" s="60"/>
      <c r="Z81" s="66"/>
      <c r="AA81" s="66"/>
      <c r="AB81" s="66"/>
      <c r="AC81" s="66"/>
      <c r="AD81" s="66"/>
    </row>
    <row r="82" customFormat="false" ht="15" hidden="false" customHeight="false" outlineLevel="0" collapsed="false">
      <c r="D82" s="58"/>
      <c r="E82" s="59"/>
      <c r="F82" s="59"/>
      <c r="G82" s="59"/>
      <c r="H82" s="59"/>
      <c r="I82" s="60"/>
      <c r="K82" s="58"/>
      <c r="L82" s="59"/>
      <c r="M82" s="59"/>
      <c r="N82" s="59"/>
      <c r="O82" s="59"/>
      <c r="P82" s="59"/>
      <c r="Q82" s="59"/>
      <c r="R82" s="60"/>
      <c r="U82" s="58"/>
      <c r="V82" s="59"/>
      <c r="W82" s="60"/>
      <c r="Z82" s="66"/>
      <c r="AA82" s="66"/>
      <c r="AB82" s="66"/>
      <c r="AC82" s="66"/>
      <c r="AD82" s="66"/>
    </row>
    <row r="83" customFormat="false" ht="15" hidden="false" customHeight="false" outlineLevel="0" collapsed="false">
      <c r="D83" s="58"/>
      <c r="E83" s="59"/>
      <c r="F83" s="59"/>
      <c r="G83" s="59"/>
      <c r="H83" s="59"/>
      <c r="I83" s="60"/>
      <c r="K83" s="58"/>
      <c r="L83" s="59"/>
      <c r="M83" s="59"/>
      <c r="N83" s="59"/>
      <c r="O83" s="59"/>
      <c r="P83" s="59"/>
      <c r="Q83" s="59"/>
      <c r="R83" s="60"/>
      <c r="U83" s="58"/>
      <c r="V83" s="59"/>
      <c r="W83" s="60"/>
      <c r="Z83" s="66"/>
      <c r="AA83" s="66"/>
      <c r="AB83" s="66"/>
      <c r="AC83" s="66"/>
      <c r="AD83" s="66"/>
    </row>
    <row r="84" customFormat="false" ht="15" hidden="false" customHeight="false" outlineLevel="0" collapsed="false">
      <c r="D84" s="58"/>
      <c r="E84" s="59"/>
      <c r="F84" s="59"/>
      <c r="G84" s="59"/>
      <c r="H84" s="59"/>
      <c r="I84" s="60"/>
      <c r="K84" s="58"/>
      <c r="L84" s="59"/>
      <c r="M84" s="59"/>
      <c r="N84" s="59"/>
      <c r="O84" s="59"/>
      <c r="P84" s="59"/>
      <c r="Q84" s="59"/>
      <c r="R84" s="60"/>
      <c r="U84" s="58"/>
      <c r="V84" s="59"/>
      <c r="W84" s="60"/>
      <c r="Z84" s="66"/>
      <c r="AA84" s="66"/>
      <c r="AB84" s="66"/>
      <c r="AC84" s="66"/>
      <c r="AD84" s="66"/>
    </row>
    <row r="85" customFormat="false" ht="15" hidden="false" customHeight="false" outlineLevel="0" collapsed="false">
      <c r="D85" s="58"/>
      <c r="E85" s="59"/>
      <c r="F85" s="59"/>
      <c r="G85" s="59"/>
      <c r="H85" s="59"/>
      <c r="I85" s="60"/>
      <c r="K85" s="58"/>
      <c r="L85" s="59"/>
      <c r="M85" s="59"/>
      <c r="N85" s="59"/>
      <c r="O85" s="59"/>
      <c r="P85" s="59"/>
      <c r="Q85" s="59"/>
      <c r="R85" s="60"/>
      <c r="U85" s="58"/>
      <c r="V85" s="59"/>
      <c r="W85" s="60"/>
      <c r="Z85" s="66"/>
      <c r="AA85" s="66"/>
      <c r="AB85" s="66"/>
      <c r="AC85" s="66"/>
      <c r="AD85" s="66"/>
    </row>
    <row r="86" customFormat="false" ht="15" hidden="false" customHeight="false" outlineLevel="0" collapsed="false">
      <c r="D86" s="58"/>
      <c r="E86" s="59"/>
      <c r="F86" s="59"/>
      <c r="G86" s="59"/>
      <c r="H86" s="59"/>
      <c r="I86" s="60"/>
      <c r="K86" s="58"/>
      <c r="L86" s="59"/>
      <c r="M86" s="59"/>
      <c r="N86" s="59"/>
      <c r="O86" s="59"/>
      <c r="Q86" s="59"/>
      <c r="R86" s="60"/>
      <c r="U86" s="58"/>
      <c r="V86" s="59"/>
      <c r="W86" s="60"/>
      <c r="Z86" s="66"/>
      <c r="AA86" s="66"/>
      <c r="AB86" s="66"/>
      <c r="AC86" s="66"/>
      <c r="AD86" s="66"/>
    </row>
    <row r="87" customFormat="false" ht="15" hidden="false" customHeight="false" outlineLevel="0" collapsed="false">
      <c r="D87" s="58"/>
      <c r="E87" s="59"/>
      <c r="F87" s="59"/>
      <c r="G87" s="59"/>
      <c r="H87" s="59"/>
      <c r="I87" s="60"/>
      <c r="K87" s="58"/>
      <c r="L87" s="59"/>
      <c r="M87" s="59"/>
      <c r="N87" s="59"/>
      <c r="O87" s="59"/>
      <c r="P87" s="59"/>
      <c r="Q87" s="59"/>
      <c r="R87" s="60"/>
      <c r="U87" s="58"/>
      <c r="V87" s="59"/>
      <c r="W87" s="60"/>
      <c r="Z87" s="66"/>
      <c r="AA87" s="66"/>
      <c r="AB87" s="66"/>
      <c r="AC87" s="66"/>
      <c r="AD87" s="66"/>
    </row>
    <row r="88" customFormat="false" ht="15" hidden="false" customHeight="false" outlineLevel="0" collapsed="false">
      <c r="D88" s="58"/>
      <c r="E88" s="59"/>
      <c r="F88" s="59"/>
      <c r="G88" s="59"/>
      <c r="H88" s="59"/>
      <c r="I88" s="60"/>
      <c r="K88" s="58"/>
      <c r="L88" s="59"/>
      <c r="M88" s="59"/>
      <c r="N88" s="59"/>
      <c r="O88" s="59"/>
      <c r="P88" s="59"/>
      <c r="Q88" s="59"/>
      <c r="R88" s="60"/>
      <c r="U88" s="58"/>
      <c r="V88" s="59"/>
      <c r="W88" s="60"/>
      <c r="Z88" s="66"/>
      <c r="AA88" s="66"/>
      <c r="AB88" s="66"/>
      <c r="AC88" s="66"/>
      <c r="AD88" s="66"/>
    </row>
    <row r="89" customFormat="false" ht="15" hidden="false" customHeight="false" outlineLevel="0" collapsed="false">
      <c r="D89" s="58"/>
      <c r="E89" s="59"/>
      <c r="F89" s="59"/>
      <c r="G89" s="59"/>
      <c r="H89" s="59"/>
      <c r="I89" s="60"/>
      <c r="K89" s="58"/>
      <c r="L89" s="59"/>
      <c r="M89" s="59"/>
      <c r="N89" s="59"/>
      <c r="O89" s="59"/>
      <c r="P89" s="59"/>
      <c r="Q89" s="59"/>
      <c r="R89" s="60"/>
      <c r="U89" s="58"/>
      <c r="V89" s="59"/>
      <c r="W89" s="60"/>
      <c r="Z89" s="66"/>
      <c r="AA89" s="66"/>
      <c r="AB89" s="66"/>
      <c r="AC89" s="66"/>
      <c r="AD89" s="66"/>
    </row>
    <row r="90" customFormat="false" ht="15" hidden="false" customHeight="false" outlineLevel="0" collapsed="false">
      <c r="D90" s="58"/>
      <c r="E90" s="59"/>
      <c r="F90" s="59"/>
      <c r="G90" s="59"/>
      <c r="H90" s="59"/>
      <c r="I90" s="60"/>
      <c r="K90" s="58"/>
      <c r="L90" s="59"/>
      <c r="M90" s="59"/>
      <c r="N90" s="59"/>
      <c r="O90" s="59"/>
      <c r="P90" s="59"/>
      <c r="Q90" s="59"/>
      <c r="R90" s="60"/>
      <c r="U90" s="58"/>
      <c r="V90" s="59"/>
      <c r="W90" s="60"/>
      <c r="Z90" s="66"/>
      <c r="AA90" s="66"/>
      <c r="AB90" s="66"/>
      <c r="AC90" s="66"/>
      <c r="AD90" s="66"/>
    </row>
    <row r="91" customFormat="false" ht="15.75" hidden="false" customHeight="false" outlineLevel="0" collapsed="false">
      <c r="D91" s="61"/>
      <c r="E91" s="62"/>
      <c r="F91" s="62"/>
      <c r="G91" s="62"/>
      <c r="H91" s="62"/>
      <c r="I91" s="63"/>
      <c r="K91" s="61"/>
      <c r="L91" s="62"/>
      <c r="M91" s="62"/>
      <c r="N91" s="62"/>
      <c r="O91" s="62"/>
      <c r="P91" s="62"/>
      <c r="Q91" s="62"/>
      <c r="R91" s="63"/>
      <c r="U91" s="61"/>
      <c r="V91" s="62"/>
      <c r="W91" s="63"/>
      <c r="Z91" s="66"/>
      <c r="AA91" s="66"/>
      <c r="AB91" s="66"/>
      <c r="AC91" s="66"/>
      <c r="AD91" s="66"/>
    </row>
    <row r="95" customFormat="false" ht="15.75" hidden="false" customHeight="false" outlineLevel="0" collapsed="false"/>
    <row r="96" customFormat="false" ht="15.75" hidden="false" customHeight="false" outlineLevel="0" collapsed="false">
      <c r="D96" s="52" t="s">
        <v>212</v>
      </c>
      <c r="E96" s="52"/>
      <c r="F96" s="52"/>
      <c r="G96" s="52"/>
      <c r="H96" s="52"/>
      <c r="I96" s="52"/>
    </row>
    <row r="97" customFormat="false" ht="15" hidden="false" customHeight="false" outlineLevel="0" collapsed="false">
      <c r="D97" s="55"/>
      <c r="E97" s="56"/>
      <c r="F97" s="56"/>
      <c r="G97" s="56"/>
      <c r="H97" s="56"/>
      <c r="I97" s="57"/>
    </row>
    <row r="98" customFormat="false" ht="15" hidden="false" customHeight="false" outlineLevel="0" collapsed="false">
      <c r="D98" s="58"/>
      <c r="E98" s="59"/>
      <c r="F98" s="59"/>
      <c r="G98" s="59"/>
      <c r="H98" s="59"/>
      <c r="I98" s="60"/>
    </row>
    <row r="99" customFormat="false" ht="15" hidden="false" customHeight="false" outlineLevel="0" collapsed="false">
      <c r="D99" s="58"/>
      <c r="E99" s="59"/>
      <c r="F99" s="59"/>
      <c r="G99" s="59"/>
      <c r="H99" s="59"/>
      <c r="I99" s="60"/>
    </row>
    <row r="100" customFormat="false" ht="15" hidden="false" customHeight="false" outlineLevel="0" collapsed="false">
      <c r="D100" s="58"/>
      <c r="E100" s="59"/>
      <c r="F100" s="59"/>
      <c r="G100" s="59"/>
      <c r="H100" s="59"/>
      <c r="I100" s="60"/>
    </row>
    <row r="101" customFormat="false" ht="15" hidden="false" customHeight="false" outlineLevel="0" collapsed="false">
      <c r="D101" s="58"/>
      <c r="E101" s="59"/>
      <c r="F101" s="59"/>
      <c r="G101" s="59"/>
      <c r="H101" s="59"/>
      <c r="I101" s="60"/>
    </row>
    <row r="102" customFormat="false" ht="15" hidden="false" customHeight="false" outlineLevel="0" collapsed="false">
      <c r="D102" s="58"/>
      <c r="E102" s="59"/>
      <c r="F102" s="59"/>
      <c r="G102" s="59"/>
      <c r="H102" s="59"/>
      <c r="I102" s="60"/>
    </row>
    <row r="103" customFormat="false" ht="15" hidden="false" customHeight="false" outlineLevel="0" collapsed="false">
      <c r="D103" s="58"/>
      <c r="E103" s="59"/>
      <c r="F103" s="59"/>
      <c r="G103" s="59"/>
      <c r="H103" s="59"/>
      <c r="I103" s="60"/>
    </row>
    <row r="104" customFormat="false" ht="15" hidden="false" customHeight="false" outlineLevel="0" collapsed="false">
      <c r="D104" s="58"/>
      <c r="E104" s="59"/>
      <c r="F104" s="59"/>
      <c r="G104" s="59"/>
      <c r="H104" s="59"/>
      <c r="I104" s="60"/>
    </row>
    <row r="105" customFormat="false" ht="15" hidden="false" customHeight="false" outlineLevel="0" collapsed="false">
      <c r="D105" s="58"/>
      <c r="E105" s="59"/>
      <c r="F105" s="59"/>
      <c r="G105" s="59"/>
      <c r="H105" s="59"/>
      <c r="I105" s="60"/>
    </row>
    <row r="106" customFormat="false" ht="15" hidden="false" customHeight="false" outlineLevel="0" collapsed="false">
      <c r="D106" s="58"/>
      <c r="E106" s="59"/>
      <c r="F106" s="59"/>
      <c r="G106" s="59"/>
      <c r="H106" s="59"/>
      <c r="I106" s="60"/>
    </row>
    <row r="107" customFormat="false" ht="15" hidden="false" customHeight="false" outlineLevel="0" collapsed="false">
      <c r="D107" s="58"/>
      <c r="E107" s="59"/>
      <c r="F107" s="59"/>
      <c r="G107" s="59"/>
      <c r="H107" s="59"/>
      <c r="I107" s="60"/>
    </row>
    <row r="108" customFormat="false" ht="15" hidden="false" customHeight="false" outlineLevel="0" collapsed="false">
      <c r="D108" s="58"/>
      <c r="E108" s="59"/>
      <c r="F108" s="59"/>
      <c r="G108" s="59"/>
      <c r="H108" s="59"/>
      <c r="I108" s="60"/>
    </row>
    <row r="109" customFormat="false" ht="15" hidden="false" customHeight="false" outlineLevel="0" collapsed="false">
      <c r="D109" s="58"/>
      <c r="E109" s="59"/>
      <c r="F109" s="59"/>
      <c r="G109" s="59"/>
      <c r="H109" s="59"/>
      <c r="I109" s="60"/>
    </row>
    <row r="110" customFormat="false" ht="15" hidden="false" customHeight="false" outlineLevel="0" collapsed="false">
      <c r="D110" s="58"/>
      <c r="E110" s="59"/>
      <c r="F110" s="59"/>
      <c r="G110" s="59"/>
      <c r="H110" s="59"/>
      <c r="I110" s="60"/>
    </row>
    <row r="111" customFormat="false" ht="15" hidden="false" customHeight="false" outlineLevel="0" collapsed="false">
      <c r="D111" s="58"/>
      <c r="E111" s="59"/>
      <c r="F111" s="59"/>
      <c r="G111" s="59"/>
      <c r="H111" s="59"/>
      <c r="I111" s="60"/>
    </row>
    <row r="112" customFormat="false" ht="15.75" hidden="false" customHeight="false" outlineLevel="0" collapsed="false">
      <c r="D112" s="61"/>
      <c r="E112" s="62"/>
      <c r="F112" s="62"/>
      <c r="G112" s="62"/>
      <c r="H112" s="62"/>
      <c r="I112" s="63"/>
    </row>
  </sheetData>
  <mergeCells count="15">
    <mergeCell ref="D4:U4"/>
    <mergeCell ref="Y4:AS4"/>
    <mergeCell ref="D5:U43"/>
    <mergeCell ref="Y5:AS49"/>
    <mergeCell ref="C53:H53"/>
    <mergeCell ref="J53:T53"/>
    <mergeCell ref="Y53:AE53"/>
    <mergeCell ref="C54:H69"/>
    <mergeCell ref="J54:T69"/>
    <mergeCell ref="D75:I75"/>
    <mergeCell ref="K75:R75"/>
    <mergeCell ref="U75:W75"/>
    <mergeCell ref="Z75:AD75"/>
    <mergeCell ref="Z76:AD91"/>
    <mergeCell ref="D96:I9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2:AC19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G199" activeCellId="0" sqref="G199"/>
    </sheetView>
  </sheetViews>
  <sheetFormatPr defaultColWidth="11.57421875" defaultRowHeight="15" zeroHeight="false" outlineLevelRow="0" outlineLevelCol="0"/>
  <cols>
    <col collapsed="false" customWidth="true" hidden="false" outlineLevel="0" max="2" min="1" style="68" width="3"/>
    <col collapsed="false" customWidth="true" hidden="false" outlineLevel="0" max="3" min="3" style="69" width="6.71"/>
    <col collapsed="false" customWidth="true" hidden="false" outlineLevel="0" max="4" min="4" style="0" width="33"/>
    <col collapsed="false" customWidth="true" hidden="false" outlineLevel="0" max="5" min="5" style="0" width="14.57"/>
    <col collapsed="false" customWidth="true" hidden="false" outlineLevel="0" max="6" min="6" style="0" width="17.14"/>
    <col collapsed="false" customWidth="true" hidden="false" outlineLevel="0" max="11" min="11" style="0" width="13.29"/>
    <col collapsed="false" customWidth="true" hidden="false" outlineLevel="0" max="19" min="19" style="0" width="12.43"/>
    <col collapsed="false" customWidth="false" hidden="false" outlineLevel="0" max="22" min="22" style="70" width="11.57"/>
    <col collapsed="false" customWidth="true" hidden="false" outlineLevel="0" max="28" min="24" style="0" width="16.57"/>
    <col collapsed="false" customWidth="true" hidden="false" outlineLevel="0" max="29" min="29" style="0" width="60.43"/>
  </cols>
  <sheetData>
    <row r="2" customFormat="false" ht="15.75" hidden="false" customHeight="false" outlineLevel="0" collapsed="false"/>
    <row r="3" s="73" customFormat="true" ht="15.75" hidden="false" customHeight="false" outlineLevel="0" collapsed="false">
      <c r="A3" s="71"/>
      <c r="B3" s="71"/>
      <c r="C3" s="72" t="s">
        <v>213</v>
      </c>
      <c r="D3" s="72"/>
      <c r="E3" s="72"/>
      <c r="F3" s="72"/>
      <c r="G3" s="72"/>
      <c r="H3" s="72"/>
      <c r="I3" s="72"/>
      <c r="J3" s="72"/>
      <c r="K3" s="72"/>
      <c r="L3" s="72"/>
      <c r="M3" s="72"/>
      <c r="N3" s="72"/>
      <c r="O3" s="72"/>
      <c r="P3" s="72"/>
      <c r="Q3" s="72"/>
      <c r="R3" s="72"/>
      <c r="S3" s="72"/>
      <c r="T3" s="72"/>
      <c r="U3" s="72"/>
      <c r="V3" s="72"/>
      <c r="W3" s="72"/>
      <c r="X3" s="72"/>
      <c r="Y3" s="72"/>
      <c r="Z3" s="72"/>
      <c r="AA3" s="72"/>
      <c r="AB3" s="72"/>
      <c r="AC3" s="72"/>
    </row>
    <row r="4" s="77" customFormat="true" ht="12" hidden="false" customHeight="true" outlineLevel="0" collapsed="false">
      <c r="A4" s="74"/>
      <c r="B4" s="74"/>
      <c r="C4" s="75" t="s">
        <v>214</v>
      </c>
      <c r="D4" s="76" t="str">
        <f aca="false">'Manual de Uso'!C29</f>
        <v>Nombre</v>
      </c>
      <c r="E4" s="76" t="str">
        <f aca="false">'Manual de Uso'!C30</f>
        <v>Subestación 1</v>
      </c>
      <c r="F4" s="76" t="str">
        <f aca="false">'Manual de Uso'!C31</f>
        <v>Subestación 2</v>
      </c>
      <c r="G4" s="76" t="str">
        <f aca="false">'Manual de Uso'!C32</f>
        <v>Nivel de tensión [kV]</v>
      </c>
      <c r="H4" s="76" t="str">
        <f aca="false">'Manual de Uso'!C33</f>
        <v>Longitud [km]</v>
      </c>
      <c r="I4" s="76" t="str">
        <f aca="false">'Manual de Uso'!C34</f>
        <v>Capacidad transporte nominal [A]</v>
      </c>
      <c r="J4" s="76" t="str">
        <f aca="false">'Manual de Uso'!C35</f>
        <v>Capacidad transporte térmico [A]</v>
      </c>
      <c r="K4" s="76" t="str">
        <f aca="false">'Manual de Uso'!C36</f>
        <v>Capacidad transporte emergencia [A]</v>
      </c>
      <c r="L4" s="76" t="str">
        <f aca="false">'Manual de Uso'!C37</f>
        <v>Causa límite de capacidad</v>
      </c>
      <c r="M4" s="76" t="str">
        <f aca="false">'Manual de Uso'!C38</f>
        <v>R1 [Ohm/km]</v>
      </c>
      <c r="N4" s="76" t="str">
        <f aca="false">'Manual de Uso'!C39</f>
        <v>X1 [Ohm/km]</v>
      </c>
      <c r="O4" s="76" t="str">
        <f aca="false">'Manual de Uso'!C40</f>
        <v>B1 [uS/km]</v>
      </c>
      <c r="P4" s="76" t="str">
        <f aca="false">'Manual de Uso'!C41</f>
        <v>R0 [Ohm/km]</v>
      </c>
      <c r="Q4" s="76" t="str">
        <f aca="false">'Manual de Uso'!C42</f>
        <v>X0 [Ohm/km]</v>
      </c>
      <c r="R4" s="76" t="str">
        <f aca="false">'Manual de Uso'!C43</f>
        <v>B0 [uS/km]</v>
      </c>
      <c r="S4" s="76" t="str">
        <f aca="false">'Manual de Uso'!C44</f>
        <v>Sistema</v>
      </c>
      <c r="T4" s="76" t="str">
        <f aca="false">'Manual de Uso'!C45</f>
        <v>Tipo</v>
      </c>
      <c r="U4" s="76" t="str">
        <f aca="false">'Manual de Uso'!C46</f>
        <v>En Operación</v>
      </c>
      <c r="V4" s="76" t="str">
        <f aca="false">'Manual de Uso'!C47</f>
        <v>FPO</v>
      </c>
      <c r="W4" s="76" t="str">
        <f aca="false">'Manual de Uso'!C48</f>
        <v>Conductor</v>
      </c>
      <c r="X4" s="76" t="str">
        <f aca="false">'Manual de Uso'!C49</f>
        <v>Tiempo medio de reparación por evento [h]</v>
      </c>
      <c r="Y4" s="76" t="str">
        <f aca="false">'Manual de Uso'!C50</f>
        <v>Horas anuales de indisponibilidad [h]</v>
      </c>
      <c r="Z4" s="76" t="str">
        <f aca="false">'Manual de Uso'!C51</f>
        <v>Eventos anuales de indisponibilidad</v>
      </c>
      <c r="AA4" s="76" t="str">
        <f aca="false">'Manual de Uso'!C52</f>
        <v>Operador</v>
      </c>
      <c r="AB4" s="76" t="str">
        <f aca="false">'Manual de Uso'!C53</f>
        <v>Tipo activo Uso/Conexión</v>
      </c>
      <c r="AC4" s="76" t="str">
        <f aca="false">'Manual de Uso'!C54</f>
        <v>Observaciones transportador</v>
      </c>
    </row>
    <row r="5" s="77" customFormat="true" ht="24" hidden="false" customHeight="true" outlineLevel="0" collapsed="false">
      <c r="A5" s="74"/>
      <c r="B5" s="74"/>
      <c r="C5" s="75"/>
      <c r="D5" s="76"/>
      <c r="E5" s="76"/>
      <c r="F5" s="76"/>
      <c r="G5" s="76"/>
      <c r="H5" s="76"/>
      <c r="I5" s="76"/>
      <c r="J5" s="76"/>
      <c r="K5" s="76"/>
      <c r="L5" s="76"/>
      <c r="M5" s="76"/>
      <c r="N5" s="76"/>
      <c r="O5" s="76"/>
      <c r="P5" s="76"/>
      <c r="Q5" s="76"/>
      <c r="R5" s="76"/>
      <c r="S5" s="76"/>
      <c r="T5" s="76"/>
      <c r="U5" s="76"/>
      <c r="V5" s="76"/>
      <c r="W5" s="76"/>
      <c r="X5" s="76"/>
      <c r="Y5" s="76"/>
      <c r="Z5" s="76"/>
      <c r="AA5" s="76"/>
      <c r="AB5" s="76"/>
      <c r="AC5" s="76"/>
    </row>
    <row r="6" customFormat="false" ht="15" hidden="false" customHeight="false" outlineLevel="0" collapsed="false">
      <c r="A6" s="68" t="e">
        <f aca="false">VLOOKUP(E6,'[1]Listas Desplegables'!$H$3:$J$7,2,FALSE())</f>
        <v>#N/A</v>
      </c>
      <c r="B6" s="68" t="e">
        <f aca="false">VLOOKUP(E6,'[1]Listas Desplegables'!$H$3:$J$7,3,FALSE())</f>
        <v>#N/A</v>
      </c>
      <c r="C6" s="78" t="n">
        <v>1</v>
      </c>
      <c r="D6" s="79" t="s">
        <v>215</v>
      </c>
      <c r="E6" s="79" t="s">
        <v>216</v>
      </c>
      <c r="F6" s="79" t="s">
        <v>217</v>
      </c>
      <c r="G6" s="80" t="n">
        <v>110</v>
      </c>
      <c r="H6" s="81" t="n">
        <v>3.2</v>
      </c>
      <c r="I6" s="81" t="n">
        <v>945</v>
      </c>
      <c r="J6" s="81" t="n">
        <v>979</v>
      </c>
      <c r="K6" s="81" t="n">
        <v>979</v>
      </c>
      <c r="L6" s="82" t="s">
        <v>218</v>
      </c>
      <c r="M6" s="81" t="n">
        <v>0.0303</v>
      </c>
      <c r="N6" s="81" t="n">
        <v>0.1997</v>
      </c>
      <c r="O6" s="81" t="n">
        <v>6.456</v>
      </c>
      <c r="P6" s="81" t="n">
        <v>0.368</v>
      </c>
      <c r="Q6" s="81" t="n">
        <v>1.481</v>
      </c>
      <c r="R6" s="81" t="n">
        <v>1.827</v>
      </c>
      <c r="S6" s="82" t="s">
        <v>219</v>
      </c>
      <c r="T6" s="82" t="s">
        <v>220</v>
      </c>
      <c r="U6" s="82" t="s">
        <v>221</v>
      </c>
      <c r="V6" s="83"/>
      <c r="W6" s="82" t="s">
        <v>222</v>
      </c>
      <c r="X6" s="82"/>
      <c r="Y6" s="82" t="n">
        <v>74.1</v>
      </c>
      <c r="Z6" s="82" t="n">
        <v>1</v>
      </c>
      <c r="AA6" s="82"/>
      <c r="AB6" s="81"/>
      <c r="AC6" s="84"/>
    </row>
    <row r="7" customFormat="false" ht="15" hidden="false" customHeight="false" outlineLevel="0" collapsed="false">
      <c r="A7" s="68" t="e">
        <f aca="false">VLOOKUP(E7,'[1]Listas Desplegables'!$H$3:$J$7,2,FALSE())</f>
        <v>#N/A</v>
      </c>
      <c r="B7" s="68" t="e">
        <f aca="false">VLOOKUP(E7,'[1]Listas Desplegables'!$H$3:$J$7,3,FALSE())</f>
        <v>#N/A</v>
      </c>
      <c r="C7" s="85" t="n">
        <v>2</v>
      </c>
      <c r="D7" s="86" t="s">
        <v>223</v>
      </c>
      <c r="E7" s="86" t="s">
        <v>224</v>
      </c>
      <c r="F7" s="86" t="s">
        <v>225</v>
      </c>
      <c r="G7" s="87" t="n">
        <v>110</v>
      </c>
      <c r="H7" s="88" t="n">
        <v>12.5</v>
      </c>
      <c r="I7" s="88" t="n">
        <v>691</v>
      </c>
      <c r="J7" s="88" t="n">
        <v>706</v>
      </c>
      <c r="K7" s="88" t="n">
        <v>706</v>
      </c>
      <c r="L7" s="89" t="s">
        <v>218</v>
      </c>
      <c r="M7" s="88" t="n">
        <v>0.0736</v>
      </c>
      <c r="N7" s="88" t="n">
        <v>0.4552</v>
      </c>
      <c r="O7" s="88" t="n">
        <v>3.6814</v>
      </c>
      <c r="P7" s="88" t="n">
        <v>0.2417</v>
      </c>
      <c r="Q7" s="88" t="n">
        <v>1.5823</v>
      </c>
      <c r="R7" s="88" t="n">
        <v>2.189</v>
      </c>
      <c r="S7" s="89" t="s">
        <v>219</v>
      </c>
      <c r="T7" s="89" t="s">
        <v>220</v>
      </c>
      <c r="U7" s="89" t="s">
        <v>221</v>
      </c>
      <c r="V7" s="90"/>
      <c r="W7" s="89" t="s">
        <v>222</v>
      </c>
      <c r="X7" s="89"/>
      <c r="Y7" s="89" t="n">
        <v>153.34</v>
      </c>
      <c r="Z7" s="89" t="n">
        <v>1</v>
      </c>
      <c r="AA7" s="89"/>
      <c r="AB7" s="88"/>
      <c r="AC7" s="91"/>
    </row>
    <row r="8" customFormat="false" ht="15" hidden="false" customHeight="false" outlineLevel="0" collapsed="false">
      <c r="A8" s="68" t="e">
        <f aca="false">VLOOKUP(E8,'[1]Listas Desplegables'!$H$3:$J$7,2,FALSE())</f>
        <v>#N/A</v>
      </c>
      <c r="B8" s="68" t="e">
        <f aca="false">VLOOKUP(E8,'[1]Listas Desplegables'!$H$3:$J$7,3,FALSE())</f>
        <v>#N/A</v>
      </c>
      <c r="C8" s="85" t="n">
        <v>3</v>
      </c>
      <c r="D8" s="86" t="s">
        <v>226</v>
      </c>
      <c r="E8" s="86" t="s">
        <v>227</v>
      </c>
      <c r="F8" s="86" t="s">
        <v>228</v>
      </c>
      <c r="G8" s="87" t="n">
        <v>110</v>
      </c>
      <c r="H8" s="88" t="n">
        <v>8.62</v>
      </c>
      <c r="I8" s="88" t="n">
        <v>640</v>
      </c>
      <c r="J8" s="88" t="n">
        <v>794</v>
      </c>
      <c r="K8" s="88" t="n">
        <v>690</v>
      </c>
      <c r="L8" s="89" t="s">
        <v>218</v>
      </c>
      <c r="M8" s="88" t="n">
        <v>0.074</v>
      </c>
      <c r="N8" s="88" t="n">
        <v>0.4757</v>
      </c>
      <c r="O8" s="88" t="n">
        <v>3.52</v>
      </c>
      <c r="P8" s="88" t="n">
        <v>0.4246</v>
      </c>
      <c r="Q8" s="88" t="n">
        <v>1.4121</v>
      </c>
      <c r="R8" s="88" t="n">
        <v>2.14</v>
      </c>
      <c r="S8" s="89" t="s">
        <v>219</v>
      </c>
      <c r="T8" s="89" t="s">
        <v>220</v>
      </c>
      <c r="U8" s="89" t="s">
        <v>221</v>
      </c>
      <c r="V8" s="90"/>
      <c r="W8" s="89" t="s">
        <v>222</v>
      </c>
      <c r="X8" s="89"/>
      <c r="Y8" s="89" t="n">
        <v>29.55</v>
      </c>
      <c r="Z8" s="89" t="n">
        <v>1</v>
      </c>
      <c r="AA8" s="89"/>
      <c r="AB8" s="88"/>
      <c r="AC8" s="91"/>
    </row>
    <row r="9" customFormat="false" ht="15" hidden="false" customHeight="false" outlineLevel="0" collapsed="false">
      <c r="A9" s="68" t="e">
        <f aca="false">VLOOKUP(E9,'[1]Listas Desplegables'!$H$3:$J$7,2,FALSE())</f>
        <v>#N/A</v>
      </c>
      <c r="B9" s="68" t="e">
        <f aca="false">VLOOKUP(E9,'[1]Listas Desplegables'!$H$3:$J$7,3,FALSE())</f>
        <v>#N/A</v>
      </c>
      <c r="C9" s="85" t="n">
        <v>4</v>
      </c>
      <c r="D9" s="86" t="s">
        <v>229</v>
      </c>
      <c r="E9" s="86" t="s">
        <v>230</v>
      </c>
      <c r="F9" s="86" t="s">
        <v>231</v>
      </c>
      <c r="G9" s="87" t="n">
        <v>110</v>
      </c>
      <c r="H9" s="88" t="n">
        <v>17.7</v>
      </c>
      <c r="I9" s="88" t="n">
        <v>530</v>
      </c>
      <c r="J9" s="88" t="n">
        <v>580</v>
      </c>
      <c r="K9" s="88" t="n">
        <v>580</v>
      </c>
      <c r="L9" s="89" t="s">
        <v>218</v>
      </c>
      <c r="M9" s="88" t="n">
        <v>0.1194</v>
      </c>
      <c r="N9" s="88" t="n">
        <v>0.4952</v>
      </c>
      <c r="O9" s="88" t="n">
        <v>3.34</v>
      </c>
      <c r="P9" s="88" t="n">
        <v>0.4512</v>
      </c>
      <c r="Q9" s="88" t="n">
        <v>1.4377</v>
      </c>
      <c r="R9" s="88" t="n">
        <v>2.06</v>
      </c>
      <c r="S9" s="89" t="s">
        <v>219</v>
      </c>
      <c r="T9" s="89" t="s">
        <v>220</v>
      </c>
      <c r="U9" s="89" t="s">
        <v>221</v>
      </c>
      <c r="V9" s="90"/>
      <c r="W9" s="89" t="s">
        <v>232</v>
      </c>
      <c r="X9" s="89"/>
      <c r="Y9" s="89" t="n">
        <v>30.21</v>
      </c>
      <c r="Z9" s="89" t="n">
        <v>1</v>
      </c>
      <c r="AA9" s="89"/>
      <c r="AB9" s="88"/>
      <c r="AC9" s="91"/>
    </row>
    <row r="10" customFormat="false" ht="15" hidden="false" customHeight="false" outlineLevel="0" collapsed="false">
      <c r="A10" s="68" t="e">
        <f aca="false">VLOOKUP(E10,'[1]Listas Desplegables'!$H$3:$J$7,2,FALSE())</f>
        <v>#N/A</v>
      </c>
      <c r="B10" s="68" t="e">
        <f aca="false">VLOOKUP(E10,'[1]Listas Desplegables'!$H$3:$J$7,3,FALSE())</f>
        <v>#N/A</v>
      </c>
      <c r="C10" s="85" t="n">
        <v>5</v>
      </c>
      <c r="D10" s="86" t="s">
        <v>233</v>
      </c>
      <c r="E10" s="86" t="s">
        <v>227</v>
      </c>
      <c r="F10" s="86" t="s">
        <v>234</v>
      </c>
      <c r="G10" s="87" t="n">
        <v>110</v>
      </c>
      <c r="H10" s="88" t="n">
        <v>7.39</v>
      </c>
      <c r="I10" s="88" t="n">
        <v>650</v>
      </c>
      <c r="J10" s="88" t="n">
        <v>794</v>
      </c>
      <c r="K10" s="88" t="n">
        <v>690</v>
      </c>
      <c r="L10" s="89" t="s">
        <v>218</v>
      </c>
      <c r="M10" s="88" t="n">
        <v>0.0733</v>
      </c>
      <c r="N10" s="88" t="n">
        <v>0.4367</v>
      </c>
      <c r="O10" s="88" t="n">
        <v>3.833</v>
      </c>
      <c r="P10" s="88" t="n">
        <v>0.3832</v>
      </c>
      <c r="Q10" s="88" t="n">
        <v>1.5675</v>
      </c>
      <c r="R10" s="88" t="n">
        <v>2.092</v>
      </c>
      <c r="S10" s="89" t="s">
        <v>219</v>
      </c>
      <c r="T10" s="89" t="s">
        <v>220</v>
      </c>
      <c r="U10" s="89" t="s">
        <v>221</v>
      </c>
      <c r="V10" s="90"/>
      <c r="W10" s="89" t="s">
        <v>222</v>
      </c>
      <c r="X10" s="89"/>
      <c r="Y10" s="89" t="n">
        <v>26.67</v>
      </c>
      <c r="Z10" s="89" t="n">
        <v>1</v>
      </c>
      <c r="AA10" s="89"/>
      <c r="AB10" s="88"/>
      <c r="AC10" s="91"/>
    </row>
    <row r="11" customFormat="false" ht="15" hidden="false" customHeight="false" outlineLevel="0" collapsed="false">
      <c r="A11" s="68" t="e">
        <f aca="false">VLOOKUP(E11,'[1]Listas Desplegables'!$H$3:$J$7,2,FALSE())</f>
        <v>#N/A</v>
      </c>
      <c r="B11" s="68" t="e">
        <f aca="false">VLOOKUP(E11,'[1]Listas Desplegables'!$H$3:$J$7,3,FALSE())</f>
        <v>#N/A</v>
      </c>
      <c r="C11" s="85" t="n">
        <v>6</v>
      </c>
      <c r="D11" s="86" t="s">
        <v>235</v>
      </c>
      <c r="E11" s="86" t="s">
        <v>227</v>
      </c>
      <c r="F11" s="86" t="s">
        <v>236</v>
      </c>
      <c r="G11" s="87" t="n">
        <v>110</v>
      </c>
      <c r="H11" s="88" t="n">
        <v>3.56</v>
      </c>
      <c r="I11" s="88" t="n">
        <v>640</v>
      </c>
      <c r="J11" s="88" t="n">
        <v>794</v>
      </c>
      <c r="K11" s="88" t="n">
        <v>690</v>
      </c>
      <c r="L11" s="89" t="s">
        <v>218</v>
      </c>
      <c r="M11" s="88" t="n">
        <v>0.0735</v>
      </c>
      <c r="N11" s="88" t="n">
        <v>0.4722</v>
      </c>
      <c r="O11" s="88" t="n">
        <v>3.535</v>
      </c>
      <c r="P11" s="88" t="n">
        <v>0.3961</v>
      </c>
      <c r="Q11" s="88" t="n">
        <v>1.4648</v>
      </c>
      <c r="R11" s="88" t="n">
        <v>2.037</v>
      </c>
      <c r="S11" s="89" t="s">
        <v>219</v>
      </c>
      <c r="T11" s="89" t="s">
        <v>220</v>
      </c>
      <c r="U11" s="89" t="s">
        <v>221</v>
      </c>
      <c r="V11" s="90"/>
      <c r="W11" s="89" t="s">
        <v>222</v>
      </c>
      <c r="X11" s="89"/>
      <c r="Y11" s="89" t="n">
        <v>105.19</v>
      </c>
      <c r="Z11" s="89" t="n">
        <v>1</v>
      </c>
      <c r="AA11" s="89"/>
      <c r="AB11" s="88"/>
      <c r="AC11" s="91"/>
    </row>
    <row r="12" customFormat="false" ht="15" hidden="false" customHeight="false" outlineLevel="0" collapsed="false">
      <c r="A12" s="68" t="e">
        <f aca="false">VLOOKUP(E12,'[1]Listas Desplegables'!$H$3:$J$7,2,FALSE())</f>
        <v>#N/A</v>
      </c>
      <c r="B12" s="68" t="e">
        <f aca="false">VLOOKUP(E12,'[1]Listas Desplegables'!$H$3:$J$7,3,FALSE())</f>
        <v>#N/A</v>
      </c>
      <c r="C12" s="85" t="n">
        <v>7</v>
      </c>
      <c r="D12" s="86" t="s">
        <v>237</v>
      </c>
      <c r="E12" s="86" t="s">
        <v>227</v>
      </c>
      <c r="F12" s="86" t="s">
        <v>238</v>
      </c>
      <c r="G12" s="87" t="n">
        <v>110</v>
      </c>
      <c r="H12" s="88" t="n">
        <v>3.22</v>
      </c>
      <c r="I12" s="88" t="n">
        <v>640</v>
      </c>
      <c r="J12" s="88" t="n">
        <v>794</v>
      </c>
      <c r="K12" s="88" t="n">
        <v>690</v>
      </c>
      <c r="L12" s="89" t="s">
        <v>218</v>
      </c>
      <c r="M12" s="88" t="n">
        <v>0.0736</v>
      </c>
      <c r="N12" s="88" t="n">
        <v>0.4465</v>
      </c>
      <c r="O12" s="88" t="n">
        <v>3.767</v>
      </c>
      <c r="P12" s="88" t="n">
        <v>0.3984</v>
      </c>
      <c r="Q12" s="88" t="n">
        <v>1.5146</v>
      </c>
      <c r="R12" s="88" t="n">
        <v>2.14</v>
      </c>
      <c r="S12" s="89" t="s">
        <v>219</v>
      </c>
      <c r="T12" s="89" t="s">
        <v>220</v>
      </c>
      <c r="U12" s="89" t="s">
        <v>221</v>
      </c>
      <c r="V12" s="90"/>
      <c r="W12" s="89" t="s">
        <v>222</v>
      </c>
      <c r="X12" s="89"/>
      <c r="Y12" s="89" t="n">
        <v>42.3</v>
      </c>
      <c r="Z12" s="89" t="n">
        <v>1</v>
      </c>
      <c r="AA12" s="89"/>
      <c r="AB12" s="88"/>
      <c r="AC12" s="91"/>
    </row>
    <row r="13" customFormat="false" ht="15" hidden="false" customHeight="false" outlineLevel="0" collapsed="false">
      <c r="A13" s="68" t="e">
        <f aca="false">VLOOKUP(E13,'[1]Listas Desplegables'!$H$3:$J$7,2,FALSE())</f>
        <v>#N/A</v>
      </c>
      <c r="B13" s="68" t="e">
        <f aca="false">VLOOKUP(E13,'[1]Listas Desplegables'!$H$3:$J$7,3,FALSE())</f>
        <v>#N/A</v>
      </c>
      <c r="C13" s="85" t="n">
        <v>8</v>
      </c>
      <c r="D13" s="86" t="s">
        <v>239</v>
      </c>
      <c r="E13" s="86" t="s">
        <v>224</v>
      </c>
      <c r="F13" s="86" t="s">
        <v>225</v>
      </c>
      <c r="G13" s="87" t="n">
        <v>110</v>
      </c>
      <c r="H13" s="88" t="n">
        <v>12.5</v>
      </c>
      <c r="I13" s="88" t="n">
        <v>691</v>
      </c>
      <c r="J13" s="88" t="n">
        <v>706</v>
      </c>
      <c r="K13" s="88" t="n">
        <v>706</v>
      </c>
      <c r="L13" s="89" t="s">
        <v>218</v>
      </c>
      <c r="M13" s="88" t="n">
        <v>0.0736</v>
      </c>
      <c r="N13" s="88" t="n">
        <v>0.4552</v>
      </c>
      <c r="O13" s="88" t="n">
        <v>3.6814</v>
      </c>
      <c r="P13" s="88" t="n">
        <v>0.2417</v>
      </c>
      <c r="Q13" s="88" t="n">
        <v>1.5823</v>
      </c>
      <c r="R13" s="88" t="n">
        <v>2.189</v>
      </c>
      <c r="S13" s="89" t="s">
        <v>219</v>
      </c>
      <c r="T13" s="89" t="s">
        <v>220</v>
      </c>
      <c r="U13" s="89" t="s">
        <v>221</v>
      </c>
      <c r="V13" s="90"/>
      <c r="W13" s="89" t="s">
        <v>222</v>
      </c>
      <c r="X13" s="89"/>
      <c r="Y13" s="89" t="n">
        <v>163.22</v>
      </c>
      <c r="Z13" s="89" t="n">
        <v>1</v>
      </c>
      <c r="AA13" s="89"/>
      <c r="AB13" s="88"/>
      <c r="AC13" s="91"/>
    </row>
    <row r="14" customFormat="false" ht="15" hidden="false" customHeight="false" outlineLevel="0" collapsed="false">
      <c r="A14" s="68" t="e">
        <f aca="false">VLOOKUP(E14,'[1]Listas Desplegables'!$H$3:$J$7,2,FALSE())</f>
        <v>#N/A</v>
      </c>
      <c r="B14" s="68" t="e">
        <f aca="false">VLOOKUP(E14,'[1]Listas Desplegables'!$H$3:$J$7,3,FALSE())</f>
        <v>#N/A</v>
      </c>
      <c r="C14" s="85" t="n">
        <v>9</v>
      </c>
      <c r="D14" s="86" t="s">
        <v>240</v>
      </c>
      <c r="E14" s="86" t="s">
        <v>216</v>
      </c>
      <c r="F14" s="86" t="s">
        <v>225</v>
      </c>
      <c r="G14" s="87" t="n">
        <v>110</v>
      </c>
      <c r="H14" s="88" t="n">
        <v>4.6</v>
      </c>
      <c r="I14" s="88" t="n">
        <v>900</v>
      </c>
      <c r="J14" s="88" t="n">
        <v>900</v>
      </c>
      <c r="K14" s="88" t="n">
        <v>900</v>
      </c>
      <c r="L14" s="89" t="s">
        <v>218</v>
      </c>
      <c r="M14" s="88" t="n">
        <v>0.0311</v>
      </c>
      <c r="N14" s="88" t="n">
        <v>0.1281</v>
      </c>
      <c r="O14" s="88" t="n">
        <v>30.159</v>
      </c>
      <c r="P14" s="88" t="n">
        <v>0.261</v>
      </c>
      <c r="Q14" s="88" t="n">
        <v>0.1058</v>
      </c>
      <c r="R14" s="88" t="n">
        <v>0</v>
      </c>
      <c r="S14" s="89" t="s">
        <v>219</v>
      </c>
      <c r="T14" s="89" t="s">
        <v>241</v>
      </c>
      <c r="U14" s="89" t="s">
        <v>221</v>
      </c>
      <c r="V14" s="90"/>
      <c r="W14" s="89" t="s">
        <v>242</v>
      </c>
      <c r="X14" s="89"/>
      <c r="Y14" s="89" t="n">
        <v>30.7</v>
      </c>
      <c r="Z14" s="89" t="n">
        <v>1</v>
      </c>
      <c r="AA14" s="89"/>
      <c r="AB14" s="88"/>
      <c r="AC14" s="91"/>
    </row>
    <row r="15" customFormat="false" ht="15" hidden="false" customHeight="false" outlineLevel="0" collapsed="false">
      <c r="A15" s="68" t="e">
        <f aca="false">VLOOKUP(E15,'[1]Listas Desplegables'!$H$3:$J$7,2,FALSE())</f>
        <v>#N/A</v>
      </c>
      <c r="B15" s="68" t="e">
        <f aca="false">VLOOKUP(E15,'[1]Listas Desplegables'!$H$3:$J$7,3,FALSE())</f>
        <v>#N/A</v>
      </c>
      <c r="C15" s="92" t="n">
        <v>10</v>
      </c>
      <c r="D15" s="86" t="s">
        <v>243</v>
      </c>
      <c r="E15" s="86" t="s">
        <v>216</v>
      </c>
      <c r="F15" s="86" t="s">
        <v>244</v>
      </c>
      <c r="G15" s="87" t="n">
        <v>110</v>
      </c>
      <c r="H15" s="88" t="n">
        <v>7.87</v>
      </c>
      <c r="I15" s="88" t="n">
        <v>400</v>
      </c>
      <c r="J15" s="88" t="n">
        <v>420</v>
      </c>
      <c r="K15" s="88" t="n">
        <v>520</v>
      </c>
      <c r="L15" s="89" t="s">
        <v>218</v>
      </c>
      <c r="M15" s="88" t="n">
        <v>0.0622</v>
      </c>
      <c r="N15" s="88" t="n">
        <v>0.2561</v>
      </c>
      <c r="O15" s="88" t="n">
        <v>60.319</v>
      </c>
      <c r="P15" s="88" t="n">
        <v>0.5219</v>
      </c>
      <c r="Q15" s="88" t="n">
        <v>0.2115</v>
      </c>
      <c r="R15" s="88" t="n">
        <v>0</v>
      </c>
      <c r="S15" s="89" t="s">
        <v>219</v>
      </c>
      <c r="T15" s="89" t="s">
        <v>241</v>
      </c>
      <c r="U15" s="89" t="s">
        <v>221</v>
      </c>
      <c r="V15" s="90"/>
      <c r="W15" s="89" t="s">
        <v>242</v>
      </c>
      <c r="X15" s="89"/>
      <c r="Y15" s="89" t="n">
        <v>1480.68</v>
      </c>
      <c r="Z15" s="89" t="n">
        <v>1</v>
      </c>
      <c r="AA15" s="89"/>
      <c r="AB15" s="88"/>
      <c r="AC15" s="91"/>
    </row>
    <row r="16" customFormat="false" ht="15" hidden="false" customHeight="false" outlineLevel="0" collapsed="false">
      <c r="A16" s="68" t="e">
        <f aca="false">VLOOKUP(E16,'[1]Listas Desplegables'!$H$3:$J$7,2,FALSE())</f>
        <v>#N/A</v>
      </c>
      <c r="B16" s="68" t="e">
        <f aca="false">VLOOKUP(E16,'[1]Listas Desplegables'!$H$3:$J$7,3,FALSE())</f>
        <v>#N/A</v>
      </c>
      <c r="C16" s="85" t="n">
        <v>11</v>
      </c>
      <c r="D16" s="86" t="s">
        <v>245</v>
      </c>
      <c r="E16" s="86" t="s">
        <v>225</v>
      </c>
      <c r="F16" s="86" t="s">
        <v>244</v>
      </c>
      <c r="G16" s="87" t="n">
        <v>110</v>
      </c>
      <c r="H16" s="88" t="n">
        <v>3.26</v>
      </c>
      <c r="I16" s="88" t="n">
        <v>900</v>
      </c>
      <c r="J16" s="88" t="n">
        <v>900</v>
      </c>
      <c r="K16" s="88" t="n">
        <v>900</v>
      </c>
      <c r="L16" s="89" t="s">
        <v>218</v>
      </c>
      <c r="M16" s="88" t="n">
        <v>0.0311</v>
      </c>
      <c r="N16" s="88" t="n">
        <v>0.1281</v>
      </c>
      <c r="O16" s="88" t="n">
        <v>30.159</v>
      </c>
      <c r="P16" s="88" t="n">
        <v>0.261</v>
      </c>
      <c r="Q16" s="88" t="n">
        <v>0.1058</v>
      </c>
      <c r="R16" s="88" t="n">
        <v>0</v>
      </c>
      <c r="S16" s="89" t="s">
        <v>219</v>
      </c>
      <c r="T16" s="89" t="s">
        <v>241</v>
      </c>
      <c r="U16" s="89" t="s">
        <v>221</v>
      </c>
      <c r="V16" s="90"/>
      <c r="W16" s="89" t="s">
        <v>242</v>
      </c>
      <c r="X16" s="89"/>
      <c r="Y16" s="89" t="n">
        <v>10.95</v>
      </c>
      <c r="Z16" s="89" t="n">
        <v>1</v>
      </c>
      <c r="AA16" s="89"/>
      <c r="AB16" s="88"/>
      <c r="AC16" s="91"/>
    </row>
    <row r="17" customFormat="false" ht="15" hidden="false" customHeight="false" outlineLevel="0" collapsed="false">
      <c r="A17" s="68" t="e">
        <f aca="false">VLOOKUP(E17,'[1]Listas Desplegables'!$H$3:$J$7,2,FALSE())</f>
        <v>#N/A</v>
      </c>
      <c r="B17" s="68" t="e">
        <f aca="false">VLOOKUP(E17,'[1]Listas Desplegables'!$H$3:$J$7,3,FALSE())</f>
        <v>#N/A</v>
      </c>
      <c r="C17" s="85" t="n">
        <v>12</v>
      </c>
      <c r="D17" s="86" t="s">
        <v>246</v>
      </c>
      <c r="E17" s="86" t="s">
        <v>247</v>
      </c>
      <c r="F17" s="86" t="s">
        <v>217</v>
      </c>
      <c r="G17" s="87" t="n">
        <v>110</v>
      </c>
      <c r="H17" s="88" t="n">
        <v>0.6</v>
      </c>
      <c r="I17" s="88" t="n">
        <v>790</v>
      </c>
      <c r="J17" s="88" t="n">
        <v>794</v>
      </c>
      <c r="K17" s="88" t="n">
        <v>790</v>
      </c>
      <c r="L17" s="89" t="s">
        <v>218</v>
      </c>
      <c r="M17" s="88" t="n">
        <v>0.062</v>
      </c>
      <c r="N17" s="88" t="n">
        <v>0.4</v>
      </c>
      <c r="O17" s="88" t="n">
        <v>36.454</v>
      </c>
      <c r="P17" s="88" t="n">
        <v>0.278</v>
      </c>
      <c r="Q17" s="88" t="n">
        <v>1.062</v>
      </c>
      <c r="R17" s="88" t="n">
        <v>18.34</v>
      </c>
      <c r="S17" s="89" t="s">
        <v>219</v>
      </c>
      <c r="T17" s="89" t="s">
        <v>220</v>
      </c>
      <c r="U17" s="89" t="s">
        <v>221</v>
      </c>
      <c r="V17" s="90"/>
      <c r="W17" s="89" t="s">
        <v>222</v>
      </c>
      <c r="X17" s="89"/>
      <c r="Y17" s="89" t="n">
        <v>0</v>
      </c>
      <c r="Z17" s="89" t="n">
        <v>0</v>
      </c>
      <c r="AA17" s="89"/>
      <c r="AB17" s="88"/>
      <c r="AC17" s="91"/>
    </row>
    <row r="18" customFormat="false" ht="15" hidden="false" customHeight="false" outlineLevel="0" collapsed="false">
      <c r="A18" s="68" t="e">
        <f aca="false">VLOOKUP(E18,'[1]Listas Desplegables'!$H$3:$J$7,2,FALSE())</f>
        <v>#N/A</v>
      </c>
      <c r="B18" s="68" t="e">
        <f aca="false">VLOOKUP(E18,'[1]Listas Desplegables'!$H$3:$J$7,3,FALSE())</f>
        <v>#N/A</v>
      </c>
      <c r="C18" s="85" t="n">
        <v>13</v>
      </c>
      <c r="D18" s="86" t="s">
        <v>248</v>
      </c>
      <c r="E18" s="86" t="s">
        <v>227</v>
      </c>
      <c r="F18" s="86" t="s">
        <v>238</v>
      </c>
      <c r="G18" s="87" t="n">
        <v>110</v>
      </c>
      <c r="H18" s="88" t="n">
        <v>3.93</v>
      </c>
      <c r="I18" s="88" t="n">
        <v>640</v>
      </c>
      <c r="J18" s="88" t="n">
        <v>794</v>
      </c>
      <c r="K18" s="88" t="n">
        <v>690</v>
      </c>
      <c r="L18" s="89" t="s">
        <v>218</v>
      </c>
      <c r="M18" s="88" t="n">
        <v>0.0731</v>
      </c>
      <c r="N18" s="88" t="n">
        <v>0.4368</v>
      </c>
      <c r="O18" s="88" t="n">
        <v>3.85</v>
      </c>
      <c r="P18" s="88" t="n">
        <v>0.3805</v>
      </c>
      <c r="Q18" s="88" t="n">
        <v>1.569</v>
      </c>
      <c r="R18" s="88" t="n">
        <v>2.17</v>
      </c>
      <c r="S18" s="89" t="s">
        <v>219</v>
      </c>
      <c r="T18" s="89" t="s">
        <v>220</v>
      </c>
      <c r="U18" s="89" t="s">
        <v>221</v>
      </c>
      <c r="V18" s="90"/>
      <c r="W18" s="89" t="s">
        <v>222</v>
      </c>
      <c r="X18" s="89"/>
      <c r="Y18" s="89" t="n">
        <v>20.86</v>
      </c>
      <c r="Z18" s="89" t="n">
        <v>1</v>
      </c>
      <c r="AA18" s="89"/>
      <c r="AB18" s="88"/>
      <c r="AC18" s="91"/>
    </row>
    <row r="19" customFormat="false" ht="15" hidden="false" customHeight="false" outlineLevel="0" collapsed="false">
      <c r="A19" s="68" t="e">
        <f aca="false">VLOOKUP(E19,'[1]Listas Desplegables'!$H$3:$J$7,2,FALSE())</f>
        <v>#N/A</v>
      </c>
      <c r="B19" s="68" t="e">
        <f aca="false">VLOOKUP(E19,'[1]Listas Desplegables'!$H$3:$J$7,3,FALSE())</f>
        <v>#N/A</v>
      </c>
      <c r="C19" s="85" t="n">
        <v>14</v>
      </c>
      <c r="D19" s="86" t="s">
        <v>249</v>
      </c>
      <c r="E19" s="86" t="s">
        <v>250</v>
      </c>
      <c r="F19" s="86" t="s">
        <v>230</v>
      </c>
      <c r="G19" s="87" t="n">
        <v>110</v>
      </c>
      <c r="H19" s="88" t="n">
        <v>15.62</v>
      </c>
      <c r="I19" s="88" t="n">
        <v>530</v>
      </c>
      <c r="J19" s="88" t="n">
        <v>580</v>
      </c>
      <c r="K19" s="88" t="n">
        <v>580</v>
      </c>
      <c r="L19" s="89" t="s">
        <v>218</v>
      </c>
      <c r="M19" s="88" t="n">
        <v>0.1194</v>
      </c>
      <c r="N19" s="88" t="n">
        <v>0.4952</v>
      </c>
      <c r="O19" s="88" t="n">
        <v>3.34</v>
      </c>
      <c r="P19" s="88" t="n">
        <v>0.4512</v>
      </c>
      <c r="Q19" s="88" t="n">
        <v>1.4377</v>
      </c>
      <c r="R19" s="88" t="n">
        <v>2.06</v>
      </c>
      <c r="S19" s="89" t="s">
        <v>219</v>
      </c>
      <c r="T19" s="89" t="s">
        <v>220</v>
      </c>
      <c r="U19" s="89" t="s">
        <v>221</v>
      </c>
      <c r="V19" s="90"/>
      <c r="W19" s="89" t="s">
        <v>232</v>
      </c>
      <c r="X19" s="89"/>
      <c r="Y19" s="89" t="n">
        <v>17.76</v>
      </c>
      <c r="Z19" s="89" t="n">
        <v>1</v>
      </c>
      <c r="AA19" s="89"/>
      <c r="AB19" s="88"/>
      <c r="AC19" s="91"/>
    </row>
    <row r="20" customFormat="false" ht="15" hidden="false" customHeight="false" outlineLevel="0" collapsed="false">
      <c r="A20" s="68" t="e">
        <f aca="false">VLOOKUP(E20,'[1]Listas Desplegables'!$H$3:$J$7,2,FALSE())</f>
        <v>#N/A</v>
      </c>
      <c r="B20" s="68" t="e">
        <f aca="false">VLOOKUP(E20,'[1]Listas Desplegables'!$H$3:$J$7,3,FALSE())</f>
        <v>#N/A</v>
      </c>
      <c r="C20" s="85" t="n">
        <v>15</v>
      </c>
      <c r="D20" s="86" t="s">
        <v>251</v>
      </c>
      <c r="E20" s="86" t="s">
        <v>250</v>
      </c>
      <c r="F20" s="86" t="s">
        <v>252</v>
      </c>
      <c r="G20" s="87" t="n">
        <v>110</v>
      </c>
      <c r="H20" s="88" t="n">
        <v>26.39</v>
      </c>
      <c r="I20" s="88" t="n">
        <v>300</v>
      </c>
      <c r="J20" s="88" t="n">
        <v>580</v>
      </c>
      <c r="K20" s="88" t="n">
        <v>345</v>
      </c>
      <c r="L20" s="89" t="s">
        <v>253</v>
      </c>
      <c r="M20" s="88" t="n">
        <v>0.1195</v>
      </c>
      <c r="N20" s="88" t="n">
        <v>0.4871</v>
      </c>
      <c r="O20" s="88" t="n">
        <v>3.41</v>
      </c>
      <c r="P20" s="88" t="n">
        <v>0.4648</v>
      </c>
      <c r="Q20" s="88" t="n">
        <v>1.4411</v>
      </c>
      <c r="R20" s="88" t="n">
        <v>2.18</v>
      </c>
      <c r="S20" s="89" t="s">
        <v>219</v>
      </c>
      <c r="T20" s="89" t="s">
        <v>220</v>
      </c>
      <c r="U20" s="89" t="s">
        <v>221</v>
      </c>
      <c r="V20" s="90"/>
      <c r="W20" s="89" t="s">
        <v>232</v>
      </c>
      <c r="X20" s="89"/>
      <c r="Y20" s="89" t="n">
        <v>34.04</v>
      </c>
      <c r="Z20" s="89" t="n">
        <v>1</v>
      </c>
      <c r="AA20" s="89"/>
      <c r="AB20" s="88"/>
      <c r="AC20" s="91"/>
    </row>
    <row r="21" customFormat="false" ht="15" hidden="false" customHeight="false" outlineLevel="0" collapsed="false">
      <c r="A21" s="68" t="e">
        <f aca="false">VLOOKUP(E21,'[1]Listas Desplegables'!$H$3:$J$7,2,FALSE())</f>
        <v>#N/A</v>
      </c>
      <c r="B21" s="68" t="e">
        <f aca="false">VLOOKUP(E21,'[1]Listas Desplegables'!$H$3:$J$7,3,FALSE())</f>
        <v>#N/A</v>
      </c>
      <c r="C21" s="85" t="n">
        <v>16</v>
      </c>
      <c r="D21" s="86" t="s">
        <v>254</v>
      </c>
      <c r="E21" s="86" t="s">
        <v>255</v>
      </c>
      <c r="F21" s="86" t="s">
        <v>256</v>
      </c>
      <c r="G21" s="87" t="n">
        <v>110</v>
      </c>
      <c r="H21" s="88" t="n">
        <v>7.82</v>
      </c>
      <c r="I21" s="88" t="n">
        <v>472</v>
      </c>
      <c r="J21" s="88" t="n">
        <v>580</v>
      </c>
      <c r="K21" s="88" t="n">
        <v>580</v>
      </c>
      <c r="L21" s="89" t="s">
        <v>218</v>
      </c>
      <c r="M21" s="88" t="n">
        <v>0.119</v>
      </c>
      <c r="N21" s="88" t="n">
        <v>0.478</v>
      </c>
      <c r="O21" s="88" t="n">
        <v>3.489</v>
      </c>
      <c r="P21" s="88" t="n">
        <v>0.351</v>
      </c>
      <c r="Q21" s="88" t="n">
        <v>1.624</v>
      </c>
      <c r="R21" s="88" t="n">
        <v>2.026</v>
      </c>
      <c r="S21" s="89" t="s">
        <v>219</v>
      </c>
      <c r="T21" s="89" t="s">
        <v>220</v>
      </c>
      <c r="U21" s="89" t="s">
        <v>221</v>
      </c>
      <c r="V21" s="90"/>
      <c r="W21" s="89" t="s">
        <v>232</v>
      </c>
      <c r="X21" s="89"/>
      <c r="Y21" s="89" t="n">
        <v>71.57</v>
      </c>
      <c r="Z21" s="89" t="n">
        <v>1</v>
      </c>
      <c r="AA21" s="89"/>
      <c r="AB21" s="88"/>
      <c r="AC21" s="91"/>
    </row>
    <row r="22" customFormat="false" ht="15" hidden="false" customHeight="false" outlineLevel="0" collapsed="false">
      <c r="A22" s="68" t="e">
        <f aca="false">VLOOKUP(E22,'[1]Listas Desplegables'!$H$3:$J$7,2,FALSE())</f>
        <v>#N/A</v>
      </c>
      <c r="B22" s="68" t="e">
        <f aca="false">VLOOKUP(E22,'[1]Listas Desplegables'!$H$3:$J$7,3,FALSE())</f>
        <v>#N/A</v>
      </c>
      <c r="C22" s="85" t="n">
        <v>17</v>
      </c>
      <c r="D22" s="86" t="s">
        <v>257</v>
      </c>
      <c r="E22" s="86" t="s">
        <v>258</v>
      </c>
      <c r="F22" s="86" t="s">
        <v>259</v>
      </c>
      <c r="G22" s="87" t="n">
        <v>110</v>
      </c>
      <c r="H22" s="88" t="n">
        <v>68.5</v>
      </c>
      <c r="I22" s="88" t="n">
        <v>472</v>
      </c>
      <c r="J22" s="88" t="n">
        <v>580</v>
      </c>
      <c r="K22" s="88" t="n">
        <v>520</v>
      </c>
      <c r="L22" s="89" t="s">
        <v>218</v>
      </c>
      <c r="M22" s="88" t="n">
        <v>0.12</v>
      </c>
      <c r="N22" s="88" t="n">
        <v>0.476</v>
      </c>
      <c r="O22" s="88" t="n">
        <v>3.531</v>
      </c>
      <c r="P22" s="88" t="n">
        <v>0.563</v>
      </c>
      <c r="Q22" s="88" t="n">
        <v>1.369</v>
      </c>
      <c r="R22" s="88" t="n">
        <v>2.531</v>
      </c>
      <c r="S22" s="89" t="s">
        <v>219</v>
      </c>
      <c r="T22" s="89" t="s">
        <v>220</v>
      </c>
      <c r="U22" s="89" t="s">
        <v>221</v>
      </c>
      <c r="V22" s="90"/>
      <c r="W22" s="89" t="s">
        <v>232</v>
      </c>
      <c r="X22" s="89"/>
      <c r="Y22" s="89" t="n">
        <v>208.41</v>
      </c>
      <c r="Z22" s="89" t="n">
        <v>1</v>
      </c>
      <c r="AA22" s="89"/>
      <c r="AB22" s="88"/>
      <c r="AC22" s="91"/>
    </row>
    <row r="23" customFormat="false" ht="15" hidden="false" customHeight="false" outlineLevel="0" collapsed="false">
      <c r="A23" s="68" t="e">
        <f aca="false">VLOOKUP(E23,'[1]Listas Desplegables'!$H$3:$J$7,2,FALSE())</f>
        <v>#N/A</v>
      </c>
      <c r="B23" s="68" t="e">
        <f aca="false">VLOOKUP(E23,'[1]Listas Desplegables'!$H$3:$J$7,3,FALSE())</f>
        <v>#N/A</v>
      </c>
      <c r="C23" s="85" t="n">
        <v>18</v>
      </c>
      <c r="D23" s="86" t="s">
        <v>260</v>
      </c>
      <c r="E23" s="86" t="s">
        <v>255</v>
      </c>
      <c r="F23" s="86" t="s">
        <v>261</v>
      </c>
      <c r="G23" s="87" t="n">
        <v>110</v>
      </c>
      <c r="H23" s="88" t="n">
        <v>2.8</v>
      </c>
      <c r="I23" s="88" t="n">
        <v>472</v>
      </c>
      <c r="J23" s="88" t="n">
        <v>580</v>
      </c>
      <c r="K23" s="88" t="n">
        <v>520</v>
      </c>
      <c r="L23" s="89" t="s">
        <v>253</v>
      </c>
      <c r="M23" s="88" t="n">
        <v>0.1191</v>
      </c>
      <c r="N23" s="88" t="n">
        <v>0.4694</v>
      </c>
      <c r="O23" s="88" t="n">
        <v>3.5606</v>
      </c>
      <c r="P23" s="88" t="n">
        <v>0.3545</v>
      </c>
      <c r="Q23" s="88" t="n">
        <v>1.6397</v>
      </c>
      <c r="R23" s="88" t="n">
        <v>2.0306</v>
      </c>
      <c r="S23" s="89" t="s">
        <v>219</v>
      </c>
      <c r="T23" s="89" t="s">
        <v>220</v>
      </c>
      <c r="U23" s="89" t="s">
        <v>221</v>
      </c>
      <c r="V23" s="90"/>
      <c r="W23" s="89" t="s">
        <v>232</v>
      </c>
      <c r="X23" s="89"/>
      <c r="Y23" s="89" t="n">
        <v>0.07</v>
      </c>
      <c r="Z23" s="89" t="n">
        <v>1</v>
      </c>
      <c r="AA23" s="89"/>
      <c r="AB23" s="88"/>
      <c r="AC23" s="91"/>
    </row>
    <row r="24" customFormat="false" ht="15" hidden="false" customHeight="false" outlineLevel="0" collapsed="false">
      <c r="A24" s="68" t="e">
        <f aca="false">VLOOKUP(E24,'[1]Listas Desplegables'!$H$3:$J$7,2,FALSE())</f>
        <v>#N/A</v>
      </c>
      <c r="B24" s="68" t="e">
        <f aca="false">VLOOKUP(E24,'[1]Listas Desplegables'!$H$3:$J$7,3,FALSE())</f>
        <v>#N/A</v>
      </c>
      <c r="C24" s="92" t="n">
        <v>19</v>
      </c>
      <c r="D24" s="86" t="s">
        <v>262</v>
      </c>
      <c r="E24" s="86" t="s">
        <v>263</v>
      </c>
      <c r="F24" s="86" t="s">
        <v>264</v>
      </c>
      <c r="G24" s="87" t="n">
        <v>110</v>
      </c>
      <c r="H24" s="88" t="n">
        <v>47</v>
      </c>
      <c r="I24" s="88" t="n">
        <v>424</v>
      </c>
      <c r="J24" s="88" t="n">
        <v>471</v>
      </c>
      <c r="K24" s="88" t="n">
        <v>467</v>
      </c>
      <c r="L24" s="89" t="s">
        <v>218</v>
      </c>
      <c r="M24" s="88" t="n">
        <v>0.1702</v>
      </c>
      <c r="N24" s="88" t="n">
        <v>0.5013</v>
      </c>
      <c r="O24" s="88" t="n">
        <v>3.3606</v>
      </c>
      <c r="P24" s="88" t="n">
        <v>0.6066</v>
      </c>
      <c r="Q24" s="88" t="n">
        <v>1.3644</v>
      </c>
      <c r="R24" s="88" t="n">
        <v>2.5306</v>
      </c>
      <c r="S24" s="89" t="s">
        <v>219</v>
      </c>
      <c r="T24" s="89" t="s">
        <v>220</v>
      </c>
      <c r="U24" s="89" t="s">
        <v>221</v>
      </c>
      <c r="V24" s="90"/>
      <c r="W24" s="89" t="s">
        <v>265</v>
      </c>
      <c r="X24" s="89"/>
      <c r="Y24" s="89" t="n">
        <v>60.46</v>
      </c>
      <c r="Z24" s="89" t="n">
        <v>1</v>
      </c>
      <c r="AA24" s="89"/>
      <c r="AB24" s="88"/>
      <c r="AC24" s="91"/>
    </row>
    <row r="25" customFormat="false" ht="15" hidden="false" customHeight="false" outlineLevel="0" collapsed="false">
      <c r="A25" s="68" t="e">
        <f aca="false">VLOOKUP(E25,'[1]Listas Desplegables'!$H$3:$J$7,2,FALSE())</f>
        <v>#N/A</v>
      </c>
      <c r="B25" s="68" t="e">
        <f aca="false">VLOOKUP(E25,'[1]Listas Desplegables'!$H$3:$J$7,3,FALSE())</f>
        <v>#N/A</v>
      </c>
      <c r="C25" s="93" t="n">
        <v>20</v>
      </c>
      <c r="D25" s="94" t="s">
        <v>266</v>
      </c>
      <c r="E25" s="94" t="s">
        <v>263</v>
      </c>
      <c r="F25" s="94" t="s">
        <v>267</v>
      </c>
      <c r="G25" s="87" t="n">
        <v>110</v>
      </c>
      <c r="H25" s="88" t="n">
        <v>59.7</v>
      </c>
      <c r="I25" s="88" t="n">
        <v>467</v>
      </c>
      <c r="J25" s="88" t="n">
        <v>471</v>
      </c>
      <c r="K25" s="88" t="n">
        <v>467</v>
      </c>
      <c r="L25" s="89" t="s">
        <v>218</v>
      </c>
      <c r="M25" s="88" t="n">
        <v>0.1701</v>
      </c>
      <c r="N25" s="88" t="n">
        <v>0.5022</v>
      </c>
      <c r="O25" s="88" t="n">
        <v>3.3506</v>
      </c>
      <c r="P25" s="88" t="n">
        <v>0.6058</v>
      </c>
      <c r="Q25" s="88" t="n">
        <v>1.363</v>
      </c>
      <c r="R25" s="88" t="n">
        <v>2.5306</v>
      </c>
      <c r="S25" s="89" t="s">
        <v>219</v>
      </c>
      <c r="T25" s="89" t="s">
        <v>220</v>
      </c>
      <c r="U25" s="89" t="s">
        <v>221</v>
      </c>
      <c r="V25" s="90"/>
      <c r="W25" s="89" t="s">
        <v>265</v>
      </c>
      <c r="X25" s="89"/>
      <c r="Y25" s="89" t="n">
        <v>57.31</v>
      </c>
      <c r="Z25" s="89" t="n">
        <v>1</v>
      </c>
      <c r="AA25" s="89"/>
      <c r="AB25" s="88"/>
      <c r="AC25" s="91"/>
    </row>
    <row r="26" customFormat="false" ht="15" hidden="false" customHeight="false" outlineLevel="0" collapsed="false">
      <c r="A26" s="68" t="e">
        <f aca="false">VLOOKUP(E26,'[1]Listas Desplegables'!$H$3:$J$7,2,FALSE())</f>
        <v>#N/A</v>
      </c>
      <c r="B26" s="68" t="e">
        <f aca="false">VLOOKUP(E26,'[1]Listas Desplegables'!$H$3:$J$7,3,FALSE())</f>
        <v>#N/A</v>
      </c>
      <c r="C26" s="92" t="n">
        <v>21</v>
      </c>
      <c r="D26" s="94" t="s">
        <v>268</v>
      </c>
      <c r="E26" s="94" t="s">
        <v>255</v>
      </c>
      <c r="F26" s="94" t="s">
        <v>269</v>
      </c>
      <c r="G26" s="87" t="n">
        <v>110</v>
      </c>
      <c r="H26" s="88" t="n">
        <v>4.5</v>
      </c>
      <c r="I26" s="88" t="n">
        <v>400</v>
      </c>
      <c r="J26" s="88" t="n">
        <v>558</v>
      </c>
      <c r="K26" s="88" t="n">
        <v>460</v>
      </c>
      <c r="L26" s="89" t="s">
        <v>253</v>
      </c>
      <c r="M26" s="88" t="n">
        <v>0.1182</v>
      </c>
      <c r="N26" s="88" t="n">
        <v>0.4535</v>
      </c>
      <c r="O26" s="88" t="n">
        <v>3.6906</v>
      </c>
      <c r="P26" s="88" t="n">
        <v>0.3536</v>
      </c>
      <c r="Q26" s="88" t="n">
        <v>1.6747</v>
      </c>
      <c r="R26" s="88" t="n">
        <v>1.9706</v>
      </c>
      <c r="S26" s="89" t="s">
        <v>219</v>
      </c>
      <c r="T26" s="89" t="s">
        <v>220</v>
      </c>
      <c r="U26" s="89" t="s">
        <v>221</v>
      </c>
      <c r="V26" s="90"/>
      <c r="W26" s="89" t="s">
        <v>270</v>
      </c>
      <c r="X26" s="89"/>
      <c r="Y26" s="89" t="n">
        <v>30.11</v>
      </c>
      <c r="Z26" s="89" t="n">
        <v>1</v>
      </c>
      <c r="AA26" s="89"/>
      <c r="AB26" s="88"/>
      <c r="AC26" s="91"/>
    </row>
    <row r="27" customFormat="false" ht="15" hidden="false" customHeight="false" outlineLevel="0" collapsed="false">
      <c r="A27" s="68" t="e">
        <f aca="false">VLOOKUP(E27,'[1]Listas Desplegables'!$H$3:$J$7,2,FALSE())</f>
        <v>#N/A</v>
      </c>
      <c r="B27" s="68" t="e">
        <f aca="false">VLOOKUP(E27,'[1]Listas Desplegables'!$H$3:$J$7,3,FALSE())</f>
        <v>#N/A</v>
      </c>
      <c r="C27" s="85" t="n">
        <v>22</v>
      </c>
      <c r="D27" s="94" t="s">
        <v>271</v>
      </c>
      <c r="E27" s="94" t="s">
        <v>258</v>
      </c>
      <c r="F27" s="94" t="s">
        <v>272</v>
      </c>
      <c r="G27" s="87" t="n">
        <v>110</v>
      </c>
      <c r="H27" s="88" t="n">
        <v>2.95</v>
      </c>
      <c r="I27" s="88" t="n">
        <v>472</v>
      </c>
      <c r="J27" s="88" t="n">
        <v>580</v>
      </c>
      <c r="K27" s="88" t="n">
        <v>520</v>
      </c>
      <c r="L27" s="89" t="s">
        <v>218</v>
      </c>
      <c r="M27" s="88" t="n">
        <v>0.119</v>
      </c>
      <c r="N27" s="88" t="n">
        <v>0.4832</v>
      </c>
      <c r="O27" s="88" t="n">
        <v>34483</v>
      </c>
      <c r="P27" s="88" t="n">
        <v>0.3518</v>
      </c>
      <c r="Q27" s="88" t="n">
        <v>16141</v>
      </c>
      <c r="R27" s="88" t="n">
        <v>19969</v>
      </c>
      <c r="S27" s="89" t="s">
        <v>219</v>
      </c>
      <c r="T27" s="89" t="s">
        <v>220</v>
      </c>
      <c r="U27" s="89" t="s">
        <v>221</v>
      </c>
      <c r="V27" s="90"/>
      <c r="W27" s="89" t="s">
        <v>232</v>
      </c>
      <c r="X27" s="89"/>
      <c r="Y27" s="89" t="n">
        <v>38.99</v>
      </c>
      <c r="Z27" s="89" t="n">
        <v>1</v>
      </c>
      <c r="AA27" s="89"/>
      <c r="AB27" s="88"/>
      <c r="AC27" s="91"/>
    </row>
    <row r="28" customFormat="false" ht="15" hidden="false" customHeight="false" outlineLevel="0" collapsed="false">
      <c r="A28" s="68" t="e">
        <f aca="false">VLOOKUP(E28,'[1]Listas Desplegables'!$H$3:$J$7,2,FALSE())</f>
        <v>#N/A</v>
      </c>
      <c r="B28" s="68" t="e">
        <f aca="false">VLOOKUP(E28,'[1]Listas Desplegables'!$H$3:$J$7,3,FALSE())</f>
        <v>#N/A</v>
      </c>
      <c r="C28" s="85" t="n">
        <v>23</v>
      </c>
      <c r="D28" s="94" t="s">
        <v>271</v>
      </c>
      <c r="E28" s="94" t="s">
        <v>272</v>
      </c>
      <c r="F28" s="94" t="s">
        <v>256</v>
      </c>
      <c r="G28" s="87" t="n">
        <v>110</v>
      </c>
      <c r="H28" s="88" t="n">
        <v>20.55</v>
      </c>
      <c r="I28" s="88" t="n">
        <v>472</v>
      </c>
      <c r="J28" s="88" t="n">
        <v>580</v>
      </c>
      <c r="K28" s="88" t="n">
        <v>520</v>
      </c>
      <c r="L28" s="89" t="s">
        <v>218</v>
      </c>
      <c r="M28" s="88" t="n">
        <v>0.119</v>
      </c>
      <c r="N28" s="88" t="n">
        <v>0.4832</v>
      </c>
      <c r="O28" s="88" t="n">
        <v>3.4483</v>
      </c>
      <c r="P28" s="88" t="n">
        <v>0.3518</v>
      </c>
      <c r="Q28" s="88" t="n">
        <v>1.6141</v>
      </c>
      <c r="R28" s="88" t="n">
        <v>1.9969</v>
      </c>
      <c r="S28" s="89" t="s">
        <v>219</v>
      </c>
      <c r="T28" s="89" t="s">
        <v>220</v>
      </c>
      <c r="U28" s="89" t="s">
        <v>221</v>
      </c>
      <c r="V28" s="90"/>
      <c r="W28" s="89" t="s">
        <v>232</v>
      </c>
      <c r="X28" s="89"/>
      <c r="Y28" s="89" t="n">
        <v>38.99</v>
      </c>
      <c r="Z28" s="89" t="n">
        <v>1</v>
      </c>
      <c r="AA28" s="89"/>
      <c r="AB28" s="88"/>
      <c r="AC28" s="91"/>
    </row>
    <row r="29" customFormat="false" ht="15" hidden="false" customHeight="false" outlineLevel="0" collapsed="false">
      <c r="A29" s="68" t="e">
        <f aca="false">VLOOKUP(E29,'[1]Listas Desplegables'!$H$3:$J$7,2,FALSE())</f>
        <v>#N/A</v>
      </c>
      <c r="B29" s="68" t="e">
        <f aca="false">VLOOKUP(E29,'[1]Listas Desplegables'!$H$3:$J$7,3,FALSE())</f>
        <v>#N/A</v>
      </c>
      <c r="C29" s="85" t="n">
        <v>24</v>
      </c>
      <c r="D29" s="94" t="s">
        <v>273</v>
      </c>
      <c r="E29" s="94" t="s">
        <v>258</v>
      </c>
      <c r="F29" s="94" t="s">
        <v>274</v>
      </c>
      <c r="G29" s="87" t="n">
        <v>110</v>
      </c>
      <c r="H29" s="88" t="n">
        <v>5.2</v>
      </c>
      <c r="I29" s="88" t="n">
        <v>300</v>
      </c>
      <c r="J29" s="88" t="n">
        <v>580</v>
      </c>
      <c r="K29" s="88" t="n">
        <v>330</v>
      </c>
      <c r="L29" s="89" t="s">
        <v>253</v>
      </c>
      <c r="M29" s="88" t="n">
        <v>0.119</v>
      </c>
      <c r="N29" s="88" t="n">
        <v>0.4857</v>
      </c>
      <c r="O29" s="88" t="n">
        <v>3.4306</v>
      </c>
      <c r="P29" s="88" t="n">
        <v>0.3523</v>
      </c>
      <c r="Q29" s="88" t="n">
        <v>1.6087</v>
      </c>
      <c r="R29" s="88" t="n">
        <v>2.0106</v>
      </c>
      <c r="S29" s="89" t="s">
        <v>219</v>
      </c>
      <c r="T29" s="89" t="s">
        <v>220</v>
      </c>
      <c r="U29" s="89" t="s">
        <v>221</v>
      </c>
      <c r="V29" s="90"/>
      <c r="W29" s="89" t="s">
        <v>232</v>
      </c>
      <c r="X29" s="89"/>
      <c r="Y29" s="89" t="n">
        <v>25.84</v>
      </c>
      <c r="Z29" s="89" t="n">
        <v>1</v>
      </c>
      <c r="AA29" s="89"/>
      <c r="AB29" s="88"/>
      <c r="AC29" s="91"/>
    </row>
    <row r="30" customFormat="false" ht="15" hidden="false" customHeight="false" outlineLevel="0" collapsed="false">
      <c r="A30" s="68" t="e">
        <f aca="false">VLOOKUP(E30,'[1]Listas Desplegables'!$H$3:$J$7,2,FALSE())</f>
        <v>#N/A</v>
      </c>
      <c r="B30" s="68" t="e">
        <f aca="false">VLOOKUP(E30,'[1]Listas Desplegables'!$H$3:$J$7,3,FALSE())</f>
        <v>#N/A</v>
      </c>
      <c r="C30" s="85" t="n">
        <v>25</v>
      </c>
      <c r="D30" s="94" t="s">
        <v>275</v>
      </c>
      <c r="E30" s="94" t="s">
        <v>267</v>
      </c>
      <c r="F30" s="94" t="s">
        <v>264</v>
      </c>
      <c r="G30" s="87" t="n">
        <v>110</v>
      </c>
      <c r="H30" s="88" t="n">
        <v>76.51</v>
      </c>
      <c r="I30" s="88" t="n">
        <v>691</v>
      </c>
      <c r="J30" s="88" t="n">
        <v>691</v>
      </c>
      <c r="K30" s="88" t="n">
        <v>691</v>
      </c>
      <c r="L30" s="89" t="s">
        <v>218</v>
      </c>
      <c r="M30" s="88" t="n">
        <v>0.096</v>
      </c>
      <c r="N30" s="88" t="n">
        <v>0.485</v>
      </c>
      <c r="O30" s="88" t="n">
        <v>3.43</v>
      </c>
      <c r="P30" s="88" t="n">
        <v>0.346</v>
      </c>
      <c r="Q30" s="88" t="n">
        <v>1.18</v>
      </c>
      <c r="R30" s="88" t="n">
        <v>1.86</v>
      </c>
      <c r="S30" s="89" t="s">
        <v>219</v>
      </c>
      <c r="T30" s="89" t="s">
        <v>220</v>
      </c>
      <c r="U30" s="89" t="s">
        <v>221</v>
      </c>
      <c r="V30" s="90"/>
      <c r="W30" s="89" t="s">
        <v>276</v>
      </c>
      <c r="X30" s="89"/>
      <c r="Y30" s="89" t="n">
        <v>0.07</v>
      </c>
      <c r="Z30" s="89" t="n">
        <v>1</v>
      </c>
      <c r="AA30" s="89"/>
      <c r="AB30" s="88"/>
      <c r="AC30" s="91"/>
    </row>
    <row r="31" customFormat="false" ht="15" hidden="false" customHeight="false" outlineLevel="0" collapsed="false">
      <c r="A31" s="68" t="e">
        <f aca="false">VLOOKUP(E31,'[1]Listas Desplegables'!$H$3:$J$7,2,FALSE())</f>
        <v>#N/A</v>
      </c>
      <c r="B31" s="68" t="e">
        <f aca="false">VLOOKUP(E31,'[1]Listas Desplegables'!$H$3:$J$7,3,FALSE())</f>
        <v>#N/A</v>
      </c>
      <c r="C31" s="85" t="n">
        <v>26</v>
      </c>
      <c r="D31" s="94" t="s">
        <v>277</v>
      </c>
      <c r="E31" s="94" t="s">
        <v>263</v>
      </c>
      <c r="F31" s="94" t="s">
        <v>267</v>
      </c>
      <c r="G31" s="87" t="n">
        <v>110</v>
      </c>
      <c r="H31" s="88" t="n">
        <v>61.79</v>
      </c>
      <c r="I31" s="88" t="n">
        <v>691</v>
      </c>
      <c r="J31" s="88" t="n">
        <v>691</v>
      </c>
      <c r="K31" s="88" t="n">
        <v>691</v>
      </c>
      <c r="L31" s="89" t="s">
        <v>218</v>
      </c>
      <c r="M31" s="88" t="n">
        <v>0.097</v>
      </c>
      <c r="N31" s="88" t="n">
        <v>0.491</v>
      </c>
      <c r="O31" s="88" t="n">
        <v>3.41</v>
      </c>
      <c r="P31" s="88" t="n">
        <v>0.311</v>
      </c>
      <c r="Q31" s="88" t="n">
        <v>1.09</v>
      </c>
      <c r="R31" s="88" t="n">
        <v>1.9</v>
      </c>
      <c r="S31" s="89" t="s">
        <v>219</v>
      </c>
      <c r="T31" s="89" t="s">
        <v>220</v>
      </c>
      <c r="U31" s="89" t="s">
        <v>221</v>
      </c>
      <c r="V31" s="90"/>
      <c r="W31" s="89" t="s">
        <v>276</v>
      </c>
      <c r="X31" s="89"/>
      <c r="Y31" s="89" t="n">
        <v>12.47</v>
      </c>
      <c r="Z31" s="89" t="n">
        <v>1</v>
      </c>
      <c r="AA31" s="89"/>
      <c r="AB31" s="88"/>
      <c r="AC31" s="91"/>
    </row>
    <row r="32" customFormat="false" ht="15" hidden="false" customHeight="false" outlineLevel="0" collapsed="false">
      <c r="A32" s="68" t="e">
        <f aca="false">VLOOKUP(E32,'[1]Listas Desplegables'!$H$3:$J$7,2,FALSE())</f>
        <v>#N/A</v>
      </c>
      <c r="B32" s="68" t="e">
        <f aca="false">VLOOKUP(E32,'[1]Listas Desplegables'!$H$3:$J$7,3,FALSE())</f>
        <v>#N/A</v>
      </c>
      <c r="C32" s="85" t="n">
        <v>27</v>
      </c>
      <c r="D32" s="94" t="s">
        <v>278</v>
      </c>
      <c r="E32" s="94" t="s">
        <v>279</v>
      </c>
      <c r="F32" s="94" t="s">
        <v>280</v>
      </c>
      <c r="G32" s="87" t="n">
        <v>110</v>
      </c>
      <c r="H32" s="88" t="n">
        <v>10.9</v>
      </c>
      <c r="I32" s="88" t="n">
        <v>384</v>
      </c>
      <c r="J32" s="88" t="n">
        <v>794</v>
      </c>
      <c r="K32" s="88" t="n">
        <v>432</v>
      </c>
      <c r="L32" s="89" t="s">
        <v>253</v>
      </c>
      <c r="M32" s="88" t="n">
        <v>0.0735</v>
      </c>
      <c r="N32" s="88" t="n">
        <v>0.4164</v>
      </c>
      <c r="O32" s="88" t="n">
        <v>4.0418</v>
      </c>
      <c r="P32" s="88" t="n">
        <v>0.4279</v>
      </c>
      <c r="Q32" s="88" t="n">
        <v>1.5159</v>
      </c>
      <c r="R32" s="88" t="n">
        <v>2.0717</v>
      </c>
      <c r="S32" s="89" t="s">
        <v>219</v>
      </c>
      <c r="T32" s="89" t="s">
        <v>220</v>
      </c>
      <c r="U32" s="89" t="s">
        <v>221</v>
      </c>
      <c r="V32" s="90"/>
      <c r="W32" s="89" t="s">
        <v>281</v>
      </c>
      <c r="X32" s="89"/>
      <c r="Y32" s="89" t="n">
        <v>0</v>
      </c>
      <c r="Z32" s="89" t="n">
        <v>0</v>
      </c>
      <c r="AA32" s="89"/>
      <c r="AB32" s="88"/>
      <c r="AC32" s="91"/>
    </row>
    <row r="33" customFormat="false" ht="15" hidden="false" customHeight="false" outlineLevel="0" collapsed="false">
      <c r="A33" s="68" t="e">
        <f aca="false">VLOOKUP(E33,'[1]Listas Desplegables'!$H$3:$J$7,2,FALSE())</f>
        <v>#N/A</v>
      </c>
      <c r="B33" s="68" t="e">
        <f aca="false">VLOOKUP(E33,'[1]Listas Desplegables'!$H$3:$J$7,3,FALSE())</f>
        <v>#N/A</v>
      </c>
      <c r="C33" s="85" t="n">
        <v>28</v>
      </c>
      <c r="D33" s="94" t="s">
        <v>282</v>
      </c>
      <c r="E33" s="94" t="s">
        <v>224</v>
      </c>
      <c r="F33" s="94" t="s">
        <v>231</v>
      </c>
      <c r="G33" s="87" t="n">
        <v>110</v>
      </c>
      <c r="H33" s="88" t="n">
        <v>10.5</v>
      </c>
      <c r="I33" s="88" t="n">
        <v>691</v>
      </c>
      <c r="J33" s="88" t="n">
        <v>741.3</v>
      </c>
      <c r="K33" s="88" t="n">
        <v>741.3</v>
      </c>
      <c r="L33" s="89" t="s">
        <v>218</v>
      </c>
      <c r="M33" s="88" t="n">
        <v>0.0736</v>
      </c>
      <c r="N33" s="88" t="n">
        <v>0.4686</v>
      </c>
      <c r="O33" s="88" t="n">
        <v>3.5756</v>
      </c>
      <c r="P33" s="88" t="n">
        <v>0.24</v>
      </c>
      <c r="Q33" s="88" t="n">
        <v>1.483</v>
      </c>
      <c r="R33" s="88" t="n">
        <v>2.2525</v>
      </c>
      <c r="S33" s="89" t="s">
        <v>219</v>
      </c>
      <c r="T33" s="89" t="s">
        <v>220</v>
      </c>
      <c r="U33" s="89" t="s">
        <v>221</v>
      </c>
      <c r="V33" s="90"/>
      <c r="W33" s="89" t="s">
        <v>283</v>
      </c>
      <c r="X33" s="89"/>
      <c r="Y33" s="89" t="n">
        <v>4.4</v>
      </c>
      <c r="Z33" s="89" t="n">
        <v>1</v>
      </c>
      <c r="AA33" s="89"/>
      <c r="AB33" s="88"/>
      <c r="AC33" s="91"/>
    </row>
    <row r="34" customFormat="false" ht="15" hidden="false" customHeight="false" outlineLevel="0" collapsed="false">
      <c r="A34" s="68" t="e">
        <f aca="false">VLOOKUP(E34,'[1]Listas Desplegables'!$H$3:$J$7,2,FALSE())</f>
        <v>#N/A</v>
      </c>
      <c r="B34" s="68" t="e">
        <f aca="false">VLOOKUP(E34,'[1]Listas Desplegables'!$H$3:$J$7,3,FALSE())</f>
        <v>#N/A</v>
      </c>
      <c r="C34" s="85" t="n">
        <v>29</v>
      </c>
      <c r="D34" s="94" t="s">
        <v>284</v>
      </c>
      <c r="E34" s="94" t="s">
        <v>224</v>
      </c>
      <c r="F34" s="94" t="s">
        <v>231</v>
      </c>
      <c r="G34" s="87" t="n">
        <v>110</v>
      </c>
      <c r="H34" s="88" t="n">
        <v>9.5</v>
      </c>
      <c r="I34" s="88" t="n">
        <v>500</v>
      </c>
      <c r="J34" s="88" t="n">
        <v>580</v>
      </c>
      <c r="K34" s="88" t="n">
        <v>570</v>
      </c>
      <c r="L34" s="89" t="s">
        <v>218</v>
      </c>
      <c r="M34" s="88" t="n">
        <v>0.1191</v>
      </c>
      <c r="N34" s="88" t="n">
        <v>0.4718</v>
      </c>
      <c r="O34" s="88" t="n">
        <v>3.56</v>
      </c>
      <c r="P34" s="88" t="n">
        <v>0.4622</v>
      </c>
      <c r="Q34" s="88" t="n">
        <v>1.4739</v>
      </c>
      <c r="R34" s="88" t="n">
        <v>2.14</v>
      </c>
      <c r="S34" s="89" t="s">
        <v>219</v>
      </c>
      <c r="T34" s="89" t="s">
        <v>220</v>
      </c>
      <c r="U34" s="89" t="s">
        <v>221</v>
      </c>
      <c r="V34" s="90"/>
      <c r="W34" s="89" t="s">
        <v>283</v>
      </c>
      <c r="X34" s="89"/>
      <c r="Y34" s="89" t="n">
        <v>117.05</v>
      </c>
      <c r="Z34" s="89" t="n">
        <v>1</v>
      </c>
      <c r="AA34" s="89"/>
      <c r="AB34" s="88"/>
      <c r="AC34" s="91"/>
    </row>
    <row r="35" customFormat="false" ht="15" hidden="false" customHeight="false" outlineLevel="0" collapsed="false">
      <c r="A35" s="68" t="e">
        <f aca="false">VLOOKUP(E35,'[1]Listas Desplegables'!$H$3:$J$7,2,FALSE())</f>
        <v>#N/A</v>
      </c>
      <c r="B35" s="68" t="e">
        <f aca="false">VLOOKUP(E35,'[1]Listas Desplegables'!$H$3:$J$7,3,FALSE())</f>
        <v>#N/A</v>
      </c>
      <c r="C35" s="92" t="n">
        <v>30</v>
      </c>
      <c r="D35" s="94" t="s">
        <v>285</v>
      </c>
      <c r="E35" s="94" t="s">
        <v>224</v>
      </c>
      <c r="F35" s="94" t="s">
        <v>228</v>
      </c>
      <c r="G35" s="87" t="n">
        <v>110</v>
      </c>
      <c r="H35" s="88" t="n">
        <v>14.2</v>
      </c>
      <c r="I35" s="88" t="n">
        <v>500</v>
      </c>
      <c r="J35" s="88" t="n">
        <v>580</v>
      </c>
      <c r="K35" s="88" t="n">
        <v>570</v>
      </c>
      <c r="L35" s="89" t="s">
        <v>218</v>
      </c>
      <c r="M35" s="88" t="n">
        <v>0.1191</v>
      </c>
      <c r="N35" s="88" t="n">
        <v>0.4718</v>
      </c>
      <c r="O35" s="88" t="n">
        <v>3.56</v>
      </c>
      <c r="P35" s="88" t="n">
        <v>0.4622</v>
      </c>
      <c r="Q35" s="88" t="n">
        <v>1.4739</v>
      </c>
      <c r="R35" s="88" t="n">
        <v>2.14</v>
      </c>
      <c r="S35" s="89" t="s">
        <v>219</v>
      </c>
      <c r="T35" s="89" t="s">
        <v>220</v>
      </c>
      <c r="U35" s="89" t="s">
        <v>221</v>
      </c>
      <c r="V35" s="90"/>
      <c r="W35" s="89" t="s">
        <v>283</v>
      </c>
      <c r="X35" s="89"/>
      <c r="Y35" s="89" t="n">
        <v>17.61</v>
      </c>
      <c r="Z35" s="89" t="n">
        <v>1</v>
      </c>
      <c r="AA35" s="89"/>
      <c r="AB35" s="88"/>
      <c r="AC35" s="91"/>
    </row>
    <row r="36" customFormat="false" ht="15" hidden="false" customHeight="false" outlineLevel="0" collapsed="false">
      <c r="A36" s="68" t="e">
        <f aca="false">VLOOKUP(E36,'[1]Listas Desplegables'!$H$3:$J$7,2,FALSE())</f>
        <v>#N/A</v>
      </c>
      <c r="B36" s="68" t="e">
        <f aca="false">VLOOKUP(E36,'[1]Listas Desplegables'!$H$3:$J$7,3,FALSE())</f>
        <v>#N/A</v>
      </c>
      <c r="C36" s="85" t="n">
        <v>31</v>
      </c>
      <c r="D36" s="94" t="s">
        <v>286</v>
      </c>
      <c r="E36" s="94" t="s">
        <v>287</v>
      </c>
      <c r="F36" s="94" t="s">
        <v>288</v>
      </c>
      <c r="G36" s="87" t="n">
        <v>34.5</v>
      </c>
      <c r="H36" s="88" t="n">
        <v>5.5</v>
      </c>
      <c r="I36" s="88" t="n">
        <v>334.69580822587</v>
      </c>
      <c r="J36" s="88" t="n">
        <v>728</v>
      </c>
      <c r="K36" s="88" t="n">
        <v>368.165389048457</v>
      </c>
      <c r="L36" s="89" t="s">
        <v>289</v>
      </c>
      <c r="M36" s="88" t="n">
        <v>0.0783</v>
      </c>
      <c r="N36" s="88" t="n">
        <v>0.4191</v>
      </c>
      <c r="O36" s="88" t="n">
        <v>2.149</v>
      </c>
      <c r="P36" s="88" t="n">
        <v>0.434</v>
      </c>
      <c r="Q36" s="88" t="n">
        <v>3.128</v>
      </c>
      <c r="R36" s="88" t="n">
        <v>1.551</v>
      </c>
      <c r="S36" s="89" t="s">
        <v>290</v>
      </c>
      <c r="T36" s="89" t="s">
        <v>220</v>
      </c>
      <c r="U36" s="89" t="s">
        <v>221</v>
      </c>
      <c r="V36" s="90"/>
      <c r="W36" s="89" t="s">
        <v>291</v>
      </c>
      <c r="X36" s="89"/>
      <c r="Y36" s="89" t="n">
        <v>94.2866666666666</v>
      </c>
      <c r="Z36" s="89" t="n">
        <v>30</v>
      </c>
      <c r="AA36" s="89"/>
      <c r="AB36" s="88"/>
      <c r="AC36" s="91"/>
    </row>
    <row r="37" customFormat="false" ht="15" hidden="false" customHeight="false" outlineLevel="0" collapsed="false">
      <c r="A37" s="68" t="e">
        <f aca="false">VLOOKUP(E37,'[1]Listas Desplegables'!$H$3:$J$7,2,FALSE())</f>
        <v>#N/A</v>
      </c>
      <c r="B37" s="68" t="e">
        <f aca="false">VLOOKUP(E37,'[1]Listas Desplegables'!$H$3:$J$7,3,FALSE())</f>
        <v>#N/A</v>
      </c>
      <c r="C37" s="85" t="n">
        <v>32</v>
      </c>
      <c r="D37" s="94" t="s">
        <v>292</v>
      </c>
      <c r="E37" s="94" t="s">
        <v>287</v>
      </c>
      <c r="F37" s="94" t="s">
        <v>293</v>
      </c>
      <c r="G37" s="87" t="n">
        <v>34.5</v>
      </c>
      <c r="H37" s="88" t="n">
        <v>6.5</v>
      </c>
      <c r="I37" s="88" t="n">
        <v>451.839341104925</v>
      </c>
      <c r="J37" s="88" t="n">
        <v>728</v>
      </c>
      <c r="K37" s="88" t="n">
        <v>497</v>
      </c>
      <c r="L37" s="89" t="s">
        <v>289</v>
      </c>
      <c r="M37" s="88" t="n">
        <v>0.0783</v>
      </c>
      <c r="N37" s="88" t="n">
        <v>0.4191</v>
      </c>
      <c r="O37" s="88" t="n">
        <v>2.149</v>
      </c>
      <c r="P37" s="88" t="n">
        <v>0.434</v>
      </c>
      <c r="Q37" s="88" t="n">
        <v>3.128</v>
      </c>
      <c r="R37" s="88" t="n">
        <v>1.551</v>
      </c>
      <c r="S37" s="89" t="s">
        <v>290</v>
      </c>
      <c r="T37" s="89" t="s">
        <v>220</v>
      </c>
      <c r="U37" s="89" t="s">
        <v>221</v>
      </c>
      <c r="V37" s="90"/>
      <c r="W37" s="89" t="s">
        <v>291</v>
      </c>
      <c r="X37" s="89"/>
      <c r="Y37" s="89" t="n">
        <v>108.620277777778</v>
      </c>
      <c r="Z37" s="89" t="n">
        <v>33</v>
      </c>
      <c r="AA37" s="89"/>
      <c r="AB37" s="88"/>
      <c r="AC37" s="91"/>
    </row>
    <row r="38" customFormat="false" ht="15" hidden="false" customHeight="false" outlineLevel="0" collapsed="false">
      <c r="A38" s="68" t="e">
        <f aca="false">VLOOKUP(E38,'[1]Listas Desplegables'!$H$3:$J$7,2,FALSE())</f>
        <v>#N/A</v>
      </c>
      <c r="B38" s="68" t="e">
        <f aca="false">VLOOKUP(E38,'[1]Listas Desplegables'!$H$3:$J$7,3,FALSE())</f>
        <v>#N/A</v>
      </c>
      <c r="C38" s="85" t="n">
        <v>33</v>
      </c>
      <c r="D38" s="94" t="s">
        <v>294</v>
      </c>
      <c r="E38" s="94" t="s">
        <v>295</v>
      </c>
      <c r="F38" s="94" t="s">
        <v>225</v>
      </c>
      <c r="G38" s="87" t="n">
        <v>34.5</v>
      </c>
      <c r="H38" s="88" t="n">
        <v>5.5</v>
      </c>
      <c r="I38" s="88" t="n">
        <v>579</v>
      </c>
      <c r="J38" s="88" t="n">
        <v>728</v>
      </c>
      <c r="K38" s="88" t="n">
        <v>636.9</v>
      </c>
      <c r="L38" s="89" t="s">
        <v>218</v>
      </c>
      <c r="M38" s="88" t="n">
        <v>0.0783</v>
      </c>
      <c r="N38" s="88" t="n">
        <v>0.4191</v>
      </c>
      <c r="O38" s="88" t="n">
        <v>2.1</v>
      </c>
      <c r="P38" s="88" t="n">
        <v>0.434</v>
      </c>
      <c r="Q38" s="88" t="n">
        <v>3.128</v>
      </c>
      <c r="R38" s="88" t="n">
        <v>1.293</v>
      </c>
      <c r="S38" s="89" t="s">
        <v>290</v>
      </c>
      <c r="T38" s="89" t="s">
        <v>220</v>
      </c>
      <c r="U38" s="89" t="s">
        <v>221</v>
      </c>
      <c r="V38" s="90"/>
      <c r="W38" s="89" t="s">
        <v>291</v>
      </c>
      <c r="X38" s="89"/>
      <c r="Y38" s="89" t="n">
        <v>252.761388888889</v>
      </c>
      <c r="Z38" s="89" t="n">
        <v>39</v>
      </c>
      <c r="AA38" s="89"/>
      <c r="AB38" s="88"/>
      <c r="AC38" s="91"/>
    </row>
    <row r="39" customFormat="false" ht="15" hidden="false" customHeight="false" outlineLevel="0" collapsed="false">
      <c r="A39" s="68" t="e">
        <f aca="false">VLOOKUP(E39,'[1]Listas Desplegables'!$H$3:$J$7,2,FALSE())</f>
        <v>#N/A</v>
      </c>
      <c r="B39" s="68" t="e">
        <f aca="false">VLOOKUP(E39,'[1]Listas Desplegables'!$H$3:$J$7,3,FALSE())</f>
        <v>#N/A</v>
      </c>
      <c r="C39" s="85" t="n">
        <v>34</v>
      </c>
      <c r="D39" s="94" t="s">
        <v>296</v>
      </c>
      <c r="E39" s="94" t="s">
        <v>295</v>
      </c>
      <c r="F39" s="94" t="s">
        <v>225</v>
      </c>
      <c r="G39" s="87" t="n">
        <v>34.5</v>
      </c>
      <c r="H39" s="88" t="n">
        <v>5.5</v>
      </c>
      <c r="I39" s="88" t="n">
        <v>579</v>
      </c>
      <c r="J39" s="88" t="n">
        <v>728</v>
      </c>
      <c r="K39" s="88" t="n">
        <v>636.9</v>
      </c>
      <c r="L39" s="89" t="s">
        <v>218</v>
      </c>
      <c r="M39" s="88" t="n">
        <v>0.0783</v>
      </c>
      <c r="N39" s="88" t="n">
        <v>0.4191</v>
      </c>
      <c r="O39" s="88" t="n">
        <v>2.1</v>
      </c>
      <c r="P39" s="88" t="n">
        <v>0.434</v>
      </c>
      <c r="Q39" s="88" t="n">
        <v>3.128</v>
      </c>
      <c r="R39" s="88" t="n">
        <v>1.293</v>
      </c>
      <c r="S39" s="89" t="s">
        <v>290</v>
      </c>
      <c r="T39" s="89" t="s">
        <v>220</v>
      </c>
      <c r="U39" s="89" t="s">
        <v>221</v>
      </c>
      <c r="V39" s="90"/>
      <c r="W39" s="89" t="s">
        <v>291</v>
      </c>
      <c r="X39" s="89"/>
      <c r="Y39" s="89" t="n">
        <v>267.986388888889</v>
      </c>
      <c r="Z39" s="89" t="n">
        <v>41</v>
      </c>
      <c r="AA39" s="89"/>
      <c r="AB39" s="88"/>
      <c r="AC39" s="91"/>
    </row>
    <row r="40" customFormat="false" ht="15" hidden="false" customHeight="false" outlineLevel="0" collapsed="false">
      <c r="A40" s="68" t="e">
        <f aca="false">VLOOKUP(E40,'[1]Listas Desplegables'!$H$3:$J$7,2,FALSE())</f>
        <v>#N/A</v>
      </c>
      <c r="B40" s="68" t="e">
        <f aca="false">VLOOKUP(E40,'[1]Listas Desplegables'!$H$3:$J$7,3,FALSE())</f>
        <v>#N/A</v>
      </c>
      <c r="C40" s="85" t="n">
        <v>35</v>
      </c>
      <c r="D40" s="94" t="s">
        <v>297</v>
      </c>
      <c r="E40" s="94" t="s">
        <v>230</v>
      </c>
      <c r="F40" s="94" t="s">
        <v>298</v>
      </c>
      <c r="G40" s="87" t="n">
        <v>34.5</v>
      </c>
      <c r="H40" s="88" t="n">
        <v>18.8</v>
      </c>
      <c r="I40" s="88" t="n">
        <v>396</v>
      </c>
      <c r="J40" s="88" t="n">
        <v>396</v>
      </c>
      <c r="K40" s="88" t="n">
        <v>396</v>
      </c>
      <c r="L40" s="89" t="s">
        <v>218</v>
      </c>
      <c r="M40" s="88" t="n">
        <v>0.56715</v>
      </c>
      <c r="N40" s="88" t="n">
        <v>0.48725</v>
      </c>
      <c r="O40" s="88" t="n">
        <v>3.05513</v>
      </c>
      <c r="P40" s="88" t="n">
        <v>0.74179</v>
      </c>
      <c r="Q40" s="88" t="n">
        <v>1.9029</v>
      </c>
      <c r="R40" s="88" t="n">
        <v>1.52756</v>
      </c>
      <c r="S40" s="89" t="s">
        <v>290</v>
      </c>
      <c r="T40" s="89" t="s">
        <v>220</v>
      </c>
      <c r="U40" s="89" t="s">
        <v>221</v>
      </c>
      <c r="V40" s="90"/>
      <c r="W40" s="89" t="s">
        <v>299</v>
      </c>
      <c r="X40" s="89"/>
      <c r="Y40" s="89" t="n">
        <v>93.0811111111111</v>
      </c>
      <c r="Z40" s="89" t="n">
        <v>57</v>
      </c>
      <c r="AA40" s="89"/>
      <c r="AB40" s="88"/>
      <c r="AC40" s="91"/>
    </row>
    <row r="41" customFormat="false" ht="15" hidden="false" customHeight="false" outlineLevel="0" collapsed="false">
      <c r="A41" s="68" t="e">
        <f aca="false">VLOOKUP(E41,'[1]Listas Desplegables'!$H$3:$J$7,2,FALSE())</f>
        <v>#N/A</v>
      </c>
      <c r="B41" s="68" t="e">
        <f aca="false">VLOOKUP(E41,'[1]Listas Desplegables'!$H$3:$J$7,3,FALSE())</f>
        <v>#N/A</v>
      </c>
      <c r="C41" s="85" t="n">
        <v>36</v>
      </c>
      <c r="D41" s="94" t="s">
        <v>300</v>
      </c>
      <c r="E41" s="94" t="s">
        <v>301</v>
      </c>
      <c r="F41" s="94" t="s">
        <v>302</v>
      </c>
      <c r="G41" s="87" t="n">
        <v>34.5</v>
      </c>
      <c r="H41" s="88" t="n">
        <v>17.4</v>
      </c>
      <c r="I41" s="88" t="n">
        <v>234</v>
      </c>
      <c r="J41" s="88" t="n">
        <v>320</v>
      </c>
      <c r="K41" s="88" t="n">
        <v>247</v>
      </c>
      <c r="L41" s="89" t="s">
        <v>218</v>
      </c>
      <c r="M41" s="88" t="n">
        <v>0.45906</v>
      </c>
      <c r="N41" s="88" t="n">
        <v>0.46249</v>
      </c>
      <c r="O41" s="88" t="n">
        <v>3.15059</v>
      </c>
      <c r="P41" s="88" t="n">
        <v>0.76083</v>
      </c>
      <c r="Q41" s="88" t="n">
        <v>1.87029</v>
      </c>
      <c r="R41" s="88" t="n">
        <v>1.05019</v>
      </c>
      <c r="S41" s="89" t="s">
        <v>290</v>
      </c>
      <c r="T41" s="89" t="s">
        <v>220</v>
      </c>
      <c r="U41" s="89" t="s">
        <v>221</v>
      </c>
      <c r="V41" s="90"/>
      <c r="W41" s="89" t="s">
        <v>270</v>
      </c>
      <c r="X41" s="89"/>
      <c r="Y41" s="89" t="n">
        <v>137.189722222222</v>
      </c>
      <c r="Z41" s="89" t="n">
        <v>132</v>
      </c>
      <c r="AA41" s="89"/>
      <c r="AB41" s="88"/>
      <c r="AC41" s="91"/>
    </row>
    <row r="42" customFormat="false" ht="15" hidden="false" customHeight="false" outlineLevel="0" collapsed="false">
      <c r="A42" s="68" t="e">
        <f aca="false">VLOOKUP(E42,'[1]Listas Desplegables'!$H$3:$J$7,2,FALSE())</f>
        <v>#N/A</v>
      </c>
      <c r="B42" s="68" t="e">
        <f aca="false">VLOOKUP(E42,'[1]Listas Desplegables'!$H$3:$J$7,3,FALSE())</f>
        <v>#N/A</v>
      </c>
      <c r="C42" s="85" t="n">
        <v>37</v>
      </c>
      <c r="D42" s="94" t="s">
        <v>303</v>
      </c>
      <c r="E42" s="94" t="s">
        <v>304</v>
      </c>
      <c r="F42" s="94" t="s">
        <v>305</v>
      </c>
      <c r="G42" s="87" t="n">
        <v>34.5</v>
      </c>
      <c r="H42" s="88" t="n">
        <v>19.5</v>
      </c>
      <c r="I42" s="88" t="n">
        <v>153</v>
      </c>
      <c r="J42" s="88" t="n">
        <v>153</v>
      </c>
      <c r="K42" s="88" t="n">
        <v>168.3</v>
      </c>
      <c r="L42" s="89" t="s">
        <v>218</v>
      </c>
      <c r="M42" s="88" t="n">
        <v>0.497</v>
      </c>
      <c r="N42" s="88" t="n">
        <v>0.4252217</v>
      </c>
      <c r="O42" s="88" t="n">
        <v>3.912564</v>
      </c>
      <c r="P42" s="88" t="n">
        <v>0.6746529</v>
      </c>
      <c r="Q42" s="88" t="n">
        <v>1.662272</v>
      </c>
      <c r="R42" s="88" t="n">
        <v>1.53514</v>
      </c>
      <c r="S42" s="89" t="s">
        <v>290</v>
      </c>
      <c r="T42" s="89" t="s">
        <v>220</v>
      </c>
      <c r="U42" s="89" t="s">
        <v>221</v>
      </c>
      <c r="V42" s="90"/>
      <c r="W42" s="89" t="s">
        <v>306</v>
      </c>
      <c r="X42" s="89"/>
      <c r="Y42" s="89" t="n">
        <v>177.764166666667</v>
      </c>
      <c r="Z42" s="89" t="n">
        <v>119</v>
      </c>
      <c r="AA42" s="89"/>
      <c r="AB42" s="88"/>
      <c r="AC42" s="91"/>
    </row>
    <row r="43" customFormat="false" ht="15" hidden="false" customHeight="false" outlineLevel="0" collapsed="false">
      <c r="A43" s="68" t="e">
        <f aca="false">VLOOKUP(E43,'[1]Listas Desplegables'!$H$3:$J$7,2,FALSE())</f>
        <v>#N/A</v>
      </c>
      <c r="B43" s="68" t="e">
        <f aca="false">VLOOKUP(E43,'[1]Listas Desplegables'!$H$3:$J$7,3,FALSE())</f>
        <v>#N/A</v>
      </c>
      <c r="C43" s="85" t="n">
        <v>38</v>
      </c>
      <c r="D43" s="94" t="s">
        <v>307</v>
      </c>
      <c r="E43" s="94" t="s">
        <v>298</v>
      </c>
      <c r="F43" s="94" t="s">
        <v>308</v>
      </c>
      <c r="G43" s="87" t="n">
        <v>34.5</v>
      </c>
      <c r="H43" s="88" t="n">
        <v>7.8</v>
      </c>
      <c r="I43" s="88" t="n">
        <v>162</v>
      </c>
      <c r="J43" s="88" t="n">
        <v>334.5</v>
      </c>
      <c r="K43" s="88" t="n">
        <v>171</v>
      </c>
      <c r="L43" s="89" t="s">
        <v>289</v>
      </c>
      <c r="M43" s="88" t="n">
        <v>0.292752</v>
      </c>
      <c r="N43" s="88" t="n">
        <v>0.4215807</v>
      </c>
      <c r="O43" s="88" t="n">
        <v>4.183401</v>
      </c>
      <c r="P43" s="88" t="n">
        <v>0.4671913</v>
      </c>
      <c r="Q43" s="88" t="n">
        <v>1.981061</v>
      </c>
      <c r="R43" s="88" t="n">
        <v>1.552421</v>
      </c>
      <c r="S43" s="89" t="s">
        <v>290</v>
      </c>
      <c r="T43" s="89" t="s">
        <v>220</v>
      </c>
      <c r="U43" s="89" t="s">
        <v>221</v>
      </c>
      <c r="V43" s="90"/>
      <c r="W43" s="89" t="s">
        <v>309</v>
      </c>
      <c r="X43" s="89"/>
      <c r="Y43" s="89" t="n">
        <v>103.560555555556</v>
      </c>
      <c r="Z43" s="89" t="n">
        <v>68</v>
      </c>
      <c r="AA43" s="89"/>
      <c r="AB43" s="88"/>
      <c r="AC43" s="91"/>
    </row>
    <row r="44" customFormat="false" ht="15" hidden="false" customHeight="false" outlineLevel="0" collapsed="false">
      <c r="A44" s="68" t="e">
        <f aca="false">VLOOKUP(E44,'[1]Listas Desplegables'!$H$3:$J$7,2,FALSE())</f>
        <v>#N/A</v>
      </c>
      <c r="B44" s="68" t="e">
        <f aca="false">VLOOKUP(E44,'[1]Listas Desplegables'!$H$3:$J$7,3,FALSE())</f>
        <v>#N/A</v>
      </c>
      <c r="C44" s="92" t="n">
        <v>39</v>
      </c>
      <c r="D44" s="94" t="s">
        <v>310</v>
      </c>
      <c r="E44" s="94" t="s">
        <v>250</v>
      </c>
      <c r="F44" s="94" t="s">
        <v>311</v>
      </c>
      <c r="G44" s="87" t="n">
        <v>34.5</v>
      </c>
      <c r="H44" s="88" t="n">
        <v>21</v>
      </c>
      <c r="I44" s="88" t="n">
        <v>300</v>
      </c>
      <c r="J44" s="88" t="n">
        <v>494.5</v>
      </c>
      <c r="K44" s="88" t="n">
        <v>300</v>
      </c>
      <c r="L44" s="89" t="s">
        <v>289</v>
      </c>
      <c r="M44" s="88" t="n">
        <v>0.18313</v>
      </c>
      <c r="N44" s="88" t="n">
        <v>0.4286</v>
      </c>
      <c r="O44" s="88" t="n">
        <v>4.00076</v>
      </c>
      <c r="P44" s="88" t="n">
        <v>0.77532</v>
      </c>
      <c r="Q44" s="88" t="n">
        <v>1.90661</v>
      </c>
      <c r="R44" s="88" t="n">
        <v>1.6003</v>
      </c>
      <c r="S44" s="89" t="s">
        <v>290</v>
      </c>
      <c r="T44" s="89" t="s">
        <v>220</v>
      </c>
      <c r="U44" s="89" t="s">
        <v>221</v>
      </c>
      <c r="V44" s="90"/>
      <c r="W44" s="89" t="s">
        <v>281</v>
      </c>
      <c r="X44" s="89"/>
      <c r="Y44" s="89" t="n">
        <v>136.439722222222</v>
      </c>
      <c r="Z44" s="89" t="n">
        <v>83</v>
      </c>
      <c r="AA44" s="89"/>
      <c r="AB44" s="88"/>
      <c r="AC44" s="91"/>
    </row>
    <row r="45" customFormat="false" ht="15" hidden="false" customHeight="false" outlineLevel="0" collapsed="false">
      <c r="A45" s="68" t="e">
        <f aca="false">VLOOKUP(E45,'[1]Listas Desplegables'!$H$3:$J$7,2,FALSE())</f>
        <v>#N/A</v>
      </c>
      <c r="B45" s="68" t="e">
        <f aca="false">VLOOKUP(E45,'[1]Listas Desplegables'!$H$3:$J$7,3,FALSE())</f>
        <v>#N/A</v>
      </c>
      <c r="C45" s="93" t="n">
        <v>40</v>
      </c>
      <c r="D45" s="94" t="s">
        <v>312</v>
      </c>
      <c r="E45" s="94" t="s">
        <v>250</v>
      </c>
      <c r="F45" s="94" t="s">
        <v>230</v>
      </c>
      <c r="G45" s="87" t="n">
        <v>34.5</v>
      </c>
      <c r="H45" s="88" t="n">
        <v>14.7</v>
      </c>
      <c r="I45" s="88" t="n">
        <v>153</v>
      </c>
      <c r="J45" s="88" t="n">
        <v>153</v>
      </c>
      <c r="K45" s="88" t="n">
        <v>168.3</v>
      </c>
      <c r="L45" s="89" t="s">
        <v>218</v>
      </c>
      <c r="M45" s="88" t="n">
        <v>0.46032</v>
      </c>
      <c r="N45" s="88" t="n">
        <v>0.46374</v>
      </c>
      <c r="O45" s="88" t="n">
        <v>3.65287</v>
      </c>
      <c r="P45" s="88" t="n">
        <v>0.76289</v>
      </c>
      <c r="Q45" s="88" t="n">
        <v>1.87537</v>
      </c>
      <c r="R45" s="88" t="n">
        <v>0.91322</v>
      </c>
      <c r="S45" s="89" t="s">
        <v>290</v>
      </c>
      <c r="T45" s="89" t="s">
        <v>220</v>
      </c>
      <c r="U45" s="89" t="s">
        <v>221</v>
      </c>
      <c r="V45" s="90"/>
      <c r="W45" s="89" t="s">
        <v>313</v>
      </c>
      <c r="X45" s="89"/>
      <c r="Y45" s="89" t="n">
        <v>0</v>
      </c>
      <c r="Z45" s="89" t="n">
        <v>0</v>
      </c>
      <c r="AA45" s="89"/>
      <c r="AB45" s="88"/>
      <c r="AC45" s="91" t="s">
        <v>314</v>
      </c>
    </row>
    <row r="46" customFormat="false" ht="15" hidden="false" customHeight="false" outlineLevel="0" collapsed="false">
      <c r="A46" s="68" t="e">
        <f aca="false">VLOOKUP(E46,'[1]Listas Desplegables'!$H$3:$J$7,2,FALSE())</f>
        <v>#N/A</v>
      </c>
      <c r="B46" s="68" t="e">
        <f aca="false">VLOOKUP(E46,'[1]Listas Desplegables'!$H$3:$J$7,3,FALSE())</f>
        <v>#N/A</v>
      </c>
      <c r="C46" s="92" t="n">
        <v>41</v>
      </c>
      <c r="D46" s="94" t="s">
        <v>315</v>
      </c>
      <c r="E46" s="94" t="s">
        <v>250</v>
      </c>
      <c r="F46" s="94" t="s">
        <v>301</v>
      </c>
      <c r="G46" s="87" t="n">
        <v>34.5</v>
      </c>
      <c r="H46" s="88" t="n">
        <v>25.3</v>
      </c>
      <c r="I46" s="88" t="n">
        <v>577</v>
      </c>
      <c r="J46" s="88" t="n">
        <v>577</v>
      </c>
      <c r="K46" s="88" t="n">
        <v>634.7</v>
      </c>
      <c r="L46" s="89" t="s">
        <v>218</v>
      </c>
      <c r="M46" s="88" t="n">
        <v>0.1797</v>
      </c>
      <c r="N46" s="88" t="n">
        <v>0.42062</v>
      </c>
      <c r="O46" s="88" t="n">
        <v>4.11507</v>
      </c>
      <c r="P46" s="88" t="n">
        <v>0.35759</v>
      </c>
      <c r="Q46" s="88" t="n">
        <v>1.81946</v>
      </c>
      <c r="R46" s="88" t="n">
        <v>1.37169</v>
      </c>
      <c r="S46" s="89" t="s">
        <v>290</v>
      </c>
      <c r="T46" s="89" t="s">
        <v>220</v>
      </c>
      <c r="U46" s="89" t="s">
        <v>221</v>
      </c>
      <c r="V46" s="90"/>
      <c r="W46" s="89" t="s">
        <v>270</v>
      </c>
      <c r="X46" s="89"/>
      <c r="Y46" s="89" t="n">
        <v>78.9963888888889</v>
      </c>
      <c r="Z46" s="89" t="n">
        <v>66</v>
      </c>
      <c r="AA46" s="89"/>
      <c r="AB46" s="88"/>
      <c r="AC46" s="91"/>
    </row>
    <row r="47" customFormat="false" ht="15" hidden="false" customHeight="false" outlineLevel="0" collapsed="false">
      <c r="A47" s="68" t="e">
        <f aca="false">VLOOKUP(E47,'[1]Listas Desplegables'!$H$3:$J$7,2,FALSE())</f>
        <v>#N/A</v>
      </c>
      <c r="B47" s="68" t="e">
        <f aca="false">VLOOKUP(E47,'[1]Listas Desplegables'!$H$3:$J$7,3,FALSE())</f>
        <v>#N/A</v>
      </c>
      <c r="C47" s="85" t="n">
        <v>42</v>
      </c>
      <c r="D47" s="94" t="s">
        <v>316</v>
      </c>
      <c r="E47" s="94" t="s">
        <v>250</v>
      </c>
      <c r="F47" s="94" t="s">
        <v>317</v>
      </c>
      <c r="G47" s="87" t="n">
        <v>34.5</v>
      </c>
      <c r="H47" s="88" t="n">
        <v>22.2</v>
      </c>
      <c r="I47" s="88" t="n">
        <v>300</v>
      </c>
      <c r="J47" s="88" t="n">
        <v>330</v>
      </c>
      <c r="K47" s="88" t="n">
        <v>330</v>
      </c>
      <c r="L47" s="89" t="s">
        <v>253</v>
      </c>
      <c r="M47" s="88" t="n">
        <v>0.45911</v>
      </c>
      <c r="N47" s="88" t="n">
        <v>0.46247</v>
      </c>
      <c r="O47" s="88" t="n">
        <v>3.05513</v>
      </c>
      <c r="P47" s="88" t="n">
        <v>0.63696</v>
      </c>
      <c r="Q47" s="88" t="n">
        <v>1.86133</v>
      </c>
      <c r="R47" s="88" t="n">
        <v>1.52756</v>
      </c>
      <c r="S47" s="89" t="s">
        <v>290</v>
      </c>
      <c r="T47" s="89" t="s">
        <v>220</v>
      </c>
      <c r="U47" s="89" t="s">
        <v>221</v>
      </c>
      <c r="V47" s="90"/>
      <c r="W47" s="89" t="s">
        <v>270</v>
      </c>
      <c r="X47" s="89"/>
      <c r="Y47" s="89" t="n">
        <v>87.4880555555555</v>
      </c>
      <c r="Z47" s="89" t="n">
        <v>78</v>
      </c>
      <c r="AA47" s="89"/>
      <c r="AB47" s="88"/>
      <c r="AC47" s="91"/>
    </row>
    <row r="48" customFormat="false" ht="15" hidden="false" customHeight="false" outlineLevel="0" collapsed="false">
      <c r="A48" s="68" t="e">
        <f aca="false">VLOOKUP(E48,'[1]Listas Desplegables'!$H$3:$J$7,2,FALSE())</f>
        <v>#N/A</v>
      </c>
      <c r="B48" s="68" t="e">
        <f aca="false">VLOOKUP(E48,'[1]Listas Desplegables'!$H$3:$J$7,3,FALSE())</f>
        <v>#N/A</v>
      </c>
      <c r="C48" s="85" t="n">
        <v>43</v>
      </c>
      <c r="D48" s="94" t="s">
        <v>318</v>
      </c>
      <c r="E48" s="94" t="s">
        <v>293</v>
      </c>
      <c r="F48" s="94" t="s">
        <v>288</v>
      </c>
      <c r="G48" s="87" t="n">
        <v>34.5</v>
      </c>
      <c r="H48" s="88" t="n">
        <v>2.5</v>
      </c>
      <c r="I48" s="88" t="n">
        <v>451.839341104925</v>
      </c>
      <c r="J48" s="88" t="n">
        <v>728</v>
      </c>
      <c r="K48" s="88" t="n">
        <v>497.023275215417</v>
      </c>
      <c r="L48" s="89" t="s">
        <v>289</v>
      </c>
      <c r="M48" s="88" t="n">
        <v>0.0783</v>
      </c>
      <c r="N48" s="88" t="n">
        <v>0.4191</v>
      </c>
      <c r="O48" s="88" t="n">
        <v>2.149</v>
      </c>
      <c r="P48" s="88" t="n">
        <v>0.434</v>
      </c>
      <c r="Q48" s="88" t="n">
        <v>3.128</v>
      </c>
      <c r="R48" s="88" t="n">
        <v>1.551</v>
      </c>
      <c r="S48" s="89" t="s">
        <v>290</v>
      </c>
      <c r="T48" s="89" t="s">
        <v>220</v>
      </c>
      <c r="U48" s="89" t="s">
        <v>221</v>
      </c>
      <c r="V48" s="90"/>
      <c r="W48" s="89" t="s">
        <v>291</v>
      </c>
      <c r="X48" s="89"/>
      <c r="Y48" s="89" t="n">
        <v>27.5719444444444</v>
      </c>
      <c r="Z48" s="89" t="n">
        <v>15</v>
      </c>
      <c r="AA48" s="89"/>
      <c r="AB48" s="88"/>
      <c r="AC48" s="91"/>
    </row>
    <row r="49" customFormat="false" ht="15" hidden="false" customHeight="false" outlineLevel="0" collapsed="false">
      <c r="A49" s="68" t="e">
        <f aca="false">VLOOKUP(E49,'[1]Listas Desplegables'!$H$3:$J$7,2,FALSE())</f>
        <v>#N/A</v>
      </c>
      <c r="B49" s="68" t="e">
        <f aca="false">VLOOKUP(E49,'[1]Listas Desplegables'!$H$3:$J$7,3,FALSE())</f>
        <v>#N/A</v>
      </c>
      <c r="C49" s="85" t="n">
        <v>44</v>
      </c>
      <c r="D49" s="94" t="s">
        <v>319</v>
      </c>
      <c r="E49" s="94" t="s">
        <v>247</v>
      </c>
      <c r="F49" s="94" t="s">
        <v>295</v>
      </c>
      <c r="G49" s="87" t="n">
        <v>34.5</v>
      </c>
      <c r="H49" s="88" t="n">
        <v>2</v>
      </c>
      <c r="I49" s="88" t="n">
        <v>579</v>
      </c>
      <c r="J49" s="88" t="n">
        <v>636.9</v>
      </c>
      <c r="K49" s="88" t="n">
        <v>636.9</v>
      </c>
      <c r="L49" s="89" t="s">
        <v>218</v>
      </c>
      <c r="M49" s="88" t="n">
        <v>0.1282</v>
      </c>
      <c r="N49" s="88" t="n">
        <v>0.4193</v>
      </c>
      <c r="O49" s="88" t="n">
        <v>2.1</v>
      </c>
      <c r="P49" s="88" t="n">
        <v>0.484</v>
      </c>
      <c r="Q49" s="88" t="n">
        <v>3.128</v>
      </c>
      <c r="R49" s="88" t="n">
        <v>1.68</v>
      </c>
      <c r="S49" s="89" t="s">
        <v>290</v>
      </c>
      <c r="T49" s="89" t="s">
        <v>220</v>
      </c>
      <c r="U49" s="89" t="s">
        <v>221</v>
      </c>
      <c r="V49" s="90"/>
      <c r="W49" s="89" t="s">
        <v>291</v>
      </c>
      <c r="X49" s="89"/>
      <c r="Y49" s="89" t="n">
        <v>160.944444444444</v>
      </c>
      <c r="Z49" s="89" t="n">
        <v>36</v>
      </c>
      <c r="AA49" s="89"/>
      <c r="AB49" s="88"/>
      <c r="AC49" s="91"/>
    </row>
    <row r="50" customFormat="false" ht="15" hidden="false" customHeight="false" outlineLevel="0" collapsed="false">
      <c r="A50" s="68" t="e">
        <f aca="false">VLOOKUP(E50,'[1]Listas Desplegables'!$H$3:$J$7,2,FALSE())</f>
        <v>#N/A</v>
      </c>
      <c r="B50" s="68" t="e">
        <f aca="false">VLOOKUP(E50,'[1]Listas Desplegables'!$H$3:$J$7,3,FALSE())</f>
        <v>#N/A</v>
      </c>
      <c r="C50" s="85" t="n">
        <v>45</v>
      </c>
      <c r="D50" s="94" t="s">
        <v>320</v>
      </c>
      <c r="E50" s="94" t="s">
        <v>247</v>
      </c>
      <c r="F50" s="94" t="s">
        <v>295</v>
      </c>
      <c r="G50" s="87" t="n">
        <v>34.5</v>
      </c>
      <c r="H50" s="88" t="n">
        <v>2</v>
      </c>
      <c r="I50" s="88" t="n">
        <v>579</v>
      </c>
      <c r="J50" s="88" t="n">
        <v>636.9</v>
      </c>
      <c r="K50" s="88" t="n">
        <v>636.9</v>
      </c>
      <c r="L50" s="89" t="s">
        <v>218</v>
      </c>
      <c r="M50" s="88" t="n">
        <v>0.1282</v>
      </c>
      <c r="N50" s="88" t="n">
        <v>0.4193</v>
      </c>
      <c r="O50" s="88" t="n">
        <v>2.1</v>
      </c>
      <c r="P50" s="88" t="n">
        <v>0.484</v>
      </c>
      <c r="Q50" s="88" t="n">
        <v>3.128</v>
      </c>
      <c r="R50" s="88" t="n">
        <v>1.68</v>
      </c>
      <c r="S50" s="89" t="s">
        <v>290</v>
      </c>
      <c r="T50" s="89" t="s">
        <v>220</v>
      </c>
      <c r="U50" s="89" t="s">
        <v>221</v>
      </c>
      <c r="V50" s="90"/>
      <c r="W50" s="89" t="s">
        <v>291</v>
      </c>
      <c r="X50" s="89"/>
      <c r="Y50" s="89" t="n">
        <v>177.005833333333</v>
      </c>
      <c r="Z50" s="89" t="n">
        <v>53</v>
      </c>
      <c r="AA50" s="89"/>
      <c r="AB50" s="88"/>
      <c r="AC50" s="91"/>
    </row>
    <row r="51" customFormat="false" ht="15" hidden="false" customHeight="false" outlineLevel="0" collapsed="false">
      <c r="A51" s="68" t="e">
        <f aca="false">VLOOKUP(E51,'[1]Listas Desplegables'!$H$3:$J$7,2,FALSE())</f>
        <v>#N/A</v>
      </c>
      <c r="B51" s="68" t="e">
        <f aca="false">VLOOKUP(E51,'[1]Listas Desplegables'!$H$3:$J$7,3,FALSE())</f>
        <v>#N/A</v>
      </c>
      <c r="C51" s="85" t="n">
        <v>46</v>
      </c>
      <c r="D51" s="94" t="s">
        <v>321</v>
      </c>
      <c r="E51" s="94" t="s">
        <v>247</v>
      </c>
      <c r="F51" s="94" t="s">
        <v>322</v>
      </c>
      <c r="G51" s="87" t="n">
        <v>34.5</v>
      </c>
      <c r="H51" s="88" t="n">
        <v>13.2</v>
      </c>
      <c r="I51" s="88" t="n">
        <v>426</v>
      </c>
      <c r="J51" s="88" t="n">
        <v>468.6</v>
      </c>
      <c r="K51" s="88" t="n">
        <v>468.6</v>
      </c>
      <c r="L51" s="89" t="s">
        <v>218</v>
      </c>
      <c r="M51" s="88" t="n">
        <v>0.117</v>
      </c>
      <c r="N51" s="88" t="n">
        <v>0.3659096</v>
      </c>
      <c r="O51" s="88" t="n">
        <v>4.516404</v>
      </c>
      <c r="P51" s="88" t="n">
        <v>0.2946529</v>
      </c>
      <c r="Q51" s="88" t="n">
        <v>1.524566</v>
      </c>
      <c r="R51" s="88" t="n">
        <v>1.519227</v>
      </c>
      <c r="S51" s="89" t="s">
        <v>290</v>
      </c>
      <c r="T51" s="89" t="s">
        <v>220</v>
      </c>
      <c r="U51" s="89" t="s">
        <v>221</v>
      </c>
      <c r="V51" s="90"/>
      <c r="W51" s="89" t="s">
        <v>323</v>
      </c>
      <c r="X51" s="89"/>
      <c r="Y51" s="89" t="n">
        <v>112.0725</v>
      </c>
      <c r="Z51" s="89" t="n">
        <v>41</v>
      </c>
      <c r="AA51" s="89"/>
      <c r="AB51" s="88"/>
      <c r="AC51" s="91"/>
    </row>
    <row r="52" customFormat="false" ht="15" hidden="false" customHeight="false" outlineLevel="0" collapsed="false">
      <c r="A52" s="68" t="e">
        <f aca="false">VLOOKUP(E52,'[1]Listas Desplegables'!$H$3:$J$7,2,FALSE())</f>
        <v>#N/A</v>
      </c>
      <c r="B52" s="68" t="e">
        <f aca="false">VLOOKUP(E52,'[1]Listas Desplegables'!$H$3:$J$7,3,FALSE())</f>
        <v>#N/A</v>
      </c>
      <c r="C52" s="85" t="n">
        <v>47</v>
      </c>
      <c r="D52" s="94" t="s">
        <v>324</v>
      </c>
      <c r="E52" s="94" t="s">
        <v>231</v>
      </c>
      <c r="F52" s="94" t="s">
        <v>325</v>
      </c>
      <c r="G52" s="87" t="n">
        <v>34.5</v>
      </c>
      <c r="H52" s="88" t="n">
        <v>8</v>
      </c>
      <c r="I52" s="88" t="n">
        <v>360</v>
      </c>
      <c r="J52" s="88" t="n">
        <v>577</v>
      </c>
      <c r="K52" s="88" t="n">
        <v>400</v>
      </c>
      <c r="L52" s="89" t="s">
        <v>253</v>
      </c>
      <c r="M52" s="88" t="n">
        <v>0.117</v>
      </c>
      <c r="N52" s="88" t="n">
        <v>0.3659096</v>
      </c>
      <c r="O52" s="88" t="n">
        <v>4.516404</v>
      </c>
      <c r="P52" s="88" t="n">
        <v>0.2946529</v>
      </c>
      <c r="Q52" s="88" t="n">
        <v>1.524566</v>
      </c>
      <c r="R52" s="88" t="n">
        <v>1.519227</v>
      </c>
      <c r="S52" s="89" t="s">
        <v>290</v>
      </c>
      <c r="T52" s="89" t="s">
        <v>220</v>
      </c>
      <c r="U52" s="89" t="s">
        <v>221</v>
      </c>
      <c r="V52" s="90"/>
      <c r="W52" s="89" t="s">
        <v>270</v>
      </c>
      <c r="X52" s="89"/>
      <c r="Y52" s="89" t="n">
        <v>55.1541666666667</v>
      </c>
      <c r="Z52" s="89" t="n">
        <v>26</v>
      </c>
      <c r="AA52" s="89"/>
      <c r="AB52" s="88"/>
      <c r="AC52" s="91"/>
    </row>
    <row r="53" customFormat="false" ht="15" hidden="false" customHeight="false" outlineLevel="0" collapsed="false">
      <c r="A53" s="68" t="e">
        <f aca="false">VLOOKUP(E53,'[1]Listas Desplegables'!$H$3:$J$7,2,FALSE())</f>
        <v>#N/A</v>
      </c>
      <c r="B53" s="68" t="e">
        <f aca="false">VLOOKUP(E53,'[1]Listas Desplegables'!$H$3:$J$7,3,FALSE())</f>
        <v>#N/A</v>
      </c>
      <c r="C53" s="85" t="n">
        <v>48</v>
      </c>
      <c r="D53" s="94" t="s">
        <v>326</v>
      </c>
      <c r="E53" s="94" t="s">
        <v>327</v>
      </c>
      <c r="F53" s="94" t="s">
        <v>328</v>
      </c>
      <c r="G53" s="87" t="n">
        <v>34.5</v>
      </c>
      <c r="H53" s="88" t="n">
        <v>20.5</v>
      </c>
      <c r="I53" s="88" t="n">
        <v>300</v>
      </c>
      <c r="J53" s="88" t="n">
        <v>330</v>
      </c>
      <c r="K53" s="88" t="n">
        <v>330</v>
      </c>
      <c r="L53" s="89" t="s">
        <v>253</v>
      </c>
      <c r="M53" s="88" t="n">
        <v>0.161</v>
      </c>
      <c r="N53" s="88" t="n">
        <v>0.5006</v>
      </c>
      <c r="O53" s="88" t="n">
        <v>3.30579</v>
      </c>
      <c r="P53" s="88" t="n">
        <v>0.6856</v>
      </c>
      <c r="Q53" s="88" t="n">
        <v>1.351023</v>
      </c>
      <c r="R53" s="88" t="n">
        <v>2.624</v>
      </c>
      <c r="S53" s="89" t="s">
        <v>290</v>
      </c>
      <c r="T53" s="89" t="s">
        <v>220</v>
      </c>
      <c r="U53" s="89" t="s">
        <v>221</v>
      </c>
      <c r="V53" s="90"/>
      <c r="W53" s="89" t="s">
        <v>329</v>
      </c>
      <c r="X53" s="89"/>
      <c r="Y53" s="89" t="n">
        <v>57.1630555555556</v>
      </c>
      <c r="Z53" s="89" t="n">
        <v>84</v>
      </c>
      <c r="AA53" s="89"/>
      <c r="AB53" s="88"/>
      <c r="AC53" s="91"/>
    </row>
    <row r="54" customFormat="false" ht="15" hidden="false" customHeight="false" outlineLevel="0" collapsed="false">
      <c r="A54" s="68" t="e">
        <f aca="false">VLOOKUP(E54,'[1]Listas Desplegables'!$H$3:$J$7,2,FALSE())</f>
        <v>#N/A</v>
      </c>
      <c r="B54" s="68" t="e">
        <f aca="false">VLOOKUP(E54,'[1]Listas Desplegables'!$H$3:$J$7,3,FALSE())</f>
        <v>#N/A</v>
      </c>
      <c r="C54" s="85" t="n">
        <v>49</v>
      </c>
      <c r="D54" s="94" t="s">
        <v>330</v>
      </c>
      <c r="E54" s="94" t="s">
        <v>331</v>
      </c>
      <c r="F54" s="94" t="s">
        <v>332</v>
      </c>
      <c r="G54" s="87" t="n">
        <v>34.5</v>
      </c>
      <c r="H54" s="88" t="n">
        <v>17.8</v>
      </c>
      <c r="I54" s="88" t="n">
        <v>144</v>
      </c>
      <c r="J54" s="88" t="n">
        <v>152</v>
      </c>
      <c r="K54" s="88" t="n">
        <v>152</v>
      </c>
      <c r="L54" s="89" t="s">
        <v>289</v>
      </c>
      <c r="M54" s="88" t="n">
        <v>0.2080036</v>
      </c>
      <c r="N54" s="88" t="n">
        <v>0.3943662</v>
      </c>
      <c r="O54" s="88" t="n">
        <v>4.297874</v>
      </c>
      <c r="P54" s="88" t="n">
        <v>0.3678517</v>
      </c>
      <c r="Q54" s="88" t="n">
        <v>1.55367</v>
      </c>
      <c r="R54" s="88" t="n">
        <v>1.567685</v>
      </c>
      <c r="S54" s="89" t="s">
        <v>290</v>
      </c>
      <c r="T54" s="89" t="s">
        <v>220</v>
      </c>
      <c r="U54" s="89" t="s">
        <v>221</v>
      </c>
      <c r="V54" s="90"/>
      <c r="W54" s="89" t="s">
        <v>232</v>
      </c>
      <c r="X54" s="89"/>
      <c r="Y54" s="89" t="n">
        <v>211.955277777778</v>
      </c>
      <c r="Z54" s="89" t="n">
        <v>73</v>
      </c>
      <c r="AA54" s="89"/>
      <c r="AB54" s="88"/>
      <c r="AC54" s="91"/>
    </row>
    <row r="55" customFormat="false" ht="15" hidden="false" customHeight="false" outlineLevel="0" collapsed="false">
      <c r="A55" s="68" t="e">
        <f aca="false">VLOOKUP(E55,'[1]Listas Desplegables'!$H$3:$J$7,2,FALSE())</f>
        <v>#N/A</v>
      </c>
      <c r="B55" s="68" t="e">
        <f aca="false">VLOOKUP(E55,'[1]Listas Desplegables'!$H$3:$J$7,3,FALSE())</f>
        <v>#N/A</v>
      </c>
      <c r="C55" s="85" t="n">
        <v>50</v>
      </c>
      <c r="D55" s="94" t="s">
        <v>333</v>
      </c>
      <c r="E55" s="94" t="s">
        <v>252</v>
      </c>
      <c r="F55" s="94" t="s">
        <v>334</v>
      </c>
      <c r="G55" s="87" t="n">
        <v>34.5</v>
      </c>
      <c r="H55" s="88" t="n">
        <v>26</v>
      </c>
      <c r="I55" s="88" t="n">
        <v>324</v>
      </c>
      <c r="J55" s="88" t="n">
        <v>392</v>
      </c>
      <c r="K55" s="88" t="n">
        <v>342</v>
      </c>
      <c r="L55" s="89" t="s">
        <v>218</v>
      </c>
      <c r="M55" s="88" t="n">
        <v>0.165</v>
      </c>
      <c r="N55" s="88" t="n">
        <v>0.3856644</v>
      </c>
      <c r="O55" s="88" t="n">
        <v>4.405156</v>
      </c>
      <c r="P55" s="88" t="n">
        <v>0.3426529</v>
      </c>
      <c r="Q55" s="88" t="n">
        <v>1.524616</v>
      </c>
      <c r="R55" s="88" t="n">
        <v>1.581516</v>
      </c>
      <c r="S55" s="89" t="s">
        <v>290</v>
      </c>
      <c r="T55" s="89" t="s">
        <v>220</v>
      </c>
      <c r="U55" s="89" t="s">
        <v>221</v>
      </c>
      <c r="V55" s="90"/>
      <c r="W55" s="89" t="s">
        <v>281</v>
      </c>
      <c r="X55" s="89"/>
      <c r="Y55" s="89" t="n">
        <v>51.7072222222222</v>
      </c>
      <c r="Z55" s="89" t="n">
        <v>47</v>
      </c>
      <c r="AA55" s="89"/>
      <c r="AB55" s="88"/>
      <c r="AC55" s="91"/>
    </row>
    <row r="56" customFormat="false" ht="15" hidden="false" customHeight="false" outlineLevel="0" collapsed="false">
      <c r="A56" s="68" t="e">
        <f aca="false">VLOOKUP(E56,'[1]Listas Desplegables'!$H$3:$J$7,2,FALSE())</f>
        <v>#N/A</v>
      </c>
      <c r="B56" s="68" t="e">
        <f aca="false">VLOOKUP(E56,'[1]Listas Desplegables'!$H$3:$J$7,3,FALSE())</f>
        <v>#N/A</v>
      </c>
      <c r="C56" s="85" t="n">
        <v>51</v>
      </c>
      <c r="D56" s="94" t="s">
        <v>335</v>
      </c>
      <c r="E56" s="94" t="s">
        <v>336</v>
      </c>
      <c r="F56" s="94" t="s">
        <v>337</v>
      </c>
      <c r="G56" s="87" t="n">
        <v>34.5</v>
      </c>
      <c r="H56" s="88" t="n">
        <v>6</v>
      </c>
      <c r="I56" s="88" t="n">
        <v>427</v>
      </c>
      <c r="J56" s="88" t="n">
        <v>427</v>
      </c>
      <c r="K56" s="88" t="n">
        <v>470</v>
      </c>
      <c r="L56" s="89" t="s">
        <v>218</v>
      </c>
      <c r="M56" s="88" t="n">
        <v>0.2308013</v>
      </c>
      <c r="N56" s="88" t="n">
        <v>0.3943556</v>
      </c>
      <c r="O56" s="88" t="n">
        <v>4.297874</v>
      </c>
      <c r="P56" s="88" t="n">
        <v>0.4052405</v>
      </c>
      <c r="Q56" s="88" t="n">
        <v>1.953836</v>
      </c>
      <c r="R56" s="88" t="n">
        <v>1.567685</v>
      </c>
      <c r="S56" s="89" t="s">
        <v>290</v>
      </c>
      <c r="T56" s="89" t="s">
        <v>220</v>
      </c>
      <c r="U56" s="89" t="s">
        <v>221</v>
      </c>
      <c r="V56" s="90"/>
      <c r="W56" s="89" t="s">
        <v>338</v>
      </c>
      <c r="X56" s="89"/>
      <c r="Y56" s="89" t="n">
        <v>0</v>
      </c>
      <c r="Z56" s="89" t="n">
        <v>0</v>
      </c>
      <c r="AA56" s="89"/>
      <c r="AB56" s="88"/>
      <c r="AC56" s="91"/>
    </row>
    <row r="57" customFormat="false" ht="15" hidden="false" customHeight="false" outlineLevel="0" collapsed="false">
      <c r="A57" s="68" t="e">
        <f aca="false">VLOOKUP(E57,'[1]Listas Desplegables'!$H$3:$J$7,2,FALSE())</f>
        <v>#N/A</v>
      </c>
      <c r="B57" s="68" t="e">
        <f aca="false">VLOOKUP(E57,'[1]Listas Desplegables'!$H$3:$J$7,3,FALSE())</f>
        <v>#N/A</v>
      </c>
      <c r="C57" s="85" t="n">
        <v>52</v>
      </c>
      <c r="D57" s="94" t="s">
        <v>339</v>
      </c>
      <c r="E57" s="94" t="s">
        <v>259</v>
      </c>
      <c r="F57" s="94" t="s">
        <v>327</v>
      </c>
      <c r="G57" s="87" t="n">
        <v>34.5</v>
      </c>
      <c r="H57" s="88" t="n">
        <v>10.5</v>
      </c>
      <c r="I57" s="88" t="n">
        <v>400</v>
      </c>
      <c r="J57" s="88" t="n">
        <v>434</v>
      </c>
      <c r="K57" s="88" t="n">
        <v>440</v>
      </c>
      <c r="L57" s="89" t="s">
        <v>218</v>
      </c>
      <c r="M57" s="88" t="n">
        <v>0.33138</v>
      </c>
      <c r="N57" s="88" t="n">
        <v>0.46189</v>
      </c>
      <c r="O57" s="88" t="n">
        <v>4.63536</v>
      </c>
      <c r="P57" s="88" t="n">
        <v>0.6561</v>
      </c>
      <c r="Q57" s="88" t="n">
        <v>1.5842</v>
      </c>
      <c r="R57" s="88" t="n">
        <v>1.1202</v>
      </c>
      <c r="S57" s="89" t="s">
        <v>290</v>
      </c>
      <c r="T57" s="89" t="s">
        <v>220</v>
      </c>
      <c r="U57" s="89" t="s">
        <v>221</v>
      </c>
      <c r="V57" s="90"/>
      <c r="W57" s="89" t="s">
        <v>340</v>
      </c>
      <c r="X57" s="89"/>
      <c r="Y57" s="89" t="n">
        <v>11.11</v>
      </c>
      <c r="Z57" s="89" t="n">
        <v>5</v>
      </c>
      <c r="AA57" s="89"/>
      <c r="AB57" s="88"/>
      <c r="AC57" s="91"/>
    </row>
    <row r="58" customFormat="false" ht="15" hidden="false" customHeight="false" outlineLevel="0" collapsed="false">
      <c r="A58" s="68" t="e">
        <f aca="false">VLOOKUP(E58,'[1]Listas Desplegables'!$H$3:$J$7,2,FALSE())</f>
        <v>#N/A</v>
      </c>
      <c r="B58" s="68" t="e">
        <f aca="false">VLOOKUP(E58,'[1]Listas Desplegables'!$H$3:$J$7,3,FALSE())</f>
        <v>#N/A</v>
      </c>
      <c r="C58" s="85" t="n">
        <v>53</v>
      </c>
      <c r="D58" s="94" t="s">
        <v>341</v>
      </c>
      <c r="E58" s="94" t="s">
        <v>342</v>
      </c>
      <c r="F58" s="94" t="s">
        <v>343</v>
      </c>
      <c r="G58" s="87" t="n">
        <v>34.5</v>
      </c>
      <c r="H58" s="88" t="n">
        <v>24</v>
      </c>
      <c r="I58" s="88" t="n">
        <v>360</v>
      </c>
      <c r="J58" s="88" t="n">
        <v>427</v>
      </c>
      <c r="K58" s="88" t="n">
        <v>380</v>
      </c>
      <c r="L58" s="89" t="s">
        <v>253</v>
      </c>
      <c r="M58" s="88" t="n">
        <v>0.1012</v>
      </c>
      <c r="N58" s="88" t="n">
        <v>0.40539</v>
      </c>
      <c r="O58" s="88" t="n">
        <v>4.0583</v>
      </c>
      <c r="P58" s="88" t="n">
        <v>0.30845</v>
      </c>
      <c r="Q58" s="88" t="n">
        <v>1.85072</v>
      </c>
      <c r="R58" s="88" t="n">
        <v>1.5662</v>
      </c>
      <c r="S58" s="89" t="s">
        <v>290</v>
      </c>
      <c r="T58" s="89" t="s">
        <v>220</v>
      </c>
      <c r="U58" s="89" t="s">
        <v>221</v>
      </c>
      <c r="V58" s="90"/>
      <c r="W58" s="89" t="s">
        <v>338</v>
      </c>
      <c r="X58" s="89"/>
      <c r="Y58" s="89" t="n">
        <v>81.4333333333334</v>
      </c>
      <c r="Z58" s="89" t="n">
        <v>66</v>
      </c>
      <c r="AA58" s="89"/>
      <c r="AB58" s="88"/>
      <c r="AC58" s="91"/>
    </row>
    <row r="59" customFormat="false" ht="15" hidden="false" customHeight="false" outlineLevel="0" collapsed="false">
      <c r="A59" s="68" t="e">
        <f aca="false">VLOOKUP(E59,'[1]Listas Desplegables'!$H$3:$J$7,2,FALSE())</f>
        <v>#N/A</v>
      </c>
      <c r="B59" s="68" t="e">
        <f aca="false">VLOOKUP(E59,'[1]Listas Desplegables'!$H$3:$J$7,3,FALSE())</f>
        <v>#N/A</v>
      </c>
      <c r="C59" s="85" t="n">
        <v>54</v>
      </c>
      <c r="D59" s="94" t="s">
        <v>344</v>
      </c>
      <c r="E59" s="94" t="s">
        <v>343</v>
      </c>
      <c r="F59" s="94" t="s">
        <v>345</v>
      </c>
      <c r="G59" s="87" t="n">
        <v>34.5</v>
      </c>
      <c r="H59" s="88" t="n">
        <v>24</v>
      </c>
      <c r="I59" s="88" t="n">
        <v>240</v>
      </c>
      <c r="J59" s="88" t="n">
        <v>243</v>
      </c>
      <c r="K59" s="88" t="n">
        <v>264</v>
      </c>
      <c r="L59" s="89" t="s">
        <v>218</v>
      </c>
      <c r="M59" s="88" t="n">
        <v>0.23058</v>
      </c>
      <c r="N59" s="88" t="n">
        <v>0.42061</v>
      </c>
      <c r="O59" s="88" t="n">
        <v>3.9059</v>
      </c>
      <c r="P59" s="88" t="n">
        <v>0.40845</v>
      </c>
      <c r="Q59" s="88" t="n">
        <v>1.82028</v>
      </c>
      <c r="R59" s="88" t="n">
        <v>1.6716</v>
      </c>
      <c r="S59" s="89" t="s">
        <v>290</v>
      </c>
      <c r="T59" s="89" t="s">
        <v>220</v>
      </c>
      <c r="U59" s="89" t="s">
        <v>221</v>
      </c>
      <c r="V59" s="90"/>
      <c r="W59" s="89" t="s">
        <v>346</v>
      </c>
      <c r="X59" s="89"/>
      <c r="Y59" s="89" t="n">
        <v>63.3644444444445</v>
      </c>
      <c r="Z59" s="89" t="n">
        <v>40</v>
      </c>
      <c r="AA59" s="89"/>
      <c r="AB59" s="88"/>
      <c r="AC59" s="91"/>
    </row>
    <row r="60" customFormat="false" ht="15" hidden="false" customHeight="false" outlineLevel="0" collapsed="false">
      <c r="A60" s="68" t="e">
        <f aca="false">VLOOKUP(E60,'[1]Listas Desplegables'!$H$3:$J$7,2,FALSE())</f>
        <v>#N/A</v>
      </c>
      <c r="B60" s="68" t="e">
        <f aca="false">VLOOKUP(E60,'[1]Listas Desplegables'!$H$3:$J$7,3,FALSE())</f>
        <v>#N/A</v>
      </c>
      <c r="C60" s="85" t="n">
        <v>55</v>
      </c>
      <c r="D60" s="94" t="s">
        <v>347</v>
      </c>
      <c r="E60" s="94" t="s">
        <v>348</v>
      </c>
      <c r="F60" s="94" t="s">
        <v>331</v>
      </c>
      <c r="G60" s="87" t="n">
        <v>34.5</v>
      </c>
      <c r="H60" s="88" t="n">
        <v>29</v>
      </c>
      <c r="I60" s="88" t="n">
        <v>300</v>
      </c>
      <c r="J60" s="88" t="n">
        <v>454</v>
      </c>
      <c r="K60" s="88" t="n">
        <v>330</v>
      </c>
      <c r="L60" s="89" t="s">
        <v>253</v>
      </c>
      <c r="M60" s="88" t="n">
        <v>0.1797</v>
      </c>
      <c r="N60" s="88" t="n">
        <v>0.4206</v>
      </c>
      <c r="O60" s="88" t="n">
        <v>4.1151</v>
      </c>
      <c r="P60" s="88" t="n">
        <v>0.3576</v>
      </c>
      <c r="Q60" s="88" t="n">
        <v>1.8195</v>
      </c>
      <c r="R60" s="88" t="n">
        <v>1.3717</v>
      </c>
      <c r="S60" s="89" t="s">
        <v>290</v>
      </c>
      <c r="T60" s="89" t="s">
        <v>220</v>
      </c>
      <c r="U60" s="89" t="s">
        <v>221</v>
      </c>
      <c r="V60" s="90"/>
      <c r="W60" s="89" t="s">
        <v>270</v>
      </c>
      <c r="X60" s="89"/>
      <c r="Y60" s="89" t="n">
        <v>184.693611111111</v>
      </c>
      <c r="Z60" s="89" t="n">
        <v>85</v>
      </c>
      <c r="AA60" s="89"/>
      <c r="AB60" s="88"/>
      <c r="AC60" s="91"/>
    </row>
    <row r="61" customFormat="false" ht="15" hidden="false" customHeight="false" outlineLevel="0" collapsed="false">
      <c r="A61" s="68" t="e">
        <f aca="false">VLOOKUP(E61,'[1]Listas Desplegables'!$H$3:$J$7,2,FALSE())</f>
        <v>#N/A</v>
      </c>
      <c r="B61" s="68" t="e">
        <f aca="false">VLOOKUP(E61,'[1]Listas Desplegables'!$H$3:$J$7,3,FALSE())</f>
        <v>#N/A</v>
      </c>
      <c r="C61" s="85" t="n">
        <v>56</v>
      </c>
      <c r="D61" s="94" t="s">
        <v>349</v>
      </c>
      <c r="E61" s="94" t="s">
        <v>267</v>
      </c>
      <c r="F61" s="94" t="s">
        <v>348</v>
      </c>
      <c r="G61" s="87" t="n">
        <v>34.5</v>
      </c>
      <c r="H61" s="88" t="n">
        <v>35</v>
      </c>
      <c r="I61" s="88" t="n">
        <v>300</v>
      </c>
      <c r="J61" s="88" t="n">
        <v>454</v>
      </c>
      <c r="K61" s="88" t="n">
        <v>330</v>
      </c>
      <c r="L61" s="89" t="s">
        <v>253</v>
      </c>
      <c r="M61" s="88" t="n">
        <v>0.1797</v>
      </c>
      <c r="N61" s="88" t="n">
        <v>0.4206</v>
      </c>
      <c r="O61" s="88" t="n">
        <v>4.1151</v>
      </c>
      <c r="P61" s="88" t="n">
        <v>0.3576</v>
      </c>
      <c r="Q61" s="88" t="n">
        <v>1.8195</v>
      </c>
      <c r="R61" s="88" t="n">
        <v>1.3717</v>
      </c>
      <c r="S61" s="89" t="s">
        <v>290</v>
      </c>
      <c r="T61" s="89" t="s">
        <v>220</v>
      </c>
      <c r="U61" s="89" t="s">
        <v>221</v>
      </c>
      <c r="V61" s="90"/>
      <c r="W61" s="89" t="s">
        <v>270</v>
      </c>
      <c r="X61" s="89"/>
      <c r="Y61" s="89" t="n">
        <v>184.693611111111</v>
      </c>
      <c r="Z61" s="89" t="n">
        <v>85</v>
      </c>
      <c r="AA61" s="89"/>
      <c r="AB61" s="88"/>
      <c r="AC61" s="91"/>
    </row>
    <row r="62" customFormat="false" ht="15" hidden="false" customHeight="false" outlineLevel="0" collapsed="false">
      <c r="A62" s="68" t="e">
        <f aca="false">VLOOKUP(E62,'[1]Listas Desplegables'!$H$3:$J$7,2,FALSE())</f>
        <v>#N/A</v>
      </c>
      <c r="B62" s="68" t="e">
        <f aca="false">VLOOKUP(E62,'[1]Listas Desplegables'!$H$3:$J$7,3,FALSE())</f>
        <v>#N/A</v>
      </c>
      <c r="C62" s="85" t="n">
        <v>57</v>
      </c>
      <c r="D62" s="94" t="s">
        <v>350</v>
      </c>
      <c r="E62" s="94" t="s">
        <v>258</v>
      </c>
      <c r="F62" s="94" t="s">
        <v>351</v>
      </c>
      <c r="G62" s="87" t="n">
        <v>34.5</v>
      </c>
      <c r="H62" s="88" t="n">
        <v>15</v>
      </c>
      <c r="I62" s="88" t="n">
        <v>334</v>
      </c>
      <c r="J62" s="88" t="n">
        <v>334</v>
      </c>
      <c r="K62" s="88" t="n">
        <v>367</v>
      </c>
      <c r="L62" s="89" t="s">
        <v>218</v>
      </c>
      <c r="M62" s="88" t="n">
        <v>0.2264</v>
      </c>
      <c r="N62" s="88" t="n">
        <v>0.3964</v>
      </c>
      <c r="O62" s="88" t="n">
        <v>4.2505</v>
      </c>
      <c r="P62" s="88" t="n">
        <v>0.57344</v>
      </c>
      <c r="Q62" s="88" t="n">
        <v>1.79344</v>
      </c>
      <c r="R62" s="88" t="n">
        <v>1.5718</v>
      </c>
      <c r="S62" s="89" t="s">
        <v>290</v>
      </c>
      <c r="T62" s="89" t="s">
        <v>220</v>
      </c>
      <c r="U62" s="89" t="s">
        <v>221</v>
      </c>
      <c r="V62" s="90"/>
      <c r="W62" s="89" t="s">
        <v>352</v>
      </c>
      <c r="X62" s="89"/>
      <c r="Y62" s="89" t="n">
        <v>154.828611111111</v>
      </c>
      <c r="Z62" s="89" t="n">
        <v>262</v>
      </c>
      <c r="AA62" s="89"/>
      <c r="AB62" s="88"/>
      <c r="AC62" s="91" t="s">
        <v>353</v>
      </c>
    </row>
    <row r="63" customFormat="false" ht="15" hidden="false" customHeight="false" outlineLevel="0" collapsed="false">
      <c r="A63" s="68" t="e">
        <f aca="false">VLOOKUP(E63,'[1]Listas Desplegables'!$H$3:$J$7,2,FALSE())</f>
        <v>#N/A</v>
      </c>
      <c r="B63" s="68" t="e">
        <f aca="false">VLOOKUP(E63,'[1]Listas Desplegables'!$H$3:$J$7,3,FALSE())</f>
        <v>#N/A</v>
      </c>
      <c r="C63" s="85" t="n">
        <v>58</v>
      </c>
      <c r="D63" s="94" t="s">
        <v>354</v>
      </c>
      <c r="E63" s="94" t="s">
        <v>355</v>
      </c>
      <c r="F63" s="94" t="s">
        <v>356</v>
      </c>
      <c r="G63" s="87" t="n">
        <v>34.5</v>
      </c>
      <c r="H63" s="88" t="n">
        <v>12</v>
      </c>
      <c r="I63" s="88" t="n">
        <v>300</v>
      </c>
      <c r="J63" s="88" t="n">
        <v>300</v>
      </c>
      <c r="K63" s="88" t="n">
        <v>330</v>
      </c>
      <c r="L63" s="89" t="s">
        <v>218</v>
      </c>
      <c r="M63" s="88" t="n">
        <v>0.3314102</v>
      </c>
      <c r="N63" s="88" t="n">
        <v>0.4619658</v>
      </c>
      <c r="O63" s="88" t="n">
        <v>3.938248</v>
      </c>
      <c r="P63" s="88" t="n">
        <v>0.6561</v>
      </c>
      <c r="Q63" s="88" t="n">
        <v>1.5842</v>
      </c>
      <c r="R63" s="88" t="n">
        <v>1.1202</v>
      </c>
      <c r="S63" s="89" t="s">
        <v>290</v>
      </c>
      <c r="T63" s="89" t="s">
        <v>220</v>
      </c>
      <c r="U63" s="89" t="s">
        <v>221</v>
      </c>
      <c r="V63" s="90"/>
      <c r="W63" s="89" t="s">
        <v>352</v>
      </c>
      <c r="X63" s="89"/>
      <c r="Y63" s="89" t="n">
        <v>138.760277777778</v>
      </c>
      <c r="Z63" s="89" t="n">
        <v>142</v>
      </c>
      <c r="AA63" s="89"/>
      <c r="AB63" s="88"/>
      <c r="AC63" s="91" t="s">
        <v>357</v>
      </c>
    </row>
    <row r="64" customFormat="false" ht="15" hidden="false" customHeight="false" outlineLevel="0" collapsed="false">
      <c r="A64" s="68" t="e">
        <f aca="false">VLOOKUP(E64,'[1]Listas Desplegables'!$H$3:$J$7,2,FALSE())</f>
        <v>#N/A</v>
      </c>
      <c r="B64" s="68" t="e">
        <f aca="false">VLOOKUP(E64,'[1]Listas Desplegables'!$H$3:$J$7,3,FALSE())</f>
        <v>#N/A</v>
      </c>
      <c r="C64" s="85" t="n">
        <v>59</v>
      </c>
      <c r="D64" s="94" t="s">
        <v>358</v>
      </c>
      <c r="E64" s="94" t="s">
        <v>359</v>
      </c>
      <c r="F64" s="94" t="s">
        <v>360</v>
      </c>
      <c r="G64" s="87" t="n">
        <v>34.5</v>
      </c>
      <c r="H64" s="88" t="n">
        <v>29</v>
      </c>
      <c r="I64" s="88" t="n">
        <v>200</v>
      </c>
      <c r="J64" s="88" t="n">
        <v>243</v>
      </c>
      <c r="K64" s="88" t="n">
        <v>220</v>
      </c>
      <c r="L64" s="89" t="s">
        <v>253</v>
      </c>
      <c r="M64" s="88" t="n">
        <v>0.33137</v>
      </c>
      <c r="N64" s="88" t="n">
        <v>0.46918</v>
      </c>
      <c r="O64" s="88" t="n">
        <v>1.787573</v>
      </c>
      <c r="P64" s="88" t="n">
        <v>0.31989</v>
      </c>
      <c r="Q64" s="88" t="n">
        <v>1.12663</v>
      </c>
      <c r="R64" s="88" t="n">
        <v>1.9487</v>
      </c>
      <c r="S64" s="89" t="s">
        <v>290</v>
      </c>
      <c r="T64" s="89" t="s">
        <v>220</v>
      </c>
      <c r="U64" s="89" t="s">
        <v>221</v>
      </c>
      <c r="V64" s="90"/>
      <c r="W64" s="89" t="s">
        <v>346</v>
      </c>
      <c r="X64" s="89"/>
      <c r="Y64" s="89" t="n">
        <v>104.775555555556</v>
      </c>
      <c r="Z64" s="89" t="n">
        <v>131</v>
      </c>
      <c r="AA64" s="89"/>
      <c r="AB64" s="88"/>
      <c r="AC64" s="91"/>
    </row>
    <row r="65" customFormat="false" ht="15" hidden="false" customHeight="false" outlineLevel="0" collapsed="false">
      <c r="A65" s="68" t="e">
        <f aca="false">VLOOKUP(E65,'[1]Listas Desplegables'!$H$3:$J$7,2,FALSE())</f>
        <v>#N/A</v>
      </c>
      <c r="B65" s="68" t="e">
        <f aca="false">VLOOKUP(E65,'[1]Listas Desplegables'!$H$3:$J$7,3,FALSE())</f>
        <v>#N/A</v>
      </c>
      <c r="C65" s="85" t="n">
        <v>60</v>
      </c>
      <c r="D65" s="94" t="s">
        <v>361</v>
      </c>
      <c r="E65" s="94" t="s">
        <v>362</v>
      </c>
      <c r="F65" s="94" t="s">
        <v>342</v>
      </c>
      <c r="G65" s="87" t="n">
        <v>34.5</v>
      </c>
      <c r="H65" s="88" t="n">
        <v>13</v>
      </c>
      <c r="I65" s="88" t="n">
        <v>163</v>
      </c>
      <c r="J65" s="88" t="n">
        <v>243</v>
      </c>
      <c r="K65" s="88" t="n">
        <v>171</v>
      </c>
      <c r="L65" s="89" t="s">
        <v>253</v>
      </c>
      <c r="M65" s="88" t="n">
        <v>0.23058</v>
      </c>
      <c r="N65" s="88" t="n">
        <v>0.42061</v>
      </c>
      <c r="O65" s="88" t="n">
        <v>3.9059</v>
      </c>
      <c r="P65" s="88" t="n">
        <v>0.40845</v>
      </c>
      <c r="Q65" s="88" t="n">
        <v>1.82028</v>
      </c>
      <c r="R65" s="88" t="n">
        <v>1.6716</v>
      </c>
      <c r="S65" s="89" t="s">
        <v>290</v>
      </c>
      <c r="T65" s="89" t="s">
        <v>220</v>
      </c>
      <c r="U65" s="89" t="s">
        <v>221</v>
      </c>
      <c r="V65" s="90"/>
      <c r="W65" s="89" t="s">
        <v>363</v>
      </c>
      <c r="X65" s="89"/>
      <c r="Y65" s="89" t="n">
        <v>141.778055555556</v>
      </c>
      <c r="Z65" s="89" t="n">
        <v>109</v>
      </c>
      <c r="AA65" s="89"/>
      <c r="AB65" s="88"/>
      <c r="AC65" s="91"/>
    </row>
    <row r="66" customFormat="false" ht="15" hidden="false" customHeight="false" outlineLevel="0" collapsed="false">
      <c r="A66" s="68" t="e">
        <f aca="false">VLOOKUP(E66,'[1]Listas Desplegables'!$H$3:$J$7,2,FALSE())</f>
        <v>#N/A</v>
      </c>
      <c r="B66" s="68" t="e">
        <f aca="false">VLOOKUP(E66,'[1]Listas Desplegables'!$H$3:$J$7,3,FALSE())</f>
        <v>#N/A</v>
      </c>
      <c r="C66" s="85" t="n">
        <v>61</v>
      </c>
      <c r="D66" s="94" t="s">
        <v>364</v>
      </c>
      <c r="E66" s="94" t="s">
        <v>252</v>
      </c>
      <c r="F66" s="94" t="s">
        <v>365</v>
      </c>
      <c r="G66" s="87" t="n">
        <v>34.5</v>
      </c>
      <c r="H66" s="88" t="n">
        <v>12</v>
      </c>
      <c r="I66" s="88" t="n">
        <v>270</v>
      </c>
      <c r="J66" s="88" t="n">
        <v>334</v>
      </c>
      <c r="K66" s="88" t="n">
        <v>285</v>
      </c>
      <c r="L66" s="89" t="s">
        <v>289</v>
      </c>
      <c r="M66" s="88" t="n">
        <v>0.63642</v>
      </c>
      <c r="N66" s="88" t="n">
        <v>0.54021</v>
      </c>
      <c r="O66" s="88" t="n">
        <v>3.5863</v>
      </c>
      <c r="P66" s="88" t="n">
        <v>0.81429</v>
      </c>
      <c r="Q66" s="88" t="n">
        <v>1.93906</v>
      </c>
      <c r="R66" s="88" t="n">
        <v>1.5927</v>
      </c>
      <c r="S66" s="89" t="s">
        <v>290</v>
      </c>
      <c r="T66" s="89" t="s">
        <v>220</v>
      </c>
      <c r="U66" s="89" t="s">
        <v>221</v>
      </c>
      <c r="V66" s="90"/>
      <c r="W66" s="89" t="s">
        <v>352</v>
      </c>
      <c r="X66" s="89"/>
      <c r="Y66" s="89" t="n">
        <v>73.8666666666667</v>
      </c>
      <c r="Z66" s="89" t="n">
        <v>49</v>
      </c>
      <c r="AA66" s="89"/>
      <c r="AB66" s="88"/>
      <c r="AC66" s="91"/>
    </row>
    <row r="67" customFormat="false" ht="15" hidden="false" customHeight="false" outlineLevel="0" collapsed="false">
      <c r="A67" s="68" t="e">
        <f aca="false">VLOOKUP(E67,'[1]Listas Desplegables'!$H$3:$J$7,2,FALSE())</f>
        <v>#N/A</v>
      </c>
      <c r="B67" s="68" t="e">
        <f aca="false">VLOOKUP(E67,'[1]Listas Desplegables'!$H$3:$J$7,3,FALSE())</f>
        <v>#N/A</v>
      </c>
      <c r="C67" s="85" t="n">
        <v>62</v>
      </c>
      <c r="D67" s="94" t="s">
        <v>366</v>
      </c>
      <c r="E67" s="94" t="s">
        <v>365</v>
      </c>
      <c r="F67" s="94" t="s">
        <v>367</v>
      </c>
      <c r="G67" s="87" t="n">
        <v>34.5</v>
      </c>
      <c r="H67" s="88" t="n">
        <v>6</v>
      </c>
      <c r="I67" s="88" t="n">
        <v>270</v>
      </c>
      <c r="J67" s="88" t="n">
        <v>334</v>
      </c>
      <c r="K67" s="88" t="n">
        <v>285</v>
      </c>
      <c r="L67" s="89" t="s">
        <v>289</v>
      </c>
      <c r="M67" s="88" t="n">
        <v>0.63642</v>
      </c>
      <c r="N67" s="88" t="n">
        <v>0.54021</v>
      </c>
      <c r="O67" s="88" t="n">
        <v>3.5863</v>
      </c>
      <c r="P67" s="88" t="n">
        <v>0.81429</v>
      </c>
      <c r="Q67" s="88" t="n">
        <v>1.93906</v>
      </c>
      <c r="R67" s="88" t="n">
        <v>1.5927</v>
      </c>
      <c r="S67" s="89" t="s">
        <v>290</v>
      </c>
      <c r="T67" s="89" t="s">
        <v>220</v>
      </c>
      <c r="U67" s="89" t="s">
        <v>221</v>
      </c>
      <c r="V67" s="90"/>
      <c r="W67" s="89" t="s">
        <v>352</v>
      </c>
      <c r="X67" s="89"/>
      <c r="Y67" s="89" t="n">
        <v>73.8666666666667</v>
      </c>
      <c r="Z67" s="89" t="n">
        <v>49</v>
      </c>
      <c r="AA67" s="89"/>
      <c r="AB67" s="88"/>
      <c r="AC67" s="91"/>
    </row>
    <row r="68" customFormat="false" ht="15" hidden="false" customHeight="false" outlineLevel="0" collapsed="false">
      <c r="A68" s="68" t="e">
        <f aca="false">VLOOKUP(E68,'[1]Listas Desplegables'!$H$3:$J$7,2,FALSE())</f>
        <v>#N/A</v>
      </c>
      <c r="B68" s="68" t="e">
        <f aca="false">VLOOKUP(E68,'[1]Listas Desplegables'!$H$3:$J$7,3,FALSE())</f>
        <v>#N/A</v>
      </c>
      <c r="C68" s="85" t="n">
        <v>63</v>
      </c>
      <c r="D68" s="94" t="s">
        <v>368</v>
      </c>
      <c r="E68" s="94" t="s">
        <v>367</v>
      </c>
      <c r="F68" s="94" t="s">
        <v>369</v>
      </c>
      <c r="G68" s="87" t="n">
        <v>34.5</v>
      </c>
      <c r="H68" s="88" t="n">
        <v>7</v>
      </c>
      <c r="I68" s="88" t="n">
        <v>270</v>
      </c>
      <c r="J68" s="88" t="n">
        <v>334</v>
      </c>
      <c r="K68" s="88" t="n">
        <v>285</v>
      </c>
      <c r="L68" s="89" t="s">
        <v>289</v>
      </c>
      <c r="M68" s="88" t="n">
        <v>0.63642</v>
      </c>
      <c r="N68" s="88" t="n">
        <v>0.54021</v>
      </c>
      <c r="O68" s="88" t="n">
        <v>3.5863</v>
      </c>
      <c r="P68" s="88" t="n">
        <v>0.81429</v>
      </c>
      <c r="Q68" s="88" t="n">
        <v>1.93906</v>
      </c>
      <c r="R68" s="88" t="n">
        <v>1.5927</v>
      </c>
      <c r="S68" s="89" t="s">
        <v>290</v>
      </c>
      <c r="T68" s="89" t="s">
        <v>220</v>
      </c>
      <c r="U68" s="89" t="s">
        <v>221</v>
      </c>
      <c r="V68" s="90"/>
      <c r="W68" s="89" t="s">
        <v>352</v>
      </c>
      <c r="X68" s="89"/>
      <c r="Y68" s="89" t="n">
        <v>73.8666666666667</v>
      </c>
      <c r="Z68" s="89" t="n">
        <v>49</v>
      </c>
      <c r="AA68" s="89"/>
      <c r="AB68" s="88"/>
      <c r="AC68" s="91"/>
    </row>
    <row r="69" customFormat="false" ht="15" hidden="false" customHeight="false" outlineLevel="0" collapsed="false">
      <c r="A69" s="68" t="e">
        <f aca="false">VLOOKUP(E69,'[1]Listas Desplegables'!$H$3:$J$7,2,FALSE())</f>
        <v>#N/A</v>
      </c>
      <c r="B69" s="68" t="e">
        <f aca="false">VLOOKUP(E69,'[1]Listas Desplegables'!$H$3:$J$7,3,FALSE())</f>
        <v>#N/A</v>
      </c>
      <c r="C69" s="85" t="n">
        <v>64</v>
      </c>
      <c r="D69" s="94" t="s">
        <v>370</v>
      </c>
      <c r="E69" s="94" t="s">
        <v>263</v>
      </c>
      <c r="F69" s="94" t="s">
        <v>371</v>
      </c>
      <c r="G69" s="87" t="n">
        <v>34.5</v>
      </c>
      <c r="H69" s="88" t="n">
        <v>25</v>
      </c>
      <c r="I69" s="88" t="n">
        <v>297</v>
      </c>
      <c r="J69" s="88" t="n">
        <v>427</v>
      </c>
      <c r="K69" s="88" t="n">
        <v>313</v>
      </c>
      <c r="L69" s="89" t="s">
        <v>253</v>
      </c>
      <c r="M69" s="88" t="n">
        <v>0.2305</v>
      </c>
      <c r="N69" s="88" t="n">
        <v>0.4125</v>
      </c>
      <c r="O69" s="88" t="n">
        <v>3.8189</v>
      </c>
      <c r="P69" s="88" t="n">
        <v>0.4084</v>
      </c>
      <c r="Q69" s="88" t="n">
        <v>1.8363</v>
      </c>
      <c r="R69" s="88" t="n">
        <v>1.5276</v>
      </c>
      <c r="S69" s="89" t="s">
        <v>290</v>
      </c>
      <c r="T69" s="89" t="s">
        <v>220</v>
      </c>
      <c r="U69" s="89" t="s">
        <v>221</v>
      </c>
      <c r="V69" s="90"/>
      <c r="W69" s="89" t="s">
        <v>338</v>
      </c>
      <c r="X69" s="89"/>
      <c r="Y69" s="89" t="n">
        <v>120.011111111111</v>
      </c>
      <c r="Z69" s="89" t="n">
        <v>40</v>
      </c>
      <c r="AA69" s="89"/>
      <c r="AB69" s="88"/>
      <c r="AC69" s="91"/>
    </row>
    <row r="70" customFormat="false" ht="15" hidden="false" customHeight="false" outlineLevel="0" collapsed="false">
      <c r="A70" s="68" t="e">
        <f aca="false">VLOOKUP(E70,'[1]Listas Desplegables'!$H$3:$J$7,2,FALSE())</f>
        <v>#N/A</v>
      </c>
      <c r="B70" s="68" t="e">
        <f aca="false">VLOOKUP(E70,'[1]Listas Desplegables'!$H$3:$J$7,3,FALSE())</f>
        <v>#N/A</v>
      </c>
      <c r="C70" s="85" t="n">
        <v>65</v>
      </c>
      <c r="D70" s="94" t="s">
        <v>372</v>
      </c>
      <c r="E70" s="94" t="s">
        <v>371</v>
      </c>
      <c r="F70" s="94" t="s">
        <v>362</v>
      </c>
      <c r="G70" s="87" t="n">
        <v>34.5</v>
      </c>
      <c r="H70" s="88" t="n">
        <v>11</v>
      </c>
      <c r="I70" s="88" t="n">
        <v>250</v>
      </c>
      <c r="J70" s="88" t="n">
        <v>320</v>
      </c>
      <c r="K70" s="88" t="n">
        <v>275</v>
      </c>
      <c r="L70" s="89" t="s">
        <v>253</v>
      </c>
      <c r="M70" s="88" t="n">
        <v>0.33139</v>
      </c>
      <c r="N70" s="88" t="n">
        <v>0.46192</v>
      </c>
      <c r="O70" s="88" t="n">
        <v>4.1364</v>
      </c>
      <c r="P70" s="88" t="n">
        <v>0.58163</v>
      </c>
      <c r="Q70" s="88" t="n">
        <v>1.93212</v>
      </c>
      <c r="R70" s="88" t="n">
        <v>1.555</v>
      </c>
      <c r="S70" s="89" t="s">
        <v>290</v>
      </c>
      <c r="T70" s="89" t="s">
        <v>220</v>
      </c>
      <c r="U70" s="89" t="s">
        <v>221</v>
      </c>
      <c r="V70" s="90"/>
      <c r="W70" s="89" t="s">
        <v>309</v>
      </c>
      <c r="X70" s="89"/>
      <c r="Y70" s="89" t="n">
        <v>0</v>
      </c>
      <c r="Z70" s="89" t="n">
        <v>0</v>
      </c>
      <c r="AA70" s="89"/>
      <c r="AB70" s="88"/>
      <c r="AC70" s="91"/>
    </row>
    <row r="71" customFormat="false" ht="15" hidden="false" customHeight="false" outlineLevel="0" collapsed="false">
      <c r="A71" s="68" t="e">
        <f aca="false">VLOOKUP(E71,'[1]Listas Desplegables'!$H$3:$J$7,2,FALSE())</f>
        <v>#N/A</v>
      </c>
      <c r="B71" s="68" t="e">
        <f aca="false">VLOOKUP(E71,'[1]Listas Desplegables'!$H$3:$J$7,3,FALSE())</f>
        <v>#N/A</v>
      </c>
      <c r="C71" s="85" t="n">
        <v>66</v>
      </c>
      <c r="D71" s="94" t="s">
        <v>373</v>
      </c>
      <c r="E71" s="94" t="s">
        <v>256</v>
      </c>
      <c r="F71" s="94" t="s">
        <v>355</v>
      </c>
      <c r="G71" s="87" t="n">
        <v>34.5</v>
      </c>
      <c r="H71" s="88" t="n">
        <v>6.9</v>
      </c>
      <c r="I71" s="88" t="n">
        <v>300</v>
      </c>
      <c r="J71" s="88" t="n">
        <v>334</v>
      </c>
      <c r="K71" s="88" t="n">
        <v>330</v>
      </c>
      <c r="L71" s="89" t="s">
        <v>253</v>
      </c>
      <c r="M71" s="88" t="n">
        <v>0.3835</v>
      </c>
      <c r="N71" s="88" t="n">
        <v>0.4393573</v>
      </c>
      <c r="O71" s="88" t="n">
        <v>3.758969</v>
      </c>
      <c r="P71" s="88" t="n">
        <v>1.34225</v>
      </c>
      <c r="Q71" s="88" t="n">
        <v>1.364953</v>
      </c>
      <c r="R71" s="88" t="n">
        <v>1.102645</v>
      </c>
      <c r="S71" s="89" t="s">
        <v>290</v>
      </c>
      <c r="T71" s="89" t="s">
        <v>220</v>
      </c>
      <c r="U71" s="89" t="s">
        <v>221</v>
      </c>
      <c r="V71" s="90"/>
      <c r="W71" s="89" t="s">
        <v>309</v>
      </c>
      <c r="X71" s="89"/>
      <c r="Y71" s="89" t="n">
        <v>21.7794444444444</v>
      </c>
      <c r="Z71" s="89" t="n">
        <v>12</v>
      </c>
      <c r="AA71" s="89"/>
      <c r="AB71" s="88"/>
      <c r="AC71" s="91"/>
    </row>
    <row r="72" customFormat="false" ht="15" hidden="false" customHeight="false" outlineLevel="0" collapsed="false">
      <c r="A72" s="68" t="e">
        <f aca="false">VLOOKUP(E72,'[1]Listas Desplegables'!$H$3:$J$7,2,FALSE())</f>
        <v>#N/A</v>
      </c>
      <c r="B72" s="68" t="e">
        <f aca="false">VLOOKUP(E72,'[1]Listas Desplegables'!$H$3:$J$7,3,FALSE())</f>
        <v>#N/A</v>
      </c>
      <c r="C72" s="85" t="n">
        <v>67</v>
      </c>
      <c r="D72" s="94" t="s">
        <v>374</v>
      </c>
      <c r="E72" s="94" t="s">
        <v>267</v>
      </c>
      <c r="F72" s="94" t="s">
        <v>375</v>
      </c>
      <c r="G72" s="87" t="n">
        <v>34.5</v>
      </c>
      <c r="H72" s="88" t="n">
        <v>22</v>
      </c>
      <c r="I72" s="88" t="n">
        <v>100</v>
      </c>
      <c r="J72" s="88" t="n">
        <v>334</v>
      </c>
      <c r="K72" s="88" t="n">
        <v>110</v>
      </c>
      <c r="L72" s="89" t="s">
        <v>253</v>
      </c>
      <c r="M72" s="88" t="n">
        <v>0.33137</v>
      </c>
      <c r="N72" s="88" t="n">
        <v>0.46194</v>
      </c>
      <c r="O72" s="88" t="n">
        <v>4.20079</v>
      </c>
      <c r="P72" s="88" t="n">
        <v>0.6561</v>
      </c>
      <c r="Q72" s="88" t="n">
        <v>1.5842</v>
      </c>
      <c r="R72" s="88" t="n">
        <v>1.1202</v>
      </c>
      <c r="S72" s="89" t="s">
        <v>290</v>
      </c>
      <c r="T72" s="89" t="s">
        <v>220</v>
      </c>
      <c r="U72" s="89" t="s">
        <v>221</v>
      </c>
      <c r="V72" s="90"/>
      <c r="W72" s="89" t="s">
        <v>309</v>
      </c>
      <c r="X72" s="89"/>
      <c r="Y72" s="89" t="n">
        <v>86.5294444444444</v>
      </c>
      <c r="Z72" s="89" t="n">
        <v>48</v>
      </c>
      <c r="AA72" s="89"/>
      <c r="AB72" s="88"/>
      <c r="AC72" s="91"/>
    </row>
    <row r="73" customFormat="false" ht="15" hidden="false" customHeight="false" outlineLevel="0" collapsed="false">
      <c r="A73" s="68" t="e">
        <f aca="false">VLOOKUP(E73,'[1]Listas Desplegables'!$H$3:$J$7,2,FALSE())</f>
        <v>#N/A</v>
      </c>
      <c r="B73" s="68" t="e">
        <f aca="false">VLOOKUP(E73,'[1]Listas Desplegables'!$H$3:$J$7,3,FALSE())</f>
        <v>#N/A</v>
      </c>
      <c r="C73" s="85" t="n">
        <v>68</v>
      </c>
      <c r="D73" s="94" t="s">
        <v>376</v>
      </c>
      <c r="E73" s="94" t="s">
        <v>327</v>
      </c>
      <c r="F73" s="94" t="s">
        <v>377</v>
      </c>
      <c r="G73" s="87" t="n">
        <v>34.5</v>
      </c>
      <c r="H73" s="88" t="n">
        <v>10.5</v>
      </c>
      <c r="I73" s="88" t="n">
        <v>300</v>
      </c>
      <c r="J73" s="88" t="n">
        <v>334</v>
      </c>
      <c r="K73" s="88" t="n">
        <v>330</v>
      </c>
      <c r="L73" s="89" t="s">
        <v>253</v>
      </c>
      <c r="M73" s="88" t="n">
        <v>0.2308013</v>
      </c>
      <c r="N73" s="88" t="n">
        <v>0.3943556</v>
      </c>
      <c r="O73" s="88" t="n">
        <v>4.297874</v>
      </c>
      <c r="P73" s="88" t="n">
        <v>0.4052405</v>
      </c>
      <c r="Q73" s="88" t="n">
        <v>1.953836</v>
      </c>
      <c r="R73" s="88" t="n">
        <v>1.567685</v>
      </c>
      <c r="S73" s="89" t="s">
        <v>290</v>
      </c>
      <c r="T73" s="89" t="s">
        <v>220</v>
      </c>
      <c r="U73" s="89" t="s">
        <v>221</v>
      </c>
      <c r="V73" s="90"/>
      <c r="W73" s="89" t="s">
        <v>352</v>
      </c>
      <c r="X73" s="89"/>
      <c r="Y73" s="89"/>
      <c r="Z73" s="89"/>
      <c r="AA73" s="89"/>
      <c r="AB73" s="88"/>
      <c r="AC73" s="91"/>
    </row>
    <row r="74" customFormat="false" ht="15" hidden="false" customHeight="false" outlineLevel="0" collapsed="false">
      <c r="A74" s="68" t="e">
        <f aca="false">VLOOKUP(E74,'[1]Listas Desplegables'!$H$3:$J$7,2,FALSE())</f>
        <v>#N/A</v>
      </c>
      <c r="B74" s="68" t="e">
        <f aca="false">VLOOKUP(E74,'[1]Listas Desplegables'!$H$3:$J$7,3,FALSE())</f>
        <v>#N/A</v>
      </c>
      <c r="C74" s="85" t="n">
        <v>69</v>
      </c>
      <c r="D74" s="94" t="s">
        <v>378</v>
      </c>
      <c r="E74" s="94" t="s">
        <v>288</v>
      </c>
      <c r="F74" s="94" t="s">
        <v>293</v>
      </c>
      <c r="G74" s="87" t="n">
        <v>110</v>
      </c>
      <c r="H74" s="88" t="n">
        <v>1.66</v>
      </c>
      <c r="I74" s="88" t="n">
        <v>1000</v>
      </c>
      <c r="J74" s="88" t="n">
        <v>1000</v>
      </c>
      <c r="K74" s="88" t="n">
        <v>1000</v>
      </c>
      <c r="L74" s="89" t="s">
        <v>218</v>
      </c>
      <c r="M74" s="88" t="n">
        <v>0.0594</v>
      </c>
      <c r="N74" s="88" t="n">
        <v>0.1543</v>
      </c>
      <c r="O74" s="88" t="n">
        <v>134.1965</v>
      </c>
      <c r="P74" s="88" t="n">
        <v>0.1141</v>
      </c>
      <c r="Q74" s="88" t="n">
        <v>0.0431</v>
      </c>
      <c r="R74" s="88" t="n">
        <v>134.1965</v>
      </c>
      <c r="S74" s="89" t="s">
        <v>219</v>
      </c>
      <c r="T74" s="89" t="s">
        <v>241</v>
      </c>
      <c r="U74" s="89" t="s">
        <v>221</v>
      </c>
      <c r="V74" s="90"/>
      <c r="W74" s="89" t="s">
        <v>379</v>
      </c>
      <c r="X74" s="89" t="n">
        <v>0</v>
      </c>
      <c r="Y74" s="89" t="n">
        <v>0</v>
      </c>
      <c r="Z74" s="89" t="n">
        <v>0</v>
      </c>
      <c r="AA74" s="89"/>
      <c r="AB74" s="88"/>
      <c r="AC74" s="91"/>
    </row>
    <row r="75" customFormat="false" ht="15" hidden="false" customHeight="false" outlineLevel="0" collapsed="false">
      <c r="A75" s="68" t="e">
        <f aca="false">VLOOKUP(E75,'[1]Listas Desplegables'!$H$3:$J$7,2,FALSE())</f>
        <v>#N/A</v>
      </c>
      <c r="B75" s="68" t="e">
        <f aca="false">VLOOKUP(E75,'[1]Listas Desplegables'!$H$3:$J$7,3,FALSE())</f>
        <v>#N/A</v>
      </c>
      <c r="C75" s="85" t="n">
        <v>70</v>
      </c>
      <c r="D75" s="94" t="s">
        <v>380</v>
      </c>
      <c r="E75" s="94" t="s">
        <v>288</v>
      </c>
      <c r="F75" s="94" t="s">
        <v>234</v>
      </c>
      <c r="G75" s="87" t="n">
        <v>110</v>
      </c>
      <c r="H75" s="88" t="n">
        <v>4.93</v>
      </c>
      <c r="I75" s="88" t="n">
        <v>1000</v>
      </c>
      <c r="J75" s="88" t="n">
        <v>1000</v>
      </c>
      <c r="K75" s="88" t="n">
        <v>1000</v>
      </c>
      <c r="L75" s="89" t="s">
        <v>218</v>
      </c>
      <c r="M75" s="88" t="n">
        <v>0.0594</v>
      </c>
      <c r="N75" s="88" t="n">
        <v>0.1543</v>
      </c>
      <c r="O75" s="88" t="n">
        <v>134.1965</v>
      </c>
      <c r="P75" s="88" t="n">
        <v>0.1141</v>
      </c>
      <c r="Q75" s="88" t="n">
        <v>0.0431</v>
      </c>
      <c r="R75" s="88" t="n">
        <v>134.1965</v>
      </c>
      <c r="S75" s="89" t="s">
        <v>219</v>
      </c>
      <c r="T75" s="89" t="s">
        <v>241</v>
      </c>
      <c r="U75" s="89" t="s">
        <v>221</v>
      </c>
      <c r="V75" s="90"/>
      <c r="W75" s="89" t="s">
        <v>379</v>
      </c>
      <c r="X75" s="89" t="n">
        <v>0</v>
      </c>
      <c r="Y75" s="89" t="n">
        <v>0</v>
      </c>
      <c r="Z75" s="89" t="n">
        <v>0</v>
      </c>
      <c r="AA75" s="89"/>
      <c r="AB75" s="88"/>
      <c r="AC75" s="91"/>
    </row>
    <row r="76" customFormat="false" ht="15" hidden="false" customHeight="false" outlineLevel="0" collapsed="false">
      <c r="A76" s="68" t="e">
        <f aca="false">VLOOKUP(E76,'[1]Listas Desplegables'!$H$3:$J$7,2,FALSE())</f>
        <v>#N/A</v>
      </c>
      <c r="B76" s="68" t="e">
        <f aca="false">VLOOKUP(E76,'[1]Listas Desplegables'!$H$3:$J$7,3,FALSE())</f>
        <v>#N/A</v>
      </c>
      <c r="C76" s="85" t="n">
        <v>71</v>
      </c>
      <c r="D76" s="94" t="s">
        <v>381</v>
      </c>
      <c r="E76" s="94" t="s">
        <v>227</v>
      </c>
      <c r="F76" s="94" t="s">
        <v>288</v>
      </c>
      <c r="G76" s="87" t="n">
        <v>110</v>
      </c>
      <c r="H76" s="88" t="n">
        <v>2.25</v>
      </c>
      <c r="I76" s="88" t="n">
        <v>1000</v>
      </c>
      <c r="J76" s="88" t="n">
        <v>1000</v>
      </c>
      <c r="K76" s="88" t="n">
        <v>1000</v>
      </c>
      <c r="L76" s="89" t="s">
        <v>218</v>
      </c>
      <c r="M76" s="88" t="n">
        <v>0.0594</v>
      </c>
      <c r="N76" s="88" t="n">
        <v>0.1543</v>
      </c>
      <c r="O76" s="88" t="n">
        <v>134.1965</v>
      </c>
      <c r="P76" s="88" t="n">
        <v>0.1141</v>
      </c>
      <c r="Q76" s="88" t="n">
        <v>0.0431</v>
      </c>
      <c r="R76" s="88" t="n">
        <v>134.1965</v>
      </c>
      <c r="S76" s="89" t="s">
        <v>219</v>
      </c>
      <c r="T76" s="89" t="s">
        <v>241</v>
      </c>
      <c r="U76" s="89" t="s">
        <v>221</v>
      </c>
      <c r="V76" s="90"/>
      <c r="W76" s="89" t="s">
        <v>379</v>
      </c>
      <c r="X76" s="89" t="n">
        <v>0</v>
      </c>
      <c r="Y76" s="89" t="n">
        <v>0</v>
      </c>
      <c r="Z76" s="89" t="n">
        <v>0</v>
      </c>
      <c r="AA76" s="89"/>
      <c r="AB76" s="88"/>
      <c r="AC76" s="91"/>
    </row>
    <row r="77" customFormat="false" ht="15" hidden="false" customHeight="false" outlineLevel="0" collapsed="false">
      <c r="A77" s="68" t="e">
        <f aca="false">VLOOKUP(E77,'[1]Listas Desplegables'!$H$3:$J$7,2,FALSE())</f>
        <v>#N/A</v>
      </c>
      <c r="B77" s="68" t="e">
        <f aca="false">VLOOKUP(E77,'[1]Listas Desplegables'!$H$3:$J$7,3,FALSE())</f>
        <v>#N/A</v>
      </c>
      <c r="C77" s="85" t="n">
        <v>72</v>
      </c>
      <c r="D77" s="94" t="s">
        <v>382</v>
      </c>
      <c r="E77" s="94" t="s">
        <v>383</v>
      </c>
      <c r="F77" s="94" t="s">
        <v>247</v>
      </c>
      <c r="G77" s="87" t="n">
        <v>110</v>
      </c>
      <c r="H77" s="88" t="n">
        <v>0.83</v>
      </c>
      <c r="I77" s="88" t="n">
        <v>1000</v>
      </c>
      <c r="J77" s="88" t="n">
        <v>1000</v>
      </c>
      <c r="K77" s="88" t="n">
        <v>1000</v>
      </c>
      <c r="L77" s="89" t="s">
        <v>218</v>
      </c>
      <c r="M77" s="88" t="n">
        <v>0.07422</v>
      </c>
      <c r="N77" s="88" t="n">
        <v>0.116048</v>
      </c>
      <c r="O77" s="88" t="n">
        <v>131.8002</v>
      </c>
      <c r="P77" s="88" t="n">
        <v>0.125257</v>
      </c>
      <c r="Q77" s="88" t="n">
        <v>0.170769</v>
      </c>
      <c r="R77" s="88" t="n">
        <v>131.6374</v>
      </c>
      <c r="S77" s="89" t="s">
        <v>219</v>
      </c>
      <c r="T77" s="89" t="s">
        <v>241</v>
      </c>
      <c r="U77" s="89" t="s">
        <v>221</v>
      </c>
      <c r="V77" s="90"/>
      <c r="W77" s="89" t="s">
        <v>384</v>
      </c>
      <c r="X77" s="89" t="n">
        <v>0</v>
      </c>
      <c r="Y77" s="89" t="n">
        <v>0</v>
      </c>
      <c r="Z77" s="89" t="n">
        <v>0</v>
      </c>
      <c r="AA77" s="89"/>
      <c r="AB77" s="88"/>
      <c r="AC77" s="91"/>
    </row>
    <row r="78" customFormat="false" ht="15" hidden="false" customHeight="false" outlineLevel="0" collapsed="false">
      <c r="A78" s="68" t="e">
        <f aca="false">VLOOKUP(E78,'[1]Listas Desplegables'!$H$3:$J$7,2,FALSE())</f>
        <v>#N/A</v>
      </c>
      <c r="B78" s="68" t="e">
        <f aca="false">VLOOKUP(E78,'[1]Listas Desplegables'!$H$3:$J$7,3,FALSE())</f>
        <v>#N/A</v>
      </c>
      <c r="C78" s="85" t="n">
        <v>73</v>
      </c>
      <c r="D78" s="94" t="s">
        <v>385</v>
      </c>
      <c r="E78" s="94" t="s">
        <v>383</v>
      </c>
      <c r="F78" s="94" t="s">
        <v>216</v>
      </c>
      <c r="G78" s="87" t="n">
        <v>110</v>
      </c>
      <c r="H78" s="88" t="n">
        <v>3.91</v>
      </c>
      <c r="I78" s="88" t="n">
        <v>1000</v>
      </c>
      <c r="J78" s="88" t="n">
        <v>1000</v>
      </c>
      <c r="K78" s="88" t="n">
        <v>1000</v>
      </c>
      <c r="L78" s="89" t="s">
        <v>218</v>
      </c>
      <c r="M78" s="88" t="n">
        <v>0.0563</v>
      </c>
      <c r="N78" s="88" t="n">
        <v>0.1464</v>
      </c>
      <c r="O78" s="88" t="n">
        <v>143.5668</v>
      </c>
      <c r="P78" s="88" t="n">
        <v>0.1031</v>
      </c>
      <c r="Q78" s="88" t="n">
        <v>0.05</v>
      </c>
      <c r="R78" s="88" t="n">
        <v>143.5668</v>
      </c>
      <c r="S78" s="89" t="s">
        <v>219</v>
      </c>
      <c r="T78" s="89" t="s">
        <v>241</v>
      </c>
      <c r="U78" s="89" t="s">
        <v>221</v>
      </c>
      <c r="V78" s="90"/>
      <c r="W78" s="89" t="s">
        <v>384</v>
      </c>
      <c r="X78" s="89" t="n">
        <v>0</v>
      </c>
      <c r="Y78" s="89" t="n">
        <v>0</v>
      </c>
      <c r="Z78" s="89" t="n">
        <v>0</v>
      </c>
      <c r="AA78" s="89"/>
      <c r="AB78" s="88"/>
      <c r="AC78" s="91"/>
    </row>
    <row r="79" customFormat="false" ht="15" hidden="false" customHeight="false" outlineLevel="0" collapsed="false">
      <c r="A79" s="68" t="e">
        <f aca="false">VLOOKUP(E79,'[1]Listas Desplegables'!$H$3:$J$7,2,FALSE())</f>
        <v>#N/A</v>
      </c>
      <c r="B79" s="68" t="e">
        <f aca="false">VLOOKUP(E79,'[1]Listas Desplegables'!$H$3:$J$7,3,FALSE())</f>
        <v>#N/A</v>
      </c>
      <c r="C79" s="85" t="n">
        <v>74</v>
      </c>
      <c r="D79" s="94" t="s">
        <v>386</v>
      </c>
      <c r="E79" s="94" t="s">
        <v>383</v>
      </c>
      <c r="F79" s="94" t="s">
        <v>216</v>
      </c>
      <c r="G79" s="87" t="n">
        <v>110</v>
      </c>
      <c r="H79" s="88" t="n">
        <v>3.98</v>
      </c>
      <c r="I79" s="88" t="n">
        <v>1000</v>
      </c>
      <c r="J79" s="88" t="n">
        <v>1000</v>
      </c>
      <c r="K79" s="88" t="n">
        <v>1000</v>
      </c>
      <c r="L79" s="89" t="s">
        <v>218</v>
      </c>
      <c r="M79" s="88" t="n">
        <v>0.0563</v>
      </c>
      <c r="N79" s="88" t="n">
        <v>0.1464</v>
      </c>
      <c r="O79" s="88" t="n">
        <v>143.5668</v>
      </c>
      <c r="P79" s="88" t="n">
        <v>0.1031</v>
      </c>
      <c r="Q79" s="88" t="n">
        <v>0.05</v>
      </c>
      <c r="R79" s="88" t="n">
        <v>143.5668</v>
      </c>
      <c r="S79" s="89" t="s">
        <v>219</v>
      </c>
      <c r="T79" s="89" t="s">
        <v>241</v>
      </c>
      <c r="U79" s="89" t="s">
        <v>221</v>
      </c>
      <c r="V79" s="90"/>
      <c r="W79" s="89" t="s">
        <v>384</v>
      </c>
      <c r="X79" s="89" t="n">
        <v>0</v>
      </c>
      <c r="Y79" s="89" t="n">
        <v>0</v>
      </c>
      <c r="Z79" s="89" t="n">
        <v>0</v>
      </c>
      <c r="AA79" s="89"/>
      <c r="AB79" s="88"/>
      <c r="AC79" s="91"/>
    </row>
    <row r="80" customFormat="false" ht="15" hidden="false" customHeight="false" outlineLevel="0" collapsed="false">
      <c r="A80" s="68" t="e">
        <f aca="false">VLOOKUP(E80,'[1]Listas Desplegables'!$H$3:$J$7,2,FALSE())</f>
        <v>#N/A</v>
      </c>
      <c r="B80" s="68" t="e">
        <f aca="false">VLOOKUP(E80,'[1]Listas Desplegables'!$H$3:$J$7,3,FALSE())</f>
        <v>#N/A</v>
      </c>
      <c r="C80" s="85" t="n">
        <v>75</v>
      </c>
      <c r="D80" s="94" t="s">
        <v>387</v>
      </c>
      <c r="E80" s="94" t="s">
        <v>216</v>
      </c>
      <c r="F80" s="94" t="s">
        <v>388</v>
      </c>
      <c r="G80" s="87" t="n">
        <v>110</v>
      </c>
      <c r="H80" s="88" t="n">
        <v>3.14</v>
      </c>
      <c r="I80" s="88" t="n">
        <v>1000</v>
      </c>
      <c r="J80" s="88" t="n">
        <v>1000</v>
      </c>
      <c r="K80" s="88" t="n">
        <v>1000</v>
      </c>
      <c r="L80" s="89" t="s">
        <v>218</v>
      </c>
      <c r="M80" s="88" t="n">
        <v>0.0594</v>
      </c>
      <c r="N80" s="88" t="n">
        <v>0.1543</v>
      </c>
      <c r="O80" s="88" t="n">
        <v>134.1965</v>
      </c>
      <c r="P80" s="88" t="n">
        <v>0.1141</v>
      </c>
      <c r="Q80" s="88" t="n">
        <v>0.0431</v>
      </c>
      <c r="R80" s="88" t="n">
        <v>134.1965</v>
      </c>
      <c r="S80" s="89" t="s">
        <v>219</v>
      </c>
      <c r="T80" s="89" t="s">
        <v>241</v>
      </c>
      <c r="U80" s="89" t="s">
        <v>221</v>
      </c>
      <c r="V80" s="90"/>
      <c r="W80" s="89" t="s">
        <v>379</v>
      </c>
      <c r="X80" s="89" t="n">
        <v>0</v>
      </c>
      <c r="Y80" s="89" t="n">
        <v>0</v>
      </c>
      <c r="Z80" s="89" t="n">
        <v>0</v>
      </c>
      <c r="AA80" s="89"/>
      <c r="AB80" s="88"/>
      <c r="AC80" s="91"/>
    </row>
    <row r="81" customFormat="false" ht="15" hidden="false" customHeight="false" outlineLevel="0" collapsed="false">
      <c r="A81" s="68" t="e">
        <f aca="false">VLOOKUP(E81,'[1]Listas Desplegables'!$H$3:$J$7,2,FALSE())</f>
        <v>#N/A</v>
      </c>
      <c r="B81" s="68" t="e">
        <f aca="false">VLOOKUP(E81,'[1]Listas Desplegables'!$H$3:$J$7,3,FALSE())</f>
        <v>#N/A</v>
      </c>
      <c r="C81" s="85" t="n">
        <v>76</v>
      </c>
      <c r="D81" s="94" t="s">
        <v>389</v>
      </c>
      <c r="E81" s="94" t="s">
        <v>388</v>
      </c>
      <c r="F81" s="94" t="s">
        <v>244</v>
      </c>
      <c r="G81" s="87" t="n">
        <v>110</v>
      </c>
      <c r="H81" s="88" t="n">
        <v>2.59</v>
      </c>
      <c r="I81" s="88" t="n">
        <v>1000</v>
      </c>
      <c r="J81" s="88" t="n">
        <v>1000</v>
      </c>
      <c r="K81" s="88" t="n">
        <v>1000</v>
      </c>
      <c r="L81" s="89" t="s">
        <v>218</v>
      </c>
      <c r="M81" s="88" t="n">
        <v>0.0594</v>
      </c>
      <c r="N81" s="88" t="n">
        <v>0.1543</v>
      </c>
      <c r="O81" s="88" t="n">
        <v>134.1965</v>
      </c>
      <c r="P81" s="88" t="n">
        <v>0.1141</v>
      </c>
      <c r="Q81" s="88" t="n">
        <v>0.0431</v>
      </c>
      <c r="R81" s="88" t="n">
        <v>134.1965</v>
      </c>
      <c r="S81" s="89" t="s">
        <v>219</v>
      </c>
      <c r="T81" s="89" t="s">
        <v>241</v>
      </c>
      <c r="U81" s="89" t="s">
        <v>221</v>
      </c>
      <c r="V81" s="90"/>
      <c r="W81" s="89" t="s">
        <v>379</v>
      </c>
      <c r="X81" s="89" t="n">
        <v>0</v>
      </c>
      <c r="Y81" s="89" t="n">
        <v>0</v>
      </c>
      <c r="Z81" s="89" t="n">
        <v>0</v>
      </c>
      <c r="AA81" s="89"/>
      <c r="AB81" s="88"/>
      <c r="AC81" s="91"/>
    </row>
    <row r="82" customFormat="false" ht="15" hidden="false" customHeight="false" outlineLevel="0" collapsed="false">
      <c r="A82" s="68" t="e">
        <f aca="false">VLOOKUP(E82,'[1]Listas Desplegables'!$H$3:$J$7,2,FALSE())</f>
        <v>#N/A</v>
      </c>
      <c r="B82" s="68" t="e">
        <f aca="false">VLOOKUP(E82,'[1]Listas Desplegables'!$H$3:$J$7,3,FALSE())</f>
        <v>#N/A</v>
      </c>
      <c r="C82" s="85" t="n">
        <v>77</v>
      </c>
      <c r="D82" s="94" t="s">
        <v>390</v>
      </c>
      <c r="E82" s="94" t="s">
        <v>391</v>
      </c>
      <c r="F82" s="94" t="s">
        <v>279</v>
      </c>
      <c r="G82" s="87" t="n">
        <v>110</v>
      </c>
      <c r="H82" s="88" t="n">
        <v>4.7</v>
      </c>
      <c r="I82" s="88" t="n">
        <v>900</v>
      </c>
      <c r="J82" s="88" t="n">
        <v>900</v>
      </c>
      <c r="K82" s="88" t="n">
        <v>900</v>
      </c>
      <c r="L82" s="89" t="s">
        <v>218</v>
      </c>
      <c r="M82" s="88" t="n">
        <v>0.024</v>
      </c>
      <c r="N82" s="88" t="n">
        <v>0.2095</v>
      </c>
      <c r="O82" s="88" t="n">
        <v>4.7111</v>
      </c>
      <c r="P82" s="88" t="n">
        <v>0.1245</v>
      </c>
      <c r="Q82" s="88" t="n">
        <v>0.1432</v>
      </c>
      <c r="R82" s="88" t="n">
        <v>3.9781</v>
      </c>
      <c r="S82" s="89" t="s">
        <v>219</v>
      </c>
      <c r="T82" s="89" t="s">
        <v>241</v>
      </c>
      <c r="U82" s="89" t="s">
        <v>221</v>
      </c>
      <c r="V82" s="95"/>
      <c r="W82" s="89"/>
      <c r="X82" s="89"/>
      <c r="Y82" s="89"/>
      <c r="Z82" s="89"/>
      <c r="AA82" s="89"/>
      <c r="AB82" s="88"/>
      <c r="AC82" s="91"/>
    </row>
    <row r="83" customFormat="false" ht="15" hidden="false" customHeight="false" outlineLevel="0" collapsed="false">
      <c r="A83" s="68" t="e">
        <f aca="false">VLOOKUP(E83,'[1]Listas Desplegables'!$H$3:$J$7,2,FALSE())</f>
        <v>#N/A</v>
      </c>
      <c r="B83" s="68" t="e">
        <f aca="false">VLOOKUP(E83,'[1]Listas Desplegables'!$H$3:$J$7,3,FALSE())</f>
        <v>#N/A</v>
      </c>
      <c r="C83" s="85" t="n">
        <v>78</v>
      </c>
      <c r="D83" s="94" t="s">
        <v>392</v>
      </c>
      <c r="E83" s="94" t="s">
        <v>391</v>
      </c>
      <c r="F83" s="94" t="s">
        <v>279</v>
      </c>
      <c r="G83" s="87" t="n">
        <v>110</v>
      </c>
      <c r="H83" s="88" t="n">
        <v>4.7</v>
      </c>
      <c r="I83" s="88" t="n">
        <v>900</v>
      </c>
      <c r="J83" s="88" t="n">
        <v>900</v>
      </c>
      <c r="K83" s="88" t="n">
        <v>900</v>
      </c>
      <c r="L83" s="89" t="s">
        <v>218</v>
      </c>
      <c r="M83" s="88" t="n">
        <v>0.024</v>
      </c>
      <c r="N83" s="88" t="n">
        <v>0.2095</v>
      </c>
      <c r="O83" s="88" t="n">
        <v>4.7113</v>
      </c>
      <c r="P83" s="88" t="n">
        <v>0.1245</v>
      </c>
      <c r="Q83" s="88" t="n">
        <v>0.1432</v>
      </c>
      <c r="R83" s="88" t="n">
        <v>3.981</v>
      </c>
      <c r="S83" s="89" t="s">
        <v>219</v>
      </c>
      <c r="T83" s="89" t="s">
        <v>241</v>
      </c>
      <c r="U83" s="89" t="s">
        <v>221</v>
      </c>
      <c r="V83" s="95"/>
      <c r="W83" s="89"/>
      <c r="X83" s="89"/>
      <c r="Y83" s="89"/>
      <c r="Z83" s="89"/>
      <c r="AA83" s="89"/>
      <c r="AB83" s="88"/>
      <c r="AC83" s="91"/>
    </row>
    <row r="84" customFormat="false" ht="15" hidden="false" customHeight="false" outlineLevel="0" collapsed="false">
      <c r="A84" s="68" t="e">
        <f aca="false">VLOOKUP(E84,'[1]Listas Desplegables'!$H$3:$J$7,2,FALSE())</f>
        <v>#N/A</v>
      </c>
      <c r="B84" s="68" t="e">
        <f aca="false">VLOOKUP(E84,'[1]Listas Desplegables'!$H$3:$J$7,3,FALSE())</f>
        <v>#N/A</v>
      </c>
      <c r="C84" s="85" t="n">
        <v>79</v>
      </c>
      <c r="D84" s="94" t="s">
        <v>393</v>
      </c>
      <c r="E84" s="94" t="s">
        <v>224</v>
      </c>
      <c r="F84" s="94" t="s">
        <v>394</v>
      </c>
      <c r="G84" s="87" t="n">
        <v>110</v>
      </c>
      <c r="H84" s="88" t="n">
        <v>7.2</v>
      </c>
      <c r="I84" s="88" t="n">
        <v>927</v>
      </c>
      <c r="J84" s="88" t="n">
        <v>927</v>
      </c>
      <c r="K84" s="88" t="n">
        <v>927</v>
      </c>
      <c r="L84" s="89" t="s">
        <v>218</v>
      </c>
      <c r="M84" s="88" t="n">
        <v>0.159</v>
      </c>
      <c r="N84" s="88" t="n">
        <v>0.608</v>
      </c>
      <c r="O84" s="88" t="n">
        <v>6.28</v>
      </c>
      <c r="P84" s="88" t="n">
        <v>0.585</v>
      </c>
      <c r="Q84" s="88" t="n">
        <v>2.17</v>
      </c>
      <c r="R84" s="88" t="n">
        <v>0.86</v>
      </c>
      <c r="S84" s="89" t="s">
        <v>219</v>
      </c>
      <c r="T84" s="89" t="s">
        <v>220</v>
      </c>
      <c r="U84" s="89" t="s">
        <v>395</v>
      </c>
      <c r="V84" s="96" t="n">
        <v>2029</v>
      </c>
      <c r="W84" s="89" t="s">
        <v>222</v>
      </c>
      <c r="X84" s="89" t="n">
        <v>0</v>
      </c>
      <c r="Y84" s="89" t="n">
        <v>0</v>
      </c>
      <c r="Z84" s="89" t="n">
        <v>0</v>
      </c>
      <c r="AA84" s="89"/>
      <c r="AB84" s="88"/>
      <c r="AC84" s="91"/>
    </row>
    <row r="85" customFormat="false" ht="15" hidden="false" customHeight="false" outlineLevel="0" collapsed="false">
      <c r="A85" s="68" t="e">
        <f aca="false">VLOOKUP(E85,'[1]Listas Desplegables'!$H$3:$J$7,2,FALSE())</f>
        <v>#N/A</v>
      </c>
      <c r="B85" s="68" t="e">
        <f aca="false">VLOOKUP(E85,'[1]Listas Desplegables'!$H$3:$J$7,3,FALSE())</f>
        <v>#N/A</v>
      </c>
      <c r="C85" s="85" t="n">
        <v>80</v>
      </c>
      <c r="D85" s="94" t="s">
        <v>396</v>
      </c>
      <c r="E85" s="94" t="s">
        <v>394</v>
      </c>
      <c r="F85" s="94" t="s">
        <v>280</v>
      </c>
      <c r="G85" s="87" t="n">
        <v>110</v>
      </c>
      <c r="H85" s="88" t="n">
        <v>8</v>
      </c>
      <c r="I85" s="88" t="n">
        <v>927</v>
      </c>
      <c r="J85" s="88" t="n">
        <v>927</v>
      </c>
      <c r="K85" s="88" t="n">
        <v>927</v>
      </c>
      <c r="L85" s="89" t="s">
        <v>218</v>
      </c>
      <c r="M85" s="88" t="n">
        <v>0.091</v>
      </c>
      <c r="N85" s="88" t="n">
        <v>0.348</v>
      </c>
      <c r="O85" s="88" t="n">
        <v>3.59</v>
      </c>
      <c r="P85" s="88" t="n">
        <v>0.585</v>
      </c>
      <c r="Q85" s="88" t="n">
        <v>2.17</v>
      </c>
      <c r="R85" s="88" t="n">
        <v>0.86</v>
      </c>
      <c r="S85" s="89" t="s">
        <v>219</v>
      </c>
      <c r="T85" s="89" t="s">
        <v>220</v>
      </c>
      <c r="U85" s="89" t="s">
        <v>395</v>
      </c>
      <c r="V85" s="96" t="n">
        <v>2029</v>
      </c>
      <c r="W85" s="89" t="s">
        <v>222</v>
      </c>
      <c r="X85" s="89" t="n">
        <v>0</v>
      </c>
      <c r="Y85" s="89" t="n">
        <v>0</v>
      </c>
      <c r="Z85" s="89" t="n">
        <v>0</v>
      </c>
      <c r="AA85" s="89"/>
      <c r="AB85" s="88"/>
      <c r="AC85" s="91"/>
    </row>
    <row r="86" customFormat="false" ht="15" hidden="false" customHeight="false" outlineLevel="0" collapsed="false">
      <c r="A86" s="68" t="e">
        <f aca="false">VLOOKUP(E86,'[1]Listas Desplegables'!$H$3:$J$7,2,FALSE())</f>
        <v>#N/A</v>
      </c>
      <c r="B86" s="68" t="e">
        <f aca="false">VLOOKUP(E86,'[1]Listas Desplegables'!$H$3:$J$7,3,FALSE())</f>
        <v>#N/A</v>
      </c>
      <c r="C86" s="85" t="n">
        <v>81</v>
      </c>
      <c r="D86" s="94" t="s">
        <v>397</v>
      </c>
      <c r="E86" s="94" t="s">
        <v>398</v>
      </c>
      <c r="F86" s="94" t="s">
        <v>343</v>
      </c>
      <c r="G86" s="87" t="n">
        <v>110</v>
      </c>
      <c r="H86" s="88" t="n">
        <v>1.6</v>
      </c>
      <c r="I86" s="88" t="n">
        <v>927</v>
      </c>
      <c r="J86" s="88" t="n">
        <v>927</v>
      </c>
      <c r="K86" s="88" t="n">
        <v>927</v>
      </c>
      <c r="L86" s="89" t="s">
        <v>218</v>
      </c>
      <c r="M86" s="88" t="n">
        <v>0.114363</v>
      </c>
      <c r="N86" s="88" t="n">
        <v>0.435</v>
      </c>
      <c r="O86" s="88" t="n">
        <v>3.476</v>
      </c>
      <c r="P86" s="88" t="n">
        <v>0.419</v>
      </c>
      <c r="Q86" s="88" t="n">
        <v>1.553</v>
      </c>
      <c r="R86" s="88" t="n">
        <v>1.928</v>
      </c>
      <c r="S86" s="89" t="s">
        <v>219</v>
      </c>
      <c r="T86" s="89" t="s">
        <v>220</v>
      </c>
      <c r="U86" s="89" t="s">
        <v>395</v>
      </c>
      <c r="V86" s="96" t="n">
        <v>2029</v>
      </c>
      <c r="W86" s="89" t="s">
        <v>222</v>
      </c>
      <c r="X86" s="89" t="n">
        <v>0</v>
      </c>
      <c r="Y86" s="89" t="n">
        <v>0</v>
      </c>
      <c r="Z86" s="89" t="n">
        <v>0</v>
      </c>
      <c r="AA86" s="89"/>
      <c r="AB86" s="88"/>
      <c r="AC86" s="91"/>
    </row>
    <row r="87" customFormat="false" ht="15" hidden="false" customHeight="false" outlineLevel="0" collapsed="false">
      <c r="A87" s="68" t="e">
        <f aca="false">VLOOKUP(E87,'[1]Listas Desplegables'!$H$3:$J$7,2,FALSE())</f>
        <v>#N/A</v>
      </c>
      <c r="B87" s="68" t="e">
        <f aca="false">VLOOKUP(E87,'[1]Listas Desplegables'!$H$3:$J$7,3,FALSE())</f>
        <v>#N/A</v>
      </c>
      <c r="C87" s="85" t="n">
        <v>82</v>
      </c>
      <c r="D87" s="94" t="s">
        <v>399</v>
      </c>
      <c r="E87" s="94" t="s">
        <v>398</v>
      </c>
      <c r="F87" s="94" t="s">
        <v>343</v>
      </c>
      <c r="G87" s="87" t="n">
        <v>110</v>
      </c>
      <c r="H87" s="88" t="n">
        <v>1.2</v>
      </c>
      <c r="I87" s="88" t="n">
        <v>927</v>
      </c>
      <c r="J87" s="88" t="n">
        <v>927</v>
      </c>
      <c r="K87" s="88" t="n">
        <v>927</v>
      </c>
      <c r="L87" s="89" t="s">
        <v>218</v>
      </c>
      <c r="M87" s="88" t="n">
        <v>0.159</v>
      </c>
      <c r="N87" s="88" t="n">
        <v>0.608</v>
      </c>
      <c r="O87" s="88" t="n">
        <v>6.28</v>
      </c>
      <c r="P87" s="88" t="n">
        <v>0.585</v>
      </c>
      <c r="Q87" s="88" t="n">
        <v>2.17</v>
      </c>
      <c r="R87" s="88" t="n">
        <v>0.86</v>
      </c>
      <c r="S87" s="89" t="s">
        <v>219</v>
      </c>
      <c r="T87" s="89" t="s">
        <v>220</v>
      </c>
      <c r="U87" s="89" t="s">
        <v>395</v>
      </c>
      <c r="V87" s="96" t="n">
        <v>2029</v>
      </c>
      <c r="W87" s="89" t="s">
        <v>222</v>
      </c>
      <c r="X87" s="89" t="n">
        <v>0</v>
      </c>
      <c r="Y87" s="89" t="n">
        <v>0</v>
      </c>
      <c r="Z87" s="89" t="n">
        <v>0</v>
      </c>
      <c r="AA87" s="89"/>
      <c r="AB87" s="88"/>
      <c r="AC87" s="91"/>
    </row>
    <row r="88" customFormat="false" ht="15" hidden="false" customHeight="false" outlineLevel="0" collapsed="false">
      <c r="A88" s="68" t="e">
        <f aca="false">VLOOKUP(E88,'[1]Listas Desplegables'!$H$3:$J$7,2,FALSE())</f>
        <v>#N/A</v>
      </c>
      <c r="B88" s="68" t="e">
        <f aca="false">VLOOKUP(E88,'[1]Listas Desplegables'!$H$3:$J$7,3,FALSE())</f>
        <v>#N/A</v>
      </c>
      <c r="C88" s="85" t="n">
        <v>83</v>
      </c>
      <c r="D88" s="94" t="s">
        <v>400</v>
      </c>
      <c r="E88" s="94" t="s">
        <v>398</v>
      </c>
      <c r="F88" s="94" t="s">
        <v>401</v>
      </c>
      <c r="G88" s="87" t="n">
        <v>110</v>
      </c>
      <c r="H88" s="88" t="n">
        <v>1.2</v>
      </c>
      <c r="I88" s="88" t="n">
        <v>927</v>
      </c>
      <c r="J88" s="88" t="n">
        <v>927</v>
      </c>
      <c r="K88" s="88" t="n">
        <v>927</v>
      </c>
      <c r="L88" s="89" t="s">
        <v>218</v>
      </c>
      <c r="M88" s="88" t="n">
        <v>0.159</v>
      </c>
      <c r="N88" s="88" t="n">
        <v>0.608</v>
      </c>
      <c r="O88" s="88" t="n">
        <v>6.28</v>
      </c>
      <c r="P88" s="88" t="n">
        <v>0.585</v>
      </c>
      <c r="Q88" s="88" t="n">
        <v>2.17</v>
      </c>
      <c r="R88" s="88" t="n">
        <v>0.86</v>
      </c>
      <c r="S88" s="89" t="s">
        <v>219</v>
      </c>
      <c r="T88" s="89" t="s">
        <v>220</v>
      </c>
      <c r="U88" s="89" t="s">
        <v>395</v>
      </c>
      <c r="V88" s="96" t="n">
        <v>2029</v>
      </c>
      <c r="W88" s="89" t="s">
        <v>222</v>
      </c>
      <c r="X88" s="89" t="n">
        <v>0</v>
      </c>
      <c r="Y88" s="89" t="n">
        <v>0</v>
      </c>
      <c r="Z88" s="89" t="n">
        <v>0</v>
      </c>
      <c r="AA88" s="89"/>
      <c r="AB88" s="88"/>
      <c r="AC88" s="91"/>
    </row>
    <row r="89" customFormat="false" ht="15" hidden="false" customHeight="false" outlineLevel="0" collapsed="false">
      <c r="A89" s="68" t="e">
        <f aca="false">VLOOKUP(E89,'[1]Listas Desplegables'!$H$3:$J$7,2,FALSE())</f>
        <v>#N/A</v>
      </c>
      <c r="B89" s="68" t="e">
        <f aca="false">VLOOKUP(E89,'[1]Listas Desplegables'!$H$3:$J$7,3,FALSE())</f>
        <v>#N/A</v>
      </c>
      <c r="C89" s="85" t="n">
        <v>84</v>
      </c>
      <c r="D89" s="94" t="s">
        <v>402</v>
      </c>
      <c r="E89" s="94" t="s">
        <v>287</v>
      </c>
      <c r="F89" s="94" t="s">
        <v>403</v>
      </c>
      <c r="G89" s="87" t="n">
        <v>110</v>
      </c>
      <c r="H89" s="88" t="n">
        <v>5.69</v>
      </c>
      <c r="I89" s="88" t="n">
        <v>794</v>
      </c>
      <c r="J89" s="88" t="n">
        <v>794</v>
      </c>
      <c r="K89" s="88" t="n">
        <v>794</v>
      </c>
      <c r="L89" s="89" t="s">
        <v>289</v>
      </c>
      <c r="M89" s="88" t="n">
        <v>0.0733</v>
      </c>
      <c r="N89" s="88" t="n">
        <v>0.4367</v>
      </c>
      <c r="O89" s="88" t="n">
        <v>3.833</v>
      </c>
      <c r="P89" s="88" t="n">
        <v>0.3832</v>
      </c>
      <c r="Q89" s="88" t="n">
        <v>1.5675</v>
      </c>
      <c r="R89" s="88" t="n">
        <v>2.092</v>
      </c>
      <c r="S89" s="89" t="s">
        <v>219</v>
      </c>
      <c r="T89" s="89" t="s">
        <v>220</v>
      </c>
      <c r="U89" s="89" t="s">
        <v>395</v>
      </c>
      <c r="V89" s="96" t="n">
        <v>2029</v>
      </c>
      <c r="W89" s="89" t="s">
        <v>222</v>
      </c>
      <c r="X89" s="89" t="n">
        <v>0</v>
      </c>
      <c r="Y89" s="89" t="n">
        <v>0</v>
      </c>
      <c r="Z89" s="89" t="n">
        <v>0</v>
      </c>
      <c r="AA89" s="89"/>
      <c r="AB89" s="88"/>
      <c r="AC89" s="91" t="s">
        <v>404</v>
      </c>
    </row>
    <row r="90" customFormat="false" ht="15" hidden="false" customHeight="false" outlineLevel="0" collapsed="false">
      <c r="A90" s="68" t="e">
        <f aca="false">VLOOKUP(E90,'[1]Listas Desplegables'!$H$3:$J$7,2,FALSE())</f>
        <v>#N/A</v>
      </c>
      <c r="B90" s="68" t="e">
        <f aca="false">VLOOKUP(E90,'[1]Listas Desplegables'!$H$3:$J$7,3,FALSE())</f>
        <v>#N/A</v>
      </c>
      <c r="C90" s="85" t="n">
        <v>85</v>
      </c>
      <c r="D90" s="94" t="s">
        <v>405</v>
      </c>
      <c r="E90" s="94" t="s">
        <v>287</v>
      </c>
      <c r="F90" s="94" t="s">
        <v>403</v>
      </c>
      <c r="G90" s="87" t="n">
        <v>110</v>
      </c>
      <c r="H90" s="88" t="n">
        <v>3.3</v>
      </c>
      <c r="I90" s="88" t="n">
        <v>900</v>
      </c>
      <c r="J90" s="88" t="n">
        <v>900</v>
      </c>
      <c r="K90" s="88" t="n">
        <v>900</v>
      </c>
      <c r="L90" s="89" t="s">
        <v>289</v>
      </c>
      <c r="M90" s="88" t="n">
        <v>0.031</v>
      </c>
      <c r="N90" s="88" t="n">
        <v>0.1287</v>
      </c>
      <c r="O90" s="88" t="n">
        <v>30.159</v>
      </c>
      <c r="P90" s="88" t="n">
        <v>0.261</v>
      </c>
      <c r="Q90" s="88" t="n">
        <v>0.1058</v>
      </c>
      <c r="R90" s="88" t="n">
        <v>0</v>
      </c>
      <c r="S90" s="89" t="s">
        <v>219</v>
      </c>
      <c r="T90" s="89" t="s">
        <v>220</v>
      </c>
      <c r="U90" s="89" t="s">
        <v>395</v>
      </c>
      <c r="V90" s="96" t="n">
        <v>2029</v>
      </c>
      <c r="W90" s="89"/>
      <c r="X90" s="89" t="n">
        <v>0</v>
      </c>
      <c r="Y90" s="89" t="n">
        <v>0</v>
      </c>
      <c r="Z90" s="89" t="n">
        <v>0</v>
      </c>
      <c r="AA90" s="89"/>
      <c r="AB90" s="88"/>
      <c r="AC90" s="91" t="s">
        <v>404</v>
      </c>
    </row>
    <row r="91" customFormat="false" ht="15" hidden="false" customHeight="false" outlineLevel="0" collapsed="false">
      <c r="A91" s="68" t="e">
        <f aca="false">VLOOKUP(E91,'[1]Listas Desplegables'!$H$3:$J$7,2,FALSE())</f>
        <v>#N/A</v>
      </c>
      <c r="B91" s="68" t="e">
        <f aca="false">VLOOKUP(E91,'[1]Listas Desplegables'!$H$3:$J$7,3,FALSE())</f>
        <v>#N/A</v>
      </c>
      <c r="C91" s="85" t="n">
        <v>86</v>
      </c>
      <c r="D91" s="94" t="s">
        <v>406</v>
      </c>
      <c r="E91" s="94" t="s">
        <v>403</v>
      </c>
      <c r="F91" s="94" t="s">
        <v>227</v>
      </c>
      <c r="G91" s="87" t="n">
        <v>110</v>
      </c>
      <c r="H91" s="88" t="n">
        <v>3.3</v>
      </c>
      <c r="I91" s="88" t="n">
        <v>900</v>
      </c>
      <c r="J91" s="88" t="n">
        <v>900</v>
      </c>
      <c r="K91" s="88" t="n">
        <v>900</v>
      </c>
      <c r="L91" s="89" t="s">
        <v>289</v>
      </c>
      <c r="M91" s="88" t="n">
        <v>0.031</v>
      </c>
      <c r="N91" s="88" t="n">
        <v>0.1287</v>
      </c>
      <c r="O91" s="88" t="n">
        <v>30.159</v>
      </c>
      <c r="P91" s="88" t="n">
        <v>0.261</v>
      </c>
      <c r="Q91" s="88" t="n">
        <v>0.1058</v>
      </c>
      <c r="R91" s="88" t="n">
        <v>0</v>
      </c>
      <c r="S91" s="89" t="s">
        <v>219</v>
      </c>
      <c r="T91" s="89" t="s">
        <v>220</v>
      </c>
      <c r="U91" s="89" t="s">
        <v>395</v>
      </c>
      <c r="V91" s="96" t="n">
        <v>2029</v>
      </c>
      <c r="W91" s="89"/>
      <c r="X91" s="89" t="n">
        <v>0</v>
      </c>
      <c r="Y91" s="89" t="n">
        <v>0</v>
      </c>
      <c r="Z91" s="89" t="n">
        <v>0</v>
      </c>
      <c r="AA91" s="89"/>
      <c r="AB91" s="88"/>
      <c r="AC91" s="91" t="s">
        <v>404</v>
      </c>
    </row>
    <row r="92" customFormat="false" ht="15" hidden="false" customHeight="false" outlineLevel="0" collapsed="false">
      <c r="A92" s="68" t="e">
        <f aca="false">VLOOKUP(E92,'[1]Listas Desplegables'!$H$3:$J$7,2,FALSE())</f>
        <v>#N/A</v>
      </c>
      <c r="B92" s="68" t="e">
        <f aca="false">VLOOKUP(E92,'[1]Listas Desplegables'!$H$3:$J$7,3,FALSE())</f>
        <v>#N/A</v>
      </c>
      <c r="C92" s="85" t="n">
        <v>87</v>
      </c>
      <c r="D92" s="94" t="s">
        <v>407</v>
      </c>
      <c r="E92" s="94" t="s">
        <v>403</v>
      </c>
      <c r="F92" s="94" t="s">
        <v>227</v>
      </c>
      <c r="G92" s="87" t="n">
        <v>110</v>
      </c>
      <c r="H92" s="88" t="n">
        <v>1.7</v>
      </c>
      <c r="I92" s="88" t="n">
        <v>794</v>
      </c>
      <c r="J92" s="88" t="n">
        <v>794</v>
      </c>
      <c r="K92" s="88" t="n">
        <v>794</v>
      </c>
      <c r="L92" s="89" t="s">
        <v>289</v>
      </c>
      <c r="M92" s="88" t="n">
        <v>0.0733</v>
      </c>
      <c r="N92" s="88" t="n">
        <v>0.4367</v>
      </c>
      <c r="O92" s="88" t="n">
        <v>3.833</v>
      </c>
      <c r="P92" s="88" t="n">
        <v>0.3832</v>
      </c>
      <c r="Q92" s="88" t="n">
        <v>1.5675</v>
      </c>
      <c r="R92" s="88" t="n">
        <v>2.092</v>
      </c>
      <c r="S92" s="89" t="s">
        <v>219</v>
      </c>
      <c r="T92" s="89" t="s">
        <v>220</v>
      </c>
      <c r="U92" s="89" t="s">
        <v>395</v>
      </c>
      <c r="V92" s="96" t="n">
        <v>2029</v>
      </c>
      <c r="W92" s="89" t="s">
        <v>222</v>
      </c>
      <c r="X92" s="89" t="n">
        <v>0</v>
      </c>
      <c r="Y92" s="89" t="n">
        <v>0</v>
      </c>
      <c r="Z92" s="89" t="n">
        <v>0</v>
      </c>
      <c r="AA92" s="89"/>
      <c r="AB92" s="88"/>
      <c r="AC92" s="91" t="s">
        <v>404</v>
      </c>
    </row>
    <row r="93" customFormat="false" ht="15" hidden="false" customHeight="false" outlineLevel="0" collapsed="false">
      <c r="A93" s="68" t="e">
        <f aca="false">VLOOKUP(E93,'[1]Listas Desplegables'!$H$3:$J$7,2,FALSE())</f>
        <v>#N/A</v>
      </c>
      <c r="B93" s="68" t="e">
        <f aca="false">VLOOKUP(E93,'[1]Listas Desplegables'!$H$3:$J$7,3,FALSE())</f>
        <v>#N/A</v>
      </c>
      <c r="C93" s="85" t="n">
        <v>88</v>
      </c>
      <c r="D93" s="94" t="s">
        <v>408</v>
      </c>
      <c r="E93" s="94" t="s">
        <v>259</v>
      </c>
      <c r="F93" s="94" t="s">
        <v>327</v>
      </c>
      <c r="G93" s="87" t="n">
        <v>34.5</v>
      </c>
      <c r="H93" s="88" t="n">
        <v>17.3</v>
      </c>
      <c r="I93" s="88" t="n">
        <v>494</v>
      </c>
      <c r="J93" s="88" t="n">
        <v>494</v>
      </c>
      <c r="K93" s="88" t="n">
        <v>494</v>
      </c>
      <c r="L93" s="89" t="s">
        <v>218</v>
      </c>
      <c r="M93" s="88" t="n">
        <v>0.178</v>
      </c>
      <c r="N93" s="88" t="n">
        <v>0.41</v>
      </c>
      <c r="O93" s="88" t="n">
        <v>4.075</v>
      </c>
      <c r="P93" s="88" t="n">
        <v>0.35</v>
      </c>
      <c r="Q93" s="88" t="n">
        <v>1.819</v>
      </c>
      <c r="R93" s="88" t="n">
        <v>1.599</v>
      </c>
      <c r="S93" s="89" t="s">
        <v>290</v>
      </c>
      <c r="T93" s="89" t="s">
        <v>220</v>
      </c>
      <c r="U93" s="89" t="s">
        <v>395</v>
      </c>
      <c r="V93" s="96" t="n">
        <v>2029</v>
      </c>
      <c r="W93" s="89" t="s">
        <v>281</v>
      </c>
      <c r="X93" s="89" t="n">
        <v>0</v>
      </c>
      <c r="Y93" s="89" t="n">
        <v>0</v>
      </c>
      <c r="Z93" s="89" t="n">
        <v>0</v>
      </c>
      <c r="AA93" s="89"/>
      <c r="AB93" s="88"/>
      <c r="AC93" s="91" t="s">
        <v>409</v>
      </c>
    </row>
    <row r="94" customFormat="false" ht="15" hidden="false" customHeight="false" outlineLevel="0" collapsed="false">
      <c r="A94" s="68" t="e">
        <f aca="false">VLOOKUP(E94,'[1]Listas Desplegables'!$H$3:$J$7,2,FALSE())</f>
        <v>#N/A</v>
      </c>
      <c r="B94" s="68" t="e">
        <f aca="false">VLOOKUP(E94,'[1]Listas Desplegables'!$H$3:$J$7,3,FALSE())</f>
        <v>#N/A</v>
      </c>
      <c r="C94" s="85" t="n">
        <v>89</v>
      </c>
      <c r="D94" s="94" t="s">
        <v>410</v>
      </c>
      <c r="E94" s="94" t="s">
        <v>327</v>
      </c>
      <c r="F94" s="94" t="s">
        <v>328</v>
      </c>
      <c r="G94" s="87" t="n">
        <v>34.5</v>
      </c>
      <c r="H94" s="88" t="n">
        <v>28.2</v>
      </c>
      <c r="I94" s="88" t="n">
        <v>464</v>
      </c>
      <c r="J94" s="88" t="n">
        <v>464</v>
      </c>
      <c r="K94" s="88" t="n">
        <v>464</v>
      </c>
      <c r="L94" s="89" t="s">
        <v>218</v>
      </c>
      <c r="M94" s="88" t="n">
        <v>0.1665</v>
      </c>
      <c r="N94" s="88" t="n">
        <v>0.4883</v>
      </c>
      <c r="O94" s="88" t="n">
        <v>5.176</v>
      </c>
      <c r="P94" s="88" t="n">
        <v>0.3376</v>
      </c>
      <c r="Q94" s="88" t="n">
        <v>1.668</v>
      </c>
      <c r="R94" s="88" t="n">
        <v>2.757</v>
      </c>
      <c r="S94" s="89" t="s">
        <v>290</v>
      </c>
      <c r="T94" s="89" t="s">
        <v>220</v>
      </c>
      <c r="U94" s="89" t="s">
        <v>221</v>
      </c>
      <c r="V94" s="95"/>
      <c r="W94" s="89" t="s">
        <v>281</v>
      </c>
      <c r="X94" s="89"/>
      <c r="Y94" s="89"/>
      <c r="Z94" s="89"/>
      <c r="AA94" s="89"/>
      <c r="AB94" s="88"/>
      <c r="AC94" s="91"/>
    </row>
    <row r="95" customFormat="false" ht="15" hidden="false" customHeight="false" outlineLevel="0" collapsed="false">
      <c r="A95" s="68" t="e">
        <f aca="false">VLOOKUP(E95,'[1]Listas Desplegables'!$H$3:$J$7,2,FALSE())</f>
        <v>#N/A</v>
      </c>
      <c r="B95" s="68" t="e">
        <f aca="false">VLOOKUP(E95,'[1]Listas Desplegables'!$H$3:$J$7,3,FALSE())</f>
        <v>#N/A</v>
      </c>
      <c r="C95" s="85" t="n">
        <v>90</v>
      </c>
      <c r="D95" s="94" t="s">
        <v>411</v>
      </c>
      <c r="E95" s="94" t="s">
        <v>230</v>
      </c>
      <c r="F95" s="94" t="s">
        <v>412</v>
      </c>
      <c r="G95" s="87" t="n">
        <v>34.5</v>
      </c>
      <c r="H95" s="88" t="n">
        <v>7.67</v>
      </c>
      <c r="I95" s="88" t="n">
        <v>577</v>
      </c>
      <c r="J95" s="88" t="n">
        <v>577</v>
      </c>
      <c r="K95" s="88" t="n">
        <v>577</v>
      </c>
      <c r="L95" s="89" t="s">
        <v>218</v>
      </c>
      <c r="M95" s="88" t="n">
        <v>0.1797</v>
      </c>
      <c r="N95" s="88" t="n">
        <v>0.4206</v>
      </c>
      <c r="O95" s="88" t="n">
        <v>4.1151</v>
      </c>
      <c r="P95" s="88" t="n">
        <v>0.3576</v>
      </c>
      <c r="Q95" s="88" t="n">
        <v>1.8195</v>
      </c>
      <c r="R95" s="88" t="n">
        <v>1.3717</v>
      </c>
      <c r="S95" s="89" t="s">
        <v>290</v>
      </c>
      <c r="T95" s="89" t="s">
        <v>220</v>
      </c>
      <c r="U95" s="89" t="s">
        <v>395</v>
      </c>
      <c r="V95" s="96" t="n">
        <v>2029</v>
      </c>
      <c r="W95" s="89" t="s">
        <v>270</v>
      </c>
      <c r="X95" s="89" t="n">
        <v>0</v>
      </c>
      <c r="Y95" s="89" t="n">
        <v>0</v>
      </c>
      <c r="Z95" s="89" t="n">
        <v>0</v>
      </c>
      <c r="AA95" s="89"/>
      <c r="AB95" s="88"/>
      <c r="AC95" s="91"/>
    </row>
    <row r="96" customFormat="false" ht="15" hidden="false" customHeight="false" outlineLevel="0" collapsed="false">
      <c r="A96" s="68" t="e">
        <f aca="false">VLOOKUP(E96,'[1]Listas Desplegables'!$H$3:$J$7,2,FALSE())</f>
        <v>#N/A</v>
      </c>
      <c r="B96" s="68" t="e">
        <f aca="false">VLOOKUP(E96,'[1]Listas Desplegables'!$H$3:$J$7,3,FALSE())</f>
        <v>#N/A</v>
      </c>
      <c r="C96" s="85" t="n">
        <v>91</v>
      </c>
      <c r="D96" s="94" t="s">
        <v>413</v>
      </c>
      <c r="E96" s="94" t="s">
        <v>258</v>
      </c>
      <c r="F96" s="94" t="s">
        <v>351</v>
      </c>
      <c r="G96" s="87" t="n">
        <v>34.5</v>
      </c>
      <c r="H96" s="88" t="n">
        <v>16</v>
      </c>
      <c r="I96" s="88" t="n">
        <v>334</v>
      </c>
      <c r="J96" s="88" t="n">
        <v>334</v>
      </c>
      <c r="K96" s="88" t="n">
        <v>334</v>
      </c>
      <c r="L96" s="89" t="s">
        <v>218</v>
      </c>
      <c r="M96" s="88" t="n">
        <v>0.3977</v>
      </c>
      <c r="N96" s="88" t="n">
        <v>0.4425</v>
      </c>
      <c r="O96" s="88" t="n">
        <v>11.24</v>
      </c>
      <c r="P96" s="88" t="n">
        <v>0.5689</v>
      </c>
      <c r="Q96" s="88" t="n">
        <v>1.817</v>
      </c>
      <c r="R96" s="88" t="n">
        <v>4.703</v>
      </c>
      <c r="S96" s="89" t="s">
        <v>290</v>
      </c>
      <c r="T96" s="89" t="s">
        <v>220</v>
      </c>
      <c r="U96" s="89" t="s">
        <v>221</v>
      </c>
      <c r="V96" s="95"/>
      <c r="W96" s="89" t="s">
        <v>414</v>
      </c>
      <c r="X96" s="89"/>
      <c r="Y96" s="89"/>
      <c r="Z96" s="89"/>
      <c r="AA96" s="89"/>
      <c r="AB96" s="88"/>
      <c r="AC96" s="91" t="s">
        <v>409</v>
      </c>
    </row>
    <row r="97" customFormat="false" ht="15" hidden="false" customHeight="false" outlineLevel="0" collapsed="false">
      <c r="A97" s="68" t="e">
        <f aca="false">VLOOKUP(E97,'[1]Listas Desplegables'!$H$3:$J$7,2,FALSE())</f>
        <v>#N/A</v>
      </c>
      <c r="B97" s="68" t="e">
        <f aca="false">VLOOKUP(E97,'[1]Listas Desplegables'!$H$3:$J$7,3,FALSE())</f>
        <v>#N/A</v>
      </c>
      <c r="C97" s="85" t="n">
        <v>92</v>
      </c>
      <c r="D97" s="94" t="s">
        <v>415</v>
      </c>
      <c r="E97" s="94" t="s">
        <v>247</v>
      </c>
      <c r="F97" s="94" t="s">
        <v>234</v>
      </c>
      <c r="G97" s="87" t="n">
        <v>110</v>
      </c>
      <c r="H97" s="88" t="n">
        <v>5.07</v>
      </c>
      <c r="I97" s="88" t="n">
        <v>712</v>
      </c>
      <c r="J97" s="88" t="n">
        <v>794</v>
      </c>
      <c r="K97" s="88" t="n">
        <v>783</v>
      </c>
      <c r="L97" s="89" t="s">
        <v>218</v>
      </c>
      <c r="M97" s="88" t="n">
        <v>0.0732</v>
      </c>
      <c r="N97" s="88" t="n">
        <v>0.4106</v>
      </c>
      <c r="O97" s="88" t="n">
        <v>4.06</v>
      </c>
      <c r="P97" s="88" t="n">
        <v>0.4232</v>
      </c>
      <c r="Q97" s="88" t="n">
        <v>1.5957</v>
      </c>
      <c r="R97" s="88" t="n">
        <v>2.2</v>
      </c>
      <c r="S97" s="89" t="s">
        <v>219</v>
      </c>
      <c r="T97" s="89" t="s">
        <v>416</v>
      </c>
      <c r="U97" s="89" t="s">
        <v>221</v>
      </c>
      <c r="V97" s="95"/>
      <c r="W97" s="89" t="s">
        <v>222</v>
      </c>
      <c r="X97" s="89"/>
      <c r="Y97" s="89"/>
      <c r="Z97" s="89"/>
      <c r="AA97" s="89"/>
      <c r="AB97" s="88"/>
      <c r="AC97" s="91"/>
    </row>
    <row r="98" customFormat="false" ht="15" hidden="false" customHeight="false" outlineLevel="0" collapsed="false">
      <c r="A98" s="68" t="e">
        <f aca="false">VLOOKUP(E98,'[1]Listas Desplegables'!$H$3:$J$7,2,FALSE())</f>
        <v>#N/A</v>
      </c>
      <c r="B98" s="68" t="e">
        <f aca="false">VLOOKUP(E98,'[1]Listas Desplegables'!$H$3:$J$7,3,FALSE())</f>
        <v>#N/A</v>
      </c>
      <c r="C98" s="85" t="n">
        <v>93</v>
      </c>
      <c r="D98" s="94" t="s">
        <v>417</v>
      </c>
      <c r="E98" s="94" t="s">
        <v>247</v>
      </c>
      <c r="F98" s="94" t="s">
        <v>234</v>
      </c>
      <c r="G98" s="87" t="n">
        <v>110</v>
      </c>
      <c r="H98" s="88" t="n">
        <v>0.35</v>
      </c>
      <c r="I98" s="88" t="n">
        <v>712</v>
      </c>
      <c r="J98" s="88" t="n">
        <v>794</v>
      </c>
      <c r="K98" s="88" t="n">
        <v>783</v>
      </c>
      <c r="L98" s="89" t="s">
        <v>218</v>
      </c>
      <c r="M98" s="88" t="n">
        <v>0.0594</v>
      </c>
      <c r="N98" s="88" t="n">
        <v>0.1543</v>
      </c>
      <c r="O98" s="88" t="n">
        <v>134.1965</v>
      </c>
      <c r="P98" s="88" t="n">
        <v>0.1141</v>
      </c>
      <c r="Q98" s="88" t="n">
        <v>0.0431</v>
      </c>
      <c r="R98" s="88" t="n">
        <v>134.1965</v>
      </c>
      <c r="S98" s="89" t="s">
        <v>219</v>
      </c>
      <c r="T98" s="89" t="s">
        <v>241</v>
      </c>
      <c r="U98" s="89" t="s">
        <v>221</v>
      </c>
      <c r="V98" s="95"/>
      <c r="W98" s="89" t="s">
        <v>384</v>
      </c>
      <c r="X98" s="89"/>
      <c r="Y98" s="89"/>
      <c r="Z98" s="89"/>
      <c r="AA98" s="89"/>
      <c r="AB98" s="88"/>
      <c r="AC98" s="91"/>
    </row>
    <row r="99" customFormat="false" ht="15" hidden="false" customHeight="false" outlineLevel="0" collapsed="false">
      <c r="A99" s="68" t="e">
        <f aca="false">VLOOKUP(E99,'[1]Listas Desplegables'!$H$3:$J$7,2,FALSE())</f>
        <v>#N/A</v>
      </c>
      <c r="B99" s="68" t="e">
        <f aca="false">VLOOKUP(E99,'[1]Listas Desplegables'!$H$3:$J$7,3,FALSE())</f>
        <v>#N/A</v>
      </c>
      <c r="C99" s="85" t="n">
        <v>94</v>
      </c>
      <c r="D99" s="94" t="s">
        <v>418</v>
      </c>
      <c r="E99" s="94" t="s">
        <v>247</v>
      </c>
      <c r="F99" s="94" t="s">
        <v>234</v>
      </c>
      <c r="G99" s="87" t="n">
        <v>110</v>
      </c>
      <c r="H99" s="88" t="n">
        <v>3.1</v>
      </c>
      <c r="I99" s="88" t="n">
        <v>712</v>
      </c>
      <c r="J99" s="88" t="n">
        <v>794</v>
      </c>
      <c r="K99" s="88" t="n">
        <v>783</v>
      </c>
      <c r="L99" s="89" t="s">
        <v>218</v>
      </c>
      <c r="M99" s="88" t="n">
        <v>0.0777</v>
      </c>
      <c r="N99" s="88" t="n">
        <v>0.4792</v>
      </c>
      <c r="O99" s="88" t="n">
        <v>4.123</v>
      </c>
      <c r="P99" s="88" t="n">
        <v>0.368</v>
      </c>
      <c r="Q99" s="88" t="n">
        <v>1.481</v>
      </c>
      <c r="R99" s="88" t="n">
        <v>2.192</v>
      </c>
      <c r="S99" s="89" t="s">
        <v>219</v>
      </c>
      <c r="T99" s="89" t="s">
        <v>416</v>
      </c>
      <c r="U99" s="89" t="s">
        <v>221</v>
      </c>
      <c r="V99" s="95"/>
      <c r="W99" s="89" t="s">
        <v>419</v>
      </c>
      <c r="X99" s="89"/>
      <c r="Y99" s="89"/>
      <c r="Z99" s="89"/>
      <c r="AA99" s="89"/>
      <c r="AB99" s="88"/>
      <c r="AC99" s="91"/>
    </row>
    <row r="100" customFormat="false" ht="15" hidden="false" customHeight="false" outlineLevel="0" collapsed="false">
      <c r="A100" s="68" t="e">
        <f aca="false">VLOOKUP(E100,'[1]Listas Desplegables'!$H$3:$J$7,2,FALSE())</f>
        <v>#N/A</v>
      </c>
      <c r="B100" s="68" t="e">
        <f aca="false">VLOOKUP(E100,'[1]Listas Desplegables'!$H$3:$J$7,3,FALSE())</f>
        <v>#N/A</v>
      </c>
      <c r="C100" s="85" t="n">
        <v>95</v>
      </c>
      <c r="D100" s="94" t="s">
        <v>420</v>
      </c>
      <c r="E100" s="94" t="s">
        <v>247</v>
      </c>
      <c r="F100" s="94" t="s">
        <v>234</v>
      </c>
      <c r="G100" s="87" t="n">
        <v>110</v>
      </c>
      <c r="H100" s="88" t="n">
        <v>0.76</v>
      </c>
      <c r="I100" s="88" t="n">
        <v>712</v>
      </c>
      <c r="J100" s="88" t="n">
        <v>794</v>
      </c>
      <c r="K100" s="88" t="n">
        <v>783</v>
      </c>
      <c r="L100" s="89" t="s">
        <v>218</v>
      </c>
      <c r="M100" s="88" t="n">
        <v>0.0739</v>
      </c>
      <c r="N100" s="88" t="n">
        <v>0.0826</v>
      </c>
      <c r="O100" s="88" t="n">
        <v>143.56</v>
      </c>
      <c r="P100" s="88" t="n">
        <v>0.1029</v>
      </c>
      <c r="Q100" s="88" t="n">
        <v>0.0401</v>
      </c>
      <c r="R100" s="88" t="n">
        <v>143.56</v>
      </c>
      <c r="S100" s="89" t="s">
        <v>219</v>
      </c>
      <c r="T100" s="89" t="s">
        <v>241</v>
      </c>
      <c r="U100" s="89" t="s">
        <v>221</v>
      </c>
      <c r="V100" s="95"/>
      <c r="W100" s="89" t="s">
        <v>384</v>
      </c>
      <c r="X100" s="89"/>
      <c r="Y100" s="89"/>
      <c r="Z100" s="89"/>
      <c r="AA100" s="89"/>
      <c r="AB100" s="88"/>
      <c r="AC100" s="91"/>
    </row>
    <row r="101" customFormat="false" ht="15" hidden="false" customHeight="false" outlineLevel="0" collapsed="false">
      <c r="A101" s="68" t="e">
        <f aca="false">VLOOKUP(E101,'[1]Listas Desplegables'!$H$3:$J$7,2,FALSE())</f>
        <v>#N/A</v>
      </c>
      <c r="B101" s="68" t="e">
        <f aca="false">VLOOKUP(E101,'[1]Listas Desplegables'!$H$3:$J$7,3,FALSE())</f>
        <v>#N/A</v>
      </c>
      <c r="C101" s="85" t="n">
        <v>96</v>
      </c>
      <c r="D101" s="94" t="s">
        <v>421</v>
      </c>
      <c r="E101" s="94" t="s">
        <v>269</v>
      </c>
      <c r="F101" s="94" t="s">
        <v>261</v>
      </c>
      <c r="G101" s="87" t="n">
        <v>110</v>
      </c>
      <c r="H101" s="88" t="n">
        <v>2.2</v>
      </c>
      <c r="I101" s="88" t="n">
        <v>945</v>
      </c>
      <c r="J101" s="88" t="n">
        <v>945</v>
      </c>
      <c r="K101" s="88" t="n">
        <v>945</v>
      </c>
      <c r="L101" s="89" t="s">
        <v>218</v>
      </c>
      <c r="M101" s="88" t="n">
        <v>0.024</v>
      </c>
      <c r="N101" s="88" t="n">
        <v>0.2095</v>
      </c>
      <c r="O101" s="88" t="n">
        <v>4.7111</v>
      </c>
      <c r="P101" s="88" t="n">
        <v>0.1245</v>
      </c>
      <c r="Q101" s="88" t="n">
        <v>0.1432</v>
      </c>
      <c r="R101" s="88" t="n">
        <v>3.9781</v>
      </c>
      <c r="S101" s="89" t="s">
        <v>219</v>
      </c>
      <c r="T101" s="89" t="s">
        <v>220</v>
      </c>
      <c r="U101" s="89" t="s">
        <v>395</v>
      </c>
      <c r="V101" s="96" t="n">
        <v>2029</v>
      </c>
      <c r="W101" s="89" t="s">
        <v>422</v>
      </c>
      <c r="X101" s="89"/>
      <c r="Y101" s="89"/>
      <c r="Z101" s="89"/>
      <c r="AA101" s="89"/>
      <c r="AB101" s="88"/>
      <c r="AC101" s="91"/>
    </row>
    <row r="102" customFormat="false" ht="15" hidden="false" customHeight="false" outlineLevel="0" collapsed="false">
      <c r="A102" s="68" t="e">
        <f aca="false">VLOOKUP(E102,'[1]Listas Desplegables'!$H$3:$J$7,2,FALSE())</f>
        <v>#N/A</v>
      </c>
      <c r="B102" s="68" t="e">
        <f aca="false">VLOOKUP(E102,'[1]Listas Desplegables'!$H$3:$J$7,3,FALSE())</f>
        <v>#N/A</v>
      </c>
      <c r="C102" s="85" t="n">
        <v>97</v>
      </c>
      <c r="D102" s="94" t="s">
        <v>423</v>
      </c>
      <c r="E102" s="94" t="s">
        <v>255</v>
      </c>
      <c r="F102" s="94" t="s">
        <v>424</v>
      </c>
      <c r="G102" s="87" t="n">
        <v>110</v>
      </c>
      <c r="H102" s="88" t="n">
        <v>3.8</v>
      </c>
      <c r="I102" s="88" t="n">
        <v>945</v>
      </c>
      <c r="J102" s="88" t="n">
        <v>945</v>
      </c>
      <c r="K102" s="88" t="n">
        <v>945</v>
      </c>
      <c r="L102" s="89" t="s">
        <v>218</v>
      </c>
      <c r="M102" s="88" t="n">
        <v>0.024</v>
      </c>
      <c r="N102" s="88" t="n">
        <v>0.2095</v>
      </c>
      <c r="O102" s="88" t="n">
        <v>4.7111</v>
      </c>
      <c r="P102" s="88" t="n">
        <v>0.1245</v>
      </c>
      <c r="Q102" s="88" t="n">
        <v>0.1432</v>
      </c>
      <c r="R102" s="88" t="n">
        <v>3.9781</v>
      </c>
      <c r="S102" s="89" t="s">
        <v>219</v>
      </c>
      <c r="T102" s="89" t="s">
        <v>220</v>
      </c>
      <c r="U102" s="89" t="s">
        <v>395</v>
      </c>
      <c r="V102" s="96" t="n">
        <v>2029</v>
      </c>
      <c r="W102" s="89" t="s">
        <v>422</v>
      </c>
      <c r="X102" s="89"/>
      <c r="Y102" s="89"/>
      <c r="Z102" s="89"/>
      <c r="AA102" s="89"/>
      <c r="AB102" s="88"/>
      <c r="AC102" s="91"/>
    </row>
    <row r="103" customFormat="false" ht="15" hidden="false" customHeight="false" outlineLevel="0" collapsed="false">
      <c r="A103" s="68" t="e">
        <f aca="false">VLOOKUP(E103,'[1]Listas Desplegables'!$H$3:$J$7,2,FALSE())</f>
        <v>#N/A</v>
      </c>
      <c r="B103" s="68" t="e">
        <f aca="false">VLOOKUP(E103,'[1]Listas Desplegables'!$H$3:$J$7,3,FALSE())</f>
        <v>#N/A</v>
      </c>
      <c r="C103" s="85" t="n">
        <v>98</v>
      </c>
      <c r="D103" s="94" t="s">
        <v>425</v>
      </c>
      <c r="E103" s="94" t="s">
        <v>256</v>
      </c>
      <c r="F103" s="94" t="s">
        <v>426</v>
      </c>
      <c r="G103" s="87" t="n">
        <v>110</v>
      </c>
      <c r="H103" s="88" t="n">
        <v>2.3</v>
      </c>
      <c r="I103" s="88" t="n">
        <v>472</v>
      </c>
      <c r="J103" s="88" t="n">
        <v>472</v>
      </c>
      <c r="K103" s="88" t="n">
        <v>472</v>
      </c>
      <c r="L103" s="89" t="s">
        <v>218</v>
      </c>
      <c r="M103" s="88" t="n">
        <v>0.119</v>
      </c>
      <c r="N103" s="88" t="n">
        <v>0.478</v>
      </c>
      <c r="O103" s="88" t="n">
        <v>3.489</v>
      </c>
      <c r="P103" s="88" t="n">
        <v>0.351</v>
      </c>
      <c r="Q103" s="88" t="n">
        <v>1.624</v>
      </c>
      <c r="R103" s="88" t="n">
        <v>2.026</v>
      </c>
      <c r="S103" s="89" t="s">
        <v>219</v>
      </c>
      <c r="T103" s="89" t="s">
        <v>220</v>
      </c>
      <c r="U103" s="89" t="s">
        <v>395</v>
      </c>
      <c r="V103" s="96" t="n">
        <v>2029</v>
      </c>
      <c r="W103" s="89" t="s">
        <v>422</v>
      </c>
      <c r="X103" s="89"/>
      <c r="Y103" s="89"/>
      <c r="Z103" s="89"/>
      <c r="AA103" s="89"/>
      <c r="AB103" s="88"/>
      <c r="AC103" s="91" t="s">
        <v>427</v>
      </c>
    </row>
    <row r="104" customFormat="false" ht="15" hidden="false" customHeight="false" outlineLevel="0" collapsed="false">
      <c r="A104" s="68" t="e">
        <f aca="false">VLOOKUP(E104,'[1]Listas Desplegables'!$H$3:$J$7,2,FALSE())</f>
        <v>#N/A</v>
      </c>
      <c r="B104" s="68" t="e">
        <f aca="false">VLOOKUP(E104,'[1]Listas Desplegables'!$H$3:$J$7,3,FALSE())</f>
        <v>#N/A</v>
      </c>
      <c r="C104" s="85" t="n">
        <v>99</v>
      </c>
      <c r="D104" s="94" t="s">
        <v>428</v>
      </c>
      <c r="E104" s="94" t="s">
        <v>426</v>
      </c>
      <c r="F104" s="94" t="s">
        <v>424</v>
      </c>
      <c r="G104" s="87" t="n">
        <v>110</v>
      </c>
      <c r="H104" s="88" t="n">
        <v>1.8</v>
      </c>
      <c r="I104" s="88" t="n">
        <v>900</v>
      </c>
      <c r="J104" s="88" t="n">
        <v>900</v>
      </c>
      <c r="K104" s="88" t="n">
        <v>900</v>
      </c>
      <c r="L104" s="89" t="s">
        <v>218</v>
      </c>
      <c r="M104" s="88" t="n">
        <v>0.03</v>
      </c>
      <c r="N104" s="88" t="n">
        <v>0.13</v>
      </c>
      <c r="O104" s="88" t="n">
        <v>30.16</v>
      </c>
      <c r="P104" s="88" t="n">
        <v>0.26</v>
      </c>
      <c r="Q104" s="88" t="n">
        <v>0.11</v>
      </c>
      <c r="R104" s="88" t="n">
        <v>0</v>
      </c>
      <c r="S104" s="89" t="s">
        <v>219</v>
      </c>
      <c r="T104" s="89" t="s">
        <v>220</v>
      </c>
      <c r="U104" s="89" t="s">
        <v>395</v>
      </c>
      <c r="V104" s="96" t="n">
        <v>2029</v>
      </c>
      <c r="W104" s="89" t="s">
        <v>422</v>
      </c>
      <c r="X104" s="89"/>
      <c r="Y104" s="89"/>
      <c r="Z104" s="89"/>
      <c r="AA104" s="89"/>
      <c r="AB104" s="88"/>
      <c r="AC104" s="91" t="s">
        <v>427</v>
      </c>
    </row>
    <row r="105" customFormat="false" ht="15" hidden="false" customHeight="false" outlineLevel="0" collapsed="false">
      <c r="A105" s="68" t="e">
        <f aca="false">VLOOKUP(E105,'[1]Listas Desplegables'!$H$3:$J$7,2,FALSE())</f>
        <v>#N/A</v>
      </c>
      <c r="B105" s="68" t="e">
        <f aca="false">VLOOKUP(E105,'[1]Listas Desplegables'!$H$3:$J$7,3,FALSE())</f>
        <v>#N/A</v>
      </c>
      <c r="C105" s="85" t="n">
        <v>100</v>
      </c>
      <c r="D105" s="94" t="s">
        <v>429</v>
      </c>
      <c r="E105" s="94" t="s">
        <v>424</v>
      </c>
      <c r="F105" s="94" t="s">
        <v>430</v>
      </c>
      <c r="G105" s="87" t="n">
        <v>110</v>
      </c>
      <c r="H105" s="88" t="n">
        <v>1.8</v>
      </c>
      <c r="I105" s="88" t="n">
        <v>900</v>
      </c>
      <c r="J105" s="88" t="n">
        <v>900</v>
      </c>
      <c r="K105" s="88" t="n">
        <v>900</v>
      </c>
      <c r="L105" s="89" t="s">
        <v>218</v>
      </c>
      <c r="M105" s="88" t="n">
        <v>0.03</v>
      </c>
      <c r="N105" s="88" t="n">
        <v>0.13</v>
      </c>
      <c r="O105" s="88" t="n">
        <v>30.16</v>
      </c>
      <c r="P105" s="88" t="n">
        <v>0.26</v>
      </c>
      <c r="Q105" s="88" t="n">
        <v>0.11</v>
      </c>
      <c r="R105" s="88" t="n">
        <v>0</v>
      </c>
      <c r="S105" s="89" t="s">
        <v>219</v>
      </c>
      <c r="T105" s="89" t="s">
        <v>220</v>
      </c>
      <c r="U105" s="89" t="s">
        <v>395</v>
      </c>
      <c r="V105" s="96" t="n">
        <v>2029</v>
      </c>
      <c r="W105" s="89" t="s">
        <v>422</v>
      </c>
      <c r="X105" s="89"/>
      <c r="Y105" s="89"/>
      <c r="Z105" s="89"/>
      <c r="AA105" s="89"/>
      <c r="AB105" s="88"/>
      <c r="AC105" s="91" t="s">
        <v>427</v>
      </c>
    </row>
    <row r="106" customFormat="false" ht="15" hidden="false" customHeight="false" outlineLevel="0" collapsed="false">
      <c r="A106" s="68" t="e">
        <f aca="false">VLOOKUP(E106,'[1]Listas Desplegables'!$H$3:$J$7,2,FALSE())</f>
        <v>#N/A</v>
      </c>
      <c r="B106" s="68" t="e">
        <f aca="false">VLOOKUP(E106,'[1]Listas Desplegables'!$H$3:$J$7,3,FALSE())</f>
        <v>#N/A</v>
      </c>
      <c r="C106" s="85" t="n">
        <v>101</v>
      </c>
      <c r="D106" s="94" t="s">
        <v>431</v>
      </c>
      <c r="E106" s="94" t="s">
        <v>430</v>
      </c>
      <c r="F106" s="94" t="s">
        <v>255</v>
      </c>
      <c r="G106" s="87" t="n">
        <v>110</v>
      </c>
      <c r="H106" s="88" t="n">
        <v>5.5</v>
      </c>
      <c r="I106" s="88" t="n">
        <v>472</v>
      </c>
      <c r="J106" s="88" t="n">
        <v>472</v>
      </c>
      <c r="K106" s="88" t="n">
        <v>472</v>
      </c>
      <c r="L106" s="89" t="s">
        <v>218</v>
      </c>
      <c r="M106" s="88" t="n">
        <v>0.119</v>
      </c>
      <c r="N106" s="88" t="n">
        <v>0.478</v>
      </c>
      <c r="O106" s="88" t="n">
        <v>3.489</v>
      </c>
      <c r="P106" s="88" t="n">
        <v>0.351</v>
      </c>
      <c r="Q106" s="88" t="n">
        <v>1.624</v>
      </c>
      <c r="R106" s="88" t="n">
        <v>2.026</v>
      </c>
      <c r="S106" s="89" t="s">
        <v>219</v>
      </c>
      <c r="T106" s="89" t="s">
        <v>220</v>
      </c>
      <c r="U106" s="89" t="s">
        <v>395</v>
      </c>
      <c r="V106" s="96" t="n">
        <v>2029</v>
      </c>
      <c r="W106" s="89" t="s">
        <v>422</v>
      </c>
      <c r="X106" s="89"/>
      <c r="Y106" s="89"/>
      <c r="Z106" s="89"/>
      <c r="AA106" s="89"/>
      <c r="AB106" s="88"/>
      <c r="AC106" s="91" t="s">
        <v>427</v>
      </c>
    </row>
    <row r="107" customFormat="false" ht="15" hidden="false" customHeight="false" outlineLevel="0" collapsed="false">
      <c r="A107" s="68" t="e">
        <f aca="false">VLOOKUP(E107,'[1]Listas Desplegables'!$H$3:$J$7,2,FALSE())</f>
        <v>#N/A</v>
      </c>
      <c r="B107" s="68" t="e">
        <f aca="false">VLOOKUP(E107,'[1]Listas Desplegables'!$H$3:$J$7,3,FALSE())</f>
        <v>#N/A</v>
      </c>
      <c r="C107" s="85" t="n">
        <v>102</v>
      </c>
      <c r="D107" s="94" t="s">
        <v>432</v>
      </c>
      <c r="E107" s="94" t="s">
        <v>433</v>
      </c>
      <c r="F107" s="94" t="s">
        <v>434</v>
      </c>
      <c r="G107" s="87" t="n">
        <v>110</v>
      </c>
      <c r="H107" s="88" t="n">
        <v>25</v>
      </c>
      <c r="I107" s="88" t="n">
        <v>472</v>
      </c>
      <c r="J107" s="88" t="n">
        <v>472</v>
      </c>
      <c r="K107" s="88" t="n">
        <v>472</v>
      </c>
      <c r="L107" s="89" t="s">
        <v>48</v>
      </c>
      <c r="M107" s="88" t="n">
        <v>0.12</v>
      </c>
      <c r="N107" s="88" t="n">
        <v>0.476</v>
      </c>
      <c r="O107" s="88" t="n">
        <v>3.531</v>
      </c>
      <c r="P107" s="88" t="n">
        <v>0.563</v>
      </c>
      <c r="Q107" s="88" t="n">
        <v>1.369</v>
      </c>
      <c r="R107" s="88" t="n">
        <v>2.531</v>
      </c>
      <c r="S107" s="89" t="s">
        <v>219</v>
      </c>
      <c r="T107" s="89" t="s">
        <v>220</v>
      </c>
      <c r="U107" s="89" t="s">
        <v>395</v>
      </c>
      <c r="V107" s="96" t="n">
        <v>2029</v>
      </c>
      <c r="W107" s="89" t="s">
        <v>422</v>
      </c>
      <c r="X107" s="89"/>
      <c r="Y107" s="89"/>
      <c r="Z107" s="89"/>
      <c r="AA107" s="89"/>
      <c r="AB107" s="88"/>
      <c r="AC107" s="91" t="s">
        <v>435</v>
      </c>
    </row>
    <row r="108" customFormat="false" ht="15" hidden="false" customHeight="false" outlineLevel="0" collapsed="false">
      <c r="A108" s="68" t="e">
        <f aca="false">VLOOKUP(E108,'[1]Listas Desplegables'!$H$3:$J$7,2,FALSE())</f>
        <v>#N/A</v>
      </c>
      <c r="B108" s="68" t="e">
        <f aca="false">VLOOKUP(E108,'[1]Listas Desplegables'!$H$3:$J$7,3,FALSE())</f>
        <v>#N/A</v>
      </c>
      <c r="C108" s="85" t="n">
        <v>103</v>
      </c>
      <c r="D108" s="94" t="s">
        <v>436</v>
      </c>
      <c r="E108" s="94" t="s">
        <v>433</v>
      </c>
      <c r="F108" s="94" t="s">
        <v>434</v>
      </c>
      <c r="G108" s="87" t="n">
        <v>110</v>
      </c>
      <c r="H108" s="88" t="n">
        <v>3.85</v>
      </c>
      <c r="I108" s="88" t="n">
        <v>945</v>
      </c>
      <c r="J108" s="88" t="n">
        <v>945</v>
      </c>
      <c r="K108" s="88" t="n">
        <v>945</v>
      </c>
      <c r="L108" s="89" t="s">
        <v>48</v>
      </c>
      <c r="M108" s="88" t="n">
        <v>0.024</v>
      </c>
      <c r="N108" s="88" t="n">
        <v>0.2095</v>
      </c>
      <c r="O108" s="88" t="n">
        <v>4.7111</v>
      </c>
      <c r="P108" s="88" t="n">
        <v>0.1245</v>
      </c>
      <c r="Q108" s="88" t="n">
        <v>0.1432</v>
      </c>
      <c r="R108" s="88" t="n">
        <v>3.9781</v>
      </c>
      <c r="S108" s="89" t="s">
        <v>219</v>
      </c>
      <c r="T108" s="89" t="s">
        <v>220</v>
      </c>
      <c r="U108" s="89" t="s">
        <v>395</v>
      </c>
      <c r="V108" s="96" t="n">
        <v>2029</v>
      </c>
      <c r="W108" s="89" t="s">
        <v>422</v>
      </c>
      <c r="X108" s="89"/>
      <c r="Y108" s="89"/>
      <c r="Z108" s="89"/>
      <c r="AA108" s="89"/>
      <c r="AB108" s="88"/>
      <c r="AC108" s="91" t="s">
        <v>435</v>
      </c>
    </row>
    <row r="109" customFormat="false" ht="15" hidden="false" customHeight="false" outlineLevel="0" collapsed="false">
      <c r="A109" s="68" t="e">
        <f aca="false">VLOOKUP(E109,'[1]Listas Desplegables'!$H$3:$J$7,2,FALSE())</f>
        <v>#N/A</v>
      </c>
      <c r="B109" s="68" t="e">
        <f aca="false">VLOOKUP(E109,'[1]Listas Desplegables'!$H$3:$J$7,3,FALSE())</f>
        <v>#N/A</v>
      </c>
      <c r="C109" s="85" t="n">
        <v>104</v>
      </c>
      <c r="D109" s="94" t="s">
        <v>437</v>
      </c>
      <c r="E109" s="94" t="s">
        <v>433</v>
      </c>
      <c r="F109" s="94" t="s">
        <v>438</v>
      </c>
      <c r="G109" s="87" t="n">
        <v>110</v>
      </c>
      <c r="H109" s="88" t="n">
        <v>3.85</v>
      </c>
      <c r="I109" s="88" t="n">
        <v>945</v>
      </c>
      <c r="J109" s="88" t="n">
        <v>945</v>
      </c>
      <c r="K109" s="88" t="n">
        <v>945</v>
      </c>
      <c r="L109" s="89" t="s">
        <v>48</v>
      </c>
      <c r="M109" s="88" t="n">
        <v>0.024</v>
      </c>
      <c r="N109" s="88" t="n">
        <v>0.2095</v>
      </c>
      <c r="O109" s="88" t="n">
        <v>4.7111</v>
      </c>
      <c r="P109" s="88" t="n">
        <v>0.1245</v>
      </c>
      <c r="Q109" s="88" t="n">
        <v>0.1432</v>
      </c>
      <c r="R109" s="88" t="n">
        <v>3.9781</v>
      </c>
      <c r="S109" s="89" t="s">
        <v>219</v>
      </c>
      <c r="T109" s="89" t="s">
        <v>220</v>
      </c>
      <c r="U109" s="89" t="s">
        <v>395</v>
      </c>
      <c r="V109" s="96" t="n">
        <v>2029</v>
      </c>
      <c r="W109" s="89" t="s">
        <v>422</v>
      </c>
      <c r="X109" s="89"/>
      <c r="Y109" s="89"/>
      <c r="Z109" s="89"/>
      <c r="AA109" s="89"/>
      <c r="AB109" s="88"/>
      <c r="AC109" s="91" t="s">
        <v>435</v>
      </c>
    </row>
    <row r="110" customFormat="false" ht="15" hidden="false" customHeight="false" outlineLevel="0" collapsed="false">
      <c r="A110" s="68" t="e">
        <f aca="false">VLOOKUP(E110,'[1]Listas Desplegables'!$H$3:$J$7,2,FALSE())</f>
        <v>#N/A</v>
      </c>
      <c r="B110" s="68" t="e">
        <f aca="false">VLOOKUP(E110,'[1]Listas Desplegables'!$H$3:$J$7,3,FALSE())</f>
        <v>#N/A</v>
      </c>
      <c r="C110" s="85" t="n">
        <v>105</v>
      </c>
      <c r="D110" s="94" t="s">
        <v>439</v>
      </c>
      <c r="E110" s="94" t="s">
        <v>433</v>
      </c>
      <c r="F110" s="94" t="s">
        <v>438</v>
      </c>
      <c r="G110" s="87" t="n">
        <v>110</v>
      </c>
      <c r="H110" s="88" t="n">
        <v>41</v>
      </c>
      <c r="I110" s="88" t="n">
        <v>472</v>
      </c>
      <c r="J110" s="88" t="n">
        <v>472</v>
      </c>
      <c r="K110" s="88" t="n">
        <v>472</v>
      </c>
      <c r="L110" s="89" t="s">
        <v>48</v>
      </c>
      <c r="M110" s="88" t="n">
        <v>0.12</v>
      </c>
      <c r="N110" s="88" t="n">
        <v>0.476</v>
      </c>
      <c r="O110" s="88" t="n">
        <v>3.531</v>
      </c>
      <c r="P110" s="88" t="n">
        <v>0.563</v>
      </c>
      <c r="Q110" s="88" t="n">
        <v>1.369</v>
      </c>
      <c r="R110" s="88" t="n">
        <v>2.531</v>
      </c>
      <c r="S110" s="89" t="s">
        <v>219</v>
      </c>
      <c r="T110" s="89" t="s">
        <v>220</v>
      </c>
      <c r="U110" s="89" t="s">
        <v>395</v>
      </c>
      <c r="V110" s="96" t="n">
        <v>2029</v>
      </c>
      <c r="W110" s="89" t="s">
        <v>422</v>
      </c>
      <c r="X110" s="89"/>
      <c r="Y110" s="89"/>
      <c r="Z110" s="89"/>
      <c r="AA110" s="89"/>
      <c r="AB110" s="88"/>
      <c r="AC110" s="91" t="s">
        <v>435</v>
      </c>
    </row>
    <row r="111" customFormat="false" ht="15" hidden="false" customHeight="false" outlineLevel="0" collapsed="false">
      <c r="A111" s="68" t="e">
        <f aca="false">VLOOKUP(E111,'[1]Listas Desplegables'!$H$3:$J$7,2,FALSE())</f>
        <v>#N/A</v>
      </c>
      <c r="B111" s="68" t="e">
        <f aca="false">VLOOKUP(E111,'[1]Listas Desplegables'!$H$3:$J$7,3,FALSE())</f>
        <v>#N/A</v>
      </c>
      <c r="C111" s="85" t="n">
        <v>106</v>
      </c>
      <c r="D111" s="94" t="s">
        <v>440</v>
      </c>
      <c r="E111" s="94" t="s">
        <v>433</v>
      </c>
      <c r="F111" s="94" t="s">
        <v>438</v>
      </c>
      <c r="G111" s="87" t="n">
        <v>110</v>
      </c>
      <c r="H111" s="88" t="n">
        <v>3.6</v>
      </c>
      <c r="I111" s="88" t="n">
        <v>945</v>
      </c>
      <c r="J111" s="88" t="n">
        <v>945</v>
      </c>
      <c r="K111" s="88" t="n">
        <v>945</v>
      </c>
      <c r="L111" s="89" t="s">
        <v>48</v>
      </c>
      <c r="M111" s="88" t="n">
        <v>0.024</v>
      </c>
      <c r="N111" s="88" t="n">
        <v>0.2095</v>
      </c>
      <c r="O111" s="88" t="n">
        <v>4.7111</v>
      </c>
      <c r="P111" s="88" t="n">
        <v>0.1245</v>
      </c>
      <c r="Q111" s="88" t="n">
        <v>0.1432</v>
      </c>
      <c r="R111" s="88" t="n">
        <v>3.9781</v>
      </c>
      <c r="S111" s="89" t="s">
        <v>219</v>
      </c>
      <c r="T111" s="89" t="s">
        <v>220</v>
      </c>
      <c r="U111" s="89" t="s">
        <v>395</v>
      </c>
      <c r="V111" s="96" t="n">
        <v>2029</v>
      </c>
      <c r="W111" s="89" t="s">
        <v>422</v>
      </c>
      <c r="X111" s="89"/>
      <c r="Y111" s="89"/>
      <c r="Z111" s="89"/>
      <c r="AA111" s="89"/>
      <c r="AB111" s="88"/>
      <c r="AC111" s="91" t="s">
        <v>435</v>
      </c>
    </row>
    <row r="112" customFormat="false" ht="15" hidden="false" customHeight="false" outlineLevel="0" collapsed="false">
      <c r="A112" s="68" t="e">
        <f aca="false">VLOOKUP(E112,'[1]Listas Desplegables'!$H$3:$J$7,2,FALSE())</f>
        <v>#N/A</v>
      </c>
      <c r="B112" s="68" t="e">
        <f aca="false">VLOOKUP(E112,'[1]Listas Desplegables'!$H$3:$J$7,3,FALSE())</f>
        <v>#N/A</v>
      </c>
      <c r="C112" s="85" t="n">
        <v>107</v>
      </c>
      <c r="D112" s="94" t="s">
        <v>441</v>
      </c>
      <c r="E112" s="94" t="s">
        <v>442</v>
      </c>
      <c r="F112" s="94" t="s">
        <v>438</v>
      </c>
      <c r="G112" s="87" t="n">
        <v>110</v>
      </c>
      <c r="H112" s="88" t="n">
        <v>3.6</v>
      </c>
      <c r="I112" s="88" t="n">
        <v>945</v>
      </c>
      <c r="J112" s="88" t="n">
        <v>945</v>
      </c>
      <c r="K112" s="88" t="n">
        <v>945</v>
      </c>
      <c r="L112" s="89" t="s">
        <v>48</v>
      </c>
      <c r="M112" s="88" t="n">
        <v>0.024</v>
      </c>
      <c r="N112" s="88" t="n">
        <v>0.2095</v>
      </c>
      <c r="O112" s="88" t="n">
        <v>4.7111</v>
      </c>
      <c r="P112" s="88" t="n">
        <v>0.1245</v>
      </c>
      <c r="Q112" s="88" t="n">
        <v>0.1432</v>
      </c>
      <c r="R112" s="88" t="n">
        <v>3.9781</v>
      </c>
      <c r="S112" s="89" t="s">
        <v>219</v>
      </c>
      <c r="T112" s="89" t="s">
        <v>220</v>
      </c>
      <c r="U112" s="89" t="s">
        <v>395</v>
      </c>
      <c r="V112" s="96" t="n">
        <v>2029</v>
      </c>
      <c r="W112" s="89" t="s">
        <v>422</v>
      </c>
      <c r="X112" s="89"/>
      <c r="Y112" s="89"/>
      <c r="Z112" s="89"/>
      <c r="AA112" s="89"/>
      <c r="AB112" s="88"/>
      <c r="AC112" s="91" t="s">
        <v>435</v>
      </c>
    </row>
    <row r="113" customFormat="false" ht="15" hidden="false" customHeight="false" outlineLevel="0" collapsed="false">
      <c r="A113" s="68" t="e">
        <f aca="false">VLOOKUP(E113,'[1]Listas Desplegables'!$H$3:$J$7,2,FALSE())</f>
        <v>#N/A</v>
      </c>
      <c r="B113" s="68" t="e">
        <f aca="false">VLOOKUP(E113,'[1]Listas Desplegables'!$H$3:$J$7,3,FALSE())</f>
        <v>#N/A</v>
      </c>
      <c r="C113" s="85" t="n">
        <v>108</v>
      </c>
      <c r="D113" s="94" t="s">
        <v>443</v>
      </c>
      <c r="E113" s="94" t="s">
        <v>442</v>
      </c>
      <c r="F113" s="94" t="s">
        <v>438</v>
      </c>
      <c r="G113" s="87" t="n">
        <v>110</v>
      </c>
      <c r="H113" s="88" t="n">
        <v>2</v>
      </c>
      <c r="I113" s="88" t="n">
        <v>300</v>
      </c>
      <c r="J113" s="88" t="n">
        <v>580</v>
      </c>
      <c r="K113" s="88" t="n">
        <v>330</v>
      </c>
      <c r="L113" s="89" t="s">
        <v>48</v>
      </c>
      <c r="M113" s="88" t="n">
        <v>0.12</v>
      </c>
      <c r="N113" s="88" t="n">
        <v>0.476</v>
      </c>
      <c r="O113" s="88" t="n">
        <v>3.531</v>
      </c>
      <c r="P113" s="88" t="n">
        <v>0.563</v>
      </c>
      <c r="Q113" s="88" t="n">
        <v>1.369</v>
      </c>
      <c r="R113" s="88" t="n">
        <v>2.531</v>
      </c>
      <c r="S113" s="89" t="s">
        <v>219</v>
      </c>
      <c r="T113" s="89" t="s">
        <v>220</v>
      </c>
      <c r="U113" s="89" t="s">
        <v>395</v>
      </c>
      <c r="V113" s="96" t="n">
        <v>2029</v>
      </c>
      <c r="W113" s="89" t="s">
        <v>422</v>
      </c>
      <c r="X113" s="89"/>
      <c r="Y113" s="89"/>
      <c r="Z113" s="89"/>
      <c r="AA113" s="89"/>
      <c r="AB113" s="88"/>
      <c r="AC113" s="91" t="s">
        <v>435</v>
      </c>
    </row>
    <row r="114" customFormat="false" ht="15" hidden="false" customHeight="false" outlineLevel="0" collapsed="false">
      <c r="A114" s="68" t="e">
        <f aca="false">VLOOKUP(E114,'[1]Listas Desplegables'!$H$3:$J$7,2,FALSE())</f>
        <v>#N/A</v>
      </c>
      <c r="B114" s="68" t="e">
        <f aca="false">VLOOKUP(E114,'[1]Listas Desplegables'!$H$3:$J$7,3,FALSE())</f>
        <v>#N/A</v>
      </c>
      <c r="C114" s="85" t="n">
        <v>109</v>
      </c>
      <c r="D114" s="94" t="s">
        <v>444</v>
      </c>
      <c r="E114" s="94" t="s">
        <v>445</v>
      </c>
      <c r="F114" s="94" t="s">
        <v>446</v>
      </c>
      <c r="G114" s="87" t="n">
        <v>110</v>
      </c>
      <c r="H114" s="88" t="n">
        <v>1.25</v>
      </c>
      <c r="I114" s="88" t="n">
        <v>945</v>
      </c>
      <c r="J114" s="88" t="n">
        <v>945</v>
      </c>
      <c r="K114" s="88" t="n">
        <v>945</v>
      </c>
      <c r="L114" s="89" t="s">
        <v>48</v>
      </c>
      <c r="M114" s="88" t="n">
        <v>0.11</v>
      </c>
      <c r="N114" s="88" t="n">
        <v>0.44</v>
      </c>
      <c r="O114" s="88" t="n">
        <v>3.48</v>
      </c>
      <c r="P114" s="88" t="n">
        <v>0.42</v>
      </c>
      <c r="Q114" s="88" t="n">
        <v>1.55</v>
      </c>
      <c r="R114" s="88" t="n">
        <v>1.93</v>
      </c>
      <c r="S114" s="89" t="s">
        <v>219</v>
      </c>
      <c r="T114" s="89" t="s">
        <v>220</v>
      </c>
      <c r="U114" s="89" t="s">
        <v>395</v>
      </c>
      <c r="V114" s="96" t="n">
        <v>2029</v>
      </c>
      <c r="W114" s="89" t="s">
        <v>422</v>
      </c>
      <c r="X114" s="89"/>
      <c r="Y114" s="89"/>
      <c r="Z114" s="89"/>
      <c r="AA114" s="89"/>
      <c r="AB114" s="88"/>
      <c r="AC114" s="91" t="s">
        <v>435</v>
      </c>
    </row>
    <row r="115" customFormat="false" ht="15" hidden="false" customHeight="false" outlineLevel="0" collapsed="false">
      <c r="A115" s="68" t="e">
        <f aca="false">VLOOKUP(E115,'[1]Listas Desplegables'!$H$3:$J$7,2,FALSE())</f>
        <v>#N/A</v>
      </c>
      <c r="B115" s="68" t="e">
        <f aca="false">VLOOKUP(E115,'[1]Listas Desplegables'!$H$3:$J$7,3,FALSE())</f>
        <v>#N/A</v>
      </c>
      <c r="C115" s="85" t="n">
        <v>110</v>
      </c>
      <c r="D115" s="94" t="s">
        <v>447</v>
      </c>
      <c r="E115" s="94" t="s">
        <v>445</v>
      </c>
      <c r="F115" s="94" t="s">
        <v>448</v>
      </c>
      <c r="G115" s="87" t="n">
        <v>110</v>
      </c>
      <c r="H115" s="88" t="n">
        <v>1.25</v>
      </c>
      <c r="I115" s="88" t="n">
        <v>945</v>
      </c>
      <c r="J115" s="88" t="n">
        <v>945</v>
      </c>
      <c r="K115" s="88" t="n">
        <v>945</v>
      </c>
      <c r="L115" s="89" t="s">
        <v>48</v>
      </c>
      <c r="M115" s="88" t="n">
        <v>0.11</v>
      </c>
      <c r="N115" s="88" t="n">
        <v>0.44</v>
      </c>
      <c r="O115" s="88" t="n">
        <v>3.48</v>
      </c>
      <c r="P115" s="88" t="n">
        <v>0.42</v>
      </c>
      <c r="Q115" s="88" t="n">
        <v>1.55</v>
      </c>
      <c r="R115" s="88" t="n">
        <v>1.93</v>
      </c>
      <c r="S115" s="89" t="s">
        <v>219</v>
      </c>
      <c r="T115" s="89" t="s">
        <v>220</v>
      </c>
      <c r="U115" s="89" t="s">
        <v>395</v>
      </c>
      <c r="V115" s="96" t="n">
        <v>2029</v>
      </c>
      <c r="W115" s="89" t="s">
        <v>422</v>
      </c>
      <c r="X115" s="89"/>
      <c r="Y115" s="89"/>
      <c r="Z115" s="89"/>
      <c r="AA115" s="89"/>
      <c r="AB115" s="88"/>
      <c r="AC115" s="91" t="s">
        <v>435</v>
      </c>
    </row>
    <row r="116" customFormat="false" ht="15" hidden="false" customHeight="false" outlineLevel="0" collapsed="false">
      <c r="A116" s="68" t="e">
        <f aca="false">VLOOKUP(E116,'[1]Listas Desplegables'!$H$3:$J$7,2,FALSE())</f>
        <v>#N/A</v>
      </c>
      <c r="B116" s="68" t="e">
        <f aca="false">VLOOKUP(E116,'[1]Listas Desplegables'!$H$3:$J$7,3,FALSE())</f>
        <v>#N/A</v>
      </c>
      <c r="C116" s="85" t="n">
        <v>111</v>
      </c>
      <c r="D116" s="94" t="s">
        <v>449</v>
      </c>
      <c r="E116" s="94" t="s">
        <v>445</v>
      </c>
      <c r="F116" s="94" t="s">
        <v>450</v>
      </c>
      <c r="G116" s="87" t="n">
        <v>110</v>
      </c>
      <c r="H116" s="88" t="n">
        <v>40</v>
      </c>
      <c r="I116" s="88" t="n">
        <v>691</v>
      </c>
      <c r="J116" s="88" t="n">
        <v>691</v>
      </c>
      <c r="K116" s="88" t="n">
        <v>691</v>
      </c>
      <c r="L116" s="89" t="s">
        <v>48</v>
      </c>
      <c r="M116" s="88" t="n">
        <v>0.1</v>
      </c>
      <c r="N116" s="88" t="n">
        <v>0.49</v>
      </c>
      <c r="O116" s="88" t="n">
        <v>3.43</v>
      </c>
      <c r="P116" s="88" t="n">
        <v>0.35</v>
      </c>
      <c r="Q116" s="88" t="n">
        <v>1.18</v>
      </c>
      <c r="R116" s="88" t="n">
        <v>1.86</v>
      </c>
      <c r="S116" s="89" t="s">
        <v>219</v>
      </c>
      <c r="T116" s="89" t="s">
        <v>220</v>
      </c>
      <c r="U116" s="89" t="s">
        <v>395</v>
      </c>
      <c r="V116" s="96" t="n">
        <v>2029</v>
      </c>
      <c r="W116" s="89" t="s">
        <v>422</v>
      </c>
      <c r="X116" s="89"/>
      <c r="Y116" s="89"/>
      <c r="Z116" s="89"/>
      <c r="AA116" s="89"/>
      <c r="AB116" s="88"/>
      <c r="AC116" s="91" t="s">
        <v>451</v>
      </c>
    </row>
    <row r="117" customFormat="false" ht="15" hidden="false" customHeight="false" outlineLevel="0" collapsed="false">
      <c r="A117" s="68" t="e">
        <f aca="false">VLOOKUP(E117,'[1]Listas Desplegables'!$H$3:$J$7,2,FALSE())</f>
        <v>#N/A</v>
      </c>
      <c r="B117" s="68" t="e">
        <f aca="false">VLOOKUP(E117,'[1]Listas Desplegables'!$H$3:$J$7,3,FALSE())</f>
        <v>#N/A</v>
      </c>
      <c r="C117" s="85" t="n">
        <v>112</v>
      </c>
      <c r="D117" s="94"/>
      <c r="E117" s="94"/>
      <c r="F117" s="94"/>
      <c r="G117" s="87"/>
      <c r="H117" s="88"/>
      <c r="I117" s="88"/>
      <c r="J117" s="88"/>
      <c r="K117" s="88"/>
      <c r="L117" s="89"/>
      <c r="M117" s="88"/>
      <c r="N117" s="88"/>
      <c r="O117" s="88"/>
      <c r="P117" s="88"/>
      <c r="Q117" s="88"/>
      <c r="R117" s="88"/>
      <c r="S117" s="89"/>
      <c r="T117" s="89"/>
      <c r="U117" s="89"/>
      <c r="V117" s="90"/>
      <c r="W117" s="89"/>
      <c r="X117" s="89"/>
      <c r="Y117" s="89"/>
      <c r="Z117" s="89"/>
      <c r="AA117" s="89"/>
      <c r="AB117" s="88"/>
      <c r="AC117" s="91"/>
    </row>
    <row r="118" customFormat="false" ht="15" hidden="false" customHeight="false" outlineLevel="0" collapsed="false">
      <c r="A118" s="68" t="e">
        <f aca="false">VLOOKUP(E118,'[1]Listas Desplegables'!$H$3:$J$7,2,FALSE())</f>
        <v>#N/A</v>
      </c>
      <c r="B118" s="68" t="e">
        <f aca="false">VLOOKUP(E118,'[1]Listas Desplegables'!$H$3:$J$7,3,FALSE())</f>
        <v>#N/A</v>
      </c>
      <c r="C118" s="85" t="n">
        <v>113</v>
      </c>
      <c r="D118" s="94"/>
      <c r="E118" s="94"/>
      <c r="F118" s="94"/>
      <c r="G118" s="87"/>
      <c r="H118" s="88"/>
      <c r="I118" s="88"/>
      <c r="J118" s="88"/>
      <c r="K118" s="88"/>
      <c r="L118" s="89"/>
      <c r="M118" s="88"/>
      <c r="N118" s="88"/>
      <c r="O118" s="88"/>
      <c r="P118" s="88"/>
      <c r="Q118" s="88"/>
      <c r="R118" s="88"/>
      <c r="S118" s="89"/>
      <c r="T118" s="89"/>
      <c r="U118" s="89"/>
      <c r="V118" s="90"/>
      <c r="W118" s="89"/>
      <c r="X118" s="89"/>
      <c r="Y118" s="89"/>
      <c r="Z118" s="89"/>
      <c r="AA118" s="89"/>
      <c r="AB118" s="88"/>
      <c r="AC118" s="91"/>
    </row>
    <row r="119" customFormat="false" ht="15" hidden="false" customHeight="false" outlineLevel="0" collapsed="false">
      <c r="A119" s="68" t="e">
        <f aca="false">VLOOKUP(E119,'[1]Listas Desplegables'!$H$3:$J$7,2,FALSE())</f>
        <v>#N/A</v>
      </c>
      <c r="B119" s="68" t="e">
        <f aca="false">VLOOKUP(E119,'[1]Listas Desplegables'!$H$3:$J$7,3,FALSE())</f>
        <v>#N/A</v>
      </c>
      <c r="C119" s="85" t="n">
        <v>114</v>
      </c>
      <c r="D119" s="94"/>
      <c r="E119" s="94"/>
      <c r="F119" s="94"/>
      <c r="G119" s="87"/>
      <c r="H119" s="88"/>
      <c r="I119" s="88"/>
      <c r="J119" s="88"/>
      <c r="K119" s="88"/>
      <c r="L119" s="89"/>
      <c r="M119" s="88"/>
      <c r="N119" s="88"/>
      <c r="O119" s="88"/>
      <c r="P119" s="88"/>
      <c r="Q119" s="88"/>
      <c r="R119" s="88"/>
      <c r="S119" s="89"/>
      <c r="T119" s="89"/>
      <c r="U119" s="89"/>
      <c r="V119" s="90"/>
      <c r="W119" s="89"/>
      <c r="X119" s="89"/>
      <c r="Y119" s="89"/>
      <c r="Z119" s="89"/>
      <c r="AA119" s="89"/>
      <c r="AB119" s="88"/>
      <c r="AC119" s="91"/>
    </row>
    <row r="120" customFormat="false" ht="15" hidden="false" customHeight="false" outlineLevel="0" collapsed="false">
      <c r="A120" s="68" t="e">
        <f aca="false">VLOOKUP(E120,'[1]Listas Desplegables'!$H$3:$J$7,2,FALSE())</f>
        <v>#N/A</v>
      </c>
      <c r="B120" s="68" t="e">
        <f aca="false">VLOOKUP(E120,'[1]Listas Desplegables'!$H$3:$J$7,3,FALSE())</f>
        <v>#N/A</v>
      </c>
      <c r="C120" s="85" t="n">
        <v>115</v>
      </c>
      <c r="D120" s="94"/>
      <c r="E120" s="94"/>
      <c r="F120" s="94"/>
      <c r="G120" s="87"/>
      <c r="H120" s="88"/>
      <c r="I120" s="88"/>
      <c r="J120" s="88"/>
      <c r="K120" s="88"/>
      <c r="L120" s="89"/>
      <c r="M120" s="88"/>
      <c r="N120" s="88"/>
      <c r="O120" s="88"/>
      <c r="P120" s="88"/>
      <c r="Q120" s="88"/>
      <c r="R120" s="88"/>
      <c r="S120" s="89"/>
      <c r="T120" s="89"/>
      <c r="U120" s="89"/>
      <c r="V120" s="90"/>
      <c r="W120" s="89"/>
      <c r="X120" s="89"/>
      <c r="Y120" s="89"/>
      <c r="Z120" s="89"/>
      <c r="AA120" s="89"/>
      <c r="AB120" s="88"/>
      <c r="AC120" s="91"/>
    </row>
    <row r="121" customFormat="false" ht="15" hidden="false" customHeight="false" outlineLevel="0" collapsed="false">
      <c r="A121" s="68" t="e">
        <f aca="false">VLOOKUP(E121,'[1]Listas Desplegables'!$H$3:$J$7,2,FALSE())</f>
        <v>#N/A</v>
      </c>
      <c r="B121" s="68" t="e">
        <f aca="false">VLOOKUP(E121,'[1]Listas Desplegables'!$H$3:$J$7,3,FALSE())</f>
        <v>#N/A</v>
      </c>
      <c r="C121" s="85" t="n">
        <v>116</v>
      </c>
      <c r="D121" s="94"/>
      <c r="E121" s="94"/>
      <c r="F121" s="94"/>
      <c r="G121" s="87"/>
      <c r="H121" s="88"/>
      <c r="I121" s="88"/>
      <c r="J121" s="88"/>
      <c r="K121" s="88"/>
      <c r="L121" s="89"/>
      <c r="M121" s="88"/>
      <c r="N121" s="88"/>
      <c r="O121" s="88"/>
      <c r="P121" s="88"/>
      <c r="Q121" s="88"/>
      <c r="R121" s="88"/>
      <c r="S121" s="89"/>
      <c r="T121" s="89"/>
      <c r="U121" s="89"/>
      <c r="V121" s="90"/>
      <c r="W121" s="89"/>
      <c r="X121" s="89"/>
      <c r="Y121" s="89"/>
      <c r="Z121" s="89"/>
      <c r="AA121" s="89"/>
      <c r="AB121" s="88"/>
      <c r="AC121" s="91"/>
    </row>
    <row r="122" customFormat="false" ht="15" hidden="false" customHeight="false" outlineLevel="0" collapsed="false">
      <c r="A122" s="68" t="e">
        <f aca="false">VLOOKUP(E122,'[1]Listas Desplegables'!$H$3:$J$7,2,FALSE())</f>
        <v>#N/A</v>
      </c>
      <c r="B122" s="68" t="e">
        <f aca="false">VLOOKUP(E122,'[1]Listas Desplegables'!$H$3:$J$7,3,FALSE())</f>
        <v>#N/A</v>
      </c>
      <c r="C122" s="85" t="n">
        <v>117</v>
      </c>
      <c r="D122" s="94"/>
      <c r="E122" s="94"/>
      <c r="F122" s="94"/>
      <c r="G122" s="87"/>
      <c r="H122" s="88"/>
      <c r="I122" s="88"/>
      <c r="J122" s="88"/>
      <c r="K122" s="88"/>
      <c r="L122" s="89"/>
      <c r="M122" s="88"/>
      <c r="N122" s="88"/>
      <c r="O122" s="88"/>
      <c r="P122" s="88"/>
      <c r="Q122" s="88"/>
      <c r="R122" s="88"/>
      <c r="S122" s="89"/>
      <c r="T122" s="89"/>
      <c r="U122" s="89"/>
      <c r="V122" s="90"/>
      <c r="W122" s="89"/>
      <c r="X122" s="89"/>
      <c r="Y122" s="89"/>
      <c r="Z122" s="89"/>
      <c r="AA122" s="89"/>
      <c r="AB122" s="88"/>
      <c r="AC122" s="91"/>
    </row>
    <row r="123" customFormat="false" ht="15" hidden="false" customHeight="false" outlineLevel="0" collapsed="false">
      <c r="A123" s="68" t="e">
        <f aca="false">VLOOKUP(E123,'[1]Listas Desplegables'!$H$3:$J$7,2,FALSE())</f>
        <v>#N/A</v>
      </c>
      <c r="B123" s="68" t="e">
        <f aca="false">VLOOKUP(E123,'[1]Listas Desplegables'!$H$3:$J$7,3,FALSE())</f>
        <v>#N/A</v>
      </c>
      <c r="C123" s="85" t="n">
        <v>118</v>
      </c>
      <c r="D123" s="94"/>
      <c r="E123" s="94"/>
      <c r="F123" s="94"/>
      <c r="G123" s="87"/>
      <c r="H123" s="88"/>
      <c r="I123" s="88"/>
      <c r="J123" s="88"/>
      <c r="K123" s="88"/>
      <c r="L123" s="89"/>
      <c r="M123" s="88"/>
      <c r="N123" s="88"/>
      <c r="O123" s="88"/>
      <c r="P123" s="88"/>
      <c r="Q123" s="88"/>
      <c r="R123" s="88"/>
      <c r="S123" s="89"/>
      <c r="T123" s="89"/>
      <c r="U123" s="89"/>
      <c r="V123" s="90"/>
      <c r="W123" s="89"/>
      <c r="X123" s="89"/>
      <c r="Y123" s="89"/>
      <c r="Z123" s="89"/>
      <c r="AA123" s="89"/>
      <c r="AB123" s="88"/>
      <c r="AC123" s="91"/>
    </row>
    <row r="124" customFormat="false" ht="15" hidden="false" customHeight="false" outlineLevel="0" collapsed="false">
      <c r="A124" s="68" t="e">
        <f aca="false">VLOOKUP(E124,'[1]Listas Desplegables'!$H$3:$J$7,2,FALSE())</f>
        <v>#N/A</v>
      </c>
      <c r="B124" s="68" t="e">
        <f aca="false">VLOOKUP(E124,'[1]Listas Desplegables'!$H$3:$J$7,3,FALSE())</f>
        <v>#N/A</v>
      </c>
      <c r="C124" s="85" t="n">
        <v>119</v>
      </c>
      <c r="D124" s="94"/>
      <c r="E124" s="94"/>
      <c r="F124" s="94"/>
      <c r="G124" s="87"/>
      <c r="H124" s="88"/>
      <c r="I124" s="88"/>
      <c r="J124" s="88"/>
      <c r="K124" s="88"/>
      <c r="L124" s="89"/>
      <c r="M124" s="88"/>
      <c r="N124" s="88"/>
      <c r="O124" s="88"/>
      <c r="P124" s="88"/>
      <c r="Q124" s="88"/>
      <c r="R124" s="88"/>
      <c r="S124" s="89"/>
      <c r="T124" s="89"/>
      <c r="U124" s="89"/>
      <c r="V124" s="90"/>
      <c r="W124" s="89"/>
      <c r="X124" s="89"/>
      <c r="Y124" s="89"/>
      <c r="Z124" s="89"/>
      <c r="AA124" s="89"/>
      <c r="AB124" s="88"/>
      <c r="AC124" s="91"/>
    </row>
    <row r="125" customFormat="false" ht="15" hidden="false" customHeight="false" outlineLevel="0" collapsed="false">
      <c r="A125" s="68" t="e">
        <f aca="false">VLOOKUP(E125,'[1]Listas Desplegables'!$H$3:$J$7,2,FALSE())</f>
        <v>#N/A</v>
      </c>
      <c r="B125" s="68" t="e">
        <f aca="false">VLOOKUP(E125,'[1]Listas Desplegables'!$H$3:$J$7,3,FALSE())</f>
        <v>#N/A</v>
      </c>
      <c r="C125" s="85" t="n">
        <v>120</v>
      </c>
      <c r="D125" s="94"/>
      <c r="E125" s="94"/>
      <c r="F125" s="94"/>
      <c r="G125" s="87"/>
      <c r="H125" s="88"/>
      <c r="I125" s="88"/>
      <c r="J125" s="88"/>
      <c r="K125" s="88"/>
      <c r="L125" s="89"/>
      <c r="M125" s="88"/>
      <c r="N125" s="88"/>
      <c r="O125" s="88"/>
      <c r="P125" s="88"/>
      <c r="Q125" s="88"/>
      <c r="R125" s="88"/>
      <c r="S125" s="89"/>
      <c r="T125" s="89"/>
      <c r="U125" s="89"/>
      <c r="V125" s="90"/>
      <c r="W125" s="89"/>
      <c r="X125" s="89"/>
      <c r="Y125" s="89"/>
      <c r="Z125" s="89"/>
      <c r="AA125" s="89"/>
      <c r="AB125" s="88"/>
      <c r="AC125" s="91"/>
    </row>
    <row r="126" customFormat="false" ht="15" hidden="false" customHeight="false" outlineLevel="0" collapsed="false">
      <c r="A126" s="68" t="e">
        <f aca="false">VLOOKUP(E126,'[1]Listas Desplegables'!$H$3:$J$7,2,FALSE())</f>
        <v>#N/A</v>
      </c>
      <c r="B126" s="68" t="e">
        <f aca="false">VLOOKUP(E126,'[1]Listas Desplegables'!$H$3:$J$7,3,FALSE())</f>
        <v>#N/A</v>
      </c>
      <c r="C126" s="85" t="n">
        <v>121</v>
      </c>
      <c r="D126" s="94"/>
      <c r="E126" s="94"/>
      <c r="F126" s="94"/>
      <c r="G126" s="87"/>
      <c r="H126" s="88"/>
      <c r="I126" s="88"/>
      <c r="J126" s="88"/>
      <c r="K126" s="88"/>
      <c r="L126" s="89"/>
      <c r="M126" s="88"/>
      <c r="N126" s="88"/>
      <c r="O126" s="88"/>
      <c r="P126" s="88"/>
      <c r="Q126" s="88"/>
      <c r="R126" s="88"/>
      <c r="S126" s="89"/>
      <c r="T126" s="89"/>
      <c r="U126" s="89"/>
      <c r="V126" s="90"/>
      <c r="W126" s="89"/>
      <c r="X126" s="89"/>
      <c r="Y126" s="89"/>
      <c r="Z126" s="89"/>
      <c r="AA126" s="89"/>
      <c r="AB126" s="88"/>
      <c r="AC126" s="91"/>
    </row>
    <row r="127" customFormat="false" ht="15" hidden="false" customHeight="false" outlineLevel="0" collapsed="false">
      <c r="A127" s="68" t="e">
        <f aca="false">VLOOKUP(E127,'[1]Listas Desplegables'!$H$3:$J$7,2,FALSE())</f>
        <v>#N/A</v>
      </c>
      <c r="B127" s="68" t="e">
        <f aca="false">VLOOKUP(E127,'[1]Listas Desplegables'!$H$3:$J$7,3,FALSE())</f>
        <v>#N/A</v>
      </c>
      <c r="C127" s="85" t="n">
        <v>122</v>
      </c>
      <c r="D127" s="94"/>
      <c r="E127" s="94"/>
      <c r="F127" s="94"/>
      <c r="G127" s="87"/>
      <c r="H127" s="88"/>
      <c r="I127" s="88"/>
      <c r="J127" s="88"/>
      <c r="K127" s="88"/>
      <c r="L127" s="89"/>
      <c r="M127" s="88"/>
      <c r="N127" s="88"/>
      <c r="O127" s="88"/>
      <c r="P127" s="88"/>
      <c r="Q127" s="88"/>
      <c r="R127" s="88"/>
      <c r="S127" s="89"/>
      <c r="T127" s="89"/>
      <c r="U127" s="89"/>
      <c r="V127" s="90"/>
      <c r="W127" s="89"/>
      <c r="X127" s="89"/>
      <c r="Y127" s="89"/>
      <c r="Z127" s="89"/>
      <c r="AA127" s="89"/>
      <c r="AB127" s="88"/>
      <c r="AC127" s="91"/>
    </row>
    <row r="128" customFormat="false" ht="15" hidden="false" customHeight="false" outlineLevel="0" collapsed="false">
      <c r="A128" s="68" t="e">
        <f aca="false">VLOOKUP(E128,'[1]Listas Desplegables'!$H$3:$J$7,2,FALSE())</f>
        <v>#N/A</v>
      </c>
      <c r="B128" s="68" t="e">
        <f aca="false">VLOOKUP(E128,'[1]Listas Desplegables'!$H$3:$J$7,3,FALSE())</f>
        <v>#N/A</v>
      </c>
      <c r="C128" s="85" t="n">
        <v>123</v>
      </c>
      <c r="D128" s="94"/>
      <c r="E128" s="94"/>
      <c r="F128" s="94"/>
      <c r="G128" s="87"/>
      <c r="H128" s="88"/>
      <c r="I128" s="88"/>
      <c r="J128" s="88"/>
      <c r="K128" s="88"/>
      <c r="L128" s="89"/>
      <c r="M128" s="88"/>
      <c r="N128" s="88"/>
      <c r="O128" s="88"/>
      <c r="P128" s="88"/>
      <c r="Q128" s="88"/>
      <c r="R128" s="88"/>
      <c r="S128" s="89"/>
      <c r="T128" s="89"/>
      <c r="U128" s="89"/>
      <c r="V128" s="90"/>
      <c r="W128" s="89"/>
      <c r="X128" s="89"/>
      <c r="Y128" s="89"/>
      <c r="Z128" s="89"/>
      <c r="AA128" s="89"/>
      <c r="AB128" s="88"/>
      <c r="AC128" s="91"/>
    </row>
    <row r="129" customFormat="false" ht="15" hidden="false" customHeight="false" outlineLevel="0" collapsed="false">
      <c r="A129" s="68" t="e">
        <f aca="false">VLOOKUP(E129,'[1]Listas Desplegables'!$H$3:$J$7,2,FALSE())</f>
        <v>#N/A</v>
      </c>
      <c r="B129" s="68" t="e">
        <f aca="false">VLOOKUP(E129,'[1]Listas Desplegables'!$H$3:$J$7,3,FALSE())</f>
        <v>#N/A</v>
      </c>
      <c r="C129" s="85" t="n">
        <v>124</v>
      </c>
      <c r="D129" s="94"/>
      <c r="E129" s="94"/>
      <c r="F129" s="94"/>
      <c r="G129" s="87"/>
      <c r="H129" s="88"/>
      <c r="I129" s="88"/>
      <c r="J129" s="88"/>
      <c r="K129" s="88"/>
      <c r="L129" s="89"/>
      <c r="M129" s="88"/>
      <c r="N129" s="88"/>
      <c r="O129" s="88"/>
      <c r="P129" s="88"/>
      <c r="Q129" s="88"/>
      <c r="R129" s="88"/>
      <c r="S129" s="89"/>
      <c r="T129" s="89"/>
      <c r="U129" s="89"/>
      <c r="V129" s="90"/>
      <c r="W129" s="89"/>
      <c r="X129" s="89"/>
      <c r="Y129" s="89"/>
      <c r="Z129" s="89"/>
      <c r="AA129" s="89"/>
      <c r="AB129" s="88"/>
      <c r="AC129" s="91"/>
    </row>
    <row r="130" customFormat="false" ht="15" hidden="false" customHeight="false" outlineLevel="0" collapsed="false">
      <c r="A130" s="68" t="e">
        <f aca="false">VLOOKUP(E130,'[1]Listas Desplegables'!$H$3:$J$7,2,FALSE())</f>
        <v>#N/A</v>
      </c>
      <c r="B130" s="68" t="e">
        <f aca="false">VLOOKUP(E130,'[1]Listas Desplegables'!$H$3:$J$7,3,FALSE())</f>
        <v>#N/A</v>
      </c>
      <c r="C130" s="85" t="n">
        <v>125</v>
      </c>
      <c r="D130" s="94"/>
      <c r="E130" s="94"/>
      <c r="F130" s="94"/>
      <c r="G130" s="87"/>
      <c r="H130" s="88"/>
      <c r="I130" s="88"/>
      <c r="J130" s="88"/>
      <c r="K130" s="88"/>
      <c r="L130" s="89"/>
      <c r="M130" s="88"/>
      <c r="N130" s="88"/>
      <c r="O130" s="88"/>
      <c r="P130" s="88"/>
      <c r="Q130" s="88"/>
      <c r="R130" s="88"/>
      <c r="S130" s="89"/>
      <c r="T130" s="89"/>
      <c r="U130" s="89"/>
      <c r="V130" s="90"/>
      <c r="W130" s="89"/>
      <c r="X130" s="89"/>
      <c r="Y130" s="89"/>
      <c r="Z130" s="89"/>
      <c r="AA130" s="89"/>
      <c r="AB130" s="88"/>
      <c r="AC130" s="91"/>
    </row>
    <row r="131" customFormat="false" ht="15" hidden="false" customHeight="false" outlineLevel="0" collapsed="false">
      <c r="A131" s="68" t="e">
        <f aca="false">VLOOKUP(E131,'[1]Listas Desplegables'!$H$3:$J$7,2,FALSE())</f>
        <v>#N/A</v>
      </c>
      <c r="B131" s="68" t="e">
        <f aca="false">VLOOKUP(E131,'[1]Listas Desplegables'!$H$3:$J$7,3,FALSE())</f>
        <v>#N/A</v>
      </c>
      <c r="C131" s="85" t="n">
        <v>126</v>
      </c>
      <c r="D131" s="94"/>
      <c r="E131" s="94"/>
      <c r="F131" s="94"/>
      <c r="G131" s="87"/>
      <c r="H131" s="88"/>
      <c r="I131" s="88"/>
      <c r="J131" s="88"/>
      <c r="K131" s="88"/>
      <c r="L131" s="89"/>
      <c r="M131" s="88"/>
      <c r="N131" s="88"/>
      <c r="O131" s="88"/>
      <c r="P131" s="88"/>
      <c r="Q131" s="88"/>
      <c r="R131" s="88"/>
      <c r="S131" s="89"/>
      <c r="T131" s="89"/>
      <c r="U131" s="89"/>
      <c r="V131" s="90"/>
      <c r="W131" s="89"/>
      <c r="X131" s="89"/>
      <c r="Y131" s="89"/>
      <c r="Z131" s="89"/>
      <c r="AA131" s="89"/>
      <c r="AB131" s="88"/>
      <c r="AC131" s="91"/>
    </row>
    <row r="132" customFormat="false" ht="15" hidden="false" customHeight="false" outlineLevel="0" collapsed="false">
      <c r="A132" s="68" t="e">
        <f aca="false">VLOOKUP(E132,'[1]Listas Desplegables'!$H$3:$J$7,2,FALSE())</f>
        <v>#N/A</v>
      </c>
      <c r="B132" s="68" t="e">
        <f aca="false">VLOOKUP(E132,'[1]Listas Desplegables'!$H$3:$J$7,3,FALSE())</f>
        <v>#N/A</v>
      </c>
      <c r="C132" s="85" t="n">
        <v>127</v>
      </c>
      <c r="D132" s="94"/>
      <c r="E132" s="94"/>
      <c r="F132" s="94"/>
      <c r="G132" s="87"/>
      <c r="H132" s="88"/>
      <c r="I132" s="88"/>
      <c r="J132" s="88"/>
      <c r="K132" s="88"/>
      <c r="L132" s="89"/>
      <c r="M132" s="88"/>
      <c r="N132" s="88"/>
      <c r="O132" s="88"/>
      <c r="P132" s="88"/>
      <c r="Q132" s="88"/>
      <c r="R132" s="88"/>
      <c r="S132" s="89"/>
      <c r="T132" s="89"/>
      <c r="U132" s="89"/>
      <c r="V132" s="90"/>
      <c r="W132" s="89"/>
      <c r="X132" s="89"/>
      <c r="Y132" s="89"/>
      <c r="Z132" s="89"/>
      <c r="AA132" s="89"/>
      <c r="AB132" s="88"/>
      <c r="AC132" s="91"/>
    </row>
    <row r="133" customFormat="false" ht="15" hidden="false" customHeight="false" outlineLevel="0" collapsed="false">
      <c r="A133" s="68" t="e">
        <f aca="false">VLOOKUP(E133,'[1]Listas Desplegables'!$H$3:$J$7,2,FALSE())</f>
        <v>#N/A</v>
      </c>
      <c r="B133" s="68" t="e">
        <f aca="false">VLOOKUP(E133,'[1]Listas Desplegables'!$H$3:$J$7,3,FALSE())</f>
        <v>#N/A</v>
      </c>
      <c r="C133" s="85" t="n">
        <v>128</v>
      </c>
      <c r="D133" s="94"/>
      <c r="E133" s="94"/>
      <c r="F133" s="94"/>
      <c r="G133" s="87"/>
      <c r="H133" s="88"/>
      <c r="I133" s="88"/>
      <c r="J133" s="88"/>
      <c r="K133" s="88"/>
      <c r="L133" s="89"/>
      <c r="M133" s="88"/>
      <c r="N133" s="88"/>
      <c r="O133" s="88"/>
      <c r="P133" s="88"/>
      <c r="Q133" s="88"/>
      <c r="R133" s="88"/>
      <c r="S133" s="89"/>
      <c r="T133" s="89"/>
      <c r="U133" s="89"/>
      <c r="V133" s="90"/>
      <c r="W133" s="89"/>
      <c r="X133" s="89"/>
      <c r="Y133" s="89"/>
      <c r="Z133" s="89"/>
      <c r="AA133" s="89"/>
      <c r="AB133" s="88"/>
      <c r="AC133" s="91"/>
    </row>
    <row r="134" customFormat="false" ht="15" hidden="false" customHeight="false" outlineLevel="0" collapsed="false">
      <c r="A134" s="68" t="e">
        <f aca="false">VLOOKUP(E134,'[1]Listas Desplegables'!$H$3:$J$7,2,FALSE())</f>
        <v>#N/A</v>
      </c>
      <c r="B134" s="68" t="e">
        <f aca="false">VLOOKUP(E134,'[1]Listas Desplegables'!$H$3:$J$7,3,FALSE())</f>
        <v>#N/A</v>
      </c>
      <c r="C134" s="85" t="n">
        <v>129</v>
      </c>
      <c r="D134" s="94"/>
      <c r="E134" s="94"/>
      <c r="F134" s="94"/>
      <c r="G134" s="87"/>
      <c r="H134" s="88"/>
      <c r="I134" s="88"/>
      <c r="J134" s="88"/>
      <c r="K134" s="88"/>
      <c r="L134" s="89"/>
      <c r="M134" s="88"/>
      <c r="N134" s="88"/>
      <c r="O134" s="88"/>
      <c r="P134" s="88"/>
      <c r="Q134" s="88"/>
      <c r="R134" s="88"/>
      <c r="S134" s="89"/>
      <c r="T134" s="89"/>
      <c r="U134" s="89"/>
      <c r="V134" s="90"/>
      <c r="W134" s="89"/>
      <c r="X134" s="89"/>
      <c r="Y134" s="89"/>
      <c r="Z134" s="89"/>
      <c r="AA134" s="89"/>
      <c r="AB134" s="88"/>
      <c r="AC134" s="91"/>
    </row>
    <row r="135" customFormat="false" ht="15" hidden="false" customHeight="false" outlineLevel="0" collapsed="false">
      <c r="A135" s="68" t="e">
        <f aca="false">VLOOKUP(E135,'[1]Listas Desplegables'!$H$3:$J$7,2,FALSE())</f>
        <v>#N/A</v>
      </c>
      <c r="B135" s="68" t="e">
        <f aca="false">VLOOKUP(E135,'[1]Listas Desplegables'!$H$3:$J$7,3,FALSE())</f>
        <v>#N/A</v>
      </c>
      <c r="C135" s="85" t="n">
        <v>130</v>
      </c>
      <c r="D135" s="94"/>
      <c r="E135" s="94"/>
      <c r="F135" s="94"/>
      <c r="G135" s="87"/>
      <c r="H135" s="88"/>
      <c r="I135" s="88"/>
      <c r="J135" s="88"/>
      <c r="K135" s="88"/>
      <c r="L135" s="89"/>
      <c r="M135" s="88"/>
      <c r="N135" s="88"/>
      <c r="O135" s="88"/>
      <c r="P135" s="88"/>
      <c r="Q135" s="88"/>
      <c r="R135" s="88"/>
      <c r="S135" s="89"/>
      <c r="T135" s="89"/>
      <c r="U135" s="89"/>
      <c r="V135" s="90"/>
      <c r="W135" s="89"/>
      <c r="X135" s="89"/>
      <c r="Y135" s="89"/>
      <c r="Z135" s="89"/>
      <c r="AA135" s="89"/>
      <c r="AB135" s="88"/>
      <c r="AC135" s="91"/>
    </row>
    <row r="136" customFormat="false" ht="15" hidden="false" customHeight="false" outlineLevel="0" collapsed="false">
      <c r="A136" s="68" t="e">
        <f aca="false">VLOOKUP(E136,'[1]Listas Desplegables'!$H$3:$J$7,2,FALSE())</f>
        <v>#N/A</v>
      </c>
      <c r="B136" s="68" t="e">
        <f aca="false">VLOOKUP(E136,'[1]Listas Desplegables'!$H$3:$J$7,3,FALSE())</f>
        <v>#N/A</v>
      </c>
      <c r="C136" s="85" t="n">
        <v>131</v>
      </c>
      <c r="D136" s="94"/>
      <c r="E136" s="94"/>
      <c r="F136" s="94"/>
      <c r="G136" s="87"/>
      <c r="H136" s="88"/>
      <c r="I136" s="88"/>
      <c r="J136" s="88"/>
      <c r="K136" s="88"/>
      <c r="L136" s="89"/>
      <c r="M136" s="88"/>
      <c r="N136" s="88"/>
      <c r="O136" s="88"/>
      <c r="P136" s="88"/>
      <c r="Q136" s="88"/>
      <c r="R136" s="88"/>
      <c r="S136" s="89"/>
      <c r="T136" s="89"/>
      <c r="U136" s="89"/>
      <c r="V136" s="90"/>
      <c r="W136" s="89"/>
      <c r="X136" s="89"/>
      <c r="Y136" s="89"/>
      <c r="Z136" s="89"/>
      <c r="AA136" s="89"/>
      <c r="AB136" s="88"/>
      <c r="AC136" s="91"/>
    </row>
    <row r="137" customFormat="false" ht="15" hidden="false" customHeight="false" outlineLevel="0" collapsed="false">
      <c r="A137" s="68" t="e">
        <f aca="false">VLOOKUP(E137,'[1]Listas Desplegables'!$H$3:$J$7,2,FALSE())</f>
        <v>#N/A</v>
      </c>
      <c r="B137" s="68" t="e">
        <f aca="false">VLOOKUP(E137,'[1]Listas Desplegables'!$H$3:$J$7,3,FALSE())</f>
        <v>#N/A</v>
      </c>
      <c r="C137" s="85" t="n">
        <v>132</v>
      </c>
      <c r="D137" s="94"/>
      <c r="E137" s="94"/>
      <c r="F137" s="94"/>
      <c r="G137" s="87"/>
      <c r="H137" s="88"/>
      <c r="I137" s="88"/>
      <c r="J137" s="88"/>
      <c r="K137" s="88"/>
      <c r="L137" s="89"/>
      <c r="M137" s="88"/>
      <c r="N137" s="88"/>
      <c r="O137" s="88"/>
      <c r="P137" s="88"/>
      <c r="Q137" s="88"/>
      <c r="R137" s="88"/>
      <c r="S137" s="89"/>
      <c r="T137" s="89"/>
      <c r="U137" s="89"/>
      <c r="V137" s="90"/>
      <c r="W137" s="89"/>
      <c r="X137" s="89"/>
      <c r="Y137" s="89"/>
      <c r="Z137" s="89"/>
      <c r="AA137" s="89"/>
      <c r="AB137" s="88"/>
      <c r="AC137" s="91"/>
    </row>
    <row r="138" customFormat="false" ht="15" hidden="false" customHeight="false" outlineLevel="0" collapsed="false">
      <c r="A138" s="68" t="e">
        <f aca="false">VLOOKUP(E138,'[1]Listas Desplegables'!$H$3:$J$7,2,FALSE())</f>
        <v>#N/A</v>
      </c>
      <c r="B138" s="68" t="e">
        <f aca="false">VLOOKUP(E138,'[1]Listas Desplegables'!$H$3:$J$7,3,FALSE())</f>
        <v>#N/A</v>
      </c>
      <c r="C138" s="85" t="n">
        <v>133</v>
      </c>
      <c r="D138" s="94"/>
      <c r="E138" s="94"/>
      <c r="F138" s="94"/>
      <c r="G138" s="87"/>
      <c r="H138" s="88"/>
      <c r="I138" s="88"/>
      <c r="J138" s="88"/>
      <c r="K138" s="88"/>
      <c r="L138" s="89"/>
      <c r="M138" s="88"/>
      <c r="N138" s="88"/>
      <c r="O138" s="88"/>
      <c r="P138" s="88"/>
      <c r="Q138" s="88"/>
      <c r="R138" s="88"/>
      <c r="S138" s="89"/>
      <c r="T138" s="89"/>
      <c r="U138" s="89"/>
      <c r="V138" s="90"/>
      <c r="W138" s="89"/>
      <c r="X138" s="89"/>
      <c r="Y138" s="89"/>
      <c r="Z138" s="89"/>
      <c r="AA138" s="89"/>
      <c r="AB138" s="88"/>
      <c r="AC138" s="91"/>
    </row>
    <row r="139" customFormat="false" ht="15" hidden="false" customHeight="false" outlineLevel="0" collapsed="false">
      <c r="A139" s="68" t="e">
        <f aca="false">VLOOKUP(E139,'[1]Listas Desplegables'!$H$3:$J$7,2,FALSE())</f>
        <v>#N/A</v>
      </c>
      <c r="B139" s="68" t="e">
        <f aca="false">VLOOKUP(E139,'[1]Listas Desplegables'!$H$3:$J$7,3,FALSE())</f>
        <v>#N/A</v>
      </c>
      <c r="C139" s="85" t="n">
        <v>134</v>
      </c>
      <c r="D139" s="94"/>
      <c r="E139" s="94"/>
      <c r="F139" s="94"/>
      <c r="G139" s="87"/>
      <c r="H139" s="88"/>
      <c r="I139" s="88"/>
      <c r="J139" s="88"/>
      <c r="K139" s="88"/>
      <c r="L139" s="89"/>
      <c r="M139" s="88"/>
      <c r="N139" s="88"/>
      <c r="O139" s="88"/>
      <c r="P139" s="88"/>
      <c r="Q139" s="88"/>
      <c r="R139" s="88"/>
      <c r="S139" s="89"/>
      <c r="T139" s="89"/>
      <c r="U139" s="89"/>
      <c r="V139" s="90"/>
      <c r="W139" s="89"/>
      <c r="X139" s="89"/>
      <c r="Y139" s="89"/>
      <c r="Z139" s="89"/>
      <c r="AA139" s="89"/>
      <c r="AB139" s="88"/>
      <c r="AC139" s="91"/>
    </row>
    <row r="140" customFormat="false" ht="15" hidden="false" customHeight="false" outlineLevel="0" collapsed="false">
      <c r="A140" s="68" t="e">
        <f aca="false">VLOOKUP(E140,'[1]Listas Desplegables'!$H$3:$J$7,2,FALSE())</f>
        <v>#N/A</v>
      </c>
      <c r="B140" s="68" t="e">
        <f aca="false">VLOOKUP(E140,'[1]Listas Desplegables'!$H$3:$J$7,3,FALSE())</f>
        <v>#N/A</v>
      </c>
      <c r="C140" s="85" t="n">
        <v>135</v>
      </c>
      <c r="D140" s="94"/>
      <c r="E140" s="94"/>
      <c r="F140" s="94"/>
      <c r="G140" s="87"/>
      <c r="H140" s="88"/>
      <c r="I140" s="88"/>
      <c r="J140" s="88"/>
      <c r="K140" s="88"/>
      <c r="L140" s="89"/>
      <c r="M140" s="88"/>
      <c r="N140" s="88"/>
      <c r="O140" s="88"/>
      <c r="P140" s="88"/>
      <c r="Q140" s="88"/>
      <c r="R140" s="88"/>
      <c r="S140" s="89"/>
      <c r="T140" s="89"/>
      <c r="U140" s="89"/>
      <c r="V140" s="90"/>
      <c r="W140" s="89"/>
      <c r="X140" s="89"/>
      <c r="Y140" s="89"/>
      <c r="Z140" s="89"/>
      <c r="AA140" s="89"/>
      <c r="AB140" s="88"/>
      <c r="AC140" s="91"/>
    </row>
    <row r="141" customFormat="false" ht="15" hidden="false" customHeight="false" outlineLevel="0" collapsed="false">
      <c r="A141" s="68" t="e">
        <f aca="false">VLOOKUP(E141,'[1]Listas Desplegables'!$H$3:$J$7,2,FALSE())</f>
        <v>#N/A</v>
      </c>
      <c r="B141" s="68" t="e">
        <f aca="false">VLOOKUP(E141,'[1]Listas Desplegables'!$H$3:$J$7,3,FALSE())</f>
        <v>#N/A</v>
      </c>
      <c r="C141" s="85" t="n">
        <v>136</v>
      </c>
      <c r="D141" s="94"/>
      <c r="E141" s="94"/>
      <c r="F141" s="94"/>
      <c r="G141" s="87"/>
      <c r="H141" s="88"/>
      <c r="I141" s="88"/>
      <c r="J141" s="88"/>
      <c r="K141" s="88"/>
      <c r="L141" s="89"/>
      <c r="M141" s="88"/>
      <c r="N141" s="88"/>
      <c r="O141" s="88"/>
      <c r="P141" s="88"/>
      <c r="Q141" s="88"/>
      <c r="R141" s="88"/>
      <c r="S141" s="89"/>
      <c r="T141" s="89"/>
      <c r="U141" s="89"/>
      <c r="V141" s="90"/>
      <c r="W141" s="89"/>
      <c r="X141" s="89"/>
      <c r="Y141" s="89"/>
      <c r="Z141" s="89"/>
      <c r="AA141" s="89"/>
      <c r="AB141" s="88"/>
      <c r="AC141" s="91"/>
    </row>
    <row r="142" customFormat="false" ht="15" hidden="false" customHeight="false" outlineLevel="0" collapsed="false">
      <c r="A142" s="68" t="e">
        <f aca="false">VLOOKUP(E142,'[1]Listas Desplegables'!$H$3:$J$7,2,FALSE())</f>
        <v>#N/A</v>
      </c>
      <c r="B142" s="68" t="e">
        <f aca="false">VLOOKUP(E142,'[1]Listas Desplegables'!$H$3:$J$7,3,FALSE())</f>
        <v>#N/A</v>
      </c>
      <c r="C142" s="85" t="n">
        <v>137</v>
      </c>
      <c r="D142" s="94"/>
      <c r="E142" s="94"/>
      <c r="F142" s="94"/>
      <c r="G142" s="87"/>
      <c r="H142" s="88"/>
      <c r="I142" s="88"/>
      <c r="J142" s="88"/>
      <c r="K142" s="88"/>
      <c r="L142" s="89"/>
      <c r="M142" s="88"/>
      <c r="N142" s="88"/>
      <c r="O142" s="88"/>
      <c r="P142" s="88"/>
      <c r="Q142" s="88"/>
      <c r="R142" s="88"/>
      <c r="S142" s="89"/>
      <c r="T142" s="89"/>
      <c r="U142" s="89"/>
      <c r="V142" s="90"/>
      <c r="W142" s="89"/>
      <c r="X142" s="89"/>
      <c r="Y142" s="89"/>
      <c r="Z142" s="89"/>
      <c r="AA142" s="89"/>
      <c r="AB142" s="88"/>
      <c r="AC142" s="91"/>
    </row>
    <row r="143" customFormat="false" ht="15" hidden="false" customHeight="false" outlineLevel="0" collapsed="false">
      <c r="A143" s="68" t="e">
        <f aca="false">VLOOKUP(E143,'[1]Listas Desplegables'!$H$3:$J$7,2,FALSE())</f>
        <v>#N/A</v>
      </c>
      <c r="B143" s="68" t="e">
        <f aca="false">VLOOKUP(E143,'[1]Listas Desplegables'!$H$3:$J$7,3,FALSE())</f>
        <v>#N/A</v>
      </c>
      <c r="C143" s="85" t="n">
        <v>138</v>
      </c>
      <c r="D143" s="94"/>
      <c r="E143" s="94"/>
      <c r="F143" s="94"/>
      <c r="G143" s="87"/>
      <c r="H143" s="88"/>
      <c r="I143" s="88"/>
      <c r="J143" s="88"/>
      <c r="K143" s="88"/>
      <c r="L143" s="89"/>
      <c r="M143" s="88"/>
      <c r="N143" s="88"/>
      <c r="O143" s="88"/>
      <c r="P143" s="88"/>
      <c r="Q143" s="88"/>
      <c r="R143" s="88"/>
      <c r="S143" s="89"/>
      <c r="T143" s="89"/>
      <c r="U143" s="89"/>
      <c r="V143" s="90"/>
      <c r="W143" s="89"/>
      <c r="X143" s="89"/>
      <c r="Y143" s="89"/>
      <c r="Z143" s="89"/>
      <c r="AA143" s="89"/>
      <c r="AB143" s="88"/>
      <c r="AC143" s="91"/>
    </row>
    <row r="144" customFormat="false" ht="15" hidden="false" customHeight="false" outlineLevel="0" collapsed="false">
      <c r="A144" s="68" t="e">
        <f aca="false">VLOOKUP(E144,'[1]Listas Desplegables'!$H$3:$J$7,2,FALSE())</f>
        <v>#N/A</v>
      </c>
      <c r="B144" s="68" t="e">
        <f aca="false">VLOOKUP(E144,'[1]Listas Desplegables'!$H$3:$J$7,3,FALSE())</f>
        <v>#N/A</v>
      </c>
      <c r="C144" s="85" t="n">
        <v>139</v>
      </c>
      <c r="D144" s="94"/>
      <c r="E144" s="94"/>
      <c r="F144" s="94"/>
      <c r="G144" s="87"/>
      <c r="H144" s="88"/>
      <c r="I144" s="88"/>
      <c r="J144" s="88"/>
      <c r="K144" s="88"/>
      <c r="L144" s="89"/>
      <c r="M144" s="88"/>
      <c r="N144" s="88"/>
      <c r="O144" s="88"/>
      <c r="P144" s="88"/>
      <c r="Q144" s="88"/>
      <c r="R144" s="88"/>
      <c r="S144" s="89"/>
      <c r="T144" s="89"/>
      <c r="U144" s="89"/>
      <c r="V144" s="90"/>
      <c r="W144" s="89"/>
      <c r="X144" s="89"/>
      <c r="Y144" s="89"/>
      <c r="Z144" s="89"/>
      <c r="AA144" s="89"/>
      <c r="AB144" s="88"/>
      <c r="AC144" s="91"/>
    </row>
    <row r="145" customFormat="false" ht="15" hidden="false" customHeight="false" outlineLevel="0" collapsed="false">
      <c r="A145" s="68" t="e">
        <f aca="false">VLOOKUP(E145,'[1]Listas Desplegables'!$H$3:$J$7,2,FALSE())</f>
        <v>#N/A</v>
      </c>
      <c r="B145" s="68" t="e">
        <f aca="false">VLOOKUP(E145,'[1]Listas Desplegables'!$H$3:$J$7,3,FALSE())</f>
        <v>#N/A</v>
      </c>
      <c r="C145" s="85" t="n">
        <v>140</v>
      </c>
      <c r="D145" s="94"/>
      <c r="E145" s="94"/>
      <c r="F145" s="94"/>
      <c r="G145" s="87"/>
      <c r="H145" s="88"/>
      <c r="I145" s="88"/>
      <c r="J145" s="88"/>
      <c r="K145" s="88"/>
      <c r="L145" s="89"/>
      <c r="M145" s="88"/>
      <c r="N145" s="88"/>
      <c r="O145" s="88"/>
      <c r="P145" s="88"/>
      <c r="Q145" s="88"/>
      <c r="R145" s="88"/>
      <c r="S145" s="89"/>
      <c r="T145" s="89"/>
      <c r="U145" s="89"/>
      <c r="V145" s="90"/>
      <c r="W145" s="89"/>
      <c r="X145" s="89"/>
      <c r="Y145" s="89"/>
      <c r="Z145" s="89"/>
      <c r="AA145" s="89"/>
      <c r="AB145" s="88"/>
      <c r="AC145" s="91"/>
    </row>
    <row r="146" customFormat="false" ht="15" hidden="false" customHeight="false" outlineLevel="0" collapsed="false">
      <c r="A146" s="68" t="e">
        <f aca="false">VLOOKUP(E146,'[1]Listas Desplegables'!$H$3:$J$7,2,FALSE())</f>
        <v>#N/A</v>
      </c>
      <c r="B146" s="68" t="e">
        <f aca="false">VLOOKUP(E146,'[1]Listas Desplegables'!$H$3:$J$7,3,FALSE())</f>
        <v>#N/A</v>
      </c>
      <c r="C146" s="85" t="n">
        <v>141</v>
      </c>
      <c r="D146" s="94"/>
      <c r="E146" s="94"/>
      <c r="F146" s="94"/>
      <c r="G146" s="87"/>
      <c r="H146" s="88"/>
      <c r="I146" s="88"/>
      <c r="J146" s="88"/>
      <c r="K146" s="88"/>
      <c r="L146" s="89"/>
      <c r="M146" s="88"/>
      <c r="N146" s="88"/>
      <c r="O146" s="88"/>
      <c r="P146" s="88"/>
      <c r="Q146" s="88"/>
      <c r="R146" s="88"/>
      <c r="S146" s="89"/>
      <c r="T146" s="89"/>
      <c r="U146" s="89"/>
      <c r="V146" s="90"/>
      <c r="W146" s="89"/>
      <c r="X146" s="89"/>
      <c r="Y146" s="89"/>
      <c r="Z146" s="89"/>
      <c r="AA146" s="89"/>
      <c r="AB146" s="88"/>
      <c r="AC146" s="91"/>
    </row>
    <row r="147" customFormat="false" ht="15" hidden="false" customHeight="false" outlineLevel="0" collapsed="false">
      <c r="A147" s="68" t="e">
        <f aca="false">VLOOKUP(E147,'[1]Listas Desplegables'!$H$3:$J$7,2,FALSE())</f>
        <v>#N/A</v>
      </c>
      <c r="B147" s="68" t="e">
        <f aca="false">VLOOKUP(E147,'[1]Listas Desplegables'!$H$3:$J$7,3,FALSE())</f>
        <v>#N/A</v>
      </c>
      <c r="C147" s="85" t="n">
        <v>142</v>
      </c>
      <c r="D147" s="94"/>
      <c r="E147" s="94"/>
      <c r="F147" s="94"/>
      <c r="G147" s="87"/>
      <c r="H147" s="88"/>
      <c r="I147" s="88"/>
      <c r="J147" s="88"/>
      <c r="K147" s="88"/>
      <c r="L147" s="89"/>
      <c r="M147" s="88"/>
      <c r="N147" s="88"/>
      <c r="O147" s="88"/>
      <c r="P147" s="88"/>
      <c r="Q147" s="88"/>
      <c r="R147" s="88"/>
      <c r="S147" s="89"/>
      <c r="T147" s="89"/>
      <c r="U147" s="89"/>
      <c r="V147" s="90"/>
      <c r="W147" s="89"/>
      <c r="X147" s="89"/>
      <c r="Y147" s="89"/>
      <c r="Z147" s="89"/>
      <c r="AA147" s="89"/>
      <c r="AB147" s="88"/>
      <c r="AC147" s="91"/>
    </row>
    <row r="148" customFormat="false" ht="15" hidden="false" customHeight="false" outlineLevel="0" collapsed="false">
      <c r="A148" s="68" t="e">
        <f aca="false">VLOOKUP(E148,'[1]Listas Desplegables'!$H$3:$J$7,2,FALSE())</f>
        <v>#N/A</v>
      </c>
      <c r="B148" s="68" t="e">
        <f aca="false">VLOOKUP(E148,'[1]Listas Desplegables'!$H$3:$J$7,3,FALSE())</f>
        <v>#N/A</v>
      </c>
      <c r="C148" s="85" t="n">
        <v>143</v>
      </c>
      <c r="D148" s="94"/>
      <c r="E148" s="94"/>
      <c r="F148" s="94"/>
      <c r="G148" s="87"/>
      <c r="H148" s="88"/>
      <c r="I148" s="88"/>
      <c r="J148" s="88"/>
      <c r="K148" s="88"/>
      <c r="L148" s="89"/>
      <c r="M148" s="88"/>
      <c r="N148" s="88"/>
      <c r="O148" s="88"/>
      <c r="P148" s="88"/>
      <c r="Q148" s="88"/>
      <c r="R148" s="88"/>
      <c r="S148" s="89"/>
      <c r="T148" s="89"/>
      <c r="U148" s="89"/>
      <c r="V148" s="90"/>
      <c r="W148" s="89"/>
      <c r="X148" s="89"/>
      <c r="Y148" s="89"/>
      <c r="Z148" s="89"/>
      <c r="AA148" s="89"/>
      <c r="AB148" s="88"/>
      <c r="AC148" s="91"/>
    </row>
    <row r="149" customFormat="false" ht="15" hidden="false" customHeight="false" outlineLevel="0" collapsed="false">
      <c r="A149" s="68" t="e">
        <f aca="false">VLOOKUP(E149,'[1]Listas Desplegables'!$H$3:$J$7,2,FALSE())</f>
        <v>#N/A</v>
      </c>
      <c r="B149" s="68" t="e">
        <f aca="false">VLOOKUP(E149,'[1]Listas Desplegables'!$H$3:$J$7,3,FALSE())</f>
        <v>#N/A</v>
      </c>
      <c r="C149" s="85" t="n">
        <v>144</v>
      </c>
      <c r="D149" s="94"/>
      <c r="E149" s="94"/>
      <c r="F149" s="94"/>
      <c r="G149" s="87"/>
      <c r="H149" s="88"/>
      <c r="I149" s="88"/>
      <c r="J149" s="88"/>
      <c r="K149" s="88"/>
      <c r="L149" s="89"/>
      <c r="M149" s="88"/>
      <c r="N149" s="88"/>
      <c r="O149" s="88"/>
      <c r="P149" s="88"/>
      <c r="Q149" s="88"/>
      <c r="R149" s="88"/>
      <c r="S149" s="89"/>
      <c r="T149" s="89"/>
      <c r="U149" s="89"/>
      <c r="V149" s="90"/>
      <c r="W149" s="89"/>
      <c r="X149" s="89"/>
      <c r="Y149" s="89"/>
      <c r="Z149" s="89"/>
      <c r="AA149" s="89"/>
      <c r="AB149" s="88"/>
      <c r="AC149" s="91"/>
    </row>
    <row r="150" customFormat="false" ht="15" hidden="false" customHeight="false" outlineLevel="0" collapsed="false">
      <c r="A150" s="68" t="e">
        <f aca="false">VLOOKUP(E150,'[1]Listas Desplegables'!$H$3:$J$7,2,FALSE())</f>
        <v>#N/A</v>
      </c>
      <c r="B150" s="68" t="e">
        <f aca="false">VLOOKUP(E150,'[1]Listas Desplegables'!$H$3:$J$7,3,FALSE())</f>
        <v>#N/A</v>
      </c>
      <c r="C150" s="85" t="n">
        <v>145</v>
      </c>
      <c r="D150" s="94"/>
      <c r="E150" s="94"/>
      <c r="F150" s="94"/>
      <c r="G150" s="87"/>
      <c r="H150" s="88"/>
      <c r="I150" s="88"/>
      <c r="J150" s="88"/>
      <c r="K150" s="88"/>
      <c r="L150" s="89"/>
      <c r="M150" s="88"/>
      <c r="N150" s="88"/>
      <c r="O150" s="88"/>
      <c r="P150" s="88"/>
      <c r="Q150" s="88"/>
      <c r="R150" s="88"/>
      <c r="S150" s="89"/>
      <c r="T150" s="89"/>
      <c r="U150" s="89"/>
      <c r="V150" s="90"/>
      <c r="W150" s="89"/>
      <c r="X150" s="89"/>
      <c r="Y150" s="89"/>
      <c r="Z150" s="89"/>
      <c r="AA150" s="89"/>
      <c r="AB150" s="88"/>
      <c r="AC150" s="91"/>
    </row>
    <row r="151" customFormat="false" ht="15" hidden="false" customHeight="false" outlineLevel="0" collapsed="false">
      <c r="A151" s="68" t="e">
        <f aca="false">VLOOKUP(E151,'[1]Listas Desplegables'!$H$3:$J$7,2,FALSE())</f>
        <v>#N/A</v>
      </c>
      <c r="B151" s="68" t="e">
        <f aca="false">VLOOKUP(E151,'[1]Listas Desplegables'!$H$3:$J$7,3,FALSE())</f>
        <v>#N/A</v>
      </c>
      <c r="C151" s="85" t="n">
        <v>146</v>
      </c>
      <c r="D151" s="94"/>
      <c r="E151" s="94"/>
      <c r="F151" s="94"/>
      <c r="G151" s="87"/>
      <c r="H151" s="88"/>
      <c r="I151" s="88"/>
      <c r="J151" s="88"/>
      <c r="K151" s="88"/>
      <c r="L151" s="89"/>
      <c r="M151" s="88"/>
      <c r="N151" s="88"/>
      <c r="O151" s="88"/>
      <c r="P151" s="88"/>
      <c r="Q151" s="88"/>
      <c r="R151" s="88"/>
      <c r="S151" s="89"/>
      <c r="T151" s="89"/>
      <c r="U151" s="89"/>
      <c r="V151" s="90"/>
      <c r="W151" s="89"/>
      <c r="X151" s="89"/>
      <c r="Y151" s="89"/>
      <c r="Z151" s="89"/>
      <c r="AA151" s="89"/>
      <c r="AB151" s="88"/>
      <c r="AC151" s="91"/>
    </row>
    <row r="152" customFormat="false" ht="15" hidden="false" customHeight="false" outlineLevel="0" collapsed="false">
      <c r="A152" s="68" t="e">
        <f aca="false">VLOOKUP(E152,'[1]Listas Desplegables'!$H$3:$J$7,2,FALSE())</f>
        <v>#N/A</v>
      </c>
      <c r="B152" s="68" t="e">
        <f aca="false">VLOOKUP(E152,'[1]Listas Desplegables'!$H$3:$J$7,3,FALSE())</f>
        <v>#N/A</v>
      </c>
      <c r="C152" s="85" t="n">
        <v>147</v>
      </c>
      <c r="D152" s="94"/>
      <c r="E152" s="94"/>
      <c r="F152" s="94"/>
      <c r="G152" s="87"/>
      <c r="H152" s="88"/>
      <c r="I152" s="88"/>
      <c r="J152" s="88"/>
      <c r="K152" s="88"/>
      <c r="L152" s="89"/>
      <c r="M152" s="88"/>
      <c r="N152" s="88"/>
      <c r="O152" s="88"/>
      <c r="P152" s="88"/>
      <c r="Q152" s="88"/>
      <c r="R152" s="88"/>
      <c r="S152" s="89"/>
      <c r="T152" s="89"/>
      <c r="U152" s="89"/>
      <c r="V152" s="90"/>
      <c r="W152" s="89"/>
      <c r="X152" s="89"/>
      <c r="Y152" s="89"/>
      <c r="Z152" s="89"/>
      <c r="AA152" s="89"/>
      <c r="AB152" s="88"/>
      <c r="AC152" s="91"/>
    </row>
    <row r="153" customFormat="false" ht="15" hidden="false" customHeight="false" outlineLevel="0" collapsed="false">
      <c r="A153" s="68" t="e">
        <f aca="false">VLOOKUP(E153,'[1]Listas Desplegables'!$H$3:$J$7,2,FALSE())</f>
        <v>#N/A</v>
      </c>
      <c r="B153" s="68" t="e">
        <f aca="false">VLOOKUP(E153,'[1]Listas Desplegables'!$H$3:$J$7,3,FALSE())</f>
        <v>#N/A</v>
      </c>
      <c r="C153" s="85" t="n">
        <v>148</v>
      </c>
      <c r="D153" s="94"/>
      <c r="E153" s="94"/>
      <c r="F153" s="94"/>
      <c r="G153" s="87"/>
      <c r="H153" s="88"/>
      <c r="I153" s="88"/>
      <c r="J153" s="88"/>
      <c r="K153" s="88"/>
      <c r="L153" s="89"/>
      <c r="M153" s="88"/>
      <c r="N153" s="88"/>
      <c r="O153" s="88"/>
      <c r="P153" s="88"/>
      <c r="Q153" s="88"/>
      <c r="R153" s="88"/>
      <c r="S153" s="89"/>
      <c r="T153" s="89"/>
      <c r="U153" s="89"/>
      <c r="V153" s="90"/>
      <c r="W153" s="89"/>
      <c r="X153" s="89"/>
      <c r="Y153" s="89"/>
      <c r="Z153" s="89"/>
      <c r="AA153" s="89"/>
      <c r="AB153" s="88"/>
      <c r="AC153" s="91"/>
    </row>
    <row r="154" customFormat="false" ht="15" hidden="false" customHeight="false" outlineLevel="0" collapsed="false">
      <c r="A154" s="68" t="e">
        <f aca="false">VLOOKUP(E154,'[1]Listas Desplegables'!$H$3:$J$7,2,FALSE())</f>
        <v>#N/A</v>
      </c>
      <c r="B154" s="68" t="e">
        <f aca="false">VLOOKUP(E154,'[1]Listas Desplegables'!$H$3:$J$7,3,FALSE())</f>
        <v>#N/A</v>
      </c>
      <c r="C154" s="85" t="n">
        <v>149</v>
      </c>
      <c r="D154" s="94"/>
      <c r="E154" s="94"/>
      <c r="F154" s="94"/>
      <c r="G154" s="87"/>
      <c r="H154" s="88"/>
      <c r="I154" s="88"/>
      <c r="J154" s="88"/>
      <c r="K154" s="88"/>
      <c r="L154" s="89"/>
      <c r="M154" s="88"/>
      <c r="N154" s="88"/>
      <c r="O154" s="88"/>
      <c r="P154" s="88"/>
      <c r="Q154" s="88"/>
      <c r="R154" s="88"/>
      <c r="S154" s="89"/>
      <c r="T154" s="89"/>
      <c r="U154" s="89"/>
      <c r="V154" s="90"/>
      <c r="W154" s="89"/>
      <c r="X154" s="89"/>
      <c r="Y154" s="89"/>
      <c r="Z154" s="89"/>
      <c r="AA154" s="89"/>
      <c r="AB154" s="88"/>
      <c r="AC154" s="91"/>
    </row>
    <row r="155" customFormat="false" ht="15" hidden="false" customHeight="false" outlineLevel="0" collapsed="false">
      <c r="A155" s="68" t="e">
        <f aca="false">VLOOKUP(E155,'[1]Listas Desplegables'!$H$3:$J$7,2,FALSE())</f>
        <v>#N/A</v>
      </c>
      <c r="B155" s="68" t="e">
        <f aca="false">VLOOKUP(E155,'[1]Listas Desplegables'!$H$3:$J$7,3,FALSE())</f>
        <v>#N/A</v>
      </c>
      <c r="C155" s="85" t="n">
        <v>150</v>
      </c>
      <c r="D155" s="94"/>
      <c r="E155" s="94"/>
      <c r="F155" s="94"/>
      <c r="G155" s="87"/>
      <c r="H155" s="88"/>
      <c r="I155" s="88"/>
      <c r="J155" s="88"/>
      <c r="K155" s="88"/>
      <c r="L155" s="89"/>
      <c r="M155" s="88"/>
      <c r="N155" s="88"/>
      <c r="O155" s="88"/>
      <c r="P155" s="88"/>
      <c r="Q155" s="88"/>
      <c r="R155" s="88"/>
      <c r="S155" s="89"/>
      <c r="T155" s="89"/>
      <c r="U155" s="89"/>
      <c r="V155" s="90"/>
      <c r="W155" s="89"/>
      <c r="X155" s="89"/>
      <c r="Y155" s="89"/>
      <c r="Z155" s="89"/>
      <c r="AA155" s="89"/>
      <c r="AB155" s="88"/>
      <c r="AC155" s="91"/>
    </row>
    <row r="156" customFormat="false" ht="15" hidden="false" customHeight="false" outlineLevel="0" collapsed="false">
      <c r="A156" s="68" t="e">
        <f aca="false">VLOOKUP(E156,'[1]Listas Desplegables'!$H$3:$J$7,2,FALSE())</f>
        <v>#N/A</v>
      </c>
      <c r="B156" s="68" t="e">
        <f aca="false">VLOOKUP(E156,'[1]Listas Desplegables'!$H$3:$J$7,3,FALSE())</f>
        <v>#N/A</v>
      </c>
      <c r="C156" s="85" t="n">
        <v>151</v>
      </c>
      <c r="D156" s="94"/>
      <c r="E156" s="94"/>
      <c r="F156" s="94"/>
      <c r="G156" s="87"/>
      <c r="H156" s="88"/>
      <c r="I156" s="88"/>
      <c r="J156" s="88"/>
      <c r="K156" s="88"/>
      <c r="L156" s="89"/>
      <c r="M156" s="88"/>
      <c r="N156" s="88"/>
      <c r="O156" s="88"/>
      <c r="P156" s="88"/>
      <c r="Q156" s="88"/>
      <c r="R156" s="88"/>
      <c r="S156" s="89"/>
      <c r="T156" s="89"/>
      <c r="U156" s="89"/>
      <c r="V156" s="90"/>
      <c r="W156" s="89"/>
      <c r="X156" s="89"/>
      <c r="Y156" s="89"/>
      <c r="Z156" s="89"/>
      <c r="AA156" s="89"/>
      <c r="AB156" s="88"/>
      <c r="AC156" s="91"/>
    </row>
    <row r="157" customFormat="false" ht="15" hidden="false" customHeight="false" outlineLevel="0" collapsed="false">
      <c r="A157" s="68" t="e">
        <f aca="false">VLOOKUP(E157,'[1]Listas Desplegables'!$H$3:$J$7,2,FALSE())</f>
        <v>#N/A</v>
      </c>
      <c r="B157" s="68" t="e">
        <f aca="false">VLOOKUP(E157,'[1]Listas Desplegables'!$H$3:$J$7,3,FALSE())</f>
        <v>#N/A</v>
      </c>
      <c r="C157" s="85" t="n">
        <v>152</v>
      </c>
      <c r="D157" s="94"/>
      <c r="E157" s="94"/>
      <c r="F157" s="94"/>
      <c r="G157" s="87"/>
      <c r="H157" s="88"/>
      <c r="I157" s="88"/>
      <c r="J157" s="88"/>
      <c r="K157" s="88"/>
      <c r="L157" s="89"/>
      <c r="M157" s="88"/>
      <c r="N157" s="88"/>
      <c r="O157" s="88"/>
      <c r="P157" s="88"/>
      <c r="Q157" s="88"/>
      <c r="R157" s="88"/>
      <c r="S157" s="89"/>
      <c r="T157" s="89"/>
      <c r="U157" s="89"/>
      <c r="V157" s="90"/>
      <c r="W157" s="89"/>
      <c r="X157" s="89"/>
      <c r="Y157" s="89"/>
      <c r="Z157" s="89"/>
      <c r="AA157" s="89"/>
      <c r="AB157" s="88"/>
      <c r="AC157" s="91"/>
    </row>
    <row r="158" customFormat="false" ht="15" hidden="false" customHeight="false" outlineLevel="0" collapsed="false">
      <c r="A158" s="68" t="e">
        <f aca="false">VLOOKUP(E158,'[1]Listas Desplegables'!$H$3:$J$7,2,FALSE())</f>
        <v>#N/A</v>
      </c>
      <c r="B158" s="68" t="e">
        <f aca="false">VLOOKUP(E158,'[1]Listas Desplegables'!$H$3:$J$7,3,FALSE())</f>
        <v>#N/A</v>
      </c>
      <c r="C158" s="85" t="n">
        <v>153</v>
      </c>
      <c r="D158" s="94"/>
      <c r="E158" s="94"/>
      <c r="F158" s="94"/>
      <c r="G158" s="87"/>
      <c r="H158" s="88"/>
      <c r="I158" s="88"/>
      <c r="J158" s="88"/>
      <c r="K158" s="88"/>
      <c r="L158" s="89"/>
      <c r="M158" s="88"/>
      <c r="N158" s="88"/>
      <c r="O158" s="88"/>
      <c r="P158" s="88"/>
      <c r="Q158" s="88"/>
      <c r="R158" s="88"/>
      <c r="S158" s="89"/>
      <c r="T158" s="89"/>
      <c r="U158" s="89"/>
      <c r="V158" s="90"/>
      <c r="W158" s="89"/>
      <c r="X158" s="89"/>
      <c r="Y158" s="89"/>
      <c r="Z158" s="89"/>
      <c r="AA158" s="89"/>
      <c r="AB158" s="88"/>
      <c r="AC158" s="91"/>
    </row>
    <row r="159" customFormat="false" ht="15" hidden="false" customHeight="false" outlineLevel="0" collapsed="false">
      <c r="A159" s="68" t="e">
        <f aca="false">VLOOKUP(E159,'[1]Listas Desplegables'!$H$3:$J$7,2,FALSE())</f>
        <v>#N/A</v>
      </c>
      <c r="B159" s="68" t="e">
        <f aca="false">VLOOKUP(E159,'[1]Listas Desplegables'!$H$3:$J$7,3,FALSE())</f>
        <v>#N/A</v>
      </c>
      <c r="C159" s="85" t="n">
        <v>154</v>
      </c>
      <c r="D159" s="94"/>
      <c r="E159" s="94"/>
      <c r="F159" s="94"/>
      <c r="G159" s="87"/>
      <c r="H159" s="88"/>
      <c r="I159" s="88"/>
      <c r="J159" s="88"/>
      <c r="K159" s="88"/>
      <c r="L159" s="89"/>
      <c r="M159" s="88"/>
      <c r="N159" s="88"/>
      <c r="O159" s="88"/>
      <c r="P159" s="88"/>
      <c r="Q159" s="88"/>
      <c r="R159" s="88"/>
      <c r="S159" s="89"/>
      <c r="T159" s="89"/>
      <c r="U159" s="89"/>
      <c r="V159" s="90"/>
      <c r="W159" s="89"/>
      <c r="X159" s="89"/>
      <c r="Y159" s="89"/>
      <c r="Z159" s="89"/>
      <c r="AA159" s="89"/>
      <c r="AB159" s="88"/>
      <c r="AC159" s="91"/>
    </row>
    <row r="160" customFormat="false" ht="15" hidden="false" customHeight="false" outlineLevel="0" collapsed="false">
      <c r="A160" s="68" t="e">
        <f aca="false">VLOOKUP(E160,'[1]Listas Desplegables'!$H$3:$J$7,2,FALSE())</f>
        <v>#N/A</v>
      </c>
      <c r="B160" s="68" t="e">
        <f aca="false">VLOOKUP(E160,'[1]Listas Desplegables'!$H$3:$J$7,3,FALSE())</f>
        <v>#N/A</v>
      </c>
      <c r="C160" s="85" t="n">
        <v>155</v>
      </c>
      <c r="D160" s="94"/>
      <c r="E160" s="94"/>
      <c r="F160" s="94"/>
      <c r="G160" s="87"/>
      <c r="H160" s="88"/>
      <c r="I160" s="88"/>
      <c r="J160" s="88"/>
      <c r="K160" s="88"/>
      <c r="L160" s="89"/>
      <c r="M160" s="88"/>
      <c r="N160" s="88"/>
      <c r="O160" s="88"/>
      <c r="P160" s="88"/>
      <c r="Q160" s="88"/>
      <c r="R160" s="88"/>
      <c r="S160" s="89"/>
      <c r="T160" s="89"/>
      <c r="U160" s="89"/>
      <c r="V160" s="90"/>
      <c r="W160" s="89"/>
      <c r="X160" s="89"/>
      <c r="Y160" s="89"/>
      <c r="Z160" s="89"/>
      <c r="AA160" s="89"/>
      <c r="AB160" s="88"/>
      <c r="AC160" s="91"/>
    </row>
    <row r="161" customFormat="false" ht="15" hidden="false" customHeight="false" outlineLevel="0" collapsed="false">
      <c r="A161" s="68" t="e">
        <f aca="false">VLOOKUP(E161,'[1]Listas Desplegables'!$H$3:$J$7,2,FALSE())</f>
        <v>#N/A</v>
      </c>
      <c r="B161" s="68" t="e">
        <f aca="false">VLOOKUP(E161,'[1]Listas Desplegables'!$H$3:$J$7,3,FALSE())</f>
        <v>#N/A</v>
      </c>
      <c r="C161" s="85" t="n">
        <v>156</v>
      </c>
      <c r="D161" s="94"/>
      <c r="E161" s="94"/>
      <c r="F161" s="94"/>
      <c r="G161" s="87"/>
      <c r="H161" s="88"/>
      <c r="I161" s="88"/>
      <c r="J161" s="88"/>
      <c r="K161" s="88"/>
      <c r="L161" s="89"/>
      <c r="M161" s="88"/>
      <c r="N161" s="88"/>
      <c r="O161" s="88"/>
      <c r="P161" s="88"/>
      <c r="Q161" s="88"/>
      <c r="R161" s="88"/>
      <c r="S161" s="89"/>
      <c r="T161" s="89"/>
      <c r="U161" s="89"/>
      <c r="V161" s="90"/>
      <c r="W161" s="89"/>
      <c r="X161" s="89"/>
      <c r="Y161" s="89"/>
      <c r="Z161" s="89"/>
      <c r="AA161" s="89"/>
      <c r="AB161" s="88"/>
      <c r="AC161" s="91"/>
    </row>
    <row r="162" customFormat="false" ht="15" hidden="false" customHeight="false" outlineLevel="0" collapsed="false">
      <c r="A162" s="68" t="e">
        <f aca="false">VLOOKUP(E162,'[1]Listas Desplegables'!$H$3:$J$7,2,FALSE())</f>
        <v>#N/A</v>
      </c>
      <c r="B162" s="68" t="e">
        <f aca="false">VLOOKUP(E162,'[1]Listas Desplegables'!$H$3:$J$7,3,FALSE())</f>
        <v>#N/A</v>
      </c>
      <c r="C162" s="85" t="n">
        <v>157</v>
      </c>
      <c r="D162" s="94"/>
      <c r="E162" s="94"/>
      <c r="F162" s="94"/>
      <c r="G162" s="87"/>
      <c r="H162" s="88"/>
      <c r="I162" s="88"/>
      <c r="J162" s="88"/>
      <c r="K162" s="88"/>
      <c r="L162" s="89"/>
      <c r="M162" s="88"/>
      <c r="N162" s="88"/>
      <c r="O162" s="88"/>
      <c r="P162" s="88"/>
      <c r="Q162" s="88"/>
      <c r="R162" s="88"/>
      <c r="S162" s="89"/>
      <c r="T162" s="89"/>
      <c r="U162" s="89"/>
      <c r="V162" s="90"/>
      <c r="W162" s="89"/>
      <c r="X162" s="89"/>
      <c r="Y162" s="89"/>
      <c r="Z162" s="89"/>
      <c r="AA162" s="89"/>
      <c r="AB162" s="88"/>
      <c r="AC162" s="91"/>
    </row>
    <row r="163" customFormat="false" ht="15" hidden="false" customHeight="false" outlineLevel="0" collapsed="false">
      <c r="A163" s="68" t="e">
        <f aca="false">VLOOKUP(E163,'[1]Listas Desplegables'!$H$3:$J$7,2,FALSE())</f>
        <v>#N/A</v>
      </c>
      <c r="B163" s="68" t="e">
        <f aca="false">VLOOKUP(E163,'[1]Listas Desplegables'!$H$3:$J$7,3,FALSE())</f>
        <v>#N/A</v>
      </c>
      <c r="C163" s="85" t="n">
        <v>158</v>
      </c>
      <c r="D163" s="94"/>
      <c r="E163" s="94"/>
      <c r="F163" s="94"/>
      <c r="G163" s="87"/>
      <c r="H163" s="88"/>
      <c r="I163" s="88"/>
      <c r="J163" s="88"/>
      <c r="K163" s="88"/>
      <c r="L163" s="89"/>
      <c r="M163" s="88"/>
      <c r="N163" s="88"/>
      <c r="O163" s="88"/>
      <c r="P163" s="88"/>
      <c r="Q163" s="88"/>
      <c r="R163" s="88"/>
      <c r="S163" s="89"/>
      <c r="T163" s="89"/>
      <c r="U163" s="89"/>
      <c r="V163" s="90"/>
      <c r="W163" s="89"/>
      <c r="X163" s="89"/>
      <c r="Y163" s="89"/>
      <c r="Z163" s="89"/>
      <c r="AA163" s="89"/>
      <c r="AB163" s="88"/>
      <c r="AC163" s="91"/>
    </row>
    <row r="164" customFormat="false" ht="15" hidden="false" customHeight="false" outlineLevel="0" collapsed="false">
      <c r="A164" s="68" t="e">
        <f aca="false">VLOOKUP(E164,'[1]Listas Desplegables'!$H$3:$J$7,2,FALSE())</f>
        <v>#N/A</v>
      </c>
      <c r="B164" s="68" t="e">
        <f aca="false">VLOOKUP(E164,'[1]Listas Desplegables'!$H$3:$J$7,3,FALSE())</f>
        <v>#N/A</v>
      </c>
      <c r="C164" s="85" t="n">
        <v>159</v>
      </c>
      <c r="D164" s="94"/>
      <c r="E164" s="94"/>
      <c r="F164" s="94"/>
      <c r="G164" s="87"/>
      <c r="H164" s="88"/>
      <c r="I164" s="88"/>
      <c r="J164" s="88"/>
      <c r="K164" s="88"/>
      <c r="L164" s="89"/>
      <c r="M164" s="88"/>
      <c r="N164" s="88"/>
      <c r="O164" s="88"/>
      <c r="P164" s="88"/>
      <c r="Q164" s="88"/>
      <c r="R164" s="88"/>
      <c r="S164" s="89"/>
      <c r="T164" s="89"/>
      <c r="U164" s="89"/>
      <c r="V164" s="90"/>
      <c r="W164" s="89"/>
      <c r="X164" s="89"/>
      <c r="Y164" s="89"/>
      <c r="Z164" s="89"/>
      <c r="AA164" s="89"/>
      <c r="AB164" s="88"/>
      <c r="AC164" s="91"/>
    </row>
    <row r="165" customFormat="false" ht="15" hidden="false" customHeight="false" outlineLevel="0" collapsed="false">
      <c r="A165" s="68" t="e">
        <f aca="false">VLOOKUP(E165,'[1]Listas Desplegables'!$H$3:$J$7,2,FALSE())</f>
        <v>#N/A</v>
      </c>
      <c r="B165" s="68" t="e">
        <f aca="false">VLOOKUP(E165,'[1]Listas Desplegables'!$H$3:$J$7,3,FALSE())</f>
        <v>#N/A</v>
      </c>
      <c r="C165" s="85" t="n">
        <v>160</v>
      </c>
      <c r="D165" s="94"/>
      <c r="E165" s="94"/>
      <c r="F165" s="94"/>
      <c r="G165" s="87"/>
      <c r="H165" s="88"/>
      <c r="I165" s="88"/>
      <c r="J165" s="88"/>
      <c r="K165" s="88"/>
      <c r="L165" s="89"/>
      <c r="M165" s="88"/>
      <c r="N165" s="88"/>
      <c r="O165" s="88"/>
      <c r="P165" s="88"/>
      <c r="Q165" s="88"/>
      <c r="R165" s="88"/>
      <c r="S165" s="89"/>
      <c r="T165" s="89"/>
      <c r="U165" s="89"/>
      <c r="V165" s="90"/>
      <c r="W165" s="89"/>
      <c r="X165" s="89"/>
      <c r="Y165" s="89"/>
      <c r="Z165" s="89"/>
      <c r="AA165" s="89"/>
      <c r="AB165" s="88"/>
      <c r="AC165" s="91"/>
    </row>
    <row r="166" customFormat="false" ht="15" hidden="false" customHeight="false" outlineLevel="0" collapsed="false">
      <c r="A166" s="68" t="e">
        <f aca="false">VLOOKUP(E166,'[1]Listas Desplegables'!$H$3:$J$7,2,FALSE())</f>
        <v>#N/A</v>
      </c>
      <c r="B166" s="68" t="e">
        <f aca="false">VLOOKUP(E166,'[1]Listas Desplegables'!$H$3:$J$7,3,FALSE())</f>
        <v>#N/A</v>
      </c>
      <c r="C166" s="85" t="n">
        <v>161</v>
      </c>
      <c r="D166" s="94"/>
      <c r="E166" s="94"/>
      <c r="F166" s="94"/>
      <c r="G166" s="87"/>
      <c r="H166" s="88"/>
      <c r="I166" s="88"/>
      <c r="J166" s="88"/>
      <c r="K166" s="88"/>
      <c r="L166" s="89"/>
      <c r="M166" s="88"/>
      <c r="N166" s="88"/>
      <c r="O166" s="88"/>
      <c r="P166" s="88"/>
      <c r="Q166" s="88"/>
      <c r="R166" s="88"/>
      <c r="S166" s="89"/>
      <c r="T166" s="89"/>
      <c r="U166" s="89"/>
      <c r="V166" s="90"/>
      <c r="W166" s="89"/>
      <c r="X166" s="89"/>
      <c r="Y166" s="89"/>
      <c r="Z166" s="89"/>
      <c r="AA166" s="89"/>
      <c r="AB166" s="88"/>
      <c r="AC166" s="91"/>
    </row>
    <row r="167" customFormat="false" ht="15" hidden="false" customHeight="false" outlineLevel="0" collapsed="false">
      <c r="A167" s="68" t="e">
        <f aca="false">VLOOKUP(E167,'[1]Listas Desplegables'!$H$3:$J$7,2,FALSE())</f>
        <v>#N/A</v>
      </c>
      <c r="B167" s="68" t="e">
        <f aca="false">VLOOKUP(E167,'[1]Listas Desplegables'!$H$3:$J$7,3,FALSE())</f>
        <v>#N/A</v>
      </c>
      <c r="C167" s="85" t="n">
        <v>162</v>
      </c>
      <c r="D167" s="94"/>
      <c r="E167" s="94"/>
      <c r="F167" s="94"/>
      <c r="G167" s="87"/>
      <c r="H167" s="88"/>
      <c r="I167" s="88"/>
      <c r="J167" s="88"/>
      <c r="K167" s="88"/>
      <c r="L167" s="89"/>
      <c r="M167" s="88"/>
      <c r="N167" s="88"/>
      <c r="O167" s="88"/>
      <c r="P167" s="88"/>
      <c r="Q167" s="88"/>
      <c r="R167" s="88"/>
      <c r="S167" s="89"/>
      <c r="T167" s="89"/>
      <c r="U167" s="89"/>
      <c r="V167" s="90"/>
      <c r="W167" s="89"/>
      <c r="X167" s="89"/>
      <c r="Y167" s="89"/>
      <c r="Z167" s="89"/>
      <c r="AA167" s="89"/>
      <c r="AB167" s="88"/>
      <c r="AC167" s="91"/>
    </row>
    <row r="168" customFormat="false" ht="15" hidden="false" customHeight="false" outlineLevel="0" collapsed="false">
      <c r="A168" s="68" t="e">
        <f aca="false">VLOOKUP(E168,'[1]Listas Desplegables'!$H$3:$J$7,2,FALSE())</f>
        <v>#N/A</v>
      </c>
      <c r="B168" s="68" t="e">
        <f aca="false">VLOOKUP(E168,'[1]Listas Desplegables'!$H$3:$J$7,3,FALSE())</f>
        <v>#N/A</v>
      </c>
      <c r="C168" s="85" t="n">
        <v>163</v>
      </c>
      <c r="D168" s="94"/>
      <c r="E168" s="94"/>
      <c r="F168" s="94"/>
      <c r="G168" s="87"/>
      <c r="H168" s="88"/>
      <c r="I168" s="88"/>
      <c r="J168" s="88"/>
      <c r="K168" s="88"/>
      <c r="L168" s="89"/>
      <c r="M168" s="88"/>
      <c r="N168" s="88"/>
      <c r="O168" s="88"/>
      <c r="P168" s="88"/>
      <c r="Q168" s="88"/>
      <c r="R168" s="88"/>
      <c r="S168" s="89"/>
      <c r="T168" s="89"/>
      <c r="U168" s="89"/>
      <c r="V168" s="90"/>
      <c r="W168" s="89"/>
      <c r="X168" s="89"/>
      <c r="Y168" s="89"/>
      <c r="Z168" s="89"/>
      <c r="AA168" s="89"/>
      <c r="AB168" s="88"/>
      <c r="AC168" s="91"/>
    </row>
    <row r="169" customFormat="false" ht="15" hidden="false" customHeight="false" outlineLevel="0" collapsed="false">
      <c r="A169" s="68" t="e">
        <f aca="false">VLOOKUP(E169,'[1]Listas Desplegables'!$H$3:$J$7,2,FALSE())</f>
        <v>#N/A</v>
      </c>
      <c r="B169" s="68" t="e">
        <f aca="false">VLOOKUP(E169,'[1]Listas Desplegables'!$H$3:$J$7,3,FALSE())</f>
        <v>#N/A</v>
      </c>
      <c r="C169" s="85" t="n">
        <v>164</v>
      </c>
      <c r="D169" s="94"/>
      <c r="E169" s="94"/>
      <c r="F169" s="94"/>
      <c r="G169" s="87"/>
      <c r="H169" s="88"/>
      <c r="I169" s="88"/>
      <c r="J169" s="88"/>
      <c r="K169" s="88"/>
      <c r="L169" s="89"/>
      <c r="M169" s="88"/>
      <c r="N169" s="88"/>
      <c r="O169" s="88"/>
      <c r="P169" s="88"/>
      <c r="Q169" s="88"/>
      <c r="R169" s="88"/>
      <c r="S169" s="89"/>
      <c r="T169" s="89"/>
      <c r="U169" s="89"/>
      <c r="V169" s="90"/>
      <c r="W169" s="89"/>
      <c r="X169" s="89"/>
      <c r="Y169" s="89"/>
      <c r="Z169" s="89"/>
      <c r="AA169" s="89"/>
      <c r="AB169" s="88"/>
      <c r="AC169" s="91"/>
    </row>
    <row r="170" customFormat="false" ht="15" hidden="false" customHeight="false" outlineLevel="0" collapsed="false">
      <c r="A170" s="68" t="e">
        <f aca="false">VLOOKUP(E170,'[1]Listas Desplegables'!$H$3:$J$7,2,FALSE())</f>
        <v>#N/A</v>
      </c>
      <c r="B170" s="68" t="e">
        <f aca="false">VLOOKUP(E170,'[1]Listas Desplegables'!$H$3:$J$7,3,FALSE())</f>
        <v>#N/A</v>
      </c>
      <c r="C170" s="85" t="n">
        <v>165</v>
      </c>
      <c r="D170" s="94"/>
      <c r="E170" s="94"/>
      <c r="F170" s="94"/>
      <c r="G170" s="87"/>
      <c r="H170" s="88"/>
      <c r="I170" s="88"/>
      <c r="J170" s="88"/>
      <c r="K170" s="88"/>
      <c r="L170" s="89"/>
      <c r="M170" s="88"/>
      <c r="N170" s="88"/>
      <c r="O170" s="88"/>
      <c r="P170" s="88"/>
      <c r="Q170" s="88"/>
      <c r="R170" s="88"/>
      <c r="S170" s="89"/>
      <c r="T170" s="89"/>
      <c r="U170" s="89"/>
      <c r="V170" s="90"/>
      <c r="W170" s="89"/>
      <c r="X170" s="89"/>
      <c r="Y170" s="89"/>
      <c r="Z170" s="89"/>
      <c r="AA170" s="89"/>
      <c r="AB170" s="88"/>
      <c r="AC170" s="91"/>
    </row>
    <row r="171" customFormat="false" ht="15" hidden="false" customHeight="false" outlineLevel="0" collapsed="false">
      <c r="A171" s="68" t="e">
        <f aca="false">VLOOKUP(E171,'[1]Listas Desplegables'!$H$3:$J$7,2,FALSE())</f>
        <v>#N/A</v>
      </c>
      <c r="B171" s="68" t="e">
        <f aca="false">VLOOKUP(E171,'[1]Listas Desplegables'!$H$3:$J$7,3,FALSE())</f>
        <v>#N/A</v>
      </c>
      <c r="C171" s="85" t="n">
        <v>166</v>
      </c>
      <c r="D171" s="94"/>
      <c r="E171" s="94"/>
      <c r="F171" s="94"/>
      <c r="G171" s="87"/>
      <c r="H171" s="88"/>
      <c r="I171" s="88"/>
      <c r="J171" s="88"/>
      <c r="K171" s="88"/>
      <c r="L171" s="89"/>
      <c r="M171" s="88"/>
      <c r="N171" s="88"/>
      <c r="O171" s="88"/>
      <c r="P171" s="88"/>
      <c r="Q171" s="88"/>
      <c r="R171" s="88"/>
      <c r="S171" s="89"/>
      <c r="T171" s="89"/>
      <c r="U171" s="89"/>
      <c r="V171" s="90"/>
      <c r="W171" s="89"/>
      <c r="X171" s="89"/>
      <c r="Y171" s="89"/>
      <c r="Z171" s="89"/>
      <c r="AA171" s="89"/>
      <c r="AB171" s="88"/>
      <c r="AC171" s="91"/>
    </row>
    <row r="172" customFormat="false" ht="15" hidden="false" customHeight="false" outlineLevel="0" collapsed="false">
      <c r="A172" s="68" t="e">
        <f aca="false">VLOOKUP(E172,'[1]Listas Desplegables'!$H$3:$J$7,2,FALSE())</f>
        <v>#N/A</v>
      </c>
      <c r="B172" s="68" t="e">
        <f aca="false">VLOOKUP(E172,'[1]Listas Desplegables'!$H$3:$J$7,3,FALSE())</f>
        <v>#N/A</v>
      </c>
      <c r="C172" s="85" t="n">
        <v>167</v>
      </c>
      <c r="D172" s="94"/>
      <c r="E172" s="94"/>
      <c r="F172" s="94"/>
      <c r="G172" s="87"/>
      <c r="H172" s="88"/>
      <c r="I172" s="88"/>
      <c r="J172" s="88"/>
      <c r="K172" s="88"/>
      <c r="L172" s="89"/>
      <c r="M172" s="88"/>
      <c r="N172" s="88"/>
      <c r="O172" s="88"/>
      <c r="P172" s="88"/>
      <c r="Q172" s="88"/>
      <c r="R172" s="88"/>
      <c r="S172" s="89"/>
      <c r="T172" s="89"/>
      <c r="U172" s="89"/>
      <c r="V172" s="90"/>
      <c r="W172" s="89"/>
      <c r="X172" s="89"/>
      <c r="Y172" s="89"/>
      <c r="Z172" s="89"/>
      <c r="AA172" s="89"/>
      <c r="AB172" s="88"/>
      <c r="AC172" s="91"/>
    </row>
    <row r="173" customFormat="false" ht="15" hidden="false" customHeight="false" outlineLevel="0" collapsed="false">
      <c r="A173" s="68" t="e">
        <f aca="false">VLOOKUP(E173,'[1]Listas Desplegables'!$H$3:$J$7,2,FALSE())</f>
        <v>#N/A</v>
      </c>
      <c r="B173" s="68" t="e">
        <f aca="false">VLOOKUP(E173,'[1]Listas Desplegables'!$H$3:$J$7,3,FALSE())</f>
        <v>#N/A</v>
      </c>
      <c r="C173" s="85" t="n">
        <v>168</v>
      </c>
      <c r="D173" s="94"/>
      <c r="E173" s="94"/>
      <c r="F173" s="94"/>
      <c r="G173" s="87"/>
      <c r="H173" s="88"/>
      <c r="I173" s="88"/>
      <c r="J173" s="88"/>
      <c r="K173" s="88"/>
      <c r="L173" s="89"/>
      <c r="M173" s="88"/>
      <c r="N173" s="88"/>
      <c r="O173" s="88"/>
      <c r="P173" s="88"/>
      <c r="Q173" s="88"/>
      <c r="R173" s="88"/>
      <c r="S173" s="89"/>
      <c r="T173" s="89"/>
      <c r="U173" s="89"/>
      <c r="V173" s="90"/>
      <c r="W173" s="89"/>
      <c r="X173" s="89"/>
      <c r="Y173" s="89"/>
      <c r="Z173" s="89"/>
      <c r="AA173" s="89"/>
      <c r="AB173" s="88"/>
      <c r="AC173" s="91"/>
    </row>
    <row r="174" customFormat="false" ht="15" hidden="false" customHeight="false" outlineLevel="0" collapsed="false">
      <c r="A174" s="68" t="e">
        <f aca="false">VLOOKUP(E174,'[1]Listas Desplegables'!$H$3:$J$7,2,FALSE())</f>
        <v>#N/A</v>
      </c>
      <c r="B174" s="68" t="e">
        <f aca="false">VLOOKUP(E174,'[1]Listas Desplegables'!$H$3:$J$7,3,FALSE())</f>
        <v>#N/A</v>
      </c>
      <c r="C174" s="85" t="n">
        <v>169</v>
      </c>
      <c r="D174" s="94"/>
      <c r="E174" s="94"/>
      <c r="F174" s="94"/>
      <c r="G174" s="87"/>
      <c r="H174" s="88"/>
      <c r="I174" s="88"/>
      <c r="J174" s="88"/>
      <c r="K174" s="88"/>
      <c r="L174" s="89"/>
      <c r="M174" s="88"/>
      <c r="N174" s="88"/>
      <c r="O174" s="88"/>
      <c r="P174" s="88"/>
      <c r="Q174" s="88"/>
      <c r="R174" s="88"/>
      <c r="S174" s="89"/>
      <c r="T174" s="89"/>
      <c r="U174" s="89"/>
      <c r="V174" s="90"/>
      <c r="W174" s="89"/>
      <c r="X174" s="89"/>
      <c r="Y174" s="89"/>
      <c r="Z174" s="89"/>
      <c r="AA174" s="89"/>
      <c r="AB174" s="88"/>
      <c r="AC174" s="91"/>
    </row>
    <row r="175" customFormat="false" ht="15" hidden="false" customHeight="false" outlineLevel="0" collapsed="false">
      <c r="A175" s="68" t="e">
        <f aca="false">VLOOKUP(E175,'[1]Listas Desplegables'!$H$3:$J$7,2,FALSE())</f>
        <v>#N/A</v>
      </c>
      <c r="B175" s="68" t="e">
        <f aca="false">VLOOKUP(E175,'[1]Listas Desplegables'!$H$3:$J$7,3,FALSE())</f>
        <v>#N/A</v>
      </c>
      <c r="C175" s="85" t="n">
        <v>170</v>
      </c>
      <c r="D175" s="94"/>
      <c r="E175" s="94"/>
      <c r="F175" s="94"/>
      <c r="G175" s="87"/>
      <c r="H175" s="88"/>
      <c r="I175" s="88"/>
      <c r="J175" s="88"/>
      <c r="K175" s="88"/>
      <c r="L175" s="89"/>
      <c r="M175" s="88"/>
      <c r="N175" s="88"/>
      <c r="O175" s="88"/>
      <c r="P175" s="88"/>
      <c r="Q175" s="88"/>
      <c r="R175" s="88"/>
      <c r="S175" s="89"/>
      <c r="T175" s="89"/>
      <c r="U175" s="89"/>
      <c r="V175" s="90"/>
      <c r="W175" s="89"/>
      <c r="X175" s="89"/>
      <c r="Y175" s="89"/>
      <c r="Z175" s="89"/>
      <c r="AA175" s="89"/>
      <c r="AB175" s="88"/>
      <c r="AC175" s="91"/>
    </row>
    <row r="176" customFormat="false" ht="15" hidden="false" customHeight="false" outlineLevel="0" collapsed="false">
      <c r="A176" s="68" t="e">
        <f aca="false">VLOOKUP(E176,'[1]Listas Desplegables'!$H$3:$J$7,2,FALSE())</f>
        <v>#N/A</v>
      </c>
      <c r="B176" s="68" t="e">
        <f aca="false">VLOOKUP(E176,'[1]Listas Desplegables'!$H$3:$J$7,3,FALSE())</f>
        <v>#N/A</v>
      </c>
      <c r="C176" s="85" t="n">
        <v>171</v>
      </c>
      <c r="D176" s="94"/>
      <c r="E176" s="94"/>
      <c r="F176" s="94"/>
      <c r="G176" s="87"/>
      <c r="H176" s="88"/>
      <c r="I176" s="88"/>
      <c r="J176" s="88"/>
      <c r="K176" s="88"/>
      <c r="L176" s="89"/>
      <c r="M176" s="88"/>
      <c r="N176" s="88"/>
      <c r="O176" s="88"/>
      <c r="P176" s="88"/>
      <c r="Q176" s="88"/>
      <c r="R176" s="88"/>
      <c r="S176" s="89"/>
      <c r="T176" s="89"/>
      <c r="U176" s="89"/>
      <c r="V176" s="90"/>
      <c r="W176" s="89"/>
      <c r="X176" s="89"/>
      <c r="Y176" s="89"/>
      <c r="Z176" s="89"/>
      <c r="AA176" s="89"/>
      <c r="AB176" s="88"/>
      <c r="AC176" s="91"/>
    </row>
    <row r="177" customFormat="false" ht="15" hidden="false" customHeight="false" outlineLevel="0" collapsed="false">
      <c r="A177" s="68" t="e">
        <f aca="false">VLOOKUP(E177,'[1]Listas Desplegables'!$H$3:$J$7,2,FALSE())</f>
        <v>#N/A</v>
      </c>
      <c r="B177" s="68" t="e">
        <f aca="false">VLOOKUP(E177,'[1]Listas Desplegables'!$H$3:$J$7,3,FALSE())</f>
        <v>#N/A</v>
      </c>
      <c r="C177" s="85" t="n">
        <v>172</v>
      </c>
      <c r="D177" s="94"/>
      <c r="E177" s="94"/>
      <c r="F177" s="94"/>
      <c r="G177" s="87"/>
      <c r="H177" s="88"/>
      <c r="I177" s="88"/>
      <c r="J177" s="88"/>
      <c r="K177" s="88"/>
      <c r="L177" s="89"/>
      <c r="M177" s="88"/>
      <c r="N177" s="88"/>
      <c r="O177" s="88"/>
      <c r="P177" s="88"/>
      <c r="Q177" s="88"/>
      <c r="R177" s="88"/>
      <c r="S177" s="89"/>
      <c r="T177" s="89"/>
      <c r="U177" s="89"/>
      <c r="V177" s="90"/>
      <c r="W177" s="89"/>
      <c r="X177" s="89"/>
      <c r="Y177" s="89"/>
      <c r="Z177" s="89"/>
      <c r="AA177" s="89"/>
      <c r="AB177" s="88"/>
      <c r="AC177" s="91"/>
    </row>
    <row r="178" customFormat="false" ht="15" hidden="false" customHeight="false" outlineLevel="0" collapsed="false">
      <c r="A178" s="68" t="e">
        <f aca="false">VLOOKUP(E178,'[1]Listas Desplegables'!$H$3:$J$7,2,FALSE())</f>
        <v>#N/A</v>
      </c>
      <c r="B178" s="68" t="e">
        <f aca="false">VLOOKUP(E178,'[1]Listas Desplegables'!$H$3:$J$7,3,FALSE())</f>
        <v>#N/A</v>
      </c>
      <c r="C178" s="85" t="n">
        <v>173</v>
      </c>
      <c r="D178" s="94"/>
      <c r="E178" s="94"/>
      <c r="F178" s="94"/>
      <c r="G178" s="87"/>
      <c r="H178" s="88"/>
      <c r="I178" s="88"/>
      <c r="J178" s="88"/>
      <c r="K178" s="88"/>
      <c r="L178" s="89"/>
      <c r="M178" s="88"/>
      <c r="N178" s="88"/>
      <c r="O178" s="88"/>
      <c r="P178" s="88"/>
      <c r="Q178" s="88"/>
      <c r="R178" s="88"/>
      <c r="S178" s="89"/>
      <c r="T178" s="89"/>
      <c r="U178" s="89"/>
      <c r="V178" s="90"/>
      <c r="W178" s="89"/>
      <c r="X178" s="89"/>
      <c r="Y178" s="89"/>
      <c r="Z178" s="89"/>
      <c r="AA178" s="89"/>
      <c r="AB178" s="88"/>
      <c r="AC178" s="91"/>
    </row>
    <row r="179" customFormat="false" ht="15" hidden="false" customHeight="false" outlineLevel="0" collapsed="false">
      <c r="A179" s="68" t="e">
        <f aca="false">VLOOKUP(E179,'[1]Listas Desplegables'!$H$3:$J$7,2,FALSE())</f>
        <v>#N/A</v>
      </c>
      <c r="B179" s="68" t="e">
        <f aca="false">VLOOKUP(E179,'[1]Listas Desplegables'!$H$3:$J$7,3,FALSE())</f>
        <v>#N/A</v>
      </c>
      <c r="C179" s="85" t="n">
        <v>174</v>
      </c>
      <c r="D179" s="94"/>
      <c r="E179" s="94"/>
      <c r="F179" s="94"/>
      <c r="G179" s="87"/>
      <c r="H179" s="88"/>
      <c r="I179" s="88"/>
      <c r="J179" s="88"/>
      <c r="K179" s="88"/>
      <c r="L179" s="89"/>
      <c r="M179" s="88"/>
      <c r="N179" s="88"/>
      <c r="O179" s="88"/>
      <c r="P179" s="88"/>
      <c r="Q179" s="88"/>
      <c r="R179" s="88"/>
      <c r="S179" s="89"/>
      <c r="T179" s="89"/>
      <c r="U179" s="89"/>
      <c r="V179" s="90"/>
      <c r="W179" s="89"/>
      <c r="X179" s="89"/>
      <c r="Y179" s="89"/>
      <c r="Z179" s="89"/>
      <c r="AA179" s="89"/>
      <c r="AB179" s="88"/>
      <c r="AC179" s="91"/>
    </row>
    <row r="180" customFormat="false" ht="15" hidden="false" customHeight="false" outlineLevel="0" collapsed="false">
      <c r="A180" s="68" t="e">
        <f aca="false">VLOOKUP(E180,'[1]Listas Desplegables'!$H$3:$J$7,2,FALSE())</f>
        <v>#N/A</v>
      </c>
      <c r="B180" s="68" t="e">
        <f aca="false">VLOOKUP(E180,'[1]Listas Desplegables'!$H$3:$J$7,3,FALSE())</f>
        <v>#N/A</v>
      </c>
      <c r="C180" s="85" t="n">
        <v>175</v>
      </c>
      <c r="D180" s="94"/>
      <c r="E180" s="94"/>
      <c r="F180" s="94"/>
      <c r="G180" s="87"/>
      <c r="H180" s="88"/>
      <c r="I180" s="88"/>
      <c r="J180" s="88"/>
      <c r="K180" s="88"/>
      <c r="L180" s="89"/>
      <c r="M180" s="88"/>
      <c r="N180" s="88"/>
      <c r="O180" s="88"/>
      <c r="P180" s="88"/>
      <c r="Q180" s="88"/>
      <c r="R180" s="88"/>
      <c r="S180" s="89"/>
      <c r="T180" s="89"/>
      <c r="U180" s="89"/>
      <c r="V180" s="90"/>
      <c r="W180" s="89"/>
      <c r="X180" s="89"/>
      <c r="Y180" s="89"/>
      <c r="Z180" s="89"/>
      <c r="AA180" s="89"/>
      <c r="AB180" s="88"/>
      <c r="AC180" s="91"/>
    </row>
    <row r="181" customFormat="false" ht="15" hidden="false" customHeight="false" outlineLevel="0" collapsed="false">
      <c r="A181" s="68" t="e">
        <f aca="false">VLOOKUP(E181,'[1]Listas Desplegables'!$H$3:$J$7,2,FALSE())</f>
        <v>#N/A</v>
      </c>
      <c r="B181" s="68" t="e">
        <f aca="false">VLOOKUP(E181,'[1]Listas Desplegables'!$H$3:$J$7,3,FALSE())</f>
        <v>#N/A</v>
      </c>
      <c r="C181" s="85" t="n">
        <v>176</v>
      </c>
      <c r="D181" s="94"/>
      <c r="E181" s="94"/>
      <c r="F181" s="94"/>
      <c r="G181" s="87"/>
      <c r="H181" s="88"/>
      <c r="I181" s="88"/>
      <c r="J181" s="88"/>
      <c r="K181" s="88"/>
      <c r="L181" s="89"/>
      <c r="M181" s="88"/>
      <c r="N181" s="88"/>
      <c r="O181" s="88"/>
      <c r="P181" s="88"/>
      <c r="Q181" s="88"/>
      <c r="R181" s="88"/>
      <c r="S181" s="89"/>
      <c r="T181" s="89"/>
      <c r="U181" s="89"/>
      <c r="V181" s="90"/>
      <c r="W181" s="89"/>
      <c r="X181" s="89"/>
      <c r="Y181" s="89"/>
      <c r="Z181" s="89"/>
      <c r="AA181" s="89"/>
      <c r="AB181" s="88"/>
      <c r="AC181" s="91"/>
    </row>
    <row r="182" customFormat="false" ht="15" hidden="false" customHeight="false" outlineLevel="0" collapsed="false">
      <c r="A182" s="68" t="e">
        <f aca="false">VLOOKUP(E182,'[1]Listas Desplegables'!$H$3:$J$7,2,FALSE())</f>
        <v>#N/A</v>
      </c>
      <c r="B182" s="68" t="e">
        <f aca="false">VLOOKUP(E182,'[1]Listas Desplegables'!$H$3:$J$7,3,FALSE())</f>
        <v>#N/A</v>
      </c>
      <c r="C182" s="85" t="n">
        <v>177</v>
      </c>
      <c r="D182" s="94"/>
      <c r="E182" s="94"/>
      <c r="F182" s="94"/>
      <c r="G182" s="87"/>
      <c r="H182" s="88"/>
      <c r="I182" s="88"/>
      <c r="J182" s="88"/>
      <c r="K182" s="88"/>
      <c r="L182" s="89"/>
      <c r="M182" s="88"/>
      <c r="N182" s="88"/>
      <c r="O182" s="88"/>
      <c r="P182" s="88"/>
      <c r="Q182" s="88"/>
      <c r="R182" s="88"/>
      <c r="S182" s="89"/>
      <c r="T182" s="89"/>
      <c r="U182" s="89"/>
      <c r="V182" s="90"/>
      <c r="W182" s="89"/>
      <c r="X182" s="89"/>
      <c r="Y182" s="89"/>
      <c r="Z182" s="89"/>
      <c r="AA182" s="89"/>
      <c r="AB182" s="88"/>
      <c r="AC182" s="91"/>
    </row>
    <row r="183" customFormat="false" ht="15" hidden="false" customHeight="false" outlineLevel="0" collapsed="false">
      <c r="A183" s="68" t="e">
        <f aca="false">VLOOKUP(E183,'[1]Listas Desplegables'!$H$3:$J$7,2,FALSE())</f>
        <v>#N/A</v>
      </c>
      <c r="B183" s="68" t="e">
        <f aca="false">VLOOKUP(E183,'[1]Listas Desplegables'!$H$3:$J$7,3,FALSE())</f>
        <v>#N/A</v>
      </c>
      <c r="C183" s="85" t="n">
        <v>178</v>
      </c>
      <c r="D183" s="94"/>
      <c r="E183" s="94"/>
      <c r="F183" s="94"/>
      <c r="G183" s="87"/>
      <c r="H183" s="88"/>
      <c r="I183" s="88"/>
      <c r="J183" s="88"/>
      <c r="K183" s="88"/>
      <c r="L183" s="89"/>
      <c r="M183" s="88"/>
      <c r="N183" s="88"/>
      <c r="O183" s="88"/>
      <c r="P183" s="88"/>
      <c r="Q183" s="88"/>
      <c r="R183" s="88"/>
      <c r="S183" s="89"/>
      <c r="T183" s="89"/>
      <c r="U183" s="89"/>
      <c r="V183" s="90"/>
      <c r="W183" s="89"/>
      <c r="X183" s="89"/>
      <c r="Y183" s="89"/>
      <c r="Z183" s="89"/>
      <c r="AA183" s="89"/>
      <c r="AB183" s="88"/>
      <c r="AC183" s="91"/>
    </row>
    <row r="184" customFormat="false" ht="15" hidden="false" customHeight="false" outlineLevel="0" collapsed="false">
      <c r="A184" s="68" t="e">
        <f aca="false">VLOOKUP(E184,'[1]Listas Desplegables'!$H$3:$J$7,2,FALSE())</f>
        <v>#N/A</v>
      </c>
      <c r="B184" s="68" t="e">
        <f aca="false">VLOOKUP(E184,'[1]Listas Desplegables'!$H$3:$J$7,3,FALSE())</f>
        <v>#N/A</v>
      </c>
      <c r="C184" s="85" t="n">
        <v>179</v>
      </c>
      <c r="D184" s="94"/>
      <c r="E184" s="94"/>
      <c r="F184" s="94"/>
      <c r="G184" s="87"/>
      <c r="H184" s="88"/>
      <c r="I184" s="88"/>
      <c r="J184" s="88"/>
      <c r="K184" s="88"/>
      <c r="L184" s="89"/>
      <c r="M184" s="88"/>
      <c r="N184" s="88"/>
      <c r="O184" s="88"/>
      <c r="P184" s="88"/>
      <c r="Q184" s="88"/>
      <c r="R184" s="88"/>
      <c r="S184" s="89"/>
      <c r="T184" s="89"/>
      <c r="U184" s="89"/>
      <c r="V184" s="90"/>
      <c r="W184" s="89"/>
      <c r="X184" s="89"/>
      <c r="Y184" s="89"/>
      <c r="Z184" s="89"/>
      <c r="AA184" s="89"/>
      <c r="AB184" s="88"/>
      <c r="AC184" s="91"/>
    </row>
    <row r="185" customFormat="false" ht="15" hidden="false" customHeight="false" outlineLevel="0" collapsed="false">
      <c r="A185" s="68" t="e">
        <f aca="false">VLOOKUP(E185,'[1]Listas Desplegables'!$H$3:$J$7,2,FALSE())</f>
        <v>#N/A</v>
      </c>
      <c r="B185" s="68" t="e">
        <f aca="false">VLOOKUP(E185,'[1]Listas Desplegables'!$H$3:$J$7,3,FALSE())</f>
        <v>#N/A</v>
      </c>
      <c r="C185" s="85" t="n">
        <v>180</v>
      </c>
      <c r="D185" s="94"/>
      <c r="E185" s="94"/>
      <c r="F185" s="94"/>
      <c r="G185" s="87"/>
      <c r="H185" s="88"/>
      <c r="I185" s="88"/>
      <c r="J185" s="88"/>
      <c r="K185" s="88"/>
      <c r="L185" s="89"/>
      <c r="M185" s="88"/>
      <c r="N185" s="88"/>
      <c r="O185" s="88"/>
      <c r="P185" s="88"/>
      <c r="Q185" s="88"/>
      <c r="R185" s="88"/>
      <c r="S185" s="89"/>
      <c r="T185" s="89"/>
      <c r="U185" s="89"/>
      <c r="V185" s="90"/>
      <c r="W185" s="89"/>
      <c r="X185" s="89"/>
      <c r="Y185" s="89"/>
      <c r="Z185" s="89"/>
      <c r="AA185" s="89"/>
      <c r="AB185" s="88"/>
      <c r="AC185" s="91"/>
    </row>
    <row r="186" customFormat="false" ht="15" hidden="false" customHeight="false" outlineLevel="0" collapsed="false">
      <c r="A186" s="68" t="e">
        <f aca="false">VLOOKUP(E186,'[1]Listas Desplegables'!$H$3:$J$7,2,FALSE())</f>
        <v>#N/A</v>
      </c>
      <c r="B186" s="68" t="e">
        <f aca="false">VLOOKUP(E186,'[1]Listas Desplegables'!$H$3:$J$7,3,FALSE())</f>
        <v>#N/A</v>
      </c>
      <c r="C186" s="85" t="n">
        <v>181</v>
      </c>
      <c r="D186" s="94"/>
      <c r="E186" s="94"/>
      <c r="F186" s="94"/>
      <c r="G186" s="87"/>
      <c r="H186" s="88"/>
      <c r="I186" s="88"/>
      <c r="J186" s="88"/>
      <c r="K186" s="88"/>
      <c r="L186" s="89"/>
      <c r="M186" s="88"/>
      <c r="N186" s="88"/>
      <c r="O186" s="88"/>
      <c r="P186" s="88"/>
      <c r="Q186" s="88"/>
      <c r="R186" s="88"/>
      <c r="S186" s="89"/>
      <c r="T186" s="89"/>
      <c r="U186" s="89"/>
      <c r="V186" s="90"/>
      <c r="W186" s="89"/>
      <c r="X186" s="89"/>
      <c r="Y186" s="89"/>
      <c r="Z186" s="89"/>
      <c r="AA186" s="89"/>
      <c r="AB186" s="88"/>
      <c r="AC186" s="91"/>
    </row>
    <row r="187" customFormat="false" ht="15" hidden="false" customHeight="false" outlineLevel="0" collapsed="false">
      <c r="A187" s="68" t="e">
        <f aca="false">VLOOKUP(E187,'[1]Listas Desplegables'!$H$3:$J$7,2,FALSE())</f>
        <v>#N/A</v>
      </c>
      <c r="B187" s="68" t="e">
        <f aca="false">VLOOKUP(E187,'[1]Listas Desplegables'!$H$3:$J$7,3,FALSE())</f>
        <v>#N/A</v>
      </c>
      <c r="C187" s="85" t="n">
        <v>182</v>
      </c>
      <c r="D187" s="94"/>
      <c r="E187" s="94"/>
      <c r="F187" s="94"/>
      <c r="G187" s="87"/>
      <c r="H187" s="88"/>
      <c r="I187" s="88"/>
      <c r="J187" s="88"/>
      <c r="K187" s="88"/>
      <c r="L187" s="89"/>
      <c r="M187" s="88"/>
      <c r="N187" s="88"/>
      <c r="O187" s="88"/>
      <c r="P187" s="88"/>
      <c r="Q187" s="88"/>
      <c r="R187" s="88"/>
      <c r="S187" s="89"/>
      <c r="T187" s="89"/>
      <c r="U187" s="89"/>
      <c r="V187" s="90"/>
      <c r="W187" s="89"/>
      <c r="X187" s="89"/>
      <c r="Y187" s="89"/>
      <c r="Z187" s="89"/>
      <c r="AA187" s="89"/>
      <c r="AB187" s="88"/>
      <c r="AC187" s="91"/>
    </row>
    <row r="188" customFormat="false" ht="15" hidden="false" customHeight="false" outlineLevel="0" collapsed="false">
      <c r="A188" s="68" t="e">
        <f aca="false">VLOOKUP(E188,'[1]Listas Desplegables'!$H$3:$J$7,2,FALSE())</f>
        <v>#N/A</v>
      </c>
      <c r="B188" s="68" t="e">
        <f aca="false">VLOOKUP(E188,'[1]Listas Desplegables'!$H$3:$J$7,3,FALSE())</f>
        <v>#N/A</v>
      </c>
      <c r="C188" s="85" t="n">
        <v>183</v>
      </c>
      <c r="D188" s="94"/>
      <c r="E188" s="94"/>
      <c r="F188" s="94"/>
      <c r="G188" s="87"/>
      <c r="H188" s="88"/>
      <c r="I188" s="88"/>
      <c r="J188" s="88"/>
      <c r="K188" s="88"/>
      <c r="L188" s="89"/>
      <c r="M188" s="88"/>
      <c r="N188" s="88"/>
      <c r="O188" s="88"/>
      <c r="P188" s="88"/>
      <c r="Q188" s="88"/>
      <c r="R188" s="88"/>
      <c r="S188" s="89"/>
      <c r="T188" s="89"/>
      <c r="U188" s="89"/>
      <c r="V188" s="90"/>
      <c r="W188" s="89"/>
      <c r="X188" s="89"/>
      <c r="Y188" s="89"/>
      <c r="Z188" s="89"/>
      <c r="AA188" s="89"/>
      <c r="AB188" s="88"/>
      <c r="AC188" s="91"/>
    </row>
    <row r="189" customFormat="false" ht="15" hidden="false" customHeight="false" outlineLevel="0" collapsed="false">
      <c r="A189" s="68" t="e">
        <f aca="false">VLOOKUP(E189,'[1]Listas Desplegables'!$H$3:$J$7,2,FALSE())</f>
        <v>#N/A</v>
      </c>
      <c r="B189" s="68" t="e">
        <f aca="false">VLOOKUP(E189,'[1]Listas Desplegables'!$H$3:$J$7,3,FALSE())</f>
        <v>#N/A</v>
      </c>
      <c r="C189" s="85" t="n">
        <v>184</v>
      </c>
      <c r="D189" s="94"/>
      <c r="E189" s="94"/>
      <c r="F189" s="94"/>
      <c r="G189" s="87"/>
      <c r="H189" s="88"/>
      <c r="I189" s="88"/>
      <c r="J189" s="88"/>
      <c r="K189" s="88"/>
      <c r="L189" s="89"/>
      <c r="M189" s="88"/>
      <c r="N189" s="88"/>
      <c r="O189" s="88"/>
      <c r="P189" s="88"/>
      <c r="Q189" s="88"/>
      <c r="R189" s="88"/>
      <c r="S189" s="89"/>
      <c r="T189" s="89"/>
      <c r="U189" s="89"/>
      <c r="V189" s="90"/>
      <c r="W189" s="89"/>
      <c r="X189" s="89"/>
      <c r="Y189" s="89"/>
      <c r="Z189" s="89"/>
      <c r="AA189" s="89"/>
      <c r="AB189" s="88"/>
      <c r="AC189" s="91"/>
    </row>
    <row r="190" customFormat="false" ht="15" hidden="false" customHeight="false" outlineLevel="0" collapsed="false">
      <c r="A190" s="68" t="e">
        <f aca="false">VLOOKUP(E190,'[1]Listas Desplegables'!$H$3:$J$7,2,FALSE())</f>
        <v>#N/A</v>
      </c>
      <c r="B190" s="68" t="e">
        <f aca="false">VLOOKUP(E190,'[1]Listas Desplegables'!$H$3:$J$7,3,FALSE())</f>
        <v>#N/A</v>
      </c>
      <c r="C190" s="85" t="n">
        <v>185</v>
      </c>
      <c r="D190" s="94"/>
      <c r="E190" s="94"/>
      <c r="F190" s="94"/>
      <c r="G190" s="87"/>
      <c r="H190" s="88"/>
      <c r="I190" s="88"/>
      <c r="J190" s="88"/>
      <c r="K190" s="88"/>
      <c r="L190" s="89"/>
      <c r="M190" s="88"/>
      <c r="N190" s="88"/>
      <c r="O190" s="88"/>
      <c r="P190" s="88"/>
      <c r="Q190" s="88"/>
      <c r="R190" s="88"/>
      <c r="S190" s="89"/>
      <c r="T190" s="89"/>
      <c r="U190" s="89"/>
      <c r="V190" s="90"/>
      <c r="W190" s="89"/>
      <c r="X190" s="89"/>
      <c r="Y190" s="89"/>
      <c r="Z190" s="89"/>
      <c r="AA190" s="89"/>
      <c r="AB190" s="88"/>
      <c r="AC190" s="91"/>
    </row>
    <row r="191" customFormat="false" ht="15" hidden="false" customHeight="false" outlineLevel="0" collapsed="false">
      <c r="A191" s="68" t="e">
        <f aca="false">VLOOKUP(E191,'[1]Listas Desplegables'!$H$3:$J$7,2,FALSE())</f>
        <v>#N/A</v>
      </c>
      <c r="B191" s="68" t="e">
        <f aca="false">VLOOKUP(E191,'[1]Listas Desplegables'!$H$3:$J$7,3,FALSE())</f>
        <v>#N/A</v>
      </c>
      <c r="C191" s="85" t="n">
        <v>186</v>
      </c>
      <c r="D191" s="94"/>
      <c r="E191" s="94"/>
      <c r="F191" s="94"/>
      <c r="G191" s="87"/>
      <c r="H191" s="88"/>
      <c r="I191" s="88"/>
      <c r="J191" s="88"/>
      <c r="K191" s="88"/>
      <c r="L191" s="89"/>
      <c r="M191" s="88"/>
      <c r="N191" s="88"/>
      <c r="O191" s="88"/>
      <c r="P191" s="88"/>
      <c r="Q191" s="88"/>
      <c r="R191" s="88"/>
      <c r="S191" s="89"/>
      <c r="T191" s="89"/>
      <c r="U191" s="89"/>
      <c r="V191" s="90"/>
      <c r="W191" s="89"/>
      <c r="X191" s="89"/>
      <c r="Y191" s="89"/>
      <c r="Z191" s="89"/>
      <c r="AA191" s="89"/>
      <c r="AB191" s="88"/>
      <c r="AC191" s="91"/>
    </row>
    <row r="192" customFormat="false" ht="15.75" hidden="false" customHeight="false" outlineLevel="0" collapsed="false">
      <c r="A192" s="68" t="e">
        <f aca="false">VLOOKUP(E192,'[1]Listas Desplegables'!$H$3:$J$7,2,FALSE())</f>
        <v>#N/A</v>
      </c>
      <c r="B192" s="68" t="e">
        <f aca="false">VLOOKUP(E192,'[1]Listas Desplegables'!$H$3:$J$7,3,FALSE())</f>
        <v>#N/A</v>
      </c>
      <c r="C192" s="97" t="s">
        <v>452</v>
      </c>
      <c r="D192" s="98"/>
      <c r="E192" s="98"/>
      <c r="F192" s="98"/>
      <c r="G192" s="98"/>
      <c r="H192" s="99"/>
      <c r="I192" s="99"/>
      <c r="J192" s="99"/>
      <c r="K192" s="99"/>
      <c r="L192" s="99"/>
      <c r="M192" s="99"/>
      <c r="N192" s="99"/>
      <c r="O192" s="99"/>
      <c r="P192" s="99"/>
      <c r="Q192" s="99"/>
      <c r="R192" s="99"/>
      <c r="S192" s="99"/>
      <c r="T192" s="99"/>
      <c r="U192" s="99"/>
      <c r="V192" s="100"/>
      <c r="W192" s="99"/>
      <c r="X192" s="99"/>
      <c r="Y192" s="99"/>
      <c r="Z192" s="99"/>
      <c r="AA192" s="99"/>
      <c r="AB192" s="99"/>
      <c r="AC192" s="101"/>
    </row>
  </sheetData>
  <autoFilter ref="A5:AC192"/>
  <mergeCells count="28">
    <mergeCell ref="C3:AC3"/>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s>
  <dataValidations count="7">
    <dataValidation allowBlank="true" errorStyle="stop" operator="between" showDropDown="false" showErrorMessage="true" showInputMessage="true" sqref="T6:T192" type="list">
      <formula1>TProyecto</formula1>
      <formula2>0</formula2>
    </dataValidation>
    <dataValidation allowBlank="true" errorStyle="stop" operator="between" showDropDown="false" showErrorMessage="true" showInputMessage="true" sqref="U6:U192" type="list">
      <formula1>Recurso</formula1>
      <formula2>0</formula2>
    </dataValidation>
    <dataValidation allowBlank="false" errorStyle="stop" operator="between" showDropDown="false" showErrorMessage="true" showInputMessage="true" sqref="G1:K3 M1:R3 G6:K1192 M6:R1192" type="decimal">
      <formula1>-100000000000000</formula1>
      <formula2>10000000000</formula2>
    </dataValidation>
    <dataValidation allowBlank="true" errorStyle="stop" operator="greaterThan" showDropDown="false" showErrorMessage="true" showInputMessage="true" sqref="V1:V3 V6:V1192" type="date">
      <formula1>1</formula1>
      <formula2>0</formula2>
    </dataValidation>
    <dataValidation allowBlank="true" errorStyle="stop" operator="between" showDropDown="false" showErrorMessage="true" showInputMessage="true" sqref="F193:F1192" type="list">
      <formula1>'c:\users\aacosta\downloads\[circular_002_anexo.xlsx]listas desplegables'!#ref!</formula1>
      <formula2>0</formula2>
    </dataValidation>
    <dataValidation allowBlank="true" errorStyle="stop" operator="between" showDropDown="false" showErrorMessage="true" showInputMessage="true" sqref="S6:S192" type="list">
      <formula1>'Listas Desplegables'!$B$4:$B$6</formula1>
      <formula2>0</formula2>
    </dataValidation>
    <dataValidation allowBlank="true" errorStyle="stop" operator="between" showDropDown="false" showErrorMessage="true" showInputMessage="true" sqref="AB6:AB192" type="list">
      <formula1>'Listas Desplegables'!$B$90:$B$93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2:AJ117"/>
  <sheetViews>
    <sheetView showFormulas="false" showGridLines="false" showRowColHeaders="true" showZeros="true" rightToLeft="false" tabSelected="false" showOutlineSymbols="true" defaultGridColor="true" view="normal" topLeftCell="A13" colorId="64" zoomScale="70" zoomScaleNormal="70" zoomScalePageLayoutView="100" workbookViewId="0">
      <selection pane="topLeft" activeCell="E24" activeCellId="0" sqref="E24"/>
    </sheetView>
  </sheetViews>
  <sheetFormatPr defaultColWidth="11.57421875" defaultRowHeight="15" zeroHeight="false" outlineLevelRow="0" outlineLevelCol="0"/>
  <cols>
    <col collapsed="false" customWidth="true" hidden="false" outlineLevel="0" max="2" min="1" style="68" width="3"/>
    <col collapsed="false" customWidth="true" hidden="false" outlineLevel="0" max="3" min="3" style="69" width="6.71"/>
    <col collapsed="false" customWidth="true" hidden="false" outlineLevel="0" max="4" min="4" style="0" width="33"/>
    <col collapsed="false" customWidth="true" hidden="false" outlineLevel="0" max="5" min="5" style="0" width="14.57"/>
    <col collapsed="false" customWidth="true" hidden="false" outlineLevel="0" max="8" min="6" style="0" width="12.72"/>
    <col collapsed="false" customWidth="true" hidden="false" outlineLevel="0" max="11" min="11" style="0" width="11.43"/>
    <col collapsed="false" customWidth="true" hidden="false" outlineLevel="0" max="18" min="13" style="0" width="14.86"/>
    <col collapsed="false" customWidth="true" hidden="false" outlineLevel="0" max="19" min="19" style="0" width="11.43"/>
    <col collapsed="false" customWidth="false" hidden="false" outlineLevel="0" max="26" min="26" style="102" width="11.57"/>
    <col collapsed="false" customWidth="true" hidden="false" outlineLevel="0" max="35" min="31" style="0" width="16.57"/>
    <col collapsed="false" customWidth="true" hidden="false" outlineLevel="0" max="36" min="36" style="0" width="33"/>
  </cols>
  <sheetData>
    <row r="2" customFormat="false" ht="15.75" hidden="false" customHeight="false" outlineLevel="0" collapsed="false"/>
    <row r="3" s="73" customFormat="true" ht="15.75" hidden="false" customHeight="false" outlineLevel="0" collapsed="false">
      <c r="A3" s="71"/>
      <c r="B3" s="71"/>
      <c r="C3" s="72" t="s">
        <v>453</v>
      </c>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row>
    <row r="4" s="77" customFormat="true" ht="12" hidden="false" customHeight="true" outlineLevel="0" collapsed="false">
      <c r="A4" s="74"/>
      <c r="B4" s="74"/>
      <c r="C4" s="75" t="s">
        <v>214</v>
      </c>
      <c r="D4" s="76" t="str">
        <f aca="false">'Manual de Uso'!C55</f>
        <v>Nombre</v>
      </c>
      <c r="E4" s="76" t="str">
        <f aca="false">'Manual de Uso'!C56</f>
        <v>Subestación</v>
      </c>
      <c r="F4" s="76" t="str">
        <f aca="false">'Manual de Uso'!C57</f>
        <v>Nivel de tensión HV [kV]</v>
      </c>
      <c r="G4" s="76" t="str">
        <f aca="false">'Manual de Uso'!C58</f>
        <v>Nivel de tensión MV [kV]</v>
      </c>
      <c r="H4" s="76" t="str">
        <f aca="false">'Manual de Uso'!C59</f>
        <v>Nivel de tensión LV [kV]</v>
      </c>
      <c r="I4" s="76" t="str">
        <f aca="false">'Manual de Uso'!C60</f>
        <v>Capacidad HV [MVA]</v>
      </c>
      <c r="J4" s="76" t="str">
        <f aca="false">'Manual de Uso'!C61</f>
        <v>Capacidad MV [MVA]</v>
      </c>
      <c r="K4" s="76" t="str">
        <f aca="false">'Manual de Uso'!C62</f>
        <v>Capacidad LV [MVA]</v>
      </c>
      <c r="L4" s="76" t="str">
        <f aca="false">'Manual de Uso'!C63</f>
        <v>Grupo de conexión</v>
      </c>
      <c r="M4" s="76" t="str">
        <f aca="false">'Manual de Uso'!C64</f>
        <v>Impedancia HV-MV Secuencia +[%]</v>
      </c>
      <c r="N4" s="76" t="str">
        <f aca="false">'Manual de Uso'!C65</f>
        <v>Impedancia HV-LV Secuencia +[%]</v>
      </c>
      <c r="O4" s="76" t="str">
        <f aca="false">'Manual de Uso'!C66</f>
        <v>Impedancia MV-LV Secuencia +[%]</v>
      </c>
      <c r="P4" s="76" t="str">
        <f aca="false">'Manual de Uso'!C67</f>
        <v>Impedancia HV-MV Secuencia 0[%]</v>
      </c>
      <c r="Q4" s="76" t="str">
        <f aca="false">'Manual de Uso'!C68</f>
        <v>Impedancia HV-LV Secuencia 0[%]</v>
      </c>
      <c r="R4" s="76" t="str">
        <f aca="false">'Manual de Uso'!C69</f>
        <v>Impedancia MV-LV Secuencia 0[%]</v>
      </c>
      <c r="S4" s="76" t="str">
        <f aca="false">'Manual de Uso'!C70</f>
        <v>Posición Neutral Tap</v>
      </c>
      <c r="T4" s="76" t="str">
        <f aca="false">'Manual de Uso'!C71</f>
        <v>Posición Máxima Tap</v>
      </c>
      <c r="U4" s="76" t="str">
        <f aca="false">'Manual de Uso'!C72</f>
        <v>Posición Mínima Tap</v>
      </c>
      <c r="V4" s="76" t="str">
        <f aca="false">'Manual de Uso'!C73</f>
        <v>Delta Tap [%]</v>
      </c>
      <c r="W4" s="103" t="str">
        <f aca="false">'Manual de Uso'!C74</f>
        <v>Sobrecarga en emergencia</v>
      </c>
      <c r="X4" s="103"/>
      <c r="Y4" s="76" t="str">
        <f aca="false">'Manual de Uso'!C75</f>
        <v>En Operación</v>
      </c>
      <c r="Z4" s="104" t="str">
        <f aca="false">'Manual de Uso'!C76</f>
        <v>FPO</v>
      </c>
      <c r="AA4" s="105" t="str">
        <f aca="false">'Manual de Uso'!C77</f>
        <v>Sistema</v>
      </c>
      <c r="AB4" s="76" t="str">
        <f aca="false">'Manual de Uso'!C78</f>
        <v>Pérdidas Cu HV-MV [kW]</v>
      </c>
      <c r="AC4" s="105" t="str">
        <f aca="false">'Manual de Uso'!C79</f>
        <v>Pérdidas Cu HV-LV [kW]</v>
      </c>
      <c r="AD4" s="105" t="str">
        <f aca="false">'Manual de Uso'!C80</f>
        <v>Pérdidas Cu MV-LV [kW]</v>
      </c>
      <c r="AE4" s="105" t="str">
        <f aca="false">'Manual de Uso'!C81</f>
        <v>Tiempo medio de reparación por evento [h]</v>
      </c>
      <c r="AF4" s="105" t="str">
        <f aca="false">'Manual de Uso'!C82</f>
        <v>Horas anuales de indisponibilidad [h]</v>
      </c>
      <c r="AG4" s="105" t="str">
        <f aca="false">'Manual de Uso'!C83</f>
        <v>Eventos anuales de indisponibilidad</v>
      </c>
      <c r="AH4" s="105" t="str">
        <f aca="false">'Manual de Uso'!C84</f>
        <v>Operador</v>
      </c>
      <c r="AI4" s="105" t="str">
        <f aca="false">'Manual de Uso'!C85</f>
        <v>Tipo activo Uso/Conexión</v>
      </c>
      <c r="AJ4" s="105" t="str">
        <f aca="false">'Manual de Uso'!C86</f>
        <v>Observaciones transportador</v>
      </c>
    </row>
    <row r="5" s="77" customFormat="true" ht="24" hidden="false" customHeight="true" outlineLevel="0" collapsed="false">
      <c r="A5" s="74"/>
      <c r="B5" s="74"/>
      <c r="C5" s="75"/>
      <c r="D5" s="76"/>
      <c r="E5" s="76"/>
      <c r="F5" s="76"/>
      <c r="G5" s="76"/>
      <c r="H5" s="76"/>
      <c r="I5" s="76"/>
      <c r="J5" s="76"/>
      <c r="K5" s="76"/>
      <c r="L5" s="76"/>
      <c r="M5" s="76"/>
      <c r="N5" s="76"/>
      <c r="O5" s="76"/>
      <c r="P5" s="76"/>
      <c r="Q5" s="76"/>
      <c r="R5" s="76"/>
      <c r="S5" s="76"/>
      <c r="T5" s="76"/>
      <c r="U5" s="76"/>
      <c r="V5" s="76"/>
      <c r="W5" s="106" t="s">
        <v>454</v>
      </c>
      <c r="X5" s="106" t="s">
        <v>455</v>
      </c>
      <c r="Y5" s="76"/>
      <c r="Z5" s="104"/>
      <c r="AA5" s="105"/>
      <c r="AB5" s="76"/>
      <c r="AC5" s="105"/>
      <c r="AD5" s="105"/>
      <c r="AE5" s="105"/>
      <c r="AF5" s="105"/>
      <c r="AG5" s="105"/>
      <c r="AH5" s="105"/>
      <c r="AI5" s="105"/>
      <c r="AJ5" s="105"/>
    </row>
    <row r="6" customFormat="false" ht="15" hidden="false" customHeight="false" outlineLevel="0" collapsed="false">
      <c r="A6" s="68" t="e">
        <f aca="false">VLOOKUP(E6,'[1]Listas Desplegables'!$H$3:$J$7,2,FALSE())</f>
        <v>#N/A</v>
      </c>
      <c r="B6" s="68" t="e">
        <f aca="false">VLOOKUP(E6,'[1]Listas Desplegables'!$H$3:$J$7,3,FALSE())</f>
        <v>#N/A</v>
      </c>
      <c r="C6" s="78" t="n">
        <v>1</v>
      </c>
      <c r="D6" s="79" t="s">
        <v>456</v>
      </c>
      <c r="E6" s="79" t="s">
        <v>457</v>
      </c>
      <c r="F6" s="80" t="n">
        <v>110</v>
      </c>
      <c r="G6" s="80" t="n">
        <v>34.5</v>
      </c>
      <c r="H6" s="81" t="n">
        <v>13.8</v>
      </c>
      <c r="I6" s="81" t="n">
        <v>60</v>
      </c>
      <c r="J6" s="81" t="n">
        <v>35</v>
      </c>
      <c r="K6" s="81" t="n">
        <v>30</v>
      </c>
      <c r="L6" s="82" t="s">
        <v>458</v>
      </c>
      <c r="M6" s="81" t="n">
        <v>12.87</v>
      </c>
      <c r="N6" s="81" t="n">
        <v>21.82</v>
      </c>
      <c r="O6" s="81" t="n">
        <v>9.4</v>
      </c>
      <c r="P6" s="81" t="n">
        <v>12.87</v>
      </c>
      <c r="Q6" s="81" t="n">
        <v>21.82</v>
      </c>
      <c r="R6" s="81" t="n">
        <v>9.4</v>
      </c>
      <c r="S6" s="81" t="n">
        <v>0</v>
      </c>
      <c r="T6" s="81" t="n">
        <v>5</v>
      </c>
      <c r="U6" s="81" t="n">
        <v>-15</v>
      </c>
      <c r="V6" s="81" t="n">
        <v>1</v>
      </c>
      <c r="W6" s="81" t="n">
        <v>130</v>
      </c>
      <c r="X6" s="81" t="n">
        <v>30</v>
      </c>
      <c r="Y6" s="82" t="s">
        <v>221</v>
      </c>
      <c r="Z6" s="107"/>
      <c r="AA6" s="82" t="s">
        <v>290</v>
      </c>
      <c r="AB6" s="82"/>
      <c r="AC6" s="82" t="n">
        <v>127.07</v>
      </c>
      <c r="AD6" s="82"/>
      <c r="AE6" s="82"/>
      <c r="AF6" s="82" t="n">
        <v>0.260281481481482</v>
      </c>
      <c r="AG6" s="82" t="n">
        <v>1</v>
      </c>
      <c r="AH6" s="82"/>
      <c r="AI6" s="81"/>
      <c r="AJ6" s="108" t="s">
        <v>459</v>
      </c>
    </row>
    <row r="7" customFormat="false" ht="15" hidden="false" customHeight="false" outlineLevel="0" collapsed="false">
      <c r="A7" s="68" t="e">
        <f aca="false">VLOOKUP(E7,'[1]Listas Desplegables'!$H$3:$J$7,2,FALSE())</f>
        <v>#N/A</v>
      </c>
      <c r="B7" s="68" t="e">
        <f aca="false">VLOOKUP(E7,'[1]Listas Desplegables'!$H$3:$J$7,3,FALSE())</f>
        <v>#N/A</v>
      </c>
      <c r="C7" s="85" t="n">
        <v>2</v>
      </c>
      <c r="D7" s="86" t="s">
        <v>460</v>
      </c>
      <c r="E7" s="86" t="s">
        <v>461</v>
      </c>
      <c r="F7" s="87" t="n">
        <v>110</v>
      </c>
      <c r="G7" s="87" t="n">
        <v>34.5</v>
      </c>
      <c r="H7" s="88" t="n">
        <v>13.8</v>
      </c>
      <c r="I7" s="88" t="n">
        <v>60</v>
      </c>
      <c r="J7" s="88" t="n">
        <v>20</v>
      </c>
      <c r="K7" s="88" t="n">
        <v>40</v>
      </c>
      <c r="L7" s="89" t="s">
        <v>462</v>
      </c>
      <c r="M7" s="88" t="n">
        <v>6.633</v>
      </c>
      <c r="N7" s="88" t="n">
        <v>20.3</v>
      </c>
      <c r="O7" s="88" t="n">
        <v>3.05</v>
      </c>
      <c r="P7" s="88" t="n">
        <v>6.633</v>
      </c>
      <c r="Q7" s="88" t="n">
        <v>20.3</v>
      </c>
      <c r="R7" s="88" t="n">
        <v>3.05</v>
      </c>
      <c r="S7" s="88" t="n">
        <v>0</v>
      </c>
      <c r="T7" s="88" t="n">
        <v>5</v>
      </c>
      <c r="U7" s="88" t="n">
        <v>-15</v>
      </c>
      <c r="V7" s="88" t="n">
        <v>1</v>
      </c>
      <c r="W7" s="88" t="n">
        <v>130</v>
      </c>
      <c r="X7" s="88" t="n">
        <v>30</v>
      </c>
      <c r="Y7" s="89" t="s">
        <v>221</v>
      </c>
      <c r="Z7" s="95"/>
      <c r="AA7" s="89" t="s">
        <v>290</v>
      </c>
      <c r="AB7" s="89" t="n">
        <v>61.9892</v>
      </c>
      <c r="AC7" s="89" t="n">
        <v>213.2222</v>
      </c>
      <c r="AD7" s="89" t="n">
        <v>51.24136</v>
      </c>
      <c r="AE7" s="89"/>
      <c r="AF7" s="89"/>
      <c r="AG7" s="89"/>
      <c r="AH7" s="89"/>
      <c r="AI7" s="88"/>
      <c r="AJ7" s="91"/>
    </row>
    <row r="8" customFormat="false" ht="15" hidden="false" customHeight="false" outlineLevel="0" collapsed="false">
      <c r="A8" s="68" t="e">
        <f aca="false">VLOOKUP(E8,'[1]Listas Desplegables'!$H$3:$J$7,2,FALSE())</f>
        <v>#N/A</v>
      </c>
      <c r="B8" s="68" t="e">
        <f aca="false">VLOOKUP(E8,'[1]Listas Desplegables'!$H$3:$J$7,3,FALSE())</f>
        <v>#N/A</v>
      </c>
      <c r="C8" s="85" t="n">
        <v>3</v>
      </c>
      <c r="D8" s="86" t="s">
        <v>463</v>
      </c>
      <c r="E8" s="86" t="s">
        <v>461</v>
      </c>
      <c r="F8" s="87" t="n">
        <v>110</v>
      </c>
      <c r="G8" s="87" t="n">
        <v>34.5</v>
      </c>
      <c r="H8" s="88" t="n">
        <v>13.8</v>
      </c>
      <c r="I8" s="88" t="n">
        <v>60</v>
      </c>
      <c r="J8" s="88" t="n">
        <v>20</v>
      </c>
      <c r="K8" s="88" t="n">
        <v>40</v>
      </c>
      <c r="L8" s="89" t="s">
        <v>462</v>
      </c>
      <c r="M8" s="88" t="n">
        <v>6.675</v>
      </c>
      <c r="N8" s="88" t="n">
        <v>21.1</v>
      </c>
      <c r="O8" s="88" t="n">
        <v>3.15</v>
      </c>
      <c r="P8" s="88" t="n">
        <v>6.675</v>
      </c>
      <c r="Q8" s="88" t="n">
        <v>21.1</v>
      </c>
      <c r="R8" s="88" t="n">
        <v>3.15</v>
      </c>
      <c r="S8" s="88" t="n">
        <v>0</v>
      </c>
      <c r="T8" s="88" t="n">
        <v>5</v>
      </c>
      <c r="U8" s="88" t="n">
        <v>-15</v>
      </c>
      <c r="V8" s="88" t="n">
        <v>1</v>
      </c>
      <c r="W8" s="88" t="n">
        <v>107</v>
      </c>
      <c r="X8" s="88" t="n">
        <v>30</v>
      </c>
      <c r="Y8" s="89" t="s">
        <v>221</v>
      </c>
      <c r="Z8" s="95"/>
      <c r="AA8" s="89" t="s">
        <v>290</v>
      </c>
      <c r="AB8" s="89" t="n">
        <v>126.76</v>
      </c>
      <c r="AC8" s="89" t="n">
        <v>1.42</v>
      </c>
      <c r="AD8" s="89" t="n">
        <v>84.19</v>
      </c>
      <c r="AE8" s="89"/>
      <c r="AF8" s="89" t="n">
        <v>0.9852</v>
      </c>
      <c r="AG8" s="89" t="n">
        <v>1</v>
      </c>
      <c r="AH8" s="89"/>
      <c r="AI8" s="88"/>
      <c r="AJ8" s="91"/>
    </row>
    <row r="9" customFormat="false" ht="15" hidden="false" customHeight="false" outlineLevel="0" collapsed="false">
      <c r="A9" s="68" t="e">
        <f aca="false">VLOOKUP(E9,'[1]Listas Desplegables'!$H$3:$J$7,2,FALSE())</f>
        <v>#N/A</v>
      </c>
      <c r="B9" s="68" t="e">
        <f aca="false">VLOOKUP(E9,'[1]Listas Desplegables'!$H$3:$J$7,3,FALSE())</f>
        <v>#N/A</v>
      </c>
      <c r="C9" s="85" t="n">
        <v>4</v>
      </c>
      <c r="D9" s="86" t="s">
        <v>464</v>
      </c>
      <c r="E9" s="86" t="s">
        <v>465</v>
      </c>
      <c r="F9" s="87" t="n">
        <v>110</v>
      </c>
      <c r="G9" s="87" t="n">
        <v>34.5</v>
      </c>
      <c r="H9" s="88" t="n">
        <v>13.8</v>
      </c>
      <c r="I9" s="88" t="n">
        <v>30</v>
      </c>
      <c r="J9" s="88" t="n">
        <v>10</v>
      </c>
      <c r="K9" s="88" t="n">
        <v>25</v>
      </c>
      <c r="L9" s="89" t="s">
        <v>466</v>
      </c>
      <c r="M9" s="88" t="n">
        <v>4.19</v>
      </c>
      <c r="N9" s="88" t="n">
        <v>16.56667</v>
      </c>
      <c r="O9" s="88" t="n">
        <v>2.25</v>
      </c>
      <c r="P9" s="88" t="n">
        <v>4.19</v>
      </c>
      <c r="Q9" s="88" t="n">
        <v>16.56667</v>
      </c>
      <c r="R9" s="88" t="n">
        <v>2.25</v>
      </c>
      <c r="S9" s="88" t="n">
        <v>0</v>
      </c>
      <c r="T9" s="88" t="n">
        <v>5</v>
      </c>
      <c r="U9" s="88" t="n">
        <v>-15</v>
      </c>
      <c r="V9" s="88" t="n">
        <v>1</v>
      </c>
      <c r="W9" s="88" t="n">
        <v>130</v>
      </c>
      <c r="X9" s="88" t="n">
        <v>30</v>
      </c>
      <c r="Y9" s="89" t="s">
        <v>221</v>
      </c>
      <c r="Z9" s="95"/>
      <c r="AA9" s="89" t="s">
        <v>290</v>
      </c>
      <c r="AB9" s="89" t="n">
        <v>19.19</v>
      </c>
      <c r="AC9" s="89" t="n">
        <v>140.4</v>
      </c>
      <c r="AD9" s="89" t="n">
        <v>16.2</v>
      </c>
      <c r="AE9" s="89"/>
      <c r="AF9" s="89" t="n">
        <v>7.54459487179487</v>
      </c>
      <c r="AG9" s="89" t="n">
        <v>1</v>
      </c>
      <c r="AH9" s="89"/>
      <c r="AI9" s="88"/>
      <c r="AJ9" s="91" t="s">
        <v>467</v>
      </c>
    </row>
    <row r="10" customFormat="false" ht="15" hidden="false" customHeight="false" outlineLevel="0" collapsed="false">
      <c r="A10" s="68" t="e">
        <f aca="false">VLOOKUP(E10,'[1]Listas Desplegables'!$H$3:$J$7,2,FALSE())</f>
        <v>#N/A</v>
      </c>
      <c r="B10" s="68" t="e">
        <f aca="false">VLOOKUP(E10,'[1]Listas Desplegables'!$H$3:$J$7,3,FALSE())</f>
        <v>#N/A</v>
      </c>
      <c r="C10" s="85" t="n">
        <v>5</v>
      </c>
      <c r="D10" s="86" t="s">
        <v>468</v>
      </c>
      <c r="E10" s="86" t="s">
        <v>465</v>
      </c>
      <c r="F10" s="87" t="n">
        <v>110</v>
      </c>
      <c r="G10" s="87" t="n">
        <v>33</v>
      </c>
      <c r="H10" s="88" t="n">
        <v>13.8</v>
      </c>
      <c r="I10" s="88" t="n">
        <v>20</v>
      </c>
      <c r="J10" s="88" t="n">
        <v>10</v>
      </c>
      <c r="K10" s="88" t="n">
        <v>13.3</v>
      </c>
      <c r="L10" s="89" t="s">
        <v>469</v>
      </c>
      <c r="M10" s="88" t="n">
        <v>9.8</v>
      </c>
      <c r="N10" s="88" t="n">
        <v>6.53</v>
      </c>
      <c r="O10" s="88" t="n">
        <v>2.25</v>
      </c>
      <c r="P10" s="88" t="n">
        <v>9.8</v>
      </c>
      <c r="Q10" s="88" t="n">
        <v>6.53</v>
      </c>
      <c r="R10" s="88" t="n">
        <v>2.25</v>
      </c>
      <c r="S10" s="88" t="n">
        <v>0</v>
      </c>
      <c r="T10" s="88" t="n">
        <v>7</v>
      </c>
      <c r="U10" s="88" t="n">
        <v>-21</v>
      </c>
      <c r="V10" s="88" t="n">
        <v>0.74</v>
      </c>
      <c r="W10" s="88" t="n">
        <v>130</v>
      </c>
      <c r="X10" s="88" t="n">
        <v>30</v>
      </c>
      <c r="Y10" s="89" t="s">
        <v>221</v>
      </c>
      <c r="Z10" s="95"/>
      <c r="AA10" s="89" t="s">
        <v>290</v>
      </c>
      <c r="AB10" s="89" t="n">
        <v>29.1</v>
      </c>
      <c r="AC10" s="89" t="n">
        <v>43.67</v>
      </c>
      <c r="AD10" s="89" t="n">
        <v>28.72</v>
      </c>
      <c r="AE10" s="89"/>
      <c r="AF10" s="89" t="n">
        <v>2.80778076923077</v>
      </c>
      <c r="AG10" s="89" t="n">
        <v>2</v>
      </c>
      <c r="AH10" s="89"/>
      <c r="AI10" s="88"/>
      <c r="AJ10" s="91"/>
    </row>
    <row r="11" customFormat="false" ht="15" hidden="false" customHeight="false" outlineLevel="0" collapsed="false">
      <c r="A11" s="68" t="e">
        <f aca="false">VLOOKUP(E11,'[1]Listas Desplegables'!$H$3:$J$7,2,FALSE())</f>
        <v>#N/A</v>
      </c>
      <c r="B11" s="68" t="e">
        <f aca="false">VLOOKUP(E11,'[1]Listas Desplegables'!$H$3:$J$7,3,FALSE())</f>
        <v>#N/A</v>
      </c>
      <c r="C11" s="85" t="n">
        <v>6</v>
      </c>
      <c r="D11" s="86" t="s">
        <v>470</v>
      </c>
      <c r="E11" s="86" t="s">
        <v>465</v>
      </c>
      <c r="F11" s="87" t="n">
        <v>110</v>
      </c>
      <c r="G11" s="87" t="n">
        <v>33</v>
      </c>
      <c r="H11" s="88" t="n">
        <v>13.8</v>
      </c>
      <c r="I11" s="88" t="n">
        <v>20</v>
      </c>
      <c r="J11" s="88" t="n">
        <v>10</v>
      </c>
      <c r="K11" s="88" t="n">
        <v>13.3</v>
      </c>
      <c r="L11" s="89" t="s">
        <v>469</v>
      </c>
      <c r="M11" s="88" t="n">
        <v>9.8</v>
      </c>
      <c r="N11" s="88" t="n">
        <v>6.53</v>
      </c>
      <c r="O11" s="88" t="n">
        <v>2.25</v>
      </c>
      <c r="P11" s="88" t="n">
        <v>9.8</v>
      </c>
      <c r="Q11" s="88" t="n">
        <v>6.53</v>
      </c>
      <c r="R11" s="88" t="n">
        <v>2.25</v>
      </c>
      <c r="S11" s="88" t="n">
        <v>0</v>
      </c>
      <c r="T11" s="88" t="n">
        <v>7</v>
      </c>
      <c r="U11" s="88" t="n">
        <v>-21</v>
      </c>
      <c r="V11" s="88" t="n">
        <v>0.74</v>
      </c>
      <c r="W11" s="88" t="n">
        <v>130</v>
      </c>
      <c r="X11" s="88" t="n">
        <v>30</v>
      </c>
      <c r="Y11" s="89" t="s">
        <v>221</v>
      </c>
      <c r="Z11" s="95"/>
      <c r="AA11" s="89" t="s">
        <v>290</v>
      </c>
      <c r="AB11" s="89" t="n">
        <v>29.1</v>
      </c>
      <c r="AC11" s="89" t="n">
        <v>43.67</v>
      </c>
      <c r="AD11" s="89" t="n">
        <v>28.72</v>
      </c>
      <c r="AE11" s="89"/>
      <c r="AF11" s="89"/>
      <c r="AG11" s="89"/>
      <c r="AH11" s="89"/>
      <c r="AI11" s="88"/>
      <c r="AJ11" s="91"/>
    </row>
    <row r="12" customFormat="false" ht="15" hidden="false" customHeight="false" outlineLevel="0" collapsed="false">
      <c r="A12" s="68" t="e">
        <f aca="false">VLOOKUP(E12,'[1]Listas Desplegables'!$H$3:$J$7,2,FALSE())</f>
        <v>#N/A</v>
      </c>
      <c r="B12" s="68" t="e">
        <f aca="false">VLOOKUP(E12,'[1]Listas Desplegables'!$H$3:$J$7,3,FALSE())</f>
        <v>#N/A</v>
      </c>
      <c r="C12" s="85" t="n">
        <v>7</v>
      </c>
      <c r="D12" s="86" t="s">
        <v>471</v>
      </c>
      <c r="E12" s="86" t="s">
        <v>472</v>
      </c>
      <c r="F12" s="87" t="n">
        <v>110</v>
      </c>
      <c r="G12" s="87" t="n">
        <v>34.5</v>
      </c>
      <c r="H12" s="88" t="n">
        <v>13.8</v>
      </c>
      <c r="I12" s="88" t="n">
        <v>50</v>
      </c>
      <c r="J12" s="88" t="n">
        <v>35</v>
      </c>
      <c r="K12" s="88" t="n">
        <v>15</v>
      </c>
      <c r="L12" s="89" t="s">
        <v>473</v>
      </c>
      <c r="M12" s="88" t="n">
        <v>12.86</v>
      </c>
      <c r="N12" s="88" t="n">
        <v>5.604</v>
      </c>
      <c r="O12" s="88" t="n">
        <v>13.5086</v>
      </c>
      <c r="P12" s="88" t="n">
        <v>12.86</v>
      </c>
      <c r="Q12" s="88" t="n">
        <v>5.604</v>
      </c>
      <c r="R12" s="88" t="n">
        <v>13.5086</v>
      </c>
      <c r="S12" s="88" t="n">
        <v>0</v>
      </c>
      <c r="T12" s="88" t="n">
        <v>5</v>
      </c>
      <c r="U12" s="88" t="n">
        <v>-15</v>
      </c>
      <c r="V12" s="88" t="n">
        <v>1</v>
      </c>
      <c r="W12" s="88" t="n">
        <v>105</v>
      </c>
      <c r="X12" s="88" t="n">
        <v>60</v>
      </c>
      <c r="Y12" s="89" t="s">
        <v>221</v>
      </c>
      <c r="Z12" s="95"/>
      <c r="AA12" s="89" t="s">
        <v>290</v>
      </c>
      <c r="AB12" s="89" t="n">
        <v>116</v>
      </c>
      <c r="AC12" s="89"/>
      <c r="AD12" s="89"/>
      <c r="AE12" s="89"/>
      <c r="AF12" s="89"/>
      <c r="AG12" s="89"/>
      <c r="AH12" s="89"/>
      <c r="AI12" s="88"/>
      <c r="AJ12" s="91" t="s">
        <v>474</v>
      </c>
    </row>
    <row r="13" customFormat="false" ht="15" hidden="false" customHeight="false" outlineLevel="0" collapsed="false">
      <c r="A13" s="68" t="e">
        <f aca="false">VLOOKUP(E13,'[1]Listas Desplegables'!$H$3:$J$7,2,FALSE())</f>
        <v>#N/A</v>
      </c>
      <c r="B13" s="68" t="e">
        <f aca="false">VLOOKUP(E13,'[1]Listas Desplegables'!$H$3:$J$7,3,FALSE())</f>
        <v>#N/A</v>
      </c>
      <c r="C13" s="85" t="n">
        <v>8</v>
      </c>
      <c r="D13" s="86" t="s">
        <v>475</v>
      </c>
      <c r="E13" s="86" t="s">
        <v>472</v>
      </c>
      <c r="F13" s="87" t="n">
        <v>110</v>
      </c>
      <c r="G13" s="87" t="n">
        <v>34.5</v>
      </c>
      <c r="H13" s="88" t="n">
        <v>13.8</v>
      </c>
      <c r="I13" s="88" t="n">
        <v>20</v>
      </c>
      <c r="J13" s="88" t="n">
        <v>14</v>
      </c>
      <c r="K13" s="88" t="n">
        <v>6</v>
      </c>
      <c r="L13" s="89" t="s">
        <v>473</v>
      </c>
      <c r="M13" s="88" t="n">
        <v>13.42</v>
      </c>
      <c r="N13" s="88" t="n">
        <v>5.8114</v>
      </c>
      <c r="O13" s="88" t="n">
        <v>13.73</v>
      </c>
      <c r="P13" s="88" t="n">
        <v>11.78</v>
      </c>
      <c r="Q13" s="88" t="n">
        <v>5.8114</v>
      </c>
      <c r="R13" s="88" t="n">
        <v>11.21</v>
      </c>
      <c r="S13" s="88" t="n">
        <v>0</v>
      </c>
      <c r="T13" s="88" t="n">
        <v>5</v>
      </c>
      <c r="U13" s="88" t="n">
        <v>-15</v>
      </c>
      <c r="V13" s="88" t="n">
        <v>1</v>
      </c>
      <c r="W13" s="88" t="n">
        <v>130</v>
      </c>
      <c r="X13" s="88" t="n">
        <v>30</v>
      </c>
      <c r="Y13" s="89" t="s">
        <v>221</v>
      </c>
      <c r="Z13" s="95"/>
      <c r="AA13" s="89" t="s">
        <v>290</v>
      </c>
      <c r="AB13" s="89"/>
      <c r="AC13" s="89"/>
      <c r="AD13" s="89"/>
      <c r="AE13" s="89"/>
      <c r="AF13" s="89"/>
      <c r="AG13" s="89"/>
      <c r="AH13" s="89"/>
      <c r="AI13" s="88"/>
      <c r="AJ13" s="91"/>
    </row>
    <row r="14" customFormat="false" ht="15" hidden="false" customHeight="false" outlineLevel="0" collapsed="false">
      <c r="A14" s="68" t="e">
        <f aca="false">VLOOKUP(E14,'[1]Listas Desplegables'!$H$3:$J$7,2,FALSE())</f>
        <v>#N/A</v>
      </c>
      <c r="B14" s="68" t="e">
        <f aca="false">VLOOKUP(E14,'[1]Listas Desplegables'!$H$3:$J$7,3,FALSE())</f>
        <v>#N/A</v>
      </c>
      <c r="C14" s="85" t="n">
        <v>9</v>
      </c>
      <c r="D14" s="86" t="s">
        <v>476</v>
      </c>
      <c r="E14" s="86" t="s">
        <v>477</v>
      </c>
      <c r="F14" s="87" t="n">
        <v>110</v>
      </c>
      <c r="G14" s="87" t="n">
        <v>34.5</v>
      </c>
      <c r="H14" s="88" t="n">
        <v>13.8</v>
      </c>
      <c r="I14" s="88" t="n">
        <v>42</v>
      </c>
      <c r="J14" s="88" t="n">
        <v>37</v>
      </c>
      <c r="K14" s="88" t="n">
        <v>20</v>
      </c>
      <c r="L14" s="89" t="s">
        <v>469</v>
      </c>
      <c r="M14" s="88" t="n">
        <v>14.37</v>
      </c>
      <c r="N14" s="88" t="n">
        <v>12.32</v>
      </c>
      <c r="O14" s="88" t="n">
        <v>3.36</v>
      </c>
      <c r="P14" s="88" t="n">
        <v>14.37</v>
      </c>
      <c r="Q14" s="88" t="n">
        <v>12.32</v>
      </c>
      <c r="R14" s="88" t="n">
        <v>3.36</v>
      </c>
      <c r="S14" s="88" t="n">
        <v>0</v>
      </c>
      <c r="T14" s="88" t="n">
        <v>12</v>
      </c>
      <c r="U14" s="88" t="n">
        <v>-12</v>
      </c>
      <c r="V14" s="88" t="n">
        <v>1.25</v>
      </c>
      <c r="W14" s="88" t="n">
        <v>100</v>
      </c>
      <c r="X14" s="88" t="n">
        <v>0</v>
      </c>
      <c r="Y14" s="89" t="s">
        <v>221</v>
      </c>
      <c r="Z14" s="95"/>
      <c r="AA14" s="89" t="s">
        <v>290</v>
      </c>
      <c r="AB14" s="89" t="n">
        <v>147</v>
      </c>
      <c r="AC14" s="89" t="n">
        <v>49.15</v>
      </c>
      <c r="AD14" s="89" t="n">
        <v>55.26</v>
      </c>
      <c r="AE14" s="89"/>
      <c r="AF14" s="89"/>
      <c r="AG14" s="89"/>
      <c r="AH14" s="89"/>
      <c r="AI14" s="88"/>
      <c r="AJ14" s="91" t="s">
        <v>478</v>
      </c>
    </row>
    <row r="15" customFormat="false" ht="15" hidden="false" customHeight="false" outlineLevel="0" collapsed="false">
      <c r="A15" s="68" t="e">
        <f aca="false">VLOOKUP(E15,'[1]Listas Desplegables'!$H$3:$J$7,2,FALSE())</f>
        <v>#N/A</v>
      </c>
      <c r="B15" s="68" t="e">
        <f aca="false">VLOOKUP(E15,'[1]Listas Desplegables'!$H$3:$J$7,3,FALSE())</f>
        <v>#N/A</v>
      </c>
      <c r="C15" s="92" t="n">
        <v>10</v>
      </c>
      <c r="D15" s="86" t="s">
        <v>479</v>
      </c>
      <c r="E15" s="86" t="s">
        <v>480</v>
      </c>
      <c r="F15" s="87" t="n">
        <v>110</v>
      </c>
      <c r="G15" s="87" t="n">
        <v>34.5</v>
      </c>
      <c r="H15" s="88" t="n">
        <v>13.8</v>
      </c>
      <c r="I15" s="88" t="n">
        <v>60</v>
      </c>
      <c r="J15" s="88" t="n">
        <v>30</v>
      </c>
      <c r="K15" s="88" t="n">
        <v>30</v>
      </c>
      <c r="L15" s="89" t="s">
        <v>481</v>
      </c>
      <c r="M15" s="88" t="n">
        <v>6.31</v>
      </c>
      <c r="N15" s="88" t="n">
        <v>11.94</v>
      </c>
      <c r="O15" s="88" t="n">
        <v>5.15</v>
      </c>
      <c r="P15" s="88" t="n">
        <v>6.31</v>
      </c>
      <c r="Q15" s="88" t="n">
        <v>11.94</v>
      </c>
      <c r="R15" s="88" t="n">
        <v>5.15</v>
      </c>
      <c r="S15" s="88" t="n">
        <v>0</v>
      </c>
      <c r="T15" s="88" t="n">
        <v>10</v>
      </c>
      <c r="U15" s="88" t="n">
        <v>-11</v>
      </c>
      <c r="V15" s="88" t="n">
        <v>1</v>
      </c>
      <c r="W15" s="88" t="n">
        <v>130</v>
      </c>
      <c r="X15" s="88" t="n">
        <v>30</v>
      </c>
      <c r="Y15" s="89" t="s">
        <v>221</v>
      </c>
      <c r="Z15" s="95"/>
      <c r="AA15" s="89" t="s">
        <v>290</v>
      </c>
      <c r="AB15" s="89" t="n">
        <v>115.68</v>
      </c>
      <c r="AC15" s="89" t="n">
        <v>149.63</v>
      </c>
      <c r="AD15" s="89" t="n">
        <v>143.57</v>
      </c>
      <c r="AE15" s="89"/>
      <c r="AF15" s="89"/>
      <c r="AG15" s="89"/>
      <c r="AH15" s="89"/>
      <c r="AI15" s="88"/>
      <c r="AJ15" s="91" t="s">
        <v>482</v>
      </c>
    </row>
    <row r="16" customFormat="false" ht="15" hidden="false" customHeight="false" outlineLevel="0" collapsed="false">
      <c r="A16" s="68" t="e">
        <f aca="false">VLOOKUP(E16,'[1]Listas Desplegables'!$H$3:$J$7,2,FALSE())</f>
        <v>#N/A</v>
      </c>
      <c r="B16" s="68" t="e">
        <f aca="false">VLOOKUP(E16,'[1]Listas Desplegables'!$H$3:$J$7,3,FALSE())</f>
        <v>#N/A</v>
      </c>
      <c r="C16" s="85" t="n">
        <v>11</v>
      </c>
      <c r="D16" s="86" t="s">
        <v>483</v>
      </c>
      <c r="E16" s="86" t="s">
        <v>442</v>
      </c>
      <c r="F16" s="87" t="n">
        <v>110</v>
      </c>
      <c r="G16" s="87" t="n">
        <v>34.5</v>
      </c>
      <c r="H16" s="88" t="n">
        <v>13.8</v>
      </c>
      <c r="I16" s="88" t="n">
        <v>33</v>
      </c>
      <c r="J16" s="88" t="n">
        <v>21</v>
      </c>
      <c r="K16" s="88" t="n">
        <v>15</v>
      </c>
      <c r="L16" s="89" t="s">
        <v>473</v>
      </c>
      <c r="M16" s="88" t="n">
        <v>8.1585</v>
      </c>
      <c r="N16" s="88" t="n">
        <v>10.177</v>
      </c>
      <c r="O16" s="88" t="n">
        <v>3.967</v>
      </c>
      <c r="P16" s="88" t="n">
        <v>8.1585</v>
      </c>
      <c r="Q16" s="88" t="n">
        <v>10.177</v>
      </c>
      <c r="R16" s="88" t="n">
        <v>3.967</v>
      </c>
      <c r="S16" s="88" t="n">
        <v>0</v>
      </c>
      <c r="T16" s="88" t="n">
        <v>5</v>
      </c>
      <c r="U16" s="88" t="n">
        <v>-15</v>
      </c>
      <c r="V16" s="88" t="n">
        <v>1</v>
      </c>
      <c r="W16" s="88" t="n">
        <v>130</v>
      </c>
      <c r="X16" s="88" t="n">
        <v>30</v>
      </c>
      <c r="Y16" s="89" t="s">
        <v>221</v>
      </c>
      <c r="Z16" s="95"/>
      <c r="AA16" s="89" t="s">
        <v>290</v>
      </c>
      <c r="AB16" s="89" t="n">
        <v>85.4</v>
      </c>
      <c r="AC16" s="89" t="n">
        <v>156.43</v>
      </c>
      <c r="AD16" s="89"/>
      <c r="AE16" s="89"/>
      <c r="AF16" s="89" t="n">
        <v>3.94010520635674</v>
      </c>
      <c r="AG16" s="89" t="n">
        <v>7</v>
      </c>
      <c r="AH16" s="89"/>
      <c r="AI16" s="88"/>
      <c r="AJ16" s="91" t="s">
        <v>484</v>
      </c>
    </row>
    <row r="17" customFormat="false" ht="15" hidden="false" customHeight="false" outlineLevel="0" collapsed="false">
      <c r="A17" s="68" t="e">
        <f aca="false">VLOOKUP(E17,'[1]Listas Desplegables'!$H$3:$J$7,2,FALSE())</f>
        <v>#N/A</v>
      </c>
      <c r="B17" s="68" t="e">
        <f aca="false">VLOOKUP(E17,'[1]Listas Desplegables'!$H$3:$J$7,3,FALSE())</f>
        <v>#N/A</v>
      </c>
      <c r="C17" s="85" t="n">
        <v>12</v>
      </c>
      <c r="D17" s="86" t="s">
        <v>485</v>
      </c>
      <c r="E17" s="86" t="s">
        <v>486</v>
      </c>
      <c r="F17" s="87" t="n">
        <v>110</v>
      </c>
      <c r="G17" s="87" t="n">
        <v>34.5</v>
      </c>
      <c r="H17" s="88" t="n">
        <v>13.8</v>
      </c>
      <c r="I17" s="88" t="n">
        <v>30</v>
      </c>
      <c r="J17" s="88" t="n">
        <v>20</v>
      </c>
      <c r="K17" s="88" t="n">
        <v>10</v>
      </c>
      <c r="L17" s="89" t="s">
        <v>466</v>
      </c>
      <c r="M17" s="88" t="n">
        <v>6.72</v>
      </c>
      <c r="N17" s="88" t="n">
        <v>6.78</v>
      </c>
      <c r="O17" s="88" t="n">
        <v>1.82667</v>
      </c>
      <c r="P17" s="88" t="n">
        <v>6.72</v>
      </c>
      <c r="Q17" s="88" t="n">
        <v>6.78</v>
      </c>
      <c r="R17" s="88" t="n">
        <v>1.82667</v>
      </c>
      <c r="S17" s="88" t="n">
        <v>0</v>
      </c>
      <c r="T17" s="88" t="n">
        <v>10</v>
      </c>
      <c r="U17" s="88" t="n">
        <v>-10</v>
      </c>
      <c r="V17" s="88" t="n">
        <v>1</v>
      </c>
      <c r="W17" s="88" t="n">
        <v>130</v>
      </c>
      <c r="X17" s="88" t="n">
        <v>30</v>
      </c>
      <c r="Y17" s="89" t="s">
        <v>221</v>
      </c>
      <c r="Z17" s="95"/>
      <c r="AA17" s="89" t="s">
        <v>290</v>
      </c>
      <c r="AB17" s="89" t="n">
        <v>88.5</v>
      </c>
      <c r="AC17" s="89" t="n">
        <v>37.37</v>
      </c>
      <c r="AD17" s="89" t="n">
        <v>33.74</v>
      </c>
      <c r="AE17" s="89"/>
      <c r="AF17" s="89" t="n">
        <v>0.990034444444445</v>
      </c>
      <c r="AG17" s="89" t="n">
        <v>1</v>
      </c>
      <c r="AH17" s="89"/>
      <c r="AI17" s="88"/>
      <c r="AJ17" s="91" t="s">
        <v>487</v>
      </c>
    </row>
    <row r="18" customFormat="false" ht="15" hidden="false" customHeight="false" outlineLevel="0" collapsed="false">
      <c r="A18" s="68" t="e">
        <f aca="false">VLOOKUP(E18,'[1]Listas Desplegables'!$H$3:$J$7,2,FALSE())</f>
        <v>#N/A</v>
      </c>
      <c r="B18" s="68" t="e">
        <f aca="false">VLOOKUP(E18,'[1]Listas Desplegables'!$H$3:$J$7,3,FALSE())</f>
        <v>#N/A</v>
      </c>
      <c r="C18" s="85" t="n">
        <v>13</v>
      </c>
      <c r="D18" s="86" t="s">
        <v>488</v>
      </c>
      <c r="E18" s="86" t="s">
        <v>489</v>
      </c>
      <c r="F18" s="87" t="n">
        <v>110</v>
      </c>
      <c r="G18" s="87" t="n">
        <v>34.5</v>
      </c>
      <c r="H18" s="88" t="n">
        <v>13.8</v>
      </c>
      <c r="I18" s="88" t="n">
        <v>50</v>
      </c>
      <c r="J18" s="88" t="n">
        <v>30</v>
      </c>
      <c r="K18" s="88" t="n">
        <v>20</v>
      </c>
      <c r="L18" s="89" t="s">
        <v>462</v>
      </c>
      <c r="M18" s="88" t="n">
        <v>11.29</v>
      </c>
      <c r="N18" s="88" t="n">
        <v>12.5</v>
      </c>
      <c r="O18" s="88" t="n">
        <v>3.65</v>
      </c>
      <c r="P18" s="88" t="n">
        <v>11.29</v>
      </c>
      <c r="Q18" s="88" t="n">
        <v>12.5</v>
      </c>
      <c r="R18" s="88" t="n">
        <v>3.65</v>
      </c>
      <c r="S18" s="88" t="n">
        <v>0</v>
      </c>
      <c r="T18" s="88" t="n">
        <v>5</v>
      </c>
      <c r="U18" s="88" t="n">
        <v>-15</v>
      </c>
      <c r="V18" s="88" t="n">
        <v>1</v>
      </c>
      <c r="W18" s="88" t="n">
        <v>100</v>
      </c>
      <c r="X18" s="88" t="n">
        <v>0</v>
      </c>
      <c r="Y18" s="89" t="s">
        <v>221</v>
      </c>
      <c r="Z18" s="95"/>
      <c r="AA18" s="89" t="s">
        <v>290</v>
      </c>
      <c r="AB18" s="89"/>
      <c r="AC18" s="89"/>
      <c r="AD18" s="89"/>
      <c r="AE18" s="89"/>
      <c r="AF18" s="89"/>
      <c r="AG18" s="89"/>
      <c r="AH18" s="89"/>
      <c r="AI18" s="88"/>
      <c r="AJ18" s="91"/>
    </row>
    <row r="19" customFormat="false" ht="15" hidden="false" customHeight="false" outlineLevel="0" collapsed="false">
      <c r="A19" s="68" t="e">
        <f aca="false">VLOOKUP(E19,'[1]Listas Desplegables'!$H$3:$J$7,2,FALSE())</f>
        <v>#N/A</v>
      </c>
      <c r="B19" s="68" t="e">
        <f aca="false">VLOOKUP(E19,'[1]Listas Desplegables'!$H$3:$J$7,3,FALSE())</f>
        <v>#N/A</v>
      </c>
      <c r="C19" s="85" t="n">
        <v>14</v>
      </c>
      <c r="D19" s="86" t="s">
        <v>490</v>
      </c>
      <c r="E19" s="86" t="s">
        <v>438</v>
      </c>
      <c r="F19" s="87" t="n">
        <v>110</v>
      </c>
      <c r="G19" s="87" t="n">
        <v>13.8</v>
      </c>
      <c r="H19" s="88" t="n">
        <v>6.9</v>
      </c>
      <c r="I19" s="88" t="n">
        <v>50</v>
      </c>
      <c r="J19" s="88" t="n">
        <v>50</v>
      </c>
      <c r="K19" s="88" t="n">
        <v>12.5</v>
      </c>
      <c r="L19" s="89" t="s">
        <v>466</v>
      </c>
      <c r="M19" s="88" t="n">
        <v>12.92</v>
      </c>
      <c r="N19" s="88" t="n">
        <v>6.1</v>
      </c>
      <c r="O19" s="88" t="n">
        <v>2.25</v>
      </c>
      <c r="P19" s="88" t="n">
        <v>12.59</v>
      </c>
      <c r="Q19" s="88" t="n">
        <v>5.19</v>
      </c>
      <c r="R19" s="88" t="n">
        <v>1.91</v>
      </c>
      <c r="S19" s="88" t="n">
        <v>0</v>
      </c>
      <c r="T19" s="88" t="n">
        <v>10</v>
      </c>
      <c r="U19" s="88" t="n">
        <v>-10</v>
      </c>
      <c r="V19" s="88" t="n">
        <v>1</v>
      </c>
      <c r="W19" s="88" t="n">
        <v>105</v>
      </c>
      <c r="X19" s="88" t="n">
        <v>60</v>
      </c>
      <c r="Y19" s="89" t="s">
        <v>221</v>
      </c>
      <c r="Z19" s="95"/>
      <c r="AA19" s="89" t="s">
        <v>290</v>
      </c>
      <c r="AB19" s="89"/>
      <c r="AC19" s="89"/>
      <c r="AD19" s="89"/>
      <c r="AE19" s="89"/>
      <c r="AF19" s="89" t="n">
        <v>1.2341275</v>
      </c>
      <c r="AG19" s="89" t="n">
        <v>1</v>
      </c>
      <c r="AH19" s="89"/>
      <c r="AI19" s="88"/>
      <c r="AJ19" s="91" t="s">
        <v>491</v>
      </c>
    </row>
    <row r="20" customFormat="false" ht="15" hidden="false" customHeight="false" outlineLevel="0" collapsed="false">
      <c r="A20" s="68" t="e">
        <f aca="false">VLOOKUP(E20,'[1]Listas Desplegables'!$H$3:$J$7,2,FALSE())</f>
        <v>#N/A</v>
      </c>
      <c r="B20" s="68" t="e">
        <f aca="false">VLOOKUP(E20,'[1]Listas Desplegables'!$H$3:$J$7,3,FALSE())</f>
        <v>#N/A</v>
      </c>
      <c r="C20" s="85" t="n">
        <v>15</v>
      </c>
      <c r="D20" s="86" t="s">
        <v>492</v>
      </c>
      <c r="E20" s="86" t="s">
        <v>438</v>
      </c>
      <c r="F20" s="87" t="n">
        <v>110</v>
      </c>
      <c r="G20" s="87" t="n">
        <v>13.8</v>
      </c>
      <c r="H20" s="88" t="n">
        <v>6.9</v>
      </c>
      <c r="I20" s="88" t="n">
        <v>50</v>
      </c>
      <c r="J20" s="88" t="n">
        <v>50</v>
      </c>
      <c r="K20" s="88" t="n">
        <v>12.5</v>
      </c>
      <c r="L20" s="89" t="s">
        <v>466</v>
      </c>
      <c r="M20" s="88" t="n">
        <v>12.8</v>
      </c>
      <c r="N20" s="88" t="n">
        <v>6.1</v>
      </c>
      <c r="O20" s="88" t="n">
        <v>2.25</v>
      </c>
      <c r="P20" s="88" t="n">
        <v>12.47</v>
      </c>
      <c r="Q20" s="88" t="n">
        <v>5.19</v>
      </c>
      <c r="R20" s="88" t="n">
        <v>1.91</v>
      </c>
      <c r="S20" s="88" t="n">
        <v>0</v>
      </c>
      <c r="T20" s="88" t="n">
        <v>10</v>
      </c>
      <c r="U20" s="88" t="n">
        <v>-10</v>
      </c>
      <c r="V20" s="88" t="n">
        <v>1</v>
      </c>
      <c r="W20" s="88" t="n">
        <v>105</v>
      </c>
      <c r="X20" s="88" t="n">
        <v>60</v>
      </c>
      <c r="Y20" s="89" t="s">
        <v>221</v>
      </c>
      <c r="Z20" s="95"/>
      <c r="AA20" s="89" t="s">
        <v>290</v>
      </c>
      <c r="AB20" s="89"/>
      <c r="AC20" s="89"/>
      <c r="AD20" s="89"/>
      <c r="AE20" s="89"/>
      <c r="AF20" s="89"/>
      <c r="AG20" s="89"/>
      <c r="AH20" s="89"/>
      <c r="AI20" s="88"/>
      <c r="AJ20" s="91" t="s">
        <v>493</v>
      </c>
    </row>
    <row r="21" customFormat="false" ht="15" hidden="false" customHeight="false" outlineLevel="0" collapsed="false">
      <c r="A21" s="68" t="e">
        <f aca="false">VLOOKUP(E21,'[1]Listas Desplegables'!$H$3:$J$7,2,FALSE())</f>
        <v>#N/A</v>
      </c>
      <c r="B21" s="68" t="e">
        <f aca="false">VLOOKUP(E21,'[1]Listas Desplegables'!$H$3:$J$7,3,FALSE())</f>
        <v>#N/A</v>
      </c>
      <c r="C21" s="85" t="n">
        <v>16</v>
      </c>
      <c r="D21" s="86" t="s">
        <v>494</v>
      </c>
      <c r="E21" s="86" t="s">
        <v>495</v>
      </c>
      <c r="F21" s="87" t="n">
        <v>34.5</v>
      </c>
      <c r="G21" s="87" t="n">
        <v>13.8</v>
      </c>
      <c r="H21" s="88" t="n">
        <v>7.967</v>
      </c>
      <c r="I21" s="88" t="n">
        <v>28</v>
      </c>
      <c r="J21" s="88" t="n">
        <v>28</v>
      </c>
      <c r="K21" s="88" t="n">
        <v>4</v>
      </c>
      <c r="L21" s="89" t="s">
        <v>458</v>
      </c>
      <c r="M21" s="88" t="n">
        <v>7.69</v>
      </c>
      <c r="N21" s="88" t="n">
        <v>1.603065</v>
      </c>
      <c r="O21" s="88" t="n">
        <v>0.389885</v>
      </c>
      <c r="P21" s="88" t="n">
        <v>7.69</v>
      </c>
      <c r="Q21" s="88" t="n">
        <v>1.603065</v>
      </c>
      <c r="R21" s="88" t="n">
        <v>0.389885</v>
      </c>
      <c r="S21" s="88" t="n">
        <v>0</v>
      </c>
      <c r="T21" s="88" t="n">
        <v>16</v>
      </c>
      <c r="U21" s="88" t="n">
        <v>-16</v>
      </c>
      <c r="V21" s="88" t="n">
        <v>0.5</v>
      </c>
      <c r="W21" s="88" t="n">
        <v>110</v>
      </c>
      <c r="X21" s="88" t="n">
        <v>30</v>
      </c>
      <c r="Y21" s="89" t="s">
        <v>221</v>
      </c>
      <c r="Z21" s="95"/>
      <c r="AA21" s="89" t="s">
        <v>290</v>
      </c>
      <c r="AB21" s="89" t="n">
        <v>260</v>
      </c>
      <c r="AC21" s="89"/>
      <c r="AD21" s="89"/>
      <c r="AE21" s="89"/>
      <c r="AF21" s="89"/>
      <c r="AG21" s="89"/>
      <c r="AH21" s="89"/>
      <c r="AI21" s="88"/>
      <c r="AJ21" s="91" t="s">
        <v>496</v>
      </c>
    </row>
    <row r="22" customFormat="false" ht="15" hidden="false" customHeight="false" outlineLevel="0" collapsed="false">
      <c r="A22" s="68" t="e">
        <f aca="false">VLOOKUP(E22,'[1]Listas Desplegables'!$H$3:$J$7,2,FALSE())</f>
        <v>#N/A</v>
      </c>
      <c r="B22" s="68" t="e">
        <f aca="false">VLOOKUP(E22,'[1]Listas Desplegables'!$H$3:$J$7,3,FALSE())</f>
        <v>#N/A</v>
      </c>
      <c r="C22" s="85" t="n">
        <v>17</v>
      </c>
      <c r="D22" s="86" t="s">
        <v>497</v>
      </c>
      <c r="E22" s="86" t="s">
        <v>498</v>
      </c>
      <c r="F22" s="87" t="n">
        <v>34.5</v>
      </c>
      <c r="G22" s="87" t="n">
        <v>13.8</v>
      </c>
      <c r="H22" s="88" t="n">
        <v>6.9</v>
      </c>
      <c r="I22" s="88" t="n">
        <v>39.15</v>
      </c>
      <c r="J22" s="88" t="n">
        <v>39.15</v>
      </c>
      <c r="K22" s="88" t="n">
        <v>4</v>
      </c>
      <c r="L22" s="89" t="s">
        <v>466</v>
      </c>
      <c r="M22" s="88" t="n">
        <v>10.7</v>
      </c>
      <c r="N22" s="88" t="n">
        <v>1.510204</v>
      </c>
      <c r="O22" s="88" t="n">
        <v>0.3673469</v>
      </c>
      <c r="P22" s="88" t="n">
        <v>10.7</v>
      </c>
      <c r="Q22" s="88" t="n">
        <v>1.510204</v>
      </c>
      <c r="R22" s="88" t="n">
        <v>0.3673469</v>
      </c>
      <c r="S22" s="88" t="n">
        <v>0</v>
      </c>
      <c r="T22" s="88" t="n">
        <v>16</v>
      </c>
      <c r="U22" s="88" t="n">
        <v>-16</v>
      </c>
      <c r="V22" s="88" t="n">
        <v>0.625</v>
      </c>
      <c r="W22" s="88" t="n">
        <v>110</v>
      </c>
      <c r="X22" s="88" t="n">
        <v>30</v>
      </c>
      <c r="Y22" s="89" t="s">
        <v>221</v>
      </c>
      <c r="Z22" s="95"/>
      <c r="AA22" s="89" t="s">
        <v>290</v>
      </c>
      <c r="AB22" s="89" t="n">
        <v>227.9</v>
      </c>
      <c r="AC22" s="89"/>
      <c r="AD22" s="89"/>
      <c r="AE22" s="89"/>
      <c r="AF22" s="89"/>
      <c r="AG22" s="89"/>
      <c r="AH22" s="89"/>
      <c r="AI22" s="88"/>
      <c r="AJ22" s="91" t="s">
        <v>499</v>
      </c>
    </row>
    <row r="23" customFormat="false" ht="15" hidden="false" customHeight="false" outlineLevel="0" collapsed="false">
      <c r="A23" s="68" t="e">
        <f aca="false">VLOOKUP(E23,'[1]Listas Desplegables'!$H$3:$J$7,2,FALSE())</f>
        <v>#N/A</v>
      </c>
      <c r="B23" s="68" t="e">
        <f aca="false">VLOOKUP(E23,'[1]Listas Desplegables'!$H$3:$J$7,3,FALSE())</f>
        <v>#N/A</v>
      </c>
      <c r="C23" s="85" t="n">
        <v>18</v>
      </c>
      <c r="D23" s="86" t="s">
        <v>500</v>
      </c>
      <c r="E23" s="86" t="s">
        <v>501</v>
      </c>
      <c r="F23" s="87" t="n">
        <v>34.5</v>
      </c>
      <c r="G23" s="87" t="n">
        <v>13.8</v>
      </c>
      <c r="H23" s="88" t="n">
        <v>6.9</v>
      </c>
      <c r="I23" s="88" t="n">
        <v>39.15</v>
      </c>
      <c r="J23" s="88" t="n">
        <v>39.15</v>
      </c>
      <c r="K23" s="88" t="n">
        <v>3</v>
      </c>
      <c r="L23" s="89" t="s">
        <v>466</v>
      </c>
      <c r="M23" s="88" t="n">
        <v>11.16</v>
      </c>
      <c r="N23" s="88" t="n">
        <v>1.084535</v>
      </c>
      <c r="O23" s="88" t="n">
        <v>0.2637436</v>
      </c>
      <c r="P23" s="88" t="n">
        <v>11.16</v>
      </c>
      <c r="Q23" s="88" t="n">
        <v>1.084535</v>
      </c>
      <c r="R23" s="88" t="n">
        <v>0.2637436</v>
      </c>
      <c r="S23" s="88" t="n">
        <v>0</v>
      </c>
      <c r="T23" s="88" t="n">
        <v>16</v>
      </c>
      <c r="U23" s="88" t="n">
        <v>-16</v>
      </c>
      <c r="V23" s="88" t="n">
        <v>0.625</v>
      </c>
      <c r="W23" s="88" t="n">
        <v>110</v>
      </c>
      <c r="X23" s="88" t="n">
        <v>30</v>
      </c>
      <c r="Y23" s="89" t="s">
        <v>221</v>
      </c>
      <c r="Z23" s="95"/>
      <c r="AA23" s="89" t="s">
        <v>290</v>
      </c>
      <c r="AB23" s="89" t="n">
        <v>140</v>
      </c>
      <c r="AC23" s="89"/>
      <c r="AD23" s="89"/>
      <c r="AE23" s="89"/>
      <c r="AF23" s="89"/>
      <c r="AG23" s="89"/>
      <c r="AH23" s="89"/>
      <c r="AI23" s="88"/>
      <c r="AJ23" s="91" t="s">
        <v>499</v>
      </c>
    </row>
    <row r="24" customFormat="false" ht="15" hidden="false" customHeight="false" outlineLevel="0" collapsed="false">
      <c r="A24" s="68" t="e">
        <f aca="false">VLOOKUP(E24,'[1]Listas Desplegables'!$H$3:$J$7,2,FALSE())</f>
        <v>#N/A</v>
      </c>
      <c r="B24" s="68" t="e">
        <f aca="false">VLOOKUP(E24,'[1]Listas Desplegables'!$H$3:$J$7,3,FALSE())</f>
        <v>#N/A</v>
      </c>
      <c r="C24" s="92" t="n">
        <v>19</v>
      </c>
      <c r="D24" s="86" t="s">
        <v>502</v>
      </c>
      <c r="E24" s="86" t="s">
        <v>501</v>
      </c>
      <c r="F24" s="87" t="n">
        <v>34.5</v>
      </c>
      <c r="G24" s="87" t="n">
        <v>13.8</v>
      </c>
      <c r="H24" s="88" t="n">
        <v>6.9</v>
      </c>
      <c r="I24" s="88" t="n">
        <v>39.1</v>
      </c>
      <c r="J24" s="88" t="n">
        <v>39.1</v>
      </c>
      <c r="K24" s="88" t="n">
        <v>4</v>
      </c>
      <c r="L24" s="89" t="s">
        <v>466</v>
      </c>
      <c r="M24" s="88" t="n">
        <v>11.16</v>
      </c>
      <c r="N24" s="88" t="n">
        <v>1.621483</v>
      </c>
      <c r="O24" s="88" t="n">
        <v>0.3944757</v>
      </c>
      <c r="P24" s="88" t="n">
        <v>11.16</v>
      </c>
      <c r="Q24" s="88" t="n">
        <v>1.621483</v>
      </c>
      <c r="R24" s="88" t="n">
        <v>0.3944757</v>
      </c>
      <c r="S24" s="88" t="n">
        <v>0</v>
      </c>
      <c r="T24" s="88" t="n">
        <v>16</v>
      </c>
      <c r="U24" s="88" t="n">
        <v>-16</v>
      </c>
      <c r="V24" s="88" t="n">
        <v>0.625</v>
      </c>
      <c r="W24" s="88" t="n">
        <v>110</v>
      </c>
      <c r="X24" s="88" t="n">
        <v>30</v>
      </c>
      <c r="Y24" s="89" t="s">
        <v>221</v>
      </c>
      <c r="Z24" s="95"/>
      <c r="AA24" s="89" t="s">
        <v>290</v>
      </c>
      <c r="AB24" s="89" t="n">
        <v>212.92</v>
      </c>
      <c r="AC24" s="89"/>
      <c r="AD24" s="89"/>
      <c r="AE24" s="89"/>
      <c r="AF24" s="89"/>
      <c r="AG24" s="89"/>
      <c r="AH24" s="89"/>
      <c r="AI24" s="88"/>
      <c r="AJ24" s="91" t="s">
        <v>499</v>
      </c>
    </row>
    <row r="25" customFormat="false" ht="15" hidden="false" customHeight="false" outlineLevel="0" collapsed="false">
      <c r="A25" s="68" t="e">
        <f aca="false">VLOOKUP(E25,'[1]Listas Desplegables'!$H$3:$J$7,2,FALSE())</f>
        <v>#N/A</v>
      </c>
      <c r="B25" s="68" t="e">
        <f aca="false">VLOOKUP(E25,'[1]Listas Desplegables'!$H$3:$J$7,3,FALSE())</f>
        <v>#N/A</v>
      </c>
      <c r="C25" s="93" t="n">
        <v>20</v>
      </c>
      <c r="D25" s="94" t="s">
        <v>503</v>
      </c>
      <c r="E25" s="94" t="s">
        <v>504</v>
      </c>
      <c r="F25" s="109" t="n">
        <v>34.5</v>
      </c>
      <c r="G25" s="87" t="n">
        <v>13.8</v>
      </c>
      <c r="H25" s="88" t="n">
        <v>6.9</v>
      </c>
      <c r="I25" s="88" t="n">
        <v>39.15</v>
      </c>
      <c r="J25" s="88" t="n">
        <v>39.15</v>
      </c>
      <c r="K25" s="88" t="n">
        <v>4</v>
      </c>
      <c r="L25" s="89" t="s">
        <v>466</v>
      </c>
      <c r="M25" s="88" t="n">
        <v>10.397</v>
      </c>
      <c r="N25" s="88" t="n">
        <v>1.572107</v>
      </c>
      <c r="O25" s="88" t="n">
        <v>0.3824266</v>
      </c>
      <c r="P25" s="88" t="n">
        <v>10.397</v>
      </c>
      <c r="Q25" s="88" t="n">
        <v>1.572107</v>
      </c>
      <c r="R25" s="88" t="n">
        <v>0.3824266</v>
      </c>
      <c r="S25" s="88" t="n">
        <v>0</v>
      </c>
      <c r="T25" s="88" t="n">
        <v>16</v>
      </c>
      <c r="U25" s="88" t="n">
        <v>-16</v>
      </c>
      <c r="V25" s="88" t="n">
        <v>0.625</v>
      </c>
      <c r="W25" s="88" t="n">
        <v>110</v>
      </c>
      <c r="X25" s="88" t="n">
        <v>30</v>
      </c>
      <c r="Y25" s="89" t="s">
        <v>221</v>
      </c>
      <c r="Z25" s="95"/>
      <c r="AA25" s="89" t="s">
        <v>290</v>
      </c>
      <c r="AB25" s="89" t="n">
        <v>219.4</v>
      </c>
      <c r="AC25" s="89"/>
      <c r="AD25" s="89"/>
      <c r="AE25" s="89"/>
      <c r="AF25" s="89" t="n">
        <v>1.18249761904762</v>
      </c>
      <c r="AG25" s="89" t="n">
        <v>1</v>
      </c>
      <c r="AH25" s="89"/>
      <c r="AI25" s="88"/>
      <c r="AJ25" s="91" t="s">
        <v>499</v>
      </c>
    </row>
    <row r="26" customFormat="false" ht="15" hidden="false" customHeight="false" outlineLevel="0" collapsed="false">
      <c r="A26" s="68" t="e">
        <f aca="false">VLOOKUP(E26,'[1]Listas Desplegables'!$H$3:$J$7,2,FALSE())</f>
        <v>#N/A</v>
      </c>
      <c r="B26" s="68" t="e">
        <f aca="false">VLOOKUP(E26,'[1]Listas Desplegables'!$H$3:$J$7,3,FALSE())</f>
        <v>#N/A</v>
      </c>
      <c r="C26" s="92" t="n">
        <v>21</v>
      </c>
      <c r="D26" s="94" t="s">
        <v>505</v>
      </c>
      <c r="E26" s="94" t="s">
        <v>506</v>
      </c>
      <c r="F26" s="109" t="n">
        <v>34.5</v>
      </c>
      <c r="G26" s="87" t="n">
        <v>13.8</v>
      </c>
      <c r="H26" s="88" t="n">
        <v>6.9</v>
      </c>
      <c r="I26" s="88" t="n">
        <v>33</v>
      </c>
      <c r="J26" s="88" t="n">
        <v>33</v>
      </c>
      <c r="K26" s="88" t="n">
        <v>3</v>
      </c>
      <c r="L26" s="89" t="s">
        <v>466</v>
      </c>
      <c r="M26" s="88" t="n">
        <v>6</v>
      </c>
      <c r="N26" s="88" t="n">
        <v>1.048182</v>
      </c>
      <c r="O26" s="88" t="n">
        <v>2.8</v>
      </c>
      <c r="P26" s="88" t="n">
        <v>6</v>
      </c>
      <c r="Q26" s="88" t="n">
        <v>1.048182</v>
      </c>
      <c r="R26" s="88" t="n">
        <v>2.8</v>
      </c>
      <c r="S26" s="88" t="n">
        <v>0</v>
      </c>
      <c r="T26" s="88" t="n">
        <v>16</v>
      </c>
      <c r="U26" s="88" t="n">
        <v>-16</v>
      </c>
      <c r="V26" s="88" t="n">
        <v>0.625</v>
      </c>
      <c r="W26" s="88" t="n">
        <v>110</v>
      </c>
      <c r="X26" s="88" t="n">
        <v>30</v>
      </c>
      <c r="Y26" s="89" t="s">
        <v>221</v>
      </c>
      <c r="Z26" s="95"/>
      <c r="AA26" s="89" t="s">
        <v>290</v>
      </c>
      <c r="AB26" s="89" t="n">
        <v>141.57</v>
      </c>
      <c r="AC26" s="89"/>
      <c r="AD26" s="89"/>
      <c r="AE26" s="89"/>
      <c r="AF26" s="89"/>
      <c r="AG26" s="89"/>
      <c r="AH26" s="89"/>
      <c r="AI26" s="88"/>
      <c r="AJ26" s="91" t="s">
        <v>507</v>
      </c>
    </row>
    <row r="27" customFormat="false" ht="15" hidden="false" customHeight="false" outlineLevel="0" collapsed="false">
      <c r="A27" s="68" t="e">
        <f aca="false">VLOOKUP(E27,'[1]Listas Desplegables'!$H$3:$J$7,2,FALSE())</f>
        <v>#N/A</v>
      </c>
      <c r="B27" s="68" t="e">
        <f aca="false">VLOOKUP(E27,'[1]Listas Desplegables'!$H$3:$J$7,3,FALSE())</f>
        <v>#N/A</v>
      </c>
      <c r="C27" s="85" t="n">
        <v>22</v>
      </c>
      <c r="D27" s="94" t="s">
        <v>508</v>
      </c>
      <c r="E27" s="94" t="s">
        <v>506</v>
      </c>
      <c r="F27" s="109" t="n">
        <v>34.5</v>
      </c>
      <c r="G27" s="87" t="n">
        <v>13.8</v>
      </c>
      <c r="H27" s="88" t="n">
        <v>6.9</v>
      </c>
      <c r="I27" s="88" t="n">
        <v>39.15</v>
      </c>
      <c r="J27" s="88" t="n">
        <v>39.15</v>
      </c>
      <c r="K27" s="88" t="n">
        <v>4</v>
      </c>
      <c r="L27" s="89" t="s">
        <v>466</v>
      </c>
      <c r="M27" s="88" t="n">
        <v>10.6</v>
      </c>
      <c r="N27" s="88" t="n">
        <v>1.597547</v>
      </c>
      <c r="O27" s="88" t="n">
        <v>3.8</v>
      </c>
      <c r="P27" s="88" t="n">
        <v>10.6</v>
      </c>
      <c r="Q27" s="88" t="n">
        <v>1.597547</v>
      </c>
      <c r="R27" s="88" t="n">
        <v>3.8</v>
      </c>
      <c r="S27" s="88" t="n">
        <v>0</v>
      </c>
      <c r="T27" s="88" t="n">
        <v>16</v>
      </c>
      <c r="U27" s="88" t="n">
        <v>-16</v>
      </c>
      <c r="V27" s="88" t="n">
        <v>0.625</v>
      </c>
      <c r="W27" s="88" t="n">
        <v>110</v>
      </c>
      <c r="X27" s="88" t="n">
        <v>30</v>
      </c>
      <c r="Y27" s="89" t="s">
        <v>221</v>
      </c>
      <c r="Z27" s="95"/>
      <c r="AA27" s="89" t="s">
        <v>290</v>
      </c>
      <c r="AB27" s="89" t="n">
        <v>253.7</v>
      </c>
      <c r="AC27" s="89"/>
      <c r="AD27" s="89"/>
      <c r="AE27" s="89"/>
      <c r="AF27" s="89" t="n">
        <v>0.331383333333333</v>
      </c>
      <c r="AG27" s="89" t="n">
        <v>1</v>
      </c>
      <c r="AH27" s="89"/>
      <c r="AI27" s="88"/>
      <c r="AJ27" s="91" t="s">
        <v>509</v>
      </c>
    </row>
    <row r="28" customFormat="false" ht="15" hidden="false" customHeight="false" outlineLevel="0" collapsed="false">
      <c r="A28" s="68" t="e">
        <f aca="false">VLOOKUP(E28,'[1]Listas Desplegables'!$H$3:$J$7,2,FALSE())</f>
        <v>#N/A</v>
      </c>
      <c r="B28" s="68" t="e">
        <f aca="false">VLOOKUP(E28,'[1]Listas Desplegables'!$H$3:$J$7,3,FALSE())</f>
        <v>#N/A</v>
      </c>
      <c r="C28" s="85" t="n">
        <v>23</v>
      </c>
      <c r="D28" s="94" t="s">
        <v>510</v>
      </c>
      <c r="E28" s="94" t="s">
        <v>511</v>
      </c>
      <c r="F28" s="109" t="n">
        <v>110</v>
      </c>
      <c r="G28" s="87" t="n">
        <v>13.8</v>
      </c>
      <c r="H28" s="88" t="n">
        <v>6.9</v>
      </c>
      <c r="I28" s="88" t="n">
        <v>50</v>
      </c>
      <c r="J28" s="88" t="n">
        <v>50</v>
      </c>
      <c r="K28" s="88" t="n">
        <v>12.5</v>
      </c>
      <c r="L28" s="89" t="s">
        <v>469</v>
      </c>
      <c r="M28" s="88" t="n">
        <v>20.05</v>
      </c>
      <c r="N28" s="88" t="n">
        <v>7.93</v>
      </c>
      <c r="O28" s="88" t="n">
        <v>2.02</v>
      </c>
      <c r="P28" s="88" t="n">
        <v>19.13</v>
      </c>
      <c r="Q28" s="88" t="n">
        <v>7.33</v>
      </c>
      <c r="R28" s="88" t="n">
        <v>1.9</v>
      </c>
      <c r="S28" s="88" t="n">
        <v>0</v>
      </c>
      <c r="T28" s="88" t="n">
        <v>5</v>
      </c>
      <c r="U28" s="88" t="n">
        <v>-15</v>
      </c>
      <c r="V28" s="88" t="n">
        <v>1</v>
      </c>
      <c r="W28" s="88" t="n">
        <v>100</v>
      </c>
      <c r="X28" s="88" t="n">
        <v>0</v>
      </c>
      <c r="Y28" s="89" t="s">
        <v>221</v>
      </c>
      <c r="Z28" s="95"/>
      <c r="AA28" s="89" t="s">
        <v>290</v>
      </c>
      <c r="AB28" s="89"/>
      <c r="AC28" s="89"/>
      <c r="AD28" s="89"/>
      <c r="AE28" s="89" t="n">
        <v>0</v>
      </c>
      <c r="AF28" s="89" t="n">
        <v>0</v>
      </c>
      <c r="AG28" s="89" t="n">
        <v>0</v>
      </c>
      <c r="AH28" s="89"/>
      <c r="AI28" s="88"/>
      <c r="AJ28" s="91" t="s">
        <v>512</v>
      </c>
    </row>
    <row r="29" customFormat="false" ht="15" hidden="false" customHeight="false" outlineLevel="0" collapsed="false">
      <c r="A29" s="68" t="e">
        <f aca="false">VLOOKUP(E29,'[1]Listas Desplegables'!$H$3:$J$7,2,FALSE())</f>
        <v>#N/A</v>
      </c>
      <c r="B29" s="68" t="e">
        <f aca="false">VLOOKUP(E29,'[1]Listas Desplegables'!$H$3:$J$7,3,FALSE())</f>
        <v>#N/A</v>
      </c>
      <c r="C29" s="85" t="n">
        <v>24</v>
      </c>
      <c r="D29" s="94" t="s">
        <v>513</v>
      </c>
      <c r="E29" s="94" t="s">
        <v>511</v>
      </c>
      <c r="F29" s="109" t="n">
        <v>110</v>
      </c>
      <c r="G29" s="87" t="n">
        <v>13.8</v>
      </c>
      <c r="H29" s="88" t="n">
        <v>6.9</v>
      </c>
      <c r="I29" s="88" t="n">
        <v>50</v>
      </c>
      <c r="J29" s="88" t="n">
        <v>50</v>
      </c>
      <c r="K29" s="88" t="n">
        <v>12.5</v>
      </c>
      <c r="L29" s="89" t="s">
        <v>469</v>
      </c>
      <c r="M29" s="88" t="n">
        <v>19.73</v>
      </c>
      <c r="N29" s="88" t="n">
        <v>7.93</v>
      </c>
      <c r="O29" s="88" t="n">
        <v>2.02</v>
      </c>
      <c r="P29" s="88" t="n">
        <v>18.83</v>
      </c>
      <c r="Q29" s="88" t="n">
        <v>7.31</v>
      </c>
      <c r="R29" s="88" t="n">
        <v>1.9</v>
      </c>
      <c r="S29" s="88" t="n">
        <v>0</v>
      </c>
      <c r="T29" s="88" t="n">
        <v>5</v>
      </c>
      <c r="U29" s="88" t="n">
        <v>-15</v>
      </c>
      <c r="V29" s="88" t="n">
        <v>1</v>
      </c>
      <c r="W29" s="88" t="n">
        <v>100</v>
      </c>
      <c r="X29" s="88" t="n">
        <v>0</v>
      </c>
      <c r="Y29" s="89" t="s">
        <v>221</v>
      </c>
      <c r="Z29" s="96"/>
      <c r="AA29" s="89" t="s">
        <v>290</v>
      </c>
      <c r="AB29" s="89"/>
      <c r="AC29" s="89"/>
      <c r="AD29" s="89"/>
      <c r="AE29" s="89" t="n">
        <v>0</v>
      </c>
      <c r="AF29" s="89" t="n">
        <v>0</v>
      </c>
      <c r="AG29" s="89" t="n">
        <v>0</v>
      </c>
      <c r="AH29" s="89"/>
      <c r="AI29" s="88"/>
      <c r="AJ29" s="91" t="s">
        <v>514</v>
      </c>
    </row>
    <row r="30" customFormat="false" ht="15" hidden="false" customHeight="false" outlineLevel="0" collapsed="false">
      <c r="A30" s="68" t="e">
        <f aca="false">VLOOKUP(E30,'[1]Listas Desplegables'!$H$3:$J$7,2,FALSE())</f>
        <v>#N/A</v>
      </c>
      <c r="B30" s="68" t="e">
        <f aca="false">VLOOKUP(E30,'[1]Listas Desplegables'!$H$3:$J$7,3,FALSE())</f>
        <v>#N/A</v>
      </c>
      <c r="C30" s="85" t="n">
        <v>25</v>
      </c>
      <c r="D30" s="94" t="s">
        <v>515</v>
      </c>
      <c r="E30" s="94" t="s">
        <v>511</v>
      </c>
      <c r="F30" s="109" t="n">
        <v>110</v>
      </c>
      <c r="G30" s="87" t="n">
        <v>13.8</v>
      </c>
      <c r="H30" s="88" t="n">
        <v>6.9</v>
      </c>
      <c r="I30" s="88" t="n">
        <v>50</v>
      </c>
      <c r="J30" s="88" t="n">
        <v>50</v>
      </c>
      <c r="K30" s="88" t="n">
        <v>12.5</v>
      </c>
      <c r="L30" s="89" t="s">
        <v>469</v>
      </c>
      <c r="M30" s="88" t="n">
        <v>20.13</v>
      </c>
      <c r="N30" s="88" t="n">
        <v>7.93</v>
      </c>
      <c r="O30" s="88" t="n">
        <v>2.02</v>
      </c>
      <c r="P30" s="88" t="n">
        <v>19.24</v>
      </c>
      <c r="Q30" s="88" t="n">
        <v>7.35</v>
      </c>
      <c r="R30" s="88" t="n">
        <v>1.82</v>
      </c>
      <c r="S30" s="88" t="n">
        <v>0</v>
      </c>
      <c r="T30" s="88" t="n">
        <v>5</v>
      </c>
      <c r="U30" s="88" t="n">
        <v>-15</v>
      </c>
      <c r="V30" s="88" t="n">
        <v>1</v>
      </c>
      <c r="W30" s="88" t="n">
        <v>100</v>
      </c>
      <c r="X30" s="88" t="n">
        <v>0</v>
      </c>
      <c r="Y30" s="89" t="s">
        <v>221</v>
      </c>
      <c r="Z30" s="96"/>
      <c r="AA30" s="89" t="s">
        <v>290</v>
      </c>
      <c r="AB30" s="89"/>
      <c r="AC30" s="89"/>
      <c r="AD30" s="89"/>
      <c r="AE30" s="89" t="n">
        <v>0</v>
      </c>
      <c r="AF30" s="89" t="n">
        <v>0</v>
      </c>
      <c r="AG30" s="89" t="n">
        <v>0</v>
      </c>
      <c r="AH30" s="89"/>
      <c r="AI30" s="88"/>
      <c r="AJ30" s="91" t="s">
        <v>516</v>
      </c>
    </row>
    <row r="31" customFormat="false" ht="15" hidden="false" customHeight="false" outlineLevel="0" collapsed="false">
      <c r="A31" s="68" t="e">
        <f aca="false">VLOOKUP(E31,'[1]Listas Desplegables'!$H$3:$J$7,2,FALSE())</f>
        <v>#N/A</v>
      </c>
      <c r="B31" s="68" t="e">
        <f aca="false">VLOOKUP(E31,'[1]Listas Desplegables'!$H$3:$J$7,3,FALSE())</f>
        <v>#N/A</v>
      </c>
      <c r="C31" s="85" t="n">
        <v>26</v>
      </c>
      <c r="D31" s="94" t="s">
        <v>517</v>
      </c>
      <c r="E31" s="94" t="s">
        <v>518</v>
      </c>
      <c r="F31" s="109" t="n">
        <v>110</v>
      </c>
      <c r="G31" s="87" t="n">
        <v>34.5</v>
      </c>
      <c r="H31" s="88" t="n">
        <v>13.8</v>
      </c>
      <c r="I31" s="88" t="n">
        <v>60</v>
      </c>
      <c r="J31" s="88" t="n">
        <v>60</v>
      </c>
      <c r="K31" s="88" t="n">
        <v>60</v>
      </c>
      <c r="L31" s="89" t="s">
        <v>481</v>
      </c>
      <c r="M31" s="88" t="n">
        <v>12.58</v>
      </c>
      <c r="N31" s="88" t="n">
        <v>24.24</v>
      </c>
      <c r="O31" s="88" t="n">
        <v>9.36</v>
      </c>
      <c r="P31" s="88" t="n">
        <v>12.58</v>
      </c>
      <c r="Q31" s="88" t="n">
        <v>24.24</v>
      </c>
      <c r="R31" s="88" t="n">
        <v>9.36</v>
      </c>
      <c r="S31" s="88" t="n">
        <v>0</v>
      </c>
      <c r="T31" s="88" t="n">
        <v>10</v>
      </c>
      <c r="U31" s="88" t="n">
        <v>-10</v>
      </c>
      <c r="V31" s="88" t="n">
        <v>1</v>
      </c>
      <c r="W31" s="88" t="n">
        <v>100</v>
      </c>
      <c r="X31" s="88" t="n">
        <v>0</v>
      </c>
      <c r="Y31" s="89" t="s">
        <v>221</v>
      </c>
      <c r="Z31" s="96"/>
      <c r="AA31" s="89" t="s">
        <v>290</v>
      </c>
      <c r="AB31" s="89" t="n">
        <v>274.54</v>
      </c>
      <c r="AC31" s="89" t="n">
        <v>317.74</v>
      </c>
      <c r="AD31" s="89" t="n">
        <v>272.06</v>
      </c>
      <c r="AE31" s="89"/>
      <c r="AF31" s="89"/>
      <c r="AG31" s="89"/>
      <c r="AH31" s="89"/>
      <c r="AI31" s="88"/>
      <c r="AJ31" s="91"/>
    </row>
    <row r="32" customFormat="false" ht="15" hidden="false" customHeight="false" outlineLevel="0" collapsed="false">
      <c r="A32" s="68" t="e">
        <f aca="false">VLOOKUP(E32,'[1]Listas Desplegables'!$H$3:$J$7,2,FALSE())</f>
        <v>#N/A</v>
      </c>
      <c r="B32" s="68" t="e">
        <f aca="false">VLOOKUP(E32,'[1]Listas Desplegables'!$H$3:$J$7,3,FALSE())</f>
        <v>#N/A</v>
      </c>
      <c r="C32" s="85" t="n">
        <v>27</v>
      </c>
      <c r="D32" s="94" t="s">
        <v>519</v>
      </c>
      <c r="E32" s="94" t="s">
        <v>442</v>
      </c>
      <c r="F32" s="109" t="n">
        <v>110</v>
      </c>
      <c r="G32" s="87" t="n">
        <v>34.5</v>
      </c>
      <c r="H32" s="88" t="n">
        <v>13.8</v>
      </c>
      <c r="I32" s="88" t="n">
        <v>50</v>
      </c>
      <c r="J32" s="88" t="n">
        <v>30</v>
      </c>
      <c r="K32" s="88" t="n">
        <v>20</v>
      </c>
      <c r="L32" s="89" t="s">
        <v>481</v>
      </c>
      <c r="M32" s="88" t="n">
        <v>11.29</v>
      </c>
      <c r="N32" s="88" t="n">
        <v>12.5</v>
      </c>
      <c r="O32" s="88" t="n">
        <v>3.65</v>
      </c>
      <c r="P32" s="88" t="n">
        <v>11.29</v>
      </c>
      <c r="Q32" s="88" t="n">
        <v>12.5</v>
      </c>
      <c r="R32" s="88" t="n">
        <v>3.65</v>
      </c>
      <c r="S32" s="88" t="n">
        <v>0</v>
      </c>
      <c r="T32" s="88" t="n">
        <v>5</v>
      </c>
      <c r="U32" s="88" t="n">
        <v>-15</v>
      </c>
      <c r="V32" s="88" t="n">
        <v>1</v>
      </c>
      <c r="W32" s="88" t="n">
        <v>100</v>
      </c>
      <c r="X32" s="88" t="n">
        <v>0</v>
      </c>
      <c r="Y32" s="89" t="s">
        <v>395</v>
      </c>
      <c r="Z32" s="96" t="n">
        <v>2029</v>
      </c>
      <c r="AA32" s="89" t="s">
        <v>290</v>
      </c>
      <c r="AB32" s="89"/>
      <c r="AC32" s="89"/>
      <c r="AD32" s="89"/>
      <c r="AE32" s="89"/>
      <c r="AF32" s="89"/>
      <c r="AG32" s="89"/>
      <c r="AH32" s="89"/>
      <c r="AI32" s="88"/>
      <c r="AJ32" s="110" t="s">
        <v>520</v>
      </c>
    </row>
    <row r="33" customFormat="false" ht="15" hidden="false" customHeight="false" outlineLevel="0" collapsed="false">
      <c r="A33" s="68" t="e">
        <f aca="false">VLOOKUP(E33,'[1]Listas Desplegables'!$H$3:$J$7,2,FALSE())</f>
        <v>#N/A</v>
      </c>
      <c r="B33" s="68" t="e">
        <f aca="false">VLOOKUP(E33,'[1]Listas Desplegables'!$H$3:$J$7,3,FALSE())</f>
        <v>#N/A</v>
      </c>
      <c r="C33" s="85" t="n">
        <v>28</v>
      </c>
      <c r="D33" s="94" t="s">
        <v>521</v>
      </c>
      <c r="E33" s="94" t="s">
        <v>480</v>
      </c>
      <c r="F33" s="109" t="n">
        <v>110</v>
      </c>
      <c r="G33" s="87" t="n">
        <v>34.5</v>
      </c>
      <c r="H33" s="88" t="n">
        <v>13.8</v>
      </c>
      <c r="I33" s="88" t="n">
        <v>60</v>
      </c>
      <c r="J33" s="88" t="n">
        <v>30</v>
      </c>
      <c r="K33" s="88" t="n">
        <v>30</v>
      </c>
      <c r="L33" s="89" t="s">
        <v>481</v>
      </c>
      <c r="M33" s="88" t="n">
        <v>6.31</v>
      </c>
      <c r="N33" s="88" t="n">
        <v>11.94</v>
      </c>
      <c r="O33" s="88" t="n">
        <v>5.15</v>
      </c>
      <c r="P33" s="88" t="n">
        <v>6.31</v>
      </c>
      <c r="Q33" s="88" t="n">
        <v>11.94</v>
      </c>
      <c r="R33" s="88" t="n">
        <v>5.15</v>
      </c>
      <c r="S33" s="88" t="n">
        <v>0</v>
      </c>
      <c r="T33" s="88" t="n">
        <v>10</v>
      </c>
      <c r="U33" s="88" t="n">
        <v>-11</v>
      </c>
      <c r="V33" s="88" t="n">
        <v>1.01</v>
      </c>
      <c r="W33" s="88" t="n">
        <v>100</v>
      </c>
      <c r="X33" s="88" t="n">
        <v>0</v>
      </c>
      <c r="Y33" s="89" t="s">
        <v>395</v>
      </c>
      <c r="Z33" s="96" t="n">
        <v>2029</v>
      </c>
      <c r="AA33" s="89" t="s">
        <v>290</v>
      </c>
      <c r="AB33" s="89" t="n">
        <v>115.68</v>
      </c>
      <c r="AC33" s="89" t="n">
        <v>149.63</v>
      </c>
      <c r="AD33" s="89" t="n">
        <v>143.57</v>
      </c>
      <c r="AE33" s="89" t="n">
        <v>0</v>
      </c>
      <c r="AF33" s="89" t="n">
        <v>0</v>
      </c>
      <c r="AG33" s="89" t="n">
        <v>0</v>
      </c>
      <c r="AH33" s="89"/>
      <c r="AI33" s="88"/>
      <c r="AJ33" s="110" t="s">
        <v>522</v>
      </c>
    </row>
    <row r="34" customFormat="false" ht="15" hidden="false" customHeight="false" outlineLevel="0" collapsed="false">
      <c r="A34" s="68" t="e">
        <f aca="false">VLOOKUP(E34,'[1]Listas Desplegables'!$H$3:$J$7,2,FALSE())</f>
        <v>#N/A</v>
      </c>
      <c r="B34" s="68" t="e">
        <f aca="false">VLOOKUP(E34,'[1]Listas Desplegables'!$H$3:$J$7,3,FALSE())</f>
        <v>#N/A</v>
      </c>
      <c r="C34" s="85" t="n">
        <v>29</v>
      </c>
      <c r="D34" s="94" t="s">
        <v>523</v>
      </c>
      <c r="E34" s="94" t="s">
        <v>524</v>
      </c>
      <c r="F34" s="109" t="n">
        <v>220</v>
      </c>
      <c r="G34" s="87" t="n">
        <v>110</v>
      </c>
      <c r="H34" s="88" t="n">
        <v>13.8</v>
      </c>
      <c r="I34" s="88" t="n">
        <v>100</v>
      </c>
      <c r="J34" s="88" t="n">
        <v>100</v>
      </c>
      <c r="K34" s="88" t="n">
        <v>20</v>
      </c>
      <c r="L34" s="89" t="s">
        <v>525</v>
      </c>
      <c r="M34" s="88" t="n">
        <v>11</v>
      </c>
      <c r="N34" s="88" t="n">
        <v>4.95</v>
      </c>
      <c r="O34" s="88" t="n">
        <v>2.57</v>
      </c>
      <c r="P34" s="88" t="n">
        <v>11</v>
      </c>
      <c r="Q34" s="88" t="n">
        <v>4.95</v>
      </c>
      <c r="R34" s="88" t="n">
        <v>2.57</v>
      </c>
      <c r="S34" s="88" t="n">
        <v>9</v>
      </c>
      <c r="T34" s="88" t="n">
        <v>29</v>
      </c>
      <c r="U34" s="88" t="n">
        <v>1</v>
      </c>
      <c r="V34" s="88" t="n">
        <v>1.01</v>
      </c>
      <c r="W34" s="88" t="n">
        <v>110</v>
      </c>
      <c r="X34" s="88" t="n">
        <v>30</v>
      </c>
      <c r="Y34" s="89" t="s">
        <v>221</v>
      </c>
      <c r="Z34" s="96"/>
      <c r="AA34" s="89" t="s">
        <v>526</v>
      </c>
      <c r="AB34" s="89" t="n">
        <v>100</v>
      </c>
      <c r="AC34" s="89" t="n">
        <v>100</v>
      </c>
      <c r="AD34" s="89" t="n">
        <v>100</v>
      </c>
      <c r="AE34" s="89"/>
      <c r="AF34" s="89"/>
      <c r="AG34" s="89"/>
      <c r="AH34" s="89"/>
      <c r="AI34" s="88"/>
      <c r="AJ34" s="91"/>
    </row>
    <row r="35" customFormat="false" ht="15" hidden="false" customHeight="false" outlineLevel="0" collapsed="false">
      <c r="A35" s="68" t="e">
        <f aca="false">VLOOKUP(E35,'[1]Listas Desplegables'!$H$3:$J$7,2,FALSE())</f>
        <v>#N/A</v>
      </c>
      <c r="B35" s="68" t="e">
        <f aca="false">VLOOKUP(E35,'[1]Listas Desplegables'!$H$3:$J$7,3,FALSE())</f>
        <v>#N/A</v>
      </c>
      <c r="C35" s="92" t="n">
        <v>30</v>
      </c>
      <c r="D35" s="94" t="s">
        <v>527</v>
      </c>
      <c r="E35" s="94" t="s">
        <v>524</v>
      </c>
      <c r="F35" s="109" t="n">
        <v>220</v>
      </c>
      <c r="G35" s="87" t="n">
        <v>110</v>
      </c>
      <c r="H35" s="88" t="n">
        <v>13.8</v>
      </c>
      <c r="I35" s="88" t="n">
        <v>100</v>
      </c>
      <c r="J35" s="88" t="n">
        <v>100</v>
      </c>
      <c r="K35" s="88" t="n">
        <v>20</v>
      </c>
      <c r="L35" s="89" t="s">
        <v>525</v>
      </c>
      <c r="M35" s="88" t="n">
        <v>10.45</v>
      </c>
      <c r="N35" s="88" t="n">
        <v>4.95</v>
      </c>
      <c r="O35" s="88" t="n">
        <v>2.57</v>
      </c>
      <c r="P35" s="88" t="n">
        <v>10.45</v>
      </c>
      <c r="Q35" s="88" t="n">
        <v>4.95</v>
      </c>
      <c r="R35" s="88" t="n">
        <v>2.57</v>
      </c>
      <c r="S35" s="88" t="n">
        <v>9</v>
      </c>
      <c r="T35" s="88" t="n">
        <v>29</v>
      </c>
      <c r="U35" s="88" t="n">
        <v>1</v>
      </c>
      <c r="V35" s="88" t="n">
        <v>1.01</v>
      </c>
      <c r="W35" s="88" t="n">
        <v>110</v>
      </c>
      <c r="X35" s="88" t="n">
        <v>30</v>
      </c>
      <c r="Y35" s="89" t="s">
        <v>221</v>
      </c>
      <c r="Z35" s="96"/>
      <c r="AA35" s="89" t="s">
        <v>526</v>
      </c>
      <c r="AB35" s="89" t="n">
        <v>100</v>
      </c>
      <c r="AC35" s="89" t="n">
        <v>100</v>
      </c>
      <c r="AD35" s="89" t="n">
        <v>100</v>
      </c>
      <c r="AE35" s="89"/>
      <c r="AF35" s="89"/>
      <c r="AG35" s="89"/>
      <c r="AH35" s="89"/>
      <c r="AI35" s="88"/>
      <c r="AJ35" s="91"/>
    </row>
    <row r="36" customFormat="false" ht="15" hidden="false" customHeight="false" outlineLevel="0" collapsed="false">
      <c r="A36" s="68" t="e">
        <f aca="false">VLOOKUP(E36,'[1]Listas Desplegables'!$H$3:$J$7,2,FALSE())</f>
        <v>#N/A</v>
      </c>
      <c r="B36" s="68" t="e">
        <f aca="false">VLOOKUP(E36,'[1]Listas Desplegables'!$H$3:$J$7,3,FALSE())</f>
        <v>#N/A</v>
      </c>
      <c r="C36" s="85" t="n">
        <v>31</v>
      </c>
      <c r="D36" s="94" t="s">
        <v>528</v>
      </c>
      <c r="E36" s="94" t="s">
        <v>529</v>
      </c>
      <c r="F36" s="109" t="n">
        <v>220</v>
      </c>
      <c r="G36" s="87" t="n">
        <v>110</v>
      </c>
      <c r="H36" s="88" t="n">
        <v>13.8</v>
      </c>
      <c r="I36" s="88" t="n">
        <v>150</v>
      </c>
      <c r="J36" s="88" t="n">
        <v>150</v>
      </c>
      <c r="K36" s="88" t="n">
        <v>51</v>
      </c>
      <c r="L36" s="89" t="s">
        <v>530</v>
      </c>
      <c r="M36" s="88" t="n">
        <v>12.74</v>
      </c>
      <c r="N36" s="88" t="n">
        <v>14.13</v>
      </c>
      <c r="O36" s="88" t="n">
        <v>8.92</v>
      </c>
      <c r="P36" s="88" t="n">
        <v>12.74</v>
      </c>
      <c r="Q36" s="88" t="n">
        <v>14.13</v>
      </c>
      <c r="R36" s="88" t="n">
        <v>8.92</v>
      </c>
      <c r="S36" s="88" t="n">
        <v>0</v>
      </c>
      <c r="T36" s="88" t="n">
        <v>12</v>
      </c>
      <c r="U36" s="88" t="n">
        <v>-8</v>
      </c>
      <c r="V36" s="88" t="n">
        <v>1</v>
      </c>
      <c r="W36" s="88" t="n">
        <v>100</v>
      </c>
      <c r="X36" s="88" t="n">
        <v>0</v>
      </c>
      <c r="Y36" s="89" t="s">
        <v>395</v>
      </c>
      <c r="Z36" s="96" t="n">
        <v>2029</v>
      </c>
      <c r="AA36" s="89" t="s">
        <v>526</v>
      </c>
      <c r="AB36" s="89"/>
      <c r="AC36" s="89"/>
      <c r="AD36" s="89"/>
      <c r="AE36" s="89"/>
      <c r="AF36" s="89"/>
      <c r="AG36" s="89"/>
      <c r="AH36" s="89"/>
      <c r="AI36" s="88"/>
      <c r="AJ36" s="91"/>
    </row>
    <row r="37" customFormat="false" ht="15" hidden="false" customHeight="false" outlineLevel="0" collapsed="false">
      <c r="A37" s="68" t="e">
        <f aca="false">VLOOKUP(E37,'[1]Listas Desplegables'!$H$3:$J$7,2,FALSE())</f>
        <v>#N/A</v>
      </c>
      <c r="B37" s="68" t="e">
        <f aca="false">VLOOKUP(E37,'[1]Listas Desplegables'!$H$3:$J$7,3,FALSE())</f>
        <v>#N/A</v>
      </c>
      <c r="C37" s="85" t="n">
        <v>32</v>
      </c>
      <c r="D37" s="94" t="s">
        <v>531</v>
      </c>
      <c r="E37" s="94" t="s">
        <v>495</v>
      </c>
      <c r="F37" s="109" t="n">
        <v>220</v>
      </c>
      <c r="G37" s="87" t="n">
        <v>110</v>
      </c>
      <c r="H37" s="88" t="n">
        <v>13.8</v>
      </c>
      <c r="I37" s="88" t="n">
        <v>150</v>
      </c>
      <c r="J37" s="88" t="n">
        <v>150</v>
      </c>
      <c r="K37" s="88" t="n">
        <v>51</v>
      </c>
      <c r="L37" s="89" t="s">
        <v>530</v>
      </c>
      <c r="M37" s="88" t="n">
        <v>12.74</v>
      </c>
      <c r="N37" s="88" t="n">
        <v>14.13</v>
      </c>
      <c r="O37" s="88" t="n">
        <v>8.92</v>
      </c>
      <c r="P37" s="88" t="n">
        <v>12.74</v>
      </c>
      <c r="Q37" s="88" t="n">
        <v>14.13</v>
      </c>
      <c r="R37" s="88" t="n">
        <v>8.92</v>
      </c>
      <c r="S37" s="88" t="n">
        <v>0</v>
      </c>
      <c r="T37" s="88" t="n">
        <v>12</v>
      </c>
      <c r="U37" s="88" t="n">
        <v>-8</v>
      </c>
      <c r="V37" s="88" t="n">
        <v>1</v>
      </c>
      <c r="W37" s="88" t="n">
        <v>100</v>
      </c>
      <c r="X37" s="88" t="n">
        <v>0</v>
      </c>
      <c r="Y37" s="89" t="s">
        <v>395</v>
      </c>
      <c r="Z37" s="96" t="n">
        <v>2029</v>
      </c>
      <c r="AA37" s="89" t="s">
        <v>526</v>
      </c>
      <c r="AB37" s="89"/>
      <c r="AC37" s="89"/>
      <c r="AD37" s="89"/>
      <c r="AE37" s="89"/>
      <c r="AF37" s="89"/>
      <c r="AG37" s="89"/>
      <c r="AH37" s="89"/>
      <c r="AI37" s="88"/>
      <c r="AJ37" s="91"/>
    </row>
    <row r="38" customFormat="false" ht="15" hidden="false" customHeight="false" outlineLevel="0" collapsed="false">
      <c r="A38" s="68" t="e">
        <f aca="false">VLOOKUP(E38,'[1]Listas Desplegables'!$H$3:$J$7,2,FALSE())</f>
        <v>#N/A</v>
      </c>
      <c r="B38" s="68" t="e">
        <f aca="false">VLOOKUP(E38,'[1]Listas Desplegables'!$H$3:$J$7,3,FALSE())</f>
        <v>#N/A</v>
      </c>
      <c r="C38" s="85" t="n">
        <v>33</v>
      </c>
      <c r="D38" s="94" t="s">
        <v>532</v>
      </c>
      <c r="E38" s="94" t="s">
        <v>495</v>
      </c>
      <c r="F38" s="109" t="n">
        <v>220</v>
      </c>
      <c r="G38" s="87" t="n">
        <v>110</v>
      </c>
      <c r="H38" s="88" t="n">
        <v>13.8</v>
      </c>
      <c r="I38" s="88" t="n">
        <v>150</v>
      </c>
      <c r="J38" s="88" t="n">
        <v>150</v>
      </c>
      <c r="K38" s="88" t="n">
        <v>51</v>
      </c>
      <c r="L38" s="89" t="s">
        <v>530</v>
      </c>
      <c r="M38" s="88" t="n">
        <v>12.74</v>
      </c>
      <c r="N38" s="88" t="n">
        <v>14.13</v>
      </c>
      <c r="O38" s="88" t="n">
        <v>8.92</v>
      </c>
      <c r="P38" s="88" t="n">
        <v>12.74</v>
      </c>
      <c r="Q38" s="88" t="n">
        <v>14.13</v>
      </c>
      <c r="R38" s="88" t="n">
        <v>8.92</v>
      </c>
      <c r="S38" s="88" t="n">
        <v>0</v>
      </c>
      <c r="T38" s="88" t="n">
        <v>12</v>
      </c>
      <c r="U38" s="88" t="n">
        <v>-8</v>
      </c>
      <c r="V38" s="88" t="n">
        <v>1</v>
      </c>
      <c r="W38" s="88" t="n">
        <v>100</v>
      </c>
      <c r="X38" s="88" t="n">
        <v>0</v>
      </c>
      <c r="Y38" s="89" t="s">
        <v>395</v>
      </c>
      <c r="Z38" s="96" t="n">
        <v>2029</v>
      </c>
      <c r="AA38" s="89" t="s">
        <v>526</v>
      </c>
      <c r="AB38" s="89"/>
      <c r="AC38" s="89"/>
      <c r="AD38" s="89"/>
      <c r="AE38" s="89"/>
      <c r="AF38" s="89"/>
      <c r="AG38" s="89"/>
      <c r="AH38" s="89"/>
      <c r="AI38" s="88"/>
      <c r="AJ38" s="91"/>
    </row>
    <row r="39" customFormat="false" ht="15" hidden="false" customHeight="false" outlineLevel="0" collapsed="false">
      <c r="A39" s="68" t="e">
        <f aca="false">VLOOKUP(E39,'[1]Listas Desplegables'!$H$3:$J$7,2,FALSE())</f>
        <v>#N/A</v>
      </c>
      <c r="B39" s="68" t="e">
        <f aca="false">VLOOKUP(E39,'[1]Listas Desplegables'!$H$3:$J$7,3,FALSE())</f>
        <v>#N/A</v>
      </c>
      <c r="C39" s="85" t="n">
        <v>34</v>
      </c>
      <c r="D39" s="94" t="s">
        <v>533</v>
      </c>
      <c r="E39" s="94" t="s">
        <v>524</v>
      </c>
      <c r="F39" s="109" t="n">
        <v>220</v>
      </c>
      <c r="G39" s="87" t="n">
        <v>110</v>
      </c>
      <c r="H39" s="88" t="n">
        <v>13.8</v>
      </c>
      <c r="I39" s="88" t="n">
        <v>100</v>
      </c>
      <c r="J39" s="88" t="n">
        <v>100</v>
      </c>
      <c r="K39" s="88" t="n">
        <v>20</v>
      </c>
      <c r="L39" s="89" t="s">
        <v>525</v>
      </c>
      <c r="M39" s="88" t="n">
        <v>12.66</v>
      </c>
      <c r="N39" s="88" t="n">
        <v>4.03</v>
      </c>
      <c r="O39" s="88" t="n">
        <v>1.03</v>
      </c>
      <c r="P39" s="88" t="n">
        <v>12.66</v>
      </c>
      <c r="Q39" s="88" t="n">
        <v>4.03</v>
      </c>
      <c r="R39" s="88" t="n">
        <v>1.03</v>
      </c>
      <c r="S39" s="88" t="n">
        <v>9</v>
      </c>
      <c r="T39" s="88" t="n">
        <v>29</v>
      </c>
      <c r="U39" s="88" t="n">
        <v>1</v>
      </c>
      <c r="V39" s="88" t="n">
        <v>1.09</v>
      </c>
      <c r="W39" s="88" t="n">
        <v>110</v>
      </c>
      <c r="X39" s="88" t="n">
        <v>30</v>
      </c>
      <c r="Y39" s="89" t="s">
        <v>221</v>
      </c>
      <c r="Z39" s="96"/>
      <c r="AA39" s="89" t="s">
        <v>526</v>
      </c>
      <c r="AB39" s="89" t="n">
        <v>100</v>
      </c>
      <c r="AC39" s="89" t="n">
        <v>100</v>
      </c>
      <c r="AD39" s="89" t="n">
        <v>100</v>
      </c>
      <c r="AE39" s="89"/>
      <c r="AF39" s="89"/>
      <c r="AG39" s="89"/>
      <c r="AH39" s="89"/>
      <c r="AI39" s="88"/>
      <c r="AJ39" s="91"/>
    </row>
    <row r="40" customFormat="false" ht="15" hidden="false" customHeight="false" outlineLevel="0" collapsed="false">
      <c r="A40" s="68" t="e">
        <f aca="false">VLOOKUP(E40,'[1]Listas Desplegables'!$H$3:$J$7,2,FALSE())</f>
        <v>#N/A</v>
      </c>
      <c r="B40" s="68" t="e">
        <f aca="false">VLOOKUP(E40,'[1]Listas Desplegables'!$H$3:$J$7,3,FALSE())</f>
        <v>#N/A</v>
      </c>
      <c r="C40" s="85" t="n">
        <v>35</v>
      </c>
      <c r="D40" s="94" t="s">
        <v>534</v>
      </c>
      <c r="E40" s="94" t="s">
        <v>446</v>
      </c>
      <c r="F40" s="109" t="n">
        <v>110</v>
      </c>
      <c r="G40" s="87" t="n">
        <v>34.5</v>
      </c>
      <c r="H40" s="88" t="n">
        <v>13.8</v>
      </c>
      <c r="I40" s="88" t="n">
        <v>50</v>
      </c>
      <c r="J40" s="88" t="n">
        <v>50</v>
      </c>
      <c r="K40" s="88" t="n">
        <v>1</v>
      </c>
      <c r="L40" s="89" t="s">
        <v>466</v>
      </c>
      <c r="M40" s="88" t="n">
        <v>37</v>
      </c>
      <c r="N40" s="88" t="n">
        <v>10.6</v>
      </c>
      <c r="O40" s="88" t="n">
        <v>23.7</v>
      </c>
      <c r="P40" s="88" t="n">
        <v>33.4</v>
      </c>
      <c r="Q40" s="88" t="n">
        <v>10.3</v>
      </c>
      <c r="R40" s="88" t="n">
        <v>22</v>
      </c>
      <c r="S40" s="88" t="n">
        <v>0</v>
      </c>
      <c r="T40" s="88" t="n">
        <v>10</v>
      </c>
      <c r="U40" s="88" t="n">
        <v>-10</v>
      </c>
      <c r="V40" s="88" t="n">
        <v>1</v>
      </c>
      <c r="W40" s="88" t="n">
        <v>110</v>
      </c>
      <c r="X40" s="88" t="n">
        <v>30</v>
      </c>
      <c r="Y40" s="89" t="s">
        <v>221</v>
      </c>
      <c r="Z40" s="96"/>
      <c r="AA40" s="89" t="s">
        <v>219</v>
      </c>
      <c r="AB40" s="89" t="n">
        <v>37</v>
      </c>
      <c r="AC40" s="89" t="n">
        <v>10.6</v>
      </c>
      <c r="AD40" s="89" t="n">
        <v>23.7</v>
      </c>
      <c r="AE40" s="89"/>
      <c r="AF40" s="89"/>
      <c r="AG40" s="89"/>
      <c r="AH40" s="89"/>
      <c r="AI40" s="88"/>
      <c r="AJ40" s="91" t="s">
        <v>535</v>
      </c>
    </row>
    <row r="41" customFormat="false" ht="15" hidden="false" customHeight="false" outlineLevel="0" collapsed="false">
      <c r="A41" s="68" t="e">
        <f aca="false">VLOOKUP(E41,'[1]Listas Desplegables'!$H$3:$J$7,2,FALSE())</f>
        <v>#N/A</v>
      </c>
      <c r="B41" s="68" t="e">
        <f aca="false">VLOOKUP(E41,'[1]Listas Desplegables'!$H$3:$J$7,3,FALSE())</f>
        <v>#N/A</v>
      </c>
      <c r="C41" s="85" t="n">
        <v>36</v>
      </c>
      <c r="D41" s="94"/>
      <c r="E41" s="94"/>
      <c r="F41" s="109"/>
      <c r="G41" s="87"/>
      <c r="H41" s="88"/>
      <c r="I41" s="88"/>
      <c r="J41" s="88"/>
      <c r="K41" s="88"/>
      <c r="L41" s="89"/>
      <c r="M41" s="88"/>
      <c r="N41" s="88"/>
      <c r="O41" s="88"/>
      <c r="P41" s="88"/>
      <c r="Q41" s="88"/>
      <c r="R41" s="88"/>
      <c r="S41" s="88"/>
      <c r="T41" s="88"/>
      <c r="U41" s="88"/>
      <c r="V41" s="88"/>
      <c r="W41" s="88"/>
      <c r="X41" s="88"/>
      <c r="Y41" s="89"/>
      <c r="Z41" s="95"/>
      <c r="AA41" s="89"/>
      <c r="AB41" s="89"/>
      <c r="AC41" s="89"/>
      <c r="AD41" s="89"/>
      <c r="AE41" s="89"/>
      <c r="AF41" s="89"/>
      <c r="AG41" s="89"/>
      <c r="AH41" s="89"/>
      <c r="AI41" s="88"/>
      <c r="AJ41" s="91"/>
    </row>
    <row r="42" customFormat="false" ht="15" hidden="false" customHeight="false" outlineLevel="0" collapsed="false">
      <c r="A42" s="68" t="e">
        <f aca="false">VLOOKUP(E42,'[1]Listas Desplegables'!$H$3:$J$7,2,FALSE())</f>
        <v>#N/A</v>
      </c>
      <c r="B42" s="68" t="e">
        <f aca="false">VLOOKUP(E42,'[1]Listas Desplegables'!$H$3:$J$7,3,FALSE())</f>
        <v>#N/A</v>
      </c>
      <c r="C42" s="85" t="n">
        <v>37</v>
      </c>
      <c r="D42" s="94"/>
      <c r="E42" s="94"/>
      <c r="F42" s="109"/>
      <c r="G42" s="87"/>
      <c r="H42" s="88"/>
      <c r="I42" s="88"/>
      <c r="J42" s="88"/>
      <c r="K42" s="88"/>
      <c r="L42" s="89"/>
      <c r="M42" s="88"/>
      <c r="N42" s="88"/>
      <c r="O42" s="88"/>
      <c r="P42" s="88"/>
      <c r="Q42" s="88"/>
      <c r="R42" s="88"/>
      <c r="S42" s="88"/>
      <c r="T42" s="88"/>
      <c r="U42" s="88"/>
      <c r="V42" s="88"/>
      <c r="W42" s="88"/>
      <c r="X42" s="88"/>
      <c r="Y42" s="89"/>
      <c r="Z42" s="95"/>
      <c r="AA42" s="89"/>
      <c r="AB42" s="89"/>
      <c r="AC42" s="89"/>
      <c r="AD42" s="89"/>
      <c r="AE42" s="89"/>
      <c r="AF42" s="89"/>
      <c r="AG42" s="89"/>
      <c r="AH42" s="89"/>
      <c r="AI42" s="88"/>
      <c r="AJ42" s="91"/>
    </row>
    <row r="43" customFormat="false" ht="15" hidden="false" customHeight="false" outlineLevel="0" collapsed="false">
      <c r="A43" s="68" t="e">
        <f aca="false">VLOOKUP(E43,'[1]Listas Desplegables'!$H$3:$J$7,2,FALSE())</f>
        <v>#N/A</v>
      </c>
      <c r="B43" s="68" t="e">
        <f aca="false">VLOOKUP(E43,'[1]Listas Desplegables'!$H$3:$J$7,3,FALSE())</f>
        <v>#N/A</v>
      </c>
      <c r="C43" s="85" t="n">
        <v>38</v>
      </c>
      <c r="D43" s="94"/>
      <c r="E43" s="94"/>
      <c r="F43" s="109"/>
      <c r="G43" s="87"/>
      <c r="H43" s="88"/>
      <c r="I43" s="88"/>
      <c r="J43" s="88"/>
      <c r="K43" s="88"/>
      <c r="L43" s="89"/>
      <c r="M43" s="88"/>
      <c r="N43" s="88"/>
      <c r="O43" s="88"/>
      <c r="P43" s="88"/>
      <c r="Q43" s="88"/>
      <c r="R43" s="88"/>
      <c r="S43" s="88"/>
      <c r="T43" s="88"/>
      <c r="U43" s="88"/>
      <c r="V43" s="88"/>
      <c r="W43" s="88"/>
      <c r="X43" s="88"/>
      <c r="Y43" s="89"/>
      <c r="Z43" s="95"/>
      <c r="AA43" s="89"/>
      <c r="AB43" s="89"/>
      <c r="AC43" s="89"/>
      <c r="AD43" s="89"/>
      <c r="AE43" s="89"/>
      <c r="AF43" s="89"/>
      <c r="AG43" s="89"/>
      <c r="AH43" s="89"/>
      <c r="AI43" s="88"/>
      <c r="AJ43" s="91"/>
    </row>
    <row r="44" customFormat="false" ht="15" hidden="false" customHeight="false" outlineLevel="0" collapsed="false">
      <c r="A44" s="68" t="e">
        <f aca="false">VLOOKUP(E44,'[1]Listas Desplegables'!$H$3:$J$7,2,FALSE())</f>
        <v>#N/A</v>
      </c>
      <c r="B44" s="68" t="e">
        <f aca="false">VLOOKUP(E44,'[1]Listas Desplegables'!$H$3:$J$7,3,FALSE())</f>
        <v>#N/A</v>
      </c>
      <c r="C44" s="85" t="n">
        <v>39</v>
      </c>
      <c r="D44" s="94"/>
      <c r="E44" s="94"/>
      <c r="F44" s="109"/>
      <c r="G44" s="87"/>
      <c r="H44" s="88"/>
      <c r="I44" s="88"/>
      <c r="J44" s="88"/>
      <c r="K44" s="88"/>
      <c r="L44" s="89"/>
      <c r="M44" s="88"/>
      <c r="N44" s="88"/>
      <c r="O44" s="88"/>
      <c r="P44" s="88"/>
      <c r="Q44" s="88"/>
      <c r="R44" s="88"/>
      <c r="S44" s="88"/>
      <c r="T44" s="88"/>
      <c r="U44" s="88"/>
      <c r="V44" s="88"/>
      <c r="W44" s="88"/>
      <c r="X44" s="88"/>
      <c r="Y44" s="89"/>
      <c r="Z44" s="95"/>
      <c r="AA44" s="89"/>
      <c r="AB44" s="89"/>
      <c r="AC44" s="89"/>
      <c r="AD44" s="89"/>
      <c r="AE44" s="89"/>
      <c r="AF44" s="89"/>
      <c r="AG44" s="89"/>
      <c r="AH44" s="89"/>
      <c r="AI44" s="88"/>
      <c r="AJ44" s="91"/>
    </row>
    <row r="45" customFormat="false" ht="15" hidden="false" customHeight="false" outlineLevel="0" collapsed="false">
      <c r="A45" s="68" t="e">
        <f aca="false">VLOOKUP(E45,'[1]Listas Desplegables'!$H$3:$J$7,2,FALSE())</f>
        <v>#N/A</v>
      </c>
      <c r="B45" s="68" t="e">
        <f aca="false">VLOOKUP(E45,'[1]Listas Desplegables'!$H$3:$J$7,3,FALSE())</f>
        <v>#N/A</v>
      </c>
      <c r="C45" s="85" t="n">
        <v>40</v>
      </c>
      <c r="D45" s="94"/>
      <c r="E45" s="94"/>
      <c r="F45" s="109"/>
      <c r="G45" s="87"/>
      <c r="H45" s="88"/>
      <c r="I45" s="88"/>
      <c r="J45" s="88"/>
      <c r="K45" s="88"/>
      <c r="L45" s="89"/>
      <c r="M45" s="88"/>
      <c r="N45" s="88"/>
      <c r="O45" s="88"/>
      <c r="P45" s="88"/>
      <c r="Q45" s="88"/>
      <c r="R45" s="88"/>
      <c r="S45" s="88"/>
      <c r="T45" s="88"/>
      <c r="U45" s="88"/>
      <c r="V45" s="88"/>
      <c r="W45" s="88"/>
      <c r="X45" s="88"/>
      <c r="Y45" s="89"/>
      <c r="Z45" s="95"/>
      <c r="AA45" s="89"/>
      <c r="AB45" s="89"/>
      <c r="AC45" s="89"/>
      <c r="AD45" s="89"/>
      <c r="AE45" s="89"/>
      <c r="AF45" s="89"/>
      <c r="AG45" s="89"/>
      <c r="AH45" s="89"/>
      <c r="AI45" s="88"/>
      <c r="AJ45" s="91"/>
    </row>
    <row r="46" customFormat="false" ht="15" hidden="false" customHeight="false" outlineLevel="0" collapsed="false">
      <c r="A46" s="68" t="e">
        <f aca="false">VLOOKUP(E46,'[1]Listas Desplegables'!$H$3:$J$7,2,FALSE())</f>
        <v>#N/A</v>
      </c>
      <c r="B46" s="68" t="e">
        <f aca="false">VLOOKUP(E46,'[1]Listas Desplegables'!$H$3:$J$7,3,FALSE())</f>
        <v>#N/A</v>
      </c>
      <c r="C46" s="85" t="n">
        <v>41</v>
      </c>
      <c r="D46" s="94"/>
      <c r="E46" s="94"/>
      <c r="F46" s="109"/>
      <c r="G46" s="87"/>
      <c r="H46" s="88"/>
      <c r="I46" s="88"/>
      <c r="J46" s="88"/>
      <c r="K46" s="88"/>
      <c r="L46" s="89"/>
      <c r="M46" s="88"/>
      <c r="N46" s="88"/>
      <c r="O46" s="88"/>
      <c r="P46" s="88"/>
      <c r="Q46" s="88"/>
      <c r="R46" s="88"/>
      <c r="S46" s="88"/>
      <c r="T46" s="88"/>
      <c r="U46" s="88"/>
      <c r="V46" s="88"/>
      <c r="W46" s="88"/>
      <c r="X46" s="88"/>
      <c r="Y46" s="89"/>
      <c r="Z46" s="95"/>
      <c r="AA46" s="89"/>
      <c r="AB46" s="89"/>
      <c r="AC46" s="89"/>
      <c r="AD46" s="89"/>
      <c r="AE46" s="89"/>
      <c r="AF46" s="89"/>
      <c r="AG46" s="89"/>
      <c r="AH46" s="89"/>
      <c r="AI46" s="88"/>
      <c r="AJ46" s="91"/>
    </row>
    <row r="47" customFormat="false" ht="15" hidden="false" customHeight="false" outlineLevel="0" collapsed="false">
      <c r="A47" s="68" t="e">
        <f aca="false">VLOOKUP(E47,'[1]Listas Desplegables'!$H$3:$J$7,2,FALSE())</f>
        <v>#N/A</v>
      </c>
      <c r="B47" s="68" t="e">
        <f aca="false">VLOOKUP(E47,'[1]Listas Desplegables'!$H$3:$J$7,3,FALSE())</f>
        <v>#N/A</v>
      </c>
      <c r="C47" s="85" t="n">
        <v>42</v>
      </c>
      <c r="D47" s="94"/>
      <c r="E47" s="94"/>
      <c r="F47" s="109"/>
      <c r="G47" s="87"/>
      <c r="H47" s="88"/>
      <c r="I47" s="88"/>
      <c r="J47" s="88"/>
      <c r="K47" s="88"/>
      <c r="L47" s="89"/>
      <c r="M47" s="88"/>
      <c r="N47" s="88"/>
      <c r="O47" s="88"/>
      <c r="P47" s="88"/>
      <c r="Q47" s="88"/>
      <c r="R47" s="88"/>
      <c r="S47" s="88"/>
      <c r="T47" s="88"/>
      <c r="U47" s="88"/>
      <c r="V47" s="88"/>
      <c r="W47" s="88"/>
      <c r="X47" s="88"/>
      <c r="Y47" s="89"/>
      <c r="Z47" s="95"/>
      <c r="AA47" s="89"/>
      <c r="AB47" s="89"/>
      <c r="AC47" s="89"/>
      <c r="AD47" s="89"/>
      <c r="AE47" s="89"/>
      <c r="AF47" s="89"/>
      <c r="AG47" s="89"/>
      <c r="AH47" s="89"/>
      <c r="AI47" s="88"/>
      <c r="AJ47" s="91"/>
    </row>
    <row r="48" customFormat="false" ht="15" hidden="false" customHeight="false" outlineLevel="0" collapsed="false">
      <c r="A48" s="68" t="e">
        <f aca="false">VLOOKUP(E48,'[1]Listas Desplegables'!$H$3:$J$7,2,FALSE())</f>
        <v>#N/A</v>
      </c>
      <c r="B48" s="68" t="e">
        <f aca="false">VLOOKUP(E48,'[1]Listas Desplegables'!$H$3:$J$7,3,FALSE())</f>
        <v>#N/A</v>
      </c>
      <c r="C48" s="85" t="n">
        <v>43</v>
      </c>
      <c r="D48" s="94"/>
      <c r="E48" s="94"/>
      <c r="F48" s="109"/>
      <c r="G48" s="87"/>
      <c r="H48" s="88"/>
      <c r="I48" s="88"/>
      <c r="J48" s="88"/>
      <c r="K48" s="88"/>
      <c r="L48" s="89"/>
      <c r="M48" s="88"/>
      <c r="N48" s="88"/>
      <c r="O48" s="88"/>
      <c r="P48" s="88"/>
      <c r="Q48" s="88"/>
      <c r="R48" s="88"/>
      <c r="S48" s="88"/>
      <c r="T48" s="88"/>
      <c r="U48" s="88"/>
      <c r="V48" s="88"/>
      <c r="W48" s="88"/>
      <c r="X48" s="88"/>
      <c r="Y48" s="89"/>
      <c r="Z48" s="95"/>
      <c r="AA48" s="89"/>
      <c r="AB48" s="89"/>
      <c r="AC48" s="89"/>
      <c r="AD48" s="89"/>
      <c r="AE48" s="89"/>
      <c r="AF48" s="89"/>
      <c r="AG48" s="89"/>
      <c r="AH48" s="89"/>
      <c r="AI48" s="88"/>
      <c r="AJ48" s="91"/>
    </row>
    <row r="49" customFormat="false" ht="15" hidden="false" customHeight="false" outlineLevel="0" collapsed="false">
      <c r="A49" s="68" t="e">
        <f aca="false">VLOOKUP(E49,'[1]Listas Desplegables'!$H$3:$J$7,2,FALSE())</f>
        <v>#N/A</v>
      </c>
      <c r="B49" s="68" t="e">
        <f aca="false">VLOOKUP(E49,'[1]Listas Desplegables'!$H$3:$J$7,3,FALSE())</f>
        <v>#N/A</v>
      </c>
      <c r="C49" s="85" t="n">
        <v>44</v>
      </c>
      <c r="D49" s="94"/>
      <c r="E49" s="94"/>
      <c r="F49" s="109"/>
      <c r="G49" s="87"/>
      <c r="H49" s="88"/>
      <c r="I49" s="88"/>
      <c r="J49" s="88"/>
      <c r="K49" s="88"/>
      <c r="L49" s="89"/>
      <c r="M49" s="88"/>
      <c r="N49" s="88"/>
      <c r="O49" s="88"/>
      <c r="P49" s="88"/>
      <c r="Q49" s="88"/>
      <c r="R49" s="88"/>
      <c r="S49" s="88"/>
      <c r="T49" s="88"/>
      <c r="U49" s="88"/>
      <c r="V49" s="88"/>
      <c r="W49" s="88"/>
      <c r="X49" s="88"/>
      <c r="Y49" s="89"/>
      <c r="Z49" s="95"/>
      <c r="AA49" s="89"/>
      <c r="AB49" s="89"/>
      <c r="AC49" s="89"/>
      <c r="AD49" s="89"/>
      <c r="AE49" s="89"/>
      <c r="AF49" s="89"/>
      <c r="AG49" s="89"/>
      <c r="AH49" s="89"/>
      <c r="AI49" s="88"/>
      <c r="AJ49" s="91"/>
    </row>
    <row r="50" customFormat="false" ht="15" hidden="false" customHeight="false" outlineLevel="0" collapsed="false">
      <c r="A50" s="68" t="e">
        <f aca="false">VLOOKUP(E50,'[1]Listas Desplegables'!$H$3:$J$7,2,FALSE())</f>
        <v>#N/A</v>
      </c>
      <c r="B50" s="68" t="e">
        <f aca="false">VLOOKUP(E50,'[1]Listas Desplegables'!$H$3:$J$7,3,FALSE())</f>
        <v>#N/A</v>
      </c>
      <c r="C50" s="85" t="n">
        <v>45</v>
      </c>
      <c r="D50" s="94"/>
      <c r="E50" s="94"/>
      <c r="F50" s="109"/>
      <c r="G50" s="87"/>
      <c r="H50" s="88"/>
      <c r="I50" s="88"/>
      <c r="J50" s="88"/>
      <c r="K50" s="88"/>
      <c r="L50" s="89"/>
      <c r="M50" s="88"/>
      <c r="N50" s="88"/>
      <c r="O50" s="88"/>
      <c r="P50" s="88"/>
      <c r="Q50" s="88"/>
      <c r="R50" s="88"/>
      <c r="S50" s="88"/>
      <c r="T50" s="88"/>
      <c r="U50" s="88"/>
      <c r="V50" s="88"/>
      <c r="W50" s="88"/>
      <c r="X50" s="88"/>
      <c r="Y50" s="89"/>
      <c r="Z50" s="95"/>
      <c r="AA50" s="89"/>
      <c r="AB50" s="89"/>
      <c r="AC50" s="89"/>
      <c r="AD50" s="89"/>
      <c r="AE50" s="89"/>
      <c r="AF50" s="89"/>
      <c r="AG50" s="89"/>
      <c r="AH50" s="89"/>
      <c r="AI50" s="88"/>
      <c r="AJ50" s="91"/>
    </row>
    <row r="51" customFormat="false" ht="15" hidden="false" customHeight="false" outlineLevel="0" collapsed="false">
      <c r="A51" s="68" t="e">
        <f aca="false">VLOOKUP(E51,'[1]Listas Desplegables'!$H$3:$J$7,2,FALSE())</f>
        <v>#N/A</v>
      </c>
      <c r="B51" s="68" t="e">
        <f aca="false">VLOOKUP(E51,'[1]Listas Desplegables'!$H$3:$J$7,3,FALSE())</f>
        <v>#N/A</v>
      </c>
      <c r="C51" s="85" t="n">
        <v>46</v>
      </c>
      <c r="D51" s="94"/>
      <c r="E51" s="94"/>
      <c r="F51" s="109"/>
      <c r="G51" s="87"/>
      <c r="H51" s="88"/>
      <c r="I51" s="88"/>
      <c r="J51" s="88"/>
      <c r="K51" s="88"/>
      <c r="L51" s="89"/>
      <c r="M51" s="88"/>
      <c r="N51" s="88"/>
      <c r="O51" s="88"/>
      <c r="P51" s="88"/>
      <c r="Q51" s="88"/>
      <c r="R51" s="88"/>
      <c r="S51" s="88"/>
      <c r="T51" s="88"/>
      <c r="U51" s="88"/>
      <c r="V51" s="88"/>
      <c r="W51" s="88"/>
      <c r="X51" s="88"/>
      <c r="Y51" s="89"/>
      <c r="Z51" s="95"/>
      <c r="AA51" s="89"/>
      <c r="AB51" s="89"/>
      <c r="AC51" s="89"/>
      <c r="AD51" s="89"/>
      <c r="AE51" s="89"/>
      <c r="AF51" s="89"/>
      <c r="AG51" s="89"/>
      <c r="AH51" s="89"/>
      <c r="AI51" s="88"/>
      <c r="AJ51" s="91"/>
    </row>
    <row r="52" customFormat="false" ht="15" hidden="false" customHeight="false" outlineLevel="0" collapsed="false">
      <c r="A52" s="68" t="e">
        <f aca="false">VLOOKUP(E52,'[1]Listas Desplegables'!$H$3:$J$7,2,FALSE())</f>
        <v>#N/A</v>
      </c>
      <c r="B52" s="68" t="e">
        <f aca="false">VLOOKUP(E52,'[1]Listas Desplegables'!$H$3:$J$7,3,FALSE())</f>
        <v>#N/A</v>
      </c>
      <c r="C52" s="85" t="n">
        <v>47</v>
      </c>
      <c r="D52" s="94"/>
      <c r="E52" s="94"/>
      <c r="F52" s="109"/>
      <c r="G52" s="87"/>
      <c r="H52" s="88"/>
      <c r="I52" s="88"/>
      <c r="J52" s="88"/>
      <c r="K52" s="88"/>
      <c r="L52" s="89"/>
      <c r="M52" s="88"/>
      <c r="N52" s="88"/>
      <c r="O52" s="88"/>
      <c r="P52" s="88"/>
      <c r="Q52" s="88"/>
      <c r="R52" s="88"/>
      <c r="S52" s="88"/>
      <c r="T52" s="88"/>
      <c r="U52" s="88"/>
      <c r="V52" s="88"/>
      <c r="W52" s="88"/>
      <c r="X52" s="88"/>
      <c r="Y52" s="89"/>
      <c r="Z52" s="95"/>
      <c r="AA52" s="89"/>
      <c r="AB52" s="89"/>
      <c r="AC52" s="89"/>
      <c r="AD52" s="89"/>
      <c r="AE52" s="89"/>
      <c r="AF52" s="89"/>
      <c r="AG52" s="89"/>
      <c r="AH52" s="89"/>
      <c r="AI52" s="88"/>
      <c r="AJ52" s="91"/>
    </row>
    <row r="53" customFormat="false" ht="15" hidden="false" customHeight="false" outlineLevel="0" collapsed="false">
      <c r="A53" s="68" t="e">
        <f aca="false">VLOOKUP(E53,'[1]Listas Desplegables'!$H$3:$J$7,2,FALSE())</f>
        <v>#N/A</v>
      </c>
      <c r="B53" s="68" t="e">
        <f aca="false">VLOOKUP(E53,'[1]Listas Desplegables'!$H$3:$J$7,3,FALSE())</f>
        <v>#N/A</v>
      </c>
      <c r="C53" s="85" t="n">
        <v>48</v>
      </c>
      <c r="D53" s="94"/>
      <c r="E53" s="94"/>
      <c r="F53" s="109"/>
      <c r="G53" s="87"/>
      <c r="H53" s="88"/>
      <c r="I53" s="88"/>
      <c r="J53" s="88"/>
      <c r="K53" s="88"/>
      <c r="L53" s="89"/>
      <c r="M53" s="88"/>
      <c r="N53" s="88"/>
      <c r="O53" s="88"/>
      <c r="P53" s="88"/>
      <c r="Q53" s="88"/>
      <c r="R53" s="88"/>
      <c r="S53" s="88"/>
      <c r="T53" s="88"/>
      <c r="U53" s="88"/>
      <c r="V53" s="88"/>
      <c r="W53" s="88"/>
      <c r="X53" s="88"/>
      <c r="Y53" s="89"/>
      <c r="Z53" s="95"/>
      <c r="AA53" s="89"/>
      <c r="AB53" s="89"/>
      <c r="AC53" s="89"/>
      <c r="AD53" s="89"/>
      <c r="AE53" s="89"/>
      <c r="AF53" s="89"/>
      <c r="AG53" s="89"/>
      <c r="AH53" s="89"/>
      <c r="AI53" s="88"/>
      <c r="AJ53" s="91"/>
    </row>
    <row r="54" customFormat="false" ht="15" hidden="false" customHeight="false" outlineLevel="0" collapsed="false">
      <c r="A54" s="68" t="e">
        <f aca="false">VLOOKUP(E54,'[1]Listas Desplegables'!$H$3:$J$7,2,FALSE())</f>
        <v>#N/A</v>
      </c>
      <c r="B54" s="68" t="e">
        <f aca="false">VLOOKUP(E54,'[1]Listas Desplegables'!$H$3:$J$7,3,FALSE())</f>
        <v>#N/A</v>
      </c>
      <c r="C54" s="85" t="n">
        <v>49</v>
      </c>
      <c r="D54" s="94"/>
      <c r="E54" s="94"/>
      <c r="F54" s="109"/>
      <c r="G54" s="87"/>
      <c r="H54" s="88"/>
      <c r="I54" s="88"/>
      <c r="J54" s="88"/>
      <c r="K54" s="88"/>
      <c r="L54" s="89"/>
      <c r="M54" s="88"/>
      <c r="N54" s="88"/>
      <c r="O54" s="88"/>
      <c r="P54" s="88"/>
      <c r="Q54" s="88"/>
      <c r="R54" s="88"/>
      <c r="S54" s="88"/>
      <c r="T54" s="88"/>
      <c r="U54" s="88"/>
      <c r="V54" s="88"/>
      <c r="W54" s="88"/>
      <c r="X54" s="88"/>
      <c r="Y54" s="89"/>
      <c r="Z54" s="95"/>
      <c r="AA54" s="89"/>
      <c r="AB54" s="89"/>
      <c r="AC54" s="89"/>
      <c r="AD54" s="89"/>
      <c r="AE54" s="89"/>
      <c r="AF54" s="89"/>
      <c r="AG54" s="89"/>
      <c r="AH54" s="89"/>
      <c r="AI54" s="88"/>
      <c r="AJ54" s="91"/>
    </row>
    <row r="55" customFormat="false" ht="15" hidden="false" customHeight="false" outlineLevel="0" collapsed="false">
      <c r="A55" s="68" t="e">
        <f aca="false">VLOOKUP(E55,'[1]Listas Desplegables'!$H$3:$J$7,2,FALSE())</f>
        <v>#N/A</v>
      </c>
      <c r="B55" s="68" t="e">
        <f aca="false">VLOOKUP(E55,'[1]Listas Desplegables'!$H$3:$J$7,3,FALSE())</f>
        <v>#N/A</v>
      </c>
      <c r="C55" s="85" t="n">
        <v>50</v>
      </c>
      <c r="D55" s="94"/>
      <c r="E55" s="94"/>
      <c r="F55" s="109"/>
      <c r="G55" s="87"/>
      <c r="H55" s="88"/>
      <c r="I55" s="88"/>
      <c r="J55" s="88"/>
      <c r="K55" s="88"/>
      <c r="L55" s="89"/>
      <c r="M55" s="88"/>
      <c r="N55" s="88"/>
      <c r="O55" s="88"/>
      <c r="P55" s="88"/>
      <c r="Q55" s="88"/>
      <c r="R55" s="88"/>
      <c r="S55" s="88"/>
      <c r="T55" s="88"/>
      <c r="U55" s="88"/>
      <c r="V55" s="88"/>
      <c r="W55" s="88"/>
      <c r="X55" s="88"/>
      <c r="Y55" s="89"/>
      <c r="Z55" s="95"/>
      <c r="AA55" s="89"/>
      <c r="AB55" s="89"/>
      <c r="AC55" s="89"/>
      <c r="AD55" s="89"/>
      <c r="AE55" s="89"/>
      <c r="AF55" s="89"/>
      <c r="AG55" s="89"/>
      <c r="AH55" s="89"/>
      <c r="AI55" s="88"/>
      <c r="AJ55" s="91"/>
    </row>
    <row r="56" customFormat="false" ht="15" hidden="false" customHeight="false" outlineLevel="0" collapsed="false">
      <c r="A56" s="68" t="e">
        <f aca="false">VLOOKUP(E56,'[1]Listas Desplegables'!$H$3:$J$7,2,FALSE())</f>
        <v>#N/A</v>
      </c>
      <c r="B56" s="68" t="e">
        <f aca="false">VLOOKUP(E56,'[1]Listas Desplegables'!$H$3:$J$7,3,FALSE())</f>
        <v>#N/A</v>
      </c>
      <c r="C56" s="85" t="n">
        <v>51</v>
      </c>
      <c r="D56" s="94"/>
      <c r="E56" s="94"/>
      <c r="F56" s="109"/>
      <c r="G56" s="87"/>
      <c r="H56" s="88"/>
      <c r="I56" s="88"/>
      <c r="J56" s="88"/>
      <c r="K56" s="88"/>
      <c r="L56" s="89"/>
      <c r="M56" s="88"/>
      <c r="N56" s="88"/>
      <c r="O56" s="88"/>
      <c r="P56" s="88"/>
      <c r="Q56" s="88"/>
      <c r="R56" s="88"/>
      <c r="S56" s="88"/>
      <c r="T56" s="88"/>
      <c r="U56" s="88"/>
      <c r="V56" s="88"/>
      <c r="W56" s="88"/>
      <c r="X56" s="88"/>
      <c r="Y56" s="89"/>
      <c r="Z56" s="95"/>
      <c r="AA56" s="89"/>
      <c r="AB56" s="89"/>
      <c r="AC56" s="89"/>
      <c r="AD56" s="89"/>
      <c r="AE56" s="89"/>
      <c r="AF56" s="89"/>
      <c r="AG56" s="89"/>
      <c r="AH56" s="89"/>
      <c r="AI56" s="88"/>
      <c r="AJ56" s="91"/>
    </row>
    <row r="57" customFormat="false" ht="15" hidden="false" customHeight="false" outlineLevel="0" collapsed="false">
      <c r="A57" s="68" t="e">
        <f aca="false">VLOOKUP(E57,'[1]Listas Desplegables'!$H$3:$J$7,2,FALSE())</f>
        <v>#N/A</v>
      </c>
      <c r="B57" s="68" t="e">
        <f aca="false">VLOOKUP(E57,'[1]Listas Desplegables'!$H$3:$J$7,3,FALSE())</f>
        <v>#N/A</v>
      </c>
      <c r="C57" s="85" t="n">
        <v>52</v>
      </c>
      <c r="D57" s="94"/>
      <c r="E57" s="94"/>
      <c r="F57" s="109"/>
      <c r="G57" s="87"/>
      <c r="H57" s="88"/>
      <c r="I57" s="88"/>
      <c r="J57" s="88"/>
      <c r="K57" s="88"/>
      <c r="L57" s="89"/>
      <c r="M57" s="88"/>
      <c r="N57" s="88"/>
      <c r="O57" s="88"/>
      <c r="P57" s="88"/>
      <c r="Q57" s="88"/>
      <c r="R57" s="88"/>
      <c r="S57" s="88"/>
      <c r="T57" s="88"/>
      <c r="U57" s="88"/>
      <c r="V57" s="88"/>
      <c r="W57" s="88"/>
      <c r="X57" s="88"/>
      <c r="Y57" s="89"/>
      <c r="Z57" s="95"/>
      <c r="AA57" s="89"/>
      <c r="AB57" s="89"/>
      <c r="AC57" s="89"/>
      <c r="AD57" s="89"/>
      <c r="AE57" s="89"/>
      <c r="AF57" s="89"/>
      <c r="AG57" s="89"/>
      <c r="AH57" s="89"/>
      <c r="AI57" s="88"/>
      <c r="AJ57" s="91"/>
    </row>
    <row r="58" customFormat="false" ht="15" hidden="false" customHeight="false" outlineLevel="0" collapsed="false">
      <c r="A58" s="68" t="e">
        <f aca="false">VLOOKUP(E58,'[1]Listas Desplegables'!$H$3:$J$7,2,FALSE())</f>
        <v>#N/A</v>
      </c>
      <c r="B58" s="68" t="e">
        <f aca="false">VLOOKUP(E58,'[1]Listas Desplegables'!$H$3:$J$7,3,FALSE())</f>
        <v>#N/A</v>
      </c>
      <c r="C58" s="85" t="n">
        <v>53</v>
      </c>
      <c r="D58" s="94"/>
      <c r="E58" s="94"/>
      <c r="F58" s="109"/>
      <c r="G58" s="87"/>
      <c r="H58" s="88"/>
      <c r="I58" s="88"/>
      <c r="J58" s="88"/>
      <c r="K58" s="88"/>
      <c r="L58" s="89"/>
      <c r="M58" s="88"/>
      <c r="N58" s="88"/>
      <c r="O58" s="88"/>
      <c r="P58" s="88"/>
      <c r="Q58" s="88"/>
      <c r="R58" s="88"/>
      <c r="S58" s="88"/>
      <c r="T58" s="88"/>
      <c r="U58" s="88"/>
      <c r="V58" s="88"/>
      <c r="W58" s="88"/>
      <c r="X58" s="88"/>
      <c r="Y58" s="89"/>
      <c r="Z58" s="95"/>
      <c r="AA58" s="89"/>
      <c r="AB58" s="89"/>
      <c r="AC58" s="89"/>
      <c r="AD58" s="89"/>
      <c r="AE58" s="89"/>
      <c r="AF58" s="89"/>
      <c r="AG58" s="89"/>
      <c r="AH58" s="89"/>
      <c r="AI58" s="88"/>
      <c r="AJ58" s="91"/>
    </row>
    <row r="59" customFormat="false" ht="15" hidden="false" customHeight="false" outlineLevel="0" collapsed="false">
      <c r="A59" s="68" t="e">
        <f aca="false">VLOOKUP(E59,'[1]Listas Desplegables'!$H$3:$J$7,2,FALSE())</f>
        <v>#N/A</v>
      </c>
      <c r="B59" s="68" t="e">
        <f aca="false">VLOOKUP(E59,'[1]Listas Desplegables'!$H$3:$J$7,3,FALSE())</f>
        <v>#N/A</v>
      </c>
      <c r="C59" s="85" t="n">
        <v>54</v>
      </c>
      <c r="D59" s="94"/>
      <c r="E59" s="94"/>
      <c r="F59" s="109"/>
      <c r="G59" s="87"/>
      <c r="H59" s="88"/>
      <c r="I59" s="88"/>
      <c r="J59" s="88"/>
      <c r="K59" s="88"/>
      <c r="L59" s="89"/>
      <c r="M59" s="88"/>
      <c r="N59" s="88"/>
      <c r="O59" s="88"/>
      <c r="P59" s="88"/>
      <c r="Q59" s="88"/>
      <c r="R59" s="88"/>
      <c r="S59" s="88"/>
      <c r="T59" s="88"/>
      <c r="U59" s="88"/>
      <c r="V59" s="88"/>
      <c r="W59" s="88"/>
      <c r="X59" s="88"/>
      <c r="Y59" s="89"/>
      <c r="Z59" s="95"/>
      <c r="AA59" s="89"/>
      <c r="AB59" s="89"/>
      <c r="AC59" s="89"/>
      <c r="AD59" s="89"/>
      <c r="AE59" s="89"/>
      <c r="AF59" s="89"/>
      <c r="AG59" s="89"/>
      <c r="AH59" s="89"/>
      <c r="AI59" s="88"/>
      <c r="AJ59" s="91"/>
    </row>
    <row r="60" customFormat="false" ht="15" hidden="false" customHeight="false" outlineLevel="0" collapsed="false">
      <c r="A60" s="68" t="e">
        <f aca="false">VLOOKUP(E60,'[1]Listas Desplegables'!$H$3:$J$7,2,FALSE())</f>
        <v>#N/A</v>
      </c>
      <c r="B60" s="68" t="e">
        <f aca="false">VLOOKUP(E60,'[1]Listas Desplegables'!$H$3:$J$7,3,FALSE())</f>
        <v>#N/A</v>
      </c>
      <c r="C60" s="85" t="n">
        <v>55</v>
      </c>
      <c r="D60" s="94"/>
      <c r="E60" s="94"/>
      <c r="F60" s="109"/>
      <c r="G60" s="87"/>
      <c r="H60" s="88"/>
      <c r="I60" s="88"/>
      <c r="J60" s="88"/>
      <c r="K60" s="88"/>
      <c r="L60" s="89"/>
      <c r="M60" s="88"/>
      <c r="N60" s="88"/>
      <c r="O60" s="88"/>
      <c r="P60" s="88"/>
      <c r="Q60" s="88"/>
      <c r="R60" s="88"/>
      <c r="S60" s="88"/>
      <c r="T60" s="88"/>
      <c r="U60" s="88"/>
      <c r="V60" s="88"/>
      <c r="W60" s="88"/>
      <c r="X60" s="88"/>
      <c r="Y60" s="89"/>
      <c r="Z60" s="95"/>
      <c r="AA60" s="89"/>
      <c r="AB60" s="89"/>
      <c r="AC60" s="89"/>
      <c r="AD60" s="89"/>
      <c r="AE60" s="89"/>
      <c r="AF60" s="89"/>
      <c r="AG60" s="89"/>
      <c r="AH60" s="89"/>
      <c r="AI60" s="88"/>
      <c r="AJ60" s="91"/>
    </row>
    <row r="61" customFormat="false" ht="15" hidden="false" customHeight="false" outlineLevel="0" collapsed="false">
      <c r="A61" s="68" t="e">
        <f aca="false">VLOOKUP(E61,'[1]Listas Desplegables'!$H$3:$J$7,2,FALSE())</f>
        <v>#N/A</v>
      </c>
      <c r="B61" s="68" t="e">
        <f aca="false">VLOOKUP(E61,'[1]Listas Desplegables'!$H$3:$J$7,3,FALSE())</f>
        <v>#N/A</v>
      </c>
      <c r="C61" s="85" t="n">
        <v>56</v>
      </c>
      <c r="D61" s="94"/>
      <c r="E61" s="94"/>
      <c r="F61" s="109"/>
      <c r="G61" s="87"/>
      <c r="H61" s="88"/>
      <c r="I61" s="88"/>
      <c r="J61" s="88"/>
      <c r="K61" s="88"/>
      <c r="L61" s="89"/>
      <c r="M61" s="88"/>
      <c r="N61" s="88"/>
      <c r="O61" s="88"/>
      <c r="P61" s="88"/>
      <c r="Q61" s="88"/>
      <c r="R61" s="88"/>
      <c r="S61" s="88"/>
      <c r="T61" s="88"/>
      <c r="U61" s="88"/>
      <c r="V61" s="88"/>
      <c r="W61" s="88"/>
      <c r="X61" s="88"/>
      <c r="Y61" s="89"/>
      <c r="Z61" s="95"/>
      <c r="AA61" s="89"/>
      <c r="AB61" s="89"/>
      <c r="AC61" s="89"/>
      <c r="AD61" s="89"/>
      <c r="AE61" s="89"/>
      <c r="AF61" s="89"/>
      <c r="AG61" s="89"/>
      <c r="AH61" s="89"/>
      <c r="AI61" s="88"/>
      <c r="AJ61" s="91"/>
    </row>
    <row r="62" customFormat="false" ht="15" hidden="false" customHeight="false" outlineLevel="0" collapsed="false">
      <c r="A62" s="68" t="e">
        <f aca="false">VLOOKUP(E62,'[1]Listas Desplegables'!$H$3:$J$7,2,FALSE())</f>
        <v>#N/A</v>
      </c>
      <c r="B62" s="68" t="e">
        <f aca="false">VLOOKUP(E62,'[1]Listas Desplegables'!$H$3:$J$7,3,FALSE())</f>
        <v>#N/A</v>
      </c>
      <c r="C62" s="85" t="n">
        <v>57</v>
      </c>
      <c r="D62" s="94"/>
      <c r="E62" s="94"/>
      <c r="F62" s="109"/>
      <c r="G62" s="87"/>
      <c r="H62" s="88"/>
      <c r="I62" s="88"/>
      <c r="J62" s="88"/>
      <c r="K62" s="88"/>
      <c r="L62" s="89"/>
      <c r="M62" s="88"/>
      <c r="N62" s="88"/>
      <c r="O62" s="88"/>
      <c r="P62" s="88"/>
      <c r="Q62" s="88"/>
      <c r="R62" s="88"/>
      <c r="S62" s="88"/>
      <c r="T62" s="88"/>
      <c r="U62" s="88"/>
      <c r="V62" s="88"/>
      <c r="W62" s="88"/>
      <c r="X62" s="88"/>
      <c r="Y62" s="89"/>
      <c r="Z62" s="95"/>
      <c r="AA62" s="89"/>
      <c r="AB62" s="89"/>
      <c r="AC62" s="89"/>
      <c r="AD62" s="89"/>
      <c r="AE62" s="89"/>
      <c r="AF62" s="89"/>
      <c r="AG62" s="89"/>
      <c r="AH62" s="89"/>
      <c r="AI62" s="88"/>
      <c r="AJ62" s="91"/>
    </row>
    <row r="63" customFormat="false" ht="15" hidden="false" customHeight="false" outlineLevel="0" collapsed="false">
      <c r="A63" s="68" t="e">
        <f aca="false">VLOOKUP(E63,'[1]Listas Desplegables'!$H$3:$J$7,2,FALSE())</f>
        <v>#N/A</v>
      </c>
      <c r="B63" s="68" t="e">
        <f aca="false">VLOOKUP(E63,'[1]Listas Desplegables'!$H$3:$J$7,3,FALSE())</f>
        <v>#N/A</v>
      </c>
      <c r="C63" s="85" t="n">
        <v>58</v>
      </c>
      <c r="D63" s="94"/>
      <c r="E63" s="94"/>
      <c r="F63" s="109"/>
      <c r="G63" s="87"/>
      <c r="H63" s="88"/>
      <c r="I63" s="88"/>
      <c r="J63" s="88"/>
      <c r="K63" s="88"/>
      <c r="L63" s="89"/>
      <c r="M63" s="88"/>
      <c r="N63" s="88"/>
      <c r="O63" s="88"/>
      <c r="P63" s="88"/>
      <c r="Q63" s="88"/>
      <c r="R63" s="88"/>
      <c r="S63" s="88"/>
      <c r="T63" s="88"/>
      <c r="U63" s="88"/>
      <c r="V63" s="88"/>
      <c r="W63" s="88"/>
      <c r="X63" s="88"/>
      <c r="Y63" s="89"/>
      <c r="Z63" s="95"/>
      <c r="AA63" s="89"/>
      <c r="AB63" s="89"/>
      <c r="AC63" s="89"/>
      <c r="AD63" s="89"/>
      <c r="AE63" s="89"/>
      <c r="AF63" s="89"/>
      <c r="AG63" s="89"/>
      <c r="AH63" s="89"/>
      <c r="AI63" s="88"/>
      <c r="AJ63" s="91"/>
    </row>
    <row r="64" customFormat="false" ht="15" hidden="false" customHeight="false" outlineLevel="0" collapsed="false">
      <c r="A64" s="68" t="e">
        <f aca="false">VLOOKUP(E64,'[1]Listas Desplegables'!$H$3:$J$7,2,FALSE())</f>
        <v>#N/A</v>
      </c>
      <c r="B64" s="68" t="e">
        <f aca="false">VLOOKUP(E64,'[1]Listas Desplegables'!$H$3:$J$7,3,FALSE())</f>
        <v>#N/A</v>
      </c>
      <c r="C64" s="85" t="n">
        <v>59</v>
      </c>
      <c r="D64" s="94"/>
      <c r="E64" s="94"/>
      <c r="F64" s="109"/>
      <c r="G64" s="87"/>
      <c r="H64" s="88"/>
      <c r="I64" s="88"/>
      <c r="J64" s="88"/>
      <c r="K64" s="88"/>
      <c r="L64" s="89"/>
      <c r="M64" s="88"/>
      <c r="N64" s="88"/>
      <c r="O64" s="88"/>
      <c r="P64" s="88"/>
      <c r="Q64" s="88"/>
      <c r="R64" s="88"/>
      <c r="S64" s="88"/>
      <c r="T64" s="88"/>
      <c r="U64" s="88"/>
      <c r="V64" s="88"/>
      <c r="W64" s="88"/>
      <c r="X64" s="88"/>
      <c r="Y64" s="89"/>
      <c r="Z64" s="95"/>
      <c r="AA64" s="89"/>
      <c r="AB64" s="89"/>
      <c r="AC64" s="89"/>
      <c r="AD64" s="89"/>
      <c r="AE64" s="89"/>
      <c r="AF64" s="89"/>
      <c r="AG64" s="89"/>
      <c r="AH64" s="89"/>
      <c r="AI64" s="88"/>
      <c r="AJ64" s="91"/>
    </row>
    <row r="65" customFormat="false" ht="15" hidden="false" customHeight="false" outlineLevel="0" collapsed="false">
      <c r="A65" s="68" t="e">
        <f aca="false">VLOOKUP(E65,'[1]Listas Desplegables'!$H$3:$J$7,2,FALSE())</f>
        <v>#N/A</v>
      </c>
      <c r="B65" s="68" t="e">
        <f aca="false">VLOOKUP(E65,'[1]Listas Desplegables'!$H$3:$J$7,3,FALSE())</f>
        <v>#N/A</v>
      </c>
      <c r="C65" s="85" t="n">
        <v>60</v>
      </c>
      <c r="D65" s="94"/>
      <c r="E65" s="94"/>
      <c r="F65" s="109"/>
      <c r="G65" s="87"/>
      <c r="H65" s="88"/>
      <c r="I65" s="88"/>
      <c r="J65" s="88"/>
      <c r="K65" s="88"/>
      <c r="L65" s="89"/>
      <c r="M65" s="88"/>
      <c r="N65" s="88"/>
      <c r="O65" s="88"/>
      <c r="P65" s="88"/>
      <c r="Q65" s="88"/>
      <c r="R65" s="88"/>
      <c r="S65" s="88"/>
      <c r="T65" s="88"/>
      <c r="U65" s="88"/>
      <c r="V65" s="88"/>
      <c r="W65" s="88"/>
      <c r="X65" s="88"/>
      <c r="Y65" s="89"/>
      <c r="Z65" s="95"/>
      <c r="AA65" s="89"/>
      <c r="AB65" s="89"/>
      <c r="AC65" s="89"/>
      <c r="AD65" s="89"/>
      <c r="AE65" s="89"/>
      <c r="AF65" s="89"/>
      <c r="AG65" s="89"/>
      <c r="AH65" s="89"/>
      <c r="AI65" s="88"/>
      <c r="AJ65" s="91"/>
    </row>
    <row r="66" customFormat="false" ht="15" hidden="false" customHeight="false" outlineLevel="0" collapsed="false">
      <c r="A66" s="68" t="e">
        <f aca="false">VLOOKUP(E66,'[1]Listas Desplegables'!$H$3:$J$7,2,FALSE())</f>
        <v>#N/A</v>
      </c>
      <c r="B66" s="68" t="e">
        <f aca="false">VLOOKUP(E66,'[1]Listas Desplegables'!$H$3:$J$7,3,FALSE())</f>
        <v>#N/A</v>
      </c>
      <c r="C66" s="85" t="n">
        <v>61</v>
      </c>
      <c r="D66" s="94"/>
      <c r="E66" s="94"/>
      <c r="F66" s="109"/>
      <c r="G66" s="87"/>
      <c r="H66" s="88"/>
      <c r="I66" s="88"/>
      <c r="J66" s="88"/>
      <c r="K66" s="88"/>
      <c r="L66" s="89"/>
      <c r="M66" s="88"/>
      <c r="N66" s="88"/>
      <c r="O66" s="88"/>
      <c r="P66" s="88"/>
      <c r="Q66" s="88"/>
      <c r="R66" s="88"/>
      <c r="S66" s="88"/>
      <c r="T66" s="88"/>
      <c r="U66" s="88"/>
      <c r="V66" s="88"/>
      <c r="W66" s="88"/>
      <c r="X66" s="88"/>
      <c r="Y66" s="89"/>
      <c r="Z66" s="95"/>
      <c r="AA66" s="89"/>
      <c r="AB66" s="89"/>
      <c r="AC66" s="89"/>
      <c r="AD66" s="89"/>
      <c r="AE66" s="89"/>
      <c r="AF66" s="89"/>
      <c r="AG66" s="89"/>
      <c r="AH66" s="89"/>
      <c r="AI66" s="88"/>
      <c r="AJ66" s="91"/>
    </row>
    <row r="67" customFormat="false" ht="15" hidden="false" customHeight="false" outlineLevel="0" collapsed="false">
      <c r="A67" s="68" t="e">
        <f aca="false">VLOOKUP(E67,'[1]Listas Desplegables'!$H$3:$J$7,2,FALSE())</f>
        <v>#N/A</v>
      </c>
      <c r="B67" s="68" t="e">
        <f aca="false">VLOOKUP(E67,'[1]Listas Desplegables'!$H$3:$J$7,3,FALSE())</f>
        <v>#N/A</v>
      </c>
      <c r="C67" s="85" t="n">
        <v>62</v>
      </c>
      <c r="D67" s="94"/>
      <c r="E67" s="94"/>
      <c r="F67" s="109"/>
      <c r="G67" s="87"/>
      <c r="H67" s="88"/>
      <c r="I67" s="88"/>
      <c r="J67" s="88"/>
      <c r="K67" s="88"/>
      <c r="L67" s="89"/>
      <c r="M67" s="88"/>
      <c r="N67" s="88"/>
      <c r="O67" s="88"/>
      <c r="P67" s="88"/>
      <c r="Q67" s="88"/>
      <c r="R67" s="88"/>
      <c r="S67" s="88"/>
      <c r="T67" s="88"/>
      <c r="U67" s="88"/>
      <c r="V67" s="88"/>
      <c r="W67" s="88"/>
      <c r="X67" s="88"/>
      <c r="Y67" s="89"/>
      <c r="Z67" s="95"/>
      <c r="AA67" s="89"/>
      <c r="AB67" s="89"/>
      <c r="AC67" s="89"/>
      <c r="AD67" s="89"/>
      <c r="AE67" s="89"/>
      <c r="AF67" s="89"/>
      <c r="AG67" s="89"/>
      <c r="AH67" s="89"/>
      <c r="AI67" s="88"/>
      <c r="AJ67" s="91"/>
    </row>
    <row r="68" customFormat="false" ht="15" hidden="false" customHeight="false" outlineLevel="0" collapsed="false">
      <c r="A68" s="68" t="e">
        <f aca="false">VLOOKUP(E68,'[1]Listas Desplegables'!$H$3:$J$7,2,FALSE())</f>
        <v>#N/A</v>
      </c>
      <c r="B68" s="68" t="e">
        <f aca="false">VLOOKUP(E68,'[1]Listas Desplegables'!$H$3:$J$7,3,FALSE())</f>
        <v>#N/A</v>
      </c>
      <c r="C68" s="85" t="n">
        <v>63</v>
      </c>
      <c r="D68" s="94"/>
      <c r="E68" s="94"/>
      <c r="F68" s="109"/>
      <c r="G68" s="87"/>
      <c r="H68" s="88"/>
      <c r="I68" s="88"/>
      <c r="J68" s="88"/>
      <c r="K68" s="88"/>
      <c r="L68" s="89"/>
      <c r="M68" s="88"/>
      <c r="N68" s="88"/>
      <c r="O68" s="88"/>
      <c r="P68" s="88"/>
      <c r="Q68" s="88"/>
      <c r="R68" s="88"/>
      <c r="S68" s="88"/>
      <c r="T68" s="88"/>
      <c r="U68" s="88"/>
      <c r="V68" s="88"/>
      <c r="W68" s="88"/>
      <c r="X68" s="88"/>
      <c r="Y68" s="89"/>
      <c r="Z68" s="95"/>
      <c r="AA68" s="89"/>
      <c r="AB68" s="89"/>
      <c r="AC68" s="89"/>
      <c r="AD68" s="89"/>
      <c r="AE68" s="89"/>
      <c r="AF68" s="89"/>
      <c r="AG68" s="89"/>
      <c r="AH68" s="89"/>
      <c r="AI68" s="88"/>
      <c r="AJ68" s="91"/>
    </row>
    <row r="69" customFormat="false" ht="15" hidden="false" customHeight="false" outlineLevel="0" collapsed="false">
      <c r="A69" s="68" t="e">
        <f aca="false">VLOOKUP(E69,'[1]Listas Desplegables'!$H$3:$J$7,2,FALSE())</f>
        <v>#N/A</v>
      </c>
      <c r="B69" s="68" t="e">
        <f aca="false">VLOOKUP(E69,'[1]Listas Desplegables'!$H$3:$J$7,3,FALSE())</f>
        <v>#N/A</v>
      </c>
      <c r="C69" s="85" t="n">
        <v>64</v>
      </c>
      <c r="D69" s="94"/>
      <c r="E69" s="94"/>
      <c r="F69" s="109"/>
      <c r="G69" s="87"/>
      <c r="H69" s="88"/>
      <c r="I69" s="88"/>
      <c r="J69" s="88"/>
      <c r="K69" s="88"/>
      <c r="L69" s="89"/>
      <c r="M69" s="88"/>
      <c r="N69" s="88"/>
      <c r="O69" s="88"/>
      <c r="P69" s="88"/>
      <c r="Q69" s="88"/>
      <c r="R69" s="88"/>
      <c r="S69" s="88"/>
      <c r="T69" s="88"/>
      <c r="U69" s="88"/>
      <c r="V69" s="88"/>
      <c r="W69" s="88"/>
      <c r="X69" s="88"/>
      <c r="Y69" s="89"/>
      <c r="Z69" s="95"/>
      <c r="AA69" s="89"/>
      <c r="AB69" s="89"/>
      <c r="AC69" s="89"/>
      <c r="AD69" s="89"/>
      <c r="AE69" s="89"/>
      <c r="AF69" s="89"/>
      <c r="AG69" s="89"/>
      <c r="AH69" s="89"/>
      <c r="AI69" s="88"/>
      <c r="AJ69" s="91"/>
    </row>
    <row r="70" customFormat="false" ht="15" hidden="false" customHeight="false" outlineLevel="0" collapsed="false">
      <c r="A70" s="68" t="e">
        <f aca="false">VLOOKUP(E70,'[1]Listas Desplegables'!$H$3:$J$7,2,FALSE())</f>
        <v>#N/A</v>
      </c>
      <c r="B70" s="68" t="e">
        <f aca="false">VLOOKUP(E70,'[1]Listas Desplegables'!$H$3:$J$7,3,FALSE())</f>
        <v>#N/A</v>
      </c>
      <c r="C70" s="85" t="n">
        <v>65</v>
      </c>
      <c r="D70" s="94"/>
      <c r="E70" s="94"/>
      <c r="F70" s="109"/>
      <c r="G70" s="87"/>
      <c r="H70" s="88"/>
      <c r="I70" s="88"/>
      <c r="J70" s="88"/>
      <c r="K70" s="88"/>
      <c r="L70" s="89"/>
      <c r="M70" s="88"/>
      <c r="N70" s="88"/>
      <c r="O70" s="88"/>
      <c r="P70" s="88"/>
      <c r="Q70" s="88"/>
      <c r="R70" s="88"/>
      <c r="S70" s="88"/>
      <c r="T70" s="88"/>
      <c r="U70" s="88"/>
      <c r="V70" s="88"/>
      <c r="W70" s="88"/>
      <c r="X70" s="88"/>
      <c r="Y70" s="89"/>
      <c r="Z70" s="95"/>
      <c r="AA70" s="89"/>
      <c r="AB70" s="89"/>
      <c r="AC70" s="89"/>
      <c r="AD70" s="89"/>
      <c r="AE70" s="89"/>
      <c r="AF70" s="89"/>
      <c r="AG70" s="89"/>
      <c r="AH70" s="89"/>
      <c r="AI70" s="88"/>
      <c r="AJ70" s="91"/>
    </row>
    <row r="71" customFormat="false" ht="15" hidden="false" customHeight="false" outlineLevel="0" collapsed="false">
      <c r="A71" s="68" t="e">
        <f aca="false">VLOOKUP(E71,'[1]Listas Desplegables'!$H$3:$J$7,2,FALSE())</f>
        <v>#N/A</v>
      </c>
      <c r="B71" s="68" t="e">
        <f aca="false">VLOOKUP(E71,'[1]Listas Desplegables'!$H$3:$J$7,3,FALSE())</f>
        <v>#N/A</v>
      </c>
      <c r="C71" s="85" t="n">
        <v>66</v>
      </c>
      <c r="D71" s="94"/>
      <c r="E71" s="94"/>
      <c r="F71" s="109"/>
      <c r="G71" s="87"/>
      <c r="H71" s="88"/>
      <c r="I71" s="88"/>
      <c r="J71" s="88"/>
      <c r="K71" s="88"/>
      <c r="L71" s="89"/>
      <c r="M71" s="88"/>
      <c r="N71" s="88"/>
      <c r="O71" s="88"/>
      <c r="P71" s="88"/>
      <c r="Q71" s="88"/>
      <c r="R71" s="88"/>
      <c r="S71" s="88"/>
      <c r="T71" s="88"/>
      <c r="U71" s="88"/>
      <c r="V71" s="88"/>
      <c r="W71" s="88"/>
      <c r="X71" s="88"/>
      <c r="Y71" s="89"/>
      <c r="Z71" s="95"/>
      <c r="AA71" s="89"/>
      <c r="AB71" s="89"/>
      <c r="AC71" s="89"/>
      <c r="AD71" s="89"/>
      <c r="AE71" s="89"/>
      <c r="AF71" s="89"/>
      <c r="AG71" s="89"/>
      <c r="AH71" s="89"/>
      <c r="AI71" s="88"/>
      <c r="AJ71" s="91"/>
    </row>
    <row r="72" customFormat="false" ht="15" hidden="false" customHeight="false" outlineLevel="0" collapsed="false">
      <c r="A72" s="68" t="e">
        <f aca="false">VLOOKUP(E72,'[1]Listas Desplegables'!$H$3:$J$7,2,FALSE())</f>
        <v>#N/A</v>
      </c>
      <c r="B72" s="68" t="e">
        <f aca="false">VLOOKUP(E72,'[1]Listas Desplegables'!$H$3:$J$7,3,FALSE())</f>
        <v>#N/A</v>
      </c>
      <c r="C72" s="85" t="n">
        <v>67</v>
      </c>
      <c r="D72" s="94"/>
      <c r="E72" s="94"/>
      <c r="F72" s="109"/>
      <c r="G72" s="87"/>
      <c r="H72" s="88"/>
      <c r="I72" s="88"/>
      <c r="J72" s="88"/>
      <c r="K72" s="88"/>
      <c r="L72" s="89"/>
      <c r="M72" s="88"/>
      <c r="N72" s="88"/>
      <c r="O72" s="88"/>
      <c r="P72" s="88"/>
      <c r="Q72" s="88"/>
      <c r="R72" s="88"/>
      <c r="S72" s="88"/>
      <c r="T72" s="88"/>
      <c r="U72" s="88"/>
      <c r="V72" s="88"/>
      <c r="W72" s="88"/>
      <c r="X72" s="88"/>
      <c r="Y72" s="89"/>
      <c r="Z72" s="95"/>
      <c r="AA72" s="89"/>
      <c r="AB72" s="89"/>
      <c r="AC72" s="89"/>
      <c r="AD72" s="89"/>
      <c r="AE72" s="89"/>
      <c r="AF72" s="89"/>
      <c r="AG72" s="89"/>
      <c r="AH72" s="89"/>
      <c r="AI72" s="88"/>
      <c r="AJ72" s="91"/>
    </row>
    <row r="73" customFormat="false" ht="15" hidden="false" customHeight="false" outlineLevel="0" collapsed="false">
      <c r="A73" s="68" t="e">
        <f aca="false">VLOOKUP(E73,'[1]Listas Desplegables'!$H$3:$J$7,2,FALSE())</f>
        <v>#N/A</v>
      </c>
      <c r="B73" s="68" t="e">
        <f aca="false">VLOOKUP(E73,'[1]Listas Desplegables'!$H$3:$J$7,3,FALSE())</f>
        <v>#N/A</v>
      </c>
      <c r="C73" s="85" t="n">
        <v>68</v>
      </c>
      <c r="D73" s="94"/>
      <c r="E73" s="94"/>
      <c r="F73" s="109"/>
      <c r="G73" s="87"/>
      <c r="H73" s="88"/>
      <c r="I73" s="88"/>
      <c r="J73" s="88"/>
      <c r="K73" s="88"/>
      <c r="L73" s="89"/>
      <c r="M73" s="88"/>
      <c r="N73" s="88"/>
      <c r="O73" s="88"/>
      <c r="P73" s="88"/>
      <c r="Q73" s="88"/>
      <c r="R73" s="88"/>
      <c r="S73" s="88"/>
      <c r="T73" s="88"/>
      <c r="U73" s="88"/>
      <c r="V73" s="88"/>
      <c r="W73" s="88"/>
      <c r="X73" s="88"/>
      <c r="Y73" s="89"/>
      <c r="Z73" s="95"/>
      <c r="AA73" s="89"/>
      <c r="AB73" s="89"/>
      <c r="AC73" s="89"/>
      <c r="AD73" s="89"/>
      <c r="AE73" s="89"/>
      <c r="AF73" s="89"/>
      <c r="AG73" s="89"/>
      <c r="AH73" s="89"/>
      <c r="AI73" s="88"/>
      <c r="AJ73" s="91"/>
    </row>
    <row r="74" customFormat="false" ht="15" hidden="false" customHeight="false" outlineLevel="0" collapsed="false">
      <c r="A74" s="68" t="e">
        <f aca="false">VLOOKUP(E74,'[1]Listas Desplegables'!$H$3:$J$7,2,FALSE())</f>
        <v>#N/A</v>
      </c>
      <c r="B74" s="68" t="e">
        <f aca="false">VLOOKUP(E74,'[1]Listas Desplegables'!$H$3:$J$7,3,FALSE())</f>
        <v>#N/A</v>
      </c>
      <c r="C74" s="85" t="n">
        <v>69</v>
      </c>
      <c r="D74" s="94"/>
      <c r="E74" s="94"/>
      <c r="F74" s="109"/>
      <c r="G74" s="87"/>
      <c r="H74" s="88"/>
      <c r="I74" s="88"/>
      <c r="J74" s="88"/>
      <c r="K74" s="88"/>
      <c r="L74" s="89"/>
      <c r="M74" s="88"/>
      <c r="N74" s="88"/>
      <c r="O74" s="88"/>
      <c r="P74" s="88"/>
      <c r="Q74" s="88"/>
      <c r="R74" s="88"/>
      <c r="S74" s="88"/>
      <c r="T74" s="88"/>
      <c r="U74" s="88"/>
      <c r="V74" s="88"/>
      <c r="W74" s="88"/>
      <c r="X74" s="88"/>
      <c r="Y74" s="89"/>
      <c r="Z74" s="95"/>
      <c r="AA74" s="89"/>
      <c r="AB74" s="89"/>
      <c r="AC74" s="89"/>
      <c r="AD74" s="89"/>
      <c r="AE74" s="89"/>
      <c r="AF74" s="89"/>
      <c r="AG74" s="89"/>
      <c r="AH74" s="89"/>
      <c r="AI74" s="88"/>
      <c r="AJ74" s="91"/>
    </row>
    <row r="75" customFormat="false" ht="15" hidden="false" customHeight="false" outlineLevel="0" collapsed="false">
      <c r="A75" s="68" t="e">
        <f aca="false">VLOOKUP(E75,'[1]Listas Desplegables'!$H$3:$J$7,2,FALSE())</f>
        <v>#N/A</v>
      </c>
      <c r="B75" s="68" t="e">
        <f aca="false">VLOOKUP(E75,'[1]Listas Desplegables'!$H$3:$J$7,3,FALSE())</f>
        <v>#N/A</v>
      </c>
      <c r="C75" s="85" t="n">
        <v>70</v>
      </c>
      <c r="D75" s="94"/>
      <c r="E75" s="94"/>
      <c r="F75" s="109"/>
      <c r="G75" s="87"/>
      <c r="H75" s="88"/>
      <c r="I75" s="88"/>
      <c r="J75" s="88"/>
      <c r="K75" s="88"/>
      <c r="L75" s="89"/>
      <c r="M75" s="88"/>
      <c r="N75" s="88"/>
      <c r="O75" s="88"/>
      <c r="P75" s="88"/>
      <c r="Q75" s="88"/>
      <c r="R75" s="88"/>
      <c r="S75" s="88"/>
      <c r="T75" s="88"/>
      <c r="U75" s="88"/>
      <c r="V75" s="88"/>
      <c r="W75" s="88"/>
      <c r="X75" s="88"/>
      <c r="Y75" s="89"/>
      <c r="Z75" s="95"/>
      <c r="AA75" s="89"/>
      <c r="AB75" s="89"/>
      <c r="AC75" s="89"/>
      <c r="AD75" s="89"/>
      <c r="AE75" s="89"/>
      <c r="AF75" s="89"/>
      <c r="AG75" s="89"/>
      <c r="AH75" s="89"/>
      <c r="AI75" s="88"/>
      <c r="AJ75" s="91"/>
    </row>
    <row r="76" customFormat="false" ht="15" hidden="false" customHeight="false" outlineLevel="0" collapsed="false">
      <c r="A76" s="68" t="e">
        <f aca="false">VLOOKUP(E76,'[1]Listas Desplegables'!$H$3:$J$7,2,FALSE())</f>
        <v>#N/A</v>
      </c>
      <c r="B76" s="68" t="e">
        <f aca="false">VLOOKUP(E76,'[1]Listas Desplegables'!$H$3:$J$7,3,FALSE())</f>
        <v>#N/A</v>
      </c>
      <c r="C76" s="85" t="n">
        <v>71</v>
      </c>
      <c r="D76" s="94"/>
      <c r="E76" s="94"/>
      <c r="F76" s="109"/>
      <c r="G76" s="87"/>
      <c r="H76" s="88"/>
      <c r="I76" s="88"/>
      <c r="J76" s="88"/>
      <c r="K76" s="88"/>
      <c r="L76" s="89"/>
      <c r="M76" s="88"/>
      <c r="N76" s="88"/>
      <c r="O76" s="88"/>
      <c r="P76" s="88"/>
      <c r="Q76" s="88"/>
      <c r="R76" s="88"/>
      <c r="S76" s="88"/>
      <c r="T76" s="88"/>
      <c r="U76" s="88"/>
      <c r="V76" s="88"/>
      <c r="W76" s="88"/>
      <c r="X76" s="88"/>
      <c r="Y76" s="89"/>
      <c r="Z76" s="95"/>
      <c r="AA76" s="89"/>
      <c r="AB76" s="89"/>
      <c r="AC76" s="89"/>
      <c r="AD76" s="89"/>
      <c r="AE76" s="89"/>
      <c r="AF76" s="89"/>
      <c r="AG76" s="89"/>
      <c r="AH76" s="89"/>
      <c r="AI76" s="88"/>
      <c r="AJ76" s="91"/>
    </row>
    <row r="77" customFormat="false" ht="15" hidden="false" customHeight="false" outlineLevel="0" collapsed="false">
      <c r="A77" s="68" t="e">
        <f aca="false">VLOOKUP(E77,'[1]Listas Desplegables'!$H$3:$J$7,2,FALSE())</f>
        <v>#N/A</v>
      </c>
      <c r="B77" s="68" t="e">
        <f aca="false">VLOOKUP(E77,'[1]Listas Desplegables'!$H$3:$J$7,3,FALSE())</f>
        <v>#N/A</v>
      </c>
      <c r="C77" s="85" t="n">
        <v>72</v>
      </c>
      <c r="D77" s="94"/>
      <c r="E77" s="94"/>
      <c r="F77" s="109"/>
      <c r="G77" s="87"/>
      <c r="H77" s="88"/>
      <c r="I77" s="88"/>
      <c r="J77" s="88"/>
      <c r="K77" s="88"/>
      <c r="L77" s="89"/>
      <c r="M77" s="88"/>
      <c r="N77" s="88"/>
      <c r="O77" s="88"/>
      <c r="P77" s="88"/>
      <c r="Q77" s="88"/>
      <c r="R77" s="88"/>
      <c r="S77" s="88"/>
      <c r="T77" s="88"/>
      <c r="U77" s="88"/>
      <c r="V77" s="88"/>
      <c r="W77" s="88"/>
      <c r="X77" s="88"/>
      <c r="Y77" s="89"/>
      <c r="Z77" s="95"/>
      <c r="AA77" s="89"/>
      <c r="AB77" s="89"/>
      <c r="AC77" s="89"/>
      <c r="AD77" s="89"/>
      <c r="AE77" s="89"/>
      <c r="AF77" s="89"/>
      <c r="AG77" s="89"/>
      <c r="AH77" s="89"/>
      <c r="AI77" s="88"/>
      <c r="AJ77" s="91"/>
    </row>
    <row r="78" customFormat="false" ht="15" hidden="false" customHeight="false" outlineLevel="0" collapsed="false">
      <c r="A78" s="68" t="e">
        <f aca="false">VLOOKUP(E78,'[1]Listas Desplegables'!$H$3:$J$7,2,FALSE())</f>
        <v>#N/A</v>
      </c>
      <c r="B78" s="68" t="e">
        <f aca="false">VLOOKUP(E78,'[1]Listas Desplegables'!$H$3:$J$7,3,FALSE())</f>
        <v>#N/A</v>
      </c>
      <c r="C78" s="85" t="n">
        <v>73</v>
      </c>
      <c r="D78" s="94"/>
      <c r="E78" s="94"/>
      <c r="F78" s="109"/>
      <c r="G78" s="87"/>
      <c r="H78" s="88"/>
      <c r="I78" s="88"/>
      <c r="J78" s="88"/>
      <c r="K78" s="88"/>
      <c r="L78" s="89"/>
      <c r="M78" s="88"/>
      <c r="N78" s="88"/>
      <c r="O78" s="88"/>
      <c r="P78" s="88"/>
      <c r="Q78" s="88"/>
      <c r="R78" s="88"/>
      <c r="S78" s="88"/>
      <c r="T78" s="88"/>
      <c r="U78" s="88"/>
      <c r="V78" s="88"/>
      <c r="W78" s="88"/>
      <c r="X78" s="88"/>
      <c r="Y78" s="89"/>
      <c r="Z78" s="95"/>
      <c r="AA78" s="89"/>
      <c r="AB78" s="89"/>
      <c r="AC78" s="89"/>
      <c r="AD78" s="89"/>
      <c r="AE78" s="89"/>
      <c r="AF78" s="89"/>
      <c r="AG78" s="89"/>
      <c r="AH78" s="89"/>
      <c r="AI78" s="88"/>
      <c r="AJ78" s="91"/>
    </row>
    <row r="79" customFormat="false" ht="15" hidden="false" customHeight="false" outlineLevel="0" collapsed="false">
      <c r="A79" s="68" t="e">
        <f aca="false">VLOOKUP(E79,'[1]Listas Desplegables'!$H$3:$J$7,2,FALSE())</f>
        <v>#N/A</v>
      </c>
      <c r="B79" s="68" t="e">
        <f aca="false">VLOOKUP(E79,'[1]Listas Desplegables'!$H$3:$J$7,3,FALSE())</f>
        <v>#N/A</v>
      </c>
      <c r="C79" s="85" t="n">
        <v>74</v>
      </c>
      <c r="D79" s="94"/>
      <c r="E79" s="94"/>
      <c r="F79" s="109"/>
      <c r="G79" s="87"/>
      <c r="H79" s="88"/>
      <c r="I79" s="88"/>
      <c r="J79" s="88"/>
      <c r="K79" s="88"/>
      <c r="L79" s="89"/>
      <c r="M79" s="88"/>
      <c r="N79" s="88"/>
      <c r="O79" s="88"/>
      <c r="P79" s="88"/>
      <c r="Q79" s="88"/>
      <c r="R79" s="88"/>
      <c r="S79" s="88"/>
      <c r="T79" s="88"/>
      <c r="U79" s="88"/>
      <c r="V79" s="88"/>
      <c r="W79" s="88"/>
      <c r="X79" s="88"/>
      <c r="Y79" s="89"/>
      <c r="Z79" s="95"/>
      <c r="AA79" s="89"/>
      <c r="AB79" s="89"/>
      <c r="AC79" s="89"/>
      <c r="AD79" s="89"/>
      <c r="AE79" s="89"/>
      <c r="AF79" s="89"/>
      <c r="AG79" s="89"/>
      <c r="AH79" s="89"/>
      <c r="AI79" s="88"/>
      <c r="AJ79" s="91"/>
    </row>
    <row r="80" customFormat="false" ht="15" hidden="false" customHeight="false" outlineLevel="0" collapsed="false">
      <c r="A80" s="68" t="e">
        <f aca="false">VLOOKUP(E80,'[1]Listas Desplegables'!$H$3:$J$7,2,FALSE())</f>
        <v>#N/A</v>
      </c>
      <c r="B80" s="68" t="e">
        <f aca="false">VLOOKUP(E80,'[1]Listas Desplegables'!$H$3:$J$7,3,FALSE())</f>
        <v>#N/A</v>
      </c>
      <c r="C80" s="85" t="n">
        <v>75</v>
      </c>
      <c r="D80" s="94"/>
      <c r="E80" s="94"/>
      <c r="F80" s="109"/>
      <c r="G80" s="87"/>
      <c r="H80" s="88"/>
      <c r="I80" s="88"/>
      <c r="J80" s="88"/>
      <c r="K80" s="88"/>
      <c r="L80" s="89"/>
      <c r="M80" s="88"/>
      <c r="N80" s="88"/>
      <c r="O80" s="88"/>
      <c r="P80" s="88"/>
      <c r="Q80" s="88"/>
      <c r="R80" s="88"/>
      <c r="S80" s="88"/>
      <c r="T80" s="88"/>
      <c r="U80" s="88"/>
      <c r="V80" s="88"/>
      <c r="W80" s="88"/>
      <c r="X80" s="88"/>
      <c r="Y80" s="89"/>
      <c r="Z80" s="95"/>
      <c r="AA80" s="89"/>
      <c r="AB80" s="89"/>
      <c r="AC80" s="89"/>
      <c r="AD80" s="89"/>
      <c r="AE80" s="89"/>
      <c r="AF80" s="89"/>
      <c r="AG80" s="89"/>
      <c r="AH80" s="89"/>
      <c r="AI80" s="88"/>
      <c r="AJ80" s="91"/>
    </row>
    <row r="81" customFormat="false" ht="15" hidden="false" customHeight="false" outlineLevel="0" collapsed="false">
      <c r="A81" s="68" t="e">
        <f aca="false">VLOOKUP(E81,'[1]Listas Desplegables'!$H$3:$J$7,2,FALSE())</f>
        <v>#N/A</v>
      </c>
      <c r="B81" s="68" t="e">
        <f aca="false">VLOOKUP(E81,'[1]Listas Desplegables'!$H$3:$J$7,3,FALSE())</f>
        <v>#N/A</v>
      </c>
      <c r="C81" s="85" t="n">
        <v>76</v>
      </c>
      <c r="D81" s="94"/>
      <c r="E81" s="94"/>
      <c r="F81" s="109"/>
      <c r="G81" s="87"/>
      <c r="H81" s="88"/>
      <c r="I81" s="88"/>
      <c r="J81" s="88"/>
      <c r="K81" s="88"/>
      <c r="L81" s="89"/>
      <c r="M81" s="88"/>
      <c r="N81" s="88"/>
      <c r="O81" s="88"/>
      <c r="P81" s="88"/>
      <c r="Q81" s="88"/>
      <c r="R81" s="88"/>
      <c r="S81" s="88"/>
      <c r="T81" s="88"/>
      <c r="U81" s="88"/>
      <c r="V81" s="88"/>
      <c r="W81" s="88"/>
      <c r="X81" s="88"/>
      <c r="Y81" s="89"/>
      <c r="Z81" s="95"/>
      <c r="AA81" s="89"/>
      <c r="AB81" s="89"/>
      <c r="AC81" s="89"/>
      <c r="AD81" s="89"/>
      <c r="AE81" s="89"/>
      <c r="AF81" s="89"/>
      <c r="AG81" s="89"/>
      <c r="AH81" s="89"/>
      <c r="AI81" s="88"/>
      <c r="AJ81" s="91"/>
    </row>
    <row r="82" customFormat="false" ht="15" hidden="false" customHeight="false" outlineLevel="0" collapsed="false">
      <c r="A82" s="68" t="e">
        <f aca="false">VLOOKUP(E82,'[1]Listas Desplegables'!$H$3:$J$7,2,FALSE())</f>
        <v>#N/A</v>
      </c>
      <c r="B82" s="68" t="e">
        <f aca="false">VLOOKUP(E82,'[1]Listas Desplegables'!$H$3:$J$7,3,FALSE())</f>
        <v>#N/A</v>
      </c>
      <c r="C82" s="85" t="n">
        <v>77</v>
      </c>
      <c r="D82" s="94"/>
      <c r="E82" s="94"/>
      <c r="F82" s="109"/>
      <c r="G82" s="87"/>
      <c r="H82" s="88"/>
      <c r="I82" s="88"/>
      <c r="J82" s="88"/>
      <c r="K82" s="88"/>
      <c r="L82" s="89"/>
      <c r="M82" s="88"/>
      <c r="N82" s="88"/>
      <c r="O82" s="88"/>
      <c r="P82" s="88"/>
      <c r="Q82" s="88"/>
      <c r="R82" s="88"/>
      <c r="S82" s="88"/>
      <c r="T82" s="88"/>
      <c r="U82" s="88"/>
      <c r="V82" s="88"/>
      <c r="W82" s="88"/>
      <c r="X82" s="88"/>
      <c r="Y82" s="89"/>
      <c r="Z82" s="95"/>
      <c r="AA82" s="89"/>
      <c r="AB82" s="89"/>
      <c r="AC82" s="89"/>
      <c r="AD82" s="89"/>
      <c r="AE82" s="89"/>
      <c r="AF82" s="89"/>
      <c r="AG82" s="89"/>
      <c r="AH82" s="89"/>
      <c r="AI82" s="88"/>
      <c r="AJ82" s="91"/>
    </row>
    <row r="83" customFormat="false" ht="15" hidden="false" customHeight="false" outlineLevel="0" collapsed="false">
      <c r="A83" s="68" t="e">
        <f aca="false">VLOOKUP(E83,'[1]Listas Desplegables'!$H$3:$J$7,2,FALSE())</f>
        <v>#N/A</v>
      </c>
      <c r="B83" s="68" t="e">
        <f aca="false">VLOOKUP(E83,'[1]Listas Desplegables'!$H$3:$J$7,3,FALSE())</f>
        <v>#N/A</v>
      </c>
      <c r="C83" s="85" t="n">
        <v>78</v>
      </c>
      <c r="D83" s="94"/>
      <c r="E83" s="94"/>
      <c r="F83" s="109"/>
      <c r="G83" s="87"/>
      <c r="H83" s="88"/>
      <c r="I83" s="88"/>
      <c r="J83" s="88"/>
      <c r="K83" s="88"/>
      <c r="L83" s="89"/>
      <c r="M83" s="88"/>
      <c r="N83" s="88"/>
      <c r="O83" s="88"/>
      <c r="P83" s="88"/>
      <c r="Q83" s="88"/>
      <c r="R83" s="88"/>
      <c r="S83" s="88"/>
      <c r="T83" s="88"/>
      <c r="U83" s="88"/>
      <c r="V83" s="88"/>
      <c r="W83" s="88"/>
      <c r="X83" s="88"/>
      <c r="Y83" s="89"/>
      <c r="Z83" s="95"/>
      <c r="AA83" s="89"/>
      <c r="AB83" s="89"/>
      <c r="AC83" s="89"/>
      <c r="AD83" s="89"/>
      <c r="AE83" s="89"/>
      <c r="AF83" s="89"/>
      <c r="AG83" s="89"/>
      <c r="AH83" s="89"/>
      <c r="AI83" s="88"/>
      <c r="AJ83" s="91"/>
    </row>
    <row r="84" customFormat="false" ht="15" hidden="false" customHeight="false" outlineLevel="0" collapsed="false">
      <c r="A84" s="68" t="e">
        <f aca="false">VLOOKUP(E84,'[1]Listas Desplegables'!$H$3:$J$7,2,FALSE())</f>
        <v>#N/A</v>
      </c>
      <c r="B84" s="68" t="e">
        <f aca="false">VLOOKUP(E84,'[1]Listas Desplegables'!$H$3:$J$7,3,FALSE())</f>
        <v>#N/A</v>
      </c>
      <c r="C84" s="85" t="n">
        <v>79</v>
      </c>
      <c r="D84" s="94"/>
      <c r="E84" s="94"/>
      <c r="F84" s="109"/>
      <c r="G84" s="87"/>
      <c r="H84" s="88"/>
      <c r="I84" s="88"/>
      <c r="J84" s="88"/>
      <c r="K84" s="88"/>
      <c r="L84" s="89"/>
      <c r="M84" s="88"/>
      <c r="N84" s="88"/>
      <c r="O84" s="88"/>
      <c r="P84" s="88"/>
      <c r="Q84" s="88"/>
      <c r="R84" s="88"/>
      <c r="S84" s="88"/>
      <c r="T84" s="88"/>
      <c r="U84" s="88"/>
      <c r="V84" s="88"/>
      <c r="W84" s="88"/>
      <c r="X84" s="88"/>
      <c r="Y84" s="89"/>
      <c r="Z84" s="95"/>
      <c r="AA84" s="89"/>
      <c r="AB84" s="89"/>
      <c r="AC84" s="89"/>
      <c r="AD84" s="89"/>
      <c r="AE84" s="89"/>
      <c r="AF84" s="89"/>
      <c r="AG84" s="89"/>
      <c r="AH84" s="89"/>
      <c r="AI84" s="88"/>
      <c r="AJ84" s="91"/>
    </row>
    <row r="85" customFormat="false" ht="15" hidden="false" customHeight="false" outlineLevel="0" collapsed="false">
      <c r="A85" s="68" t="e">
        <f aca="false">VLOOKUP(E85,'[1]Listas Desplegables'!$H$3:$J$7,2,FALSE())</f>
        <v>#N/A</v>
      </c>
      <c r="B85" s="68" t="e">
        <f aca="false">VLOOKUP(E85,'[1]Listas Desplegables'!$H$3:$J$7,3,FALSE())</f>
        <v>#N/A</v>
      </c>
      <c r="C85" s="85" t="n">
        <v>80</v>
      </c>
      <c r="D85" s="94"/>
      <c r="E85" s="94"/>
      <c r="F85" s="109"/>
      <c r="G85" s="87"/>
      <c r="H85" s="88"/>
      <c r="I85" s="88"/>
      <c r="J85" s="88"/>
      <c r="K85" s="88"/>
      <c r="L85" s="89"/>
      <c r="M85" s="88"/>
      <c r="N85" s="88"/>
      <c r="O85" s="88"/>
      <c r="P85" s="88"/>
      <c r="Q85" s="88"/>
      <c r="R85" s="88"/>
      <c r="S85" s="88"/>
      <c r="T85" s="88"/>
      <c r="U85" s="88"/>
      <c r="V85" s="88"/>
      <c r="W85" s="88"/>
      <c r="X85" s="88"/>
      <c r="Y85" s="89"/>
      <c r="Z85" s="95"/>
      <c r="AA85" s="89"/>
      <c r="AB85" s="89"/>
      <c r="AC85" s="89"/>
      <c r="AD85" s="89"/>
      <c r="AE85" s="89"/>
      <c r="AF85" s="89"/>
      <c r="AG85" s="89"/>
      <c r="AH85" s="89"/>
      <c r="AI85" s="88"/>
      <c r="AJ85" s="91"/>
    </row>
    <row r="86" customFormat="false" ht="15" hidden="false" customHeight="false" outlineLevel="0" collapsed="false">
      <c r="A86" s="68" t="e">
        <f aca="false">VLOOKUP(E86,'[1]Listas Desplegables'!$H$3:$J$7,2,FALSE())</f>
        <v>#N/A</v>
      </c>
      <c r="B86" s="68" t="e">
        <f aca="false">VLOOKUP(E86,'[1]Listas Desplegables'!$H$3:$J$7,3,FALSE())</f>
        <v>#N/A</v>
      </c>
      <c r="C86" s="85" t="n">
        <v>81</v>
      </c>
      <c r="D86" s="94"/>
      <c r="E86" s="94"/>
      <c r="F86" s="109"/>
      <c r="G86" s="87"/>
      <c r="H86" s="88"/>
      <c r="I86" s="88"/>
      <c r="J86" s="88"/>
      <c r="K86" s="88"/>
      <c r="L86" s="89"/>
      <c r="M86" s="88"/>
      <c r="N86" s="88"/>
      <c r="O86" s="88"/>
      <c r="P86" s="88"/>
      <c r="Q86" s="88"/>
      <c r="R86" s="88"/>
      <c r="S86" s="88"/>
      <c r="T86" s="88"/>
      <c r="U86" s="88"/>
      <c r="V86" s="88"/>
      <c r="W86" s="88"/>
      <c r="X86" s="88"/>
      <c r="Y86" s="89"/>
      <c r="Z86" s="95"/>
      <c r="AA86" s="89"/>
      <c r="AB86" s="89"/>
      <c r="AC86" s="89"/>
      <c r="AD86" s="89"/>
      <c r="AE86" s="89"/>
      <c r="AF86" s="89"/>
      <c r="AG86" s="89"/>
      <c r="AH86" s="89"/>
      <c r="AI86" s="88"/>
      <c r="AJ86" s="91"/>
    </row>
    <row r="87" customFormat="false" ht="15" hidden="false" customHeight="false" outlineLevel="0" collapsed="false">
      <c r="A87" s="68" t="e">
        <f aca="false">VLOOKUP(E87,'[1]Listas Desplegables'!$H$3:$J$7,2,FALSE())</f>
        <v>#N/A</v>
      </c>
      <c r="B87" s="68" t="e">
        <f aca="false">VLOOKUP(E87,'[1]Listas Desplegables'!$H$3:$J$7,3,FALSE())</f>
        <v>#N/A</v>
      </c>
      <c r="C87" s="85" t="n">
        <v>82</v>
      </c>
      <c r="D87" s="94"/>
      <c r="E87" s="94"/>
      <c r="F87" s="109"/>
      <c r="G87" s="87"/>
      <c r="H87" s="88"/>
      <c r="I87" s="88"/>
      <c r="J87" s="88"/>
      <c r="K87" s="88"/>
      <c r="L87" s="89"/>
      <c r="M87" s="88"/>
      <c r="N87" s="88"/>
      <c r="O87" s="88"/>
      <c r="P87" s="88"/>
      <c r="Q87" s="88"/>
      <c r="R87" s="88"/>
      <c r="S87" s="88"/>
      <c r="T87" s="88"/>
      <c r="U87" s="88"/>
      <c r="V87" s="88"/>
      <c r="W87" s="88"/>
      <c r="X87" s="88"/>
      <c r="Y87" s="89"/>
      <c r="Z87" s="95"/>
      <c r="AA87" s="89"/>
      <c r="AB87" s="89"/>
      <c r="AC87" s="89"/>
      <c r="AD87" s="89"/>
      <c r="AE87" s="89"/>
      <c r="AF87" s="89"/>
      <c r="AG87" s="89"/>
      <c r="AH87" s="89"/>
      <c r="AI87" s="88"/>
      <c r="AJ87" s="91"/>
    </row>
    <row r="88" customFormat="false" ht="15" hidden="false" customHeight="false" outlineLevel="0" collapsed="false">
      <c r="A88" s="68" t="e">
        <f aca="false">VLOOKUP(E88,'[1]Listas Desplegables'!$H$3:$J$7,2,FALSE())</f>
        <v>#N/A</v>
      </c>
      <c r="B88" s="68" t="e">
        <f aca="false">VLOOKUP(E88,'[1]Listas Desplegables'!$H$3:$J$7,3,FALSE())</f>
        <v>#N/A</v>
      </c>
      <c r="C88" s="85" t="n">
        <v>83</v>
      </c>
      <c r="D88" s="94"/>
      <c r="E88" s="94"/>
      <c r="F88" s="109"/>
      <c r="G88" s="87"/>
      <c r="H88" s="88"/>
      <c r="I88" s="88"/>
      <c r="J88" s="88"/>
      <c r="K88" s="88"/>
      <c r="L88" s="89"/>
      <c r="M88" s="88"/>
      <c r="N88" s="88"/>
      <c r="O88" s="88"/>
      <c r="P88" s="88"/>
      <c r="Q88" s="88"/>
      <c r="R88" s="88"/>
      <c r="S88" s="88"/>
      <c r="T88" s="88"/>
      <c r="U88" s="88"/>
      <c r="V88" s="88"/>
      <c r="W88" s="88"/>
      <c r="X88" s="88"/>
      <c r="Y88" s="89"/>
      <c r="Z88" s="95"/>
      <c r="AA88" s="89"/>
      <c r="AB88" s="89"/>
      <c r="AC88" s="89"/>
      <c r="AD88" s="89"/>
      <c r="AE88" s="89"/>
      <c r="AF88" s="89"/>
      <c r="AG88" s="89"/>
      <c r="AH88" s="89"/>
      <c r="AI88" s="88"/>
      <c r="AJ88" s="91"/>
    </row>
    <row r="89" customFormat="false" ht="15" hidden="false" customHeight="false" outlineLevel="0" collapsed="false">
      <c r="A89" s="68" t="e">
        <f aca="false">VLOOKUP(E89,'[1]Listas Desplegables'!$H$3:$J$7,2,FALSE())</f>
        <v>#N/A</v>
      </c>
      <c r="B89" s="68" t="e">
        <f aca="false">VLOOKUP(E89,'[1]Listas Desplegables'!$H$3:$J$7,3,FALSE())</f>
        <v>#N/A</v>
      </c>
      <c r="C89" s="85" t="n">
        <v>84</v>
      </c>
      <c r="D89" s="94"/>
      <c r="E89" s="94"/>
      <c r="F89" s="109"/>
      <c r="G89" s="87"/>
      <c r="H89" s="88"/>
      <c r="I89" s="88"/>
      <c r="J89" s="88"/>
      <c r="K89" s="88"/>
      <c r="L89" s="89"/>
      <c r="M89" s="88"/>
      <c r="N89" s="88"/>
      <c r="O89" s="88"/>
      <c r="P89" s="88"/>
      <c r="Q89" s="88"/>
      <c r="R89" s="88"/>
      <c r="S89" s="88"/>
      <c r="T89" s="88"/>
      <c r="U89" s="88"/>
      <c r="V89" s="88"/>
      <c r="W89" s="88"/>
      <c r="X89" s="88"/>
      <c r="Y89" s="89"/>
      <c r="Z89" s="95"/>
      <c r="AA89" s="89"/>
      <c r="AB89" s="89"/>
      <c r="AC89" s="89"/>
      <c r="AD89" s="89"/>
      <c r="AE89" s="89"/>
      <c r="AF89" s="89"/>
      <c r="AG89" s="89"/>
      <c r="AH89" s="89"/>
      <c r="AI89" s="88"/>
      <c r="AJ89" s="91"/>
    </row>
    <row r="90" customFormat="false" ht="15" hidden="false" customHeight="false" outlineLevel="0" collapsed="false">
      <c r="A90" s="68" t="e">
        <f aca="false">VLOOKUP(E90,'[1]Listas Desplegables'!$H$3:$J$7,2,FALSE())</f>
        <v>#N/A</v>
      </c>
      <c r="B90" s="68" t="e">
        <f aca="false">VLOOKUP(E90,'[1]Listas Desplegables'!$H$3:$J$7,3,FALSE())</f>
        <v>#N/A</v>
      </c>
      <c r="C90" s="85" t="n">
        <v>85</v>
      </c>
      <c r="D90" s="94"/>
      <c r="E90" s="94"/>
      <c r="F90" s="109"/>
      <c r="G90" s="87"/>
      <c r="H90" s="88"/>
      <c r="I90" s="88"/>
      <c r="J90" s="88"/>
      <c r="K90" s="88"/>
      <c r="L90" s="89"/>
      <c r="M90" s="88"/>
      <c r="N90" s="88"/>
      <c r="O90" s="88"/>
      <c r="P90" s="88"/>
      <c r="Q90" s="88"/>
      <c r="R90" s="88"/>
      <c r="S90" s="88"/>
      <c r="T90" s="88"/>
      <c r="U90" s="88"/>
      <c r="V90" s="88"/>
      <c r="W90" s="88"/>
      <c r="X90" s="88"/>
      <c r="Y90" s="89"/>
      <c r="Z90" s="95"/>
      <c r="AA90" s="89"/>
      <c r="AB90" s="89"/>
      <c r="AC90" s="89"/>
      <c r="AD90" s="89"/>
      <c r="AE90" s="89"/>
      <c r="AF90" s="89"/>
      <c r="AG90" s="89"/>
      <c r="AH90" s="89"/>
      <c r="AI90" s="88"/>
      <c r="AJ90" s="91"/>
    </row>
    <row r="91" customFormat="false" ht="15" hidden="false" customHeight="false" outlineLevel="0" collapsed="false">
      <c r="A91" s="68" t="e">
        <f aca="false">VLOOKUP(E91,'[1]Listas Desplegables'!$H$3:$J$7,2,FALSE())</f>
        <v>#N/A</v>
      </c>
      <c r="B91" s="68" t="e">
        <f aca="false">VLOOKUP(E91,'[1]Listas Desplegables'!$H$3:$J$7,3,FALSE())</f>
        <v>#N/A</v>
      </c>
      <c r="C91" s="85" t="n">
        <v>86</v>
      </c>
      <c r="D91" s="94"/>
      <c r="E91" s="94"/>
      <c r="F91" s="109"/>
      <c r="G91" s="87"/>
      <c r="H91" s="88"/>
      <c r="I91" s="88"/>
      <c r="J91" s="88"/>
      <c r="K91" s="88"/>
      <c r="L91" s="89"/>
      <c r="M91" s="88"/>
      <c r="N91" s="88"/>
      <c r="O91" s="88"/>
      <c r="P91" s="88"/>
      <c r="Q91" s="88"/>
      <c r="R91" s="88"/>
      <c r="S91" s="88"/>
      <c r="T91" s="88"/>
      <c r="U91" s="88"/>
      <c r="V91" s="88"/>
      <c r="W91" s="88"/>
      <c r="X91" s="88"/>
      <c r="Y91" s="89"/>
      <c r="Z91" s="95"/>
      <c r="AA91" s="89"/>
      <c r="AB91" s="89"/>
      <c r="AC91" s="89"/>
      <c r="AD91" s="89"/>
      <c r="AE91" s="89"/>
      <c r="AF91" s="89"/>
      <c r="AG91" s="89"/>
      <c r="AH91" s="89"/>
      <c r="AI91" s="88"/>
      <c r="AJ91" s="91"/>
    </row>
    <row r="92" customFormat="false" ht="15" hidden="false" customHeight="false" outlineLevel="0" collapsed="false">
      <c r="A92" s="68" t="e">
        <f aca="false">VLOOKUP(E92,'[1]Listas Desplegables'!$H$3:$J$7,2,FALSE())</f>
        <v>#N/A</v>
      </c>
      <c r="B92" s="68" t="e">
        <f aca="false">VLOOKUP(E92,'[1]Listas Desplegables'!$H$3:$J$7,3,FALSE())</f>
        <v>#N/A</v>
      </c>
      <c r="C92" s="85" t="n">
        <v>87</v>
      </c>
      <c r="D92" s="94"/>
      <c r="E92" s="94"/>
      <c r="F92" s="109"/>
      <c r="G92" s="87"/>
      <c r="H92" s="88"/>
      <c r="I92" s="88"/>
      <c r="J92" s="88"/>
      <c r="K92" s="88"/>
      <c r="L92" s="89"/>
      <c r="M92" s="88"/>
      <c r="N92" s="88"/>
      <c r="O92" s="88"/>
      <c r="P92" s="88"/>
      <c r="Q92" s="88"/>
      <c r="R92" s="88"/>
      <c r="S92" s="88"/>
      <c r="T92" s="88"/>
      <c r="U92" s="88"/>
      <c r="V92" s="88"/>
      <c r="W92" s="88"/>
      <c r="X92" s="88"/>
      <c r="Y92" s="89"/>
      <c r="Z92" s="95"/>
      <c r="AA92" s="89"/>
      <c r="AB92" s="89"/>
      <c r="AC92" s="89"/>
      <c r="AD92" s="89"/>
      <c r="AE92" s="89"/>
      <c r="AF92" s="89"/>
      <c r="AG92" s="89"/>
      <c r="AH92" s="89"/>
      <c r="AI92" s="88"/>
      <c r="AJ92" s="91"/>
    </row>
    <row r="93" customFormat="false" ht="15" hidden="false" customHeight="false" outlineLevel="0" collapsed="false">
      <c r="A93" s="68" t="e">
        <f aca="false">VLOOKUP(E93,'[1]Listas Desplegables'!$H$3:$J$7,2,FALSE())</f>
        <v>#N/A</v>
      </c>
      <c r="B93" s="68" t="e">
        <f aca="false">VLOOKUP(E93,'[1]Listas Desplegables'!$H$3:$J$7,3,FALSE())</f>
        <v>#N/A</v>
      </c>
      <c r="C93" s="85" t="n">
        <v>88</v>
      </c>
      <c r="D93" s="94"/>
      <c r="E93" s="94"/>
      <c r="F93" s="109"/>
      <c r="G93" s="87"/>
      <c r="H93" s="88"/>
      <c r="I93" s="88"/>
      <c r="J93" s="88"/>
      <c r="K93" s="88"/>
      <c r="L93" s="89"/>
      <c r="M93" s="88"/>
      <c r="N93" s="88"/>
      <c r="O93" s="88"/>
      <c r="P93" s="88"/>
      <c r="Q93" s="88"/>
      <c r="R93" s="88"/>
      <c r="S93" s="88"/>
      <c r="T93" s="88"/>
      <c r="U93" s="88"/>
      <c r="V93" s="88"/>
      <c r="W93" s="88"/>
      <c r="X93" s="88"/>
      <c r="Y93" s="89"/>
      <c r="Z93" s="95"/>
      <c r="AA93" s="89"/>
      <c r="AB93" s="89"/>
      <c r="AC93" s="89"/>
      <c r="AD93" s="89"/>
      <c r="AE93" s="89"/>
      <c r="AF93" s="89"/>
      <c r="AG93" s="89"/>
      <c r="AH93" s="89"/>
      <c r="AI93" s="88"/>
      <c r="AJ93" s="91"/>
    </row>
    <row r="94" customFormat="false" ht="15" hidden="false" customHeight="false" outlineLevel="0" collapsed="false">
      <c r="A94" s="68" t="e">
        <f aca="false">VLOOKUP(E94,'[1]Listas Desplegables'!$H$3:$J$7,2,FALSE())</f>
        <v>#N/A</v>
      </c>
      <c r="B94" s="68" t="e">
        <f aca="false">VLOOKUP(E94,'[1]Listas Desplegables'!$H$3:$J$7,3,FALSE())</f>
        <v>#N/A</v>
      </c>
      <c r="C94" s="85" t="n">
        <v>89</v>
      </c>
      <c r="D94" s="94"/>
      <c r="E94" s="94"/>
      <c r="F94" s="109"/>
      <c r="G94" s="87"/>
      <c r="H94" s="88"/>
      <c r="I94" s="88"/>
      <c r="J94" s="88"/>
      <c r="K94" s="88"/>
      <c r="L94" s="89"/>
      <c r="M94" s="88"/>
      <c r="N94" s="88"/>
      <c r="O94" s="88"/>
      <c r="P94" s="88"/>
      <c r="Q94" s="88"/>
      <c r="R94" s="88"/>
      <c r="S94" s="88"/>
      <c r="T94" s="88"/>
      <c r="U94" s="88"/>
      <c r="V94" s="88"/>
      <c r="W94" s="88"/>
      <c r="X94" s="88"/>
      <c r="Y94" s="89"/>
      <c r="Z94" s="95"/>
      <c r="AA94" s="89"/>
      <c r="AB94" s="89"/>
      <c r="AC94" s="89"/>
      <c r="AD94" s="89"/>
      <c r="AE94" s="89"/>
      <c r="AF94" s="89"/>
      <c r="AG94" s="89"/>
      <c r="AH94" s="89"/>
      <c r="AI94" s="88"/>
      <c r="AJ94" s="91"/>
    </row>
    <row r="95" customFormat="false" ht="15" hidden="false" customHeight="false" outlineLevel="0" collapsed="false">
      <c r="A95" s="68" t="e">
        <f aca="false">VLOOKUP(E95,'[1]Listas Desplegables'!$H$3:$J$7,2,FALSE())</f>
        <v>#N/A</v>
      </c>
      <c r="B95" s="68" t="e">
        <f aca="false">VLOOKUP(E95,'[1]Listas Desplegables'!$H$3:$J$7,3,FALSE())</f>
        <v>#N/A</v>
      </c>
      <c r="C95" s="85" t="n">
        <v>90</v>
      </c>
      <c r="D95" s="94"/>
      <c r="E95" s="94"/>
      <c r="F95" s="109"/>
      <c r="G95" s="87"/>
      <c r="H95" s="88"/>
      <c r="I95" s="88"/>
      <c r="J95" s="88"/>
      <c r="K95" s="88"/>
      <c r="L95" s="89"/>
      <c r="M95" s="88"/>
      <c r="N95" s="88"/>
      <c r="O95" s="88"/>
      <c r="P95" s="88"/>
      <c r="Q95" s="88"/>
      <c r="R95" s="88"/>
      <c r="S95" s="88"/>
      <c r="T95" s="88"/>
      <c r="U95" s="88"/>
      <c r="V95" s="88"/>
      <c r="W95" s="88"/>
      <c r="X95" s="88"/>
      <c r="Y95" s="89"/>
      <c r="Z95" s="95"/>
      <c r="AA95" s="89"/>
      <c r="AB95" s="89"/>
      <c r="AC95" s="89"/>
      <c r="AD95" s="89"/>
      <c r="AE95" s="89"/>
      <c r="AF95" s="89"/>
      <c r="AG95" s="89"/>
      <c r="AH95" s="89"/>
      <c r="AI95" s="88"/>
      <c r="AJ95" s="91"/>
    </row>
    <row r="96" customFormat="false" ht="15" hidden="false" customHeight="false" outlineLevel="0" collapsed="false">
      <c r="A96" s="68" t="e">
        <f aca="false">VLOOKUP(E96,'[1]Listas Desplegables'!$H$3:$J$7,2,FALSE())</f>
        <v>#N/A</v>
      </c>
      <c r="B96" s="68" t="e">
        <f aca="false">VLOOKUP(E96,'[1]Listas Desplegables'!$H$3:$J$7,3,FALSE())</f>
        <v>#N/A</v>
      </c>
      <c r="C96" s="85" t="n">
        <v>91</v>
      </c>
      <c r="D96" s="94"/>
      <c r="E96" s="94"/>
      <c r="F96" s="109"/>
      <c r="G96" s="87"/>
      <c r="H96" s="88"/>
      <c r="I96" s="88"/>
      <c r="J96" s="88"/>
      <c r="K96" s="88"/>
      <c r="L96" s="89"/>
      <c r="M96" s="88"/>
      <c r="N96" s="88"/>
      <c r="O96" s="88"/>
      <c r="P96" s="88"/>
      <c r="Q96" s="88"/>
      <c r="R96" s="88"/>
      <c r="S96" s="88"/>
      <c r="T96" s="88"/>
      <c r="U96" s="88"/>
      <c r="V96" s="88"/>
      <c r="W96" s="88"/>
      <c r="X96" s="88"/>
      <c r="Y96" s="89"/>
      <c r="Z96" s="95"/>
      <c r="AA96" s="89"/>
      <c r="AB96" s="89"/>
      <c r="AC96" s="89"/>
      <c r="AD96" s="89"/>
      <c r="AE96" s="89"/>
      <c r="AF96" s="89"/>
      <c r="AG96" s="89"/>
      <c r="AH96" s="89"/>
      <c r="AI96" s="88"/>
      <c r="AJ96" s="91"/>
    </row>
    <row r="97" customFormat="false" ht="15" hidden="false" customHeight="false" outlineLevel="0" collapsed="false">
      <c r="A97" s="68" t="e">
        <f aca="false">VLOOKUP(E97,'[1]Listas Desplegables'!$H$3:$J$7,2,FALSE())</f>
        <v>#N/A</v>
      </c>
      <c r="B97" s="68" t="e">
        <f aca="false">VLOOKUP(E97,'[1]Listas Desplegables'!$H$3:$J$7,3,FALSE())</f>
        <v>#N/A</v>
      </c>
      <c r="C97" s="85" t="n">
        <v>92</v>
      </c>
      <c r="D97" s="94"/>
      <c r="E97" s="94"/>
      <c r="F97" s="109"/>
      <c r="G97" s="87"/>
      <c r="H97" s="88"/>
      <c r="I97" s="88"/>
      <c r="J97" s="88"/>
      <c r="K97" s="88"/>
      <c r="L97" s="89"/>
      <c r="M97" s="88"/>
      <c r="N97" s="88"/>
      <c r="O97" s="88"/>
      <c r="P97" s="88"/>
      <c r="Q97" s="88"/>
      <c r="R97" s="88"/>
      <c r="S97" s="88"/>
      <c r="T97" s="88"/>
      <c r="U97" s="88"/>
      <c r="V97" s="88"/>
      <c r="W97" s="88"/>
      <c r="X97" s="88"/>
      <c r="Y97" s="89"/>
      <c r="Z97" s="95"/>
      <c r="AA97" s="89"/>
      <c r="AB97" s="89"/>
      <c r="AC97" s="89"/>
      <c r="AD97" s="89"/>
      <c r="AE97" s="89"/>
      <c r="AF97" s="89"/>
      <c r="AG97" s="89"/>
      <c r="AH97" s="89"/>
      <c r="AI97" s="88"/>
      <c r="AJ97" s="91"/>
    </row>
    <row r="98" customFormat="false" ht="15" hidden="false" customHeight="false" outlineLevel="0" collapsed="false">
      <c r="A98" s="68" t="e">
        <f aca="false">VLOOKUP(E98,'[1]Listas Desplegables'!$H$3:$J$7,2,FALSE())</f>
        <v>#N/A</v>
      </c>
      <c r="B98" s="68" t="e">
        <f aca="false">VLOOKUP(E98,'[1]Listas Desplegables'!$H$3:$J$7,3,FALSE())</f>
        <v>#N/A</v>
      </c>
      <c r="C98" s="85" t="n">
        <v>93</v>
      </c>
      <c r="D98" s="94"/>
      <c r="E98" s="94"/>
      <c r="F98" s="109"/>
      <c r="G98" s="87"/>
      <c r="H98" s="88"/>
      <c r="I98" s="88"/>
      <c r="J98" s="88"/>
      <c r="K98" s="88"/>
      <c r="L98" s="89"/>
      <c r="M98" s="88"/>
      <c r="N98" s="88"/>
      <c r="O98" s="88"/>
      <c r="P98" s="88"/>
      <c r="Q98" s="88"/>
      <c r="R98" s="88"/>
      <c r="S98" s="88"/>
      <c r="T98" s="88"/>
      <c r="U98" s="88"/>
      <c r="V98" s="88"/>
      <c r="W98" s="88"/>
      <c r="X98" s="88"/>
      <c r="Y98" s="89"/>
      <c r="Z98" s="95"/>
      <c r="AA98" s="89"/>
      <c r="AB98" s="89"/>
      <c r="AC98" s="89"/>
      <c r="AD98" s="89"/>
      <c r="AE98" s="89"/>
      <c r="AF98" s="89"/>
      <c r="AG98" s="89"/>
      <c r="AH98" s="89"/>
      <c r="AI98" s="88"/>
      <c r="AJ98" s="91"/>
    </row>
    <row r="99" customFormat="false" ht="15" hidden="false" customHeight="false" outlineLevel="0" collapsed="false">
      <c r="A99" s="68" t="e">
        <f aca="false">VLOOKUP(E99,'[1]Listas Desplegables'!$H$3:$J$7,2,FALSE())</f>
        <v>#N/A</v>
      </c>
      <c r="B99" s="68" t="e">
        <f aca="false">VLOOKUP(E99,'[1]Listas Desplegables'!$H$3:$J$7,3,FALSE())</f>
        <v>#N/A</v>
      </c>
      <c r="C99" s="85" t="n">
        <v>94</v>
      </c>
      <c r="D99" s="94"/>
      <c r="E99" s="94"/>
      <c r="F99" s="109"/>
      <c r="G99" s="87"/>
      <c r="H99" s="88"/>
      <c r="I99" s="88"/>
      <c r="J99" s="88"/>
      <c r="K99" s="88"/>
      <c r="L99" s="89"/>
      <c r="M99" s="88"/>
      <c r="N99" s="88"/>
      <c r="O99" s="88"/>
      <c r="P99" s="88"/>
      <c r="Q99" s="88"/>
      <c r="R99" s="88"/>
      <c r="S99" s="88"/>
      <c r="T99" s="88"/>
      <c r="U99" s="88"/>
      <c r="V99" s="88"/>
      <c r="W99" s="88"/>
      <c r="X99" s="88"/>
      <c r="Y99" s="89"/>
      <c r="Z99" s="95"/>
      <c r="AA99" s="89"/>
      <c r="AB99" s="89"/>
      <c r="AC99" s="89"/>
      <c r="AD99" s="89"/>
      <c r="AE99" s="89"/>
      <c r="AF99" s="89"/>
      <c r="AG99" s="89"/>
      <c r="AH99" s="89"/>
      <c r="AI99" s="88"/>
      <c r="AJ99" s="91"/>
    </row>
    <row r="100" customFormat="false" ht="15" hidden="false" customHeight="false" outlineLevel="0" collapsed="false">
      <c r="A100" s="68" t="e">
        <f aca="false">VLOOKUP(E100,'[1]Listas Desplegables'!$H$3:$J$7,2,FALSE())</f>
        <v>#N/A</v>
      </c>
      <c r="B100" s="68" t="e">
        <f aca="false">VLOOKUP(E100,'[1]Listas Desplegables'!$H$3:$J$7,3,FALSE())</f>
        <v>#N/A</v>
      </c>
      <c r="C100" s="85" t="n">
        <v>95</v>
      </c>
      <c r="D100" s="94"/>
      <c r="E100" s="94"/>
      <c r="F100" s="109"/>
      <c r="G100" s="87"/>
      <c r="H100" s="88"/>
      <c r="I100" s="88"/>
      <c r="J100" s="88"/>
      <c r="K100" s="88"/>
      <c r="L100" s="89"/>
      <c r="M100" s="88"/>
      <c r="N100" s="88"/>
      <c r="O100" s="88"/>
      <c r="P100" s="88"/>
      <c r="Q100" s="88"/>
      <c r="R100" s="88"/>
      <c r="S100" s="88"/>
      <c r="T100" s="88"/>
      <c r="U100" s="88"/>
      <c r="V100" s="88"/>
      <c r="W100" s="88"/>
      <c r="X100" s="88"/>
      <c r="Y100" s="89"/>
      <c r="Z100" s="95"/>
      <c r="AA100" s="89"/>
      <c r="AB100" s="89"/>
      <c r="AC100" s="89"/>
      <c r="AD100" s="89"/>
      <c r="AE100" s="89"/>
      <c r="AF100" s="89"/>
      <c r="AG100" s="89"/>
      <c r="AH100" s="89"/>
      <c r="AI100" s="88"/>
      <c r="AJ100" s="91"/>
    </row>
    <row r="101" customFormat="false" ht="15" hidden="false" customHeight="false" outlineLevel="0" collapsed="false">
      <c r="A101" s="68" t="e">
        <f aca="false">VLOOKUP(E101,'[1]Listas Desplegables'!$H$3:$J$7,2,FALSE())</f>
        <v>#N/A</v>
      </c>
      <c r="B101" s="68" t="e">
        <f aca="false">VLOOKUP(E101,'[1]Listas Desplegables'!$H$3:$J$7,3,FALSE())</f>
        <v>#N/A</v>
      </c>
      <c r="C101" s="85" t="n">
        <v>96</v>
      </c>
      <c r="D101" s="94"/>
      <c r="E101" s="94"/>
      <c r="F101" s="109"/>
      <c r="G101" s="87"/>
      <c r="H101" s="88"/>
      <c r="I101" s="88"/>
      <c r="J101" s="88"/>
      <c r="K101" s="88"/>
      <c r="L101" s="89"/>
      <c r="M101" s="88"/>
      <c r="N101" s="88"/>
      <c r="O101" s="88"/>
      <c r="P101" s="88"/>
      <c r="Q101" s="88"/>
      <c r="R101" s="88"/>
      <c r="S101" s="88"/>
      <c r="T101" s="88"/>
      <c r="U101" s="88"/>
      <c r="V101" s="88"/>
      <c r="W101" s="88"/>
      <c r="X101" s="88"/>
      <c r="Y101" s="89"/>
      <c r="Z101" s="95"/>
      <c r="AA101" s="89"/>
      <c r="AB101" s="89"/>
      <c r="AC101" s="89"/>
      <c r="AD101" s="89"/>
      <c r="AE101" s="89"/>
      <c r="AF101" s="89"/>
      <c r="AG101" s="89"/>
      <c r="AH101" s="89"/>
      <c r="AI101" s="88"/>
      <c r="AJ101" s="91"/>
    </row>
    <row r="102" customFormat="false" ht="15" hidden="false" customHeight="false" outlineLevel="0" collapsed="false">
      <c r="A102" s="68" t="e">
        <f aca="false">VLOOKUP(E102,'[1]Listas Desplegables'!$H$3:$J$7,2,FALSE())</f>
        <v>#N/A</v>
      </c>
      <c r="B102" s="68" t="e">
        <f aca="false">VLOOKUP(E102,'[1]Listas Desplegables'!$H$3:$J$7,3,FALSE())</f>
        <v>#N/A</v>
      </c>
      <c r="C102" s="85" t="n">
        <v>97</v>
      </c>
      <c r="D102" s="94"/>
      <c r="E102" s="94"/>
      <c r="F102" s="109"/>
      <c r="G102" s="87"/>
      <c r="H102" s="88"/>
      <c r="I102" s="88"/>
      <c r="J102" s="88"/>
      <c r="K102" s="88"/>
      <c r="L102" s="89"/>
      <c r="M102" s="88"/>
      <c r="N102" s="88"/>
      <c r="O102" s="88"/>
      <c r="P102" s="88"/>
      <c r="Q102" s="88"/>
      <c r="R102" s="88"/>
      <c r="S102" s="88"/>
      <c r="T102" s="88"/>
      <c r="U102" s="88"/>
      <c r="V102" s="88"/>
      <c r="W102" s="88"/>
      <c r="X102" s="88"/>
      <c r="Y102" s="89"/>
      <c r="Z102" s="95"/>
      <c r="AA102" s="89"/>
      <c r="AB102" s="89"/>
      <c r="AC102" s="89"/>
      <c r="AD102" s="89"/>
      <c r="AE102" s="89"/>
      <c r="AF102" s="89"/>
      <c r="AG102" s="89"/>
      <c r="AH102" s="89"/>
      <c r="AI102" s="88"/>
      <c r="AJ102" s="91"/>
    </row>
    <row r="103" customFormat="false" ht="15" hidden="false" customHeight="false" outlineLevel="0" collapsed="false">
      <c r="A103" s="68" t="e">
        <f aca="false">VLOOKUP(E103,'[1]Listas Desplegables'!$H$3:$J$7,2,FALSE())</f>
        <v>#N/A</v>
      </c>
      <c r="B103" s="68" t="e">
        <f aca="false">VLOOKUP(E103,'[1]Listas Desplegables'!$H$3:$J$7,3,FALSE())</f>
        <v>#N/A</v>
      </c>
      <c r="C103" s="85" t="n">
        <v>98</v>
      </c>
      <c r="D103" s="94"/>
      <c r="E103" s="94"/>
      <c r="F103" s="109"/>
      <c r="G103" s="87"/>
      <c r="H103" s="88"/>
      <c r="I103" s="88"/>
      <c r="J103" s="88"/>
      <c r="K103" s="88"/>
      <c r="L103" s="89"/>
      <c r="M103" s="88"/>
      <c r="N103" s="88"/>
      <c r="O103" s="88"/>
      <c r="P103" s="88"/>
      <c r="Q103" s="88"/>
      <c r="R103" s="88"/>
      <c r="S103" s="88"/>
      <c r="T103" s="88"/>
      <c r="U103" s="88"/>
      <c r="V103" s="88"/>
      <c r="W103" s="88"/>
      <c r="X103" s="88"/>
      <c r="Y103" s="89"/>
      <c r="Z103" s="95"/>
      <c r="AA103" s="89"/>
      <c r="AB103" s="89"/>
      <c r="AC103" s="89"/>
      <c r="AD103" s="89"/>
      <c r="AE103" s="89"/>
      <c r="AF103" s="89"/>
      <c r="AG103" s="89"/>
      <c r="AH103" s="89"/>
      <c r="AI103" s="88"/>
      <c r="AJ103" s="91"/>
    </row>
    <row r="104" customFormat="false" ht="15" hidden="false" customHeight="false" outlineLevel="0" collapsed="false">
      <c r="A104" s="68" t="e">
        <f aca="false">VLOOKUP(E104,'[1]Listas Desplegables'!$H$3:$J$7,2,FALSE())</f>
        <v>#N/A</v>
      </c>
      <c r="B104" s="68" t="e">
        <f aca="false">VLOOKUP(E104,'[1]Listas Desplegables'!$H$3:$J$7,3,FALSE())</f>
        <v>#N/A</v>
      </c>
      <c r="C104" s="85" t="n">
        <v>99</v>
      </c>
      <c r="D104" s="94"/>
      <c r="E104" s="94"/>
      <c r="F104" s="109"/>
      <c r="G104" s="87"/>
      <c r="H104" s="88"/>
      <c r="I104" s="88"/>
      <c r="J104" s="88"/>
      <c r="K104" s="88"/>
      <c r="L104" s="89"/>
      <c r="M104" s="88"/>
      <c r="N104" s="88"/>
      <c r="O104" s="88"/>
      <c r="P104" s="88"/>
      <c r="Q104" s="88"/>
      <c r="R104" s="88"/>
      <c r="S104" s="88"/>
      <c r="T104" s="88"/>
      <c r="U104" s="88"/>
      <c r="V104" s="88"/>
      <c r="W104" s="88"/>
      <c r="X104" s="88"/>
      <c r="Y104" s="89"/>
      <c r="Z104" s="95"/>
      <c r="AA104" s="89"/>
      <c r="AB104" s="89"/>
      <c r="AC104" s="89"/>
      <c r="AD104" s="89"/>
      <c r="AE104" s="89"/>
      <c r="AF104" s="89"/>
      <c r="AG104" s="89"/>
      <c r="AH104" s="89"/>
      <c r="AI104" s="88"/>
      <c r="AJ104" s="91"/>
    </row>
    <row r="105" customFormat="false" ht="15" hidden="false" customHeight="false" outlineLevel="0" collapsed="false">
      <c r="A105" s="68" t="e">
        <f aca="false">VLOOKUP(E105,'[1]Listas Desplegables'!$H$3:$J$7,2,FALSE())</f>
        <v>#N/A</v>
      </c>
      <c r="B105" s="68" t="e">
        <f aca="false">VLOOKUP(E105,'[1]Listas Desplegables'!$H$3:$J$7,3,FALSE())</f>
        <v>#N/A</v>
      </c>
      <c r="C105" s="85" t="n">
        <v>100</v>
      </c>
      <c r="D105" s="94"/>
      <c r="E105" s="94"/>
      <c r="F105" s="109"/>
      <c r="G105" s="87"/>
      <c r="H105" s="88"/>
      <c r="I105" s="88"/>
      <c r="J105" s="88"/>
      <c r="K105" s="88"/>
      <c r="L105" s="89"/>
      <c r="M105" s="88"/>
      <c r="N105" s="88"/>
      <c r="O105" s="88"/>
      <c r="P105" s="88"/>
      <c r="Q105" s="88"/>
      <c r="R105" s="88"/>
      <c r="S105" s="88"/>
      <c r="T105" s="88"/>
      <c r="U105" s="88"/>
      <c r="V105" s="88"/>
      <c r="W105" s="88"/>
      <c r="X105" s="88"/>
      <c r="Y105" s="89"/>
      <c r="Z105" s="95"/>
      <c r="AA105" s="89"/>
      <c r="AB105" s="89"/>
      <c r="AC105" s="89"/>
      <c r="AD105" s="89"/>
      <c r="AE105" s="89"/>
      <c r="AF105" s="89"/>
      <c r="AG105" s="89"/>
      <c r="AH105" s="89"/>
      <c r="AI105" s="88"/>
      <c r="AJ105" s="91"/>
    </row>
    <row r="106" customFormat="false" ht="15" hidden="false" customHeight="false" outlineLevel="0" collapsed="false">
      <c r="A106" s="68" t="e">
        <f aca="false">VLOOKUP(E106,'[1]Listas Desplegables'!$H$3:$J$7,2,FALSE())</f>
        <v>#N/A</v>
      </c>
      <c r="B106" s="68" t="e">
        <f aca="false">VLOOKUP(E106,'[1]Listas Desplegables'!$H$3:$J$7,3,FALSE())</f>
        <v>#N/A</v>
      </c>
      <c r="C106" s="85" t="n">
        <v>101</v>
      </c>
      <c r="D106" s="94"/>
      <c r="E106" s="94"/>
      <c r="F106" s="109"/>
      <c r="G106" s="87"/>
      <c r="H106" s="88"/>
      <c r="I106" s="88"/>
      <c r="J106" s="88"/>
      <c r="K106" s="88"/>
      <c r="L106" s="89"/>
      <c r="M106" s="88"/>
      <c r="N106" s="88"/>
      <c r="O106" s="88"/>
      <c r="P106" s="88"/>
      <c r="Q106" s="88"/>
      <c r="R106" s="88"/>
      <c r="S106" s="88"/>
      <c r="T106" s="88"/>
      <c r="U106" s="88"/>
      <c r="V106" s="88"/>
      <c r="W106" s="88"/>
      <c r="X106" s="88"/>
      <c r="Y106" s="89"/>
      <c r="Z106" s="95"/>
      <c r="AA106" s="89"/>
      <c r="AB106" s="89"/>
      <c r="AC106" s="89"/>
      <c r="AD106" s="89"/>
      <c r="AE106" s="89"/>
      <c r="AF106" s="89"/>
      <c r="AG106" s="89"/>
      <c r="AH106" s="89"/>
      <c r="AI106" s="88"/>
      <c r="AJ106" s="91"/>
    </row>
    <row r="107" customFormat="false" ht="15" hidden="false" customHeight="false" outlineLevel="0" collapsed="false">
      <c r="A107" s="68" t="e">
        <f aca="false">VLOOKUP(E107,'[1]Listas Desplegables'!$H$3:$J$7,2,FALSE())</f>
        <v>#N/A</v>
      </c>
      <c r="B107" s="68" t="e">
        <f aca="false">VLOOKUP(E107,'[1]Listas Desplegables'!$H$3:$J$7,3,FALSE())</f>
        <v>#N/A</v>
      </c>
      <c r="C107" s="85" t="n">
        <v>102</v>
      </c>
      <c r="D107" s="94"/>
      <c r="E107" s="94"/>
      <c r="F107" s="109"/>
      <c r="G107" s="87"/>
      <c r="H107" s="88"/>
      <c r="I107" s="88"/>
      <c r="J107" s="88"/>
      <c r="K107" s="88"/>
      <c r="L107" s="89"/>
      <c r="M107" s="88"/>
      <c r="N107" s="88"/>
      <c r="O107" s="88"/>
      <c r="P107" s="88"/>
      <c r="Q107" s="88"/>
      <c r="R107" s="88"/>
      <c r="S107" s="88"/>
      <c r="T107" s="88"/>
      <c r="U107" s="88"/>
      <c r="V107" s="88"/>
      <c r="W107" s="88"/>
      <c r="X107" s="88"/>
      <c r="Y107" s="89"/>
      <c r="Z107" s="95"/>
      <c r="AA107" s="89"/>
      <c r="AB107" s="89"/>
      <c r="AC107" s="89"/>
      <c r="AD107" s="89"/>
      <c r="AE107" s="89"/>
      <c r="AF107" s="89"/>
      <c r="AG107" s="89"/>
      <c r="AH107" s="89"/>
      <c r="AI107" s="88"/>
      <c r="AJ107" s="91"/>
    </row>
    <row r="108" customFormat="false" ht="15" hidden="false" customHeight="false" outlineLevel="0" collapsed="false">
      <c r="A108" s="68" t="e">
        <f aca="false">VLOOKUP(E108,'[1]Listas Desplegables'!$H$3:$J$7,2,FALSE())</f>
        <v>#N/A</v>
      </c>
      <c r="B108" s="68" t="e">
        <f aca="false">VLOOKUP(E108,'[1]Listas Desplegables'!$H$3:$J$7,3,FALSE())</f>
        <v>#N/A</v>
      </c>
      <c r="C108" s="85" t="n">
        <v>103</v>
      </c>
      <c r="D108" s="94"/>
      <c r="E108" s="94"/>
      <c r="F108" s="109"/>
      <c r="G108" s="87"/>
      <c r="H108" s="88"/>
      <c r="I108" s="88"/>
      <c r="J108" s="88"/>
      <c r="K108" s="88"/>
      <c r="L108" s="89"/>
      <c r="M108" s="88"/>
      <c r="N108" s="88"/>
      <c r="O108" s="88"/>
      <c r="P108" s="88"/>
      <c r="Q108" s="88"/>
      <c r="R108" s="88"/>
      <c r="S108" s="88"/>
      <c r="T108" s="88"/>
      <c r="U108" s="88"/>
      <c r="V108" s="88"/>
      <c r="W108" s="88"/>
      <c r="X108" s="88"/>
      <c r="Y108" s="89"/>
      <c r="Z108" s="95"/>
      <c r="AA108" s="89"/>
      <c r="AB108" s="89"/>
      <c r="AC108" s="89"/>
      <c r="AD108" s="89"/>
      <c r="AE108" s="89"/>
      <c r="AF108" s="89"/>
      <c r="AG108" s="89"/>
      <c r="AH108" s="89"/>
      <c r="AI108" s="88"/>
      <c r="AJ108" s="91"/>
    </row>
    <row r="109" customFormat="false" ht="15" hidden="false" customHeight="false" outlineLevel="0" collapsed="false">
      <c r="A109" s="68" t="e">
        <f aca="false">VLOOKUP(E109,'[1]Listas Desplegables'!$H$3:$J$7,2,FALSE())</f>
        <v>#N/A</v>
      </c>
      <c r="B109" s="68" t="e">
        <f aca="false">VLOOKUP(E109,'[1]Listas Desplegables'!$H$3:$J$7,3,FALSE())</f>
        <v>#N/A</v>
      </c>
      <c r="C109" s="85" t="n">
        <v>104</v>
      </c>
      <c r="D109" s="94"/>
      <c r="E109" s="94"/>
      <c r="F109" s="109"/>
      <c r="G109" s="87"/>
      <c r="H109" s="88"/>
      <c r="I109" s="88"/>
      <c r="J109" s="88"/>
      <c r="K109" s="88"/>
      <c r="L109" s="89"/>
      <c r="M109" s="88"/>
      <c r="N109" s="88"/>
      <c r="O109" s="88"/>
      <c r="P109" s="88"/>
      <c r="Q109" s="88"/>
      <c r="R109" s="88"/>
      <c r="S109" s="88"/>
      <c r="T109" s="88"/>
      <c r="U109" s="88"/>
      <c r="V109" s="88"/>
      <c r="W109" s="88"/>
      <c r="X109" s="88"/>
      <c r="Y109" s="89"/>
      <c r="Z109" s="95"/>
      <c r="AA109" s="89"/>
      <c r="AB109" s="89"/>
      <c r="AC109" s="89"/>
      <c r="AD109" s="89"/>
      <c r="AE109" s="89"/>
      <c r="AF109" s="89"/>
      <c r="AG109" s="89"/>
      <c r="AH109" s="89"/>
      <c r="AI109" s="88"/>
      <c r="AJ109" s="91"/>
    </row>
    <row r="110" customFormat="false" ht="15" hidden="false" customHeight="false" outlineLevel="0" collapsed="false">
      <c r="A110" s="68" t="e">
        <f aca="false">VLOOKUP(E110,'[1]Listas Desplegables'!$H$3:$J$7,2,FALSE())</f>
        <v>#N/A</v>
      </c>
      <c r="B110" s="68" t="e">
        <f aca="false">VLOOKUP(E110,'[1]Listas Desplegables'!$H$3:$J$7,3,FALSE())</f>
        <v>#N/A</v>
      </c>
      <c r="C110" s="85" t="n">
        <v>105</v>
      </c>
      <c r="D110" s="94"/>
      <c r="E110" s="94"/>
      <c r="F110" s="109"/>
      <c r="G110" s="87"/>
      <c r="H110" s="88"/>
      <c r="I110" s="88"/>
      <c r="J110" s="88"/>
      <c r="K110" s="88"/>
      <c r="L110" s="89"/>
      <c r="M110" s="88"/>
      <c r="N110" s="88"/>
      <c r="O110" s="88"/>
      <c r="P110" s="88"/>
      <c r="Q110" s="88"/>
      <c r="R110" s="88"/>
      <c r="S110" s="88"/>
      <c r="T110" s="88"/>
      <c r="U110" s="88"/>
      <c r="V110" s="88"/>
      <c r="W110" s="88"/>
      <c r="X110" s="88"/>
      <c r="Y110" s="89"/>
      <c r="Z110" s="95"/>
      <c r="AA110" s="89"/>
      <c r="AB110" s="89"/>
      <c r="AC110" s="89"/>
      <c r="AD110" s="89"/>
      <c r="AE110" s="89"/>
      <c r="AF110" s="89"/>
      <c r="AG110" s="89"/>
      <c r="AH110" s="89"/>
      <c r="AI110" s="88"/>
      <c r="AJ110" s="91"/>
    </row>
    <row r="111" customFormat="false" ht="15" hidden="false" customHeight="false" outlineLevel="0" collapsed="false">
      <c r="A111" s="68" t="e">
        <f aca="false">VLOOKUP(E111,'[1]Listas Desplegables'!$H$3:$J$7,2,FALSE())</f>
        <v>#N/A</v>
      </c>
      <c r="B111" s="68" t="e">
        <f aca="false">VLOOKUP(E111,'[1]Listas Desplegables'!$H$3:$J$7,3,FALSE())</f>
        <v>#N/A</v>
      </c>
      <c r="C111" s="85" t="n">
        <v>106</v>
      </c>
      <c r="D111" s="94"/>
      <c r="E111" s="94"/>
      <c r="F111" s="109"/>
      <c r="G111" s="87"/>
      <c r="H111" s="88"/>
      <c r="I111" s="88"/>
      <c r="J111" s="88"/>
      <c r="K111" s="88"/>
      <c r="L111" s="89"/>
      <c r="M111" s="88"/>
      <c r="N111" s="88"/>
      <c r="O111" s="88"/>
      <c r="P111" s="88"/>
      <c r="Q111" s="88"/>
      <c r="R111" s="88"/>
      <c r="S111" s="88"/>
      <c r="T111" s="88"/>
      <c r="U111" s="88"/>
      <c r="V111" s="88"/>
      <c r="W111" s="88"/>
      <c r="X111" s="88"/>
      <c r="Y111" s="89"/>
      <c r="Z111" s="95"/>
      <c r="AA111" s="89"/>
      <c r="AB111" s="89"/>
      <c r="AC111" s="89"/>
      <c r="AD111" s="89"/>
      <c r="AE111" s="89"/>
      <c r="AF111" s="89"/>
      <c r="AG111" s="89"/>
      <c r="AH111" s="89"/>
      <c r="AI111" s="88"/>
      <c r="AJ111" s="91"/>
    </row>
    <row r="112" customFormat="false" ht="15" hidden="false" customHeight="false" outlineLevel="0" collapsed="false">
      <c r="A112" s="68" t="e">
        <f aca="false">VLOOKUP(E112,'[1]Listas Desplegables'!$H$3:$J$7,2,FALSE())</f>
        <v>#N/A</v>
      </c>
      <c r="B112" s="68" t="e">
        <f aca="false">VLOOKUP(E112,'[1]Listas Desplegables'!$H$3:$J$7,3,FALSE())</f>
        <v>#N/A</v>
      </c>
      <c r="C112" s="85" t="n">
        <v>107</v>
      </c>
      <c r="D112" s="94"/>
      <c r="E112" s="94"/>
      <c r="F112" s="109"/>
      <c r="G112" s="87"/>
      <c r="H112" s="88"/>
      <c r="I112" s="88"/>
      <c r="J112" s="88"/>
      <c r="K112" s="88"/>
      <c r="L112" s="89"/>
      <c r="M112" s="88"/>
      <c r="N112" s="88"/>
      <c r="O112" s="88"/>
      <c r="P112" s="88"/>
      <c r="Q112" s="88"/>
      <c r="R112" s="88"/>
      <c r="S112" s="88"/>
      <c r="T112" s="88"/>
      <c r="U112" s="88"/>
      <c r="V112" s="88"/>
      <c r="W112" s="88"/>
      <c r="X112" s="88"/>
      <c r="Y112" s="89"/>
      <c r="Z112" s="95"/>
      <c r="AA112" s="89"/>
      <c r="AB112" s="89"/>
      <c r="AC112" s="89"/>
      <c r="AD112" s="89"/>
      <c r="AE112" s="89"/>
      <c r="AF112" s="89"/>
      <c r="AG112" s="89"/>
      <c r="AH112" s="89"/>
      <c r="AI112" s="88"/>
      <c r="AJ112" s="91"/>
    </row>
    <row r="113" customFormat="false" ht="15" hidden="false" customHeight="false" outlineLevel="0" collapsed="false">
      <c r="A113" s="68" t="e">
        <f aca="false">VLOOKUP(E113,'[1]Listas Desplegables'!$H$3:$J$7,2,FALSE())</f>
        <v>#N/A</v>
      </c>
      <c r="B113" s="68" t="e">
        <f aca="false">VLOOKUP(E113,'[1]Listas Desplegables'!$H$3:$J$7,3,FALSE())</f>
        <v>#N/A</v>
      </c>
      <c r="C113" s="85" t="n">
        <v>108</v>
      </c>
      <c r="D113" s="94"/>
      <c r="E113" s="94"/>
      <c r="F113" s="109"/>
      <c r="G113" s="87"/>
      <c r="H113" s="88"/>
      <c r="I113" s="88"/>
      <c r="J113" s="88"/>
      <c r="K113" s="88"/>
      <c r="L113" s="89"/>
      <c r="M113" s="88"/>
      <c r="N113" s="88"/>
      <c r="O113" s="88"/>
      <c r="P113" s="88"/>
      <c r="Q113" s="88"/>
      <c r="R113" s="88"/>
      <c r="S113" s="88"/>
      <c r="T113" s="88"/>
      <c r="U113" s="88"/>
      <c r="V113" s="88"/>
      <c r="W113" s="88"/>
      <c r="X113" s="88"/>
      <c r="Y113" s="89"/>
      <c r="Z113" s="95"/>
      <c r="AA113" s="89"/>
      <c r="AB113" s="89"/>
      <c r="AC113" s="89"/>
      <c r="AD113" s="89"/>
      <c r="AE113" s="89"/>
      <c r="AF113" s="89"/>
      <c r="AG113" s="89"/>
      <c r="AH113" s="89"/>
      <c r="AI113" s="88"/>
      <c r="AJ113" s="91"/>
    </row>
    <row r="114" customFormat="false" ht="15" hidden="false" customHeight="false" outlineLevel="0" collapsed="false">
      <c r="A114" s="68" t="e">
        <f aca="false">VLOOKUP(E114,'[1]Listas Desplegables'!$H$3:$J$7,2,FALSE())</f>
        <v>#N/A</v>
      </c>
      <c r="B114" s="68" t="e">
        <f aca="false">VLOOKUP(E114,'[1]Listas Desplegables'!$H$3:$J$7,3,FALSE())</f>
        <v>#N/A</v>
      </c>
      <c r="C114" s="85" t="n">
        <v>109</v>
      </c>
      <c r="D114" s="94"/>
      <c r="E114" s="94"/>
      <c r="F114" s="109"/>
      <c r="G114" s="87"/>
      <c r="H114" s="88"/>
      <c r="I114" s="88"/>
      <c r="J114" s="88"/>
      <c r="K114" s="88"/>
      <c r="L114" s="89"/>
      <c r="M114" s="88"/>
      <c r="N114" s="88"/>
      <c r="O114" s="88"/>
      <c r="P114" s="88"/>
      <c r="Q114" s="88"/>
      <c r="R114" s="88"/>
      <c r="S114" s="88"/>
      <c r="T114" s="88"/>
      <c r="U114" s="88"/>
      <c r="V114" s="88"/>
      <c r="W114" s="88"/>
      <c r="X114" s="88"/>
      <c r="Y114" s="89"/>
      <c r="Z114" s="95"/>
      <c r="AA114" s="89"/>
      <c r="AB114" s="89"/>
      <c r="AC114" s="89"/>
      <c r="AD114" s="89"/>
      <c r="AE114" s="89"/>
      <c r="AF114" s="89"/>
      <c r="AG114" s="89"/>
      <c r="AH114" s="89"/>
      <c r="AI114" s="88"/>
      <c r="AJ114" s="91"/>
    </row>
    <row r="115" customFormat="false" ht="15" hidden="false" customHeight="false" outlineLevel="0" collapsed="false">
      <c r="A115" s="68" t="e">
        <f aca="false">VLOOKUP(E115,'[1]Listas Desplegables'!$H$3:$J$7,2,FALSE())</f>
        <v>#N/A</v>
      </c>
      <c r="B115" s="68" t="e">
        <f aca="false">VLOOKUP(E115,'[1]Listas Desplegables'!$H$3:$J$7,3,FALSE())</f>
        <v>#N/A</v>
      </c>
      <c r="C115" s="85" t="n">
        <v>110</v>
      </c>
      <c r="D115" s="94"/>
      <c r="E115" s="94"/>
      <c r="F115" s="109"/>
      <c r="G115" s="87"/>
      <c r="H115" s="88"/>
      <c r="I115" s="88"/>
      <c r="J115" s="88"/>
      <c r="K115" s="88"/>
      <c r="L115" s="89"/>
      <c r="M115" s="88"/>
      <c r="N115" s="88"/>
      <c r="O115" s="88"/>
      <c r="P115" s="88"/>
      <c r="Q115" s="88"/>
      <c r="R115" s="88"/>
      <c r="S115" s="88"/>
      <c r="T115" s="88"/>
      <c r="U115" s="88"/>
      <c r="V115" s="88"/>
      <c r="W115" s="88"/>
      <c r="X115" s="88"/>
      <c r="Y115" s="89"/>
      <c r="Z115" s="95"/>
      <c r="AA115" s="89"/>
      <c r="AB115" s="89"/>
      <c r="AC115" s="89"/>
      <c r="AD115" s="89"/>
      <c r="AE115" s="89"/>
      <c r="AF115" s="89"/>
      <c r="AG115" s="89"/>
      <c r="AH115" s="89"/>
      <c r="AI115" s="88"/>
      <c r="AJ115" s="91"/>
    </row>
    <row r="116" customFormat="false" ht="15" hidden="false" customHeight="false" outlineLevel="0" collapsed="false">
      <c r="A116" s="68" t="e">
        <f aca="false">VLOOKUP(E116,'[1]Listas Desplegables'!$H$3:$J$7,2,FALSE())</f>
        <v>#N/A</v>
      </c>
      <c r="B116" s="68" t="e">
        <f aca="false">VLOOKUP(E116,'[1]Listas Desplegables'!$H$3:$J$7,3,FALSE())</f>
        <v>#N/A</v>
      </c>
      <c r="C116" s="85" t="n">
        <v>111</v>
      </c>
      <c r="D116" s="94"/>
      <c r="E116" s="94"/>
      <c r="F116" s="109"/>
      <c r="G116" s="87"/>
      <c r="H116" s="88"/>
      <c r="I116" s="88"/>
      <c r="J116" s="88"/>
      <c r="K116" s="88"/>
      <c r="L116" s="89"/>
      <c r="M116" s="88"/>
      <c r="N116" s="88"/>
      <c r="O116" s="88"/>
      <c r="P116" s="88"/>
      <c r="Q116" s="88"/>
      <c r="R116" s="88"/>
      <c r="S116" s="88"/>
      <c r="T116" s="88"/>
      <c r="U116" s="88"/>
      <c r="V116" s="88"/>
      <c r="W116" s="88"/>
      <c r="X116" s="88"/>
      <c r="Y116" s="89"/>
      <c r="Z116" s="95"/>
      <c r="AA116" s="89"/>
      <c r="AB116" s="89"/>
      <c r="AC116" s="89"/>
      <c r="AD116" s="89"/>
      <c r="AE116" s="89"/>
      <c r="AF116" s="89"/>
      <c r="AG116" s="89"/>
      <c r="AH116" s="89"/>
      <c r="AI116" s="88"/>
      <c r="AJ116" s="91"/>
    </row>
    <row r="117" customFormat="false" ht="15.75" hidden="false" customHeight="false" outlineLevel="0" collapsed="false">
      <c r="A117" s="68" t="e">
        <f aca="false">VLOOKUP(E117,'[1]Listas Desplegables'!$H$3:$J$7,2,FALSE())</f>
        <v>#N/A</v>
      </c>
      <c r="B117" s="68" t="e">
        <f aca="false">VLOOKUP(E117,'[1]Listas Desplegables'!$H$3:$J$7,3,FALSE())</f>
        <v>#N/A</v>
      </c>
      <c r="C117" s="85" t="n">
        <v>112</v>
      </c>
      <c r="D117" s="98"/>
      <c r="E117" s="98"/>
      <c r="F117" s="98"/>
      <c r="G117" s="98"/>
      <c r="H117" s="99"/>
      <c r="I117" s="99"/>
      <c r="J117" s="99"/>
      <c r="K117" s="99"/>
      <c r="L117" s="99"/>
      <c r="M117" s="99"/>
      <c r="N117" s="99"/>
      <c r="O117" s="99"/>
      <c r="P117" s="99"/>
      <c r="Q117" s="99"/>
      <c r="R117" s="99"/>
      <c r="S117" s="99"/>
      <c r="T117" s="99"/>
      <c r="U117" s="99"/>
      <c r="V117" s="99"/>
      <c r="W117" s="99"/>
      <c r="X117" s="99"/>
      <c r="Y117" s="99"/>
      <c r="Z117" s="111"/>
      <c r="AA117" s="99"/>
      <c r="AB117" s="99"/>
      <c r="AC117" s="99"/>
      <c r="AD117" s="99"/>
      <c r="AE117" s="99"/>
      <c r="AF117" s="99"/>
      <c r="AG117" s="99"/>
      <c r="AH117" s="99"/>
      <c r="AI117" s="99"/>
      <c r="AJ117" s="101"/>
    </row>
  </sheetData>
  <mergeCells count="34">
    <mergeCell ref="C3:AJ3"/>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X4"/>
    <mergeCell ref="Y4:Y5"/>
    <mergeCell ref="Z4:Z5"/>
    <mergeCell ref="AA4:AA5"/>
    <mergeCell ref="AB4:AB5"/>
    <mergeCell ref="AC4:AC5"/>
    <mergeCell ref="AD4:AD5"/>
    <mergeCell ref="AE4:AE5"/>
    <mergeCell ref="AF4:AF5"/>
    <mergeCell ref="AG4:AG5"/>
    <mergeCell ref="AH4:AH5"/>
    <mergeCell ref="AI4:AI5"/>
    <mergeCell ref="AJ4:AJ5"/>
  </mergeCells>
  <dataValidations count="6">
    <dataValidation allowBlank="true" errorStyle="stop" operator="between" showDropDown="false" showErrorMessage="true" showInputMessage="true" sqref="F6:K1117 M6:X1117" type="decimal">
      <formula1>-1000000</formula1>
      <formula2>10000000</formula2>
    </dataValidation>
    <dataValidation allowBlank="true" errorStyle="stop" operator="greaterThan" showDropDown="false" showErrorMessage="true" showInputMessage="true" sqref="Z6:Z1117" type="date">
      <formula1>1</formula1>
      <formula2>0</formula2>
    </dataValidation>
    <dataValidation allowBlank="true" errorStyle="stop" operator="between" showDropDown="false" showErrorMessage="true" showInputMessage="true" sqref="AJ6:AJ1117" type="decimal">
      <formula1>-10000000</formula1>
      <formula2>100000000000</formula2>
    </dataValidation>
    <dataValidation allowBlank="true" errorStyle="stop" operator="between" showDropDown="false" showErrorMessage="true" showInputMessage="true" sqref="Y6:Y1117" type="list">
      <formula1>'Listas Desplegables'!$B$16:$B$17</formula1>
      <formula2>0</formula2>
    </dataValidation>
    <dataValidation allowBlank="true" errorStyle="stop" operator="between" showDropDown="false" showErrorMessage="true" showInputMessage="true" sqref="AA6:AA1117" type="list">
      <formula1>'Listas Desplegables'!$B$19:$B$21</formula1>
      <formula2>0</formula2>
    </dataValidation>
    <dataValidation allowBlank="true" errorStyle="stop" operator="between" showDropDown="false" showErrorMessage="true" showInputMessage="true" sqref="AI6:AI117" type="list">
      <formula1>'Listas Desplegables'!$B$90:$B$93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AA185"/>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0" ySplit="4" topLeftCell="A107" activePane="bottomLeft" state="frozen"/>
      <selection pane="topLeft" activeCell="A1" activeCellId="0" sqref="A1"/>
      <selection pane="bottomLeft" activeCell="E114" activeCellId="0" sqref="E114"/>
    </sheetView>
  </sheetViews>
  <sheetFormatPr defaultColWidth="11.57421875" defaultRowHeight="15" zeroHeight="false" outlineLevelRow="0" outlineLevelCol="0"/>
  <cols>
    <col collapsed="false" customWidth="true" hidden="true" outlineLevel="0" max="2" min="1" style="68" width="3"/>
    <col collapsed="false" customWidth="true" hidden="false" outlineLevel="0" max="3" min="3" style="69" width="6.71"/>
    <col collapsed="false" customWidth="true" hidden="false" outlineLevel="0" max="4" min="4" style="0" width="15.17"/>
    <col collapsed="false" customWidth="true" hidden="false" outlineLevel="0" max="5" min="5" style="0" width="14.57"/>
    <col collapsed="false" customWidth="true" hidden="false" outlineLevel="0" max="7" min="6" style="0" width="12.72"/>
    <col collapsed="false" customWidth="true" hidden="false" outlineLevel="0" max="11" min="10" style="0" width="14.86"/>
    <col collapsed="false" customWidth="true" hidden="false" outlineLevel="0" max="12" min="12" style="0" width="11.43"/>
    <col collapsed="false" customWidth="false" hidden="false" outlineLevel="0" max="19" min="19" style="102" width="11.57"/>
    <col collapsed="false" customWidth="true" hidden="false" outlineLevel="0" max="26" min="22" style="0" width="16.57"/>
    <col collapsed="false" customWidth="true" hidden="false" outlineLevel="0" max="27" min="27" style="0" width="36"/>
  </cols>
  <sheetData>
    <row r="1" customFormat="false" ht="15" hidden="true" customHeight="false" outlineLevel="0" collapsed="false"/>
    <row r="2" customFormat="false" ht="15.75" hidden="true" customHeight="false" outlineLevel="0" collapsed="false"/>
    <row r="3" s="73" customFormat="true" ht="15.75" hidden="true" customHeight="false" outlineLevel="0" collapsed="false">
      <c r="A3" s="71"/>
      <c r="B3" s="71"/>
      <c r="C3" s="72" t="s">
        <v>536</v>
      </c>
      <c r="D3" s="72"/>
      <c r="E3" s="72"/>
      <c r="F3" s="72"/>
      <c r="G3" s="72"/>
      <c r="H3" s="72"/>
      <c r="I3" s="72"/>
      <c r="J3" s="72"/>
      <c r="K3" s="72"/>
      <c r="L3" s="72"/>
      <c r="M3" s="72"/>
      <c r="N3" s="72"/>
      <c r="O3" s="72"/>
      <c r="P3" s="72"/>
      <c r="Q3" s="72"/>
      <c r="R3" s="72"/>
      <c r="S3" s="72"/>
      <c r="T3" s="72"/>
      <c r="U3" s="72"/>
      <c r="V3" s="72"/>
      <c r="W3" s="72"/>
      <c r="X3" s="72"/>
      <c r="Y3" s="72"/>
      <c r="Z3" s="72"/>
      <c r="AA3" s="72"/>
    </row>
    <row r="4" s="77" customFormat="true" ht="30.45" hidden="false" customHeight="true" outlineLevel="0" collapsed="false">
      <c r="A4" s="74"/>
      <c r="B4" s="74"/>
      <c r="C4" s="75" t="s">
        <v>214</v>
      </c>
      <c r="D4" s="76" t="str">
        <f aca="false">'Manual de Uso'!C87</f>
        <v>Nombre</v>
      </c>
      <c r="E4" s="76" t="str">
        <f aca="false">'Manual de Uso'!C88</f>
        <v>Subestación</v>
      </c>
      <c r="F4" s="76" t="str">
        <f aca="false">'Manual de Uso'!C89</f>
        <v>Nivel de tensión HV [kV]</v>
      </c>
      <c r="G4" s="76" t="str">
        <f aca="false">'Manual de Uso'!C90</f>
        <v>Nivel de tensión LV [kV]</v>
      </c>
      <c r="H4" s="76" t="str">
        <f aca="false">'Manual de Uso'!C91</f>
        <v>Capacidad [MVA]</v>
      </c>
      <c r="I4" s="76" t="str">
        <f aca="false">'Manual de Uso'!C92</f>
        <v>Grupo de conexión</v>
      </c>
      <c r="J4" s="76" t="str">
        <f aca="false">'Manual de Uso'!C93</f>
        <v>Impedancia Secuencia +[%]</v>
      </c>
      <c r="K4" s="76" t="str">
        <f aca="false">'Manual de Uso'!C94</f>
        <v>Impedancia Secuencia 0[%]</v>
      </c>
      <c r="L4" s="76" t="str">
        <f aca="false">'Manual de Uso'!C95</f>
        <v>Posición Neutral Tap</v>
      </c>
      <c r="M4" s="76" t="str">
        <f aca="false">'Manual de Uso'!C96</f>
        <v>Posición Máxima Tap</v>
      </c>
      <c r="N4" s="76" t="str">
        <f aca="false">'Manual de Uso'!C97</f>
        <v>Posición Mínima Tap</v>
      </c>
      <c r="O4" s="76" t="str">
        <f aca="false">'Manual de Uso'!C98</f>
        <v>Delta Tap [%]</v>
      </c>
      <c r="P4" s="103" t="str">
        <f aca="false">'Manual de Uso'!C99</f>
        <v>Sobrecarga en emergencia</v>
      </c>
      <c r="Q4" s="103"/>
      <c r="R4" s="76" t="str">
        <f aca="false">'Manual de Uso'!C100</f>
        <v>En Operación</v>
      </c>
      <c r="S4" s="104" t="str">
        <f aca="false">'Manual de Uso'!C101</f>
        <v>FPO</v>
      </c>
      <c r="T4" s="105" t="str">
        <f aca="false">'Manual de Uso'!C102</f>
        <v>Sistema</v>
      </c>
      <c r="U4" s="76" t="str">
        <f aca="false">'Manual de Uso'!C103</f>
        <v>Pérdidas Cu [kW]</v>
      </c>
      <c r="V4" s="76" t="str">
        <f aca="false">'Manual de Uso'!C104</f>
        <v>Tiempo medio de reparación por evento [h]</v>
      </c>
      <c r="W4" s="76" t="str">
        <f aca="false">'Manual de Uso'!C105</f>
        <v>Horas anuales de indisponibilidad [h]</v>
      </c>
      <c r="X4" s="76" t="str">
        <f aca="false">'Manual de Uso'!C106</f>
        <v>Eventos anuales de indisponibilidad</v>
      </c>
      <c r="Y4" s="76" t="str">
        <f aca="false">'Manual de Uso'!C107</f>
        <v>Operador</v>
      </c>
      <c r="Z4" s="76" t="str">
        <f aca="false">'Manual de Uso'!C108</f>
        <v>Tipo activo Uso/Conexión</v>
      </c>
      <c r="AA4" s="76" t="str">
        <f aca="false">'Manual de Uso'!C109</f>
        <v>Observaciones transportador</v>
      </c>
    </row>
    <row r="5" s="77" customFormat="true" ht="10.6" hidden="false" customHeight="true" outlineLevel="0" collapsed="false">
      <c r="A5" s="74"/>
      <c r="B5" s="74"/>
      <c r="C5" s="75"/>
      <c r="D5" s="76"/>
      <c r="E5" s="76"/>
      <c r="F5" s="76"/>
      <c r="G5" s="76"/>
      <c r="H5" s="76"/>
      <c r="I5" s="76"/>
      <c r="J5" s="76"/>
      <c r="K5" s="76"/>
      <c r="L5" s="76"/>
      <c r="M5" s="76"/>
      <c r="N5" s="76"/>
      <c r="O5" s="76"/>
      <c r="P5" s="106" t="s">
        <v>454</v>
      </c>
      <c r="Q5" s="106" t="s">
        <v>455</v>
      </c>
      <c r="R5" s="76"/>
      <c r="S5" s="104"/>
      <c r="T5" s="105"/>
      <c r="U5" s="76"/>
      <c r="V5" s="76"/>
      <c r="W5" s="76"/>
      <c r="X5" s="76"/>
      <c r="Y5" s="76"/>
      <c r="Z5" s="76"/>
      <c r="AA5" s="76"/>
    </row>
    <row r="6" customFormat="false" ht="15" hidden="false" customHeight="false" outlineLevel="0" collapsed="false">
      <c r="A6" s="68" t="e">
        <f aca="false">VLOOKUP(E6,'[1]Listas Desplegables'!$H$3:$J$7,2,FALSE())</f>
        <v>#N/A</v>
      </c>
      <c r="B6" s="68" t="e">
        <f aca="false">VLOOKUP(E6,'[1]Listas Desplegables'!$H$3:$J$7,3,FALSE())</f>
        <v>#N/A</v>
      </c>
      <c r="C6" s="78" t="n">
        <v>1</v>
      </c>
      <c r="D6" s="79" t="s">
        <v>537</v>
      </c>
      <c r="E6" s="79" t="s">
        <v>538</v>
      </c>
      <c r="F6" s="80" t="n">
        <v>34.5</v>
      </c>
      <c r="G6" s="81" t="n">
        <v>13.8</v>
      </c>
      <c r="H6" s="81" t="n">
        <v>15</v>
      </c>
      <c r="I6" s="82" t="s">
        <v>539</v>
      </c>
      <c r="J6" s="81" t="n">
        <v>9.12</v>
      </c>
      <c r="K6" s="81" t="n">
        <v>9.12</v>
      </c>
      <c r="L6" s="81" t="n">
        <v>0</v>
      </c>
      <c r="M6" s="81" t="n">
        <v>10</v>
      </c>
      <c r="N6" s="81" t="n">
        <v>-10</v>
      </c>
      <c r="O6" s="81" t="n">
        <v>1</v>
      </c>
      <c r="P6" s="81" t="n">
        <v>115</v>
      </c>
      <c r="Q6" s="81" t="n">
        <v>30</v>
      </c>
      <c r="R6" s="82" t="s">
        <v>221</v>
      </c>
      <c r="S6" s="107"/>
      <c r="T6" s="82" t="s">
        <v>290</v>
      </c>
      <c r="U6" s="82" t="n">
        <v>66.431</v>
      </c>
      <c r="V6" s="82"/>
      <c r="W6" s="82" t="n">
        <v>0</v>
      </c>
      <c r="X6" s="82" t="n">
        <v>0</v>
      </c>
      <c r="Y6" s="82"/>
      <c r="Z6" s="81"/>
      <c r="AA6" s="84"/>
    </row>
    <row r="7" customFormat="false" ht="15" hidden="false" customHeight="false" outlineLevel="0" collapsed="false">
      <c r="A7" s="68" t="e">
        <f aca="false">VLOOKUP(E7,'[1]Listas Desplegables'!$H$3:$J$7,2,FALSE())</f>
        <v>#N/A</v>
      </c>
      <c r="B7" s="68" t="e">
        <f aca="false">VLOOKUP(E7,'[1]Listas Desplegables'!$H$3:$J$7,3,FALSE())</f>
        <v>#N/A</v>
      </c>
      <c r="C7" s="85" t="n">
        <v>2</v>
      </c>
      <c r="D7" s="86" t="s">
        <v>540</v>
      </c>
      <c r="E7" s="86" t="s">
        <v>538</v>
      </c>
      <c r="F7" s="87" t="n">
        <v>34.5</v>
      </c>
      <c r="G7" s="88" t="n">
        <v>13.8</v>
      </c>
      <c r="H7" s="88" t="n">
        <v>12.5</v>
      </c>
      <c r="I7" s="89" t="s">
        <v>539</v>
      </c>
      <c r="J7" s="88" t="n">
        <v>8.8125</v>
      </c>
      <c r="K7" s="88" t="n">
        <v>8.8125</v>
      </c>
      <c r="L7" s="88" t="n">
        <v>0</v>
      </c>
      <c r="M7" s="88" t="n">
        <v>16</v>
      </c>
      <c r="N7" s="88" t="n">
        <v>-16</v>
      </c>
      <c r="O7" s="88" t="n">
        <v>0.625</v>
      </c>
      <c r="P7" s="88" t="n">
        <v>100</v>
      </c>
      <c r="Q7" s="88" t="n">
        <v>0</v>
      </c>
      <c r="R7" s="89" t="s">
        <v>221</v>
      </c>
      <c r="S7" s="95"/>
      <c r="T7" s="89" t="s">
        <v>290</v>
      </c>
      <c r="U7" s="89" t="n">
        <v>71.192</v>
      </c>
      <c r="V7" s="89"/>
      <c r="W7" s="89"/>
      <c r="X7" s="89"/>
      <c r="Y7" s="89"/>
      <c r="Z7" s="88"/>
      <c r="AA7" s="91"/>
    </row>
    <row r="8" customFormat="false" ht="15" hidden="false" customHeight="false" outlineLevel="0" collapsed="false">
      <c r="A8" s="68" t="e">
        <f aca="false">VLOOKUP(E8,'[1]Listas Desplegables'!$H$3:$J$7,2,FALSE())</f>
        <v>#N/A</v>
      </c>
      <c r="B8" s="68" t="e">
        <f aca="false">VLOOKUP(E8,'[1]Listas Desplegables'!$H$3:$J$7,3,FALSE())</f>
        <v>#N/A</v>
      </c>
      <c r="C8" s="85" t="n">
        <v>3</v>
      </c>
      <c r="D8" s="86" t="s">
        <v>541</v>
      </c>
      <c r="E8" s="86" t="s">
        <v>542</v>
      </c>
      <c r="F8" s="87" t="n">
        <v>34.5</v>
      </c>
      <c r="G8" s="88" t="n">
        <v>13.8</v>
      </c>
      <c r="H8" s="88" t="n">
        <v>12.5</v>
      </c>
      <c r="I8" s="89" t="s">
        <v>543</v>
      </c>
      <c r="J8" s="88" t="n">
        <v>9.1</v>
      </c>
      <c r="K8" s="88" t="n">
        <v>9.1</v>
      </c>
      <c r="L8" s="88" t="n">
        <v>0</v>
      </c>
      <c r="M8" s="88" t="n">
        <v>2</v>
      </c>
      <c r="N8" s="88" t="n">
        <v>-2</v>
      </c>
      <c r="O8" s="88" t="n">
        <v>2.5</v>
      </c>
      <c r="P8" s="88" t="n">
        <v>110</v>
      </c>
      <c r="Q8" s="88" t="n">
        <v>30</v>
      </c>
      <c r="R8" s="89" t="s">
        <v>221</v>
      </c>
      <c r="S8" s="95"/>
      <c r="T8" s="89" t="s">
        <v>290</v>
      </c>
      <c r="U8" s="89" t="n">
        <v>80</v>
      </c>
      <c r="V8" s="89"/>
      <c r="W8" s="89" t="n">
        <v>0.00388333333333333</v>
      </c>
      <c r="X8" s="89" t="n">
        <v>2</v>
      </c>
      <c r="Y8" s="89"/>
      <c r="Z8" s="88"/>
      <c r="AA8" s="91"/>
    </row>
    <row r="9" customFormat="false" ht="15" hidden="false" customHeight="false" outlineLevel="0" collapsed="false">
      <c r="A9" s="68" t="e">
        <f aca="false">VLOOKUP(E9,'[1]Listas Desplegables'!$H$3:$J$7,2,FALSE())</f>
        <v>#N/A</v>
      </c>
      <c r="B9" s="68" t="e">
        <f aca="false">VLOOKUP(E9,'[1]Listas Desplegables'!$H$3:$J$7,3,FALSE())</f>
        <v>#N/A</v>
      </c>
      <c r="C9" s="85" t="n">
        <v>4</v>
      </c>
      <c r="D9" s="86" t="s">
        <v>544</v>
      </c>
      <c r="E9" s="86" t="s">
        <v>545</v>
      </c>
      <c r="F9" s="87" t="n">
        <v>34.5</v>
      </c>
      <c r="G9" s="88" t="n">
        <v>13.8</v>
      </c>
      <c r="H9" s="88" t="n">
        <v>12.5</v>
      </c>
      <c r="I9" s="89" t="s">
        <v>543</v>
      </c>
      <c r="J9" s="88" t="n">
        <v>5.264</v>
      </c>
      <c r="K9" s="88" t="n">
        <v>5.264</v>
      </c>
      <c r="L9" s="88" t="n">
        <v>0</v>
      </c>
      <c r="M9" s="88" t="n">
        <v>8</v>
      </c>
      <c r="N9" s="88" t="n">
        <v>-8</v>
      </c>
      <c r="O9" s="88" t="n">
        <v>1.25</v>
      </c>
      <c r="P9" s="88" t="n">
        <v>110</v>
      </c>
      <c r="Q9" s="88" t="n">
        <v>30</v>
      </c>
      <c r="R9" s="89" t="s">
        <v>221</v>
      </c>
      <c r="S9" s="95"/>
      <c r="T9" s="89" t="s">
        <v>290</v>
      </c>
      <c r="U9" s="89" t="n">
        <v>24</v>
      </c>
      <c r="V9" s="89"/>
      <c r="W9" s="89" t="n">
        <v>0.280927777777778</v>
      </c>
      <c r="X9" s="89" t="n">
        <v>3</v>
      </c>
      <c r="Y9" s="89"/>
      <c r="Z9" s="88"/>
      <c r="AA9" s="91"/>
    </row>
    <row r="10" customFormat="false" ht="15" hidden="false" customHeight="false" outlineLevel="0" collapsed="false">
      <c r="A10" s="68" t="e">
        <f aca="false">VLOOKUP(E10,'[1]Listas Desplegables'!$H$3:$J$7,2,FALSE())</f>
        <v>#N/A</v>
      </c>
      <c r="B10" s="68" t="e">
        <f aca="false">VLOOKUP(E10,'[1]Listas Desplegables'!$H$3:$J$7,3,FALSE())</f>
        <v>#N/A</v>
      </c>
      <c r="C10" s="85" t="n">
        <v>5</v>
      </c>
      <c r="D10" s="86" t="s">
        <v>546</v>
      </c>
      <c r="E10" s="86" t="s">
        <v>547</v>
      </c>
      <c r="F10" s="87" t="n">
        <v>34.5</v>
      </c>
      <c r="G10" s="88" t="n">
        <v>13.8</v>
      </c>
      <c r="H10" s="88" t="n">
        <v>1</v>
      </c>
      <c r="I10" s="89" t="s">
        <v>548</v>
      </c>
      <c r="J10" s="88" t="n">
        <v>4.89</v>
      </c>
      <c r="K10" s="88" t="n">
        <v>4.89</v>
      </c>
      <c r="L10" s="88" t="n">
        <v>0</v>
      </c>
      <c r="M10" s="88" t="n">
        <v>2</v>
      </c>
      <c r="N10" s="88" t="n">
        <v>-2</v>
      </c>
      <c r="O10" s="88" t="n">
        <v>2.5</v>
      </c>
      <c r="P10" s="88" t="n">
        <v>105</v>
      </c>
      <c r="Q10" s="88" t="n">
        <v>30</v>
      </c>
      <c r="R10" s="89" t="s">
        <v>221</v>
      </c>
      <c r="S10" s="95"/>
      <c r="T10" s="89" t="s">
        <v>290</v>
      </c>
      <c r="U10" s="89" t="n">
        <v>12</v>
      </c>
      <c r="V10" s="89"/>
      <c r="W10" s="89" t="n">
        <v>2.51083333333333</v>
      </c>
      <c r="X10" s="89" t="n">
        <v>2</v>
      </c>
      <c r="Y10" s="89"/>
      <c r="Z10" s="88"/>
      <c r="AA10" s="91"/>
    </row>
    <row r="11" customFormat="false" ht="15" hidden="false" customHeight="false" outlineLevel="0" collapsed="false">
      <c r="A11" s="68" t="e">
        <f aca="false">VLOOKUP(E11,'[1]Listas Desplegables'!$H$3:$J$7,2,FALSE())</f>
        <v>#N/A</v>
      </c>
      <c r="B11" s="68" t="e">
        <f aca="false">VLOOKUP(E11,'[1]Listas Desplegables'!$H$3:$J$7,3,FALSE())</f>
        <v>#N/A</v>
      </c>
      <c r="C11" s="85" t="n">
        <v>6</v>
      </c>
      <c r="D11" s="86" t="s">
        <v>549</v>
      </c>
      <c r="E11" s="86" t="s">
        <v>550</v>
      </c>
      <c r="F11" s="87" t="n">
        <v>34.5</v>
      </c>
      <c r="G11" s="88" t="n">
        <v>13.8</v>
      </c>
      <c r="H11" s="88" t="n">
        <v>8</v>
      </c>
      <c r="I11" s="89" t="s">
        <v>548</v>
      </c>
      <c r="J11" s="88" t="n">
        <v>6.56</v>
      </c>
      <c r="K11" s="88" t="n">
        <v>6.56</v>
      </c>
      <c r="L11" s="88" t="n">
        <v>0</v>
      </c>
      <c r="M11" s="88" t="n">
        <v>4</v>
      </c>
      <c r="N11" s="88" t="n">
        <v>-4</v>
      </c>
      <c r="O11" s="88" t="n">
        <v>2.5</v>
      </c>
      <c r="P11" s="88" t="n">
        <v>110</v>
      </c>
      <c r="Q11" s="88" t="n">
        <v>30</v>
      </c>
      <c r="R11" s="89" t="s">
        <v>221</v>
      </c>
      <c r="S11" s="95"/>
      <c r="T11" s="89" t="s">
        <v>290</v>
      </c>
      <c r="U11" s="89" t="n">
        <v>28</v>
      </c>
      <c r="V11" s="89"/>
      <c r="W11" s="89" t="n">
        <v>0</v>
      </c>
      <c r="X11" s="89" t="n">
        <v>0</v>
      </c>
      <c r="Y11" s="89"/>
      <c r="Z11" s="88"/>
      <c r="AA11" s="91" t="s">
        <v>551</v>
      </c>
    </row>
    <row r="12" customFormat="false" ht="15" hidden="false" customHeight="false" outlineLevel="0" collapsed="false">
      <c r="A12" s="68" t="e">
        <f aca="false">VLOOKUP(E12,'[1]Listas Desplegables'!$H$3:$J$7,2,FALSE())</f>
        <v>#N/A</v>
      </c>
      <c r="B12" s="68" t="e">
        <f aca="false">VLOOKUP(E12,'[1]Listas Desplegables'!$H$3:$J$7,3,FALSE())</f>
        <v>#N/A</v>
      </c>
      <c r="C12" s="85" t="n">
        <v>7</v>
      </c>
      <c r="D12" s="86" t="s">
        <v>552</v>
      </c>
      <c r="E12" s="86" t="s">
        <v>550</v>
      </c>
      <c r="F12" s="87" t="n">
        <v>34.5</v>
      </c>
      <c r="G12" s="88" t="n">
        <v>13.8</v>
      </c>
      <c r="H12" s="88" t="n">
        <v>4</v>
      </c>
      <c r="I12" s="89" t="s">
        <v>543</v>
      </c>
      <c r="J12" s="88" t="n">
        <v>5.62</v>
      </c>
      <c r="K12" s="88" t="n">
        <v>5.62</v>
      </c>
      <c r="L12" s="88" t="n">
        <v>0</v>
      </c>
      <c r="M12" s="88" t="n">
        <v>2</v>
      </c>
      <c r="N12" s="88" t="n">
        <v>-2</v>
      </c>
      <c r="O12" s="88" t="n">
        <v>2.5</v>
      </c>
      <c r="P12" s="88" t="n">
        <v>110</v>
      </c>
      <c r="Q12" s="88" t="n">
        <v>30</v>
      </c>
      <c r="R12" s="89" t="s">
        <v>221</v>
      </c>
      <c r="S12" s="95"/>
      <c r="T12" s="89" t="s">
        <v>290</v>
      </c>
      <c r="U12" s="89"/>
      <c r="V12" s="89"/>
      <c r="W12" s="89" t="n">
        <v>0</v>
      </c>
      <c r="X12" s="89" t="n">
        <v>0</v>
      </c>
      <c r="Y12" s="89"/>
      <c r="Z12" s="88"/>
      <c r="AA12" s="91" t="s">
        <v>553</v>
      </c>
    </row>
    <row r="13" customFormat="false" ht="15" hidden="false" customHeight="false" outlineLevel="0" collapsed="false">
      <c r="A13" s="68" t="e">
        <f aca="false">VLOOKUP(E13,'[1]Listas Desplegables'!$H$3:$J$7,2,FALSE())</f>
        <v>#N/A</v>
      </c>
      <c r="B13" s="68" t="e">
        <f aca="false">VLOOKUP(E13,'[1]Listas Desplegables'!$H$3:$J$7,3,FALSE())</f>
        <v>#N/A</v>
      </c>
      <c r="C13" s="85" t="n">
        <v>8</v>
      </c>
      <c r="D13" s="86" t="s">
        <v>554</v>
      </c>
      <c r="E13" s="86" t="s">
        <v>555</v>
      </c>
      <c r="F13" s="87" t="n">
        <v>34.5</v>
      </c>
      <c r="G13" s="88" t="n">
        <v>13.8</v>
      </c>
      <c r="H13" s="88" t="n">
        <v>12.5</v>
      </c>
      <c r="I13" s="89" t="s">
        <v>539</v>
      </c>
      <c r="J13" s="88" t="n">
        <v>8.8125</v>
      </c>
      <c r="K13" s="88" t="n">
        <v>8.8125</v>
      </c>
      <c r="L13" s="88" t="n">
        <v>0</v>
      </c>
      <c r="M13" s="88" t="n">
        <v>16</v>
      </c>
      <c r="N13" s="88" t="n">
        <v>-16</v>
      </c>
      <c r="O13" s="88" t="n">
        <v>0.625</v>
      </c>
      <c r="P13" s="88" t="n">
        <v>115</v>
      </c>
      <c r="Q13" s="88" t="n">
        <v>30</v>
      </c>
      <c r="R13" s="89" t="s">
        <v>221</v>
      </c>
      <c r="S13" s="95"/>
      <c r="T13" s="89" t="s">
        <v>290</v>
      </c>
      <c r="U13" s="89" t="n">
        <v>71.192</v>
      </c>
      <c r="V13" s="89"/>
      <c r="W13" s="89" t="n">
        <v>22.5419416666667</v>
      </c>
      <c r="X13" s="89" t="n">
        <v>2</v>
      </c>
      <c r="Y13" s="89"/>
      <c r="Z13" s="88"/>
      <c r="AA13" s="91"/>
    </row>
    <row r="14" customFormat="false" ht="15" hidden="false" customHeight="false" outlineLevel="0" collapsed="false">
      <c r="A14" s="68" t="e">
        <f aca="false">VLOOKUP(E14,'[1]Listas Desplegables'!$H$3:$J$7,2,FALSE())</f>
        <v>#N/A</v>
      </c>
      <c r="B14" s="68" t="e">
        <f aca="false">VLOOKUP(E14,'[1]Listas Desplegables'!$H$3:$J$7,3,FALSE())</f>
        <v>#N/A</v>
      </c>
      <c r="C14" s="85" t="n">
        <v>9</v>
      </c>
      <c r="D14" s="86" t="s">
        <v>556</v>
      </c>
      <c r="E14" s="86" t="s">
        <v>555</v>
      </c>
      <c r="F14" s="87" t="n">
        <v>34.5</v>
      </c>
      <c r="G14" s="88" t="n">
        <v>13.8</v>
      </c>
      <c r="H14" s="88" t="n">
        <v>12.5</v>
      </c>
      <c r="I14" s="89" t="s">
        <v>539</v>
      </c>
      <c r="J14" s="88" t="n">
        <v>7.07</v>
      </c>
      <c r="K14" s="88" t="n">
        <v>7.07</v>
      </c>
      <c r="L14" s="88" t="n">
        <v>0</v>
      </c>
      <c r="M14" s="88" t="n">
        <v>16</v>
      </c>
      <c r="N14" s="88" t="n">
        <v>-16</v>
      </c>
      <c r="O14" s="88" t="n">
        <v>0.625</v>
      </c>
      <c r="P14" s="88" t="n">
        <v>115</v>
      </c>
      <c r="Q14" s="88" t="n">
        <v>30</v>
      </c>
      <c r="R14" s="89" t="s">
        <v>221</v>
      </c>
      <c r="S14" s="95"/>
      <c r="T14" s="89" t="s">
        <v>290</v>
      </c>
      <c r="U14" s="89" t="n">
        <v>81</v>
      </c>
      <c r="V14" s="89"/>
      <c r="W14" s="89"/>
      <c r="X14" s="89"/>
      <c r="Y14" s="89"/>
      <c r="Z14" s="88"/>
      <c r="AA14" s="91"/>
    </row>
    <row r="15" customFormat="false" ht="15" hidden="false" customHeight="false" outlineLevel="0" collapsed="false">
      <c r="A15" s="68" t="e">
        <f aca="false">VLOOKUP(E15,'[1]Listas Desplegables'!$H$3:$J$7,2,FALSE())</f>
        <v>#N/A</v>
      </c>
      <c r="B15" s="68" t="e">
        <f aca="false">VLOOKUP(E15,'[1]Listas Desplegables'!$H$3:$J$7,3,FALSE())</f>
        <v>#N/A</v>
      </c>
      <c r="C15" s="92" t="n">
        <v>10</v>
      </c>
      <c r="D15" s="86" t="s">
        <v>557</v>
      </c>
      <c r="E15" s="86" t="s">
        <v>558</v>
      </c>
      <c r="F15" s="87" t="n">
        <v>34.5</v>
      </c>
      <c r="G15" s="88" t="n">
        <v>13.8</v>
      </c>
      <c r="H15" s="88" t="n">
        <v>4</v>
      </c>
      <c r="I15" s="89" t="s">
        <v>543</v>
      </c>
      <c r="J15" s="88" t="n">
        <v>7.91</v>
      </c>
      <c r="K15" s="88" t="n">
        <v>7.91</v>
      </c>
      <c r="L15" s="88" t="n">
        <v>0</v>
      </c>
      <c r="M15" s="88" t="n">
        <v>2</v>
      </c>
      <c r="N15" s="88" t="n">
        <v>-2</v>
      </c>
      <c r="O15" s="88" t="n">
        <v>2.5</v>
      </c>
      <c r="P15" s="88" t="n">
        <v>115</v>
      </c>
      <c r="Q15" s="88" t="n">
        <v>30</v>
      </c>
      <c r="R15" s="89" t="s">
        <v>221</v>
      </c>
      <c r="S15" s="95"/>
      <c r="T15" s="89" t="s">
        <v>290</v>
      </c>
      <c r="U15" s="89"/>
      <c r="V15" s="89"/>
      <c r="W15" s="89" t="n">
        <v>0.146808333333333</v>
      </c>
      <c r="X15" s="89" t="n">
        <v>2</v>
      </c>
      <c r="Y15" s="89"/>
      <c r="Z15" s="88"/>
      <c r="AA15" s="91"/>
    </row>
    <row r="16" customFormat="false" ht="15" hidden="false" customHeight="false" outlineLevel="0" collapsed="false">
      <c r="A16" s="68" t="e">
        <f aca="false">VLOOKUP(E16,'[1]Listas Desplegables'!$H$3:$J$7,2,FALSE())</f>
        <v>#N/A</v>
      </c>
      <c r="B16" s="68" t="e">
        <f aca="false">VLOOKUP(E16,'[1]Listas Desplegables'!$H$3:$J$7,3,FALSE())</f>
        <v>#N/A</v>
      </c>
      <c r="C16" s="85" t="n">
        <v>11</v>
      </c>
      <c r="D16" s="86" t="s">
        <v>559</v>
      </c>
      <c r="E16" s="86" t="s">
        <v>560</v>
      </c>
      <c r="F16" s="87" t="n">
        <v>34.5</v>
      </c>
      <c r="G16" s="88" t="n">
        <v>13.8</v>
      </c>
      <c r="H16" s="88" t="n">
        <v>10</v>
      </c>
      <c r="I16" s="89" t="s">
        <v>539</v>
      </c>
      <c r="J16" s="88" t="n">
        <v>7.55</v>
      </c>
      <c r="K16" s="88" t="n">
        <v>7.55</v>
      </c>
      <c r="L16" s="88" t="n">
        <v>0</v>
      </c>
      <c r="M16" s="88" t="n">
        <v>2</v>
      </c>
      <c r="N16" s="88" t="n">
        <v>-2</v>
      </c>
      <c r="O16" s="88" t="n">
        <v>2.5</v>
      </c>
      <c r="P16" s="88" t="n">
        <v>105</v>
      </c>
      <c r="Q16" s="88" t="n">
        <v>30</v>
      </c>
      <c r="R16" s="89" t="s">
        <v>221</v>
      </c>
      <c r="S16" s="95"/>
      <c r="T16" s="89" t="s">
        <v>290</v>
      </c>
      <c r="U16" s="89" t="n">
        <v>44.8</v>
      </c>
      <c r="V16" s="89"/>
      <c r="W16" s="89" t="n">
        <v>0</v>
      </c>
      <c r="X16" s="89" t="n">
        <v>1</v>
      </c>
      <c r="Y16" s="89"/>
      <c r="Z16" s="88"/>
      <c r="AA16" s="91"/>
    </row>
    <row r="17" customFormat="false" ht="15" hidden="false" customHeight="false" outlineLevel="0" collapsed="false">
      <c r="A17" s="68" t="e">
        <f aca="false">VLOOKUP(E17,'[1]Listas Desplegables'!$H$3:$J$7,2,FALSE())</f>
        <v>#N/A</v>
      </c>
      <c r="B17" s="68" t="e">
        <f aca="false">VLOOKUP(E17,'[1]Listas Desplegables'!$H$3:$J$7,3,FALSE())</f>
        <v>#N/A</v>
      </c>
      <c r="C17" s="85" t="n">
        <v>12</v>
      </c>
      <c r="D17" s="86" t="s">
        <v>561</v>
      </c>
      <c r="E17" s="86" t="s">
        <v>562</v>
      </c>
      <c r="F17" s="87" t="n">
        <v>110</v>
      </c>
      <c r="G17" s="88" t="n">
        <v>13.8</v>
      </c>
      <c r="H17" s="88" t="n">
        <v>30</v>
      </c>
      <c r="I17" s="89" t="s">
        <v>548</v>
      </c>
      <c r="J17" s="88" t="n">
        <v>12.96</v>
      </c>
      <c r="K17" s="88" t="n">
        <v>12.89</v>
      </c>
      <c r="L17" s="88" t="n">
        <v>0</v>
      </c>
      <c r="M17" s="88" t="n">
        <v>5</v>
      </c>
      <c r="N17" s="88" t="n">
        <v>-15</v>
      </c>
      <c r="O17" s="88" t="n">
        <v>1</v>
      </c>
      <c r="P17" s="88" t="n">
        <v>110</v>
      </c>
      <c r="Q17" s="88" t="n">
        <v>30</v>
      </c>
      <c r="R17" s="89" t="s">
        <v>221</v>
      </c>
      <c r="S17" s="95"/>
      <c r="T17" s="89" t="s">
        <v>290</v>
      </c>
      <c r="U17" s="89"/>
      <c r="V17" s="89"/>
      <c r="W17" s="89" t="n">
        <v>0</v>
      </c>
      <c r="X17" s="89" t="n">
        <v>0</v>
      </c>
      <c r="Y17" s="89"/>
      <c r="Z17" s="88"/>
      <c r="AA17" s="91"/>
    </row>
    <row r="18" customFormat="false" ht="15" hidden="false" customHeight="false" outlineLevel="0" collapsed="false">
      <c r="A18" s="68" t="e">
        <f aca="false">VLOOKUP(E18,'[1]Listas Desplegables'!$H$3:$J$7,2,FALSE())</f>
        <v>#N/A</v>
      </c>
      <c r="B18" s="68" t="e">
        <f aca="false">VLOOKUP(E18,'[1]Listas Desplegables'!$H$3:$J$7,3,FALSE())</f>
        <v>#N/A</v>
      </c>
      <c r="C18" s="85" t="n">
        <v>13</v>
      </c>
      <c r="D18" s="86" t="s">
        <v>563</v>
      </c>
      <c r="E18" s="86" t="s">
        <v>562</v>
      </c>
      <c r="F18" s="87" t="n">
        <v>110</v>
      </c>
      <c r="G18" s="88" t="n">
        <v>13.8</v>
      </c>
      <c r="H18" s="88" t="n">
        <v>30</v>
      </c>
      <c r="I18" s="89" t="s">
        <v>548</v>
      </c>
      <c r="J18" s="88" t="n">
        <v>12.99</v>
      </c>
      <c r="K18" s="88" t="n">
        <v>12.89</v>
      </c>
      <c r="L18" s="88" t="n">
        <v>0</v>
      </c>
      <c r="M18" s="88" t="n">
        <v>5</v>
      </c>
      <c r="N18" s="88" t="n">
        <v>-15</v>
      </c>
      <c r="O18" s="88" t="n">
        <v>1</v>
      </c>
      <c r="P18" s="88" t="n">
        <v>110</v>
      </c>
      <c r="Q18" s="88" t="n">
        <v>30</v>
      </c>
      <c r="R18" s="89" t="s">
        <v>221</v>
      </c>
      <c r="S18" s="95"/>
      <c r="T18" s="89" t="s">
        <v>290</v>
      </c>
      <c r="U18" s="89"/>
      <c r="V18" s="89"/>
      <c r="W18" s="89" t="n">
        <v>0</v>
      </c>
      <c r="X18" s="89" t="n">
        <v>0</v>
      </c>
      <c r="Y18" s="89"/>
      <c r="Z18" s="88"/>
      <c r="AA18" s="91"/>
    </row>
    <row r="19" customFormat="false" ht="15" hidden="false" customHeight="false" outlineLevel="0" collapsed="false">
      <c r="A19" s="68" t="e">
        <f aca="false">VLOOKUP(E19,'[1]Listas Desplegables'!$H$3:$J$7,2,FALSE())</f>
        <v>#N/A</v>
      </c>
      <c r="B19" s="68" t="e">
        <f aca="false">VLOOKUP(E19,'[1]Listas Desplegables'!$H$3:$J$7,3,FALSE())</f>
        <v>#N/A</v>
      </c>
      <c r="C19" s="85" t="n">
        <v>14</v>
      </c>
      <c r="D19" s="86" t="s">
        <v>564</v>
      </c>
      <c r="E19" s="86" t="s">
        <v>565</v>
      </c>
      <c r="F19" s="87" t="n">
        <v>110</v>
      </c>
      <c r="G19" s="88" t="n">
        <v>13.8</v>
      </c>
      <c r="H19" s="88" t="n">
        <v>50</v>
      </c>
      <c r="I19" s="89" t="s">
        <v>548</v>
      </c>
      <c r="J19" s="88" t="n">
        <v>19.1</v>
      </c>
      <c r="K19" s="88" t="n">
        <v>19.1</v>
      </c>
      <c r="L19" s="88" t="n">
        <v>0</v>
      </c>
      <c r="M19" s="88" t="n">
        <v>5</v>
      </c>
      <c r="N19" s="88" t="n">
        <v>-15</v>
      </c>
      <c r="O19" s="88" t="n">
        <v>1</v>
      </c>
      <c r="P19" s="88" t="n">
        <v>130</v>
      </c>
      <c r="Q19" s="88" t="n">
        <v>30</v>
      </c>
      <c r="R19" s="89" t="s">
        <v>221</v>
      </c>
      <c r="S19" s="95"/>
      <c r="T19" s="89" t="s">
        <v>290</v>
      </c>
      <c r="U19" s="89" t="n">
        <v>188.7</v>
      </c>
      <c r="V19" s="89"/>
      <c r="W19" s="89" t="n">
        <v>0</v>
      </c>
      <c r="X19" s="89" t="n">
        <v>0</v>
      </c>
      <c r="Y19" s="89"/>
      <c r="Z19" s="88"/>
      <c r="AA19" s="91" t="s">
        <v>566</v>
      </c>
    </row>
    <row r="20" customFormat="false" ht="15" hidden="false" customHeight="false" outlineLevel="0" collapsed="false">
      <c r="A20" s="68" t="e">
        <f aca="false">VLOOKUP(E20,'[1]Listas Desplegables'!$H$3:$J$7,2,FALSE())</f>
        <v>#N/A</v>
      </c>
      <c r="B20" s="68" t="e">
        <f aca="false">VLOOKUP(E20,'[1]Listas Desplegables'!$H$3:$J$7,3,FALSE())</f>
        <v>#N/A</v>
      </c>
      <c r="C20" s="85" t="n">
        <v>15</v>
      </c>
      <c r="D20" s="86" t="s">
        <v>567</v>
      </c>
      <c r="E20" s="86" t="s">
        <v>565</v>
      </c>
      <c r="F20" s="87" t="n">
        <v>110</v>
      </c>
      <c r="G20" s="88" t="n">
        <v>13.8</v>
      </c>
      <c r="H20" s="88" t="n">
        <v>50</v>
      </c>
      <c r="I20" s="89" t="s">
        <v>548</v>
      </c>
      <c r="J20" s="88" t="n">
        <v>19.1</v>
      </c>
      <c r="K20" s="88" t="n">
        <v>19.1</v>
      </c>
      <c r="L20" s="88" t="n">
        <v>0</v>
      </c>
      <c r="M20" s="88" t="n">
        <v>5</v>
      </c>
      <c r="N20" s="88" t="n">
        <v>-15</v>
      </c>
      <c r="O20" s="88" t="n">
        <v>1</v>
      </c>
      <c r="P20" s="88" t="n">
        <v>130</v>
      </c>
      <c r="Q20" s="88" t="n">
        <v>30</v>
      </c>
      <c r="R20" s="89" t="s">
        <v>221</v>
      </c>
      <c r="S20" s="95"/>
      <c r="T20" s="89" t="s">
        <v>290</v>
      </c>
      <c r="U20" s="89" t="n">
        <v>188.7</v>
      </c>
      <c r="V20" s="89"/>
      <c r="W20" s="89" t="n">
        <v>0</v>
      </c>
      <c r="X20" s="89" t="n">
        <v>0</v>
      </c>
      <c r="Y20" s="89"/>
      <c r="Z20" s="88"/>
      <c r="AA20" s="91" t="s">
        <v>568</v>
      </c>
    </row>
    <row r="21" customFormat="false" ht="15" hidden="false" customHeight="false" outlineLevel="0" collapsed="false">
      <c r="A21" s="68" t="e">
        <f aca="false">VLOOKUP(E21,'[1]Listas Desplegables'!$H$3:$J$7,2,FALSE())</f>
        <v>#N/A</v>
      </c>
      <c r="B21" s="68" t="e">
        <f aca="false">VLOOKUP(E21,'[1]Listas Desplegables'!$H$3:$J$7,3,FALSE())</f>
        <v>#N/A</v>
      </c>
      <c r="C21" s="85" t="n">
        <v>16</v>
      </c>
      <c r="D21" s="86" t="s">
        <v>569</v>
      </c>
      <c r="E21" s="86" t="s">
        <v>518</v>
      </c>
      <c r="F21" s="87" t="n">
        <v>110</v>
      </c>
      <c r="G21" s="88" t="n">
        <v>13.8</v>
      </c>
      <c r="H21" s="88" t="n">
        <v>60</v>
      </c>
      <c r="I21" s="89" t="s">
        <v>543</v>
      </c>
      <c r="J21" s="88" t="n">
        <v>12.33</v>
      </c>
      <c r="K21" s="88" t="n">
        <v>12.33</v>
      </c>
      <c r="L21" s="88" t="n">
        <v>0</v>
      </c>
      <c r="M21" s="88" t="n">
        <v>10</v>
      </c>
      <c r="N21" s="88" t="n">
        <v>-15</v>
      </c>
      <c r="O21" s="88" t="n">
        <v>1</v>
      </c>
      <c r="P21" s="88" t="n">
        <v>130</v>
      </c>
      <c r="Q21" s="88" t="n">
        <v>30</v>
      </c>
      <c r="R21" s="89" t="s">
        <v>221</v>
      </c>
      <c r="S21" s="95"/>
      <c r="T21" s="89" t="s">
        <v>290</v>
      </c>
      <c r="U21" s="89" t="n">
        <v>108.211</v>
      </c>
      <c r="V21" s="89"/>
      <c r="W21" s="89" t="n">
        <v>0</v>
      </c>
      <c r="X21" s="89" t="n">
        <v>0</v>
      </c>
      <c r="Y21" s="89"/>
      <c r="Z21" s="88"/>
      <c r="AA21" s="91"/>
    </row>
    <row r="22" customFormat="false" ht="15" hidden="false" customHeight="false" outlineLevel="0" collapsed="false">
      <c r="A22" s="68" t="e">
        <f aca="false">VLOOKUP(E22,'[1]Listas Desplegables'!$H$3:$J$7,2,FALSE())</f>
        <v>#N/A</v>
      </c>
      <c r="B22" s="68" t="e">
        <f aca="false">VLOOKUP(E22,'[1]Listas Desplegables'!$H$3:$J$7,3,FALSE())</f>
        <v>#N/A</v>
      </c>
      <c r="C22" s="85" t="n">
        <v>17</v>
      </c>
      <c r="D22" s="86" t="s">
        <v>570</v>
      </c>
      <c r="E22" s="86" t="s">
        <v>518</v>
      </c>
      <c r="F22" s="87" t="n">
        <v>110</v>
      </c>
      <c r="G22" s="88" t="n">
        <v>13.8</v>
      </c>
      <c r="H22" s="88" t="n">
        <v>50</v>
      </c>
      <c r="I22" s="89" t="s">
        <v>543</v>
      </c>
      <c r="J22" s="88" t="n">
        <v>12.51</v>
      </c>
      <c r="K22" s="88" t="n">
        <v>13.68</v>
      </c>
      <c r="L22" s="88" t="n">
        <v>0</v>
      </c>
      <c r="M22" s="88" t="n">
        <v>10</v>
      </c>
      <c r="N22" s="88" t="n">
        <v>-15</v>
      </c>
      <c r="O22" s="88" t="n">
        <v>1</v>
      </c>
      <c r="P22" s="88" t="n">
        <v>100</v>
      </c>
      <c r="Q22" s="88" t="n">
        <v>0</v>
      </c>
      <c r="R22" s="89" t="s">
        <v>221</v>
      </c>
      <c r="S22" s="95"/>
      <c r="T22" s="89" t="s">
        <v>290</v>
      </c>
      <c r="U22" s="89" t="n">
        <v>223.21</v>
      </c>
      <c r="V22" s="89"/>
      <c r="W22" s="89" t="n">
        <v>0</v>
      </c>
      <c r="X22" s="89" t="n">
        <v>0</v>
      </c>
      <c r="Y22" s="89"/>
      <c r="Z22" s="88"/>
      <c r="AA22" s="91"/>
    </row>
    <row r="23" customFormat="false" ht="15" hidden="false" customHeight="false" outlineLevel="0" collapsed="false">
      <c r="A23" s="68" t="e">
        <f aca="false">VLOOKUP(E23,'[1]Listas Desplegables'!$H$3:$J$7,2,FALSE())</f>
        <v>#N/A</v>
      </c>
      <c r="B23" s="68" t="e">
        <f aca="false">VLOOKUP(E23,'[1]Listas Desplegables'!$H$3:$J$7,3,FALSE())</f>
        <v>#N/A</v>
      </c>
      <c r="C23" s="85" t="n">
        <v>18</v>
      </c>
      <c r="D23" s="86" t="s">
        <v>571</v>
      </c>
      <c r="E23" s="86" t="s">
        <v>446</v>
      </c>
      <c r="F23" s="87" t="n">
        <v>34.5</v>
      </c>
      <c r="G23" s="88" t="n">
        <v>13.8</v>
      </c>
      <c r="H23" s="88" t="n">
        <v>12.5</v>
      </c>
      <c r="I23" s="89" t="s">
        <v>539</v>
      </c>
      <c r="J23" s="88" t="n">
        <v>8.75</v>
      </c>
      <c r="K23" s="88" t="n">
        <v>8.75</v>
      </c>
      <c r="L23" s="88" t="n">
        <v>0</v>
      </c>
      <c r="M23" s="88" t="n">
        <v>16</v>
      </c>
      <c r="N23" s="88" t="n">
        <v>-16</v>
      </c>
      <c r="O23" s="88" t="n">
        <v>0.625</v>
      </c>
      <c r="P23" s="88" t="n">
        <v>110</v>
      </c>
      <c r="Q23" s="88" t="n">
        <v>30</v>
      </c>
      <c r="R23" s="89" t="s">
        <v>221</v>
      </c>
      <c r="S23" s="95"/>
      <c r="T23" s="89" t="s">
        <v>290</v>
      </c>
      <c r="U23" s="89"/>
      <c r="V23" s="89"/>
      <c r="W23" s="89" t="n">
        <v>0</v>
      </c>
      <c r="X23" s="89" t="n">
        <v>0</v>
      </c>
      <c r="Y23" s="89"/>
      <c r="Z23" s="88"/>
      <c r="AA23" s="91"/>
    </row>
    <row r="24" customFormat="false" ht="15" hidden="false" customHeight="false" outlineLevel="0" collapsed="false">
      <c r="A24" s="68" t="e">
        <f aca="false">VLOOKUP(E24,'[1]Listas Desplegables'!$H$3:$J$7,2,FALSE())</f>
        <v>#N/A</v>
      </c>
      <c r="B24" s="68" t="e">
        <f aca="false">VLOOKUP(E24,'[1]Listas Desplegables'!$H$3:$J$7,3,FALSE())</f>
        <v>#N/A</v>
      </c>
      <c r="C24" s="92" t="n">
        <v>19</v>
      </c>
      <c r="D24" s="86" t="s">
        <v>572</v>
      </c>
      <c r="E24" s="86" t="s">
        <v>573</v>
      </c>
      <c r="F24" s="87" t="n">
        <v>34.5</v>
      </c>
      <c r="G24" s="88" t="n">
        <v>13.8</v>
      </c>
      <c r="H24" s="88" t="n">
        <v>6.5</v>
      </c>
      <c r="I24" s="89" t="s">
        <v>543</v>
      </c>
      <c r="J24" s="88" t="n">
        <v>8.65</v>
      </c>
      <c r="K24" s="88" t="n">
        <v>8.65</v>
      </c>
      <c r="L24" s="88" t="n">
        <v>0</v>
      </c>
      <c r="M24" s="88" t="n">
        <v>1</v>
      </c>
      <c r="N24" s="88" t="n">
        <v>-3</v>
      </c>
      <c r="O24" s="88" t="n">
        <v>2.5</v>
      </c>
      <c r="P24" s="88" t="n">
        <v>110</v>
      </c>
      <c r="Q24" s="88" t="n">
        <v>30</v>
      </c>
      <c r="R24" s="89" t="s">
        <v>221</v>
      </c>
      <c r="S24" s="95"/>
      <c r="T24" s="89" t="s">
        <v>290</v>
      </c>
      <c r="U24" s="89" t="n">
        <v>48.5</v>
      </c>
      <c r="V24" s="89"/>
      <c r="W24" s="89" t="n">
        <v>0</v>
      </c>
      <c r="X24" s="89" t="n">
        <v>0</v>
      </c>
      <c r="Y24" s="89"/>
      <c r="Z24" s="88"/>
      <c r="AA24" s="91"/>
    </row>
    <row r="25" customFormat="false" ht="15" hidden="false" customHeight="false" outlineLevel="0" collapsed="false">
      <c r="A25" s="68" t="e">
        <f aca="false">VLOOKUP(E25,'[1]Listas Desplegables'!$H$3:$J$7,2,FALSE())</f>
        <v>#N/A</v>
      </c>
      <c r="B25" s="68" t="e">
        <f aca="false">VLOOKUP(E25,'[1]Listas Desplegables'!$H$3:$J$7,3,FALSE())</f>
        <v>#N/A</v>
      </c>
      <c r="C25" s="93" t="n">
        <v>20</v>
      </c>
      <c r="D25" s="94" t="s">
        <v>574</v>
      </c>
      <c r="E25" s="94" t="s">
        <v>575</v>
      </c>
      <c r="F25" s="109" t="n">
        <v>110</v>
      </c>
      <c r="G25" s="88" t="n">
        <v>34.5</v>
      </c>
      <c r="H25" s="88" t="n">
        <v>125</v>
      </c>
      <c r="I25" s="89" t="s">
        <v>576</v>
      </c>
      <c r="J25" s="88" t="n">
        <v>11.33</v>
      </c>
      <c r="K25" s="88" t="n">
        <v>11.33</v>
      </c>
      <c r="L25" s="88" t="n">
        <v>0</v>
      </c>
      <c r="M25" s="88" t="n">
        <v>2</v>
      </c>
      <c r="N25" s="88" t="n">
        <v>-2</v>
      </c>
      <c r="O25" s="88" t="n">
        <v>2.5</v>
      </c>
      <c r="P25" s="88" t="n">
        <v>130</v>
      </c>
      <c r="Q25" s="88" t="n">
        <v>30</v>
      </c>
      <c r="R25" s="89" t="s">
        <v>221</v>
      </c>
      <c r="S25" s="95"/>
      <c r="T25" s="89" t="s">
        <v>290</v>
      </c>
      <c r="U25" s="89" t="n">
        <v>467.75</v>
      </c>
      <c r="V25" s="89"/>
      <c r="W25" s="89" t="n">
        <v>0</v>
      </c>
      <c r="X25" s="89" t="n">
        <v>0</v>
      </c>
      <c r="Y25" s="89"/>
      <c r="Z25" s="88"/>
      <c r="AA25" s="91"/>
    </row>
    <row r="26" customFormat="false" ht="15" hidden="false" customHeight="false" outlineLevel="0" collapsed="false">
      <c r="A26" s="68" t="e">
        <f aca="false">VLOOKUP(E26,'[1]Listas Desplegables'!$H$3:$J$7,2,FALSE())</f>
        <v>#N/A</v>
      </c>
      <c r="B26" s="68" t="e">
        <f aca="false">VLOOKUP(E26,'[1]Listas Desplegables'!$H$3:$J$7,3,FALSE())</f>
        <v>#N/A</v>
      </c>
      <c r="C26" s="92" t="n">
        <v>21</v>
      </c>
      <c r="D26" s="94" t="s">
        <v>577</v>
      </c>
      <c r="E26" s="94" t="s">
        <v>575</v>
      </c>
      <c r="F26" s="109" t="n">
        <v>34.5</v>
      </c>
      <c r="G26" s="88" t="n">
        <v>13.8</v>
      </c>
      <c r="H26" s="88" t="n">
        <v>33</v>
      </c>
      <c r="I26" s="89" t="s">
        <v>578</v>
      </c>
      <c r="J26" s="88" t="n">
        <v>7.8936</v>
      </c>
      <c r="K26" s="88" t="n">
        <v>7.8936</v>
      </c>
      <c r="L26" s="88" t="n">
        <v>0</v>
      </c>
      <c r="M26" s="88" t="n">
        <v>16</v>
      </c>
      <c r="N26" s="88" t="n">
        <v>-16</v>
      </c>
      <c r="O26" s="88" t="n">
        <v>0.625</v>
      </c>
      <c r="P26" s="88" t="n">
        <v>110</v>
      </c>
      <c r="Q26" s="88" t="n">
        <v>30</v>
      </c>
      <c r="R26" s="89" t="s">
        <v>221</v>
      </c>
      <c r="S26" s="95"/>
      <c r="T26" s="89" t="s">
        <v>290</v>
      </c>
      <c r="U26" s="89"/>
      <c r="V26" s="89"/>
      <c r="W26" s="89"/>
      <c r="X26" s="89"/>
      <c r="Y26" s="89"/>
      <c r="Z26" s="88"/>
      <c r="AA26" s="91"/>
    </row>
    <row r="27" customFormat="false" ht="15" hidden="false" customHeight="false" outlineLevel="0" collapsed="false">
      <c r="A27" s="68" t="e">
        <f aca="false">VLOOKUP(E27,'[1]Listas Desplegables'!$H$3:$J$7,2,FALSE())</f>
        <v>#N/A</v>
      </c>
      <c r="B27" s="68" t="e">
        <f aca="false">VLOOKUP(E27,'[1]Listas Desplegables'!$H$3:$J$7,3,FALSE())</f>
        <v>#N/A</v>
      </c>
      <c r="C27" s="85" t="n">
        <v>22</v>
      </c>
      <c r="D27" s="94" t="s">
        <v>579</v>
      </c>
      <c r="E27" s="94" t="s">
        <v>575</v>
      </c>
      <c r="F27" s="109" t="n">
        <v>34.5</v>
      </c>
      <c r="G27" s="88" t="n">
        <v>13.8</v>
      </c>
      <c r="H27" s="88" t="n">
        <v>33</v>
      </c>
      <c r="I27" s="89" t="s">
        <v>578</v>
      </c>
      <c r="J27" s="88" t="n">
        <v>7.8276</v>
      </c>
      <c r="K27" s="88" t="n">
        <v>7.8276</v>
      </c>
      <c r="L27" s="88" t="n">
        <v>0</v>
      </c>
      <c r="M27" s="88" t="n">
        <v>16</v>
      </c>
      <c r="N27" s="88" t="n">
        <v>-16</v>
      </c>
      <c r="O27" s="88" t="n">
        <v>0.625</v>
      </c>
      <c r="P27" s="88" t="n">
        <v>110</v>
      </c>
      <c r="Q27" s="88" t="n">
        <v>30</v>
      </c>
      <c r="R27" s="89" t="s">
        <v>221</v>
      </c>
      <c r="S27" s="95"/>
      <c r="T27" s="89" t="s">
        <v>290</v>
      </c>
      <c r="U27" s="89"/>
      <c r="V27" s="89"/>
      <c r="W27" s="89"/>
      <c r="X27" s="89"/>
      <c r="Y27" s="89"/>
      <c r="Z27" s="88"/>
      <c r="AA27" s="91"/>
    </row>
    <row r="28" customFormat="false" ht="15" hidden="false" customHeight="false" outlineLevel="0" collapsed="false">
      <c r="A28" s="68" t="e">
        <f aca="false">VLOOKUP(E28,'[1]Listas Desplegables'!$H$3:$J$7,2,FALSE())</f>
        <v>#N/A</v>
      </c>
      <c r="B28" s="68" t="e">
        <f aca="false">VLOOKUP(E28,'[1]Listas Desplegables'!$H$3:$J$7,3,FALSE())</f>
        <v>#N/A</v>
      </c>
      <c r="C28" s="85" t="n">
        <v>23</v>
      </c>
      <c r="D28" s="94" t="s">
        <v>580</v>
      </c>
      <c r="E28" s="94" t="s">
        <v>581</v>
      </c>
      <c r="F28" s="109" t="n">
        <v>34.5</v>
      </c>
      <c r="G28" s="88" t="n">
        <v>13.8</v>
      </c>
      <c r="H28" s="88" t="n">
        <v>13.3</v>
      </c>
      <c r="I28" s="89" t="s">
        <v>582</v>
      </c>
      <c r="J28" s="88" t="n">
        <v>5.11</v>
      </c>
      <c r="K28" s="88" t="n">
        <v>5.11</v>
      </c>
      <c r="L28" s="88" t="n">
        <v>0</v>
      </c>
      <c r="M28" s="88" t="n">
        <v>2</v>
      </c>
      <c r="N28" s="88" t="n">
        <v>-2</v>
      </c>
      <c r="O28" s="88" t="n">
        <v>2.5</v>
      </c>
      <c r="P28" s="88" t="n">
        <v>105</v>
      </c>
      <c r="Q28" s="88" t="n">
        <v>30</v>
      </c>
      <c r="R28" s="89" t="s">
        <v>221</v>
      </c>
      <c r="S28" s="95"/>
      <c r="T28" s="89" t="s">
        <v>290</v>
      </c>
      <c r="U28" s="89"/>
      <c r="V28" s="89"/>
      <c r="W28" s="89" t="n">
        <v>1.68848935185185</v>
      </c>
      <c r="X28" s="89" t="n">
        <v>3</v>
      </c>
      <c r="Y28" s="89"/>
      <c r="Z28" s="88"/>
      <c r="AA28" s="91" t="s">
        <v>551</v>
      </c>
    </row>
    <row r="29" customFormat="false" ht="15" hidden="false" customHeight="false" outlineLevel="0" collapsed="false">
      <c r="A29" s="68" t="e">
        <f aca="false">VLOOKUP(E29,'[1]Listas Desplegables'!$H$3:$J$7,2,FALSE())</f>
        <v>#N/A</v>
      </c>
      <c r="B29" s="68" t="e">
        <f aca="false">VLOOKUP(E29,'[1]Listas Desplegables'!$H$3:$J$7,3,FALSE())</f>
        <v>#N/A</v>
      </c>
      <c r="C29" s="85" t="n">
        <v>24</v>
      </c>
      <c r="D29" s="94" t="s">
        <v>583</v>
      </c>
      <c r="E29" s="94" t="s">
        <v>581</v>
      </c>
      <c r="F29" s="109" t="n">
        <v>34.5</v>
      </c>
      <c r="G29" s="88" t="n">
        <v>13.8</v>
      </c>
      <c r="H29" s="88" t="n">
        <v>13.3</v>
      </c>
      <c r="I29" s="89" t="s">
        <v>582</v>
      </c>
      <c r="J29" s="88" t="n">
        <v>5.1</v>
      </c>
      <c r="K29" s="88" t="n">
        <v>5.1</v>
      </c>
      <c r="L29" s="88" t="n">
        <v>0</v>
      </c>
      <c r="M29" s="88" t="n">
        <v>2</v>
      </c>
      <c r="N29" s="88" t="n">
        <v>-2</v>
      </c>
      <c r="O29" s="88" t="n">
        <v>2.5</v>
      </c>
      <c r="P29" s="88" t="n">
        <v>100</v>
      </c>
      <c r="Q29" s="88" t="n">
        <v>0</v>
      </c>
      <c r="R29" s="89" t="s">
        <v>221</v>
      </c>
      <c r="S29" s="95"/>
      <c r="T29" s="89" t="s">
        <v>290</v>
      </c>
      <c r="U29" s="89" t="n">
        <v>58.2</v>
      </c>
      <c r="V29" s="89" t="n">
        <v>0</v>
      </c>
      <c r="W29" s="89" t="n">
        <v>0</v>
      </c>
      <c r="X29" s="89" t="n">
        <v>0</v>
      </c>
      <c r="Y29" s="89"/>
      <c r="Z29" s="88"/>
      <c r="AA29" s="91" t="s">
        <v>553</v>
      </c>
    </row>
    <row r="30" customFormat="false" ht="15" hidden="false" customHeight="false" outlineLevel="0" collapsed="false">
      <c r="A30" s="68" t="e">
        <f aca="false">VLOOKUP(E30,'[1]Listas Desplegables'!$H$3:$J$7,2,FALSE())</f>
        <v>#N/A</v>
      </c>
      <c r="B30" s="68" t="e">
        <f aca="false">VLOOKUP(E30,'[1]Listas Desplegables'!$H$3:$J$7,3,FALSE())</f>
        <v>#N/A</v>
      </c>
      <c r="C30" s="85" t="n">
        <v>25</v>
      </c>
      <c r="D30" s="94" t="s">
        <v>584</v>
      </c>
      <c r="E30" s="94" t="s">
        <v>585</v>
      </c>
      <c r="F30" s="109" t="n">
        <v>34.5</v>
      </c>
      <c r="G30" s="88" t="n">
        <v>13.8</v>
      </c>
      <c r="H30" s="88" t="n">
        <v>6.5</v>
      </c>
      <c r="I30" s="89" t="s">
        <v>539</v>
      </c>
      <c r="J30" s="88" t="n">
        <v>7.74</v>
      </c>
      <c r="K30" s="88" t="n">
        <v>7.74</v>
      </c>
      <c r="L30" s="88" t="n">
        <v>0</v>
      </c>
      <c r="M30" s="88" t="n">
        <v>2</v>
      </c>
      <c r="N30" s="88" t="n">
        <v>-2</v>
      </c>
      <c r="O30" s="88" t="n">
        <v>2.5</v>
      </c>
      <c r="P30" s="88" t="n">
        <v>115</v>
      </c>
      <c r="Q30" s="88" t="n">
        <v>30</v>
      </c>
      <c r="R30" s="89" t="s">
        <v>221</v>
      </c>
      <c r="S30" s="95"/>
      <c r="T30" s="89" t="s">
        <v>290</v>
      </c>
      <c r="U30" s="89"/>
      <c r="V30" s="89"/>
      <c r="W30" s="89" t="n">
        <v>0</v>
      </c>
      <c r="X30" s="89" t="n">
        <v>0</v>
      </c>
      <c r="Y30" s="89"/>
      <c r="Z30" s="88"/>
      <c r="AA30" s="91"/>
    </row>
    <row r="31" customFormat="false" ht="15" hidden="false" customHeight="false" outlineLevel="0" collapsed="false">
      <c r="A31" s="68" t="e">
        <f aca="false">VLOOKUP(E31,'[1]Listas Desplegables'!$H$3:$J$7,2,FALSE())</f>
        <v>#N/A</v>
      </c>
      <c r="B31" s="68" t="e">
        <f aca="false">VLOOKUP(E31,'[1]Listas Desplegables'!$H$3:$J$7,3,FALSE())</f>
        <v>#N/A</v>
      </c>
      <c r="C31" s="85" t="n">
        <v>26</v>
      </c>
      <c r="D31" s="94" t="s">
        <v>586</v>
      </c>
      <c r="E31" s="94" t="s">
        <v>585</v>
      </c>
      <c r="F31" s="109" t="n">
        <v>34.5</v>
      </c>
      <c r="G31" s="88" t="n">
        <v>13.8</v>
      </c>
      <c r="H31" s="88" t="n">
        <v>6.5</v>
      </c>
      <c r="I31" s="89" t="s">
        <v>539</v>
      </c>
      <c r="J31" s="88" t="n">
        <v>7.8</v>
      </c>
      <c r="K31" s="88" t="n">
        <v>7.8</v>
      </c>
      <c r="L31" s="88" t="n">
        <v>0</v>
      </c>
      <c r="M31" s="88" t="n">
        <v>2</v>
      </c>
      <c r="N31" s="88" t="n">
        <v>-2</v>
      </c>
      <c r="O31" s="88" t="n">
        <v>2.5</v>
      </c>
      <c r="P31" s="88" t="n">
        <v>115</v>
      </c>
      <c r="Q31" s="88" t="n">
        <v>30</v>
      </c>
      <c r="R31" s="89" t="s">
        <v>221</v>
      </c>
      <c r="S31" s="95"/>
      <c r="T31" s="89" t="s">
        <v>290</v>
      </c>
      <c r="U31" s="89"/>
      <c r="V31" s="89"/>
      <c r="W31" s="89" t="n">
        <v>0</v>
      </c>
      <c r="X31" s="89" t="n">
        <v>0</v>
      </c>
      <c r="Y31" s="89"/>
      <c r="Z31" s="88"/>
      <c r="AA31" s="91"/>
    </row>
    <row r="32" customFormat="false" ht="15" hidden="false" customHeight="false" outlineLevel="0" collapsed="false">
      <c r="A32" s="68" t="e">
        <f aca="false">VLOOKUP(E32,'[1]Listas Desplegables'!$H$3:$J$7,2,FALSE())</f>
        <v>#N/A</v>
      </c>
      <c r="B32" s="68" t="e">
        <f aca="false">VLOOKUP(E32,'[1]Listas Desplegables'!$H$3:$J$7,3,FALSE())</f>
        <v>#N/A</v>
      </c>
      <c r="C32" s="85" t="n">
        <v>27</v>
      </c>
      <c r="D32" s="94" t="s">
        <v>587</v>
      </c>
      <c r="E32" s="94" t="s">
        <v>588</v>
      </c>
      <c r="F32" s="109" t="n">
        <v>34.5</v>
      </c>
      <c r="G32" s="88" t="n">
        <v>13.8</v>
      </c>
      <c r="H32" s="88" t="n">
        <v>9.3</v>
      </c>
      <c r="I32" s="89" t="s">
        <v>539</v>
      </c>
      <c r="J32" s="88" t="n">
        <v>8.078</v>
      </c>
      <c r="K32" s="88" t="n">
        <v>8.078</v>
      </c>
      <c r="L32" s="88" t="n">
        <v>0</v>
      </c>
      <c r="M32" s="88" t="n">
        <v>2</v>
      </c>
      <c r="N32" s="88" t="n">
        <v>-2</v>
      </c>
      <c r="O32" s="88" t="n">
        <v>2.5</v>
      </c>
      <c r="P32" s="88" t="n">
        <v>110</v>
      </c>
      <c r="Q32" s="88" t="n">
        <v>30</v>
      </c>
      <c r="R32" s="89" t="s">
        <v>221</v>
      </c>
      <c r="S32" s="95"/>
      <c r="T32" s="89" t="s">
        <v>290</v>
      </c>
      <c r="U32" s="89" t="n">
        <v>66.431</v>
      </c>
      <c r="V32" s="89"/>
      <c r="W32" s="89"/>
      <c r="X32" s="89"/>
      <c r="Y32" s="89"/>
      <c r="Z32" s="88"/>
      <c r="AA32" s="91"/>
    </row>
    <row r="33" customFormat="false" ht="15" hidden="false" customHeight="false" outlineLevel="0" collapsed="false">
      <c r="A33" s="68" t="e">
        <f aca="false">VLOOKUP(E33,'[1]Listas Desplegables'!$H$3:$J$7,2,FALSE())</f>
        <v>#N/A</v>
      </c>
      <c r="B33" s="68" t="e">
        <f aca="false">VLOOKUP(E33,'[1]Listas Desplegables'!$H$3:$J$7,3,FALSE())</f>
        <v>#N/A</v>
      </c>
      <c r="C33" s="85" t="n">
        <v>28</v>
      </c>
      <c r="D33" s="94" t="s">
        <v>589</v>
      </c>
      <c r="E33" s="94" t="s">
        <v>590</v>
      </c>
      <c r="F33" s="109" t="n">
        <v>34.5</v>
      </c>
      <c r="G33" s="88" t="n">
        <v>13.8</v>
      </c>
      <c r="H33" s="88" t="n">
        <v>1</v>
      </c>
      <c r="I33" s="89" t="s">
        <v>543</v>
      </c>
      <c r="J33" s="88" t="n">
        <v>5.4</v>
      </c>
      <c r="K33" s="88" t="n">
        <v>5.4</v>
      </c>
      <c r="L33" s="88" t="n">
        <v>0</v>
      </c>
      <c r="M33" s="88" t="n">
        <v>2</v>
      </c>
      <c r="N33" s="88" t="n">
        <v>-2</v>
      </c>
      <c r="O33" s="88" t="n">
        <v>2.5</v>
      </c>
      <c r="P33" s="88" t="n">
        <v>115</v>
      </c>
      <c r="Q33" s="88" t="n">
        <v>30</v>
      </c>
      <c r="R33" s="89" t="s">
        <v>221</v>
      </c>
      <c r="S33" s="95"/>
      <c r="T33" s="89" t="s">
        <v>290</v>
      </c>
      <c r="U33" s="89" t="n">
        <v>12.73</v>
      </c>
      <c r="V33" s="89"/>
      <c r="W33" s="89" t="n">
        <v>0</v>
      </c>
      <c r="X33" s="89" t="n">
        <v>0</v>
      </c>
      <c r="Y33" s="89"/>
      <c r="Z33" s="88"/>
      <c r="AA33" s="91"/>
    </row>
    <row r="34" customFormat="false" ht="15" hidden="false" customHeight="false" outlineLevel="0" collapsed="false">
      <c r="A34" s="68" t="e">
        <f aca="false">VLOOKUP(E34,'[1]Listas Desplegables'!$H$3:$J$7,2,FALSE())</f>
        <v>#N/A</v>
      </c>
      <c r="B34" s="68" t="e">
        <f aca="false">VLOOKUP(E34,'[1]Listas Desplegables'!$H$3:$J$7,3,FALSE())</f>
        <v>#N/A</v>
      </c>
      <c r="C34" s="85" t="n">
        <v>29</v>
      </c>
      <c r="D34" s="94" t="s">
        <v>591</v>
      </c>
      <c r="E34" s="94" t="s">
        <v>592</v>
      </c>
      <c r="F34" s="109" t="n">
        <v>110</v>
      </c>
      <c r="G34" s="88" t="n">
        <v>34.5</v>
      </c>
      <c r="H34" s="88" t="n">
        <v>125</v>
      </c>
      <c r="I34" s="89" t="s">
        <v>576</v>
      </c>
      <c r="J34" s="88" t="n">
        <v>11.33</v>
      </c>
      <c r="K34" s="88" t="n">
        <v>11.33</v>
      </c>
      <c r="L34" s="88" t="n">
        <v>0</v>
      </c>
      <c r="M34" s="88" t="n">
        <v>2</v>
      </c>
      <c r="N34" s="88" t="n">
        <v>-2</v>
      </c>
      <c r="O34" s="88" t="n">
        <v>2.5</v>
      </c>
      <c r="P34" s="88" t="n">
        <v>130</v>
      </c>
      <c r="Q34" s="88" t="n">
        <v>30</v>
      </c>
      <c r="R34" s="89" t="s">
        <v>221</v>
      </c>
      <c r="S34" s="95"/>
      <c r="T34" s="89" t="s">
        <v>290</v>
      </c>
      <c r="U34" s="89" t="n">
        <v>459.6</v>
      </c>
      <c r="V34" s="89"/>
      <c r="W34" s="89" t="n">
        <v>0</v>
      </c>
      <c r="X34" s="89" t="n">
        <v>0</v>
      </c>
      <c r="Y34" s="89"/>
      <c r="Z34" s="88"/>
      <c r="AA34" s="91"/>
    </row>
    <row r="35" customFormat="false" ht="15" hidden="false" customHeight="false" outlineLevel="0" collapsed="false">
      <c r="A35" s="68" t="e">
        <f aca="false">VLOOKUP(E35,'[1]Listas Desplegables'!$H$3:$J$7,2,FALSE())</f>
        <v>#N/A</v>
      </c>
      <c r="B35" s="68" t="e">
        <f aca="false">VLOOKUP(E35,'[1]Listas Desplegables'!$H$3:$J$7,3,FALSE())</f>
        <v>#N/A</v>
      </c>
      <c r="C35" s="92" t="n">
        <v>30</v>
      </c>
      <c r="D35" s="94" t="s">
        <v>593</v>
      </c>
      <c r="E35" s="94" t="s">
        <v>498</v>
      </c>
      <c r="F35" s="109" t="n">
        <v>110</v>
      </c>
      <c r="G35" s="88" t="n">
        <v>34.5</v>
      </c>
      <c r="H35" s="88" t="n">
        <v>50</v>
      </c>
      <c r="I35" s="89" t="s">
        <v>576</v>
      </c>
      <c r="J35" s="88" t="n">
        <v>13.9</v>
      </c>
      <c r="K35" s="88" t="n">
        <v>13.9</v>
      </c>
      <c r="L35" s="88" t="n">
        <v>0</v>
      </c>
      <c r="M35" s="88" t="n">
        <v>10</v>
      </c>
      <c r="N35" s="88" t="n">
        <v>-10</v>
      </c>
      <c r="O35" s="88" t="n">
        <v>1</v>
      </c>
      <c r="P35" s="88" t="n">
        <v>110</v>
      </c>
      <c r="Q35" s="88" t="n">
        <v>30</v>
      </c>
      <c r="R35" s="89" t="s">
        <v>221</v>
      </c>
      <c r="S35" s="95"/>
      <c r="T35" s="89" t="s">
        <v>290</v>
      </c>
      <c r="U35" s="89" t="n">
        <v>171.5</v>
      </c>
      <c r="V35" s="89"/>
      <c r="W35" s="89" t="n">
        <v>0</v>
      </c>
      <c r="X35" s="89" t="n">
        <v>0</v>
      </c>
      <c r="Y35" s="89"/>
      <c r="Z35" s="88"/>
      <c r="AA35" s="91"/>
    </row>
    <row r="36" customFormat="false" ht="15" hidden="false" customHeight="false" outlineLevel="0" collapsed="false">
      <c r="A36" s="68" t="e">
        <f aca="false">VLOOKUP(E36,'[1]Listas Desplegables'!$H$3:$J$7,2,FALSE())</f>
        <v>#N/A</v>
      </c>
      <c r="B36" s="68" t="e">
        <f aca="false">VLOOKUP(E36,'[1]Listas Desplegables'!$H$3:$J$7,3,FALSE())</f>
        <v>#N/A</v>
      </c>
      <c r="C36" s="85" t="n">
        <v>31</v>
      </c>
      <c r="D36" s="94" t="s">
        <v>594</v>
      </c>
      <c r="E36" s="94" t="s">
        <v>498</v>
      </c>
      <c r="F36" s="109" t="n">
        <v>110</v>
      </c>
      <c r="G36" s="88" t="n">
        <v>34.5</v>
      </c>
      <c r="H36" s="88" t="n">
        <v>50</v>
      </c>
      <c r="I36" s="89" t="s">
        <v>576</v>
      </c>
      <c r="J36" s="88" t="n">
        <v>13.9</v>
      </c>
      <c r="K36" s="88" t="n">
        <v>13.9</v>
      </c>
      <c r="L36" s="88" t="n">
        <v>0</v>
      </c>
      <c r="M36" s="88" t="n">
        <v>10</v>
      </c>
      <c r="N36" s="88" t="n">
        <v>-10</v>
      </c>
      <c r="O36" s="88" t="n">
        <v>1</v>
      </c>
      <c r="P36" s="88" t="n">
        <v>110</v>
      </c>
      <c r="Q36" s="88" t="n">
        <v>30</v>
      </c>
      <c r="R36" s="89" t="s">
        <v>221</v>
      </c>
      <c r="S36" s="95"/>
      <c r="T36" s="89" t="s">
        <v>290</v>
      </c>
      <c r="U36" s="89" t="n">
        <v>171.5</v>
      </c>
      <c r="V36" s="89"/>
      <c r="W36" s="89" t="n">
        <v>0.2359775</v>
      </c>
      <c r="X36" s="89" t="n">
        <v>2</v>
      </c>
      <c r="Y36" s="89"/>
      <c r="Z36" s="88"/>
      <c r="AA36" s="91"/>
    </row>
    <row r="37" customFormat="false" ht="15" hidden="false" customHeight="false" outlineLevel="0" collapsed="false">
      <c r="A37" s="68" t="e">
        <f aca="false">VLOOKUP(E37,'[1]Listas Desplegables'!$H$3:$J$7,2,FALSE())</f>
        <v>#N/A</v>
      </c>
      <c r="B37" s="68" t="e">
        <f aca="false">VLOOKUP(E37,'[1]Listas Desplegables'!$H$3:$J$7,3,FALSE())</f>
        <v>#N/A</v>
      </c>
      <c r="C37" s="85" t="n">
        <v>32</v>
      </c>
      <c r="D37" s="94" t="s">
        <v>595</v>
      </c>
      <c r="E37" s="94" t="s">
        <v>498</v>
      </c>
      <c r="F37" s="109" t="n">
        <v>34.5</v>
      </c>
      <c r="G37" s="88" t="n">
        <v>13.8</v>
      </c>
      <c r="H37" s="88" t="n">
        <v>28</v>
      </c>
      <c r="I37" s="89" t="s">
        <v>582</v>
      </c>
      <c r="J37" s="88" t="n">
        <v>7.77</v>
      </c>
      <c r="K37" s="88" t="n">
        <v>7.77</v>
      </c>
      <c r="L37" s="88" t="n">
        <v>0</v>
      </c>
      <c r="M37" s="88" t="n">
        <v>2</v>
      </c>
      <c r="N37" s="88" t="n">
        <v>-2</v>
      </c>
      <c r="O37" s="88" t="n">
        <v>2.5</v>
      </c>
      <c r="P37" s="88" t="n">
        <v>110</v>
      </c>
      <c r="Q37" s="88" t="n">
        <v>30</v>
      </c>
      <c r="R37" s="89" t="s">
        <v>221</v>
      </c>
      <c r="S37" s="95"/>
      <c r="T37" s="89" t="s">
        <v>290</v>
      </c>
      <c r="U37" s="89" t="n">
        <v>67</v>
      </c>
      <c r="V37" s="89"/>
      <c r="W37" s="89" t="n">
        <v>0.962372222222222</v>
      </c>
      <c r="X37" s="89" t="n">
        <v>2</v>
      </c>
      <c r="Y37" s="89"/>
      <c r="Z37" s="88"/>
      <c r="AA37" s="91"/>
    </row>
    <row r="38" customFormat="false" ht="15" hidden="false" customHeight="false" outlineLevel="0" collapsed="false">
      <c r="A38" s="68" t="e">
        <f aca="false">VLOOKUP(E38,'[1]Listas Desplegables'!$H$3:$J$7,2,FALSE())</f>
        <v>#N/A</v>
      </c>
      <c r="B38" s="68" t="e">
        <f aca="false">VLOOKUP(E38,'[1]Listas Desplegables'!$H$3:$J$7,3,FALSE())</f>
        <v>#N/A</v>
      </c>
      <c r="C38" s="85" t="n">
        <v>33</v>
      </c>
      <c r="D38" s="94" t="s">
        <v>596</v>
      </c>
      <c r="E38" s="94" t="s">
        <v>597</v>
      </c>
      <c r="F38" s="109" t="n">
        <v>110</v>
      </c>
      <c r="G38" s="88" t="n">
        <v>13.8</v>
      </c>
      <c r="H38" s="88" t="n">
        <v>30</v>
      </c>
      <c r="I38" s="89" t="s">
        <v>548</v>
      </c>
      <c r="J38" s="88" t="n">
        <v>11.91</v>
      </c>
      <c r="K38" s="88" t="n">
        <v>11.91</v>
      </c>
      <c r="L38" s="88" t="n">
        <v>0</v>
      </c>
      <c r="M38" s="88" t="n">
        <v>5</v>
      </c>
      <c r="N38" s="88" t="n">
        <v>-10</v>
      </c>
      <c r="O38" s="88" t="n">
        <v>1</v>
      </c>
      <c r="P38" s="88" t="n">
        <v>130</v>
      </c>
      <c r="Q38" s="88" t="n">
        <v>30</v>
      </c>
      <c r="R38" s="89" t="s">
        <v>221</v>
      </c>
      <c r="S38" s="95"/>
      <c r="T38" s="89" t="s">
        <v>290</v>
      </c>
      <c r="U38" s="89" t="n">
        <v>90</v>
      </c>
      <c r="V38" s="89"/>
      <c r="W38" s="89" t="n">
        <v>0.373333333333333</v>
      </c>
      <c r="X38" s="89" t="n">
        <v>1</v>
      </c>
      <c r="Y38" s="89"/>
      <c r="Z38" s="88"/>
      <c r="AA38" s="91"/>
    </row>
    <row r="39" customFormat="false" ht="15" hidden="false" customHeight="false" outlineLevel="0" collapsed="false">
      <c r="A39" s="68" t="e">
        <f aca="false">VLOOKUP(E39,'[1]Listas Desplegables'!$H$3:$J$7,2,FALSE())</f>
        <v>#N/A</v>
      </c>
      <c r="B39" s="68" t="e">
        <f aca="false">VLOOKUP(E39,'[1]Listas Desplegables'!$H$3:$J$7,3,FALSE())</f>
        <v>#N/A</v>
      </c>
      <c r="C39" s="85" t="n">
        <v>34</v>
      </c>
      <c r="D39" s="94" t="s">
        <v>598</v>
      </c>
      <c r="E39" s="94" t="s">
        <v>597</v>
      </c>
      <c r="F39" s="109" t="n">
        <v>110</v>
      </c>
      <c r="G39" s="88" t="n">
        <v>13.8</v>
      </c>
      <c r="H39" s="88" t="n">
        <v>50</v>
      </c>
      <c r="I39" s="89" t="s">
        <v>548</v>
      </c>
      <c r="J39" s="88" t="n">
        <v>19.23</v>
      </c>
      <c r="K39" s="88" t="n">
        <v>18.91</v>
      </c>
      <c r="L39" s="88" t="n">
        <v>0</v>
      </c>
      <c r="M39" s="88" t="n">
        <v>5</v>
      </c>
      <c r="N39" s="88" t="n">
        <v>-15</v>
      </c>
      <c r="O39" s="88" t="n">
        <v>1</v>
      </c>
      <c r="P39" s="88" t="n">
        <v>130</v>
      </c>
      <c r="Q39" s="88" t="n">
        <v>30</v>
      </c>
      <c r="R39" s="89" t="s">
        <v>221</v>
      </c>
      <c r="S39" s="95"/>
      <c r="T39" s="89" t="s">
        <v>290</v>
      </c>
      <c r="U39" s="89" t="n">
        <v>265.99</v>
      </c>
      <c r="V39" s="89" t="n">
        <v>0</v>
      </c>
      <c r="W39" s="89" t="n">
        <v>0</v>
      </c>
      <c r="X39" s="89" t="n">
        <v>0</v>
      </c>
      <c r="Y39" s="89"/>
      <c r="Z39" s="88"/>
      <c r="AA39" s="91" t="s">
        <v>599</v>
      </c>
    </row>
    <row r="40" customFormat="false" ht="15" hidden="false" customHeight="false" outlineLevel="0" collapsed="false">
      <c r="A40" s="68" t="e">
        <f aca="false">VLOOKUP(E40,'[1]Listas Desplegables'!$H$3:$J$7,2,FALSE())</f>
        <v>#N/A</v>
      </c>
      <c r="B40" s="68" t="e">
        <f aca="false">VLOOKUP(E40,'[1]Listas Desplegables'!$H$3:$J$7,3,FALSE())</f>
        <v>#N/A</v>
      </c>
      <c r="C40" s="85" t="n">
        <v>35</v>
      </c>
      <c r="D40" s="94" t="s">
        <v>600</v>
      </c>
      <c r="E40" s="94" t="s">
        <v>450</v>
      </c>
      <c r="F40" s="109" t="n">
        <v>110</v>
      </c>
      <c r="G40" s="88" t="n">
        <v>13.8</v>
      </c>
      <c r="H40" s="88" t="n">
        <v>25</v>
      </c>
      <c r="I40" s="89" t="s">
        <v>548</v>
      </c>
      <c r="J40" s="88" t="n">
        <v>10.9</v>
      </c>
      <c r="K40" s="88" t="n">
        <v>10.9</v>
      </c>
      <c r="L40" s="88" t="n">
        <v>0</v>
      </c>
      <c r="M40" s="88" t="n">
        <v>6</v>
      </c>
      <c r="N40" s="88" t="n">
        <v>-18</v>
      </c>
      <c r="O40" s="88" t="n">
        <v>0.83</v>
      </c>
      <c r="P40" s="88" t="n">
        <v>130</v>
      </c>
      <c r="Q40" s="88" t="n">
        <v>30</v>
      </c>
      <c r="R40" s="89" t="s">
        <v>221</v>
      </c>
      <c r="S40" s="95"/>
      <c r="T40" s="89" t="s">
        <v>290</v>
      </c>
      <c r="U40" s="89" t="n">
        <v>115</v>
      </c>
      <c r="V40" s="89"/>
      <c r="W40" s="89" t="n">
        <v>0</v>
      </c>
      <c r="X40" s="89" t="n">
        <v>0</v>
      </c>
      <c r="Y40" s="89"/>
      <c r="Z40" s="88"/>
      <c r="AA40" s="91"/>
    </row>
    <row r="41" customFormat="false" ht="15" hidden="false" customHeight="false" outlineLevel="0" collapsed="false">
      <c r="A41" s="68" t="e">
        <f aca="false">VLOOKUP(E41,'[1]Listas Desplegables'!$H$3:$J$7,2,FALSE())</f>
        <v>#N/A</v>
      </c>
      <c r="B41" s="68" t="e">
        <f aca="false">VLOOKUP(E41,'[1]Listas Desplegables'!$H$3:$J$7,3,FALSE())</f>
        <v>#N/A</v>
      </c>
      <c r="C41" s="85" t="n">
        <v>36</v>
      </c>
      <c r="D41" s="94" t="s">
        <v>601</v>
      </c>
      <c r="E41" s="94" t="s">
        <v>450</v>
      </c>
      <c r="F41" s="109" t="n">
        <v>110</v>
      </c>
      <c r="G41" s="88" t="n">
        <v>13.8</v>
      </c>
      <c r="H41" s="88" t="n">
        <v>30</v>
      </c>
      <c r="I41" s="89" t="s">
        <v>548</v>
      </c>
      <c r="J41" s="88" t="n">
        <v>10.97</v>
      </c>
      <c r="K41" s="88" t="n">
        <v>10.85</v>
      </c>
      <c r="L41" s="88" t="n">
        <v>0</v>
      </c>
      <c r="M41" s="88" t="n">
        <v>6</v>
      </c>
      <c r="N41" s="88" t="n">
        <v>-18</v>
      </c>
      <c r="O41" s="88" t="n">
        <v>0.83</v>
      </c>
      <c r="P41" s="88" t="n">
        <v>100</v>
      </c>
      <c r="Q41" s="88" t="n">
        <v>0</v>
      </c>
      <c r="R41" s="89" t="s">
        <v>221</v>
      </c>
      <c r="S41" s="95"/>
      <c r="T41" s="89" t="s">
        <v>290</v>
      </c>
      <c r="U41" s="89"/>
      <c r="V41" s="89"/>
      <c r="W41" s="89" t="n">
        <v>3.89094375</v>
      </c>
      <c r="X41" s="89" t="n">
        <v>1</v>
      </c>
      <c r="Y41" s="89"/>
      <c r="Z41" s="88"/>
      <c r="AA41" s="91"/>
    </row>
    <row r="42" customFormat="false" ht="15" hidden="false" customHeight="false" outlineLevel="0" collapsed="false">
      <c r="A42" s="68" t="e">
        <f aca="false">VLOOKUP(E42,'[1]Listas Desplegables'!$H$3:$J$7,2,FALSE())</f>
        <v>#N/A</v>
      </c>
      <c r="B42" s="68" t="e">
        <f aca="false">VLOOKUP(E42,'[1]Listas Desplegables'!$H$3:$J$7,3,FALSE())</f>
        <v>#N/A</v>
      </c>
      <c r="C42" s="85" t="n">
        <v>37</v>
      </c>
      <c r="D42" s="94" t="s">
        <v>602</v>
      </c>
      <c r="E42" s="94" t="s">
        <v>603</v>
      </c>
      <c r="F42" s="109" t="n">
        <v>34.5</v>
      </c>
      <c r="G42" s="88" t="n">
        <v>13.8</v>
      </c>
      <c r="H42" s="88" t="n">
        <v>4.3</v>
      </c>
      <c r="I42" s="89" t="s">
        <v>543</v>
      </c>
      <c r="J42" s="88" t="n">
        <v>10.05</v>
      </c>
      <c r="K42" s="88" t="n">
        <v>10.05</v>
      </c>
      <c r="L42" s="88" t="n">
        <v>0</v>
      </c>
      <c r="M42" s="88" t="n">
        <v>4</v>
      </c>
      <c r="N42" s="88" t="n">
        <v>-4</v>
      </c>
      <c r="O42" s="88" t="n">
        <v>2.5</v>
      </c>
      <c r="P42" s="88" t="n">
        <v>110</v>
      </c>
      <c r="Q42" s="88" t="n">
        <v>30</v>
      </c>
      <c r="R42" s="89" t="s">
        <v>221</v>
      </c>
      <c r="S42" s="95"/>
      <c r="T42" s="89" t="s">
        <v>290</v>
      </c>
      <c r="U42" s="89" t="n">
        <v>26.83</v>
      </c>
      <c r="V42" s="89"/>
      <c r="W42" s="89" t="n">
        <v>0</v>
      </c>
      <c r="X42" s="89" t="n">
        <v>0</v>
      </c>
      <c r="Y42" s="89"/>
      <c r="Z42" s="88"/>
      <c r="AA42" s="91"/>
    </row>
    <row r="43" customFormat="false" ht="15" hidden="false" customHeight="false" outlineLevel="0" collapsed="false">
      <c r="A43" s="68" t="e">
        <f aca="false">VLOOKUP(E43,'[1]Listas Desplegables'!$H$3:$J$7,2,FALSE())</f>
        <v>#N/A</v>
      </c>
      <c r="B43" s="68" t="e">
        <f aca="false">VLOOKUP(E43,'[1]Listas Desplegables'!$H$3:$J$7,3,FALSE())</f>
        <v>#N/A</v>
      </c>
      <c r="C43" s="85" t="n">
        <v>38</v>
      </c>
      <c r="D43" s="94" t="s">
        <v>604</v>
      </c>
      <c r="E43" s="94" t="s">
        <v>605</v>
      </c>
      <c r="F43" s="109" t="n">
        <v>34.5</v>
      </c>
      <c r="G43" s="88" t="n">
        <v>13.8</v>
      </c>
      <c r="H43" s="88" t="n">
        <v>8</v>
      </c>
      <c r="I43" s="89" t="s">
        <v>582</v>
      </c>
      <c r="J43" s="88" t="n">
        <v>4.89</v>
      </c>
      <c r="K43" s="88" t="n">
        <v>4.89</v>
      </c>
      <c r="L43" s="88" t="n">
        <v>0</v>
      </c>
      <c r="M43" s="88" t="n">
        <v>2</v>
      </c>
      <c r="N43" s="88" t="n">
        <v>-2</v>
      </c>
      <c r="O43" s="88" t="n">
        <v>2.5</v>
      </c>
      <c r="P43" s="88" t="n">
        <v>110</v>
      </c>
      <c r="Q43" s="88" t="n">
        <v>30</v>
      </c>
      <c r="R43" s="89" t="s">
        <v>221</v>
      </c>
      <c r="S43" s="95"/>
      <c r="T43" s="89" t="s">
        <v>290</v>
      </c>
      <c r="U43" s="89" t="n">
        <v>55</v>
      </c>
      <c r="V43" s="89"/>
      <c r="W43" s="89" t="n">
        <v>0</v>
      </c>
      <c r="X43" s="89" t="n">
        <v>0</v>
      </c>
      <c r="Y43" s="89"/>
      <c r="Z43" s="88"/>
      <c r="AA43" s="91"/>
    </row>
    <row r="44" customFormat="false" ht="15" hidden="false" customHeight="false" outlineLevel="0" collapsed="false">
      <c r="A44" s="68" t="e">
        <f aca="false">VLOOKUP(E44,'[1]Listas Desplegables'!$H$3:$J$7,2,FALSE())</f>
        <v>#N/A</v>
      </c>
      <c r="B44" s="68" t="e">
        <f aca="false">VLOOKUP(E44,'[1]Listas Desplegables'!$H$3:$J$7,3,FALSE())</f>
        <v>#N/A</v>
      </c>
      <c r="C44" s="85" t="n">
        <v>39</v>
      </c>
      <c r="D44" s="94" t="s">
        <v>606</v>
      </c>
      <c r="E44" s="94" t="s">
        <v>607</v>
      </c>
      <c r="F44" s="109" t="n">
        <v>110</v>
      </c>
      <c r="G44" s="88" t="n">
        <v>13.8</v>
      </c>
      <c r="H44" s="88" t="n">
        <v>30</v>
      </c>
      <c r="I44" s="89" t="s">
        <v>548</v>
      </c>
      <c r="J44" s="88" t="n">
        <v>12.07</v>
      </c>
      <c r="K44" s="88" t="n">
        <v>12.07</v>
      </c>
      <c r="L44" s="88" t="n">
        <v>0</v>
      </c>
      <c r="M44" s="88" t="n">
        <v>5</v>
      </c>
      <c r="N44" s="88" t="n">
        <v>-10</v>
      </c>
      <c r="O44" s="88" t="n">
        <v>1</v>
      </c>
      <c r="P44" s="88" t="n">
        <v>130</v>
      </c>
      <c r="Q44" s="88" t="n">
        <v>30</v>
      </c>
      <c r="R44" s="89" t="s">
        <v>221</v>
      </c>
      <c r="S44" s="95"/>
      <c r="T44" s="89" t="s">
        <v>290</v>
      </c>
      <c r="U44" s="89" t="n">
        <v>93.4</v>
      </c>
      <c r="V44" s="89"/>
      <c r="W44" s="89" t="n">
        <v>1.1934625</v>
      </c>
      <c r="X44" s="89" t="n">
        <v>2</v>
      </c>
      <c r="Y44" s="89"/>
      <c r="Z44" s="88"/>
      <c r="AA44" s="91" t="s">
        <v>608</v>
      </c>
    </row>
    <row r="45" customFormat="false" ht="15" hidden="false" customHeight="false" outlineLevel="0" collapsed="false">
      <c r="A45" s="68" t="e">
        <f aca="false">VLOOKUP(E45,'[1]Listas Desplegables'!$H$3:$J$7,2,FALSE())</f>
        <v>#N/A</v>
      </c>
      <c r="B45" s="68" t="e">
        <f aca="false">VLOOKUP(E45,'[1]Listas Desplegables'!$H$3:$J$7,3,FALSE())</f>
        <v>#N/A</v>
      </c>
      <c r="C45" s="85" t="n">
        <v>40</v>
      </c>
      <c r="D45" s="94" t="s">
        <v>609</v>
      </c>
      <c r="E45" s="94" t="s">
        <v>607</v>
      </c>
      <c r="F45" s="109" t="n">
        <v>110</v>
      </c>
      <c r="G45" s="88" t="n">
        <v>13.8</v>
      </c>
      <c r="H45" s="88" t="n">
        <v>30</v>
      </c>
      <c r="I45" s="89" t="s">
        <v>582</v>
      </c>
      <c r="J45" s="88" t="n">
        <v>11.88</v>
      </c>
      <c r="K45" s="88" t="n">
        <v>11.88</v>
      </c>
      <c r="L45" s="88" t="n">
        <v>0</v>
      </c>
      <c r="M45" s="88" t="n">
        <v>5</v>
      </c>
      <c r="N45" s="88" t="n">
        <v>-15</v>
      </c>
      <c r="O45" s="88" t="n">
        <v>1</v>
      </c>
      <c r="P45" s="88" t="n">
        <v>130</v>
      </c>
      <c r="Q45" s="88" t="n">
        <v>30</v>
      </c>
      <c r="R45" s="89" t="s">
        <v>221</v>
      </c>
      <c r="S45" s="95"/>
      <c r="T45" s="89" t="s">
        <v>290</v>
      </c>
      <c r="U45" s="89" t="n">
        <v>93.4</v>
      </c>
      <c r="V45" s="89"/>
      <c r="W45" s="89" t="n">
        <v>0</v>
      </c>
      <c r="X45" s="89" t="n">
        <v>0</v>
      </c>
      <c r="Y45" s="89"/>
      <c r="Z45" s="88"/>
      <c r="AA45" s="91" t="s">
        <v>608</v>
      </c>
    </row>
    <row r="46" customFormat="false" ht="15" hidden="false" customHeight="false" outlineLevel="0" collapsed="false">
      <c r="A46" s="68" t="e">
        <f aca="false">VLOOKUP(E46,'[1]Listas Desplegables'!$H$3:$J$7,2,FALSE())</f>
        <v>#N/A</v>
      </c>
      <c r="B46" s="68" t="e">
        <f aca="false">VLOOKUP(E46,'[1]Listas Desplegables'!$H$3:$J$7,3,FALSE())</f>
        <v>#N/A</v>
      </c>
      <c r="C46" s="85" t="n">
        <v>41</v>
      </c>
      <c r="D46" s="94" t="s">
        <v>610</v>
      </c>
      <c r="E46" s="94" t="s">
        <v>607</v>
      </c>
      <c r="F46" s="109" t="n">
        <v>110</v>
      </c>
      <c r="G46" s="88" t="n">
        <v>13.8</v>
      </c>
      <c r="H46" s="88" t="n">
        <v>30</v>
      </c>
      <c r="I46" s="89" t="s">
        <v>548</v>
      </c>
      <c r="J46" s="88" t="n">
        <v>10.836</v>
      </c>
      <c r="K46" s="88" t="n">
        <v>10.836</v>
      </c>
      <c r="L46" s="88" t="n">
        <v>0</v>
      </c>
      <c r="M46" s="88" t="n">
        <v>6</v>
      </c>
      <c r="N46" s="88" t="n">
        <v>-18</v>
      </c>
      <c r="O46" s="88" t="n">
        <v>0.83</v>
      </c>
      <c r="P46" s="88" t="n">
        <v>130</v>
      </c>
      <c r="Q46" s="88" t="n">
        <v>30</v>
      </c>
      <c r="R46" s="89" t="s">
        <v>221</v>
      </c>
      <c r="S46" s="95"/>
      <c r="T46" s="89" t="s">
        <v>290</v>
      </c>
      <c r="U46" s="89" t="n">
        <v>16.62</v>
      </c>
      <c r="V46" s="89"/>
      <c r="W46" s="89" t="n">
        <v>0</v>
      </c>
      <c r="X46" s="89" t="n">
        <v>0</v>
      </c>
      <c r="Y46" s="89"/>
      <c r="Z46" s="88"/>
      <c r="AA46" s="91" t="s">
        <v>608</v>
      </c>
    </row>
    <row r="47" customFormat="false" ht="15" hidden="false" customHeight="false" outlineLevel="0" collapsed="false">
      <c r="A47" s="68" t="e">
        <f aca="false">VLOOKUP(E47,'[1]Listas Desplegables'!$H$3:$J$7,2,FALSE())</f>
        <v>#N/A</v>
      </c>
      <c r="B47" s="68" t="e">
        <f aca="false">VLOOKUP(E47,'[1]Listas Desplegables'!$H$3:$J$7,3,FALSE())</f>
        <v>#N/A</v>
      </c>
      <c r="C47" s="85" t="n">
        <v>42</v>
      </c>
      <c r="D47" s="94" t="s">
        <v>611</v>
      </c>
      <c r="E47" s="94" t="s">
        <v>612</v>
      </c>
      <c r="F47" s="109" t="n">
        <v>110</v>
      </c>
      <c r="G47" s="88" t="n">
        <v>13.8</v>
      </c>
      <c r="H47" s="88" t="n">
        <v>30</v>
      </c>
      <c r="I47" s="89" t="s">
        <v>548</v>
      </c>
      <c r="J47" s="88" t="n">
        <v>11.93</v>
      </c>
      <c r="K47" s="88" t="n">
        <v>11.9</v>
      </c>
      <c r="L47" s="88" t="n">
        <v>0</v>
      </c>
      <c r="M47" s="88" t="n">
        <v>5</v>
      </c>
      <c r="N47" s="88" t="n">
        <v>-15</v>
      </c>
      <c r="O47" s="88" t="n">
        <v>1</v>
      </c>
      <c r="P47" s="88" t="n">
        <v>110</v>
      </c>
      <c r="Q47" s="88" t="n">
        <v>30</v>
      </c>
      <c r="R47" s="89" t="s">
        <v>221</v>
      </c>
      <c r="S47" s="95"/>
      <c r="T47" s="89" t="s">
        <v>290</v>
      </c>
      <c r="U47" s="89"/>
      <c r="V47" s="89"/>
      <c r="W47" s="89" t="n">
        <v>0</v>
      </c>
      <c r="X47" s="89" t="n">
        <v>0</v>
      </c>
      <c r="Y47" s="89"/>
      <c r="Z47" s="88"/>
      <c r="AA47" s="91" t="s">
        <v>613</v>
      </c>
    </row>
    <row r="48" customFormat="false" ht="15" hidden="false" customHeight="false" outlineLevel="0" collapsed="false">
      <c r="A48" s="68" t="e">
        <f aca="false">VLOOKUP(E48,'[1]Listas Desplegables'!$H$3:$J$7,2,FALSE())</f>
        <v>#N/A</v>
      </c>
      <c r="B48" s="68" t="e">
        <f aca="false">VLOOKUP(E48,'[1]Listas Desplegables'!$H$3:$J$7,3,FALSE())</f>
        <v>#N/A</v>
      </c>
      <c r="C48" s="85" t="n">
        <v>43</v>
      </c>
      <c r="D48" s="94" t="s">
        <v>614</v>
      </c>
      <c r="E48" s="94" t="s">
        <v>612</v>
      </c>
      <c r="F48" s="109" t="n">
        <v>110</v>
      </c>
      <c r="G48" s="88" t="n">
        <v>13.8</v>
      </c>
      <c r="H48" s="88" t="n">
        <v>30</v>
      </c>
      <c r="I48" s="89" t="s">
        <v>548</v>
      </c>
      <c r="J48" s="88" t="n">
        <v>11.94</v>
      </c>
      <c r="K48" s="88" t="n">
        <v>11.88</v>
      </c>
      <c r="L48" s="88" t="n">
        <v>0</v>
      </c>
      <c r="M48" s="88" t="n">
        <v>5</v>
      </c>
      <c r="N48" s="88" t="n">
        <v>-15</v>
      </c>
      <c r="O48" s="88" t="n">
        <v>1</v>
      </c>
      <c r="P48" s="88" t="n">
        <v>110</v>
      </c>
      <c r="Q48" s="88" t="n">
        <v>30</v>
      </c>
      <c r="R48" s="89" t="s">
        <v>221</v>
      </c>
      <c r="S48" s="95"/>
      <c r="T48" s="89" t="s">
        <v>290</v>
      </c>
      <c r="U48" s="89"/>
      <c r="V48" s="89"/>
      <c r="W48" s="89" t="n">
        <v>0</v>
      </c>
      <c r="X48" s="89" t="n">
        <v>0</v>
      </c>
      <c r="Y48" s="89"/>
      <c r="Z48" s="88"/>
      <c r="AA48" s="91" t="s">
        <v>615</v>
      </c>
    </row>
    <row r="49" customFormat="false" ht="15" hidden="false" customHeight="false" outlineLevel="0" collapsed="false">
      <c r="A49" s="68" t="e">
        <f aca="false">VLOOKUP(E49,'[1]Listas Desplegables'!$H$3:$J$7,2,FALSE())</f>
        <v>#N/A</v>
      </c>
      <c r="B49" s="68" t="e">
        <f aca="false">VLOOKUP(E49,'[1]Listas Desplegables'!$H$3:$J$7,3,FALSE())</f>
        <v>#N/A</v>
      </c>
      <c r="C49" s="85" t="n">
        <v>44</v>
      </c>
      <c r="D49" s="94" t="s">
        <v>616</v>
      </c>
      <c r="E49" s="94" t="s">
        <v>617</v>
      </c>
      <c r="F49" s="109" t="n">
        <v>110</v>
      </c>
      <c r="G49" s="88" t="n">
        <v>13.8</v>
      </c>
      <c r="H49" s="88" t="n">
        <v>45</v>
      </c>
      <c r="I49" s="89" t="s">
        <v>548</v>
      </c>
      <c r="J49" s="88" t="n">
        <v>10.95</v>
      </c>
      <c r="K49" s="88" t="n">
        <v>10.95</v>
      </c>
      <c r="L49" s="88" t="n">
        <v>0</v>
      </c>
      <c r="M49" s="88" t="n">
        <v>10</v>
      </c>
      <c r="N49" s="88" t="n">
        <v>-10</v>
      </c>
      <c r="O49" s="88" t="n">
        <v>1</v>
      </c>
      <c r="P49" s="88" t="n">
        <v>110</v>
      </c>
      <c r="Q49" s="88" t="n">
        <v>30</v>
      </c>
      <c r="R49" s="89" t="s">
        <v>221</v>
      </c>
      <c r="S49" s="95"/>
      <c r="T49" s="89" t="s">
        <v>290</v>
      </c>
      <c r="U49" s="89"/>
      <c r="V49" s="89"/>
      <c r="W49" s="89" t="n">
        <v>0</v>
      </c>
      <c r="X49" s="89" t="n">
        <v>0</v>
      </c>
      <c r="Y49" s="89"/>
      <c r="Z49" s="88"/>
      <c r="AA49" s="91"/>
    </row>
    <row r="50" customFormat="false" ht="15" hidden="false" customHeight="false" outlineLevel="0" collapsed="false">
      <c r="A50" s="68" t="e">
        <f aca="false">VLOOKUP(E50,'[1]Listas Desplegables'!$H$3:$J$7,2,FALSE())</f>
        <v>#N/A</v>
      </c>
      <c r="B50" s="68" t="e">
        <f aca="false">VLOOKUP(E50,'[1]Listas Desplegables'!$H$3:$J$7,3,FALSE())</f>
        <v>#N/A</v>
      </c>
      <c r="C50" s="85" t="n">
        <v>45</v>
      </c>
      <c r="D50" s="94" t="s">
        <v>618</v>
      </c>
      <c r="E50" s="94" t="s">
        <v>619</v>
      </c>
      <c r="F50" s="109" t="n">
        <v>110</v>
      </c>
      <c r="G50" s="88" t="n">
        <v>13.8</v>
      </c>
      <c r="H50" s="88" t="n">
        <v>50</v>
      </c>
      <c r="I50" s="89" t="s">
        <v>548</v>
      </c>
      <c r="J50" s="88" t="n">
        <v>19.3</v>
      </c>
      <c r="K50" s="88" t="n">
        <v>19.3</v>
      </c>
      <c r="L50" s="88" t="n">
        <v>0</v>
      </c>
      <c r="M50" s="88" t="n">
        <v>5</v>
      </c>
      <c r="N50" s="88" t="n">
        <v>-15</v>
      </c>
      <c r="O50" s="88" t="n">
        <v>1</v>
      </c>
      <c r="P50" s="88" t="n">
        <v>130</v>
      </c>
      <c r="Q50" s="88" t="n">
        <v>30</v>
      </c>
      <c r="R50" s="89" t="s">
        <v>221</v>
      </c>
      <c r="S50" s="95"/>
      <c r="T50" s="89" t="s">
        <v>290</v>
      </c>
      <c r="U50" s="89" t="n">
        <v>189.3</v>
      </c>
      <c r="V50" s="89"/>
      <c r="W50" s="89" t="n">
        <v>0</v>
      </c>
      <c r="X50" s="89" t="n">
        <v>0</v>
      </c>
      <c r="Y50" s="89"/>
      <c r="Z50" s="88"/>
      <c r="AA50" s="91" t="s">
        <v>620</v>
      </c>
    </row>
    <row r="51" customFormat="false" ht="15" hidden="false" customHeight="false" outlineLevel="0" collapsed="false">
      <c r="A51" s="68" t="e">
        <f aca="false">VLOOKUP(E51,'[1]Listas Desplegables'!$H$3:$J$7,2,FALSE())</f>
        <v>#N/A</v>
      </c>
      <c r="B51" s="68" t="e">
        <f aca="false">VLOOKUP(E51,'[1]Listas Desplegables'!$H$3:$J$7,3,FALSE())</f>
        <v>#N/A</v>
      </c>
      <c r="C51" s="85" t="n">
        <v>46</v>
      </c>
      <c r="D51" s="94" t="s">
        <v>621</v>
      </c>
      <c r="E51" s="94" t="s">
        <v>619</v>
      </c>
      <c r="F51" s="109" t="n">
        <v>110</v>
      </c>
      <c r="G51" s="88" t="n">
        <v>13.8</v>
      </c>
      <c r="H51" s="88" t="n">
        <v>50</v>
      </c>
      <c r="I51" s="89" t="s">
        <v>548</v>
      </c>
      <c r="J51" s="88" t="n">
        <v>19.2</v>
      </c>
      <c r="K51" s="88" t="n">
        <v>19.2</v>
      </c>
      <c r="L51" s="88" t="n">
        <v>0</v>
      </c>
      <c r="M51" s="88" t="n">
        <v>5</v>
      </c>
      <c r="N51" s="88" t="n">
        <v>-15</v>
      </c>
      <c r="O51" s="88" t="n">
        <v>1</v>
      </c>
      <c r="P51" s="88" t="n">
        <v>130</v>
      </c>
      <c r="Q51" s="88" t="n">
        <v>30</v>
      </c>
      <c r="R51" s="89" t="s">
        <v>221</v>
      </c>
      <c r="S51" s="95"/>
      <c r="T51" s="89" t="s">
        <v>290</v>
      </c>
      <c r="U51" s="89" t="n">
        <v>189.7</v>
      </c>
      <c r="V51" s="89"/>
      <c r="W51" s="89" t="n">
        <v>0</v>
      </c>
      <c r="X51" s="89" t="n">
        <v>0</v>
      </c>
      <c r="Y51" s="89"/>
      <c r="Z51" s="88"/>
      <c r="AA51" s="91" t="s">
        <v>622</v>
      </c>
    </row>
    <row r="52" customFormat="false" ht="15" hidden="false" customHeight="false" outlineLevel="0" collapsed="false">
      <c r="A52" s="68" t="e">
        <f aca="false">VLOOKUP(E52,'[1]Listas Desplegables'!$H$3:$J$7,2,FALSE())</f>
        <v>#N/A</v>
      </c>
      <c r="B52" s="68" t="e">
        <f aca="false">VLOOKUP(E52,'[1]Listas Desplegables'!$H$3:$J$7,3,FALSE())</f>
        <v>#N/A</v>
      </c>
      <c r="C52" s="85" t="n">
        <v>47</v>
      </c>
      <c r="D52" s="94" t="s">
        <v>623</v>
      </c>
      <c r="E52" s="94" t="s">
        <v>624</v>
      </c>
      <c r="F52" s="109" t="n">
        <v>34.5</v>
      </c>
      <c r="G52" s="88" t="n">
        <v>13.8</v>
      </c>
      <c r="H52" s="88" t="n">
        <v>8</v>
      </c>
      <c r="I52" s="89" t="s">
        <v>543</v>
      </c>
      <c r="J52" s="88" t="n">
        <v>6.84</v>
      </c>
      <c r="K52" s="88" t="n">
        <v>6.84</v>
      </c>
      <c r="L52" s="88" t="n">
        <v>0</v>
      </c>
      <c r="M52" s="88" t="n">
        <v>2</v>
      </c>
      <c r="N52" s="88" t="n">
        <v>-2</v>
      </c>
      <c r="O52" s="88" t="n">
        <v>2.5</v>
      </c>
      <c r="P52" s="88" t="n">
        <v>110</v>
      </c>
      <c r="Q52" s="88" t="n">
        <v>30</v>
      </c>
      <c r="R52" s="89" t="s">
        <v>221</v>
      </c>
      <c r="S52" s="95"/>
      <c r="T52" s="89" t="s">
        <v>290</v>
      </c>
      <c r="U52" s="89" t="n">
        <v>42.6</v>
      </c>
      <c r="V52" s="89"/>
      <c r="W52" s="89" t="n">
        <v>0</v>
      </c>
      <c r="X52" s="89" t="n">
        <v>0</v>
      </c>
      <c r="Y52" s="89"/>
      <c r="Z52" s="88"/>
      <c r="AA52" s="91"/>
    </row>
    <row r="53" customFormat="false" ht="15" hidden="false" customHeight="false" outlineLevel="0" collapsed="false">
      <c r="A53" s="68" t="e">
        <f aca="false">VLOOKUP(E53,'[1]Listas Desplegables'!$H$3:$J$7,2,FALSE())</f>
        <v>#N/A</v>
      </c>
      <c r="B53" s="68" t="e">
        <f aca="false">VLOOKUP(E53,'[1]Listas Desplegables'!$H$3:$J$7,3,FALSE())</f>
        <v>#N/A</v>
      </c>
      <c r="C53" s="85" t="n">
        <v>48</v>
      </c>
      <c r="D53" s="94" t="s">
        <v>625</v>
      </c>
      <c r="E53" s="94" t="s">
        <v>626</v>
      </c>
      <c r="F53" s="109" t="n">
        <v>34.5</v>
      </c>
      <c r="G53" s="88" t="n">
        <v>13.8</v>
      </c>
      <c r="H53" s="88" t="n">
        <v>12.5</v>
      </c>
      <c r="I53" s="89" t="s">
        <v>543</v>
      </c>
      <c r="J53" s="88" t="n">
        <v>12.85</v>
      </c>
      <c r="K53" s="88" t="n">
        <v>12.85</v>
      </c>
      <c r="L53" s="88" t="n">
        <v>0</v>
      </c>
      <c r="M53" s="88" t="n">
        <v>4</v>
      </c>
      <c r="N53" s="88" t="n">
        <v>-4</v>
      </c>
      <c r="O53" s="88" t="n">
        <v>2.5</v>
      </c>
      <c r="P53" s="88" t="n">
        <v>125</v>
      </c>
      <c r="Q53" s="88" t="n">
        <v>30</v>
      </c>
      <c r="R53" s="89" t="s">
        <v>221</v>
      </c>
      <c r="S53" s="95"/>
      <c r="T53" s="89" t="s">
        <v>290</v>
      </c>
      <c r="U53" s="89" t="n">
        <v>55.1</v>
      </c>
      <c r="V53" s="89"/>
      <c r="W53" s="89" t="n">
        <v>1.08296994949495</v>
      </c>
      <c r="X53" s="89" t="n">
        <v>5</v>
      </c>
      <c r="Y53" s="89"/>
      <c r="Z53" s="88"/>
      <c r="AA53" s="91"/>
    </row>
    <row r="54" customFormat="false" ht="15" hidden="false" customHeight="false" outlineLevel="0" collapsed="false">
      <c r="A54" s="68" t="e">
        <f aca="false">VLOOKUP(E54,'[1]Listas Desplegables'!$H$3:$J$7,2,FALSE())</f>
        <v>#N/A</v>
      </c>
      <c r="B54" s="68" t="e">
        <f aca="false">VLOOKUP(E54,'[1]Listas Desplegables'!$H$3:$J$7,3,FALSE())</f>
        <v>#N/A</v>
      </c>
      <c r="C54" s="85" t="n">
        <v>49</v>
      </c>
      <c r="D54" s="94" t="s">
        <v>627</v>
      </c>
      <c r="E54" s="94" t="s">
        <v>626</v>
      </c>
      <c r="F54" s="109" t="n">
        <v>34.5</v>
      </c>
      <c r="G54" s="88" t="n">
        <v>13.8</v>
      </c>
      <c r="H54" s="88" t="n">
        <v>12.5</v>
      </c>
      <c r="I54" s="89" t="s">
        <v>543</v>
      </c>
      <c r="J54" s="88" t="n">
        <v>10.33</v>
      </c>
      <c r="K54" s="88" t="n">
        <v>10.33</v>
      </c>
      <c r="L54" s="88" t="n">
        <v>0</v>
      </c>
      <c r="M54" s="88" t="n">
        <v>4</v>
      </c>
      <c r="N54" s="88" t="n">
        <v>-4</v>
      </c>
      <c r="O54" s="88" t="n">
        <v>2.5</v>
      </c>
      <c r="P54" s="88" t="n">
        <v>100</v>
      </c>
      <c r="Q54" s="88" t="n">
        <v>0</v>
      </c>
      <c r="R54" s="89" t="s">
        <v>221</v>
      </c>
      <c r="S54" s="95"/>
      <c r="T54" s="89" t="s">
        <v>290</v>
      </c>
      <c r="U54" s="89" t="n">
        <v>70.2</v>
      </c>
      <c r="V54" s="89"/>
      <c r="W54" s="89"/>
      <c r="X54" s="89"/>
      <c r="Y54" s="89"/>
      <c r="Z54" s="88"/>
      <c r="AA54" s="91"/>
    </row>
    <row r="55" customFormat="false" ht="15" hidden="false" customHeight="false" outlineLevel="0" collapsed="false">
      <c r="A55" s="68" t="e">
        <f aca="false">VLOOKUP(E55,'[1]Listas Desplegables'!$H$3:$J$7,2,FALSE())</f>
        <v>#N/A</v>
      </c>
      <c r="B55" s="68" t="e">
        <f aca="false">VLOOKUP(E55,'[1]Listas Desplegables'!$H$3:$J$7,3,FALSE())</f>
        <v>#N/A</v>
      </c>
      <c r="C55" s="85" t="n">
        <v>50</v>
      </c>
      <c r="D55" s="94" t="s">
        <v>628</v>
      </c>
      <c r="E55" s="94" t="s">
        <v>629</v>
      </c>
      <c r="F55" s="109" t="n">
        <v>34.5</v>
      </c>
      <c r="G55" s="88" t="n">
        <v>13.8</v>
      </c>
      <c r="H55" s="88" t="n">
        <v>8</v>
      </c>
      <c r="I55" s="89" t="s">
        <v>543</v>
      </c>
      <c r="J55" s="88" t="n">
        <v>7.4</v>
      </c>
      <c r="K55" s="88" t="n">
        <v>7.4</v>
      </c>
      <c r="L55" s="88" t="n">
        <v>0</v>
      </c>
      <c r="M55" s="88" t="n">
        <v>2</v>
      </c>
      <c r="N55" s="88" t="n">
        <v>-2</v>
      </c>
      <c r="O55" s="88" t="n">
        <v>2.5</v>
      </c>
      <c r="P55" s="88" t="n">
        <v>105</v>
      </c>
      <c r="Q55" s="88" t="n">
        <v>30</v>
      </c>
      <c r="R55" s="89" t="s">
        <v>221</v>
      </c>
      <c r="S55" s="95"/>
      <c r="T55" s="89" t="s">
        <v>290</v>
      </c>
      <c r="U55" s="89" t="n">
        <v>55.1</v>
      </c>
      <c r="V55" s="89"/>
      <c r="W55" s="89" t="n">
        <v>0</v>
      </c>
      <c r="X55" s="89" t="n">
        <v>0</v>
      </c>
      <c r="Y55" s="89"/>
      <c r="Z55" s="88"/>
      <c r="AA55" s="91"/>
    </row>
    <row r="56" customFormat="false" ht="15" hidden="false" customHeight="false" outlineLevel="0" collapsed="false">
      <c r="A56" s="68" t="e">
        <f aca="false">VLOOKUP(E56,'[1]Listas Desplegables'!$H$3:$J$7,2,FALSE())</f>
        <v>#N/A</v>
      </c>
      <c r="B56" s="68" t="e">
        <f aca="false">VLOOKUP(E56,'[1]Listas Desplegables'!$H$3:$J$7,3,FALSE())</f>
        <v>#N/A</v>
      </c>
      <c r="C56" s="85" t="n">
        <v>51</v>
      </c>
      <c r="D56" s="94" t="s">
        <v>630</v>
      </c>
      <c r="E56" s="94" t="s">
        <v>631</v>
      </c>
      <c r="F56" s="109" t="n">
        <v>34.5</v>
      </c>
      <c r="G56" s="88" t="n">
        <v>13.8</v>
      </c>
      <c r="H56" s="88" t="n">
        <v>30</v>
      </c>
      <c r="I56" s="89" t="s">
        <v>582</v>
      </c>
      <c r="J56" s="88" t="n">
        <v>6.85</v>
      </c>
      <c r="K56" s="88" t="n">
        <v>6.68</v>
      </c>
      <c r="L56" s="88" t="n">
        <v>0</v>
      </c>
      <c r="M56" s="88" t="n">
        <v>16</v>
      </c>
      <c r="N56" s="88" t="n">
        <v>-16</v>
      </c>
      <c r="O56" s="88" t="n">
        <v>0.625</v>
      </c>
      <c r="P56" s="88" t="n">
        <v>110</v>
      </c>
      <c r="Q56" s="88" t="n">
        <v>30</v>
      </c>
      <c r="R56" s="89" t="s">
        <v>221</v>
      </c>
      <c r="S56" s="95"/>
      <c r="T56" s="89" t="s">
        <v>290</v>
      </c>
      <c r="U56" s="89"/>
      <c r="V56" s="89"/>
      <c r="W56" s="89" t="n">
        <v>0</v>
      </c>
      <c r="X56" s="89" t="n">
        <v>0</v>
      </c>
      <c r="Y56" s="89"/>
      <c r="Z56" s="88"/>
      <c r="AA56" s="91"/>
    </row>
    <row r="57" customFormat="false" ht="15" hidden="false" customHeight="false" outlineLevel="0" collapsed="false">
      <c r="A57" s="68" t="e">
        <f aca="false">VLOOKUP(E57,'[1]Listas Desplegables'!$H$3:$J$7,2,FALSE())</f>
        <v>#N/A</v>
      </c>
      <c r="B57" s="68" t="e">
        <f aca="false">VLOOKUP(E57,'[1]Listas Desplegables'!$H$3:$J$7,3,FALSE())</f>
        <v>#N/A</v>
      </c>
      <c r="C57" s="85" t="n">
        <v>52</v>
      </c>
      <c r="D57" s="94" t="s">
        <v>632</v>
      </c>
      <c r="E57" s="94" t="s">
        <v>633</v>
      </c>
      <c r="F57" s="109" t="n">
        <v>34.5</v>
      </c>
      <c r="G57" s="88" t="n">
        <v>13.8</v>
      </c>
      <c r="H57" s="88" t="n">
        <v>10</v>
      </c>
      <c r="I57" s="89" t="s">
        <v>543</v>
      </c>
      <c r="J57" s="88" t="n">
        <v>7.38</v>
      </c>
      <c r="K57" s="88" t="n">
        <v>7.38</v>
      </c>
      <c r="L57" s="88" t="n">
        <v>0</v>
      </c>
      <c r="M57" s="88" t="n">
        <v>2</v>
      </c>
      <c r="N57" s="88" t="n">
        <v>-2</v>
      </c>
      <c r="O57" s="88" t="n">
        <v>2.5</v>
      </c>
      <c r="P57" s="88" t="n">
        <v>110</v>
      </c>
      <c r="Q57" s="88" t="n">
        <v>30</v>
      </c>
      <c r="R57" s="89" t="s">
        <v>221</v>
      </c>
      <c r="S57" s="95"/>
      <c r="T57" s="89" t="s">
        <v>290</v>
      </c>
      <c r="U57" s="89" t="n">
        <v>44.8</v>
      </c>
      <c r="V57" s="89"/>
      <c r="W57" s="89" t="n">
        <v>0</v>
      </c>
      <c r="X57" s="89" t="n">
        <v>0</v>
      </c>
      <c r="Y57" s="89"/>
      <c r="Z57" s="88"/>
      <c r="AA57" s="91"/>
    </row>
    <row r="58" customFormat="false" ht="15" hidden="false" customHeight="false" outlineLevel="0" collapsed="false">
      <c r="A58" s="68" t="e">
        <f aca="false">VLOOKUP(E58,'[1]Listas Desplegables'!$H$3:$J$7,2,FALSE())</f>
        <v>#N/A</v>
      </c>
      <c r="B58" s="68" t="e">
        <f aca="false">VLOOKUP(E58,'[1]Listas Desplegables'!$H$3:$J$7,3,FALSE())</f>
        <v>#N/A</v>
      </c>
      <c r="C58" s="85" t="n">
        <v>53</v>
      </c>
      <c r="D58" s="94" t="s">
        <v>634</v>
      </c>
      <c r="E58" s="94" t="s">
        <v>635</v>
      </c>
      <c r="F58" s="109" t="n">
        <v>34.5</v>
      </c>
      <c r="G58" s="88" t="n">
        <v>13.8</v>
      </c>
      <c r="H58" s="88" t="n">
        <v>6.5</v>
      </c>
      <c r="I58" s="89" t="s">
        <v>539</v>
      </c>
      <c r="J58" s="88" t="n">
        <v>7.891</v>
      </c>
      <c r="K58" s="88" t="n">
        <v>7.891</v>
      </c>
      <c r="L58" s="88" t="n">
        <v>0</v>
      </c>
      <c r="M58" s="88" t="n">
        <v>2</v>
      </c>
      <c r="N58" s="88" t="n">
        <v>-2</v>
      </c>
      <c r="O58" s="88" t="n">
        <v>2.5</v>
      </c>
      <c r="P58" s="88" t="n">
        <v>110</v>
      </c>
      <c r="Q58" s="88" t="n">
        <v>30</v>
      </c>
      <c r="R58" s="89" t="s">
        <v>221</v>
      </c>
      <c r="S58" s="95"/>
      <c r="T58" s="89" t="s">
        <v>290</v>
      </c>
      <c r="U58" s="89" t="n">
        <v>22.931</v>
      </c>
      <c r="V58" s="89"/>
      <c r="W58" s="89" t="n">
        <v>0</v>
      </c>
      <c r="X58" s="89" t="n">
        <v>0</v>
      </c>
      <c r="Y58" s="89"/>
      <c r="Z58" s="88"/>
      <c r="AA58" s="91"/>
    </row>
    <row r="59" customFormat="false" ht="15" hidden="false" customHeight="false" outlineLevel="0" collapsed="false">
      <c r="A59" s="68" t="e">
        <f aca="false">VLOOKUP(E59,'[1]Listas Desplegables'!$H$3:$J$7,2,FALSE())</f>
        <v>#N/A</v>
      </c>
      <c r="B59" s="68" t="e">
        <f aca="false">VLOOKUP(E59,'[1]Listas Desplegables'!$H$3:$J$7,3,FALSE())</f>
        <v>#N/A</v>
      </c>
      <c r="C59" s="85" t="n">
        <v>54</v>
      </c>
      <c r="D59" s="94" t="s">
        <v>636</v>
      </c>
      <c r="E59" s="94" t="s">
        <v>637</v>
      </c>
      <c r="F59" s="109" t="n">
        <v>34.5</v>
      </c>
      <c r="G59" s="88" t="n">
        <v>13.8</v>
      </c>
      <c r="H59" s="88" t="n">
        <v>5</v>
      </c>
      <c r="I59" s="89" t="s">
        <v>543</v>
      </c>
      <c r="J59" s="88" t="n">
        <v>6.45</v>
      </c>
      <c r="K59" s="88" t="n">
        <v>6.45</v>
      </c>
      <c r="L59" s="88" t="n">
        <v>0</v>
      </c>
      <c r="M59" s="88" t="n">
        <v>2</v>
      </c>
      <c r="N59" s="88" t="n">
        <v>-2</v>
      </c>
      <c r="O59" s="88" t="n">
        <v>2.5</v>
      </c>
      <c r="P59" s="88" t="n">
        <v>110</v>
      </c>
      <c r="Q59" s="88" t="n">
        <v>30</v>
      </c>
      <c r="R59" s="89" t="s">
        <v>221</v>
      </c>
      <c r="S59" s="95"/>
      <c r="T59" s="89" t="s">
        <v>290</v>
      </c>
      <c r="U59" s="89"/>
      <c r="V59" s="89"/>
      <c r="W59" s="89" t="n">
        <v>4.11689916666667</v>
      </c>
      <c r="X59" s="89" t="n">
        <v>5</v>
      </c>
      <c r="Y59" s="89"/>
      <c r="Z59" s="88"/>
      <c r="AA59" s="91"/>
    </row>
    <row r="60" customFormat="false" ht="15" hidden="false" customHeight="false" outlineLevel="0" collapsed="false">
      <c r="A60" s="68" t="e">
        <f aca="false">VLOOKUP(E60,'[1]Listas Desplegables'!$H$3:$J$7,2,FALSE())</f>
        <v>#N/A</v>
      </c>
      <c r="B60" s="68" t="e">
        <f aca="false">VLOOKUP(E60,'[1]Listas Desplegables'!$H$3:$J$7,3,FALSE())</f>
        <v>#N/A</v>
      </c>
      <c r="C60" s="85" t="n">
        <v>55</v>
      </c>
      <c r="D60" s="94" t="s">
        <v>638</v>
      </c>
      <c r="E60" s="94" t="s">
        <v>639</v>
      </c>
      <c r="F60" s="109" t="n">
        <v>34.5</v>
      </c>
      <c r="G60" s="88" t="n">
        <v>13.8</v>
      </c>
      <c r="H60" s="88" t="n">
        <v>30</v>
      </c>
      <c r="I60" s="89" t="s">
        <v>582</v>
      </c>
      <c r="J60" s="88" t="n">
        <v>7.224</v>
      </c>
      <c r="K60" s="88" t="n">
        <v>7.224</v>
      </c>
      <c r="L60" s="88" t="n">
        <v>0</v>
      </c>
      <c r="M60" s="88" t="n">
        <v>8</v>
      </c>
      <c r="N60" s="88" t="n">
        <v>-8</v>
      </c>
      <c r="O60" s="88" t="n">
        <v>1.25</v>
      </c>
      <c r="P60" s="88" t="n">
        <v>110</v>
      </c>
      <c r="Q60" s="88" t="n">
        <v>30</v>
      </c>
      <c r="R60" s="89" t="s">
        <v>221</v>
      </c>
      <c r="S60" s="95"/>
      <c r="T60" s="89" t="s">
        <v>290</v>
      </c>
      <c r="U60" s="89"/>
      <c r="V60" s="89"/>
      <c r="W60" s="89" t="n">
        <v>5.55934063492064</v>
      </c>
      <c r="X60" s="89" t="n">
        <v>5</v>
      </c>
      <c r="Y60" s="89"/>
      <c r="Z60" s="88"/>
      <c r="AA60" s="91"/>
    </row>
    <row r="61" customFormat="false" ht="15" hidden="false" customHeight="false" outlineLevel="0" collapsed="false">
      <c r="A61" s="68" t="e">
        <f aca="false">VLOOKUP(E61,'[1]Listas Desplegables'!$H$3:$J$7,2,FALSE())</f>
        <v>#N/A</v>
      </c>
      <c r="B61" s="68" t="e">
        <f aca="false">VLOOKUP(E61,'[1]Listas Desplegables'!$H$3:$J$7,3,FALSE())</f>
        <v>#N/A</v>
      </c>
      <c r="C61" s="85" t="n">
        <v>56</v>
      </c>
      <c r="D61" s="94" t="s">
        <v>640</v>
      </c>
      <c r="E61" s="94" t="s">
        <v>641</v>
      </c>
      <c r="F61" s="109" t="n">
        <v>34.5</v>
      </c>
      <c r="G61" s="88" t="n">
        <v>13.8</v>
      </c>
      <c r="H61" s="88" t="n">
        <v>35</v>
      </c>
      <c r="I61" s="89" t="s">
        <v>548</v>
      </c>
      <c r="J61" s="88" t="n">
        <v>12.9</v>
      </c>
      <c r="K61" s="88" t="n">
        <v>12.9</v>
      </c>
      <c r="L61" s="88" t="n">
        <v>0</v>
      </c>
      <c r="M61" s="88" t="n">
        <v>5</v>
      </c>
      <c r="N61" s="88" t="n">
        <v>-12</v>
      </c>
      <c r="O61" s="88" t="n">
        <v>0.6</v>
      </c>
      <c r="P61" s="88" t="n">
        <v>105</v>
      </c>
      <c r="Q61" s="88" t="n">
        <v>30</v>
      </c>
      <c r="R61" s="89" t="s">
        <v>221</v>
      </c>
      <c r="S61" s="95"/>
      <c r="T61" s="89" t="s">
        <v>290</v>
      </c>
      <c r="U61" s="89" t="n">
        <v>92</v>
      </c>
      <c r="V61" s="89"/>
      <c r="W61" s="89" t="n">
        <v>0</v>
      </c>
      <c r="X61" s="89" t="n">
        <v>0</v>
      </c>
      <c r="Y61" s="89"/>
      <c r="Z61" s="88"/>
      <c r="AA61" s="91"/>
    </row>
    <row r="62" customFormat="false" ht="15" hidden="false" customHeight="false" outlineLevel="0" collapsed="false">
      <c r="A62" s="68" t="e">
        <f aca="false">VLOOKUP(E62,'[1]Listas Desplegables'!$H$3:$J$7,2,FALSE())</f>
        <v>#N/A</v>
      </c>
      <c r="B62" s="68" t="e">
        <f aca="false">VLOOKUP(E62,'[1]Listas Desplegables'!$H$3:$J$7,3,FALSE())</f>
        <v>#N/A</v>
      </c>
      <c r="C62" s="85" t="n">
        <v>57</v>
      </c>
      <c r="D62" s="94" t="s">
        <v>642</v>
      </c>
      <c r="E62" s="94" t="s">
        <v>641</v>
      </c>
      <c r="F62" s="109" t="n">
        <v>34.5</v>
      </c>
      <c r="G62" s="88" t="n">
        <v>13.8</v>
      </c>
      <c r="H62" s="88" t="n">
        <v>35</v>
      </c>
      <c r="I62" s="89" t="s">
        <v>548</v>
      </c>
      <c r="J62" s="88" t="n">
        <v>12.9</v>
      </c>
      <c r="K62" s="88" t="n">
        <v>12.9</v>
      </c>
      <c r="L62" s="88" t="n">
        <v>0</v>
      </c>
      <c r="M62" s="88" t="n">
        <v>5</v>
      </c>
      <c r="N62" s="88" t="n">
        <v>-12</v>
      </c>
      <c r="O62" s="88" t="n">
        <v>0.6</v>
      </c>
      <c r="P62" s="88" t="n">
        <v>105</v>
      </c>
      <c r="Q62" s="88" t="n">
        <v>30</v>
      </c>
      <c r="R62" s="89" t="s">
        <v>221</v>
      </c>
      <c r="S62" s="95"/>
      <c r="T62" s="89" t="s">
        <v>290</v>
      </c>
      <c r="U62" s="89" t="n">
        <v>92</v>
      </c>
      <c r="V62" s="89"/>
      <c r="W62" s="89" t="n">
        <v>0</v>
      </c>
      <c r="X62" s="89" t="n">
        <v>0</v>
      </c>
      <c r="Y62" s="89"/>
      <c r="Z62" s="88"/>
      <c r="AA62" s="91"/>
    </row>
    <row r="63" customFormat="false" ht="15" hidden="false" customHeight="false" outlineLevel="0" collapsed="false">
      <c r="A63" s="68" t="e">
        <f aca="false">VLOOKUP(E63,'[1]Listas Desplegables'!$H$3:$J$7,2,FALSE())</f>
        <v>#N/A</v>
      </c>
      <c r="B63" s="68" t="e">
        <f aca="false">VLOOKUP(E63,'[1]Listas Desplegables'!$H$3:$J$7,3,FALSE())</f>
        <v>#N/A</v>
      </c>
      <c r="C63" s="85" t="n">
        <v>58</v>
      </c>
      <c r="D63" s="94" t="s">
        <v>643</v>
      </c>
      <c r="E63" s="94" t="s">
        <v>644</v>
      </c>
      <c r="F63" s="109" t="n">
        <v>34.5</v>
      </c>
      <c r="G63" s="88" t="n">
        <v>13.8</v>
      </c>
      <c r="H63" s="88" t="n">
        <v>5</v>
      </c>
      <c r="I63" s="89" t="s">
        <v>543</v>
      </c>
      <c r="J63" s="88" t="n">
        <v>6.22</v>
      </c>
      <c r="K63" s="88" t="n">
        <v>6.22</v>
      </c>
      <c r="L63" s="88" t="n">
        <v>0</v>
      </c>
      <c r="M63" s="88" t="n">
        <v>1</v>
      </c>
      <c r="N63" s="88" t="n">
        <v>-3</v>
      </c>
      <c r="O63" s="88" t="n">
        <v>2.5</v>
      </c>
      <c r="P63" s="88" t="n">
        <v>115</v>
      </c>
      <c r="Q63" s="88" t="n">
        <v>30</v>
      </c>
      <c r="R63" s="89" t="s">
        <v>221</v>
      </c>
      <c r="S63" s="95"/>
      <c r="T63" s="89" t="s">
        <v>290</v>
      </c>
      <c r="U63" s="89"/>
      <c r="V63" s="89"/>
      <c r="W63" s="89" t="n">
        <v>0</v>
      </c>
      <c r="X63" s="89" t="n">
        <v>0</v>
      </c>
      <c r="Y63" s="89"/>
      <c r="Z63" s="88"/>
      <c r="AA63" s="91"/>
    </row>
    <row r="64" customFormat="false" ht="15" hidden="false" customHeight="false" outlineLevel="0" collapsed="false">
      <c r="A64" s="68" t="e">
        <f aca="false">VLOOKUP(E64,'[1]Listas Desplegables'!$H$3:$J$7,2,FALSE())</f>
        <v>#N/A</v>
      </c>
      <c r="B64" s="68" t="e">
        <f aca="false">VLOOKUP(E64,'[1]Listas Desplegables'!$H$3:$J$7,3,FALSE())</f>
        <v>#N/A</v>
      </c>
      <c r="C64" s="85" t="n">
        <v>59</v>
      </c>
      <c r="D64" s="94" t="s">
        <v>645</v>
      </c>
      <c r="E64" s="94" t="s">
        <v>644</v>
      </c>
      <c r="F64" s="109" t="n">
        <v>34.5</v>
      </c>
      <c r="G64" s="88" t="n">
        <v>13.8</v>
      </c>
      <c r="H64" s="88" t="n">
        <v>4</v>
      </c>
      <c r="I64" s="89" t="s">
        <v>543</v>
      </c>
      <c r="J64" s="88" t="n">
        <v>6.92</v>
      </c>
      <c r="K64" s="88" t="n">
        <v>6.92</v>
      </c>
      <c r="L64" s="88" t="n">
        <v>0</v>
      </c>
      <c r="M64" s="88" t="n">
        <v>1</v>
      </c>
      <c r="N64" s="88" t="n">
        <v>-3</v>
      </c>
      <c r="O64" s="88" t="n">
        <v>2.5</v>
      </c>
      <c r="P64" s="88" t="n">
        <v>100</v>
      </c>
      <c r="Q64" s="88" t="n">
        <v>0</v>
      </c>
      <c r="R64" s="89" t="s">
        <v>221</v>
      </c>
      <c r="S64" s="95"/>
      <c r="T64" s="89" t="s">
        <v>526</v>
      </c>
      <c r="U64" s="89"/>
      <c r="V64" s="89"/>
      <c r="W64" s="89"/>
      <c r="X64" s="89"/>
      <c r="Y64" s="89"/>
      <c r="Z64" s="88"/>
      <c r="AA64" s="91"/>
    </row>
    <row r="65" customFormat="false" ht="15" hidden="false" customHeight="false" outlineLevel="0" collapsed="false">
      <c r="A65" s="68" t="e">
        <f aca="false">VLOOKUP(E65,'[1]Listas Desplegables'!$H$3:$J$7,2,FALSE())</f>
        <v>#N/A</v>
      </c>
      <c r="B65" s="68" t="e">
        <f aca="false">VLOOKUP(E65,'[1]Listas Desplegables'!$H$3:$J$7,3,FALSE())</f>
        <v>#N/A</v>
      </c>
      <c r="C65" s="85" t="n">
        <v>60</v>
      </c>
      <c r="D65" s="94" t="s">
        <v>646</v>
      </c>
      <c r="E65" s="94" t="s">
        <v>506</v>
      </c>
      <c r="F65" s="109" t="n">
        <v>110</v>
      </c>
      <c r="G65" s="88" t="n">
        <v>13.8</v>
      </c>
      <c r="H65" s="88" t="n">
        <v>70</v>
      </c>
      <c r="I65" s="89" t="s">
        <v>576</v>
      </c>
      <c r="J65" s="88" t="n">
        <v>12.5</v>
      </c>
      <c r="K65" s="88" t="n">
        <v>12.5</v>
      </c>
      <c r="L65" s="88" t="n">
        <v>0</v>
      </c>
      <c r="M65" s="88" t="n">
        <v>2</v>
      </c>
      <c r="N65" s="88" t="n">
        <v>-2</v>
      </c>
      <c r="O65" s="88" t="n">
        <v>2.5</v>
      </c>
      <c r="P65" s="88" t="n">
        <v>130</v>
      </c>
      <c r="Q65" s="88" t="n">
        <v>30</v>
      </c>
      <c r="R65" s="89" t="s">
        <v>221</v>
      </c>
      <c r="S65" s="95"/>
      <c r="T65" s="89" t="s">
        <v>290</v>
      </c>
      <c r="U65" s="89" t="n">
        <v>97.3</v>
      </c>
      <c r="V65" s="89"/>
      <c r="W65" s="89" t="n">
        <v>0</v>
      </c>
      <c r="X65" s="89" t="n">
        <v>0</v>
      </c>
      <c r="Y65" s="89"/>
      <c r="Z65" s="88"/>
      <c r="AA65" s="91"/>
    </row>
    <row r="66" customFormat="false" ht="15" hidden="false" customHeight="false" outlineLevel="0" collapsed="false">
      <c r="A66" s="68" t="e">
        <f aca="false">VLOOKUP(E66,'[1]Listas Desplegables'!$H$3:$J$7,2,FALSE())</f>
        <v>#N/A</v>
      </c>
      <c r="B66" s="68" t="e">
        <f aca="false">VLOOKUP(E66,'[1]Listas Desplegables'!$H$3:$J$7,3,FALSE())</f>
        <v>#N/A</v>
      </c>
      <c r="C66" s="85" t="n">
        <v>61</v>
      </c>
      <c r="D66" s="94" t="s">
        <v>647</v>
      </c>
      <c r="E66" s="94" t="s">
        <v>648</v>
      </c>
      <c r="F66" s="109" t="n">
        <v>110</v>
      </c>
      <c r="G66" s="88" t="n">
        <v>13.8</v>
      </c>
      <c r="H66" s="88" t="n">
        <v>7.8</v>
      </c>
      <c r="I66" s="89" t="s">
        <v>543</v>
      </c>
      <c r="J66" s="88" t="n">
        <v>9.01</v>
      </c>
      <c r="K66" s="88" t="n">
        <v>7.21</v>
      </c>
      <c r="L66" s="88" t="n">
        <v>0</v>
      </c>
      <c r="M66" s="88" t="n">
        <v>2</v>
      </c>
      <c r="N66" s="88" t="n">
        <v>-5</v>
      </c>
      <c r="O66" s="88" t="n">
        <v>2.5</v>
      </c>
      <c r="P66" s="88" t="n">
        <v>110</v>
      </c>
      <c r="Q66" s="88" t="n">
        <v>30</v>
      </c>
      <c r="R66" s="89" t="s">
        <v>221</v>
      </c>
      <c r="S66" s="95"/>
      <c r="T66" s="89" t="s">
        <v>290</v>
      </c>
      <c r="U66" s="89" t="n">
        <v>67.3</v>
      </c>
      <c r="V66" s="89"/>
      <c r="W66" s="89" t="n">
        <v>0.697233333333333</v>
      </c>
      <c r="X66" s="89" t="n">
        <v>2</v>
      </c>
      <c r="Y66" s="89"/>
      <c r="Z66" s="88"/>
      <c r="AA66" s="91"/>
    </row>
    <row r="67" customFormat="false" ht="15" hidden="false" customHeight="false" outlineLevel="0" collapsed="false">
      <c r="A67" s="68" t="e">
        <f aca="false">VLOOKUP(E67,'[1]Listas Desplegables'!$H$3:$J$7,2,FALSE())</f>
        <v>#N/A</v>
      </c>
      <c r="B67" s="68" t="e">
        <f aca="false">VLOOKUP(E67,'[1]Listas Desplegables'!$H$3:$J$7,3,FALSE())</f>
        <v>#N/A</v>
      </c>
      <c r="C67" s="85" t="n">
        <v>62</v>
      </c>
      <c r="D67" s="94" t="s">
        <v>649</v>
      </c>
      <c r="E67" s="94" t="s">
        <v>445</v>
      </c>
      <c r="F67" s="109" t="n">
        <v>30</v>
      </c>
      <c r="G67" s="88" t="n">
        <v>13.8</v>
      </c>
      <c r="H67" s="88" t="n">
        <v>6.5</v>
      </c>
      <c r="I67" s="89" t="s">
        <v>543</v>
      </c>
      <c r="J67" s="88" t="n">
        <v>9.568</v>
      </c>
      <c r="K67" s="88" t="n">
        <v>9.568</v>
      </c>
      <c r="L67" s="88" t="n">
        <v>0</v>
      </c>
      <c r="M67" s="88" t="n">
        <v>2</v>
      </c>
      <c r="N67" s="88" t="n">
        <v>-2</v>
      </c>
      <c r="O67" s="88" t="n">
        <v>2.5</v>
      </c>
      <c r="P67" s="88" t="n">
        <v>115</v>
      </c>
      <c r="Q67" s="88" t="n">
        <v>30</v>
      </c>
      <c r="R67" s="89" t="s">
        <v>221</v>
      </c>
      <c r="S67" s="95"/>
      <c r="T67" s="89" t="s">
        <v>290</v>
      </c>
      <c r="U67" s="89"/>
      <c r="V67" s="89"/>
      <c r="W67" s="89" t="n">
        <v>0</v>
      </c>
      <c r="X67" s="89" t="n">
        <v>0</v>
      </c>
      <c r="Y67" s="89"/>
      <c r="Z67" s="88"/>
      <c r="AA67" s="91"/>
    </row>
    <row r="68" customFormat="false" ht="15" hidden="false" customHeight="false" outlineLevel="0" collapsed="false">
      <c r="A68" s="68" t="e">
        <f aca="false">VLOOKUP(E68,'[1]Listas Desplegables'!$H$3:$J$7,2,FALSE())</f>
        <v>#N/A</v>
      </c>
      <c r="B68" s="68" t="e">
        <f aca="false">VLOOKUP(E68,'[1]Listas Desplegables'!$H$3:$J$7,3,FALSE())</f>
        <v>#N/A</v>
      </c>
      <c r="C68" s="85" t="n">
        <v>63</v>
      </c>
      <c r="D68" s="94" t="s">
        <v>650</v>
      </c>
      <c r="E68" s="94" t="s">
        <v>445</v>
      </c>
      <c r="F68" s="109" t="n">
        <v>30</v>
      </c>
      <c r="G68" s="88" t="n">
        <v>13.8</v>
      </c>
      <c r="H68" s="88" t="n">
        <v>6.5</v>
      </c>
      <c r="I68" s="89" t="s">
        <v>543</v>
      </c>
      <c r="J68" s="88" t="n">
        <v>6.96190476190476</v>
      </c>
      <c r="K68" s="88" t="n">
        <v>6.96190476190476</v>
      </c>
      <c r="L68" s="88" t="n">
        <v>0</v>
      </c>
      <c r="M68" s="88" t="n">
        <v>2</v>
      </c>
      <c r="N68" s="88" t="n">
        <v>-2</v>
      </c>
      <c r="O68" s="88" t="n">
        <v>2.5</v>
      </c>
      <c r="P68" s="88" t="n">
        <v>100</v>
      </c>
      <c r="Q68" s="88" t="n">
        <v>0</v>
      </c>
      <c r="R68" s="89" t="s">
        <v>221</v>
      </c>
      <c r="S68" s="95"/>
      <c r="T68" s="89" t="s">
        <v>290</v>
      </c>
      <c r="U68" s="89"/>
      <c r="V68" s="89" t="n">
        <v>0</v>
      </c>
      <c r="W68" s="89" t="n">
        <v>0</v>
      </c>
      <c r="X68" s="89" t="n">
        <v>0</v>
      </c>
      <c r="Y68" s="89"/>
      <c r="Z68" s="88"/>
      <c r="AA68" s="91"/>
    </row>
    <row r="69" customFormat="false" ht="15" hidden="false" customHeight="false" outlineLevel="0" collapsed="false">
      <c r="A69" s="68" t="e">
        <f aca="false">VLOOKUP(E69,'[1]Listas Desplegables'!$H$3:$J$7,2,FALSE())</f>
        <v>#N/A</v>
      </c>
      <c r="B69" s="68" t="e">
        <f aca="false">VLOOKUP(E69,'[1]Listas Desplegables'!$H$3:$J$7,3,FALSE())</f>
        <v>#N/A</v>
      </c>
      <c r="C69" s="85" t="n">
        <v>64</v>
      </c>
      <c r="D69" s="94" t="s">
        <v>651</v>
      </c>
      <c r="E69" s="94" t="s">
        <v>652</v>
      </c>
      <c r="F69" s="109" t="n">
        <v>110</v>
      </c>
      <c r="G69" s="88" t="n">
        <v>13.8</v>
      </c>
      <c r="H69" s="88" t="n">
        <v>50</v>
      </c>
      <c r="I69" s="89" t="s">
        <v>548</v>
      </c>
      <c r="J69" s="88" t="n">
        <v>20.72</v>
      </c>
      <c r="K69" s="88" t="n">
        <v>20.72</v>
      </c>
      <c r="L69" s="88" t="n">
        <v>0</v>
      </c>
      <c r="M69" s="88" t="n">
        <v>5</v>
      </c>
      <c r="N69" s="88" t="n">
        <v>-15</v>
      </c>
      <c r="O69" s="88" t="n">
        <v>1</v>
      </c>
      <c r="P69" s="88" t="n">
        <v>130</v>
      </c>
      <c r="Q69" s="88" t="n">
        <v>30</v>
      </c>
      <c r="R69" s="89" t="s">
        <v>221</v>
      </c>
      <c r="S69" s="95"/>
      <c r="T69" s="89" t="s">
        <v>290</v>
      </c>
      <c r="U69" s="89" t="n">
        <v>187.69</v>
      </c>
      <c r="V69" s="89"/>
      <c r="W69" s="89" t="n">
        <v>0</v>
      </c>
      <c r="X69" s="89" t="n">
        <v>0</v>
      </c>
      <c r="Y69" s="89"/>
      <c r="Z69" s="88"/>
      <c r="AA69" s="91"/>
    </row>
    <row r="70" customFormat="false" ht="15" hidden="false" customHeight="false" outlineLevel="0" collapsed="false">
      <c r="A70" s="68" t="e">
        <f aca="false">VLOOKUP(E70,'[1]Listas Desplegables'!$H$3:$J$7,2,FALSE())</f>
        <v>#N/A</v>
      </c>
      <c r="B70" s="68" t="e">
        <f aca="false">VLOOKUP(E70,'[1]Listas Desplegables'!$H$3:$J$7,3,FALSE())</f>
        <v>#N/A</v>
      </c>
      <c r="C70" s="85" t="n">
        <v>65</v>
      </c>
      <c r="D70" s="94" t="s">
        <v>653</v>
      </c>
      <c r="E70" s="94" t="s">
        <v>652</v>
      </c>
      <c r="F70" s="109" t="n">
        <v>110</v>
      </c>
      <c r="G70" s="88" t="n">
        <v>13.8</v>
      </c>
      <c r="H70" s="88" t="n">
        <v>50</v>
      </c>
      <c r="I70" s="89" t="s">
        <v>548</v>
      </c>
      <c r="J70" s="88" t="n">
        <v>17.52</v>
      </c>
      <c r="K70" s="88" t="n">
        <v>17.52</v>
      </c>
      <c r="L70" s="88" t="n">
        <v>0</v>
      </c>
      <c r="M70" s="88" t="n">
        <v>5</v>
      </c>
      <c r="N70" s="88" t="n">
        <v>-15</v>
      </c>
      <c r="O70" s="88" t="n">
        <v>1</v>
      </c>
      <c r="P70" s="88" t="n">
        <v>130</v>
      </c>
      <c r="Q70" s="88" t="n">
        <v>30</v>
      </c>
      <c r="R70" s="89" t="s">
        <v>221</v>
      </c>
      <c r="S70" s="95"/>
      <c r="T70" s="89" t="s">
        <v>290</v>
      </c>
      <c r="U70" s="89" t="n">
        <v>170.28</v>
      </c>
      <c r="V70" s="89"/>
      <c r="W70" s="89" t="n">
        <v>0</v>
      </c>
      <c r="X70" s="89" t="n">
        <v>0</v>
      </c>
      <c r="Y70" s="89"/>
      <c r="Z70" s="88"/>
      <c r="AA70" s="91"/>
    </row>
    <row r="71" customFormat="false" ht="15" hidden="false" customHeight="false" outlineLevel="0" collapsed="false">
      <c r="A71" s="68" t="e">
        <f aca="false">VLOOKUP(E71,'[1]Listas Desplegables'!$H$3:$J$7,2,FALSE())</f>
        <v>#N/A</v>
      </c>
      <c r="B71" s="68" t="e">
        <f aca="false">VLOOKUP(E71,'[1]Listas Desplegables'!$H$3:$J$7,3,FALSE())</f>
        <v>#N/A</v>
      </c>
      <c r="C71" s="85" t="n">
        <v>66</v>
      </c>
      <c r="D71" s="94" t="s">
        <v>654</v>
      </c>
      <c r="E71" s="94" t="s">
        <v>652</v>
      </c>
      <c r="F71" s="109" t="n">
        <v>110</v>
      </c>
      <c r="G71" s="88" t="n">
        <v>13.8</v>
      </c>
      <c r="H71" s="88" t="n">
        <v>50</v>
      </c>
      <c r="I71" s="89" t="s">
        <v>548</v>
      </c>
      <c r="J71" s="88" t="n">
        <v>19.26</v>
      </c>
      <c r="K71" s="88" t="n">
        <v>19.03</v>
      </c>
      <c r="L71" s="88" t="n">
        <v>0</v>
      </c>
      <c r="M71" s="88" t="n">
        <v>5</v>
      </c>
      <c r="N71" s="88" t="n">
        <v>-15</v>
      </c>
      <c r="O71" s="88" t="n">
        <v>1</v>
      </c>
      <c r="P71" s="88" t="n">
        <v>100</v>
      </c>
      <c r="Q71" s="88" t="n">
        <v>0</v>
      </c>
      <c r="R71" s="89" t="s">
        <v>221</v>
      </c>
      <c r="S71" s="95"/>
      <c r="T71" s="89" t="s">
        <v>290</v>
      </c>
      <c r="U71" s="89" t="n">
        <v>254.15159</v>
      </c>
      <c r="V71" s="89"/>
      <c r="W71" s="89" t="n">
        <v>0</v>
      </c>
      <c r="X71" s="89" t="n">
        <v>0</v>
      </c>
      <c r="Y71" s="89"/>
      <c r="Z71" s="88"/>
      <c r="AA71" s="91"/>
    </row>
    <row r="72" customFormat="false" ht="15" hidden="false" customHeight="false" outlineLevel="0" collapsed="false">
      <c r="A72" s="68" t="e">
        <f aca="false">VLOOKUP(E72,'[1]Listas Desplegables'!$H$3:$J$7,2,FALSE())</f>
        <v>#N/A</v>
      </c>
      <c r="B72" s="68" t="e">
        <f aca="false">VLOOKUP(E72,'[1]Listas Desplegables'!$H$3:$J$7,3,FALSE())</f>
        <v>#N/A</v>
      </c>
      <c r="C72" s="85" t="n">
        <v>67</v>
      </c>
      <c r="D72" s="94" t="s">
        <v>655</v>
      </c>
      <c r="E72" s="94" t="s">
        <v>656</v>
      </c>
      <c r="F72" s="109" t="n">
        <v>34.5</v>
      </c>
      <c r="G72" s="88" t="n">
        <v>13.8</v>
      </c>
      <c r="H72" s="88" t="n">
        <v>12.5</v>
      </c>
      <c r="I72" s="89" t="s">
        <v>543</v>
      </c>
      <c r="J72" s="88" t="n">
        <v>13.29</v>
      </c>
      <c r="K72" s="88" t="n">
        <v>13.29</v>
      </c>
      <c r="L72" s="88" t="n">
        <v>0</v>
      </c>
      <c r="M72" s="88" t="n">
        <v>5</v>
      </c>
      <c r="N72" s="88" t="n">
        <v>-10</v>
      </c>
      <c r="O72" s="88" t="n">
        <v>1</v>
      </c>
      <c r="P72" s="88" t="n">
        <v>110</v>
      </c>
      <c r="Q72" s="88" t="n">
        <v>30</v>
      </c>
      <c r="R72" s="89" t="s">
        <v>221</v>
      </c>
      <c r="S72" s="95"/>
      <c r="T72" s="89" t="s">
        <v>290</v>
      </c>
      <c r="U72" s="89" t="n">
        <v>63</v>
      </c>
      <c r="V72" s="89"/>
      <c r="W72" s="89" t="n">
        <v>0.374813888888889</v>
      </c>
      <c r="X72" s="89" t="n">
        <v>5</v>
      </c>
      <c r="Y72" s="89"/>
      <c r="Z72" s="88"/>
      <c r="AA72" s="91"/>
    </row>
    <row r="73" customFormat="false" ht="15" hidden="false" customHeight="false" outlineLevel="0" collapsed="false">
      <c r="A73" s="68" t="e">
        <f aca="false">VLOOKUP(E73,'[1]Listas Desplegables'!$H$3:$J$7,2,FALSE())</f>
        <v>#N/A</v>
      </c>
      <c r="B73" s="68" t="e">
        <f aca="false">VLOOKUP(E73,'[1]Listas Desplegables'!$H$3:$J$7,3,FALSE())</f>
        <v>#N/A</v>
      </c>
      <c r="C73" s="85" t="n">
        <v>68</v>
      </c>
      <c r="D73" s="94" t="s">
        <v>657</v>
      </c>
      <c r="E73" s="94" t="s">
        <v>656</v>
      </c>
      <c r="F73" s="109" t="n">
        <v>34.5</v>
      </c>
      <c r="G73" s="88" t="n">
        <v>13.8</v>
      </c>
      <c r="H73" s="88" t="n">
        <v>12.5</v>
      </c>
      <c r="I73" s="89" t="s">
        <v>543</v>
      </c>
      <c r="J73" s="88" t="n">
        <v>13.23</v>
      </c>
      <c r="K73" s="88" t="n">
        <v>13.23</v>
      </c>
      <c r="L73" s="88" t="n">
        <v>0</v>
      </c>
      <c r="M73" s="88" t="n">
        <v>5</v>
      </c>
      <c r="N73" s="88" t="n">
        <v>-10</v>
      </c>
      <c r="O73" s="88" t="n">
        <v>1</v>
      </c>
      <c r="P73" s="88" t="n">
        <v>110</v>
      </c>
      <c r="Q73" s="88" t="n">
        <v>30</v>
      </c>
      <c r="R73" s="89" t="s">
        <v>221</v>
      </c>
      <c r="S73" s="95"/>
      <c r="T73" s="89" t="s">
        <v>290</v>
      </c>
      <c r="U73" s="89" t="n">
        <v>48.885</v>
      </c>
      <c r="V73" s="89"/>
      <c r="W73" s="89" t="n">
        <v>0</v>
      </c>
      <c r="X73" s="89" t="n">
        <v>0</v>
      </c>
      <c r="Y73" s="89"/>
      <c r="Z73" s="88"/>
      <c r="AA73" s="91"/>
    </row>
    <row r="74" customFormat="false" ht="15" hidden="false" customHeight="false" outlineLevel="0" collapsed="false">
      <c r="A74" s="68" t="e">
        <f aca="false">VLOOKUP(E74,'[1]Listas Desplegables'!$H$3:$J$7,2,FALSE())</f>
        <v>#N/A</v>
      </c>
      <c r="B74" s="68" t="e">
        <f aca="false">VLOOKUP(E74,'[1]Listas Desplegables'!$H$3:$J$7,3,FALSE())</f>
        <v>#N/A</v>
      </c>
      <c r="C74" s="85" t="n">
        <v>69</v>
      </c>
      <c r="D74" s="94" t="s">
        <v>658</v>
      </c>
      <c r="E74" s="94" t="s">
        <v>465</v>
      </c>
      <c r="F74" s="109" t="n">
        <v>110</v>
      </c>
      <c r="G74" s="88" t="n">
        <v>13.8</v>
      </c>
      <c r="H74" s="88" t="n">
        <v>30</v>
      </c>
      <c r="I74" s="89" t="s">
        <v>582</v>
      </c>
      <c r="J74" s="88" t="n">
        <v>12.6</v>
      </c>
      <c r="K74" s="88" t="n">
        <v>12.6</v>
      </c>
      <c r="L74" s="88" t="n">
        <v>0</v>
      </c>
      <c r="M74" s="88" t="n">
        <v>10</v>
      </c>
      <c r="N74" s="88" t="n">
        <v>-10</v>
      </c>
      <c r="O74" s="88" t="n">
        <v>1</v>
      </c>
      <c r="P74" s="88" t="n">
        <v>130</v>
      </c>
      <c r="Q74" s="88" t="n">
        <v>30</v>
      </c>
      <c r="R74" s="89" t="s">
        <v>221</v>
      </c>
      <c r="S74" s="95"/>
      <c r="T74" s="89" t="s">
        <v>290</v>
      </c>
      <c r="U74" s="89"/>
      <c r="V74" s="89"/>
      <c r="W74" s="89" t="n">
        <v>0</v>
      </c>
      <c r="X74" s="89" t="n">
        <v>0</v>
      </c>
      <c r="Y74" s="89"/>
      <c r="Z74" s="88"/>
      <c r="AA74" s="91"/>
    </row>
    <row r="75" customFormat="false" ht="15" hidden="false" customHeight="false" outlineLevel="0" collapsed="false">
      <c r="A75" s="68" t="e">
        <f aca="false">VLOOKUP(E75,'[1]Listas Desplegables'!$H$3:$J$7,2,FALSE())</f>
        <v>#N/A</v>
      </c>
      <c r="B75" s="68" t="e">
        <f aca="false">VLOOKUP(E75,'[1]Listas Desplegables'!$H$3:$J$7,3,FALSE())</f>
        <v>#N/A</v>
      </c>
      <c r="C75" s="85" t="n">
        <v>70</v>
      </c>
      <c r="D75" s="94" t="s">
        <v>659</v>
      </c>
      <c r="E75" s="94" t="s">
        <v>465</v>
      </c>
      <c r="F75" s="109" t="n">
        <v>110</v>
      </c>
      <c r="G75" s="88" t="n">
        <v>13.8</v>
      </c>
      <c r="H75" s="88" t="n">
        <v>50</v>
      </c>
      <c r="I75" s="89" t="s">
        <v>548</v>
      </c>
      <c r="J75" s="88" t="n">
        <v>17.5</v>
      </c>
      <c r="K75" s="88" t="n">
        <v>17.5</v>
      </c>
      <c r="L75" s="88" t="n">
        <v>0</v>
      </c>
      <c r="M75" s="88" t="n">
        <v>5</v>
      </c>
      <c r="N75" s="88" t="n">
        <v>-15</v>
      </c>
      <c r="O75" s="88" t="n">
        <v>1</v>
      </c>
      <c r="P75" s="88" t="n">
        <v>100</v>
      </c>
      <c r="Q75" s="88" t="n">
        <v>0</v>
      </c>
      <c r="R75" s="89" t="s">
        <v>221</v>
      </c>
      <c r="S75" s="95"/>
      <c r="T75" s="89" t="s">
        <v>290</v>
      </c>
      <c r="U75" s="89"/>
      <c r="V75" s="89"/>
      <c r="W75" s="89"/>
      <c r="X75" s="89"/>
      <c r="Y75" s="89"/>
      <c r="Z75" s="88"/>
      <c r="AA75" s="91"/>
    </row>
    <row r="76" customFormat="false" ht="15" hidden="false" customHeight="false" outlineLevel="0" collapsed="false">
      <c r="A76" s="68" t="e">
        <f aca="false">VLOOKUP(E76,'[1]Listas Desplegables'!$H$3:$J$7,2,FALSE())</f>
        <v>#N/A</v>
      </c>
      <c r="B76" s="68" t="e">
        <f aca="false">VLOOKUP(E76,'[1]Listas Desplegables'!$H$3:$J$7,3,FALSE())</f>
        <v>#N/A</v>
      </c>
      <c r="C76" s="85" t="n">
        <v>71</v>
      </c>
      <c r="D76" s="94" t="s">
        <v>660</v>
      </c>
      <c r="E76" s="94" t="s">
        <v>661</v>
      </c>
      <c r="F76" s="109" t="n">
        <v>110</v>
      </c>
      <c r="G76" s="88" t="n">
        <v>13.8</v>
      </c>
      <c r="H76" s="88" t="n">
        <v>50</v>
      </c>
      <c r="I76" s="89" t="s">
        <v>548</v>
      </c>
      <c r="J76" s="88" t="n">
        <v>18.1</v>
      </c>
      <c r="K76" s="88" t="n">
        <v>18.1</v>
      </c>
      <c r="L76" s="88" t="n">
        <v>0</v>
      </c>
      <c r="M76" s="88" t="n">
        <v>10</v>
      </c>
      <c r="N76" s="88" t="n">
        <v>-10</v>
      </c>
      <c r="O76" s="88" t="n">
        <v>1</v>
      </c>
      <c r="P76" s="88" t="n">
        <v>100</v>
      </c>
      <c r="Q76" s="88" t="n">
        <v>0</v>
      </c>
      <c r="R76" s="89" t="s">
        <v>395</v>
      </c>
      <c r="S76" s="96" t="n">
        <v>2029</v>
      </c>
      <c r="T76" s="89" t="s">
        <v>290</v>
      </c>
      <c r="U76" s="89"/>
      <c r="V76" s="89" t="n">
        <v>0</v>
      </c>
      <c r="W76" s="89" t="n">
        <v>0</v>
      </c>
      <c r="X76" s="89" t="n">
        <v>0</v>
      </c>
      <c r="Y76" s="89"/>
      <c r="Z76" s="88"/>
      <c r="AA76" s="91"/>
    </row>
    <row r="77" customFormat="false" ht="15" hidden="false" customHeight="false" outlineLevel="0" collapsed="false">
      <c r="A77" s="68" t="e">
        <f aca="false">VLOOKUP(E77,'[1]Listas Desplegables'!$H$3:$J$7,2,FALSE())</f>
        <v>#N/A</v>
      </c>
      <c r="B77" s="68" t="e">
        <f aca="false">VLOOKUP(E77,'[1]Listas Desplegables'!$H$3:$J$7,3,FALSE())</f>
        <v>#N/A</v>
      </c>
      <c r="C77" s="85" t="n">
        <v>72</v>
      </c>
      <c r="D77" s="94" t="s">
        <v>662</v>
      </c>
      <c r="E77" s="94" t="s">
        <v>661</v>
      </c>
      <c r="F77" s="109" t="n">
        <v>110</v>
      </c>
      <c r="G77" s="88" t="n">
        <v>13.8</v>
      </c>
      <c r="H77" s="88" t="n">
        <v>50</v>
      </c>
      <c r="I77" s="89" t="s">
        <v>548</v>
      </c>
      <c r="J77" s="88" t="n">
        <v>18.1</v>
      </c>
      <c r="K77" s="88" t="n">
        <v>18.1</v>
      </c>
      <c r="L77" s="88" t="n">
        <v>0</v>
      </c>
      <c r="M77" s="88" t="n">
        <v>10</v>
      </c>
      <c r="N77" s="88" t="n">
        <v>-10</v>
      </c>
      <c r="O77" s="88" t="n">
        <v>1</v>
      </c>
      <c r="P77" s="88" t="n">
        <v>100</v>
      </c>
      <c r="Q77" s="88" t="n">
        <v>0</v>
      </c>
      <c r="R77" s="89" t="s">
        <v>395</v>
      </c>
      <c r="S77" s="96" t="n">
        <v>2029</v>
      </c>
      <c r="T77" s="89" t="s">
        <v>290</v>
      </c>
      <c r="U77" s="89"/>
      <c r="V77" s="89" t="n">
        <v>0</v>
      </c>
      <c r="W77" s="89" t="n">
        <v>0</v>
      </c>
      <c r="X77" s="89" t="n">
        <v>0</v>
      </c>
      <c r="Y77" s="89"/>
      <c r="Z77" s="88"/>
      <c r="AA77" s="91"/>
    </row>
    <row r="78" customFormat="false" ht="15" hidden="false" customHeight="false" outlineLevel="0" collapsed="false">
      <c r="A78" s="68" t="e">
        <f aca="false">VLOOKUP(E78,'[1]Listas Desplegables'!$H$3:$J$7,2,FALSE())</f>
        <v>#N/A</v>
      </c>
      <c r="B78" s="68" t="e">
        <f aca="false">VLOOKUP(E78,'[1]Listas Desplegables'!$H$3:$J$7,3,FALSE())</f>
        <v>#N/A</v>
      </c>
      <c r="C78" s="85" t="n">
        <v>73</v>
      </c>
      <c r="D78" s="94" t="s">
        <v>663</v>
      </c>
      <c r="E78" s="94" t="s">
        <v>664</v>
      </c>
      <c r="F78" s="109" t="n">
        <v>110</v>
      </c>
      <c r="G78" s="88" t="n">
        <v>13.8</v>
      </c>
      <c r="H78" s="88" t="n">
        <v>50</v>
      </c>
      <c r="I78" s="89" t="s">
        <v>548</v>
      </c>
      <c r="J78" s="88" t="n">
        <v>18</v>
      </c>
      <c r="K78" s="88" t="n">
        <v>18</v>
      </c>
      <c r="L78" s="88" t="n">
        <v>0</v>
      </c>
      <c r="M78" s="88" t="n">
        <v>10</v>
      </c>
      <c r="N78" s="88" t="n">
        <v>-10</v>
      </c>
      <c r="O78" s="88" t="n">
        <v>1</v>
      </c>
      <c r="P78" s="88" t="n">
        <v>100</v>
      </c>
      <c r="Q78" s="88" t="n">
        <v>0</v>
      </c>
      <c r="R78" s="89" t="s">
        <v>395</v>
      </c>
      <c r="S78" s="96" t="n">
        <v>2029</v>
      </c>
      <c r="T78" s="89" t="s">
        <v>290</v>
      </c>
      <c r="U78" s="89"/>
      <c r="V78" s="89" t="n">
        <v>0</v>
      </c>
      <c r="W78" s="89" t="n">
        <v>0</v>
      </c>
      <c r="X78" s="89" t="n">
        <v>0</v>
      </c>
      <c r="Y78" s="89"/>
      <c r="Z78" s="88"/>
      <c r="AA78" s="91"/>
    </row>
    <row r="79" customFormat="false" ht="15" hidden="false" customHeight="false" outlineLevel="0" collapsed="false">
      <c r="A79" s="68" t="e">
        <f aca="false">VLOOKUP(E79,'[1]Listas Desplegables'!$H$3:$J$7,2,FALSE())</f>
        <v>#N/A</v>
      </c>
      <c r="B79" s="68" t="e">
        <f aca="false">VLOOKUP(E79,'[1]Listas Desplegables'!$H$3:$J$7,3,FALSE())</f>
        <v>#N/A</v>
      </c>
      <c r="C79" s="85" t="n">
        <v>74</v>
      </c>
      <c r="D79" s="94" t="s">
        <v>665</v>
      </c>
      <c r="E79" s="94" t="s">
        <v>664</v>
      </c>
      <c r="F79" s="109" t="n">
        <v>110</v>
      </c>
      <c r="G79" s="88" t="n">
        <v>13.8</v>
      </c>
      <c r="H79" s="88" t="n">
        <v>50</v>
      </c>
      <c r="I79" s="89" t="s">
        <v>548</v>
      </c>
      <c r="J79" s="88" t="n">
        <v>18</v>
      </c>
      <c r="K79" s="88" t="n">
        <v>18</v>
      </c>
      <c r="L79" s="88" t="n">
        <v>0</v>
      </c>
      <c r="M79" s="88" t="n">
        <v>10</v>
      </c>
      <c r="N79" s="88" t="n">
        <v>-10</v>
      </c>
      <c r="O79" s="88" t="n">
        <v>1</v>
      </c>
      <c r="P79" s="88" t="n">
        <v>100</v>
      </c>
      <c r="Q79" s="88" t="n">
        <v>0</v>
      </c>
      <c r="R79" s="89" t="s">
        <v>395</v>
      </c>
      <c r="S79" s="96" t="n">
        <v>2029</v>
      </c>
      <c r="T79" s="89" t="s">
        <v>290</v>
      </c>
      <c r="U79" s="89"/>
      <c r="V79" s="89" t="n">
        <v>0</v>
      </c>
      <c r="W79" s="89" t="n">
        <v>0</v>
      </c>
      <c r="X79" s="89" t="n">
        <v>0</v>
      </c>
      <c r="Y79" s="89"/>
      <c r="Z79" s="88"/>
      <c r="AA79" s="91"/>
    </row>
    <row r="80" customFormat="false" ht="15" hidden="false" customHeight="false" outlineLevel="0" collapsed="false">
      <c r="A80" s="68" t="e">
        <f aca="false">VLOOKUP(E80,'[1]Listas Desplegables'!$H$3:$J$7,2,FALSE())</f>
        <v>#N/A</v>
      </c>
      <c r="B80" s="68" t="e">
        <f aca="false">VLOOKUP(E80,'[1]Listas Desplegables'!$H$3:$J$7,3,FALSE())</f>
        <v>#N/A</v>
      </c>
      <c r="C80" s="85" t="n">
        <v>75</v>
      </c>
      <c r="D80" s="94" t="s">
        <v>666</v>
      </c>
      <c r="E80" s="94" t="s">
        <v>434</v>
      </c>
      <c r="F80" s="109" t="n">
        <v>34.5</v>
      </c>
      <c r="G80" s="88" t="n">
        <v>13.8</v>
      </c>
      <c r="H80" s="88" t="n">
        <v>12.5</v>
      </c>
      <c r="I80" s="89" t="s">
        <v>539</v>
      </c>
      <c r="J80" s="88" t="n">
        <v>9.06</v>
      </c>
      <c r="K80" s="88" t="n">
        <v>9.06</v>
      </c>
      <c r="L80" s="88" t="n">
        <v>0</v>
      </c>
      <c r="M80" s="88" t="n">
        <v>16</v>
      </c>
      <c r="N80" s="88" t="n">
        <v>-16</v>
      </c>
      <c r="O80" s="88" t="n">
        <v>0.625</v>
      </c>
      <c r="P80" s="88" t="n">
        <v>100</v>
      </c>
      <c r="Q80" s="88" t="n">
        <v>0</v>
      </c>
      <c r="R80" s="89" t="s">
        <v>221</v>
      </c>
      <c r="S80" s="95"/>
      <c r="T80" s="89" t="s">
        <v>290</v>
      </c>
      <c r="U80" s="89" t="n">
        <v>81.3</v>
      </c>
      <c r="V80" s="89" t="n">
        <v>0</v>
      </c>
      <c r="W80" s="89" t="n">
        <v>0</v>
      </c>
      <c r="X80" s="89" t="n">
        <v>0</v>
      </c>
      <c r="Y80" s="89"/>
      <c r="Z80" s="88"/>
      <c r="AA80" s="91"/>
    </row>
    <row r="81" customFormat="false" ht="15" hidden="false" customHeight="false" outlineLevel="0" collapsed="false">
      <c r="A81" s="68" t="e">
        <f aca="false">VLOOKUP(E81,'[1]Listas Desplegables'!$H$3:$J$7,2,FALSE())</f>
        <v>#N/A</v>
      </c>
      <c r="B81" s="68" t="e">
        <f aca="false">VLOOKUP(E81,'[1]Listas Desplegables'!$H$3:$J$7,3,FALSE())</f>
        <v>#N/A</v>
      </c>
      <c r="C81" s="85" t="n">
        <v>76</v>
      </c>
      <c r="D81" s="94" t="s">
        <v>667</v>
      </c>
      <c r="E81" s="94" t="s">
        <v>506</v>
      </c>
      <c r="F81" s="109" t="n">
        <v>110</v>
      </c>
      <c r="G81" s="88" t="n">
        <v>34.5</v>
      </c>
      <c r="H81" s="88" t="n">
        <v>70</v>
      </c>
      <c r="I81" s="89" t="s">
        <v>576</v>
      </c>
      <c r="J81" s="88" t="n">
        <v>12.39</v>
      </c>
      <c r="K81" s="88" t="n">
        <v>12.39</v>
      </c>
      <c r="L81" s="88" t="n">
        <v>0</v>
      </c>
      <c r="M81" s="88" t="n">
        <v>11</v>
      </c>
      <c r="N81" s="88" t="n">
        <v>-11</v>
      </c>
      <c r="O81" s="88" t="n">
        <v>1.25</v>
      </c>
      <c r="P81" s="88" t="n">
        <v>130</v>
      </c>
      <c r="Q81" s="88" t="n">
        <v>0</v>
      </c>
      <c r="R81" s="89" t="s">
        <v>221</v>
      </c>
      <c r="S81" s="95"/>
      <c r="T81" s="89" t="s">
        <v>290</v>
      </c>
      <c r="U81" s="89" t="n">
        <v>244.56</v>
      </c>
      <c r="V81" s="89" t="n">
        <v>0</v>
      </c>
      <c r="W81" s="89" t="n">
        <v>0</v>
      </c>
      <c r="X81" s="89" t="n">
        <v>0</v>
      </c>
      <c r="Y81" s="89"/>
      <c r="Z81" s="88"/>
      <c r="AA81" s="91"/>
    </row>
    <row r="82" customFormat="false" ht="15" hidden="false" customHeight="false" outlineLevel="0" collapsed="false">
      <c r="A82" s="68" t="e">
        <f aca="false">VLOOKUP(E82,'[1]Listas Desplegables'!$H$3:$J$7,2,FALSE())</f>
        <v>#N/A</v>
      </c>
      <c r="B82" s="68" t="e">
        <f aca="false">VLOOKUP(E82,'[1]Listas Desplegables'!$H$3:$J$7,3,FALSE())</f>
        <v>#N/A</v>
      </c>
      <c r="C82" s="85" t="n">
        <v>77</v>
      </c>
      <c r="D82" s="94" t="s">
        <v>668</v>
      </c>
      <c r="E82" s="94" t="s">
        <v>669</v>
      </c>
      <c r="F82" s="109" t="n">
        <v>34.5</v>
      </c>
      <c r="G82" s="88" t="n">
        <v>13.8</v>
      </c>
      <c r="H82" s="88" t="n">
        <v>20</v>
      </c>
      <c r="I82" s="89" t="s">
        <v>543</v>
      </c>
      <c r="J82" s="88" t="n">
        <v>10.3</v>
      </c>
      <c r="K82" s="88" t="n">
        <v>10.3</v>
      </c>
      <c r="L82" s="88" t="n">
        <v>0</v>
      </c>
      <c r="M82" s="88" t="n">
        <v>10</v>
      </c>
      <c r="N82" s="88" t="n">
        <v>-10</v>
      </c>
      <c r="O82" s="88" t="n">
        <v>1</v>
      </c>
      <c r="P82" s="88" t="n">
        <v>100</v>
      </c>
      <c r="Q82" s="88" t="n">
        <v>0</v>
      </c>
      <c r="R82" s="89" t="s">
        <v>395</v>
      </c>
      <c r="S82" s="96" t="n">
        <v>2029</v>
      </c>
      <c r="T82" s="89" t="s">
        <v>290</v>
      </c>
      <c r="U82" s="89"/>
      <c r="V82" s="89" t="n">
        <v>0</v>
      </c>
      <c r="W82" s="89" t="n">
        <v>0</v>
      </c>
      <c r="X82" s="89" t="n">
        <v>0</v>
      </c>
      <c r="Y82" s="89"/>
      <c r="Z82" s="88"/>
      <c r="AA82" s="91"/>
    </row>
    <row r="83" customFormat="false" ht="15" hidden="false" customHeight="false" outlineLevel="0" collapsed="false">
      <c r="A83" s="68" t="e">
        <f aca="false">VLOOKUP(E83,'[1]Listas Desplegables'!$H$3:$J$7,2,FALSE())</f>
        <v>#N/A</v>
      </c>
      <c r="B83" s="68" t="e">
        <f aca="false">VLOOKUP(E83,'[1]Listas Desplegables'!$H$3:$J$7,3,FALSE())</f>
        <v>#N/A</v>
      </c>
      <c r="C83" s="85" t="n">
        <v>78</v>
      </c>
      <c r="D83" s="94" t="s">
        <v>670</v>
      </c>
      <c r="E83" s="94" t="s">
        <v>524</v>
      </c>
      <c r="F83" s="109" t="n">
        <v>110</v>
      </c>
      <c r="G83" s="88" t="n">
        <v>13.8</v>
      </c>
      <c r="H83" s="88" t="n">
        <v>15</v>
      </c>
      <c r="I83" s="89" t="s">
        <v>548</v>
      </c>
      <c r="J83" s="88" t="n">
        <v>9</v>
      </c>
      <c r="K83" s="88" t="n">
        <v>9</v>
      </c>
      <c r="L83" s="88" t="n">
        <v>0</v>
      </c>
      <c r="M83" s="88" t="n">
        <v>5</v>
      </c>
      <c r="N83" s="88" t="n">
        <v>-10</v>
      </c>
      <c r="O83" s="88" t="n">
        <v>1</v>
      </c>
      <c r="P83" s="88" t="n">
        <v>100</v>
      </c>
      <c r="Q83" s="88" t="n">
        <v>0</v>
      </c>
      <c r="R83" s="89" t="s">
        <v>395</v>
      </c>
      <c r="S83" s="96" t="n">
        <v>2029</v>
      </c>
      <c r="T83" s="89" t="s">
        <v>290</v>
      </c>
      <c r="U83" s="89"/>
      <c r="V83" s="89" t="n">
        <v>0</v>
      </c>
      <c r="W83" s="89" t="n">
        <v>0</v>
      </c>
      <c r="X83" s="89" t="n">
        <v>0</v>
      </c>
      <c r="Y83" s="89"/>
      <c r="Z83" s="88"/>
      <c r="AA83" s="91"/>
    </row>
    <row r="84" customFormat="false" ht="15" hidden="false" customHeight="false" outlineLevel="0" collapsed="false">
      <c r="A84" s="68" t="e">
        <f aca="false">VLOOKUP(E84,'[1]Listas Desplegables'!$H$3:$J$7,2,FALSE())</f>
        <v>#N/A</v>
      </c>
      <c r="B84" s="68" t="e">
        <f aca="false">VLOOKUP(E84,'[1]Listas Desplegables'!$H$3:$J$7,3,FALSE())</f>
        <v>#N/A</v>
      </c>
      <c r="C84" s="85" t="n">
        <v>79</v>
      </c>
      <c r="D84" s="94" t="s">
        <v>671</v>
      </c>
      <c r="E84" s="94" t="s">
        <v>672</v>
      </c>
      <c r="F84" s="109" t="n">
        <v>34.5</v>
      </c>
      <c r="G84" s="88" t="n">
        <v>13.8</v>
      </c>
      <c r="H84" s="88" t="n">
        <v>12.5</v>
      </c>
      <c r="I84" s="89" t="s">
        <v>539</v>
      </c>
      <c r="J84" s="88" t="n">
        <v>8.76</v>
      </c>
      <c r="K84" s="88" t="n">
        <v>8.76</v>
      </c>
      <c r="L84" s="88" t="n">
        <v>0</v>
      </c>
      <c r="M84" s="88" t="n">
        <v>16</v>
      </c>
      <c r="N84" s="88" t="n">
        <v>-16</v>
      </c>
      <c r="O84" s="88" t="n">
        <v>0.625</v>
      </c>
      <c r="P84" s="88" t="n">
        <v>100</v>
      </c>
      <c r="Q84" s="88" t="n">
        <v>0</v>
      </c>
      <c r="R84" s="89" t="s">
        <v>221</v>
      </c>
      <c r="S84" s="95"/>
      <c r="T84" s="89" t="s">
        <v>290</v>
      </c>
      <c r="U84" s="89" t="n">
        <v>90</v>
      </c>
      <c r="V84" s="89" t="n">
        <v>0</v>
      </c>
      <c r="W84" s="89" t="n">
        <v>0</v>
      </c>
      <c r="X84" s="89" t="n">
        <v>0</v>
      </c>
      <c r="Y84" s="89"/>
      <c r="Z84" s="88"/>
      <c r="AA84" s="91"/>
    </row>
    <row r="85" customFormat="false" ht="15" hidden="false" customHeight="false" outlineLevel="0" collapsed="false">
      <c r="A85" s="68" t="e">
        <f aca="false">VLOOKUP(E85,'[1]Listas Desplegables'!$H$3:$J$7,2,FALSE())</f>
        <v>#N/A</v>
      </c>
      <c r="B85" s="68" t="e">
        <f aca="false">VLOOKUP(E85,'[1]Listas Desplegables'!$H$3:$J$7,3,FALSE())</f>
        <v>#N/A</v>
      </c>
      <c r="C85" s="85" t="n">
        <v>80</v>
      </c>
      <c r="D85" s="94" t="s">
        <v>673</v>
      </c>
      <c r="E85" s="94" t="s">
        <v>672</v>
      </c>
      <c r="F85" s="109" t="n">
        <v>34.5</v>
      </c>
      <c r="G85" s="88" t="n">
        <v>13.8</v>
      </c>
      <c r="H85" s="88" t="n">
        <v>4</v>
      </c>
      <c r="I85" s="89" t="s">
        <v>543</v>
      </c>
      <c r="J85" s="88" t="n">
        <v>5.4</v>
      </c>
      <c r="K85" s="88" t="n">
        <v>5.4</v>
      </c>
      <c r="L85" s="88" t="n">
        <v>0</v>
      </c>
      <c r="M85" s="88" t="n">
        <v>2</v>
      </c>
      <c r="N85" s="88" t="n">
        <v>-2</v>
      </c>
      <c r="O85" s="88" t="n">
        <v>2.5</v>
      </c>
      <c r="P85" s="88" t="n">
        <v>100</v>
      </c>
      <c r="Q85" s="88" t="n">
        <v>0</v>
      </c>
      <c r="R85" s="89" t="s">
        <v>221</v>
      </c>
      <c r="S85" s="95"/>
      <c r="T85" s="89" t="s">
        <v>290</v>
      </c>
      <c r="U85" s="89"/>
      <c r="V85" s="89"/>
      <c r="W85" s="89"/>
      <c r="X85" s="89"/>
      <c r="Y85" s="89"/>
      <c r="Z85" s="88"/>
      <c r="AA85" s="91"/>
    </row>
    <row r="86" customFormat="false" ht="15" hidden="false" customHeight="false" outlineLevel="0" collapsed="false">
      <c r="A86" s="68" t="e">
        <f aca="false">VLOOKUP(E86,'[1]Listas Desplegables'!$H$3:$J$7,2,FALSE())</f>
        <v>#N/A</v>
      </c>
      <c r="B86" s="68" t="e">
        <f aca="false">VLOOKUP(E86,'[1]Listas Desplegables'!$H$3:$J$7,3,FALSE())</f>
        <v>#N/A</v>
      </c>
      <c r="C86" s="85" t="n">
        <v>81</v>
      </c>
      <c r="D86" s="94" t="s">
        <v>674</v>
      </c>
      <c r="E86" s="94" t="s">
        <v>480</v>
      </c>
      <c r="F86" s="109" t="n">
        <v>110</v>
      </c>
      <c r="G86" s="88" t="n">
        <v>13.8</v>
      </c>
      <c r="H86" s="88" t="n">
        <v>30</v>
      </c>
      <c r="I86" s="89" t="s">
        <v>548</v>
      </c>
      <c r="J86" s="88" t="n">
        <v>11.928</v>
      </c>
      <c r="K86" s="88" t="n">
        <v>11.928</v>
      </c>
      <c r="L86" s="88" t="n">
        <v>0</v>
      </c>
      <c r="M86" s="88" t="n">
        <v>5</v>
      </c>
      <c r="N86" s="88" t="n">
        <v>-10</v>
      </c>
      <c r="O86" s="88" t="n">
        <v>1</v>
      </c>
      <c r="P86" s="88" t="n">
        <v>130</v>
      </c>
      <c r="Q86" s="88" t="n">
        <v>30</v>
      </c>
      <c r="R86" s="89" t="s">
        <v>221</v>
      </c>
      <c r="S86" s="95"/>
      <c r="T86" s="89" t="s">
        <v>290</v>
      </c>
      <c r="U86" s="89" t="n">
        <v>81.9</v>
      </c>
      <c r="V86" s="89"/>
      <c r="W86" s="89" t="n">
        <v>0</v>
      </c>
      <c r="X86" s="89" t="n">
        <v>0</v>
      </c>
      <c r="Y86" s="89"/>
      <c r="Z86" s="88"/>
      <c r="AA86" s="91"/>
    </row>
    <row r="87" customFormat="false" ht="15" hidden="false" customHeight="false" outlineLevel="0" collapsed="false">
      <c r="A87" s="68" t="e">
        <f aca="false">VLOOKUP(E87,'[1]Listas Desplegables'!$H$3:$J$7,2,FALSE())</f>
        <v>#N/A</v>
      </c>
      <c r="B87" s="68" t="e">
        <f aca="false">VLOOKUP(E87,'[1]Listas Desplegables'!$H$3:$J$7,3,FALSE())</f>
        <v>#N/A</v>
      </c>
      <c r="C87" s="85" t="n">
        <v>82</v>
      </c>
      <c r="D87" s="94" t="s">
        <v>675</v>
      </c>
      <c r="E87" s="94" t="s">
        <v>506</v>
      </c>
      <c r="F87" s="109" t="n">
        <v>34.5</v>
      </c>
      <c r="G87" s="88" t="n">
        <v>13.8</v>
      </c>
      <c r="H87" s="88" t="n">
        <v>33</v>
      </c>
      <c r="I87" s="89" t="s">
        <v>578</v>
      </c>
      <c r="J87" s="88" t="n">
        <v>7.854</v>
      </c>
      <c r="K87" s="88" t="n">
        <v>7.854</v>
      </c>
      <c r="L87" s="88" t="n">
        <v>0</v>
      </c>
      <c r="M87" s="88" t="n">
        <v>16</v>
      </c>
      <c r="N87" s="88" t="n">
        <v>-16</v>
      </c>
      <c r="O87" s="88" t="n">
        <v>0.625</v>
      </c>
      <c r="P87" s="88" t="n">
        <v>110</v>
      </c>
      <c r="Q87" s="88" t="n">
        <v>30</v>
      </c>
      <c r="R87" s="89" t="s">
        <v>221</v>
      </c>
      <c r="S87" s="95"/>
      <c r="T87" s="89" t="s">
        <v>290</v>
      </c>
      <c r="U87" s="89"/>
      <c r="V87" s="89"/>
      <c r="W87" s="89"/>
      <c r="X87" s="89"/>
      <c r="Y87" s="89"/>
      <c r="Z87" s="88"/>
      <c r="AA87" s="91"/>
    </row>
    <row r="88" customFormat="false" ht="15" hidden="false" customHeight="false" outlineLevel="0" collapsed="false">
      <c r="A88" s="68" t="e">
        <f aca="false">VLOOKUP(E88,'[1]Listas Desplegables'!$H$3:$J$7,2,FALSE())</f>
        <v>#N/A</v>
      </c>
      <c r="B88" s="68" t="e">
        <f aca="false">VLOOKUP(E88,'[1]Listas Desplegables'!$H$3:$J$7,3,FALSE())</f>
        <v>#N/A</v>
      </c>
      <c r="C88" s="85" t="n">
        <v>83</v>
      </c>
      <c r="D88" s="94" t="s">
        <v>676</v>
      </c>
      <c r="E88" s="94" t="s">
        <v>677</v>
      </c>
      <c r="F88" s="109" t="n">
        <v>34.5</v>
      </c>
      <c r="G88" s="88" t="n">
        <v>13.8</v>
      </c>
      <c r="H88" s="88" t="n">
        <v>28</v>
      </c>
      <c r="I88" s="89" t="s">
        <v>578</v>
      </c>
      <c r="J88" s="88" t="n">
        <v>7.66</v>
      </c>
      <c r="K88" s="88" t="n">
        <v>7.66</v>
      </c>
      <c r="L88" s="88" t="n">
        <v>0</v>
      </c>
      <c r="M88" s="88" t="n">
        <v>16</v>
      </c>
      <c r="N88" s="88" t="n">
        <v>-16</v>
      </c>
      <c r="O88" s="88" t="n">
        <v>0.625</v>
      </c>
      <c r="P88" s="88" t="n">
        <v>100</v>
      </c>
      <c r="Q88" s="88" t="n">
        <v>0</v>
      </c>
      <c r="R88" s="89" t="s">
        <v>221</v>
      </c>
      <c r="S88" s="95"/>
      <c r="T88" s="89"/>
      <c r="U88" s="89" t="n">
        <v>120</v>
      </c>
      <c r="V88" s="89"/>
      <c r="W88" s="89"/>
      <c r="X88" s="89"/>
      <c r="Y88" s="89"/>
      <c r="Z88" s="88"/>
      <c r="AA88" s="91"/>
    </row>
    <row r="89" customFormat="false" ht="15" hidden="false" customHeight="false" outlineLevel="0" collapsed="false">
      <c r="A89" s="68" t="e">
        <f aca="false">VLOOKUP(E89,'[1]Listas Desplegables'!$H$3:$J$7,2,FALSE())</f>
        <v>#N/A</v>
      </c>
      <c r="B89" s="68" t="e">
        <f aca="false">VLOOKUP(E89,'[1]Listas Desplegables'!$H$3:$J$7,3,FALSE())</f>
        <v>#N/A</v>
      </c>
      <c r="C89" s="85" t="n">
        <v>84</v>
      </c>
      <c r="D89" s="94" t="s">
        <v>678</v>
      </c>
      <c r="E89" s="94" t="s">
        <v>679</v>
      </c>
      <c r="F89" s="109" t="n">
        <v>110</v>
      </c>
      <c r="G89" s="88" t="n">
        <v>13.8</v>
      </c>
      <c r="H89" s="88" t="n">
        <v>10</v>
      </c>
      <c r="I89" s="89" t="s">
        <v>578</v>
      </c>
      <c r="J89" s="88" t="n">
        <v>10.12</v>
      </c>
      <c r="K89" s="88" t="n">
        <v>10.12</v>
      </c>
      <c r="L89" s="88" t="n">
        <v>0</v>
      </c>
      <c r="M89" s="88" t="n">
        <v>2</v>
      </c>
      <c r="N89" s="88" t="n">
        <v>-2</v>
      </c>
      <c r="O89" s="88" t="n">
        <v>2.5</v>
      </c>
      <c r="P89" s="88" t="n">
        <v>100</v>
      </c>
      <c r="Q89" s="88" t="n">
        <v>0</v>
      </c>
      <c r="R89" s="89" t="s">
        <v>221</v>
      </c>
      <c r="S89" s="95"/>
      <c r="T89" s="89"/>
      <c r="U89" s="89"/>
      <c r="V89" s="89"/>
      <c r="W89" s="89"/>
      <c r="X89" s="89"/>
      <c r="Y89" s="89"/>
      <c r="Z89" s="88"/>
      <c r="AA89" s="91"/>
    </row>
    <row r="90" customFormat="false" ht="15" hidden="false" customHeight="false" outlineLevel="0" collapsed="false">
      <c r="A90" s="68" t="e">
        <f aca="false">VLOOKUP(E90,'[1]Listas Desplegables'!$H$3:$J$7,2,FALSE())</f>
        <v>#N/A</v>
      </c>
      <c r="B90" s="68" t="e">
        <f aca="false">VLOOKUP(E90,'[1]Listas Desplegables'!$H$3:$J$7,3,FALSE())</f>
        <v>#N/A</v>
      </c>
      <c r="C90" s="85" t="n">
        <v>85</v>
      </c>
      <c r="D90" s="94" t="s">
        <v>680</v>
      </c>
      <c r="E90" s="94" t="s">
        <v>558</v>
      </c>
      <c r="F90" s="109" t="n">
        <v>34.5</v>
      </c>
      <c r="G90" s="88" t="n">
        <v>13.8</v>
      </c>
      <c r="H90" s="88" t="n">
        <v>6.5</v>
      </c>
      <c r="I90" s="89" t="s">
        <v>543</v>
      </c>
      <c r="J90" s="88" t="n">
        <v>9.568</v>
      </c>
      <c r="K90" s="88" t="n">
        <v>9.568</v>
      </c>
      <c r="L90" s="88" t="n">
        <v>0</v>
      </c>
      <c r="M90" s="88" t="n">
        <v>2</v>
      </c>
      <c r="N90" s="88" t="n">
        <v>-2</v>
      </c>
      <c r="O90" s="88" t="n">
        <v>2.5</v>
      </c>
      <c r="P90" s="88" t="n">
        <v>100</v>
      </c>
      <c r="Q90" s="88" t="n">
        <v>0</v>
      </c>
      <c r="R90" s="89" t="s">
        <v>395</v>
      </c>
      <c r="S90" s="96" t="n">
        <v>2029</v>
      </c>
      <c r="T90" s="89" t="s">
        <v>290</v>
      </c>
      <c r="U90" s="89"/>
      <c r="V90" s="89" t="n">
        <v>0</v>
      </c>
      <c r="W90" s="89" t="n">
        <v>0</v>
      </c>
      <c r="X90" s="89" t="n">
        <v>0</v>
      </c>
      <c r="Y90" s="89"/>
      <c r="Z90" s="88"/>
      <c r="AA90" s="91"/>
    </row>
    <row r="91" customFormat="false" ht="15" hidden="false" customHeight="false" outlineLevel="0" collapsed="false">
      <c r="A91" s="68" t="e">
        <f aca="false">VLOOKUP(E91,'[1]Listas Desplegables'!$H$3:$J$7,2,FALSE())</f>
        <v>#N/A</v>
      </c>
      <c r="B91" s="68" t="e">
        <f aca="false">VLOOKUP(E91,'[1]Listas Desplegables'!$H$3:$J$7,3,FALSE())</f>
        <v>#N/A</v>
      </c>
      <c r="C91" s="85" t="n">
        <v>86</v>
      </c>
      <c r="D91" s="94" t="s">
        <v>681</v>
      </c>
      <c r="E91" s="94" t="s">
        <v>624</v>
      </c>
      <c r="F91" s="109" t="n">
        <v>34.5</v>
      </c>
      <c r="G91" s="88" t="n">
        <v>13.8</v>
      </c>
      <c r="H91" s="88" t="n">
        <v>8</v>
      </c>
      <c r="I91" s="89" t="s">
        <v>543</v>
      </c>
      <c r="J91" s="88" t="n">
        <v>6.84</v>
      </c>
      <c r="K91" s="88" t="n">
        <v>6.84</v>
      </c>
      <c r="L91" s="88" t="n">
        <v>0</v>
      </c>
      <c r="M91" s="88" t="n">
        <v>2</v>
      </c>
      <c r="N91" s="88" t="n">
        <v>-4</v>
      </c>
      <c r="O91" s="88" t="n">
        <v>2.5</v>
      </c>
      <c r="P91" s="88" t="n">
        <v>100</v>
      </c>
      <c r="Q91" s="88" t="n">
        <v>0</v>
      </c>
      <c r="R91" s="89" t="s">
        <v>395</v>
      </c>
      <c r="S91" s="96" t="n">
        <v>2029</v>
      </c>
      <c r="T91" s="89" t="s">
        <v>290</v>
      </c>
      <c r="U91" s="89" t="n">
        <v>42.6</v>
      </c>
      <c r="V91" s="89" t="n">
        <v>0</v>
      </c>
      <c r="W91" s="89" t="n">
        <v>0</v>
      </c>
      <c r="X91" s="89" t="n">
        <v>0</v>
      </c>
      <c r="Y91" s="89"/>
      <c r="Z91" s="88"/>
      <c r="AA91" s="91"/>
    </row>
    <row r="92" customFormat="false" ht="15" hidden="false" customHeight="false" outlineLevel="0" collapsed="false">
      <c r="A92" s="68" t="e">
        <f aca="false">VLOOKUP(E92,'[1]Listas Desplegables'!$H$3:$J$7,2,FALSE())</f>
        <v>#N/A</v>
      </c>
      <c r="B92" s="68" t="e">
        <f aca="false">VLOOKUP(E92,'[1]Listas Desplegables'!$H$3:$J$7,3,FALSE())</f>
        <v>#N/A</v>
      </c>
      <c r="C92" s="85" t="n">
        <v>87</v>
      </c>
      <c r="D92" s="94" t="s">
        <v>682</v>
      </c>
      <c r="E92" s="94" t="s">
        <v>629</v>
      </c>
      <c r="F92" s="109" t="n">
        <v>34.5</v>
      </c>
      <c r="G92" s="88" t="n">
        <v>13.8</v>
      </c>
      <c r="H92" s="88" t="n">
        <v>12.5</v>
      </c>
      <c r="I92" s="89" t="s">
        <v>543</v>
      </c>
      <c r="J92" s="88" t="n">
        <v>8.76</v>
      </c>
      <c r="K92" s="88" t="n">
        <v>8.76</v>
      </c>
      <c r="L92" s="88" t="n">
        <v>0</v>
      </c>
      <c r="M92" s="88" t="n">
        <v>2</v>
      </c>
      <c r="N92" s="88" t="n">
        <v>-2</v>
      </c>
      <c r="O92" s="88" t="n">
        <v>2.5</v>
      </c>
      <c r="P92" s="88" t="n">
        <v>105</v>
      </c>
      <c r="Q92" s="88" t="n">
        <v>30</v>
      </c>
      <c r="R92" s="89" t="s">
        <v>395</v>
      </c>
      <c r="S92" s="96" t="n">
        <v>2029</v>
      </c>
      <c r="T92" s="89" t="s">
        <v>290</v>
      </c>
      <c r="U92" s="89" t="n">
        <v>55.1</v>
      </c>
      <c r="V92" s="89"/>
      <c r="W92" s="89" t="n">
        <v>0</v>
      </c>
      <c r="X92" s="89" t="n">
        <v>0</v>
      </c>
      <c r="Y92" s="89"/>
      <c r="Z92" s="88"/>
      <c r="AA92" s="91"/>
    </row>
    <row r="93" customFormat="false" ht="15" hidden="false" customHeight="false" outlineLevel="0" collapsed="false">
      <c r="A93" s="68" t="e">
        <f aca="false">VLOOKUP(E93,'[1]Listas Desplegables'!$H$3:$J$7,2,FALSE())</f>
        <v>#N/A</v>
      </c>
      <c r="B93" s="68" t="e">
        <f aca="false">VLOOKUP(E93,'[1]Listas Desplegables'!$H$3:$J$7,3,FALSE())</f>
        <v>#N/A</v>
      </c>
      <c r="C93" s="85" t="n">
        <v>88</v>
      </c>
      <c r="D93" s="94" t="s">
        <v>683</v>
      </c>
      <c r="E93" s="94" t="s">
        <v>684</v>
      </c>
      <c r="F93" s="109" t="n">
        <v>115</v>
      </c>
      <c r="G93" s="88" t="n">
        <v>13.8</v>
      </c>
      <c r="H93" s="88" t="n">
        <v>78</v>
      </c>
      <c r="I93" s="89" t="s">
        <v>576</v>
      </c>
      <c r="J93" s="88" t="n">
        <v>12.1</v>
      </c>
      <c r="K93" s="88" t="n">
        <v>12.1</v>
      </c>
      <c r="L93" s="88" t="n">
        <v>3</v>
      </c>
      <c r="M93" s="88" t="n">
        <v>5</v>
      </c>
      <c r="N93" s="88" t="n">
        <v>1</v>
      </c>
      <c r="O93" s="88" t="n">
        <v>2.5</v>
      </c>
      <c r="P93" s="88" t="n">
        <v>100</v>
      </c>
      <c r="Q93" s="88" t="n">
        <v>0</v>
      </c>
      <c r="R93" s="89" t="s">
        <v>221</v>
      </c>
      <c r="S93" s="95"/>
      <c r="T93" s="89" t="s">
        <v>526</v>
      </c>
      <c r="U93" s="89" t="n">
        <v>245</v>
      </c>
      <c r="V93" s="89"/>
      <c r="W93" s="89"/>
      <c r="X93" s="89"/>
      <c r="Y93" s="89"/>
      <c r="Z93" s="88"/>
      <c r="AA93" s="91"/>
    </row>
    <row r="94" customFormat="false" ht="15" hidden="false" customHeight="false" outlineLevel="0" collapsed="false">
      <c r="A94" s="68" t="e">
        <f aca="false">VLOOKUP(E94,'[1]Listas Desplegables'!$H$3:$J$7,2,FALSE())</f>
        <v>#N/A</v>
      </c>
      <c r="B94" s="68" t="e">
        <f aca="false">VLOOKUP(E94,'[1]Listas Desplegables'!$H$3:$J$7,3,FALSE())</f>
        <v>#N/A</v>
      </c>
      <c r="C94" s="85" t="n">
        <v>89</v>
      </c>
      <c r="D94" s="94" t="s">
        <v>685</v>
      </c>
      <c r="E94" s="94" t="s">
        <v>684</v>
      </c>
      <c r="F94" s="109" t="n">
        <v>115</v>
      </c>
      <c r="G94" s="88" t="n">
        <v>13.8</v>
      </c>
      <c r="H94" s="88" t="n">
        <v>78</v>
      </c>
      <c r="I94" s="89" t="s">
        <v>576</v>
      </c>
      <c r="J94" s="88" t="n">
        <v>12.2</v>
      </c>
      <c r="K94" s="88" t="n">
        <v>12.2</v>
      </c>
      <c r="L94" s="88" t="n">
        <v>3</v>
      </c>
      <c r="M94" s="88" t="n">
        <v>5</v>
      </c>
      <c r="N94" s="88" t="n">
        <v>1</v>
      </c>
      <c r="O94" s="88" t="n">
        <v>2.5</v>
      </c>
      <c r="P94" s="88" t="n">
        <v>100</v>
      </c>
      <c r="Q94" s="88" t="n">
        <v>0</v>
      </c>
      <c r="R94" s="89" t="s">
        <v>221</v>
      </c>
      <c r="S94" s="95"/>
      <c r="T94" s="89" t="s">
        <v>526</v>
      </c>
      <c r="U94" s="89" t="n">
        <v>245</v>
      </c>
      <c r="V94" s="89"/>
      <c r="W94" s="89"/>
      <c r="X94" s="89"/>
      <c r="Y94" s="89"/>
      <c r="Z94" s="88"/>
      <c r="AA94" s="91"/>
    </row>
    <row r="95" customFormat="false" ht="15" hidden="false" customHeight="false" outlineLevel="0" collapsed="false">
      <c r="A95" s="68" t="e">
        <f aca="false">VLOOKUP(E95,'[1]Listas Desplegables'!$H$3:$J$7,2,FALSE())</f>
        <v>#N/A</v>
      </c>
      <c r="B95" s="68" t="e">
        <f aca="false">VLOOKUP(E95,'[1]Listas Desplegables'!$H$3:$J$7,3,FALSE())</f>
        <v>#N/A</v>
      </c>
      <c r="C95" s="85" t="n">
        <v>90</v>
      </c>
      <c r="D95" s="94" t="s">
        <v>686</v>
      </c>
      <c r="E95" s="94" t="s">
        <v>524</v>
      </c>
      <c r="F95" s="109" t="n">
        <v>220</v>
      </c>
      <c r="G95" s="88" t="n">
        <v>13.8</v>
      </c>
      <c r="H95" s="88" t="n">
        <v>120</v>
      </c>
      <c r="I95" s="89" t="s">
        <v>687</v>
      </c>
      <c r="J95" s="88" t="n">
        <v>11.91</v>
      </c>
      <c r="K95" s="88" t="n">
        <v>11.91</v>
      </c>
      <c r="L95" s="88" t="n">
        <v>11</v>
      </c>
      <c r="M95" s="88" t="n">
        <v>19</v>
      </c>
      <c r="N95" s="88" t="n">
        <v>1</v>
      </c>
      <c r="O95" s="88" t="n">
        <v>1.5</v>
      </c>
      <c r="P95" s="88" t="n">
        <v>100</v>
      </c>
      <c r="Q95" s="88" t="n">
        <v>0</v>
      </c>
      <c r="R95" s="89" t="s">
        <v>221</v>
      </c>
      <c r="S95" s="95"/>
      <c r="T95" s="89" t="s">
        <v>526</v>
      </c>
      <c r="U95" s="89" t="n">
        <v>166.4</v>
      </c>
      <c r="V95" s="89"/>
      <c r="W95" s="89"/>
      <c r="X95" s="89"/>
      <c r="Y95" s="89"/>
      <c r="Z95" s="88"/>
      <c r="AA95" s="91"/>
    </row>
    <row r="96" customFormat="false" ht="15" hidden="false" customHeight="false" outlineLevel="0" collapsed="false">
      <c r="A96" s="68" t="e">
        <f aca="false">VLOOKUP(E96,'[1]Listas Desplegables'!$H$3:$J$7,2,FALSE())</f>
        <v>#N/A</v>
      </c>
      <c r="B96" s="68" t="e">
        <f aca="false">VLOOKUP(E96,'[1]Listas Desplegables'!$H$3:$J$7,3,FALSE())</f>
        <v>#N/A</v>
      </c>
      <c r="C96" s="85" t="n">
        <v>91</v>
      </c>
      <c r="D96" s="94" t="s">
        <v>688</v>
      </c>
      <c r="E96" s="94" t="s">
        <v>524</v>
      </c>
      <c r="F96" s="109" t="n">
        <v>220</v>
      </c>
      <c r="G96" s="88" t="n">
        <v>13.8</v>
      </c>
      <c r="H96" s="88" t="n">
        <v>120</v>
      </c>
      <c r="I96" s="89" t="s">
        <v>687</v>
      </c>
      <c r="J96" s="88" t="n">
        <v>11.9</v>
      </c>
      <c r="K96" s="88" t="n">
        <v>11.9</v>
      </c>
      <c r="L96" s="88" t="n">
        <v>11</v>
      </c>
      <c r="M96" s="88" t="n">
        <v>19</v>
      </c>
      <c r="N96" s="88" t="n">
        <v>1</v>
      </c>
      <c r="O96" s="88" t="n">
        <v>1.5</v>
      </c>
      <c r="P96" s="88" t="n">
        <v>100</v>
      </c>
      <c r="Q96" s="88" t="n">
        <v>0</v>
      </c>
      <c r="R96" s="89" t="s">
        <v>221</v>
      </c>
      <c r="S96" s="95"/>
      <c r="T96" s="89" t="s">
        <v>526</v>
      </c>
      <c r="U96" s="89" t="n">
        <v>166.4</v>
      </c>
      <c r="V96" s="89"/>
      <c r="W96" s="89"/>
      <c r="X96" s="89"/>
      <c r="Y96" s="89"/>
      <c r="Z96" s="88"/>
      <c r="AA96" s="91"/>
    </row>
    <row r="97" customFormat="false" ht="15" hidden="false" customHeight="false" outlineLevel="0" collapsed="false">
      <c r="A97" s="68" t="e">
        <f aca="false">VLOOKUP(E97,'[1]Listas Desplegables'!$H$3:$J$7,2,FALSE())</f>
        <v>#N/A</v>
      </c>
      <c r="B97" s="68" t="e">
        <f aca="false">VLOOKUP(E97,'[1]Listas Desplegables'!$H$3:$J$7,3,FALSE())</f>
        <v>#N/A</v>
      </c>
      <c r="C97" s="85" t="n">
        <v>92</v>
      </c>
      <c r="D97" s="94" t="s">
        <v>689</v>
      </c>
      <c r="E97" s="94" t="s">
        <v>524</v>
      </c>
      <c r="F97" s="109" t="n">
        <v>220</v>
      </c>
      <c r="G97" s="88" t="n">
        <v>13.8</v>
      </c>
      <c r="H97" s="88" t="n">
        <v>120</v>
      </c>
      <c r="I97" s="89" t="s">
        <v>687</v>
      </c>
      <c r="J97" s="88" t="n">
        <v>11.9</v>
      </c>
      <c r="K97" s="88" t="n">
        <v>11.9</v>
      </c>
      <c r="L97" s="88" t="n">
        <v>11</v>
      </c>
      <c r="M97" s="88" t="n">
        <v>19</v>
      </c>
      <c r="N97" s="88" t="n">
        <v>1</v>
      </c>
      <c r="O97" s="88" t="n">
        <v>1.5</v>
      </c>
      <c r="P97" s="88" t="n">
        <v>100</v>
      </c>
      <c r="Q97" s="88" t="n">
        <v>0</v>
      </c>
      <c r="R97" s="89" t="s">
        <v>221</v>
      </c>
      <c r="S97" s="95"/>
      <c r="T97" s="89" t="s">
        <v>526</v>
      </c>
      <c r="U97" s="89" t="n">
        <v>166.4</v>
      </c>
      <c r="V97" s="89"/>
      <c r="W97" s="89"/>
      <c r="X97" s="89"/>
      <c r="Y97" s="89"/>
      <c r="Z97" s="88"/>
      <c r="AA97" s="91"/>
    </row>
    <row r="98" customFormat="false" ht="15" hidden="false" customHeight="false" outlineLevel="0" collapsed="false">
      <c r="A98" s="68" t="e">
        <f aca="false">VLOOKUP(E98,'[1]Listas Desplegables'!$H$3:$J$7,2,FALSE())</f>
        <v>#N/A</v>
      </c>
      <c r="B98" s="68" t="e">
        <f aca="false">VLOOKUP(E98,'[1]Listas Desplegables'!$H$3:$J$7,3,FALSE())</f>
        <v>#N/A</v>
      </c>
      <c r="C98" s="85" t="n">
        <v>93</v>
      </c>
      <c r="D98" s="94" t="s">
        <v>690</v>
      </c>
      <c r="E98" s="94" t="s">
        <v>524</v>
      </c>
      <c r="F98" s="109" t="n">
        <v>220</v>
      </c>
      <c r="G98" s="88" t="n">
        <v>18</v>
      </c>
      <c r="H98" s="88" t="n">
        <v>215</v>
      </c>
      <c r="I98" s="89" t="s">
        <v>687</v>
      </c>
      <c r="J98" s="88" t="n">
        <v>12.41</v>
      </c>
      <c r="K98" s="88" t="n">
        <v>12.41</v>
      </c>
      <c r="L98" s="88" t="n">
        <v>13</v>
      </c>
      <c r="M98" s="88" t="n">
        <v>19</v>
      </c>
      <c r="N98" s="88" t="n">
        <v>1</v>
      </c>
      <c r="O98" s="88" t="n">
        <v>1.5</v>
      </c>
      <c r="P98" s="88" t="n">
        <v>100</v>
      </c>
      <c r="Q98" s="88" t="n">
        <v>0</v>
      </c>
      <c r="R98" s="89" t="s">
        <v>221</v>
      </c>
      <c r="S98" s="95"/>
      <c r="T98" s="89" t="s">
        <v>526</v>
      </c>
      <c r="U98" s="89" t="n">
        <v>451.1</v>
      </c>
      <c r="V98" s="89"/>
      <c r="W98" s="89"/>
      <c r="X98" s="89"/>
      <c r="Y98" s="89"/>
      <c r="Z98" s="88"/>
      <c r="AA98" s="91"/>
    </row>
    <row r="99" customFormat="false" ht="15" hidden="false" customHeight="false" outlineLevel="0" collapsed="false">
      <c r="A99" s="68" t="e">
        <f aca="false">VLOOKUP(E99,'[1]Listas Desplegables'!$H$3:$J$7,2,FALSE())</f>
        <v>#N/A</v>
      </c>
      <c r="B99" s="68" t="e">
        <f aca="false">VLOOKUP(E99,'[1]Listas Desplegables'!$H$3:$J$7,3,FALSE())</f>
        <v>#N/A</v>
      </c>
      <c r="C99" s="85" t="n">
        <v>94</v>
      </c>
      <c r="D99" s="94" t="s">
        <v>691</v>
      </c>
      <c r="E99" s="94" t="s">
        <v>524</v>
      </c>
      <c r="F99" s="109" t="n">
        <v>110</v>
      </c>
      <c r="G99" s="88" t="n">
        <v>13.8</v>
      </c>
      <c r="H99" s="88" t="n">
        <v>120</v>
      </c>
      <c r="I99" s="89" t="s">
        <v>687</v>
      </c>
      <c r="J99" s="88" t="n">
        <v>12.04</v>
      </c>
      <c r="K99" s="88" t="n">
        <v>12.04</v>
      </c>
      <c r="L99" s="88" t="n">
        <v>11</v>
      </c>
      <c r="M99" s="88" t="n">
        <v>19</v>
      </c>
      <c r="N99" s="88" t="n">
        <v>1</v>
      </c>
      <c r="O99" s="88" t="n">
        <v>1.5</v>
      </c>
      <c r="P99" s="88" t="n">
        <v>100</v>
      </c>
      <c r="Q99" s="88" t="n">
        <v>0</v>
      </c>
      <c r="R99" s="89" t="s">
        <v>221</v>
      </c>
      <c r="S99" s="95"/>
      <c r="T99" s="89" t="s">
        <v>219</v>
      </c>
      <c r="U99" s="89" t="n">
        <v>379</v>
      </c>
      <c r="V99" s="89"/>
      <c r="W99" s="89"/>
      <c r="X99" s="89"/>
      <c r="Y99" s="89"/>
      <c r="Z99" s="88"/>
      <c r="AA99" s="91"/>
    </row>
    <row r="100" customFormat="false" ht="15" hidden="false" customHeight="false" outlineLevel="0" collapsed="false">
      <c r="A100" s="68" t="e">
        <f aca="false">VLOOKUP(E100,'[1]Listas Desplegables'!$H$3:$J$7,2,FALSE())</f>
        <v>#N/A</v>
      </c>
      <c r="B100" s="68" t="e">
        <f aca="false">VLOOKUP(E100,'[1]Listas Desplegables'!$H$3:$J$7,3,FALSE())</f>
        <v>#N/A</v>
      </c>
      <c r="C100" s="85" t="n">
        <v>95</v>
      </c>
      <c r="D100" s="94" t="s">
        <v>692</v>
      </c>
      <c r="E100" s="94" t="s">
        <v>524</v>
      </c>
      <c r="F100" s="109" t="n">
        <v>110</v>
      </c>
      <c r="G100" s="88" t="n">
        <v>13.8</v>
      </c>
      <c r="H100" s="88" t="n">
        <v>120</v>
      </c>
      <c r="I100" s="89" t="s">
        <v>687</v>
      </c>
      <c r="J100" s="88" t="n">
        <v>11.85</v>
      </c>
      <c r="K100" s="88" t="n">
        <v>11.85</v>
      </c>
      <c r="L100" s="88" t="n">
        <v>11</v>
      </c>
      <c r="M100" s="88" t="n">
        <v>19</v>
      </c>
      <c r="N100" s="88" t="n">
        <v>1</v>
      </c>
      <c r="O100" s="88" t="n">
        <v>1.5</v>
      </c>
      <c r="P100" s="88" t="n">
        <v>100</v>
      </c>
      <c r="Q100" s="88" t="n">
        <v>0</v>
      </c>
      <c r="R100" s="89" t="s">
        <v>221</v>
      </c>
      <c r="S100" s="95"/>
      <c r="T100" s="89" t="s">
        <v>219</v>
      </c>
      <c r="U100" s="89" t="n">
        <v>379</v>
      </c>
      <c r="V100" s="89"/>
      <c r="W100" s="89"/>
      <c r="X100" s="89"/>
      <c r="Y100" s="89"/>
      <c r="Z100" s="88"/>
      <c r="AA100" s="91"/>
    </row>
    <row r="101" customFormat="false" ht="15" hidden="false" customHeight="false" outlineLevel="0" collapsed="false">
      <c r="A101" s="68" t="e">
        <f aca="false">VLOOKUP(E101,'[1]Listas Desplegables'!$H$3:$J$7,2,FALSE())</f>
        <v>#N/A</v>
      </c>
      <c r="B101" s="68" t="e">
        <f aca="false">VLOOKUP(E101,'[1]Listas Desplegables'!$H$3:$J$7,3,FALSE())</f>
        <v>#N/A</v>
      </c>
      <c r="C101" s="85" t="n">
        <v>96</v>
      </c>
      <c r="D101" s="94" t="s">
        <v>693</v>
      </c>
      <c r="E101" s="94" t="s">
        <v>524</v>
      </c>
      <c r="F101" s="109" t="n">
        <v>220</v>
      </c>
      <c r="G101" s="88" t="n">
        <v>18</v>
      </c>
      <c r="H101" s="88" t="n">
        <v>215</v>
      </c>
      <c r="I101" s="89" t="s">
        <v>687</v>
      </c>
      <c r="J101" s="88" t="n">
        <v>12.41</v>
      </c>
      <c r="K101" s="88" t="n">
        <v>12.41</v>
      </c>
      <c r="L101" s="88" t="n">
        <v>13</v>
      </c>
      <c r="M101" s="88" t="n">
        <v>19</v>
      </c>
      <c r="N101" s="88" t="n">
        <v>1</v>
      </c>
      <c r="O101" s="88" t="n">
        <v>1.5</v>
      </c>
      <c r="P101" s="88" t="n">
        <v>100</v>
      </c>
      <c r="Q101" s="88" t="n">
        <v>0</v>
      </c>
      <c r="R101" s="89" t="s">
        <v>221</v>
      </c>
      <c r="S101" s="95"/>
      <c r="T101" s="89" t="s">
        <v>526</v>
      </c>
      <c r="U101" s="89" t="n">
        <v>451.1</v>
      </c>
      <c r="V101" s="89"/>
      <c r="W101" s="89"/>
      <c r="X101" s="89"/>
      <c r="Y101" s="89"/>
      <c r="Z101" s="88"/>
      <c r="AA101" s="91"/>
    </row>
    <row r="102" customFormat="false" ht="15" hidden="false" customHeight="false" outlineLevel="0" collapsed="false">
      <c r="A102" s="68" t="e">
        <f aca="false">VLOOKUP(E102,'[1]Listas Desplegables'!$H$3:$J$7,2,FALSE())</f>
        <v>#N/A</v>
      </c>
      <c r="B102" s="68" t="e">
        <f aca="false">VLOOKUP(E102,'[1]Listas Desplegables'!$H$3:$J$7,3,FALSE())</f>
        <v>#N/A</v>
      </c>
      <c r="C102" s="85" t="n">
        <v>97</v>
      </c>
      <c r="D102" s="94" t="s">
        <v>694</v>
      </c>
      <c r="E102" s="94" t="s">
        <v>695</v>
      </c>
      <c r="F102" s="109" t="n">
        <v>220</v>
      </c>
      <c r="G102" s="88" t="n">
        <v>110</v>
      </c>
      <c r="H102" s="88" t="n">
        <v>150</v>
      </c>
      <c r="I102" s="89" t="s">
        <v>696</v>
      </c>
      <c r="J102" s="88" t="n">
        <v>12.5</v>
      </c>
      <c r="K102" s="88" t="n">
        <v>12.5</v>
      </c>
      <c r="L102" s="88" t="n">
        <v>11</v>
      </c>
      <c r="M102" s="88" t="n">
        <v>21</v>
      </c>
      <c r="N102" s="88" t="n">
        <v>1</v>
      </c>
      <c r="O102" s="88" t="n">
        <v>1</v>
      </c>
      <c r="P102" s="88" t="n">
        <v>105</v>
      </c>
      <c r="Q102" s="88" t="n">
        <v>30</v>
      </c>
      <c r="R102" s="89" t="s">
        <v>221</v>
      </c>
      <c r="S102" s="95"/>
      <c r="T102" s="89" t="s">
        <v>526</v>
      </c>
      <c r="U102" s="89"/>
      <c r="V102" s="89"/>
      <c r="W102" s="89"/>
      <c r="X102" s="89"/>
      <c r="Y102" s="89"/>
      <c r="Z102" s="88"/>
      <c r="AA102" s="91"/>
    </row>
    <row r="103" customFormat="false" ht="15" hidden="false" customHeight="false" outlineLevel="0" collapsed="false">
      <c r="A103" s="68" t="e">
        <f aca="false">VLOOKUP(E103,'[1]Listas Desplegables'!$H$3:$J$7,2,FALSE())</f>
        <v>#N/A</v>
      </c>
      <c r="B103" s="68" t="e">
        <f aca="false">VLOOKUP(E103,'[1]Listas Desplegables'!$H$3:$J$7,3,FALSE())</f>
        <v>#N/A</v>
      </c>
      <c r="C103" s="85" t="n">
        <v>98</v>
      </c>
      <c r="D103" s="94" t="s">
        <v>697</v>
      </c>
      <c r="E103" s="94" t="s">
        <v>695</v>
      </c>
      <c r="F103" s="109" t="n">
        <v>220</v>
      </c>
      <c r="G103" s="88" t="n">
        <v>110</v>
      </c>
      <c r="H103" s="88" t="n">
        <v>150</v>
      </c>
      <c r="I103" s="89" t="s">
        <v>696</v>
      </c>
      <c r="J103" s="88" t="n">
        <v>12.418</v>
      </c>
      <c r="K103" s="88" t="n">
        <v>12.418</v>
      </c>
      <c r="L103" s="88" t="n">
        <v>11</v>
      </c>
      <c r="M103" s="88" t="n">
        <v>21</v>
      </c>
      <c r="N103" s="88" t="n">
        <v>1</v>
      </c>
      <c r="O103" s="88" t="n">
        <v>1</v>
      </c>
      <c r="P103" s="88" t="n">
        <v>105</v>
      </c>
      <c r="Q103" s="88" t="n">
        <v>30</v>
      </c>
      <c r="R103" s="89" t="s">
        <v>221</v>
      </c>
      <c r="S103" s="95"/>
      <c r="T103" s="89" t="s">
        <v>526</v>
      </c>
      <c r="U103" s="89"/>
      <c r="V103" s="89"/>
      <c r="W103" s="89"/>
      <c r="X103" s="89"/>
      <c r="Y103" s="89"/>
      <c r="Z103" s="88"/>
      <c r="AA103" s="91"/>
    </row>
    <row r="104" customFormat="false" ht="15" hidden="false" customHeight="false" outlineLevel="0" collapsed="false">
      <c r="A104" s="68" t="e">
        <f aca="false">VLOOKUP(E104,'[1]Listas Desplegables'!$H$3:$J$7,2,FALSE())</f>
        <v>#N/A</v>
      </c>
      <c r="B104" s="68" t="e">
        <f aca="false">VLOOKUP(E104,'[1]Listas Desplegables'!$H$3:$J$7,3,FALSE())</f>
        <v>#N/A</v>
      </c>
      <c r="C104" s="85" t="n">
        <v>99</v>
      </c>
      <c r="D104" s="94" t="s">
        <v>698</v>
      </c>
      <c r="E104" s="94" t="s">
        <v>699</v>
      </c>
      <c r="F104" s="109" t="n">
        <v>110</v>
      </c>
      <c r="G104" s="88" t="n">
        <v>13.8</v>
      </c>
      <c r="H104" s="88" t="n">
        <v>30</v>
      </c>
      <c r="I104" s="89" t="s">
        <v>548</v>
      </c>
      <c r="J104" s="88" t="n">
        <v>11.93</v>
      </c>
      <c r="K104" s="88" t="n">
        <v>11.93</v>
      </c>
      <c r="L104" s="88" t="n">
        <v>0</v>
      </c>
      <c r="M104" s="88" t="n">
        <v>5</v>
      </c>
      <c r="N104" s="88" t="n">
        <v>-15</v>
      </c>
      <c r="O104" s="88" t="n">
        <v>1</v>
      </c>
      <c r="P104" s="88" t="n">
        <v>100</v>
      </c>
      <c r="Q104" s="88" t="n">
        <v>0</v>
      </c>
      <c r="R104" s="89" t="s">
        <v>395</v>
      </c>
      <c r="S104" s="96" t="n">
        <v>2029</v>
      </c>
      <c r="T104" s="89" t="s">
        <v>219</v>
      </c>
      <c r="U104" s="89"/>
      <c r="V104" s="89"/>
      <c r="W104" s="89"/>
      <c r="X104" s="89"/>
      <c r="Y104" s="89"/>
      <c r="Z104" s="88"/>
      <c r="AA104" s="91"/>
    </row>
    <row r="105" customFormat="false" ht="15" hidden="false" customHeight="false" outlineLevel="0" collapsed="false">
      <c r="A105" s="68" t="e">
        <f aca="false">VLOOKUP(E105,'[1]Listas Desplegables'!$H$3:$J$7,2,FALSE())</f>
        <v>#N/A</v>
      </c>
      <c r="B105" s="68" t="e">
        <f aca="false">VLOOKUP(E105,'[1]Listas Desplegables'!$H$3:$J$7,3,FALSE())</f>
        <v>#N/A</v>
      </c>
      <c r="C105" s="85" t="n">
        <v>100</v>
      </c>
      <c r="D105" s="94" t="s">
        <v>700</v>
      </c>
      <c r="E105" s="94" t="s">
        <v>701</v>
      </c>
      <c r="F105" s="109" t="n">
        <v>110</v>
      </c>
      <c r="G105" s="88" t="n">
        <v>13.8</v>
      </c>
      <c r="H105" s="88" t="n">
        <v>30</v>
      </c>
      <c r="I105" s="89" t="s">
        <v>548</v>
      </c>
      <c r="J105" s="88" t="n">
        <v>11.93</v>
      </c>
      <c r="K105" s="88" t="n">
        <v>11.93</v>
      </c>
      <c r="L105" s="88" t="n">
        <v>0</v>
      </c>
      <c r="M105" s="88" t="n">
        <v>5</v>
      </c>
      <c r="N105" s="88" t="n">
        <v>-15</v>
      </c>
      <c r="O105" s="88" t="n">
        <v>1</v>
      </c>
      <c r="P105" s="88" t="n">
        <v>100</v>
      </c>
      <c r="Q105" s="88" t="n">
        <v>0</v>
      </c>
      <c r="R105" s="89" t="s">
        <v>395</v>
      </c>
      <c r="S105" s="96" t="n">
        <v>2029</v>
      </c>
      <c r="T105" s="89" t="s">
        <v>219</v>
      </c>
      <c r="U105" s="89"/>
      <c r="V105" s="89"/>
      <c r="W105" s="89"/>
      <c r="X105" s="89"/>
      <c r="Y105" s="89"/>
      <c r="Z105" s="88"/>
      <c r="AA105" s="91"/>
    </row>
    <row r="106" customFormat="false" ht="15" hidden="false" customHeight="false" outlineLevel="0" collapsed="false">
      <c r="A106" s="68" t="e">
        <f aca="false">VLOOKUP(E106,'[1]Listas Desplegables'!$H$3:$J$7,2,FALSE())</f>
        <v>#N/A</v>
      </c>
      <c r="B106" s="68" t="e">
        <f aca="false">VLOOKUP(E106,'[1]Listas Desplegables'!$H$3:$J$7,3,FALSE())</f>
        <v>#N/A</v>
      </c>
      <c r="C106" s="85" t="n">
        <v>101</v>
      </c>
      <c r="D106" s="94" t="s">
        <v>702</v>
      </c>
      <c r="E106" s="94" t="s">
        <v>703</v>
      </c>
      <c r="F106" s="109" t="n">
        <v>110</v>
      </c>
      <c r="G106" s="88" t="n">
        <v>13.8</v>
      </c>
      <c r="H106" s="88" t="n">
        <v>50</v>
      </c>
      <c r="I106" s="89" t="s">
        <v>548</v>
      </c>
      <c r="J106" s="88" t="n">
        <v>11.88</v>
      </c>
      <c r="K106" s="88" t="n">
        <v>11.88</v>
      </c>
      <c r="L106" s="88" t="n">
        <v>0</v>
      </c>
      <c r="M106" s="88" t="n">
        <v>10</v>
      </c>
      <c r="N106" s="88" t="n">
        <v>-15</v>
      </c>
      <c r="O106" s="88" t="n">
        <v>1</v>
      </c>
      <c r="P106" s="88" t="n">
        <v>100</v>
      </c>
      <c r="Q106" s="88" t="n">
        <v>0</v>
      </c>
      <c r="R106" s="89" t="s">
        <v>395</v>
      </c>
      <c r="S106" s="96" t="n">
        <v>2029</v>
      </c>
      <c r="T106" s="89" t="s">
        <v>219</v>
      </c>
      <c r="U106" s="89"/>
      <c r="V106" s="89"/>
      <c r="W106" s="89"/>
      <c r="X106" s="89"/>
      <c r="Y106" s="89"/>
      <c r="Z106" s="88"/>
      <c r="AA106" s="91"/>
    </row>
    <row r="107" customFormat="false" ht="15" hidden="false" customHeight="false" outlineLevel="0" collapsed="false">
      <c r="A107" s="68" t="e">
        <f aca="false">VLOOKUP(E107,'[1]Listas Desplegables'!$H$3:$J$7,2,FALSE())</f>
        <v>#N/A</v>
      </c>
      <c r="B107" s="68" t="e">
        <f aca="false">VLOOKUP(E107,'[1]Listas Desplegables'!$H$3:$J$7,3,FALSE())</f>
        <v>#N/A</v>
      </c>
      <c r="C107" s="85" t="n">
        <v>102</v>
      </c>
      <c r="D107" s="94" t="s">
        <v>704</v>
      </c>
      <c r="E107" s="94" t="s">
        <v>703</v>
      </c>
      <c r="F107" s="109" t="n">
        <v>110</v>
      </c>
      <c r="G107" s="88" t="n">
        <v>13.8</v>
      </c>
      <c r="H107" s="88" t="n">
        <v>50</v>
      </c>
      <c r="I107" s="89" t="s">
        <v>548</v>
      </c>
      <c r="J107" s="88" t="n">
        <v>11.88</v>
      </c>
      <c r="K107" s="88" t="n">
        <v>11.88</v>
      </c>
      <c r="L107" s="88" t="n">
        <v>0</v>
      </c>
      <c r="M107" s="88" t="n">
        <v>10</v>
      </c>
      <c r="N107" s="88" t="n">
        <v>-15</v>
      </c>
      <c r="O107" s="88" t="n">
        <v>1</v>
      </c>
      <c r="P107" s="88" t="n">
        <v>100</v>
      </c>
      <c r="Q107" s="88" t="n">
        <v>0</v>
      </c>
      <c r="R107" s="89" t="s">
        <v>395</v>
      </c>
      <c r="S107" s="96" t="n">
        <v>2029</v>
      </c>
      <c r="T107" s="89" t="s">
        <v>219</v>
      </c>
      <c r="U107" s="89"/>
      <c r="V107" s="89"/>
      <c r="W107" s="89"/>
      <c r="X107" s="89"/>
      <c r="Y107" s="89"/>
      <c r="Z107" s="88"/>
      <c r="AA107" s="91"/>
    </row>
    <row r="108" customFormat="false" ht="15" hidden="false" customHeight="false" outlineLevel="0" collapsed="false">
      <c r="A108" s="68" t="e">
        <f aca="false">VLOOKUP(E108,'[1]Listas Desplegables'!$H$3:$J$7,2,FALSE())</f>
        <v>#N/A</v>
      </c>
      <c r="B108" s="68" t="e">
        <f aca="false">VLOOKUP(E108,'[1]Listas Desplegables'!$H$3:$J$7,3,FALSE())</f>
        <v>#N/A</v>
      </c>
      <c r="C108" s="85" t="n">
        <v>103</v>
      </c>
      <c r="D108" s="94" t="s">
        <v>705</v>
      </c>
      <c r="E108" s="94" t="s">
        <v>699</v>
      </c>
      <c r="F108" s="109" t="n">
        <v>110</v>
      </c>
      <c r="G108" s="88" t="n">
        <v>34.5</v>
      </c>
      <c r="H108" s="88" t="n">
        <v>30</v>
      </c>
      <c r="I108" s="89" t="s">
        <v>548</v>
      </c>
      <c r="J108" s="88" t="n">
        <v>11.2</v>
      </c>
      <c r="K108" s="88" t="n">
        <v>11.2</v>
      </c>
      <c r="L108" s="88" t="n">
        <v>0</v>
      </c>
      <c r="M108" s="88" t="n">
        <v>5</v>
      </c>
      <c r="N108" s="88" t="n">
        <v>-15</v>
      </c>
      <c r="O108" s="88" t="n">
        <v>1</v>
      </c>
      <c r="P108" s="88" t="n">
        <v>100</v>
      </c>
      <c r="Q108" s="88" t="n">
        <v>0</v>
      </c>
      <c r="R108" s="89" t="s">
        <v>395</v>
      </c>
      <c r="S108" s="96" t="n">
        <v>2029</v>
      </c>
      <c r="T108" s="89" t="s">
        <v>219</v>
      </c>
      <c r="U108" s="89"/>
      <c r="V108" s="89"/>
      <c r="W108" s="89"/>
      <c r="X108" s="89"/>
      <c r="Y108" s="89"/>
      <c r="Z108" s="88"/>
      <c r="AA108" s="91"/>
    </row>
    <row r="109" customFormat="false" ht="15" hidden="false" customHeight="false" outlineLevel="0" collapsed="false">
      <c r="A109" s="68" t="e">
        <f aca="false">VLOOKUP(E109,'[1]Listas Desplegables'!$H$3:$J$7,2,FALSE())</f>
        <v>#N/A</v>
      </c>
      <c r="B109" s="68" t="e">
        <f aca="false">VLOOKUP(E109,'[1]Listas Desplegables'!$H$3:$J$7,3,FALSE())</f>
        <v>#N/A</v>
      </c>
      <c r="C109" s="85" t="n">
        <v>104</v>
      </c>
      <c r="D109" s="94" t="s">
        <v>706</v>
      </c>
      <c r="E109" s="94" t="s">
        <v>701</v>
      </c>
      <c r="F109" s="109" t="n">
        <v>110</v>
      </c>
      <c r="G109" s="88" t="n">
        <v>34.5</v>
      </c>
      <c r="H109" s="88" t="n">
        <v>30</v>
      </c>
      <c r="I109" s="89" t="s">
        <v>548</v>
      </c>
      <c r="J109" s="88" t="n">
        <v>11.2</v>
      </c>
      <c r="K109" s="88" t="n">
        <v>11.2</v>
      </c>
      <c r="L109" s="88" t="n">
        <v>0</v>
      </c>
      <c r="M109" s="88" t="n">
        <v>5</v>
      </c>
      <c r="N109" s="88" t="n">
        <v>-15</v>
      </c>
      <c r="O109" s="88" t="n">
        <v>1</v>
      </c>
      <c r="P109" s="88" t="n">
        <v>100</v>
      </c>
      <c r="Q109" s="88" t="n">
        <v>0</v>
      </c>
      <c r="R109" s="89" t="s">
        <v>395</v>
      </c>
      <c r="S109" s="96" t="n">
        <v>2029</v>
      </c>
      <c r="T109" s="89" t="s">
        <v>219</v>
      </c>
      <c r="U109" s="89"/>
      <c r="V109" s="89"/>
      <c r="W109" s="89"/>
      <c r="X109" s="89"/>
      <c r="Y109" s="89"/>
      <c r="Z109" s="88"/>
      <c r="AA109" s="91"/>
    </row>
    <row r="110" customFormat="false" ht="15" hidden="false" customHeight="false" outlineLevel="0" collapsed="false">
      <c r="A110" s="68" t="e">
        <f aca="false">VLOOKUP(E110,'[1]Listas Desplegables'!$H$3:$J$7,2,FALSE())</f>
        <v>#N/A</v>
      </c>
      <c r="B110" s="68" t="e">
        <f aca="false">VLOOKUP(E110,'[1]Listas Desplegables'!$H$3:$J$7,3,FALSE())</f>
        <v>#N/A</v>
      </c>
      <c r="C110" s="85" t="n">
        <v>105</v>
      </c>
      <c r="D110" s="94" t="s">
        <v>707</v>
      </c>
      <c r="E110" s="94" t="s">
        <v>434</v>
      </c>
      <c r="F110" s="109" t="n">
        <v>110</v>
      </c>
      <c r="G110" s="88" t="n">
        <v>34.5</v>
      </c>
      <c r="H110" s="88" t="n">
        <v>30</v>
      </c>
      <c r="I110" s="89" t="s">
        <v>578</v>
      </c>
      <c r="J110" s="88" t="n">
        <v>12.2</v>
      </c>
      <c r="K110" s="88" t="n">
        <v>12.2</v>
      </c>
      <c r="L110" s="88" t="n">
        <v>0</v>
      </c>
      <c r="M110" s="88" t="n">
        <v>5</v>
      </c>
      <c r="N110" s="88" t="n">
        <v>-15</v>
      </c>
      <c r="O110" s="88" t="n">
        <v>1</v>
      </c>
      <c r="P110" s="88" t="n">
        <v>100</v>
      </c>
      <c r="Q110" s="88" t="n">
        <v>0</v>
      </c>
      <c r="R110" s="89" t="s">
        <v>395</v>
      </c>
      <c r="S110" s="96" t="n">
        <v>2029</v>
      </c>
      <c r="T110" s="89" t="s">
        <v>219</v>
      </c>
      <c r="U110" s="89"/>
      <c r="V110" s="89"/>
      <c r="W110" s="89"/>
      <c r="X110" s="89"/>
      <c r="Y110" s="89"/>
      <c r="Z110" s="88"/>
      <c r="AA110" s="91"/>
    </row>
    <row r="111" customFormat="false" ht="15" hidden="false" customHeight="false" outlineLevel="0" collapsed="false">
      <c r="A111" s="68" t="e">
        <f aca="false">VLOOKUP(E111,'[1]Listas Desplegables'!$H$3:$J$7,2,FALSE())</f>
        <v>#N/A</v>
      </c>
      <c r="B111" s="68" t="e">
        <f aca="false">VLOOKUP(E111,'[1]Listas Desplegables'!$H$3:$J$7,3,FALSE())</f>
        <v>#N/A</v>
      </c>
      <c r="C111" s="85" t="n">
        <v>106</v>
      </c>
      <c r="D111" s="94" t="s">
        <v>708</v>
      </c>
      <c r="E111" s="94" t="s">
        <v>434</v>
      </c>
      <c r="F111" s="109" t="n">
        <v>110</v>
      </c>
      <c r="G111" s="88" t="n">
        <v>34.5</v>
      </c>
      <c r="H111" s="88" t="n">
        <v>30</v>
      </c>
      <c r="I111" s="89" t="s">
        <v>578</v>
      </c>
      <c r="J111" s="88" t="n">
        <v>12.2</v>
      </c>
      <c r="K111" s="88" t="n">
        <v>12.2</v>
      </c>
      <c r="L111" s="88" t="n">
        <v>0</v>
      </c>
      <c r="M111" s="88" t="n">
        <v>5</v>
      </c>
      <c r="N111" s="88" t="n">
        <v>-15</v>
      </c>
      <c r="O111" s="88" t="n">
        <v>1</v>
      </c>
      <c r="P111" s="88" t="n">
        <v>100</v>
      </c>
      <c r="Q111" s="88" t="n">
        <v>0</v>
      </c>
      <c r="R111" s="89" t="s">
        <v>395</v>
      </c>
      <c r="S111" s="96" t="n">
        <v>2029</v>
      </c>
      <c r="T111" s="89" t="s">
        <v>219</v>
      </c>
      <c r="U111" s="89"/>
      <c r="V111" s="89"/>
      <c r="W111" s="89"/>
      <c r="X111" s="89"/>
      <c r="Y111" s="89"/>
      <c r="Z111" s="88"/>
      <c r="AA111" s="91"/>
    </row>
    <row r="112" customFormat="false" ht="15" hidden="false" customHeight="false" outlineLevel="0" collapsed="false">
      <c r="A112" s="68" t="e">
        <f aca="false">VLOOKUP(E112,'[1]Listas Desplegables'!$H$3:$J$7,2,FALSE())</f>
        <v>#N/A</v>
      </c>
      <c r="B112" s="68" t="e">
        <f aca="false">VLOOKUP(E112,'[1]Listas Desplegables'!$H$3:$J$7,3,FALSE())</f>
        <v>#N/A</v>
      </c>
      <c r="C112" s="85" t="n">
        <v>107</v>
      </c>
      <c r="D112" s="94" t="s">
        <v>709</v>
      </c>
      <c r="E112" s="94" t="s">
        <v>445</v>
      </c>
      <c r="F112" s="109" t="n">
        <v>110</v>
      </c>
      <c r="G112" s="88" t="n">
        <v>34.5</v>
      </c>
      <c r="H112" s="88" t="n">
        <v>30</v>
      </c>
      <c r="I112" s="89" t="s">
        <v>578</v>
      </c>
      <c r="J112" s="88" t="n">
        <v>12.5</v>
      </c>
      <c r="K112" s="88" t="n">
        <v>12.5</v>
      </c>
      <c r="L112" s="88" t="n">
        <v>0</v>
      </c>
      <c r="M112" s="88" t="n">
        <v>15</v>
      </c>
      <c r="N112" s="88" t="n">
        <v>-10</v>
      </c>
      <c r="O112" s="88" t="n">
        <v>1</v>
      </c>
      <c r="P112" s="88" t="n">
        <v>100</v>
      </c>
      <c r="Q112" s="88" t="n">
        <v>0</v>
      </c>
      <c r="R112" s="89" t="s">
        <v>395</v>
      </c>
      <c r="S112" s="96" t="n">
        <v>2029</v>
      </c>
      <c r="T112" s="89" t="s">
        <v>219</v>
      </c>
      <c r="U112" s="89"/>
      <c r="V112" s="89"/>
      <c r="W112" s="89"/>
      <c r="X112" s="89"/>
      <c r="Y112" s="89"/>
      <c r="Z112" s="88"/>
      <c r="AA112" s="91"/>
    </row>
    <row r="113" customFormat="false" ht="15" hidden="false" customHeight="false" outlineLevel="0" collapsed="false">
      <c r="A113" s="68" t="e">
        <f aca="false">VLOOKUP(E113,'[1]Listas Desplegables'!$H$3:$J$7,2,FALSE())</f>
        <v>#N/A</v>
      </c>
      <c r="B113" s="68" t="e">
        <f aca="false">VLOOKUP(E113,'[1]Listas Desplegables'!$H$3:$J$7,3,FALSE())</f>
        <v>#N/A</v>
      </c>
      <c r="C113" s="85" t="n">
        <v>108</v>
      </c>
      <c r="D113" s="94" t="s">
        <v>710</v>
      </c>
      <c r="E113" s="94" t="s">
        <v>445</v>
      </c>
      <c r="F113" s="109" t="n">
        <v>110</v>
      </c>
      <c r="G113" s="88" t="n">
        <v>34.5</v>
      </c>
      <c r="H113" s="88" t="n">
        <v>30</v>
      </c>
      <c r="I113" s="89" t="s">
        <v>578</v>
      </c>
      <c r="J113" s="88" t="n">
        <v>12.5</v>
      </c>
      <c r="K113" s="88" t="n">
        <v>12.5</v>
      </c>
      <c r="L113" s="88" t="n">
        <v>0</v>
      </c>
      <c r="M113" s="88" t="n">
        <v>15</v>
      </c>
      <c r="N113" s="88" t="n">
        <v>-10</v>
      </c>
      <c r="O113" s="88" t="n">
        <v>1</v>
      </c>
      <c r="P113" s="88" t="n">
        <v>100</v>
      </c>
      <c r="Q113" s="88" t="n">
        <v>0</v>
      </c>
      <c r="R113" s="89" t="s">
        <v>395</v>
      </c>
      <c r="S113" s="96" t="n">
        <v>2029</v>
      </c>
      <c r="T113" s="89" t="s">
        <v>219</v>
      </c>
      <c r="U113" s="89"/>
      <c r="V113" s="89"/>
      <c r="W113" s="89"/>
      <c r="X113" s="89"/>
      <c r="Y113" s="89"/>
      <c r="Z113" s="88"/>
      <c r="AA113" s="91"/>
    </row>
    <row r="114" customFormat="false" ht="15" hidden="false" customHeight="false" outlineLevel="0" collapsed="false">
      <c r="A114" s="68" t="e">
        <f aca="false">VLOOKUP(E114,'[1]Listas Desplegables'!$H$3:$J$7,2,FALSE())</f>
        <v>#N/A</v>
      </c>
      <c r="B114" s="68" t="e">
        <f aca="false">VLOOKUP(E114,'[1]Listas Desplegables'!$H$3:$J$7,3,FALSE())</f>
        <v>#N/A</v>
      </c>
      <c r="C114" s="85" t="n">
        <v>109</v>
      </c>
      <c r="D114" s="94" t="s">
        <v>711</v>
      </c>
      <c r="E114" s="94" t="s">
        <v>712</v>
      </c>
      <c r="F114" s="109" t="n">
        <v>34.5</v>
      </c>
      <c r="G114" s="88" t="n">
        <v>34.5</v>
      </c>
      <c r="H114" s="88" t="n">
        <v>20</v>
      </c>
      <c r="I114" s="89"/>
      <c r="J114" s="88"/>
      <c r="K114" s="88"/>
      <c r="L114" s="88" t="n">
        <v>0</v>
      </c>
      <c r="M114" s="88" t="n">
        <v>10</v>
      </c>
      <c r="N114" s="88" t="n">
        <v>-10</v>
      </c>
      <c r="O114" s="88" t="n">
        <v>1</v>
      </c>
      <c r="P114" s="88"/>
      <c r="Q114" s="88"/>
      <c r="R114" s="89"/>
      <c r="S114" s="95"/>
      <c r="T114" s="89"/>
      <c r="U114" s="89"/>
      <c r="V114" s="89"/>
      <c r="W114" s="89"/>
      <c r="X114" s="89"/>
      <c r="Y114" s="89"/>
      <c r="Z114" s="88"/>
      <c r="AA114" s="91"/>
    </row>
    <row r="115" customFormat="false" ht="15" hidden="false" customHeight="false" outlineLevel="0" collapsed="false">
      <c r="A115" s="68" t="e">
        <f aca="false">VLOOKUP(E115,'[1]Listas Desplegables'!$H$3:$J$7,2,FALSE())</f>
        <v>#N/A</v>
      </c>
      <c r="B115" s="68" t="e">
        <f aca="false">VLOOKUP(E115,'[1]Listas Desplegables'!$H$3:$J$7,3,FALSE())</f>
        <v>#N/A</v>
      </c>
      <c r="C115" s="85" t="n">
        <v>110</v>
      </c>
      <c r="D115" s="94" t="s">
        <v>711</v>
      </c>
      <c r="E115" s="94" t="s">
        <v>713</v>
      </c>
      <c r="F115" s="109" t="n">
        <v>34.5</v>
      </c>
      <c r="G115" s="88" t="n">
        <v>34.5</v>
      </c>
      <c r="H115" s="88" t="n">
        <v>20</v>
      </c>
      <c r="I115" s="89"/>
      <c r="J115" s="88"/>
      <c r="K115" s="88"/>
      <c r="L115" s="88" t="n">
        <v>0</v>
      </c>
      <c r="M115" s="88" t="n">
        <v>10</v>
      </c>
      <c r="N115" s="88" t="n">
        <v>-10</v>
      </c>
      <c r="O115" s="88" t="n">
        <v>1</v>
      </c>
      <c r="P115" s="88"/>
      <c r="Q115" s="88"/>
      <c r="R115" s="89"/>
      <c r="S115" s="95"/>
      <c r="T115" s="89"/>
      <c r="U115" s="89"/>
      <c r="V115" s="89"/>
      <c r="W115" s="89"/>
      <c r="X115" s="89"/>
      <c r="Y115" s="89"/>
      <c r="Z115" s="88"/>
      <c r="AA115" s="91"/>
    </row>
    <row r="116" customFormat="false" ht="15" hidden="false" customHeight="false" outlineLevel="0" collapsed="false">
      <c r="A116" s="68" t="e">
        <f aca="false">VLOOKUP(E116,'[1]Listas Desplegables'!$H$3:$J$7,2,FALSE())</f>
        <v>#N/A</v>
      </c>
      <c r="B116" s="68" t="e">
        <f aca="false">VLOOKUP(E116,'[1]Listas Desplegables'!$H$3:$J$7,3,FALSE())</f>
        <v>#N/A</v>
      </c>
      <c r="C116" s="85" t="n">
        <v>111</v>
      </c>
      <c r="D116" s="94" t="s">
        <v>711</v>
      </c>
      <c r="E116" s="94" t="s">
        <v>714</v>
      </c>
      <c r="F116" s="109" t="n">
        <v>34.5</v>
      </c>
      <c r="G116" s="88" t="n">
        <v>34.5</v>
      </c>
      <c r="H116" s="88" t="n">
        <v>20</v>
      </c>
      <c r="I116" s="89"/>
      <c r="J116" s="88"/>
      <c r="K116" s="88"/>
      <c r="L116" s="88" t="n">
        <v>0</v>
      </c>
      <c r="M116" s="88" t="n">
        <v>10</v>
      </c>
      <c r="N116" s="88" t="n">
        <v>-10</v>
      </c>
      <c r="O116" s="88" t="n">
        <v>1</v>
      </c>
      <c r="P116" s="88"/>
      <c r="Q116" s="88"/>
      <c r="R116" s="89"/>
      <c r="S116" s="95"/>
      <c r="T116" s="89"/>
      <c r="U116" s="89"/>
      <c r="V116" s="89"/>
      <c r="W116" s="89"/>
      <c r="X116" s="89"/>
      <c r="Y116" s="89"/>
      <c r="Z116" s="88"/>
      <c r="AA116" s="91"/>
    </row>
    <row r="117" customFormat="false" ht="15" hidden="false" customHeight="false" outlineLevel="0" collapsed="false">
      <c r="A117" s="68" t="e">
        <f aca="false">VLOOKUP(E117,'[1]Listas Desplegables'!$H$3:$J$7,2,FALSE())</f>
        <v>#N/A</v>
      </c>
      <c r="B117" s="68" t="e">
        <f aca="false">VLOOKUP(E117,'[1]Listas Desplegables'!$H$3:$J$7,3,FALSE())</f>
        <v>#N/A</v>
      </c>
      <c r="C117" s="85" t="n">
        <v>112</v>
      </c>
      <c r="D117" s="94" t="s">
        <v>711</v>
      </c>
      <c r="E117" s="94" t="s">
        <v>715</v>
      </c>
      <c r="F117" s="109" t="n">
        <v>34.5</v>
      </c>
      <c r="G117" s="88" t="n">
        <v>34.5</v>
      </c>
      <c r="H117" s="88" t="n">
        <v>20</v>
      </c>
      <c r="I117" s="89"/>
      <c r="J117" s="88"/>
      <c r="K117" s="88"/>
      <c r="L117" s="88" t="n">
        <v>0</v>
      </c>
      <c r="M117" s="88" t="n">
        <v>10</v>
      </c>
      <c r="N117" s="88" t="n">
        <v>-10</v>
      </c>
      <c r="O117" s="88" t="n">
        <v>1</v>
      </c>
      <c r="P117" s="88"/>
      <c r="Q117" s="88"/>
      <c r="R117" s="89"/>
      <c r="S117" s="95"/>
      <c r="T117" s="89"/>
      <c r="U117" s="89"/>
      <c r="V117" s="89"/>
      <c r="W117" s="89"/>
      <c r="X117" s="89"/>
      <c r="Y117" s="89"/>
      <c r="Z117" s="88"/>
      <c r="AA117" s="91"/>
    </row>
    <row r="118" customFormat="false" ht="15" hidden="false" customHeight="false" outlineLevel="0" collapsed="false">
      <c r="A118" s="68" t="e">
        <f aca="false">VLOOKUP(E118,'[1]Listas Desplegables'!$H$3:$J$7,2,FALSE())</f>
        <v>#N/A</v>
      </c>
      <c r="B118" s="68" t="e">
        <f aca="false">VLOOKUP(E118,'[1]Listas Desplegables'!$H$3:$J$7,3,FALSE())</f>
        <v>#N/A</v>
      </c>
      <c r="C118" s="85" t="n">
        <v>113</v>
      </c>
      <c r="D118" s="94" t="s">
        <v>711</v>
      </c>
      <c r="E118" s="94" t="s">
        <v>716</v>
      </c>
      <c r="F118" s="109" t="n">
        <v>34.5</v>
      </c>
      <c r="G118" s="88" t="n">
        <v>34.5</v>
      </c>
      <c r="H118" s="88" t="n">
        <v>20</v>
      </c>
      <c r="I118" s="89"/>
      <c r="J118" s="88"/>
      <c r="K118" s="88"/>
      <c r="L118" s="88" t="n">
        <v>0</v>
      </c>
      <c r="M118" s="88" t="n">
        <v>10</v>
      </c>
      <c r="N118" s="88" t="n">
        <v>-10</v>
      </c>
      <c r="O118" s="88" t="n">
        <v>1</v>
      </c>
      <c r="P118" s="88"/>
      <c r="Q118" s="88"/>
      <c r="R118" s="89"/>
      <c r="S118" s="95"/>
      <c r="T118" s="89"/>
      <c r="U118" s="89"/>
      <c r="V118" s="89"/>
      <c r="W118" s="89"/>
      <c r="X118" s="89"/>
      <c r="Y118" s="89"/>
      <c r="Z118" s="88"/>
      <c r="AA118" s="91"/>
    </row>
    <row r="119" customFormat="false" ht="15" hidden="false" customHeight="false" outlineLevel="0" collapsed="false">
      <c r="A119" s="68" t="e">
        <f aca="false">VLOOKUP(E119,'[1]Listas Desplegables'!$H$3:$J$7,2,FALSE())</f>
        <v>#N/A</v>
      </c>
      <c r="B119" s="68" t="e">
        <f aca="false">VLOOKUP(E119,'[1]Listas Desplegables'!$H$3:$J$7,3,FALSE())</f>
        <v>#N/A</v>
      </c>
      <c r="C119" s="85" t="n">
        <v>114</v>
      </c>
      <c r="D119" s="94" t="s">
        <v>711</v>
      </c>
      <c r="E119" s="94" t="s">
        <v>717</v>
      </c>
      <c r="F119" s="109" t="n">
        <v>34.5</v>
      </c>
      <c r="G119" s="88" t="n">
        <v>34.5</v>
      </c>
      <c r="H119" s="88" t="n">
        <v>20</v>
      </c>
      <c r="I119" s="89"/>
      <c r="J119" s="88"/>
      <c r="K119" s="88"/>
      <c r="L119" s="88" t="n">
        <v>0</v>
      </c>
      <c r="M119" s="88" t="n">
        <v>10</v>
      </c>
      <c r="N119" s="88" t="n">
        <v>-10</v>
      </c>
      <c r="O119" s="88" t="n">
        <v>1</v>
      </c>
      <c r="P119" s="88"/>
      <c r="Q119" s="88"/>
      <c r="R119" s="89"/>
      <c r="S119" s="95"/>
      <c r="T119" s="89"/>
      <c r="U119" s="89"/>
      <c r="V119" s="89"/>
      <c r="W119" s="89"/>
      <c r="X119" s="89"/>
      <c r="Y119" s="89"/>
      <c r="Z119" s="88"/>
      <c r="AA119" s="91"/>
    </row>
    <row r="120" customFormat="false" ht="15" hidden="false" customHeight="false" outlineLevel="0" collapsed="false">
      <c r="A120" s="68" t="e">
        <f aca="false">VLOOKUP(E120,'[1]Listas Desplegables'!$H$3:$J$7,2,FALSE())</f>
        <v>#N/A</v>
      </c>
      <c r="B120" s="68" t="e">
        <f aca="false">VLOOKUP(E120,'[1]Listas Desplegables'!$H$3:$J$7,3,FALSE())</f>
        <v>#N/A</v>
      </c>
      <c r="C120" s="85" t="n">
        <v>115</v>
      </c>
      <c r="D120" s="94"/>
      <c r="E120" s="94"/>
      <c r="F120" s="109"/>
      <c r="G120" s="88"/>
      <c r="H120" s="88"/>
      <c r="I120" s="89"/>
      <c r="J120" s="88"/>
      <c r="K120" s="88"/>
      <c r="L120" s="88"/>
      <c r="M120" s="88"/>
      <c r="N120" s="88"/>
      <c r="O120" s="88"/>
      <c r="P120" s="88"/>
      <c r="Q120" s="88"/>
      <c r="R120" s="89"/>
      <c r="S120" s="95"/>
      <c r="T120" s="89"/>
      <c r="U120" s="89"/>
      <c r="V120" s="89"/>
      <c r="W120" s="89"/>
      <c r="X120" s="89"/>
      <c r="Y120" s="89"/>
      <c r="Z120" s="88"/>
      <c r="AA120" s="91"/>
    </row>
    <row r="121" customFormat="false" ht="15" hidden="false" customHeight="false" outlineLevel="0" collapsed="false">
      <c r="A121" s="68" t="e">
        <f aca="false">VLOOKUP(E121,'[1]Listas Desplegables'!$H$3:$J$7,2,FALSE())</f>
        <v>#N/A</v>
      </c>
      <c r="B121" s="68" t="e">
        <f aca="false">VLOOKUP(E121,'[1]Listas Desplegables'!$H$3:$J$7,3,FALSE())</f>
        <v>#N/A</v>
      </c>
      <c r="C121" s="85" t="n">
        <v>116</v>
      </c>
      <c r="D121" s="94"/>
      <c r="E121" s="94"/>
      <c r="F121" s="109"/>
      <c r="G121" s="88"/>
      <c r="H121" s="88"/>
      <c r="I121" s="89"/>
      <c r="J121" s="88"/>
      <c r="K121" s="88"/>
      <c r="L121" s="88"/>
      <c r="M121" s="88"/>
      <c r="N121" s="88"/>
      <c r="O121" s="88"/>
      <c r="P121" s="88"/>
      <c r="Q121" s="88"/>
      <c r="R121" s="89"/>
      <c r="S121" s="95"/>
      <c r="T121" s="89"/>
      <c r="U121" s="89"/>
      <c r="V121" s="89"/>
      <c r="W121" s="89"/>
      <c r="X121" s="89"/>
      <c r="Y121" s="89"/>
      <c r="Z121" s="88"/>
      <c r="AA121" s="91"/>
    </row>
    <row r="122" customFormat="false" ht="15" hidden="false" customHeight="false" outlineLevel="0" collapsed="false">
      <c r="A122" s="68" t="e">
        <f aca="false">VLOOKUP(E122,'[1]Listas Desplegables'!$H$3:$J$7,2,FALSE())</f>
        <v>#N/A</v>
      </c>
      <c r="B122" s="68" t="e">
        <f aca="false">VLOOKUP(E122,'[1]Listas Desplegables'!$H$3:$J$7,3,FALSE())</f>
        <v>#N/A</v>
      </c>
      <c r="C122" s="85" t="n">
        <v>117</v>
      </c>
      <c r="D122" s="94"/>
      <c r="E122" s="94"/>
      <c r="F122" s="109"/>
      <c r="G122" s="88"/>
      <c r="H122" s="88"/>
      <c r="I122" s="89"/>
      <c r="J122" s="88"/>
      <c r="K122" s="88"/>
      <c r="L122" s="88"/>
      <c r="M122" s="88"/>
      <c r="N122" s="88"/>
      <c r="O122" s="88"/>
      <c r="P122" s="88"/>
      <c r="Q122" s="88"/>
      <c r="R122" s="89"/>
      <c r="S122" s="95"/>
      <c r="T122" s="89"/>
      <c r="U122" s="89"/>
      <c r="V122" s="89"/>
      <c r="W122" s="89"/>
      <c r="X122" s="89"/>
      <c r="Y122" s="89"/>
      <c r="Z122" s="88"/>
      <c r="AA122" s="91"/>
    </row>
    <row r="123" customFormat="false" ht="15" hidden="false" customHeight="false" outlineLevel="0" collapsed="false">
      <c r="A123" s="68" t="e">
        <f aca="false">VLOOKUP(E123,'[1]Listas Desplegables'!$H$3:$J$7,2,FALSE())</f>
        <v>#N/A</v>
      </c>
      <c r="B123" s="68" t="e">
        <f aca="false">VLOOKUP(E123,'[1]Listas Desplegables'!$H$3:$J$7,3,FALSE())</f>
        <v>#N/A</v>
      </c>
      <c r="C123" s="85" t="n">
        <v>118</v>
      </c>
      <c r="D123" s="94"/>
      <c r="E123" s="94"/>
      <c r="F123" s="109"/>
      <c r="G123" s="88"/>
      <c r="H123" s="88"/>
      <c r="I123" s="89"/>
      <c r="J123" s="88"/>
      <c r="K123" s="88"/>
      <c r="L123" s="88"/>
      <c r="M123" s="88"/>
      <c r="N123" s="88"/>
      <c r="O123" s="88"/>
      <c r="P123" s="88"/>
      <c r="Q123" s="88"/>
      <c r="R123" s="89"/>
      <c r="S123" s="95"/>
      <c r="T123" s="89"/>
      <c r="U123" s="89"/>
      <c r="V123" s="89"/>
      <c r="W123" s="89"/>
      <c r="X123" s="89"/>
      <c r="Y123" s="89"/>
      <c r="Z123" s="88"/>
      <c r="AA123" s="91"/>
    </row>
    <row r="124" customFormat="false" ht="15" hidden="false" customHeight="false" outlineLevel="0" collapsed="false">
      <c r="A124" s="68" t="e">
        <f aca="false">VLOOKUP(E124,'[1]Listas Desplegables'!$H$3:$J$7,2,FALSE())</f>
        <v>#N/A</v>
      </c>
      <c r="B124" s="68" t="e">
        <f aca="false">VLOOKUP(E124,'[1]Listas Desplegables'!$H$3:$J$7,3,FALSE())</f>
        <v>#N/A</v>
      </c>
      <c r="C124" s="85" t="n">
        <v>119</v>
      </c>
      <c r="D124" s="94"/>
      <c r="E124" s="94"/>
      <c r="F124" s="109"/>
      <c r="G124" s="88"/>
      <c r="H124" s="88"/>
      <c r="I124" s="89"/>
      <c r="J124" s="88"/>
      <c r="K124" s="88"/>
      <c r="L124" s="88"/>
      <c r="M124" s="88"/>
      <c r="N124" s="88"/>
      <c r="O124" s="88"/>
      <c r="P124" s="88"/>
      <c r="Q124" s="88"/>
      <c r="R124" s="89"/>
      <c r="S124" s="95"/>
      <c r="T124" s="89"/>
      <c r="U124" s="89"/>
      <c r="V124" s="89"/>
      <c r="W124" s="89"/>
      <c r="X124" s="89"/>
      <c r="Y124" s="89"/>
      <c r="Z124" s="88"/>
      <c r="AA124" s="91"/>
    </row>
    <row r="125" customFormat="false" ht="15" hidden="false" customHeight="false" outlineLevel="0" collapsed="false">
      <c r="A125" s="68" t="e">
        <f aca="false">VLOOKUP(E125,'[1]Listas Desplegables'!$H$3:$J$7,2,FALSE())</f>
        <v>#N/A</v>
      </c>
      <c r="B125" s="68" t="e">
        <f aca="false">VLOOKUP(E125,'[1]Listas Desplegables'!$H$3:$J$7,3,FALSE())</f>
        <v>#N/A</v>
      </c>
      <c r="C125" s="85" t="n">
        <v>120</v>
      </c>
      <c r="D125" s="94"/>
      <c r="E125" s="94"/>
      <c r="F125" s="109"/>
      <c r="G125" s="88"/>
      <c r="H125" s="88"/>
      <c r="I125" s="89"/>
      <c r="J125" s="88"/>
      <c r="K125" s="88"/>
      <c r="L125" s="88"/>
      <c r="M125" s="88"/>
      <c r="N125" s="88"/>
      <c r="O125" s="88"/>
      <c r="P125" s="88"/>
      <c r="Q125" s="88"/>
      <c r="R125" s="89"/>
      <c r="S125" s="95"/>
      <c r="T125" s="89"/>
      <c r="U125" s="89"/>
      <c r="V125" s="89"/>
      <c r="W125" s="89"/>
      <c r="X125" s="89"/>
      <c r="Y125" s="89"/>
      <c r="Z125" s="88"/>
      <c r="AA125" s="91"/>
    </row>
    <row r="126" customFormat="false" ht="15" hidden="false" customHeight="false" outlineLevel="0" collapsed="false">
      <c r="A126" s="68" t="e">
        <f aca="false">VLOOKUP(E126,'[1]Listas Desplegables'!$H$3:$J$7,2,FALSE())</f>
        <v>#N/A</v>
      </c>
      <c r="B126" s="68" t="e">
        <f aca="false">VLOOKUP(E126,'[1]Listas Desplegables'!$H$3:$J$7,3,FALSE())</f>
        <v>#N/A</v>
      </c>
      <c r="C126" s="85" t="n">
        <v>121</v>
      </c>
      <c r="D126" s="94"/>
      <c r="E126" s="94"/>
      <c r="F126" s="109"/>
      <c r="G126" s="88"/>
      <c r="H126" s="88"/>
      <c r="I126" s="89"/>
      <c r="J126" s="88"/>
      <c r="K126" s="88"/>
      <c r="L126" s="88"/>
      <c r="M126" s="88"/>
      <c r="N126" s="88"/>
      <c r="O126" s="88"/>
      <c r="P126" s="88"/>
      <c r="Q126" s="88"/>
      <c r="R126" s="89"/>
      <c r="S126" s="95"/>
      <c r="T126" s="89"/>
      <c r="U126" s="89"/>
      <c r="V126" s="89"/>
      <c r="W126" s="89"/>
      <c r="X126" s="89"/>
      <c r="Y126" s="89"/>
      <c r="Z126" s="88"/>
      <c r="AA126" s="91"/>
    </row>
    <row r="127" customFormat="false" ht="15" hidden="false" customHeight="false" outlineLevel="0" collapsed="false">
      <c r="A127" s="68" t="e">
        <f aca="false">VLOOKUP(E127,'[1]Listas Desplegables'!$H$3:$J$7,2,FALSE())</f>
        <v>#N/A</v>
      </c>
      <c r="B127" s="68" t="e">
        <f aca="false">VLOOKUP(E127,'[1]Listas Desplegables'!$H$3:$J$7,3,FALSE())</f>
        <v>#N/A</v>
      </c>
      <c r="C127" s="85" t="n">
        <v>122</v>
      </c>
      <c r="D127" s="94"/>
      <c r="E127" s="94"/>
      <c r="F127" s="109"/>
      <c r="G127" s="88"/>
      <c r="H127" s="88"/>
      <c r="I127" s="89"/>
      <c r="J127" s="88"/>
      <c r="K127" s="88"/>
      <c r="L127" s="88"/>
      <c r="M127" s="88"/>
      <c r="N127" s="88"/>
      <c r="O127" s="88"/>
      <c r="P127" s="88"/>
      <c r="Q127" s="88"/>
      <c r="R127" s="89"/>
      <c r="S127" s="95"/>
      <c r="T127" s="89"/>
      <c r="U127" s="89"/>
      <c r="V127" s="89"/>
      <c r="W127" s="89"/>
      <c r="X127" s="89"/>
      <c r="Y127" s="89"/>
      <c r="Z127" s="88"/>
      <c r="AA127" s="91"/>
    </row>
    <row r="128" customFormat="false" ht="15" hidden="false" customHeight="false" outlineLevel="0" collapsed="false">
      <c r="A128" s="68" t="e">
        <f aca="false">VLOOKUP(E128,'[1]Listas Desplegables'!$H$3:$J$7,2,FALSE())</f>
        <v>#N/A</v>
      </c>
      <c r="B128" s="68" t="e">
        <f aca="false">VLOOKUP(E128,'[1]Listas Desplegables'!$H$3:$J$7,3,FALSE())</f>
        <v>#N/A</v>
      </c>
      <c r="C128" s="85" t="n">
        <v>123</v>
      </c>
      <c r="D128" s="94"/>
      <c r="E128" s="94"/>
      <c r="F128" s="109"/>
      <c r="G128" s="88"/>
      <c r="H128" s="88"/>
      <c r="I128" s="89"/>
      <c r="J128" s="88"/>
      <c r="K128" s="88"/>
      <c r="L128" s="88"/>
      <c r="M128" s="88"/>
      <c r="N128" s="88"/>
      <c r="O128" s="88"/>
      <c r="P128" s="88"/>
      <c r="Q128" s="88"/>
      <c r="R128" s="89"/>
      <c r="S128" s="95"/>
      <c r="T128" s="89"/>
      <c r="U128" s="89"/>
      <c r="V128" s="89"/>
      <c r="W128" s="89"/>
      <c r="X128" s="89"/>
      <c r="Y128" s="89"/>
      <c r="Z128" s="88"/>
      <c r="AA128" s="91"/>
    </row>
    <row r="129" customFormat="false" ht="15" hidden="false" customHeight="false" outlineLevel="0" collapsed="false">
      <c r="A129" s="68" t="e">
        <f aca="false">VLOOKUP(E129,'[1]Listas Desplegables'!$H$3:$J$7,2,FALSE())</f>
        <v>#N/A</v>
      </c>
      <c r="B129" s="68" t="e">
        <f aca="false">VLOOKUP(E129,'[1]Listas Desplegables'!$H$3:$J$7,3,FALSE())</f>
        <v>#N/A</v>
      </c>
      <c r="C129" s="85" t="n">
        <v>124</v>
      </c>
      <c r="D129" s="94"/>
      <c r="E129" s="94"/>
      <c r="F129" s="109"/>
      <c r="G129" s="88"/>
      <c r="H129" s="88"/>
      <c r="I129" s="89"/>
      <c r="J129" s="88"/>
      <c r="K129" s="88"/>
      <c r="L129" s="88"/>
      <c r="M129" s="88"/>
      <c r="N129" s="88"/>
      <c r="O129" s="88"/>
      <c r="P129" s="88"/>
      <c r="Q129" s="88"/>
      <c r="R129" s="89"/>
      <c r="S129" s="95"/>
      <c r="T129" s="89"/>
      <c r="U129" s="89"/>
      <c r="V129" s="89"/>
      <c r="W129" s="89"/>
      <c r="X129" s="89"/>
      <c r="Y129" s="89"/>
      <c r="Z129" s="88"/>
      <c r="AA129" s="91"/>
    </row>
    <row r="130" customFormat="false" ht="15" hidden="false" customHeight="false" outlineLevel="0" collapsed="false">
      <c r="A130" s="68" t="e">
        <f aca="false">VLOOKUP(E130,'[1]Listas Desplegables'!$H$3:$J$7,2,FALSE())</f>
        <v>#N/A</v>
      </c>
      <c r="B130" s="68" t="e">
        <f aca="false">VLOOKUP(E130,'[1]Listas Desplegables'!$H$3:$J$7,3,FALSE())</f>
        <v>#N/A</v>
      </c>
      <c r="C130" s="85" t="n">
        <v>125</v>
      </c>
      <c r="D130" s="94"/>
      <c r="E130" s="94"/>
      <c r="F130" s="109"/>
      <c r="G130" s="88"/>
      <c r="H130" s="88"/>
      <c r="I130" s="89"/>
      <c r="J130" s="88"/>
      <c r="K130" s="88"/>
      <c r="L130" s="88"/>
      <c r="M130" s="88"/>
      <c r="N130" s="88"/>
      <c r="O130" s="88"/>
      <c r="P130" s="88"/>
      <c r="Q130" s="88"/>
      <c r="R130" s="89"/>
      <c r="S130" s="95"/>
      <c r="T130" s="89"/>
      <c r="U130" s="89"/>
      <c r="V130" s="89"/>
      <c r="W130" s="89"/>
      <c r="X130" s="89"/>
      <c r="Y130" s="89"/>
      <c r="Z130" s="88"/>
      <c r="AA130" s="91"/>
    </row>
    <row r="131" customFormat="false" ht="15" hidden="false" customHeight="false" outlineLevel="0" collapsed="false">
      <c r="A131" s="68" t="e">
        <f aca="false">VLOOKUP(E131,'[1]Listas Desplegables'!$H$3:$J$7,2,FALSE())</f>
        <v>#N/A</v>
      </c>
      <c r="B131" s="68" t="e">
        <f aca="false">VLOOKUP(E131,'[1]Listas Desplegables'!$H$3:$J$7,3,FALSE())</f>
        <v>#N/A</v>
      </c>
      <c r="C131" s="85" t="n">
        <v>126</v>
      </c>
      <c r="D131" s="94"/>
      <c r="E131" s="94"/>
      <c r="F131" s="109"/>
      <c r="G131" s="88"/>
      <c r="H131" s="88"/>
      <c r="I131" s="89"/>
      <c r="J131" s="88"/>
      <c r="K131" s="88"/>
      <c r="L131" s="88"/>
      <c r="M131" s="88"/>
      <c r="N131" s="88"/>
      <c r="O131" s="88"/>
      <c r="P131" s="88"/>
      <c r="Q131" s="88"/>
      <c r="R131" s="89"/>
      <c r="S131" s="95"/>
      <c r="T131" s="89"/>
      <c r="U131" s="89"/>
      <c r="V131" s="89"/>
      <c r="W131" s="89"/>
      <c r="X131" s="89"/>
      <c r="Y131" s="89"/>
      <c r="Z131" s="88"/>
      <c r="AA131" s="91"/>
    </row>
    <row r="132" customFormat="false" ht="15" hidden="false" customHeight="false" outlineLevel="0" collapsed="false">
      <c r="A132" s="68" t="e">
        <f aca="false">VLOOKUP(E132,'[1]Listas Desplegables'!$H$3:$J$7,2,FALSE())</f>
        <v>#N/A</v>
      </c>
      <c r="B132" s="68" t="e">
        <f aca="false">VLOOKUP(E132,'[1]Listas Desplegables'!$H$3:$J$7,3,FALSE())</f>
        <v>#N/A</v>
      </c>
      <c r="C132" s="85" t="n">
        <v>127</v>
      </c>
      <c r="D132" s="94"/>
      <c r="E132" s="94"/>
      <c r="F132" s="109"/>
      <c r="G132" s="88"/>
      <c r="H132" s="88"/>
      <c r="I132" s="89"/>
      <c r="J132" s="88"/>
      <c r="K132" s="88"/>
      <c r="L132" s="88"/>
      <c r="M132" s="88"/>
      <c r="N132" s="88"/>
      <c r="O132" s="88"/>
      <c r="P132" s="88"/>
      <c r="Q132" s="88"/>
      <c r="R132" s="89"/>
      <c r="S132" s="95"/>
      <c r="T132" s="89"/>
      <c r="U132" s="89"/>
      <c r="V132" s="89"/>
      <c r="W132" s="89"/>
      <c r="X132" s="89"/>
      <c r="Y132" s="89"/>
      <c r="Z132" s="88"/>
      <c r="AA132" s="91"/>
    </row>
    <row r="133" customFormat="false" ht="15" hidden="false" customHeight="false" outlineLevel="0" collapsed="false">
      <c r="A133" s="68" t="e">
        <f aca="false">VLOOKUP(E133,'[1]Listas Desplegables'!$H$3:$J$7,2,FALSE())</f>
        <v>#N/A</v>
      </c>
      <c r="B133" s="68" t="e">
        <f aca="false">VLOOKUP(E133,'[1]Listas Desplegables'!$H$3:$J$7,3,FALSE())</f>
        <v>#N/A</v>
      </c>
      <c r="C133" s="85" t="n">
        <v>128</v>
      </c>
      <c r="D133" s="94"/>
      <c r="E133" s="94"/>
      <c r="F133" s="109"/>
      <c r="G133" s="88"/>
      <c r="H133" s="88"/>
      <c r="I133" s="89"/>
      <c r="J133" s="88"/>
      <c r="K133" s="88"/>
      <c r="L133" s="88"/>
      <c r="M133" s="88"/>
      <c r="N133" s="88"/>
      <c r="O133" s="88"/>
      <c r="P133" s="88"/>
      <c r="Q133" s="88"/>
      <c r="R133" s="89"/>
      <c r="S133" s="95"/>
      <c r="T133" s="89"/>
      <c r="U133" s="89"/>
      <c r="V133" s="89"/>
      <c r="W133" s="89"/>
      <c r="X133" s="89"/>
      <c r="Y133" s="89"/>
      <c r="Z133" s="88"/>
      <c r="AA133" s="91"/>
    </row>
    <row r="134" customFormat="false" ht="15" hidden="false" customHeight="false" outlineLevel="0" collapsed="false">
      <c r="A134" s="68" t="e">
        <f aca="false">VLOOKUP(E134,'[1]Listas Desplegables'!$H$3:$J$7,2,FALSE())</f>
        <v>#N/A</v>
      </c>
      <c r="B134" s="68" t="e">
        <f aca="false">VLOOKUP(E134,'[1]Listas Desplegables'!$H$3:$J$7,3,FALSE())</f>
        <v>#N/A</v>
      </c>
      <c r="C134" s="85" t="n">
        <v>129</v>
      </c>
      <c r="D134" s="94"/>
      <c r="E134" s="94"/>
      <c r="F134" s="109"/>
      <c r="G134" s="88"/>
      <c r="H134" s="88"/>
      <c r="I134" s="89"/>
      <c r="J134" s="88"/>
      <c r="K134" s="88"/>
      <c r="L134" s="88"/>
      <c r="M134" s="88"/>
      <c r="N134" s="88"/>
      <c r="O134" s="88"/>
      <c r="P134" s="88"/>
      <c r="Q134" s="88"/>
      <c r="R134" s="89"/>
      <c r="S134" s="95"/>
      <c r="T134" s="89"/>
      <c r="U134" s="89"/>
      <c r="V134" s="89"/>
      <c r="W134" s="89"/>
      <c r="X134" s="89"/>
      <c r="Y134" s="89"/>
      <c r="Z134" s="88"/>
      <c r="AA134" s="91"/>
    </row>
    <row r="135" customFormat="false" ht="15" hidden="false" customHeight="false" outlineLevel="0" collapsed="false">
      <c r="A135" s="68" t="e">
        <f aca="false">VLOOKUP(E135,'[1]Listas Desplegables'!$H$3:$J$7,2,FALSE())</f>
        <v>#N/A</v>
      </c>
      <c r="B135" s="68" t="e">
        <f aca="false">VLOOKUP(E135,'[1]Listas Desplegables'!$H$3:$J$7,3,FALSE())</f>
        <v>#N/A</v>
      </c>
      <c r="C135" s="85" t="n">
        <v>130</v>
      </c>
      <c r="D135" s="94"/>
      <c r="E135" s="94"/>
      <c r="F135" s="109"/>
      <c r="G135" s="88"/>
      <c r="H135" s="88"/>
      <c r="I135" s="89"/>
      <c r="J135" s="88"/>
      <c r="K135" s="88"/>
      <c r="L135" s="88"/>
      <c r="M135" s="88"/>
      <c r="N135" s="88"/>
      <c r="O135" s="88"/>
      <c r="P135" s="88"/>
      <c r="Q135" s="88"/>
      <c r="R135" s="89"/>
      <c r="S135" s="95"/>
      <c r="T135" s="89"/>
      <c r="U135" s="89"/>
      <c r="V135" s="89"/>
      <c r="W135" s="89"/>
      <c r="X135" s="89"/>
      <c r="Y135" s="89"/>
      <c r="Z135" s="88"/>
      <c r="AA135" s="91"/>
    </row>
    <row r="136" customFormat="false" ht="15" hidden="false" customHeight="false" outlineLevel="0" collapsed="false">
      <c r="A136" s="68" t="e">
        <f aca="false">VLOOKUP(E136,'[1]Listas Desplegables'!$H$3:$J$7,2,FALSE())</f>
        <v>#N/A</v>
      </c>
      <c r="B136" s="68" t="e">
        <f aca="false">VLOOKUP(E136,'[1]Listas Desplegables'!$H$3:$J$7,3,FALSE())</f>
        <v>#N/A</v>
      </c>
      <c r="C136" s="85" t="n">
        <v>131</v>
      </c>
      <c r="D136" s="94"/>
      <c r="E136" s="94"/>
      <c r="F136" s="109"/>
      <c r="G136" s="88"/>
      <c r="H136" s="88"/>
      <c r="I136" s="89"/>
      <c r="J136" s="88"/>
      <c r="K136" s="88"/>
      <c r="L136" s="88"/>
      <c r="M136" s="88"/>
      <c r="N136" s="88"/>
      <c r="O136" s="88"/>
      <c r="P136" s="88"/>
      <c r="Q136" s="88"/>
      <c r="R136" s="89"/>
      <c r="S136" s="95"/>
      <c r="T136" s="89"/>
      <c r="U136" s="89"/>
      <c r="V136" s="89"/>
      <c r="W136" s="89"/>
      <c r="X136" s="89"/>
      <c r="Y136" s="89"/>
      <c r="Z136" s="88"/>
      <c r="AA136" s="91"/>
    </row>
    <row r="137" customFormat="false" ht="15" hidden="false" customHeight="false" outlineLevel="0" collapsed="false">
      <c r="A137" s="68" t="e">
        <f aca="false">VLOOKUP(E137,'[1]Listas Desplegables'!$H$3:$J$7,2,FALSE())</f>
        <v>#N/A</v>
      </c>
      <c r="B137" s="68" t="e">
        <f aca="false">VLOOKUP(E137,'[1]Listas Desplegables'!$H$3:$J$7,3,FALSE())</f>
        <v>#N/A</v>
      </c>
      <c r="C137" s="85" t="n">
        <v>132</v>
      </c>
      <c r="D137" s="94"/>
      <c r="E137" s="94"/>
      <c r="F137" s="109"/>
      <c r="G137" s="88"/>
      <c r="H137" s="88"/>
      <c r="I137" s="89"/>
      <c r="J137" s="88"/>
      <c r="K137" s="88"/>
      <c r="L137" s="88"/>
      <c r="M137" s="88"/>
      <c r="N137" s="88"/>
      <c r="O137" s="88"/>
      <c r="P137" s="88"/>
      <c r="Q137" s="88"/>
      <c r="R137" s="89"/>
      <c r="S137" s="95"/>
      <c r="T137" s="89"/>
      <c r="U137" s="89"/>
      <c r="V137" s="89"/>
      <c r="W137" s="89"/>
      <c r="X137" s="89"/>
      <c r="Y137" s="89"/>
      <c r="Z137" s="88"/>
      <c r="AA137" s="91"/>
    </row>
    <row r="138" customFormat="false" ht="15" hidden="false" customHeight="false" outlineLevel="0" collapsed="false">
      <c r="A138" s="68" t="e">
        <f aca="false">VLOOKUP(E138,'[1]Listas Desplegables'!$H$3:$J$7,2,FALSE())</f>
        <v>#N/A</v>
      </c>
      <c r="B138" s="68" t="e">
        <f aca="false">VLOOKUP(E138,'[1]Listas Desplegables'!$H$3:$J$7,3,FALSE())</f>
        <v>#N/A</v>
      </c>
      <c r="C138" s="85" t="n">
        <v>133</v>
      </c>
      <c r="D138" s="94"/>
      <c r="E138" s="94"/>
      <c r="F138" s="109"/>
      <c r="G138" s="88"/>
      <c r="H138" s="88"/>
      <c r="I138" s="89"/>
      <c r="J138" s="88"/>
      <c r="K138" s="88"/>
      <c r="L138" s="88"/>
      <c r="M138" s="88"/>
      <c r="N138" s="88"/>
      <c r="O138" s="88"/>
      <c r="P138" s="88"/>
      <c r="Q138" s="88"/>
      <c r="R138" s="89"/>
      <c r="S138" s="95"/>
      <c r="T138" s="89"/>
      <c r="U138" s="89"/>
      <c r="V138" s="89"/>
      <c r="W138" s="89"/>
      <c r="X138" s="89"/>
      <c r="Y138" s="89"/>
      <c r="Z138" s="88"/>
      <c r="AA138" s="91"/>
    </row>
    <row r="139" customFormat="false" ht="15" hidden="false" customHeight="false" outlineLevel="0" collapsed="false">
      <c r="A139" s="68" t="e">
        <f aca="false">VLOOKUP(E139,'[1]Listas Desplegables'!$H$3:$J$7,2,FALSE())</f>
        <v>#N/A</v>
      </c>
      <c r="B139" s="68" t="e">
        <f aca="false">VLOOKUP(E139,'[1]Listas Desplegables'!$H$3:$J$7,3,FALSE())</f>
        <v>#N/A</v>
      </c>
      <c r="C139" s="85" t="n">
        <v>134</v>
      </c>
      <c r="D139" s="94"/>
      <c r="E139" s="94"/>
      <c r="F139" s="109"/>
      <c r="G139" s="88"/>
      <c r="H139" s="88"/>
      <c r="I139" s="89"/>
      <c r="J139" s="88"/>
      <c r="K139" s="88"/>
      <c r="L139" s="88"/>
      <c r="M139" s="88"/>
      <c r="N139" s="88"/>
      <c r="O139" s="88"/>
      <c r="P139" s="88"/>
      <c r="Q139" s="88"/>
      <c r="R139" s="89"/>
      <c r="S139" s="95"/>
      <c r="T139" s="89"/>
      <c r="U139" s="89"/>
      <c r="V139" s="89"/>
      <c r="W139" s="89"/>
      <c r="X139" s="89"/>
      <c r="Y139" s="89"/>
      <c r="Z139" s="88"/>
      <c r="AA139" s="91"/>
    </row>
    <row r="140" customFormat="false" ht="15" hidden="false" customHeight="false" outlineLevel="0" collapsed="false">
      <c r="A140" s="68" t="e">
        <f aca="false">VLOOKUP(E140,'[1]Listas Desplegables'!$H$3:$J$7,2,FALSE())</f>
        <v>#N/A</v>
      </c>
      <c r="B140" s="68" t="e">
        <f aca="false">VLOOKUP(E140,'[1]Listas Desplegables'!$H$3:$J$7,3,FALSE())</f>
        <v>#N/A</v>
      </c>
      <c r="C140" s="85" t="n">
        <v>135</v>
      </c>
      <c r="D140" s="94"/>
      <c r="E140" s="94"/>
      <c r="F140" s="109"/>
      <c r="G140" s="88"/>
      <c r="H140" s="88"/>
      <c r="I140" s="89"/>
      <c r="J140" s="88"/>
      <c r="K140" s="88"/>
      <c r="L140" s="88"/>
      <c r="M140" s="88"/>
      <c r="N140" s="88"/>
      <c r="O140" s="88"/>
      <c r="P140" s="88"/>
      <c r="Q140" s="88"/>
      <c r="R140" s="89"/>
      <c r="S140" s="95"/>
      <c r="T140" s="89"/>
      <c r="U140" s="89"/>
      <c r="V140" s="89"/>
      <c r="W140" s="89"/>
      <c r="X140" s="89"/>
      <c r="Y140" s="89"/>
      <c r="Z140" s="88"/>
      <c r="AA140" s="91"/>
    </row>
    <row r="141" customFormat="false" ht="15" hidden="false" customHeight="false" outlineLevel="0" collapsed="false">
      <c r="A141" s="68" t="e">
        <f aca="false">VLOOKUP(E141,'[1]Listas Desplegables'!$H$3:$J$7,2,FALSE())</f>
        <v>#N/A</v>
      </c>
      <c r="B141" s="68" t="e">
        <f aca="false">VLOOKUP(E141,'[1]Listas Desplegables'!$H$3:$J$7,3,FALSE())</f>
        <v>#N/A</v>
      </c>
      <c r="C141" s="85" t="n">
        <v>136</v>
      </c>
      <c r="D141" s="94"/>
      <c r="E141" s="94"/>
      <c r="F141" s="109"/>
      <c r="G141" s="88"/>
      <c r="H141" s="88"/>
      <c r="I141" s="89"/>
      <c r="J141" s="88"/>
      <c r="K141" s="88"/>
      <c r="L141" s="88"/>
      <c r="M141" s="88"/>
      <c r="N141" s="88"/>
      <c r="O141" s="88"/>
      <c r="P141" s="88"/>
      <c r="Q141" s="88"/>
      <c r="R141" s="89"/>
      <c r="S141" s="95"/>
      <c r="T141" s="89"/>
      <c r="U141" s="89"/>
      <c r="V141" s="89"/>
      <c r="W141" s="89"/>
      <c r="X141" s="89"/>
      <c r="Y141" s="89"/>
      <c r="Z141" s="88"/>
      <c r="AA141" s="91"/>
    </row>
    <row r="142" customFormat="false" ht="15" hidden="false" customHeight="false" outlineLevel="0" collapsed="false">
      <c r="A142" s="68" t="e">
        <f aca="false">VLOOKUP(E142,'[1]Listas Desplegables'!$H$3:$J$7,2,FALSE())</f>
        <v>#N/A</v>
      </c>
      <c r="B142" s="68" t="e">
        <f aca="false">VLOOKUP(E142,'[1]Listas Desplegables'!$H$3:$J$7,3,FALSE())</f>
        <v>#N/A</v>
      </c>
      <c r="C142" s="85" t="n">
        <v>137</v>
      </c>
      <c r="D142" s="94"/>
      <c r="E142" s="94"/>
      <c r="F142" s="109"/>
      <c r="G142" s="88"/>
      <c r="H142" s="88"/>
      <c r="I142" s="89"/>
      <c r="J142" s="88"/>
      <c r="K142" s="88"/>
      <c r="L142" s="88"/>
      <c r="M142" s="88"/>
      <c r="N142" s="88"/>
      <c r="O142" s="88"/>
      <c r="P142" s="88"/>
      <c r="Q142" s="88"/>
      <c r="R142" s="89"/>
      <c r="S142" s="95"/>
      <c r="T142" s="89"/>
      <c r="U142" s="89"/>
      <c r="V142" s="89"/>
      <c r="W142" s="89"/>
      <c r="X142" s="89"/>
      <c r="Y142" s="89"/>
      <c r="Z142" s="88"/>
      <c r="AA142" s="91"/>
    </row>
    <row r="143" customFormat="false" ht="15" hidden="false" customHeight="false" outlineLevel="0" collapsed="false">
      <c r="A143" s="68" t="e">
        <f aca="false">VLOOKUP(E143,'[1]Listas Desplegables'!$H$3:$J$7,2,FALSE())</f>
        <v>#N/A</v>
      </c>
      <c r="B143" s="68" t="e">
        <f aca="false">VLOOKUP(E143,'[1]Listas Desplegables'!$H$3:$J$7,3,FALSE())</f>
        <v>#N/A</v>
      </c>
      <c r="C143" s="85" t="n">
        <v>138</v>
      </c>
      <c r="D143" s="94"/>
      <c r="E143" s="94"/>
      <c r="F143" s="109"/>
      <c r="G143" s="88"/>
      <c r="H143" s="88"/>
      <c r="I143" s="89"/>
      <c r="J143" s="88"/>
      <c r="K143" s="88"/>
      <c r="L143" s="88"/>
      <c r="M143" s="88"/>
      <c r="N143" s="88"/>
      <c r="O143" s="88"/>
      <c r="P143" s="88"/>
      <c r="Q143" s="88"/>
      <c r="R143" s="89"/>
      <c r="S143" s="95"/>
      <c r="T143" s="89"/>
      <c r="U143" s="89"/>
      <c r="V143" s="89"/>
      <c r="W143" s="89"/>
      <c r="X143" s="89"/>
      <c r="Y143" s="89"/>
      <c r="Z143" s="88"/>
      <c r="AA143" s="91"/>
    </row>
    <row r="144" customFormat="false" ht="15" hidden="false" customHeight="false" outlineLevel="0" collapsed="false">
      <c r="A144" s="68" t="e">
        <f aca="false">VLOOKUP(E144,'[1]Listas Desplegables'!$H$3:$J$7,2,FALSE())</f>
        <v>#N/A</v>
      </c>
      <c r="B144" s="68" t="e">
        <f aca="false">VLOOKUP(E144,'[1]Listas Desplegables'!$H$3:$J$7,3,FALSE())</f>
        <v>#N/A</v>
      </c>
      <c r="C144" s="85" t="n">
        <v>139</v>
      </c>
      <c r="D144" s="94"/>
      <c r="E144" s="94"/>
      <c r="F144" s="109"/>
      <c r="G144" s="88"/>
      <c r="H144" s="88"/>
      <c r="I144" s="89"/>
      <c r="J144" s="88"/>
      <c r="K144" s="88"/>
      <c r="L144" s="88"/>
      <c r="M144" s="88"/>
      <c r="N144" s="88"/>
      <c r="O144" s="88"/>
      <c r="P144" s="88"/>
      <c r="Q144" s="88"/>
      <c r="R144" s="89"/>
      <c r="S144" s="95"/>
      <c r="T144" s="89"/>
      <c r="U144" s="89"/>
      <c r="V144" s="89"/>
      <c r="W144" s="89"/>
      <c r="X144" s="89"/>
      <c r="Y144" s="89"/>
      <c r="Z144" s="88"/>
      <c r="AA144" s="91"/>
    </row>
    <row r="145" customFormat="false" ht="15" hidden="false" customHeight="false" outlineLevel="0" collapsed="false">
      <c r="A145" s="68" t="e">
        <f aca="false">VLOOKUP(E145,'[1]Listas Desplegables'!$H$3:$J$7,2,FALSE())</f>
        <v>#N/A</v>
      </c>
      <c r="B145" s="68" t="e">
        <f aca="false">VLOOKUP(E145,'[1]Listas Desplegables'!$H$3:$J$7,3,FALSE())</f>
        <v>#N/A</v>
      </c>
      <c r="C145" s="85" t="n">
        <v>140</v>
      </c>
      <c r="D145" s="94"/>
      <c r="E145" s="94"/>
      <c r="F145" s="109"/>
      <c r="G145" s="88"/>
      <c r="H145" s="88"/>
      <c r="I145" s="89"/>
      <c r="J145" s="88"/>
      <c r="K145" s="88"/>
      <c r="L145" s="88"/>
      <c r="M145" s="88"/>
      <c r="N145" s="88"/>
      <c r="O145" s="88"/>
      <c r="P145" s="88"/>
      <c r="Q145" s="88"/>
      <c r="R145" s="89"/>
      <c r="S145" s="95"/>
      <c r="T145" s="89"/>
      <c r="U145" s="89"/>
      <c r="V145" s="89"/>
      <c r="W145" s="89"/>
      <c r="X145" s="89"/>
      <c r="Y145" s="89"/>
      <c r="Z145" s="88"/>
      <c r="AA145" s="91"/>
    </row>
    <row r="146" customFormat="false" ht="15" hidden="false" customHeight="false" outlineLevel="0" collapsed="false">
      <c r="A146" s="68" t="e">
        <f aca="false">VLOOKUP(E146,'[1]Listas Desplegables'!$H$3:$J$7,2,FALSE())</f>
        <v>#N/A</v>
      </c>
      <c r="B146" s="68" t="e">
        <f aca="false">VLOOKUP(E146,'[1]Listas Desplegables'!$H$3:$J$7,3,FALSE())</f>
        <v>#N/A</v>
      </c>
      <c r="C146" s="85" t="n">
        <v>141</v>
      </c>
      <c r="D146" s="94"/>
      <c r="E146" s="94"/>
      <c r="F146" s="109"/>
      <c r="G146" s="88"/>
      <c r="H146" s="88"/>
      <c r="I146" s="89"/>
      <c r="J146" s="88"/>
      <c r="K146" s="88"/>
      <c r="L146" s="88"/>
      <c r="M146" s="88"/>
      <c r="N146" s="88"/>
      <c r="O146" s="88"/>
      <c r="P146" s="88"/>
      <c r="Q146" s="88"/>
      <c r="R146" s="89"/>
      <c r="S146" s="95"/>
      <c r="T146" s="89"/>
      <c r="U146" s="89"/>
      <c r="V146" s="89"/>
      <c r="W146" s="89"/>
      <c r="X146" s="89"/>
      <c r="Y146" s="89"/>
      <c r="Z146" s="88"/>
      <c r="AA146" s="91"/>
    </row>
    <row r="147" customFormat="false" ht="15" hidden="false" customHeight="false" outlineLevel="0" collapsed="false">
      <c r="A147" s="68" t="e">
        <f aca="false">VLOOKUP(E147,'[1]Listas Desplegables'!$H$3:$J$7,2,FALSE())</f>
        <v>#N/A</v>
      </c>
      <c r="B147" s="68" t="e">
        <f aca="false">VLOOKUP(E147,'[1]Listas Desplegables'!$H$3:$J$7,3,FALSE())</f>
        <v>#N/A</v>
      </c>
      <c r="C147" s="85" t="n">
        <v>142</v>
      </c>
      <c r="D147" s="94"/>
      <c r="E147" s="94"/>
      <c r="F147" s="109"/>
      <c r="G147" s="88"/>
      <c r="H147" s="88"/>
      <c r="I147" s="89"/>
      <c r="J147" s="88"/>
      <c r="K147" s="88"/>
      <c r="L147" s="88"/>
      <c r="M147" s="88"/>
      <c r="N147" s="88"/>
      <c r="O147" s="88"/>
      <c r="P147" s="88"/>
      <c r="Q147" s="88"/>
      <c r="R147" s="89"/>
      <c r="S147" s="95"/>
      <c r="T147" s="89"/>
      <c r="U147" s="89"/>
      <c r="V147" s="89"/>
      <c r="W147" s="89"/>
      <c r="X147" s="89"/>
      <c r="Y147" s="89"/>
      <c r="Z147" s="88"/>
      <c r="AA147" s="91"/>
    </row>
    <row r="148" customFormat="false" ht="15" hidden="false" customHeight="false" outlineLevel="0" collapsed="false">
      <c r="A148" s="68" t="e">
        <f aca="false">VLOOKUP(E148,'[1]Listas Desplegables'!$H$3:$J$7,2,FALSE())</f>
        <v>#N/A</v>
      </c>
      <c r="B148" s="68" t="e">
        <f aca="false">VLOOKUP(E148,'[1]Listas Desplegables'!$H$3:$J$7,3,FALSE())</f>
        <v>#N/A</v>
      </c>
      <c r="C148" s="85" t="n">
        <v>143</v>
      </c>
      <c r="D148" s="94"/>
      <c r="E148" s="94"/>
      <c r="F148" s="109"/>
      <c r="G148" s="88"/>
      <c r="H148" s="88"/>
      <c r="I148" s="89"/>
      <c r="J148" s="88"/>
      <c r="K148" s="88"/>
      <c r="L148" s="88"/>
      <c r="M148" s="88"/>
      <c r="N148" s="88"/>
      <c r="O148" s="88"/>
      <c r="P148" s="88"/>
      <c r="Q148" s="88"/>
      <c r="R148" s="89"/>
      <c r="S148" s="95"/>
      <c r="T148" s="89"/>
      <c r="U148" s="89"/>
      <c r="V148" s="89"/>
      <c r="W148" s="89"/>
      <c r="X148" s="89"/>
      <c r="Y148" s="89"/>
      <c r="Z148" s="88"/>
      <c r="AA148" s="91"/>
    </row>
    <row r="149" customFormat="false" ht="15" hidden="false" customHeight="false" outlineLevel="0" collapsed="false">
      <c r="A149" s="68" t="e">
        <f aca="false">VLOOKUP(E149,'[1]Listas Desplegables'!$H$3:$J$7,2,FALSE())</f>
        <v>#N/A</v>
      </c>
      <c r="B149" s="68" t="e">
        <f aca="false">VLOOKUP(E149,'[1]Listas Desplegables'!$H$3:$J$7,3,FALSE())</f>
        <v>#N/A</v>
      </c>
      <c r="C149" s="85" t="n">
        <v>144</v>
      </c>
      <c r="D149" s="94"/>
      <c r="E149" s="94"/>
      <c r="F149" s="109"/>
      <c r="G149" s="88"/>
      <c r="H149" s="88"/>
      <c r="I149" s="89"/>
      <c r="J149" s="88"/>
      <c r="K149" s="88"/>
      <c r="L149" s="88"/>
      <c r="M149" s="88"/>
      <c r="N149" s="88"/>
      <c r="O149" s="88"/>
      <c r="P149" s="88"/>
      <c r="Q149" s="88"/>
      <c r="R149" s="89"/>
      <c r="S149" s="95"/>
      <c r="T149" s="89"/>
      <c r="U149" s="89"/>
      <c r="V149" s="89"/>
      <c r="W149" s="89"/>
      <c r="X149" s="89"/>
      <c r="Y149" s="89"/>
      <c r="Z149" s="88"/>
      <c r="AA149" s="91"/>
    </row>
    <row r="150" customFormat="false" ht="15" hidden="false" customHeight="false" outlineLevel="0" collapsed="false">
      <c r="A150" s="68" t="e">
        <f aca="false">VLOOKUP(E150,'[1]Listas Desplegables'!$H$3:$J$7,2,FALSE())</f>
        <v>#N/A</v>
      </c>
      <c r="B150" s="68" t="e">
        <f aca="false">VLOOKUP(E150,'[1]Listas Desplegables'!$H$3:$J$7,3,FALSE())</f>
        <v>#N/A</v>
      </c>
      <c r="C150" s="85" t="n">
        <v>145</v>
      </c>
      <c r="D150" s="94"/>
      <c r="E150" s="94"/>
      <c r="F150" s="109"/>
      <c r="G150" s="88"/>
      <c r="H150" s="88"/>
      <c r="I150" s="89"/>
      <c r="J150" s="88"/>
      <c r="K150" s="88"/>
      <c r="L150" s="88"/>
      <c r="M150" s="88"/>
      <c r="N150" s="88"/>
      <c r="O150" s="88"/>
      <c r="P150" s="88"/>
      <c r="Q150" s="88"/>
      <c r="R150" s="89"/>
      <c r="S150" s="95"/>
      <c r="T150" s="89"/>
      <c r="U150" s="89"/>
      <c r="V150" s="89"/>
      <c r="W150" s="89"/>
      <c r="X150" s="89"/>
      <c r="Y150" s="89"/>
      <c r="Z150" s="88"/>
      <c r="AA150" s="91"/>
    </row>
    <row r="151" customFormat="false" ht="15" hidden="false" customHeight="false" outlineLevel="0" collapsed="false">
      <c r="A151" s="68" t="e">
        <f aca="false">VLOOKUP(E151,'[1]Listas Desplegables'!$H$3:$J$7,2,FALSE())</f>
        <v>#N/A</v>
      </c>
      <c r="B151" s="68" t="e">
        <f aca="false">VLOOKUP(E151,'[1]Listas Desplegables'!$H$3:$J$7,3,FALSE())</f>
        <v>#N/A</v>
      </c>
      <c r="C151" s="85" t="n">
        <v>146</v>
      </c>
      <c r="D151" s="94"/>
      <c r="E151" s="94"/>
      <c r="F151" s="109"/>
      <c r="G151" s="88"/>
      <c r="H151" s="88"/>
      <c r="I151" s="89"/>
      <c r="J151" s="88"/>
      <c r="K151" s="88"/>
      <c r="L151" s="88"/>
      <c r="M151" s="88"/>
      <c r="N151" s="88"/>
      <c r="O151" s="88"/>
      <c r="P151" s="88"/>
      <c r="Q151" s="88"/>
      <c r="R151" s="89"/>
      <c r="S151" s="95"/>
      <c r="T151" s="89"/>
      <c r="U151" s="89"/>
      <c r="V151" s="89"/>
      <c r="W151" s="89"/>
      <c r="X151" s="89"/>
      <c r="Y151" s="89"/>
      <c r="Z151" s="88"/>
      <c r="AA151" s="91"/>
    </row>
    <row r="152" customFormat="false" ht="15" hidden="false" customHeight="false" outlineLevel="0" collapsed="false">
      <c r="A152" s="68" t="e">
        <f aca="false">VLOOKUP(E152,'[1]Listas Desplegables'!$H$3:$J$7,2,FALSE())</f>
        <v>#N/A</v>
      </c>
      <c r="B152" s="68" t="e">
        <f aca="false">VLOOKUP(E152,'[1]Listas Desplegables'!$H$3:$J$7,3,FALSE())</f>
        <v>#N/A</v>
      </c>
      <c r="C152" s="85" t="n">
        <v>147</v>
      </c>
      <c r="D152" s="94"/>
      <c r="E152" s="94"/>
      <c r="F152" s="109"/>
      <c r="G152" s="88"/>
      <c r="H152" s="88"/>
      <c r="I152" s="89"/>
      <c r="J152" s="88"/>
      <c r="K152" s="88"/>
      <c r="L152" s="88"/>
      <c r="M152" s="88"/>
      <c r="N152" s="88"/>
      <c r="O152" s="88"/>
      <c r="P152" s="88"/>
      <c r="Q152" s="88"/>
      <c r="R152" s="89"/>
      <c r="S152" s="95"/>
      <c r="T152" s="89"/>
      <c r="U152" s="89"/>
      <c r="V152" s="89"/>
      <c r="W152" s="89"/>
      <c r="X152" s="89"/>
      <c r="Y152" s="89"/>
      <c r="Z152" s="88"/>
      <c r="AA152" s="91"/>
    </row>
    <row r="153" customFormat="false" ht="15" hidden="false" customHeight="false" outlineLevel="0" collapsed="false">
      <c r="A153" s="68" t="e">
        <f aca="false">VLOOKUP(E153,'[1]Listas Desplegables'!$H$3:$J$7,2,FALSE())</f>
        <v>#N/A</v>
      </c>
      <c r="B153" s="68" t="e">
        <f aca="false">VLOOKUP(E153,'[1]Listas Desplegables'!$H$3:$J$7,3,FALSE())</f>
        <v>#N/A</v>
      </c>
      <c r="C153" s="85" t="n">
        <v>148</v>
      </c>
      <c r="D153" s="94"/>
      <c r="E153" s="94"/>
      <c r="F153" s="109"/>
      <c r="G153" s="88"/>
      <c r="H153" s="88"/>
      <c r="I153" s="89"/>
      <c r="J153" s="88"/>
      <c r="K153" s="88"/>
      <c r="L153" s="88"/>
      <c r="M153" s="88"/>
      <c r="N153" s="88"/>
      <c r="O153" s="88"/>
      <c r="P153" s="88"/>
      <c r="Q153" s="88"/>
      <c r="R153" s="89"/>
      <c r="S153" s="95"/>
      <c r="T153" s="89"/>
      <c r="U153" s="89"/>
      <c r="V153" s="89"/>
      <c r="W153" s="89"/>
      <c r="X153" s="89"/>
      <c r="Y153" s="89"/>
      <c r="Z153" s="88"/>
      <c r="AA153" s="91"/>
    </row>
    <row r="154" customFormat="false" ht="15" hidden="false" customHeight="false" outlineLevel="0" collapsed="false">
      <c r="A154" s="68" t="e">
        <f aca="false">VLOOKUP(E154,'[1]Listas Desplegables'!$H$3:$J$7,2,FALSE())</f>
        <v>#N/A</v>
      </c>
      <c r="B154" s="68" t="e">
        <f aca="false">VLOOKUP(E154,'[1]Listas Desplegables'!$H$3:$J$7,3,FALSE())</f>
        <v>#N/A</v>
      </c>
      <c r="C154" s="85" t="n">
        <v>149</v>
      </c>
      <c r="D154" s="94"/>
      <c r="E154" s="94"/>
      <c r="F154" s="109"/>
      <c r="G154" s="88"/>
      <c r="H154" s="88"/>
      <c r="I154" s="89"/>
      <c r="J154" s="88"/>
      <c r="K154" s="88"/>
      <c r="L154" s="88"/>
      <c r="M154" s="88"/>
      <c r="N154" s="88"/>
      <c r="O154" s="88"/>
      <c r="P154" s="88"/>
      <c r="Q154" s="88"/>
      <c r="R154" s="89"/>
      <c r="S154" s="95"/>
      <c r="T154" s="89"/>
      <c r="U154" s="89"/>
      <c r="V154" s="89"/>
      <c r="W154" s="89"/>
      <c r="X154" s="89"/>
      <c r="Y154" s="89"/>
      <c r="Z154" s="88"/>
      <c r="AA154" s="91"/>
    </row>
    <row r="155" customFormat="false" ht="15" hidden="false" customHeight="false" outlineLevel="0" collapsed="false">
      <c r="A155" s="68" t="e">
        <f aca="false">VLOOKUP(E155,'[1]Listas Desplegables'!$H$3:$J$7,2,FALSE())</f>
        <v>#N/A</v>
      </c>
      <c r="B155" s="68" t="e">
        <f aca="false">VLOOKUP(E155,'[1]Listas Desplegables'!$H$3:$J$7,3,FALSE())</f>
        <v>#N/A</v>
      </c>
      <c r="C155" s="85" t="n">
        <v>150</v>
      </c>
      <c r="D155" s="94"/>
      <c r="E155" s="94"/>
      <c r="F155" s="109"/>
      <c r="G155" s="88"/>
      <c r="H155" s="88"/>
      <c r="I155" s="89"/>
      <c r="J155" s="88"/>
      <c r="K155" s="88"/>
      <c r="L155" s="88"/>
      <c r="M155" s="88"/>
      <c r="N155" s="88"/>
      <c r="O155" s="88"/>
      <c r="P155" s="88"/>
      <c r="Q155" s="88"/>
      <c r="R155" s="89"/>
      <c r="S155" s="95"/>
      <c r="T155" s="89"/>
      <c r="U155" s="89"/>
      <c r="V155" s="89"/>
      <c r="W155" s="89"/>
      <c r="X155" s="89"/>
      <c r="Y155" s="89"/>
      <c r="Z155" s="88"/>
      <c r="AA155" s="91"/>
    </row>
    <row r="156" customFormat="false" ht="15" hidden="false" customHeight="false" outlineLevel="0" collapsed="false">
      <c r="A156" s="68" t="e">
        <f aca="false">VLOOKUP(E156,'[1]Listas Desplegables'!$H$3:$J$7,2,FALSE())</f>
        <v>#N/A</v>
      </c>
      <c r="B156" s="68" t="e">
        <f aca="false">VLOOKUP(E156,'[1]Listas Desplegables'!$H$3:$J$7,3,FALSE())</f>
        <v>#N/A</v>
      </c>
      <c r="C156" s="85" t="n">
        <v>151</v>
      </c>
      <c r="D156" s="94"/>
      <c r="E156" s="94"/>
      <c r="F156" s="109"/>
      <c r="G156" s="88"/>
      <c r="H156" s="88"/>
      <c r="I156" s="89"/>
      <c r="J156" s="88"/>
      <c r="K156" s="88"/>
      <c r="L156" s="88"/>
      <c r="M156" s="88"/>
      <c r="N156" s="88"/>
      <c r="O156" s="88"/>
      <c r="P156" s="88"/>
      <c r="Q156" s="88"/>
      <c r="R156" s="89"/>
      <c r="S156" s="95"/>
      <c r="T156" s="89"/>
      <c r="U156" s="89"/>
      <c r="V156" s="89"/>
      <c r="W156" s="89"/>
      <c r="X156" s="89"/>
      <c r="Y156" s="89"/>
      <c r="Z156" s="88"/>
      <c r="AA156" s="91"/>
    </row>
    <row r="157" customFormat="false" ht="15" hidden="false" customHeight="false" outlineLevel="0" collapsed="false">
      <c r="A157" s="68" t="e">
        <f aca="false">VLOOKUP(E157,'[1]Listas Desplegables'!$H$3:$J$7,2,FALSE())</f>
        <v>#N/A</v>
      </c>
      <c r="B157" s="68" t="e">
        <f aca="false">VLOOKUP(E157,'[1]Listas Desplegables'!$H$3:$J$7,3,FALSE())</f>
        <v>#N/A</v>
      </c>
      <c r="C157" s="85" t="n">
        <v>152</v>
      </c>
      <c r="D157" s="94"/>
      <c r="E157" s="94"/>
      <c r="F157" s="109"/>
      <c r="G157" s="88"/>
      <c r="H157" s="88"/>
      <c r="I157" s="89"/>
      <c r="J157" s="88"/>
      <c r="K157" s="88"/>
      <c r="L157" s="88"/>
      <c r="M157" s="88"/>
      <c r="N157" s="88"/>
      <c r="O157" s="88"/>
      <c r="P157" s="88"/>
      <c r="Q157" s="88"/>
      <c r="R157" s="89"/>
      <c r="S157" s="95"/>
      <c r="T157" s="89"/>
      <c r="U157" s="89"/>
      <c r="V157" s="89"/>
      <c r="W157" s="89"/>
      <c r="X157" s="89"/>
      <c r="Y157" s="89"/>
      <c r="Z157" s="88"/>
      <c r="AA157" s="91"/>
    </row>
    <row r="158" customFormat="false" ht="15" hidden="false" customHeight="false" outlineLevel="0" collapsed="false">
      <c r="A158" s="68" t="e">
        <f aca="false">VLOOKUP(E158,'[1]Listas Desplegables'!$H$3:$J$7,2,FALSE())</f>
        <v>#N/A</v>
      </c>
      <c r="B158" s="68" t="e">
        <f aca="false">VLOOKUP(E158,'[1]Listas Desplegables'!$H$3:$J$7,3,FALSE())</f>
        <v>#N/A</v>
      </c>
      <c r="C158" s="85" t="n">
        <v>153</v>
      </c>
      <c r="D158" s="94"/>
      <c r="E158" s="94"/>
      <c r="F158" s="109"/>
      <c r="G158" s="88"/>
      <c r="H158" s="88"/>
      <c r="I158" s="89"/>
      <c r="J158" s="88"/>
      <c r="K158" s="88"/>
      <c r="L158" s="88"/>
      <c r="M158" s="88"/>
      <c r="N158" s="88"/>
      <c r="O158" s="88"/>
      <c r="P158" s="88"/>
      <c r="Q158" s="88"/>
      <c r="R158" s="89"/>
      <c r="S158" s="95"/>
      <c r="T158" s="89"/>
      <c r="U158" s="89"/>
      <c r="V158" s="89"/>
      <c r="W158" s="89"/>
      <c r="X158" s="89"/>
      <c r="Y158" s="89"/>
      <c r="Z158" s="88"/>
      <c r="AA158" s="91"/>
    </row>
    <row r="159" customFormat="false" ht="15" hidden="false" customHeight="false" outlineLevel="0" collapsed="false">
      <c r="A159" s="68" t="e">
        <f aca="false">VLOOKUP(E159,'[1]Listas Desplegables'!$H$3:$J$7,2,FALSE())</f>
        <v>#N/A</v>
      </c>
      <c r="B159" s="68" t="e">
        <f aca="false">VLOOKUP(E159,'[1]Listas Desplegables'!$H$3:$J$7,3,FALSE())</f>
        <v>#N/A</v>
      </c>
      <c r="C159" s="85" t="n">
        <v>154</v>
      </c>
      <c r="D159" s="94"/>
      <c r="E159" s="94"/>
      <c r="F159" s="109"/>
      <c r="G159" s="88"/>
      <c r="H159" s="88"/>
      <c r="I159" s="89"/>
      <c r="J159" s="88"/>
      <c r="K159" s="88"/>
      <c r="L159" s="88"/>
      <c r="M159" s="88"/>
      <c r="N159" s="88"/>
      <c r="O159" s="88"/>
      <c r="P159" s="88"/>
      <c r="Q159" s="88"/>
      <c r="R159" s="89"/>
      <c r="S159" s="95"/>
      <c r="T159" s="89"/>
      <c r="U159" s="89"/>
      <c r="V159" s="89"/>
      <c r="W159" s="89"/>
      <c r="X159" s="89"/>
      <c r="Y159" s="89"/>
      <c r="Z159" s="88"/>
      <c r="AA159" s="91"/>
    </row>
    <row r="160" customFormat="false" ht="15" hidden="false" customHeight="false" outlineLevel="0" collapsed="false">
      <c r="A160" s="68" t="e">
        <f aca="false">VLOOKUP(E160,'[1]Listas Desplegables'!$H$3:$J$7,2,FALSE())</f>
        <v>#N/A</v>
      </c>
      <c r="B160" s="68" t="e">
        <f aca="false">VLOOKUP(E160,'[1]Listas Desplegables'!$H$3:$J$7,3,FALSE())</f>
        <v>#N/A</v>
      </c>
      <c r="C160" s="85" t="n">
        <v>155</v>
      </c>
      <c r="D160" s="94"/>
      <c r="E160" s="94"/>
      <c r="F160" s="109"/>
      <c r="G160" s="88"/>
      <c r="H160" s="88"/>
      <c r="I160" s="89"/>
      <c r="J160" s="88"/>
      <c r="K160" s="88"/>
      <c r="L160" s="88"/>
      <c r="M160" s="88"/>
      <c r="N160" s="88"/>
      <c r="O160" s="88"/>
      <c r="P160" s="88"/>
      <c r="Q160" s="88"/>
      <c r="R160" s="89"/>
      <c r="S160" s="95"/>
      <c r="T160" s="89"/>
      <c r="U160" s="89"/>
      <c r="V160" s="89"/>
      <c r="W160" s="89"/>
      <c r="X160" s="89"/>
      <c r="Y160" s="89"/>
      <c r="Z160" s="88"/>
      <c r="AA160" s="91"/>
    </row>
    <row r="161" customFormat="false" ht="15" hidden="false" customHeight="false" outlineLevel="0" collapsed="false">
      <c r="A161" s="68" t="e">
        <f aca="false">VLOOKUP(E161,'[1]Listas Desplegables'!$H$3:$J$7,2,FALSE())</f>
        <v>#N/A</v>
      </c>
      <c r="B161" s="68" t="e">
        <f aca="false">VLOOKUP(E161,'[1]Listas Desplegables'!$H$3:$J$7,3,FALSE())</f>
        <v>#N/A</v>
      </c>
      <c r="C161" s="85" t="n">
        <v>156</v>
      </c>
      <c r="D161" s="94"/>
      <c r="E161" s="94"/>
      <c r="F161" s="109"/>
      <c r="G161" s="88"/>
      <c r="H161" s="88"/>
      <c r="I161" s="89"/>
      <c r="J161" s="88"/>
      <c r="K161" s="88"/>
      <c r="L161" s="88"/>
      <c r="M161" s="88"/>
      <c r="N161" s="88"/>
      <c r="O161" s="88"/>
      <c r="P161" s="88"/>
      <c r="Q161" s="88"/>
      <c r="R161" s="89"/>
      <c r="S161" s="95"/>
      <c r="T161" s="89"/>
      <c r="U161" s="89"/>
      <c r="V161" s="89"/>
      <c r="W161" s="89"/>
      <c r="X161" s="89"/>
      <c r="Y161" s="89"/>
      <c r="Z161" s="88"/>
      <c r="AA161" s="91"/>
    </row>
    <row r="162" customFormat="false" ht="15" hidden="false" customHeight="false" outlineLevel="0" collapsed="false">
      <c r="A162" s="68" t="e">
        <f aca="false">VLOOKUP(E162,'[1]Listas Desplegables'!$H$3:$J$7,2,FALSE())</f>
        <v>#N/A</v>
      </c>
      <c r="B162" s="68" t="e">
        <f aca="false">VLOOKUP(E162,'[1]Listas Desplegables'!$H$3:$J$7,3,FALSE())</f>
        <v>#N/A</v>
      </c>
      <c r="C162" s="85" t="n">
        <v>157</v>
      </c>
      <c r="D162" s="94"/>
      <c r="E162" s="94"/>
      <c r="F162" s="109"/>
      <c r="G162" s="88"/>
      <c r="H162" s="88"/>
      <c r="I162" s="89"/>
      <c r="J162" s="88"/>
      <c r="K162" s="88"/>
      <c r="L162" s="88"/>
      <c r="M162" s="88"/>
      <c r="N162" s="88"/>
      <c r="O162" s="88"/>
      <c r="P162" s="88"/>
      <c r="Q162" s="88"/>
      <c r="R162" s="89"/>
      <c r="S162" s="95"/>
      <c r="T162" s="89"/>
      <c r="U162" s="89"/>
      <c r="V162" s="89"/>
      <c r="W162" s="89"/>
      <c r="X162" s="89"/>
      <c r="Y162" s="89"/>
      <c r="Z162" s="88"/>
      <c r="AA162" s="91"/>
    </row>
    <row r="163" customFormat="false" ht="15" hidden="false" customHeight="false" outlineLevel="0" collapsed="false">
      <c r="A163" s="68" t="e">
        <f aca="false">VLOOKUP(E163,'[1]Listas Desplegables'!$H$3:$J$7,2,FALSE())</f>
        <v>#N/A</v>
      </c>
      <c r="B163" s="68" t="e">
        <f aca="false">VLOOKUP(E163,'[1]Listas Desplegables'!$H$3:$J$7,3,FALSE())</f>
        <v>#N/A</v>
      </c>
      <c r="C163" s="85" t="n">
        <v>158</v>
      </c>
      <c r="D163" s="94"/>
      <c r="E163" s="94"/>
      <c r="F163" s="109"/>
      <c r="G163" s="88"/>
      <c r="H163" s="88"/>
      <c r="I163" s="89"/>
      <c r="J163" s="88"/>
      <c r="K163" s="88"/>
      <c r="L163" s="88"/>
      <c r="M163" s="88"/>
      <c r="N163" s="88"/>
      <c r="O163" s="88"/>
      <c r="P163" s="88"/>
      <c r="Q163" s="88"/>
      <c r="R163" s="89"/>
      <c r="S163" s="95"/>
      <c r="T163" s="89"/>
      <c r="U163" s="89"/>
      <c r="V163" s="89"/>
      <c r="W163" s="89"/>
      <c r="X163" s="89"/>
      <c r="Y163" s="89"/>
      <c r="Z163" s="88"/>
      <c r="AA163" s="91"/>
    </row>
    <row r="164" customFormat="false" ht="15" hidden="false" customHeight="false" outlineLevel="0" collapsed="false">
      <c r="A164" s="68" t="e">
        <f aca="false">VLOOKUP(E164,'[1]Listas Desplegables'!$H$3:$J$7,2,FALSE())</f>
        <v>#N/A</v>
      </c>
      <c r="B164" s="68" t="e">
        <f aca="false">VLOOKUP(E164,'[1]Listas Desplegables'!$H$3:$J$7,3,FALSE())</f>
        <v>#N/A</v>
      </c>
      <c r="C164" s="85" t="n">
        <v>159</v>
      </c>
      <c r="D164" s="94"/>
      <c r="E164" s="94"/>
      <c r="F164" s="109"/>
      <c r="G164" s="88"/>
      <c r="H164" s="88"/>
      <c r="I164" s="89"/>
      <c r="J164" s="88"/>
      <c r="K164" s="88"/>
      <c r="L164" s="88"/>
      <c r="M164" s="88"/>
      <c r="N164" s="88"/>
      <c r="O164" s="88"/>
      <c r="P164" s="88"/>
      <c r="Q164" s="88"/>
      <c r="R164" s="89"/>
      <c r="S164" s="95"/>
      <c r="T164" s="89"/>
      <c r="U164" s="89"/>
      <c r="V164" s="89"/>
      <c r="W164" s="89"/>
      <c r="X164" s="89"/>
      <c r="Y164" s="89"/>
      <c r="Z164" s="88"/>
      <c r="AA164" s="91"/>
    </row>
    <row r="165" customFormat="false" ht="15" hidden="false" customHeight="false" outlineLevel="0" collapsed="false">
      <c r="A165" s="68" t="e">
        <f aca="false">VLOOKUP(E165,'[1]Listas Desplegables'!$H$3:$J$7,2,FALSE())</f>
        <v>#N/A</v>
      </c>
      <c r="B165" s="68" t="e">
        <f aca="false">VLOOKUP(E165,'[1]Listas Desplegables'!$H$3:$J$7,3,FALSE())</f>
        <v>#N/A</v>
      </c>
      <c r="C165" s="85" t="n">
        <v>160</v>
      </c>
      <c r="D165" s="94"/>
      <c r="E165" s="94"/>
      <c r="F165" s="109"/>
      <c r="G165" s="88"/>
      <c r="H165" s="88"/>
      <c r="I165" s="89"/>
      <c r="J165" s="88"/>
      <c r="K165" s="88"/>
      <c r="L165" s="88"/>
      <c r="M165" s="88"/>
      <c r="N165" s="88"/>
      <c r="O165" s="88"/>
      <c r="P165" s="88"/>
      <c r="Q165" s="88"/>
      <c r="R165" s="89"/>
      <c r="S165" s="95"/>
      <c r="T165" s="89"/>
      <c r="U165" s="89"/>
      <c r="V165" s="89"/>
      <c r="W165" s="89"/>
      <c r="X165" s="89"/>
      <c r="Y165" s="89"/>
      <c r="Z165" s="88"/>
      <c r="AA165" s="91"/>
    </row>
    <row r="166" customFormat="false" ht="15" hidden="false" customHeight="false" outlineLevel="0" collapsed="false">
      <c r="A166" s="68" t="e">
        <f aca="false">VLOOKUP(E166,'[1]Listas Desplegables'!$H$3:$J$7,2,FALSE())</f>
        <v>#N/A</v>
      </c>
      <c r="B166" s="68" t="e">
        <f aca="false">VLOOKUP(E166,'[1]Listas Desplegables'!$H$3:$J$7,3,FALSE())</f>
        <v>#N/A</v>
      </c>
      <c r="C166" s="85" t="n">
        <v>161</v>
      </c>
      <c r="D166" s="94"/>
      <c r="E166" s="94"/>
      <c r="F166" s="109"/>
      <c r="G166" s="88"/>
      <c r="H166" s="88"/>
      <c r="I166" s="89"/>
      <c r="J166" s="88"/>
      <c r="K166" s="88"/>
      <c r="L166" s="88"/>
      <c r="M166" s="88"/>
      <c r="N166" s="88"/>
      <c r="O166" s="88"/>
      <c r="P166" s="88"/>
      <c r="Q166" s="88"/>
      <c r="R166" s="89"/>
      <c r="S166" s="95"/>
      <c r="T166" s="89"/>
      <c r="U166" s="89"/>
      <c r="V166" s="89"/>
      <c r="W166" s="89"/>
      <c r="X166" s="89"/>
      <c r="Y166" s="89"/>
      <c r="Z166" s="88"/>
      <c r="AA166" s="91"/>
    </row>
    <row r="167" customFormat="false" ht="15" hidden="false" customHeight="false" outlineLevel="0" collapsed="false">
      <c r="A167" s="68" t="e">
        <f aca="false">VLOOKUP(E167,'[1]Listas Desplegables'!$H$3:$J$7,2,FALSE())</f>
        <v>#N/A</v>
      </c>
      <c r="B167" s="68" t="e">
        <f aca="false">VLOOKUP(E167,'[1]Listas Desplegables'!$H$3:$J$7,3,FALSE())</f>
        <v>#N/A</v>
      </c>
      <c r="C167" s="85" t="n">
        <v>162</v>
      </c>
      <c r="D167" s="94"/>
      <c r="E167" s="94"/>
      <c r="F167" s="109"/>
      <c r="G167" s="88"/>
      <c r="H167" s="88"/>
      <c r="I167" s="89"/>
      <c r="J167" s="88"/>
      <c r="K167" s="88"/>
      <c r="L167" s="88"/>
      <c r="M167" s="88"/>
      <c r="N167" s="88"/>
      <c r="O167" s="88"/>
      <c r="P167" s="88"/>
      <c r="Q167" s="88"/>
      <c r="R167" s="89"/>
      <c r="S167" s="95"/>
      <c r="T167" s="89"/>
      <c r="U167" s="89"/>
      <c r="V167" s="89"/>
      <c r="W167" s="89"/>
      <c r="X167" s="89"/>
      <c r="Y167" s="89"/>
      <c r="Z167" s="88"/>
      <c r="AA167" s="91"/>
    </row>
    <row r="168" customFormat="false" ht="15" hidden="false" customHeight="false" outlineLevel="0" collapsed="false">
      <c r="A168" s="68" t="e">
        <f aca="false">VLOOKUP(E168,'[1]Listas Desplegables'!$H$3:$J$7,2,FALSE())</f>
        <v>#N/A</v>
      </c>
      <c r="B168" s="68" t="e">
        <f aca="false">VLOOKUP(E168,'[1]Listas Desplegables'!$H$3:$J$7,3,FALSE())</f>
        <v>#N/A</v>
      </c>
      <c r="C168" s="85" t="n">
        <v>163</v>
      </c>
      <c r="D168" s="94"/>
      <c r="E168" s="94"/>
      <c r="F168" s="109"/>
      <c r="G168" s="88"/>
      <c r="H168" s="88"/>
      <c r="I168" s="89"/>
      <c r="J168" s="88"/>
      <c r="K168" s="88"/>
      <c r="L168" s="88"/>
      <c r="M168" s="88"/>
      <c r="N168" s="88"/>
      <c r="O168" s="88"/>
      <c r="P168" s="88"/>
      <c r="Q168" s="88"/>
      <c r="R168" s="89"/>
      <c r="S168" s="95"/>
      <c r="T168" s="89"/>
      <c r="U168" s="89"/>
      <c r="V168" s="89"/>
      <c r="W168" s="89"/>
      <c r="X168" s="89"/>
      <c r="Y168" s="89"/>
      <c r="Z168" s="88"/>
      <c r="AA168" s="91"/>
    </row>
    <row r="169" customFormat="false" ht="15" hidden="false" customHeight="false" outlineLevel="0" collapsed="false">
      <c r="A169" s="68" t="e">
        <f aca="false">VLOOKUP(E169,'[1]Listas Desplegables'!$H$3:$J$7,2,FALSE())</f>
        <v>#N/A</v>
      </c>
      <c r="B169" s="68" t="e">
        <f aca="false">VLOOKUP(E169,'[1]Listas Desplegables'!$H$3:$J$7,3,FALSE())</f>
        <v>#N/A</v>
      </c>
      <c r="C169" s="85" t="n">
        <v>164</v>
      </c>
      <c r="D169" s="94"/>
      <c r="E169" s="94"/>
      <c r="F169" s="109"/>
      <c r="G169" s="88"/>
      <c r="H169" s="88"/>
      <c r="I169" s="89"/>
      <c r="J169" s="88"/>
      <c r="K169" s="88"/>
      <c r="L169" s="88"/>
      <c r="M169" s="88"/>
      <c r="N169" s="88"/>
      <c r="O169" s="88"/>
      <c r="P169" s="88"/>
      <c r="Q169" s="88"/>
      <c r="R169" s="89"/>
      <c r="S169" s="95"/>
      <c r="T169" s="89"/>
      <c r="U169" s="89"/>
      <c r="V169" s="89"/>
      <c r="W169" s="89"/>
      <c r="X169" s="89"/>
      <c r="Y169" s="89"/>
      <c r="Z169" s="88"/>
      <c r="AA169" s="91"/>
    </row>
    <row r="170" customFormat="false" ht="15" hidden="false" customHeight="false" outlineLevel="0" collapsed="false">
      <c r="A170" s="68" t="e">
        <f aca="false">VLOOKUP(E170,'[1]Listas Desplegables'!$H$3:$J$7,2,FALSE())</f>
        <v>#N/A</v>
      </c>
      <c r="B170" s="68" t="e">
        <f aca="false">VLOOKUP(E170,'[1]Listas Desplegables'!$H$3:$J$7,3,FALSE())</f>
        <v>#N/A</v>
      </c>
      <c r="C170" s="85" t="n">
        <v>165</v>
      </c>
      <c r="D170" s="94"/>
      <c r="E170" s="94"/>
      <c r="F170" s="109"/>
      <c r="G170" s="88"/>
      <c r="H170" s="88"/>
      <c r="I170" s="89"/>
      <c r="J170" s="88"/>
      <c r="K170" s="88"/>
      <c r="L170" s="88"/>
      <c r="M170" s="88"/>
      <c r="N170" s="88"/>
      <c r="O170" s="88"/>
      <c r="P170" s="88"/>
      <c r="Q170" s="88"/>
      <c r="R170" s="89"/>
      <c r="S170" s="95"/>
      <c r="T170" s="89"/>
      <c r="U170" s="89"/>
      <c r="V170" s="89"/>
      <c r="W170" s="89"/>
      <c r="X170" s="89"/>
      <c r="Y170" s="89"/>
      <c r="Z170" s="88"/>
      <c r="AA170" s="91"/>
    </row>
    <row r="171" customFormat="false" ht="15" hidden="false" customHeight="false" outlineLevel="0" collapsed="false">
      <c r="A171" s="68" t="e">
        <f aca="false">VLOOKUP(E171,'[1]Listas Desplegables'!$H$3:$J$7,2,FALSE())</f>
        <v>#N/A</v>
      </c>
      <c r="B171" s="68" t="e">
        <f aca="false">VLOOKUP(E171,'[1]Listas Desplegables'!$H$3:$J$7,3,FALSE())</f>
        <v>#N/A</v>
      </c>
      <c r="C171" s="85" t="n">
        <v>166</v>
      </c>
      <c r="D171" s="94"/>
      <c r="E171" s="94"/>
      <c r="F171" s="109"/>
      <c r="G171" s="88"/>
      <c r="H171" s="88"/>
      <c r="I171" s="89"/>
      <c r="J171" s="88"/>
      <c r="K171" s="88"/>
      <c r="L171" s="88"/>
      <c r="M171" s="88"/>
      <c r="N171" s="88"/>
      <c r="O171" s="88"/>
      <c r="P171" s="88"/>
      <c r="Q171" s="88"/>
      <c r="R171" s="89"/>
      <c r="S171" s="95"/>
      <c r="T171" s="89"/>
      <c r="U171" s="89"/>
      <c r="V171" s="89"/>
      <c r="W171" s="89"/>
      <c r="X171" s="89"/>
      <c r="Y171" s="89"/>
      <c r="Z171" s="88"/>
      <c r="AA171" s="91"/>
    </row>
    <row r="172" customFormat="false" ht="15" hidden="false" customHeight="false" outlineLevel="0" collapsed="false">
      <c r="A172" s="68" t="e">
        <f aca="false">VLOOKUP(E172,'[1]Listas Desplegables'!$H$3:$J$7,2,FALSE())</f>
        <v>#N/A</v>
      </c>
      <c r="B172" s="68" t="e">
        <f aca="false">VLOOKUP(E172,'[1]Listas Desplegables'!$H$3:$J$7,3,FALSE())</f>
        <v>#N/A</v>
      </c>
      <c r="C172" s="85" t="n">
        <v>167</v>
      </c>
      <c r="D172" s="94"/>
      <c r="E172" s="94"/>
      <c r="F172" s="109"/>
      <c r="G172" s="88"/>
      <c r="H172" s="88"/>
      <c r="I172" s="89"/>
      <c r="J172" s="88"/>
      <c r="K172" s="88"/>
      <c r="L172" s="88"/>
      <c r="M172" s="88"/>
      <c r="N172" s="88"/>
      <c r="O172" s="88"/>
      <c r="P172" s="88"/>
      <c r="Q172" s="88"/>
      <c r="R172" s="89"/>
      <c r="S172" s="95"/>
      <c r="T172" s="89"/>
      <c r="U172" s="89"/>
      <c r="V172" s="89"/>
      <c r="W172" s="89"/>
      <c r="X172" s="89"/>
      <c r="Y172" s="89"/>
      <c r="Z172" s="88"/>
      <c r="AA172" s="91"/>
    </row>
    <row r="173" customFormat="false" ht="15" hidden="false" customHeight="false" outlineLevel="0" collapsed="false">
      <c r="A173" s="68" t="e">
        <f aca="false">VLOOKUP(E173,'[1]Listas Desplegables'!$H$3:$J$7,2,FALSE())</f>
        <v>#N/A</v>
      </c>
      <c r="B173" s="68" t="e">
        <f aca="false">VLOOKUP(E173,'[1]Listas Desplegables'!$H$3:$J$7,3,FALSE())</f>
        <v>#N/A</v>
      </c>
      <c r="C173" s="85" t="n">
        <v>168</v>
      </c>
      <c r="D173" s="94"/>
      <c r="E173" s="94"/>
      <c r="F173" s="109"/>
      <c r="G173" s="88"/>
      <c r="H173" s="88"/>
      <c r="I173" s="89"/>
      <c r="J173" s="88"/>
      <c r="K173" s="88"/>
      <c r="L173" s="88"/>
      <c r="M173" s="88"/>
      <c r="N173" s="88"/>
      <c r="O173" s="88"/>
      <c r="P173" s="88"/>
      <c r="Q173" s="88"/>
      <c r="R173" s="89"/>
      <c r="S173" s="95"/>
      <c r="T173" s="89"/>
      <c r="U173" s="89"/>
      <c r="V173" s="89"/>
      <c r="W173" s="89"/>
      <c r="X173" s="89"/>
      <c r="Y173" s="89"/>
      <c r="Z173" s="88"/>
      <c r="AA173" s="91"/>
    </row>
    <row r="174" customFormat="false" ht="15" hidden="false" customHeight="false" outlineLevel="0" collapsed="false">
      <c r="A174" s="68" t="e">
        <f aca="false">VLOOKUP(E174,'[1]Listas Desplegables'!$H$3:$J$7,2,FALSE())</f>
        <v>#N/A</v>
      </c>
      <c r="B174" s="68" t="e">
        <f aca="false">VLOOKUP(E174,'[1]Listas Desplegables'!$H$3:$J$7,3,FALSE())</f>
        <v>#N/A</v>
      </c>
      <c r="C174" s="85" t="n">
        <v>169</v>
      </c>
      <c r="D174" s="94"/>
      <c r="E174" s="94"/>
      <c r="F174" s="109"/>
      <c r="G174" s="88"/>
      <c r="H174" s="88"/>
      <c r="I174" s="89"/>
      <c r="J174" s="88"/>
      <c r="K174" s="88"/>
      <c r="L174" s="88"/>
      <c r="M174" s="88"/>
      <c r="N174" s="88"/>
      <c r="O174" s="88"/>
      <c r="P174" s="88"/>
      <c r="Q174" s="88"/>
      <c r="R174" s="89"/>
      <c r="S174" s="95"/>
      <c r="T174" s="89"/>
      <c r="U174" s="89"/>
      <c r="V174" s="89"/>
      <c r="W174" s="89"/>
      <c r="X174" s="89"/>
      <c r="Y174" s="89"/>
      <c r="Z174" s="88"/>
      <c r="AA174" s="91"/>
    </row>
    <row r="175" customFormat="false" ht="15" hidden="false" customHeight="false" outlineLevel="0" collapsed="false">
      <c r="A175" s="68" t="e">
        <f aca="false">VLOOKUP(E175,'[1]Listas Desplegables'!$H$3:$J$7,2,FALSE())</f>
        <v>#N/A</v>
      </c>
      <c r="B175" s="68" t="e">
        <f aca="false">VLOOKUP(E175,'[1]Listas Desplegables'!$H$3:$J$7,3,FALSE())</f>
        <v>#N/A</v>
      </c>
      <c r="C175" s="85" t="n">
        <v>170</v>
      </c>
      <c r="D175" s="94"/>
      <c r="E175" s="94"/>
      <c r="F175" s="109"/>
      <c r="G175" s="88"/>
      <c r="H175" s="88"/>
      <c r="I175" s="89"/>
      <c r="J175" s="88"/>
      <c r="K175" s="88"/>
      <c r="L175" s="88"/>
      <c r="M175" s="88"/>
      <c r="N175" s="88"/>
      <c r="O175" s="88"/>
      <c r="P175" s="88"/>
      <c r="Q175" s="88"/>
      <c r="R175" s="89"/>
      <c r="S175" s="95"/>
      <c r="T175" s="89"/>
      <c r="U175" s="89"/>
      <c r="V175" s="89"/>
      <c r="W175" s="89"/>
      <c r="X175" s="89"/>
      <c r="Y175" s="89"/>
      <c r="Z175" s="88"/>
      <c r="AA175" s="91"/>
    </row>
    <row r="176" customFormat="false" ht="15" hidden="false" customHeight="false" outlineLevel="0" collapsed="false">
      <c r="A176" s="68" t="e">
        <f aca="false">VLOOKUP(E176,'[1]Listas Desplegables'!$H$3:$J$7,2,FALSE())</f>
        <v>#N/A</v>
      </c>
      <c r="B176" s="68" t="e">
        <f aca="false">VLOOKUP(E176,'[1]Listas Desplegables'!$H$3:$J$7,3,FALSE())</f>
        <v>#N/A</v>
      </c>
      <c r="C176" s="85" t="n">
        <v>171</v>
      </c>
      <c r="D176" s="94"/>
      <c r="E176" s="94"/>
      <c r="F176" s="109"/>
      <c r="G176" s="88"/>
      <c r="H176" s="88"/>
      <c r="I176" s="89"/>
      <c r="J176" s="88"/>
      <c r="K176" s="88"/>
      <c r="L176" s="88"/>
      <c r="M176" s="88"/>
      <c r="N176" s="88"/>
      <c r="O176" s="88"/>
      <c r="P176" s="88"/>
      <c r="Q176" s="88"/>
      <c r="R176" s="89"/>
      <c r="S176" s="95"/>
      <c r="T176" s="89"/>
      <c r="U176" s="89"/>
      <c r="V176" s="89"/>
      <c r="W176" s="89"/>
      <c r="X176" s="89"/>
      <c r="Y176" s="89"/>
      <c r="Z176" s="88"/>
      <c r="AA176" s="91"/>
    </row>
    <row r="177" customFormat="false" ht="15" hidden="false" customHeight="false" outlineLevel="0" collapsed="false">
      <c r="A177" s="68" t="e">
        <f aca="false">VLOOKUP(E177,'[1]Listas Desplegables'!$H$3:$J$7,2,FALSE())</f>
        <v>#N/A</v>
      </c>
      <c r="B177" s="68" t="e">
        <f aca="false">VLOOKUP(E177,'[1]Listas Desplegables'!$H$3:$J$7,3,FALSE())</f>
        <v>#N/A</v>
      </c>
      <c r="C177" s="85" t="n">
        <v>172</v>
      </c>
      <c r="D177" s="94"/>
      <c r="E177" s="94"/>
      <c r="F177" s="109"/>
      <c r="G177" s="88"/>
      <c r="H177" s="88"/>
      <c r="I177" s="89"/>
      <c r="J177" s="88"/>
      <c r="K177" s="88"/>
      <c r="L177" s="88"/>
      <c r="M177" s="88"/>
      <c r="N177" s="88"/>
      <c r="O177" s="88"/>
      <c r="P177" s="88"/>
      <c r="Q177" s="88"/>
      <c r="R177" s="89"/>
      <c r="S177" s="95"/>
      <c r="T177" s="89"/>
      <c r="U177" s="89"/>
      <c r="V177" s="89"/>
      <c r="W177" s="89"/>
      <c r="X177" s="89"/>
      <c r="Y177" s="89"/>
      <c r="Z177" s="88"/>
      <c r="AA177" s="91"/>
    </row>
    <row r="178" customFormat="false" ht="15" hidden="false" customHeight="false" outlineLevel="0" collapsed="false">
      <c r="A178" s="68" t="e">
        <f aca="false">VLOOKUP(E178,'[1]Listas Desplegables'!$H$3:$J$7,2,FALSE())</f>
        <v>#N/A</v>
      </c>
      <c r="B178" s="68" t="e">
        <f aca="false">VLOOKUP(E178,'[1]Listas Desplegables'!$H$3:$J$7,3,FALSE())</f>
        <v>#N/A</v>
      </c>
      <c r="C178" s="85" t="n">
        <v>173</v>
      </c>
      <c r="D178" s="94"/>
      <c r="E178" s="94"/>
      <c r="F178" s="109"/>
      <c r="G178" s="88"/>
      <c r="H178" s="88"/>
      <c r="I178" s="89"/>
      <c r="J178" s="88"/>
      <c r="K178" s="88"/>
      <c r="L178" s="88"/>
      <c r="M178" s="88"/>
      <c r="N178" s="88"/>
      <c r="O178" s="88"/>
      <c r="P178" s="88"/>
      <c r="Q178" s="88"/>
      <c r="R178" s="89"/>
      <c r="S178" s="95"/>
      <c r="T178" s="89"/>
      <c r="U178" s="89"/>
      <c r="V178" s="89"/>
      <c r="W178" s="89"/>
      <c r="X178" s="89"/>
      <c r="Y178" s="89"/>
      <c r="Z178" s="88"/>
      <c r="AA178" s="91"/>
    </row>
    <row r="179" customFormat="false" ht="15" hidden="false" customHeight="false" outlineLevel="0" collapsed="false">
      <c r="A179" s="68" t="e">
        <f aca="false">VLOOKUP(E179,'[1]Listas Desplegables'!$H$3:$J$7,2,FALSE())</f>
        <v>#N/A</v>
      </c>
      <c r="B179" s="68" t="e">
        <f aca="false">VLOOKUP(E179,'[1]Listas Desplegables'!$H$3:$J$7,3,FALSE())</f>
        <v>#N/A</v>
      </c>
      <c r="C179" s="85" t="n">
        <v>174</v>
      </c>
      <c r="D179" s="94"/>
      <c r="E179" s="94"/>
      <c r="F179" s="109"/>
      <c r="G179" s="88"/>
      <c r="H179" s="88"/>
      <c r="I179" s="89"/>
      <c r="J179" s="88"/>
      <c r="K179" s="88"/>
      <c r="L179" s="88"/>
      <c r="M179" s="88"/>
      <c r="N179" s="88"/>
      <c r="O179" s="88"/>
      <c r="P179" s="88"/>
      <c r="Q179" s="88"/>
      <c r="R179" s="89"/>
      <c r="S179" s="95"/>
      <c r="T179" s="89"/>
      <c r="U179" s="89"/>
      <c r="V179" s="89"/>
      <c r="W179" s="89"/>
      <c r="X179" s="89"/>
      <c r="Y179" s="89"/>
      <c r="Z179" s="88"/>
      <c r="AA179" s="91"/>
    </row>
    <row r="180" customFormat="false" ht="15" hidden="false" customHeight="false" outlineLevel="0" collapsed="false">
      <c r="A180" s="68" t="e">
        <f aca="false">VLOOKUP(E180,'[1]Listas Desplegables'!$H$3:$J$7,2,FALSE())</f>
        <v>#N/A</v>
      </c>
      <c r="B180" s="68" t="e">
        <f aca="false">VLOOKUP(E180,'[1]Listas Desplegables'!$H$3:$J$7,3,FALSE())</f>
        <v>#N/A</v>
      </c>
      <c r="C180" s="85" t="n">
        <v>175</v>
      </c>
      <c r="D180" s="94"/>
      <c r="E180" s="94"/>
      <c r="F180" s="109"/>
      <c r="G180" s="88"/>
      <c r="H180" s="88"/>
      <c r="I180" s="89"/>
      <c r="J180" s="88"/>
      <c r="K180" s="88"/>
      <c r="L180" s="88"/>
      <c r="M180" s="88"/>
      <c r="N180" s="88"/>
      <c r="O180" s="88"/>
      <c r="P180" s="88"/>
      <c r="Q180" s="88"/>
      <c r="R180" s="89"/>
      <c r="S180" s="95"/>
      <c r="T180" s="89"/>
      <c r="U180" s="89"/>
      <c r="V180" s="89"/>
      <c r="W180" s="89"/>
      <c r="X180" s="89"/>
      <c r="Y180" s="89"/>
      <c r="Z180" s="88"/>
      <c r="AA180" s="91"/>
    </row>
    <row r="181" customFormat="false" ht="15" hidden="false" customHeight="false" outlineLevel="0" collapsed="false">
      <c r="A181" s="68" t="e">
        <f aca="false">VLOOKUP(E181,'[1]Listas Desplegables'!$H$3:$J$7,2,FALSE())</f>
        <v>#N/A</v>
      </c>
      <c r="B181" s="68" t="e">
        <f aca="false">VLOOKUP(E181,'[1]Listas Desplegables'!$H$3:$J$7,3,FALSE())</f>
        <v>#N/A</v>
      </c>
      <c r="C181" s="85" t="n">
        <v>176</v>
      </c>
      <c r="D181" s="94"/>
      <c r="E181" s="94"/>
      <c r="F181" s="109"/>
      <c r="G181" s="88"/>
      <c r="H181" s="88"/>
      <c r="I181" s="89"/>
      <c r="J181" s="88"/>
      <c r="K181" s="88"/>
      <c r="L181" s="88"/>
      <c r="M181" s="88"/>
      <c r="N181" s="88"/>
      <c r="O181" s="88"/>
      <c r="P181" s="88"/>
      <c r="Q181" s="88"/>
      <c r="R181" s="89"/>
      <c r="S181" s="95"/>
      <c r="T181" s="89"/>
      <c r="U181" s="89"/>
      <c r="V181" s="89"/>
      <c r="W181" s="89"/>
      <c r="X181" s="89"/>
      <c r="Y181" s="89"/>
      <c r="Z181" s="88"/>
      <c r="AA181" s="91"/>
    </row>
    <row r="182" customFormat="false" ht="15" hidden="false" customHeight="false" outlineLevel="0" collapsed="false">
      <c r="A182" s="68" t="e">
        <f aca="false">VLOOKUP(E182,'[1]Listas Desplegables'!$H$3:$J$7,2,FALSE())</f>
        <v>#N/A</v>
      </c>
      <c r="B182" s="68" t="e">
        <f aca="false">VLOOKUP(E182,'[1]Listas Desplegables'!$H$3:$J$7,3,FALSE())</f>
        <v>#N/A</v>
      </c>
      <c r="C182" s="85" t="n">
        <v>177</v>
      </c>
      <c r="D182" s="94"/>
      <c r="E182" s="94"/>
      <c r="F182" s="109"/>
      <c r="G182" s="88"/>
      <c r="H182" s="88"/>
      <c r="I182" s="89"/>
      <c r="J182" s="88"/>
      <c r="K182" s="88"/>
      <c r="L182" s="88"/>
      <c r="M182" s="88"/>
      <c r="N182" s="88"/>
      <c r="O182" s="88"/>
      <c r="P182" s="88"/>
      <c r="Q182" s="88"/>
      <c r="R182" s="89"/>
      <c r="S182" s="95"/>
      <c r="T182" s="89"/>
      <c r="U182" s="89"/>
      <c r="V182" s="89"/>
      <c r="W182" s="89"/>
      <c r="X182" s="89"/>
      <c r="Y182" s="89"/>
      <c r="Z182" s="88"/>
      <c r="AA182" s="91"/>
    </row>
    <row r="183" customFormat="false" ht="15" hidden="false" customHeight="false" outlineLevel="0" collapsed="false">
      <c r="A183" s="68" t="e">
        <f aca="false">VLOOKUP(E183,'[1]Listas Desplegables'!$H$3:$J$7,2,FALSE())</f>
        <v>#N/A</v>
      </c>
      <c r="B183" s="68" t="e">
        <f aca="false">VLOOKUP(E183,'[1]Listas Desplegables'!$H$3:$J$7,3,FALSE())</f>
        <v>#N/A</v>
      </c>
      <c r="C183" s="85" t="n">
        <v>178</v>
      </c>
      <c r="D183" s="94"/>
      <c r="E183" s="94"/>
      <c r="F183" s="109"/>
      <c r="G183" s="88"/>
      <c r="H183" s="88"/>
      <c r="I183" s="89"/>
      <c r="J183" s="88"/>
      <c r="K183" s="88"/>
      <c r="L183" s="88"/>
      <c r="M183" s="88"/>
      <c r="N183" s="88"/>
      <c r="O183" s="88"/>
      <c r="P183" s="88"/>
      <c r="Q183" s="88"/>
      <c r="R183" s="89"/>
      <c r="S183" s="95"/>
      <c r="T183" s="89"/>
      <c r="U183" s="89"/>
      <c r="V183" s="89"/>
      <c r="W183" s="89"/>
      <c r="X183" s="89"/>
      <c r="Y183" s="89"/>
      <c r="Z183" s="88"/>
      <c r="AA183" s="91"/>
    </row>
    <row r="184" customFormat="false" ht="15" hidden="false" customHeight="false" outlineLevel="0" collapsed="false">
      <c r="A184" s="68" t="e">
        <f aca="false">VLOOKUP(E184,'[1]Listas Desplegables'!$H$3:$J$7,2,FALSE())</f>
        <v>#N/A</v>
      </c>
      <c r="B184" s="68" t="e">
        <f aca="false">VLOOKUP(E184,'[1]Listas Desplegables'!$H$3:$J$7,3,FALSE())</f>
        <v>#N/A</v>
      </c>
      <c r="C184" s="85" t="n">
        <v>179</v>
      </c>
      <c r="D184" s="94"/>
      <c r="E184" s="94"/>
      <c r="F184" s="109"/>
      <c r="G184" s="88"/>
      <c r="H184" s="88"/>
      <c r="I184" s="89"/>
      <c r="J184" s="88"/>
      <c r="K184" s="88"/>
      <c r="L184" s="88"/>
      <c r="M184" s="88"/>
      <c r="N184" s="88"/>
      <c r="O184" s="88"/>
      <c r="P184" s="88"/>
      <c r="Q184" s="88"/>
      <c r="R184" s="89"/>
      <c r="S184" s="95"/>
      <c r="T184" s="89"/>
      <c r="U184" s="89"/>
      <c r="V184" s="89"/>
      <c r="W184" s="89"/>
      <c r="X184" s="89"/>
      <c r="Y184" s="89"/>
      <c r="Z184" s="88"/>
      <c r="AA184" s="91"/>
    </row>
    <row r="185" customFormat="false" ht="15.75" hidden="false" customHeight="false" outlineLevel="0" collapsed="false">
      <c r="A185" s="68" t="e">
        <f aca="false">VLOOKUP(E185,'[1]Listas Desplegables'!$H$3:$J$7,2,FALSE())</f>
        <v>#N/A</v>
      </c>
      <c r="B185" s="68" t="e">
        <f aca="false">VLOOKUP(E185,'[1]Listas Desplegables'!$H$3:$J$7,3,FALSE())</f>
        <v>#N/A</v>
      </c>
      <c r="C185" s="97" t="s">
        <v>452</v>
      </c>
      <c r="D185" s="98"/>
      <c r="E185" s="98"/>
      <c r="F185" s="98"/>
      <c r="G185" s="99"/>
      <c r="H185" s="99"/>
      <c r="I185" s="99"/>
      <c r="J185" s="99"/>
      <c r="K185" s="99"/>
      <c r="L185" s="99"/>
      <c r="M185" s="99"/>
      <c r="N185" s="99"/>
      <c r="O185" s="99"/>
      <c r="P185" s="99"/>
      <c r="Q185" s="99"/>
      <c r="R185" s="99"/>
      <c r="S185" s="111"/>
      <c r="T185" s="99"/>
      <c r="U185" s="99"/>
      <c r="V185" s="99"/>
      <c r="W185" s="99"/>
      <c r="X185" s="99"/>
      <c r="Y185" s="99"/>
      <c r="Z185" s="99"/>
      <c r="AA185" s="101"/>
    </row>
  </sheetData>
  <autoFilter ref="C4:G185"/>
  <mergeCells count="25">
    <mergeCell ref="C3:AA3"/>
    <mergeCell ref="C4:C5"/>
    <mergeCell ref="D4:D5"/>
    <mergeCell ref="E4:E5"/>
    <mergeCell ref="F4:F5"/>
    <mergeCell ref="G4:G5"/>
    <mergeCell ref="H4:H5"/>
    <mergeCell ref="I4:I5"/>
    <mergeCell ref="J4:J5"/>
    <mergeCell ref="K4:K5"/>
    <mergeCell ref="L4:L5"/>
    <mergeCell ref="M4:M5"/>
    <mergeCell ref="N4:N5"/>
    <mergeCell ref="O4:O5"/>
    <mergeCell ref="P4:Q4"/>
    <mergeCell ref="R4:R5"/>
    <mergeCell ref="S4:S5"/>
    <mergeCell ref="T4:T5"/>
    <mergeCell ref="U4:U5"/>
    <mergeCell ref="V4:V5"/>
    <mergeCell ref="W4:W5"/>
    <mergeCell ref="X4:X5"/>
    <mergeCell ref="Y4:Y5"/>
    <mergeCell ref="Z4:Z5"/>
    <mergeCell ref="AA4:AA5"/>
  </mergeCells>
  <dataValidations count="5">
    <dataValidation allowBlank="true" errorStyle="stop" operator="between" showDropDown="false" showErrorMessage="true" showInputMessage="true" sqref="F6:H1185 J6:Q1185 AA6:AA1185" type="decimal">
      <formula1>-10000000</formula1>
      <formula2>10000000</formula2>
    </dataValidation>
    <dataValidation allowBlank="true" errorStyle="stop" operator="greaterThan" showDropDown="false" showErrorMessage="true" showInputMessage="true" sqref="S6:S1185" type="date">
      <formula1>1</formula1>
      <formula2>0</formula2>
    </dataValidation>
    <dataValidation allowBlank="true" errorStyle="stop" operator="between" showDropDown="false" showErrorMessage="true" showInputMessage="true" sqref="R6:R1185" type="list">
      <formula1>'Listas Desplegables'!$B$25:$B$26</formula1>
      <formula2>0</formula2>
    </dataValidation>
    <dataValidation allowBlank="true" errorStyle="stop" operator="between" showDropDown="false" showErrorMessage="true" showInputMessage="true" sqref="T6:T1185" type="list">
      <formula1>'Listas Desplegables'!$B$28:$B$30</formula1>
      <formula2>0</formula2>
    </dataValidation>
    <dataValidation allowBlank="true" errorStyle="stop" operator="between" showDropDown="false" showErrorMessage="true" showInputMessage="true" sqref="Z6:Z185" type="list">
      <formula1>'Listas Desplegables'!$B$90:$B$93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Q150"/>
  <sheetViews>
    <sheetView showFormulas="false" showGridLines="false" showRowColHeaders="true" showZeros="true" rightToLeft="false" tabSelected="false" showOutlineSymbols="true" defaultGridColor="true" view="normal" topLeftCell="A65" colorId="64" zoomScale="80" zoomScaleNormal="80" zoomScalePageLayoutView="100" workbookViewId="0">
      <selection pane="topLeft" activeCell="D75" activeCellId="0" sqref="D75"/>
    </sheetView>
  </sheetViews>
  <sheetFormatPr defaultColWidth="11.57421875" defaultRowHeight="15" zeroHeight="false" outlineLevelRow="0" outlineLevelCol="0"/>
  <cols>
    <col collapsed="false" customWidth="true" hidden="true" outlineLevel="0" max="2" min="1" style="68" width="3"/>
    <col collapsed="false" customWidth="true" hidden="false" outlineLevel="0" max="3" min="3" style="69" width="6.71"/>
    <col collapsed="false" customWidth="true" hidden="false" outlineLevel="0" max="4" min="4" style="0" width="33"/>
    <col collapsed="false" customWidth="true" hidden="false" outlineLevel="0" max="5" min="5" style="0" width="14.57"/>
    <col collapsed="false" customWidth="true" hidden="false" outlineLevel="0" max="8" min="6" style="0" width="12.72"/>
    <col collapsed="false" customWidth="true" hidden="false" outlineLevel="0" max="9" min="9" style="0" width="29.01"/>
    <col collapsed="false" customWidth="true" hidden="false" outlineLevel="0" max="10" min="10" style="0" width="14.29"/>
    <col collapsed="false" customWidth="true" hidden="false" outlineLevel="0" max="13" min="13" style="0" width="15.57"/>
    <col collapsed="false" customWidth="true" hidden="false" outlineLevel="0" max="14" min="14" style="0" width="20.72"/>
    <col collapsed="false" customWidth="true" hidden="false" outlineLevel="0" max="16" min="15" style="0" width="11.43"/>
    <col collapsed="false" customWidth="true" hidden="false" outlineLevel="0" max="17" min="17" style="0" width="29.43"/>
  </cols>
  <sheetData>
    <row r="1" customFormat="false" ht="15.8" hidden="true" customHeight="true" outlineLevel="0" collapsed="false"/>
    <row r="2" customFormat="false" ht="15.75" hidden="true" customHeight="false" outlineLevel="0" collapsed="false"/>
    <row r="3" s="73" customFormat="true" ht="15.75" hidden="false" customHeight="false" outlineLevel="0" collapsed="false">
      <c r="A3" s="71"/>
      <c r="B3" s="71"/>
      <c r="C3" s="72" t="s">
        <v>718</v>
      </c>
      <c r="D3" s="72"/>
      <c r="E3" s="72"/>
      <c r="F3" s="72"/>
      <c r="G3" s="72"/>
      <c r="H3" s="72"/>
      <c r="I3" s="72"/>
      <c r="J3" s="72"/>
      <c r="K3" s="72"/>
      <c r="L3" s="72"/>
      <c r="M3" s="72"/>
      <c r="N3" s="72"/>
      <c r="O3" s="72"/>
      <c r="P3" s="72"/>
      <c r="Q3" s="72"/>
    </row>
    <row r="4" s="77" customFormat="true" ht="12" hidden="false" customHeight="true" outlineLevel="0" collapsed="false">
      <c r="A4" s="74"/>
      <c r="B4" s="74"/>
      <c r="C4" s="75" t="s">
        <v>214</v>
      </c>
      <c r="D4" s="76" t="str">
        <f aca="false">'Manual de Uso'!C110</f>
        <v>Nombre</v>
      </c>
      <c r="E4" s="76" t="str">
        <f aca="false">'Manual de Uso'!C111</f>
        <v>Agente Administrador</v>
      </c>
      <c r="F4" s="76" t="str">
        <f aca="false">'Manual de Uso'!C112</f>
        <v>Nivel de tensión [kV]</v>
      </c>
      <c r="G4" s="76" t="str">
        <f aca="false">'Manual de Uso'!C113</f>
        <v>Capacidad de interrupción [kA]</v>
      </c>
      <c r="H4" s="76" t="str">
        <f aca="false">'Manual de Uso'!C114</f>
        <v>Elemento limitante</v>
      </c>
      <c r="I4" s="76" t="str">
        <f aca="false">'Manual de Uso'!C115</f>
        <v>Configuración</v>
      </c>
      <c r="J4" s="76" t="str">
        <f aca="false">'Manual de Uso'!C116</f>
        <v>Tipo</v>
      </c>
      <c r="K4" s="76" t="str">
        <f aca="false">'Manual de Uso'!C117</f>
        <v>En Operación</v>
      </c>
      <c r="L4" s="76" t="str">
        <f aca="false">'Manual de Uso'!C118</f>
        <v>FPO</v>
      </c>
      <c r="M4" s="76" t="str">
        <f aca="false">'Manual de Uso'!C119</f>
        <v>Departamento</v>
      </c>
      <c r="N4" s="76" t="str">
        <f aca="false">'Manual de Uso'!C120</f>
        <v>Municipio</v>
      </c>
      <c r="O4" s="76" t="str">
        <f aca="false">'Manual de Uso'!C121</f>
        <v>Operador</v>
      </c>
      <c r="P4" s="76" t="str">
        <f aca="false">'Manual de Uso'!C122</f>
        <v>Tipo activo Uso/Conexión</v>
      </c>
      <c r="Q4" s="76" t="str">
        <f aca="false">'Manual de Uso'!C123</f>
        <v>Observaciones transportador</v>
      </c>
    </row>
    <row r="5" s="77" customFormat="true" ht="24" hidden="false" customHeight="true" outlineLevel="0" collapsed="false">
      <c r="A5" s="74"/>
      <c r="B5" s="74"/>
      <c r="C5" s="75"/>
      <c r="D5" s="76"/>
      <c r="E5" s="76"/>
      <c r="F5" s="76"/>
      <c r="G5" s="76"/>
      <c r="H5" s="76"/>
      <c r="I5" s="76"/>
      <c r="J5" s="76"/>
      <c r="K5" s="76"/>
      <c r="L5" s="76"/>
      <c r="M5" s="76"/>
      <c r="N5" s="76"/>
      <c r="O5" s="76"/>
      <c r="P5" s="76"/>
      <c r="Q5" s="76"/>
    </row>
    <row r="6" customFormat="false" ht="15" hidden="false" customHeight="false" outlineLevel="0" collapsed="false">
      <c r="A6" s="68" t="e">
        <f aca="false">VLOOKUP(E6,'[1]Listas Desplegables'!$H$3:$J$7,2,FALSE())</f>
        <v>#N/A</v>
      </c>
      <c r="B6" s="68" t="e">
        <f aca="false">VLOOKUP(E6,'[1]Listas Desplegables'!$H$3:$J$7,3,FALSE())</f>
        <v>#N/A</v>
      </c>
      <c r="C6" s="78" t="n">
        <v>1</v>
      </c>
      <c r="D6" s="79" t="s">
        <v>538</v>
      </c>
      <c r="E6" s="79" t="s">
        <v>719</v>
      </c>
      <c r="F6" s="80" t="n">
        <v>34.5</v>
      </c>
      <c r="G6" s="80" t="n">
        <v>25</v>
      </c>
      <c r="H6" s="81"/>
      <c r="I6" s="81" t="s">
        <v>720</v>
      </c>
      <c r="J6" s="82" t="s">
        <v>721</v>
      </c>
      <c r="K6" s="82" t="s">
        <v>221</v>
      </c>
      <c r="L6" s="81"/>
      <c r="M6" s="82" t="s">
        <v>722</v>
      </c>
      <c r="N6" s="82" t="s">
        <v>641</v>
      </c>
      <c r="O6" s="82"/>
      <c r="P6" s="82"/>
      <c r="Q6" s="81"/>
    </row>
    <row r="7" customFormat="false" ht="15" hidden="false" customHeight="false" outlineLevel="0" collapsed="false">
      <c r="A7" s="68" t="e">
        <f aca="false">VLOOKUP(E7,'[1]Listas Desplegables'!$H$3:$J$7,2,FALSE())</f>
        <v>#N/A</v>
      </c>
      <c r="B7" s="68" t="e">
        <f aca="false">VLOOKUP(E7,'[1]Listas Desplegables'!$H$3:$J$7,3,FALSE())</f>
        <v>#N/A</v>
      </c>
      <c r="C7" s="85" t="n">
        <v>2</v>
      </c>
      <c r="D7" s="86" t="s">
        <v>538</v>
      </c>
      <c r="E7" s="86" t="s">
        <v>719</v>
      </c>
      <c r="F7" s="87" t="n">
        <v>13.8</v>
      </c>
      <c r="G7" s="87" t="n">
        <v>25</v>
      </c>
      <c r="H7" s="88"/>
      <c r="I7" s="88" t="s">
        <v>720</v>
      </c>
      <c r="J7" s="89" t="s">
        <v>723</v>
      </c>
      <c r="K7" s="89" t="s">
        <v>221</v>
      </c>
      <c r="L7" s="88"/>
      <c r="M7" s="89" t="s">
        <v>722</v>
      </c>
      <c r="N7" s="89" t="s">
        <v>641</v>
      </c>
      <c r="O7" s="89"/>
      <c r="P7" s="89"/>
      <c r="Q7" s="88"/>
    </row>
    <row r="8" customFormat="false" ht="15" hidden="false" customHeight="false" outlineLevel="0" collapsed="false">
      <c r="A8" s="68" t="e">
        <f aca="false">VLOOKUP(E8,'[1]Listas Desplegables'!$H$3:$J$7,2,FALSE())</f>
        <v>#N/A</v>
      </c>
      <c r="B8" s="68" t="e">
        <f aca="false">VLOOKUP(E8,'[1]Listas Desplegables'!$H$3:$J$7,3,FALSE())</f>
        <v>#N/A</v>
      </c>
      <c r="C8" s="85" t="n">
        <v>3</v>
      </c>
      <c r="D8" s="86" t="s">
        <v>545</v>
      </c>
      <c r="E8" s="86" t="s">
        <v>719</v>
      </c>
      <c r="F8" s="87" t="n">
        <v>34.5</v>
      </c>
      <c r="G8" s="87" t="n">
        <v>10</v>
      </c>
      <c r="H8" s="88"/>
      <c r="I8" s="88" t="s">
        <v>720</v>
      </c>
      <c r="J8" s="89" t="s">
        <v>721</v>
      </c>
      <c r="K8" s="89" t="s">
        <v>221</v>
      </c>
      <c r="L8" s="88"/>
      <c r="M8" s="89" t="s">
        <v>724</v>
      </c>
      <c r="N8" s="89" t="s">
        <v>725</v>
      </c>
      <c r="O8" s="89"/>
      <c r="P8" s="89"/>
      <c r="Q8" s="88"/>
    </row>
    <row r="9" customFormat="false" ht="15" hidden="false" customHeight="false" outlineLevel="0" collapsed="false">
      <c r="A9" s="68" t="e">
        <f aca="false">VLOOKUP(E9,'[1]Listas Desplegables'!$H$3:$J$7,2,FALSE())</f>
        <v>#N/A</v>
      </c>
      <c r="B9" s="68" t="e">
        <f aca="false">VLOOKUP(E9,'[1]Listas Desplegables'!$H$3:$J$7,3,FALSE())</f>
        <v>#N/A</v>
      </c>
      <c r="C9" s="85" t="n">
        <v>4</v>
      </c>
      <c r="D9" s="86" t="s">
        <v>545</v>
      </c>
      <c r="E9" s="86" t="s">
        <v>719</v>
      </c>
      <c r="F9" s="87" t="n">
        <v>13.8</v>
      </c>
      <c r="G9" s="87" t="n">
        <v>12.5</v>
      </c>
      <c r="H9" s="88"/>
      <c r="I9" s="88" t="s">
        <v>720</v>
      </c>
      <c r="J9" s="89" t="s">
        <v>721</v>
      </c>
      <c r="K9" s="89" t="s">
        <v>221</v>
      </c>
      <c r="L9" s="88"/>
      <c r="M9" s="89" t="s">
        <v>724</v>
      </c>
      <c r="N9" s="89" t="s">
        <v>725</v>
      </c>
      <c r="O9" s="89"/>
      <c r="P9" s="89"/>
      <c r="Q9" s="88"/>
    </row>
    <row r="10" customFormat="false" ht="15" hidden="false" customHeight="false" outlineLevel="0" collapsed="false">
      <c r="A10" s="68" t="e">
        <f aca="false">VLOOKUP(E10,'[1]Listas Desplegables'!$H$3:$J$7,2,FALSE())</f>
        <v>#N/A</v>
      </c>
      <c r="B10" s="68" t="e">
        <f aca="false">VLOOKUP(E10,'[1]Listas Desplegables'!$H$3:$J$7,3,FALSE())</f>
        <v>#N/A</v>
      </c>
      <c r="C10" s="85" t="n">
        <v>5</v>
      </c>
      <c r="D10" s="86" t="s">
        <v>542</v>
      </c>
      <c r="E10" s="86" t="s">
        <v>719</v>
      </c>
      <c r="F10" s="87" t="n">
        <v>34.5</v>
      </c>
      <c r="G10" s="87" t="n">
        <v>8</v>
      </c>
      <c r="H10" s="88"/>
      <c r="I10" s="88" t="s">
        <v>720</v>
      </c>
      <c r="J10" s="89" t="s">
        <v>721</v>
      </c>
      <c r="K10" s="89" t="s">
        <v>221</v>
      </c>
      <c r="L10" s="88"/>
      <c r="M10" s="89" t="s">
        <v>722</v>
      </c>
      <c r="N10" s="89" t="s">
        <v>542</v>
      </c>
      <c r="O10" s="89"/>
      <c r="P10" s="89"/>
      <c r="Q10" s="88"/>
    </row>
    <row r="11" customFormat="false" ht="15" hidden="false" customHeight="false" outlineLevel="0" collapsed="false">
      <c r="A11" s="68" t="e">
        <f aca="false">VLOOKUP(E11,'[1]Listas Desplegables'!$H$3:$J$7,2,FALSE())</f>
        <v>#N/A</v>
      </c>
      <c r="B11" s="68" t="e">
        <f aca="false">VLOOKUP(E11,'[1]Listas Desplegables'!$H$3:$J$7,3,FALSE())</f>
        <v>#N/A</v>
      </c>
      <c r="C11" s="85" t="n">
        <v>6</v>
      </c>
      <c r="D11" s="86" t="s">
        <v>542</v>
      </c>
      <c r="E11" s="86" t="s">
        <v>719</v>
      </c>
      <c r="F11" s="87" t="n">
        <v>13.8</v>
      </c>
      <c r="G11" s="87" t="n">
        <v>12</v>
      </c>
      <c r="H11" s="88"/>
      <c r="I11" s="88" t="s">
        <v>720</v>
      </c>
      <c r="J11" s="89" t="s">
        <v>721</v>
      </c>
      <c r="K11" s="89" t="s">
        <v>221</v>
      </c>
      <c r="L11" s="88"/>
      <c r="M11" s="89" t="s">
        <v>722</v>
      </c>
      <c r="N11" s="89" t="s">
        <v>542</v>
      </c>
      <c r="O11" s="89"/>
      <c r="P11" s="89"/>
      <c r="Q11" s="88"/>
    </row>
    <row r="12" customFormat="false" ht="15" hidden="false" customHeight="false" outlineLevel="0" collapsed="false">
      <c r="A12" s="68" t="e">
        <f aca="false">VLOOKUP(E12,'[1]Listas Desplegables'!$H$3:$J$7,2,FALSE())</f>
        <v>#N/A</v>
      </c>
      <c r="B12" s="68" t="e">
        <f aca="false">VLOOKUP(E12,'[1]Listas Desplegables'!$H$3:$J$7,3,FALSE())</f>
        <v>#N/A</v>
      </c>
      <c r="C12" s="85" t="n">
        <v>7</v>
      </c>
      <c r="D12" s="86" t="s">
        <v>457</v>
      </c>
      <c r="E12" s="86" t="s">
        <v>719</v>
      </c>
      <c r="F12" s="87" t="n">
        <v>110</v>
      </c>
      <c r="G12" s="87" t="n">
        <v>25</v>
      </c>
      <c r="H12" s="88"/>
      <c r="I12" s="88" t="s">
        <v>726</v>
      </c>
      <c r="J12" s="89" t="s">
        <v>721</v>
      </c>
      <c r="K12" s="89" t="s">
        <v>221</v>
      </c>
      <c r="L12" s="88"/>
      <c r="M12" s="89" t="s">
        <v>724</v>
      </c>
      <c r="N12" s="89" t="s">
        <v>457</v>
      </c>
      <c r="O12" s="89"/>
      <c r="P12" s="89"/>
      <c r="Q12" s="88"/>
    </row>
    <row r="13" customFormat="false" ht="15" hidden="false" customHeight="false" outlineLevel="0" collapsed="false">
      <c r="A13" s="68" t="e">
        <f aca="false">VLOOKUP(E13,'[1]Listas Desplegables'!$H$3:$J$7,2,FALSE())</f>
        <v>#N/A</v>
      </c>
      <c r="B13" s="68" t="e">
        <f aca="false">VLOOKUP(E13,'[1]Listas Desplegables'!$H$3:$J$7,3,FALSE())</f>
        <v>#N/A</v>
      </c>
      <c r="C13" s="85" t="n">
        <v>8</v>
      </c>
      <c r="D13" s="86" t="s">
        <v>457</v>
      </c>
      <c r="E13" s="86" t="s">
        <v>719</v>
      </c>
      <c r="F13" s="87" t="n">
        <v>34.5</v>
      </c>
      <c r="G13" s="87" t="n">
        <v>25</v>
      </c>
      <c r="H13" s="88"/>
      <c r="I13" s="88" t="s">
        <v>720</v>
      </c>
      <c r="J13" s="89" t="s">
        <v>723</v>
      </c>
      <c r="K13" s="89" t="s">
        <v>221</v>
      </c>
      <c r="L13" s="88"/>
      <c r="M13" s="89" t="s">
        <v>724</v>
      </c>
      <c r="N13" s="89" t="s">
        <v>457</v>
      </c>
      <c r="O13" s="89"/>
      <c r="P13" s="89"/>
      <c r="Q13" s="88"/>
    </row>
    <row r="14" customFormat="false" ht="15" hidden="false" customHeight="false" outlineLevel="0" collapsed="false">
      <c r="A14" s="68" t="e">
        <f aca="false">VLOOKUP(E14,'[1]Listas Desplegables'!$H$3:$J$7,2,FALSE())</f>
        <v>#N/A</v>
      </c>
      <c r="B14" s="68" t="e">
        <f aca="false">VLOOKUP(E14,'[1]Listas Desplegables'!$H$3:$J$7,3,FALSE())</f>
        <v>#N/A</v>
      </c>
      <c r="C14" s="85" t="n">
        <v>9</v>
      </c>
      <c r="D14" s="86" t="s">
        <v>457</v>
      </c>
      <c r="E14" s="86" t="s">
        <v>719</v>
      </c>
      <c r="F14" s="87" t="n">
        <v>13.8</v>
      </c>
      <c r="G14" s="87" t="n">
        <v>25</v>
      </c>
      <c r="H14" s="88"/>
      <c r="I14" s="88" t="s">
        <v>720</v>
      </c>
      <c r="J14" s="89" t="s">
        <v>723</v>
      </c>
      <c r="K14" s="89" t="s">
        <v>221</v>
      </c>
      <c r="L14" s="88"/>
      <c r="M14" s="89" t="s">
        <v>724</v>
      </c>
      <c r="N14" s="89" t="s">
        <v>457</v>
      </c>
      <c r="O14" s="89"/>
      <c r="P14" s="89"/>
      <c r="Q14" s="88"/>
    </row>
    <row r="15" customFormat="false" ht="15" hidden="false" customHeight="false" outlineLevel="0" collapsed="false">
      <c r="A15" s="68" t="e">
        <f aca="false">VLOOKUP(E15,'[1]Listas Desplegables'!$H$3:$J$7,2,FALSE())</f>
        <v>#N/A</v>
      </c>
      <c r="B15" s="68" t="e">
        <f aca="false">VLOOKUP(E15,'[1]Listas Desplegables'!$H$3:$J$7,3,FALSE())</f>
        <v>#N/A</v>
      </c>
      <c r="C15" s="92" t="n">
        <v>10</v>
      </c>
      <c r="D15" s="86" t="s">
        <v>547</v>
      </c>
      <c r="E15" s="86" t="s">
        <v>719</v>
      </c>
      <c r="F15" s="87" t="n">
        <v>34.5</v>
      </c>
      <c r="G15" s="87" t="n">
        <v>12.5</v>
      </c>
      <c r="H15" s="88"/>
      <c r="I15" s="88" t="s">
        <v>720</v>
      </c>
      <c r="J15" s="89" t="s">
        <v>721</v>
      </c>
      <c r="K15" s="89" t="s">
        <v>221</v>
      </c>
      <c r="L15" s="88"/>
      <c r="M15" s="89" t="s">
        <v>727</v>
      </c>
      <c r="N15" s="89" t="s">
        <v>605</v>
      </c>
      <c r="O15" s="89"/>
      <c r="P15" s="89"/>
      <c r="Q15" s="88"/>
    </row>
    <row r="16" customFormat="false" ht="15" hidden="false" customHeight="false" outlineLevel="0" collapsed="false">
      <c r="A16" s="68" t="e">
        <f aca="false">VLOOKUP(E16,'[1]Listas Desplegables'!$H$3:$J$7,2,FALSE())</f>
        <v>#N/A</v>
      </c>
      <c r="B16" s="68" t="e">
        <f aca="false">VLOOKUP(E16,'[1]Listas Desplegables'!$H$3:$J$7,3,FALSE())</f>
        <v>#N/A</v>
      </c>
      <c r="C16" s="85" t="n">
        <v>11</v>
      </c>
      <c r="D16" s="86" t="s">
        <v>547</v>
      </c>
      <c r="E16" s="86" t="s">
        <v>719</v>
      </c>
      <c r="F16" s="87" t="n">
        <v>13.8</v>
      </c>
      <c r="G16" s="87" t="n">
        <v>12.5</v>
      </c>
      <c r="H16" s="88"/>
      <c r="I16" s="88" t="s">
        <v>720</v>
      </c>
      <c r="J16" s="89" t="s">
        <v>721</v>
      </c>
      <c r="K16" s="89" t="s">
        <v>221</v>
      </c>
      <c r="L16" s="88"/>
      <c r="M16" s="89" t="s">
        <v>727</v>
      </c>
      <c r="N16" s="89" t="s">
        <v>605</v>
      </c>
      <c r="O16" s="89"/>
      <c r="P16" s="89"/>
      <c r="Q16" s="88" t="s">
        <v>728</v>
      </c>
    </row>
    <row r="17" customFormat="false" ht="15" hidden="false" customHeight="false" outlineLevel="0" collapsed="false">
      <c r="A17" s="68" t="e">
        <f aca="false">VLOOKUP(E17,'[1]Listas Desplegables'!$H$3:$J$7,2,FALSE())</f>
        <v>#N/A</v>
      </c>
      <c r="B17" s="68" t="e">
        <f aca="false">VLOOKUP(E17,'[1]Listas Desplegables'!$H$3:$J$7,3,FALSE())</f>
        <v>#N/A</v>
      </c>
      <c r="C17" s="85" t="n">
        <v>12</v>
      </c>
      <c r="D17" s="86" t="s">
        <v>555</v>
      </c>
      <c r="E17" s="86" t="s">
        <v>719</v>
      </c>
      <c r="F17" s="87" t="n">
        <v>34.5</v>
      </c>
      <c r="G17" s="87" t="n">
        <v>25</v>
      </c>
      <c r="H17" s="88"/>
      <c r="I17" s="88" t="s">
        <v>720</v>
      </c>
      <c r="J17" s="89" t="s">
        <v>723</v>
      </c>
      <c r="K17" s="89" t="s">
        <v>221</v>
      </c>
      <c r="L17" s="88"/>
      <c r="M17" s="89" t="s">
        <v>722</v>
      </c>
      <c r="N17" s="89" t="s">
        <v>641</v>
      </c>
      <c r="O17" s="89"/>
      <c r="P17" s="89"/>
      <c r="Q17" s="88"/>
    </row>
    <row r="18" customFormat="false" ht="15" hidden="false" customHeight="false" outlineLevel="0" collapsed="false">
      <c r="A18" s="68" t="e">
        <f aca="false">VLOOKUP(E18,'[1]Listas Desplegables'!$H$3:$J$7,2,FALSE())</f>
        <v>#N/A</v>
      </c>
      <c r="B18" s="68" t="e">
        <f aca="false">VLOOKUP(E18,'[1]Listas Desplegables'!$H$3:$J$7,3,FALSE())</f>
        <v>#N/A</v>
      </c>
      <c r="C18" s="85" t="n">
        <v>13</v>
      </c>
      <c r="D18" s="86" t="s">
        <v>555</v>
      </c>
      <c r="E18" s="86" t="s">
        <v>719</v>
      </c>
      <c r="F18" s="87" t="n">
        <v>13.8</v>
      </c>
      <c r="G18" s="87" t="n">
        <v>12.5</v>
      </c>
      <c r="H18" s="88"/>
      <c r="I18" s="88" t="s">
        <v>720</v>
      </c>
      <c r="J18" s="89" t="s">
        <v>721</v>
      </c>
      <c r="K18" s="89" t="s">
        <v>221</v>
      </c>
      <c r="L18" s="88"/>
      <c r="M18" s="89" t="s">
        <v>722</v>
      </c>
      <c r="N18" s="89" t="s">
        <v>641</v>
      </c>
      <c r="O18" s="89"/>
      <c r="P18" s="89"/>
      <c r="Q18" s="88"/>
    </row>
    <row r="19" customFormat="false" ht="15" hidden="false" customHeight="false" outlineLevel="0" collapsed="false">
      <c r="A19" s="68" t="e">
        <f aca="false">VLOOKUP(E19,'[1]Listas Desplegables'!$H$3:$J$7,2,FALSE())</f>
        <v>#N/A</v>
      </c>
      <c r="B19" s="68" t="e">
        <f aca="false">VLOOKUP(E19,'[1]Listas Desplegables'!$H$3:$J$7,3,FALSE())</f>
        <v>#N/A</v>
      </c>
      <c r="C19" s="85" t="n">
        <v>14</v>
      </c>
      <c r="D19" s="86" t="s">
        <v>550</v>
      </c>
      <c r="E19" s="86" t="s">
        <v>719</v>
      </c>
      <c r="F19" s="87" t="n">
        <v>34.5</v>
      </c>
      <c r="G19" s="87" t="n">
        <v>12</v>
      </c>
      <c r="H19" s="88"/>
      <c r="I19" s="88" t="s">
        <v>720</v>
      </c>
      <c r="J19" s="89" t="s">
        <v>721</v>
      </c>
      <c r="K19" s="89" t="s">
        <v>221</v>
      </c>
      <c r="L19" s="88"/>
      <c r="M19" s="89" t="s">
        <v>727</v>
      </c>
      <c r="N19" s="89" t="s">
        <v>550</v>
      </c>
      <c r="O19" s="89"/>
      <c r="P19" s="89"/>
      <c r="Q19" s="88"/>
    </row>
    <row r="20" customFormat="false" ht="15" hidden="false" customHeight="false" outlineLevel="0" collapsed="false">
      <c r="A20" s="68" t="e">
        <f aca="false">VLOOKUP(E20,'[1]Listas Desplegables'!$H$3:$J$7,2,FALSE())</f>
        <v>#N/A</v>
      </c>
      <c r="B20" s="68" t="e">
        <f aca="false">VLOOKUP(E20,'[1]Listas Desplegables'!$H$3:$J$7,3,FALSE())</f>
        <v>#N/A</v>
      </c>
      <c r="C20" s="85" t="n">
        <v>15</v>
      </c>
      <c r="D20" s="86" t="s">
        <v>550</v>
      </c>
      <c r="E20" s="86" t="s">
        <v>719</v>
      </c>
      <c r="F20" s="87" t="n">
        <v>13.8</v>
      </c>
      <c r="G20" s="87" t="n">
        <v>12.1</v>
      </c>
      <c r="H20" s="88"/>
      <c r="I20" s="88" t="s">
        <v>720</v>
      </c>
      <c r="J20" s="89" t="s">
        <v>721</v>
      </c>
      <c r="K20" s="89" t="s">
        <v>221</v>
      </c>
      <c r="L20" s="88"/>
      <c r="M20" s="89" t="s">
        <v>727</v>
      </c>
      <c r="N20" s="89" t="s">
        <v>550</v>
      </c>
      <c r="O20" s="89"/>
      <c r="P20" s="89"/>
      <c r="Q20" s="88"/>
    </row>
    <row r="21" customFormat="false" ht="15" hidden="false" customHeight="false" outlineLevel="0" collapsed="false">
      <c r="A21" s="68" t="e">
        <f aca="false">VLOOKUP(E21,'[1]Listas Desplegables'!$H$3:$J$7,2,FALSE())</f>
        <v>#N/A</v>
      </c>
      <c r="B21" s="68" t="e">
        <f aca="false">VLOOKUP(E21,'[1]Listas Desplegables'!$H$3:$J$7,3,FALSE())</f>
        <v>#N/A</v>
      </c>
      <c r="C21" s="85" t="n">
        <v>16</v>
      </c>
      <c r="D21" s="86" t="s">
        <v>560</v>
      </c>
      <c r="E21" s="86" t="s">
        <v>719</v>
      </c>
      <c r="F21" s="87" t="n">
        <v>34.5</v>
      </c>
      <c r="G21" s="87" t="n">
        <v>12.5</v>
      </c>
      <c r="H21" s="88"/>
      <c r="I21" s="88" t="s">
        <v>720</v>
      </c>
      <c r="J21" s="89" t="s">
        <v>721</v>
      </c>
      <c r="K21" s="89" t="s">
        <v>221</v>
      </c>
      <c r="L21" s="88"/>
      <c r="M21" s="89" t="s">
        <v>722</v>
      </c>
      <c r="N21" s="89" t="s">
        <v>729</v>
      </c>
      <c r="O21" s="89"/>
      <c r="P21" s="89"/>
      <c r="Q21" s="88" t="s">
        <v>728</v>
      </c>
    </row>
    <row r="22" customFormat="false" ht="15" hidden="false" customHeight="false" outlineLevel="0" collapsed="false">
      <c r="A22" s="68" t="e">
        <f aca="false">VLOOKUP(E22,'[1]Listas Desplegables'!$H$3:$J$7,2,FALSE())</f>
        <v>#N/A</v>
      </c>
      <c r="B22" s="68" t="e">
        <f aca="false">VLOOKUP(E22,'[1]Listas Desplegables'!$H$3:$J$7,3,FALSE())</f>
        <v>#N/A</v>
      </c>
      <c r="C22" s="85" t="n">
        <v>17</v>
      </c>
      <c r="D22" s="86" t="s">
        <v>560</v>
      </c>
      <c r="E22" s="86" t="s">
        <v>719</v>
      </c>
      <c r="F22" s="87" t="n">
        <v>13.8</v>
      </c>
      <c r="G22" s="87" t="n">
        <v>12.5</v>
      </c>
      <c r="H22" s="88"/>
      <c r="I22" s="88" t="s">
        <v>720</v>
      </c>
      <c r="J22" s="89" t="s">
        <v>721</v>
      </c>
      <c r="K22" s="89" t="s">
        <v>221</v>
      </c>
      <c r="L22" s="88"/>
      <c r="M22" s="89" t="s">
        <v>722</v>
      </c>
      <c r="N22" s="89" t="s">
        <v>729</v>
      </c>
      <c r="O22" s="89"/>
      <c r="P22" s="89"/>
      <c r="Q22" s="88"/>
    </row>
    <row r="23" customFormat="false" ht="15" hidden="false" customHeight="false" outlineLevel="0" collapsed="false">
      <c r="A23" s="68" t="e">
        <f aca="false">VLOOKUP(E23,'[1]Listas Desplegables'!$H$3:$J$7,2,FALSE())</f>
        <v>#N/A</v>
      </c>
      <c r="B23" s="68" t="e">
        <f aca="false">VLOOKUP(E23,'[1]Listas Desplegables'!$H$3:$J$7,3,FALSE())</f>
        <v>#N/A</v>
      </c>
      <c r="C23" s="85" t="n">
        <v>18</v>
      </c>
      <c r="D23" s="86" t="s">
        <v>672</v>
      </c>
      <c r="E23" s="86" t="s">
        <v>719</v>
      </c>
      <c r="F23" s="87" t="n">
        <v>34.5</v>
      </c>
      <c r="G23" s="87" t="n">
        <v>25</v>
      </c>
      <c r="H23" s="88"/>
      <c r="I23" s="88" t="s">
        <v>720</v>
      </c>
      <c r="J23" s="89" t="s">
        <v>721</v>
      </c>
      <c r="K23" s="89" t="s">
        <v>221</v>
      </c>
      <c r="L23" s="88"/>
      <c r="M23" s="89" t="s">
        <v>724</v>
      </c>
      <c r="N23" s="89" t="s">
        <v>672</v>
      </c>
      <c r="O23" s="89"/>
      <c r="P23" s="89"/>
      <c r="Q23" s="88" t="s">
        <v>728</v>
      </c>
    </row>
    <row r="24" customFormat="false" ht="15" hidden="false" customHeight="false" outlineLevel="0" collapsed="false">
      <c r="A24" s="68" t="e">
        <f aca="false">VLOOKUP(E24,'[1]Listas Desplegables'!$H$3:$J$7,2,FALSE())</f>
        <v>#N/A</v>
      </c>
      <c r="B24" s="68" t="e">
        <f aca="false">VLOOKUP(E24,'[1]Listas Desplegables'!$H$3:$J$7,3,FALSE())</f>
        <v>#N/A</v>
      </c>
      <c r="C24" s="92" t="n">
        <v>19</v>
      </c>
      <c r="D24" s="86" t="s">
        <v>672</v>
      </c>
      <c r="E24" s="86" t="s">
        <v>719</v>
      </c>
      <c r="F24" s="87" t="n">
        <v>13.8</v>
      </c>
      <c r="G24" s="87" t="n">
        <v>12.5</v>
      </c>
      <c r="H24" s="88"/>
      <c r="I24" s="88" t="s">
        <v>720</v>
      </c>
      <c r="J24" s="89" t="s">
        <v>721</v>
      </c>
      <c r="K24" s="89" t="s">
        <v>221</v>
      </c>
      <c r="L24" s="88"/>
      <c r="M24" s="89" t="s">
        <v>724</v>
      </c>
      <c r="N24" s="89" t="s">
        <v>672</v>
      </c>
      <c r="O24" s="89"/>
      <c r="P24" s="89"/>
      <c r="Q24" s="88"/>
    </row>
    <row r="25" customFormat="false" ht="15" hidden="false" customHeight="false" outlineLevel="0" collapsed="false">
      <c r="A25" s="68" t="e">
        <f aca="false">VLOOKUP(E25,'[1]Listas Desplegables'!$H$3:$J$7,2,FALSE())</f>
        <v>#N/A</v>
      </c>
      <c r="B25" s="68" t="e">
        <f aca="false">VLOOKUP(E25,'[1]Listas Desplegables'!$H$3:$J$7,3,FALSE())</f>
        <v>#N/A</v>
      </c>
      <c r="C25" s="93" t="n">
        <v>20</v>
      </c>
      <c r="D25" s="94" t="s">
        <v>518</v>
      </c>
      <c r="E25" s="94" t="s">
        <v>719</v>
      </c>
      <c r="F25" s="109" t="n">
        <v>110</v>
      </c>
      <c r="G25" s="87" t="n">
        <v>31.5</v>
      </c>
      <c r="H25" s="88"/>
      <c r="I25" s="88" t="s">
        <v>726</v>
      </c>
      <c r="J25" s="89" t="s">
        <v>721</v>
      </c>
      <c r="K25" s="89" t="s">
        <v>221</v>
      </c>
      <c r="L25" s="88"/>
      <c r="M25" s="89" t="s">
        <v>724</v>
      </c>
      <c r="N25" s="89" t="s">
        <v>730</v>
      </c>
      <c r="O25" s="89"/>
      <c r="P25" s="89"/>
      <c r="Q25" s="88"/>
    </row>
    <row r="26" customFormat="false" ht="15" hidden="false" customHeight="false" outlineLevel="0" collapsed="false">
      <c r="A26" s="68" t="e">
        <f aca="false">VLOOKUP(E26,'[1]Listas Desplegables'!$H$3:$J$7,2,FALSE())</f>
        <v>#N/A</v>
      </c>
      <c r="B26" s="68" t="e">
        <f aca="false">VLOOKUP(E26,'[1]Listas Desplegables'!$H$3:$J$7,3,FALSE())</f>
        <v>#N/A</v>
      </c>
      <c r="C26" s="92" t="n">
        <v>21</v>
      </c>
      <c r="D26" s="94" t="s">
        <v>518</v>
      </c>
      <c r="E26" s="94" t="s">
        <v>719</v>
      </c>
      <c r="F26" s="109" t="n">
        <v>13.8</v>
      </c>
      <c r="G26" s="87" t="n">
        <v>25</v>
      </c>
      <c r="H26" s="88"/>
      <c r="I26" s="88" t="s">
        <v>720</v>
      </c>
      <c r="J26" s="89" t="s">
        <v>723</v>
      </c>
      <c r="K26" s="89" t="s">
        <v>221</v>
      </c>
      <c r="L26" s="88"/>
      <c r="M26" s="89" t="s">
        <v>724</v>
      </c>
      <c r="N26" s="89" t="s">
        <v>730</v>
      </c>
      <c r="O26" s="89"/>
      <c r="P26" s="89"/>
      <c r="Q26" s="88"/>
    </row>
    <row r="27" customFormat="false" ht="15" hidden="false" customHeight="false" outlineLevel="0" collapsed="false">
      <c r="A27" s="68" t="e">
        <f aca="false">VLOOKUP(E27,'[1]Listas Desplegables'!$H$3:$J$7,2,FALSE())</f>
        <v>#N/A</v>
      </c>
      <c r="B27" s="68" t="e">
        <f aca="false">VLOOKUP(E27,'[1]Listas Desplegables'!$H$3:$J$7,3,FALSE())</f>
        <v>#N/A</v>
      </c>
      <c r="C27" s="85" t="n">
        <v>22</v>
      </c>
      <c r="D27" s="94" t="s">
        <v>558</v>
      </c>
      <c r="E27" s="94" t="s">
        <v>719</v>
      </c>
      <c r="F27" s="109" t="n">
        <v>34.5</v>
      </c>
      <c r="G27" s="87" t="n">
        <v>12.5</v>
      </c>
      <c r="H27" s="88"/>
      <c r="I27" s="88" t="s">
        <v>720</v>
      </c>
      <c r="J27" s="89" t="s">
        <v>721</v>
      </c>
      <c r="K27" s="89" t="s">
        <v>221</v>
      </c>
      <c r="L27" s="88"/>
      <c r="M27" s="89" t="s">
        <v>727</v>
      </c>
      <c r="N27" s="89" t="s">
        <v>465</v>
      </c>
      <c r="O27" s="89"/>
      <c r="P27" s="89"/>
      <c r="Q27" s="88" t="s">
        <v>728</v>
      </c>
    </row>
    <row r="28" customFormat="false" ht="15" hidden="false" customHeight="false" outlineLevel="0" collapsed="false">
      <c r="A28" s="68" t="e">
        <f aca="false">VLOOKUP(E28,'[1]Listas Desplegables'!$H$3:$J$7,2,FALSE())</f>
        <v>#N/A</v>
      </c>
      <c r="B28" s="68" t="e">
        <f aca="false">VLOOKUP(E28,'[1]Listas Desplegables'!$H$3:$J$7,3,FALSE())</f>
        <v>#N/A</v>
      </c>
      <c r="C28" s="85" t="n">
        <v>23</v>
      </c>
      <c r="D28" s="94" t="s">
        <v>558</v>
      </c>
      <c r="E28" s="94" t="s">
        <v>719</v>
      </c>
      <c r="F28" s="109" t="n">
        <v>13.8</v>
      </c>
      <c r="G28" s="87" t="n">
        <v>12.5</v>
      </c>
      <c r="H28" s="88"/>
      <c r="I28" s="88" t="s">
        <v>720</v>
      </c>
      <c r="J28" s="89" t="s">
        <v>721</v>
      </c>
      <c r="K28" s="89" t="s">
        <v>221</v>
      </c>
      <c r="L28" s="88"/>
      <c r="M28" s="89" t="s">
        <v>727</v>
      </c>
      <c r="N28" s="89" t="s">
        <v>465</v>
      </c>
      <c r="O28" s="89"/>
      <c r="P28" s="89"/>
      <c r="Q28" s="88"/>
    </row>
    <row r="29" customFormat="false" ht="15" hidden="false" customHeight="false" outlineLevel="0" collapsed="false">
      <c r="A29" s="68" t="e">
        <f aca="false">VLOOKUP(E29,'[1]Listas Desplegables'!$H$3:$J$7,2,FALSE())</f>
        <v>#N/A</v>
      </c>
      <c r="B29" s="68" t="e">
        <f aca="false">VLOOKUP(E29,'[1]Listas Desplegables'!$H$3:$J$7,3,FALSE())</f>
        <v>#N/A</v>
      </c>
      <c r="C29" s="85" t="n">
        <v>24</v>
      </c>
      <c r="D29" s="94" t="s">
        <v>438</v>
      </c>
      <c r="E29" s="94" t="s">
        <v>719</v>
      </c>
      <c r="F29" s="109" t="n">
        <v>110</v>
      </c>
      <c r="G29" s="87" t="n">
        <v>31.5</v>
      </c>
      <c r="H29" s="88"/>
      <c r="I29" s="88" t="s">
        <v>720</v>
      </c>
      <c r="J29" s="89" t="s">
        <v>721</v>
      </c>
      <c r="K29" s="89" t="s">
        <v>221</v>
      </c>
      <c r="L29" s="88"/>
      <c r="M29" s="89" t="s">
        <v>722</v>
      </c>
      <c r="N29" s="89" t="s">
        <v>438</v>
      </c>
      <c r="O29" s="89"/>
      <c r="P29" s="89"/>
      <c r="Q29" s="88"/>
    </row>
    <row r="30" customFormat="false" ht="15" hidden="false" customHeight="false" outlineLevel="0" collapsed="false">
      <c r="A30" s="68" t="e">
        <f aca="false">VLOOKUP(E30,'[1]Listas Desplegables'!$H$3:$J$7,2,FALSE())</f>
        <v>#N/A</v>
      </c>
      <c r="B30" s="68" t="e">
        <f aca="false">VLOOKUP(E30,'[1]Listas Desplegables'!$H$3:$J$7,3,FALSE())</f>
        <v>#N/A</v>
      </c>
      <c r="C30" s="85" t="n">
        <v>25</v>
      </c>
      <c r="D30" s="94" t="s">
        <v>438</v>
      </c>
      <c r="E30" s="94" t="s">
        <v>719</v>
      </c>
      <c r="F30" s="109" t="n">
        <v>13.8</v>
      </c>
      <c r="G30" s="87" t="n">
        <v>25</v>
      </c>
      <c r="H30" s="88"/>
      <c r="I30" s="88" t="s">
        <v>720</v>
      </c>
      <c r="J30" s="89" t="s">
        <v>723</v>
      </c>
      <c r="K30" s="89" t="s">
        <v>221</v>
      </c>
      <c r="L30" s="88"/>
      <c r="M30" s="89" t="s">
        <v>722</v>
      </c>
      <c r="N30" s="89" t="s">
        <v>438</v>
      </c>
      <c r="O30" s="89"/>
      <c r="P30" s="89"/>
      <c r="Q30" s="88"/>
    </row>
    <row r="31" customFormat="false" ht="15" hidden="false" customHeight="false" outlineLevel="0" collapsed="false">
      <c r="A31" s="68" t="e">
        <f aca="false">VLOOKUP(E31,'[1]Listas Desplegables'!$H$3:$J$7,2,FALSE())</f>
        <v>#N/A</v>
      </c>
      <c r="B31" s="68" t="e">
        <f aca="false">VLOOKUP(E31,'[1]Listas Desplegables'!$H$3:$J$7,3,FALSE())</f>
        <v>#N/A</v>
      </c>
      <c r="C31" s="85" t="n">
        <v>26</v>
      </c>
      <c r="D31" s="94" t="s">
        <v>731</v>
      </c>
      <c r="E31" s="94" t="s">
        <v>719</v>
      </c>
      <c r="F31" s="109" t="n">
        <v>13.8</v>
      </c>
      <c r="G31" s="87" t="n">
        <v>25</v>
      </c>
      <c r="H31" s="88"/>
      <c r="I31" s="88" t="s">
        <v>720</v>
      </c>
      <c r="J31" s="89" t="s">
        <v>723</v>
      </c>
      <c r="K31" s="89" t="s">
        <v>221</v>
      </c>
      <c r="L31" s="88"/>
      <c r="M31" s="89" t="s">
        <v>724</v>
      </c>
      <c r="N31" s="89" t="s">
        <v>732</v>
      </c>
      <c r="O31" s="89"/>
      <c r="P31" s="89"/>
      <c r="Q31" s="88"/>
    </row>
    <row r="32" customFormat="false" ht="15" hidden="false" customHeight="false" outlineLevel="0" collapsed="false">
      <c r="A32" s="68" t="e">
        <f aca="false">VLOOKUP(E32,'[1]Listas Desplegables'!$H$3:$J$7,2,FALSE())</f>
        <v>#N/A</v>
      </c>
      <c r="B32" s="68" t="e">
        <f aca="false">VLOOKUP(E32,'[1]Listas Desplegables'!$H$3:$J$7,3,FALSE())</f>
        <v>#N/A</v>
      </c>
      <c r="C32" s="85" t="n">
        <v>27</v>
      </c>
      <c r="D32" s="94" t="s">
        <v>565</v>
      </c>
      <c r="E32" s="94" t="s">
        <v>719</v>
      </c>
      <c r="F32" s="109" t="n">
        <v>110</v>
      </c>
      <c r="G32" s="87" t="n">
        <v>31.5</v>
      </c>
      <c r="H32" s="88"/>
      <c r="I32" s="88" t="s">
        <v>733</v>
      </c>
      <c r="J32" s="89" t="s">
        <v>723</v>
      </c>
      <c r="K32" s="89" t="s">
        <v>221</v>
      </c>
      <c r="L32" s="88"/>
      <c r="M32" s="89" t="s">
        <v>724</v>
      </c>
      <c r="N32" s="89" t="s">
        <v>730</v>
      </c>
      <c r="O32" s="89"/>
      <c r="P32" s="89"/>
      <c r="Q32" s="88"/>
    </row>
    <row r="33" customFormat="false" ht="15" hidden="false" customHeight="false" outlineLevel="0" collapsed="false">
      <c r="A33" s="68" t="e">
        <f aca="false">VLOOKUP(E33,'[1]Listas Desplegables'!$H$3:$J$7,2,FALSE())</f>
        <v>#N/A</v>
      </c>
      <c r="B33" s="68" t="e">
        <f aca="false">VLOOKUP(E33,'[1]Listas Desplegables'!$H$3:$J$7,3,FALSE())</f>
        <v>#N/A</v>
      </c>
      <c r="C33" s="85" t="n">
        <v>28</v>
      </c>
      <c r="D33" s="94" t="s">
        <v>565</v>
      </c>
      <c r="E33" s="94" t="s">
        <v>719</v>
      </c>
      <c r="F33" s="109" t="n">
        <v>13.8</v>
      </c>
      <c r="G33" s="87" t="n">
        <v>25</v>
      </c>
      <c r="H33" s="88"/>
      <c r="I33" s="88" t="s">
        <v>733</v>
      </c>
      <c r="J33" s="89" t="s">
        <v>723</v>
      </c>
      <c r="K33" s="89" t="s">
        <v>221</v>
      </c>
      <c r="L33" s="88"/>
      <c r="M33" s="89" t="s">
        <v>724</v>
      </c>
      <c r="N33" s="89" t="s">
        <v>730</v>
      </c>
      <c r="O33" s="89"/>
      <c r="P33" s="89"/>
      <c r="Q33" s="88"/>
    </row>
    <row r="34" customFormat="false" ht="15" hidden="false" customHeight="false" outlineLevel="0" collapsed="false">
      <c r="A34" s="68" t="e">
        <f aca="false">VLOOKUP(E34,'[1]Listas Desplegables'!$H$3:$J$7,2,FALSE())</f>
        <v>#N/A</v>
      </c>
      <c r="B34" s="68" t="e">
        <f aca="false">VLOOKUP(E34,'[1]Listas Desplegables'!$H$3:$J$7,3,FALSE())</f>
        <v>#N/A</v>
      </c>
      <c r="C34" s="85" t="n">
        <v>29</v>
      </c>
      <c r="D34" s="94" t="s">
        <v>446</v>
      </c>
      <c r="E34" s="94" t="s">
        <v>719</v>
      </c>
      <c r="F34" s="109" t="n">
        <v>13.8</v>
      </c>
      <c r="G34" s="87" t="n">
        <v>16</v>
      </c>
      <c r="H34" s="88"/>
      <c r="I34" s="88" t="s">
        <v>720</v>
      </c>
      <c r="J34" s="89" t="s">
        <v>723</v>
      </c>
      <c r="K34" s="89" t="s">
        <v>221</v>
      </c>
      <c r="L34" s="88"/>
      <c r="M34" s="89" t="s">
        <v>727</v>
      </c>
      <c r="N34" s="89" t="s">
        <v>734</v>
      </c>
      <c r="O34" s="89"/>
      <c r="P34" s="89"/>
      <c r="Q34" s="88"/>
    </row>
    <row r="35" customFormat="false" ht="15" hidden="false" customHeight="false" outlineLevel="0" collapsed="false">
      <c r="A35" s="68" t="e">
        <f aca="false">VLOOKUP(E35,'[1]Listas Desplegables'!$H$3:$J$7,2,FALSE())</f>
        <v>#N/A</v>
      </c>
      <c r="B35" s="68" t="e">
        <f aca="false">VLOOKUP(E35,'[1]Listas Desplegables'!$H$3:$J$7,3,FALSE())</f>
        <v>#N/A</v>
      </c>
      <c r="C35" s="92" t="n">
        <v>30</v>
      </c>
      <c r="D35" s="94" t="s">
        <v>575</v>
      </c>
      <c r="E35" s="94" t="s">
        <v>719</v>
      </c>
      <c r="F35" s="109" t="n">
        <v>110</v>
      </c>
      <c r="G35" s="87" t="n">
        <v>31.5</v>
      </c>
      <c r="H35" s="88"/>
      <c r="I35" s="88" t="s">
        <v>720</v>
      </c>
      <c r="J35" s="89" t="s">
        <v>721</v>
      </c>
      <c r="K35" s="89" t="s">
        <v>221</v>
      </c>
      <c r="L35" s="88"/>
      <c r="M35" s="89" t="s">
        <v>724</v>
      </c>
      <c r="N35" s="89" t="s">
        <v>730</v>
      </c>
      <c r="O35" s="89"/>
      <c r="P35" s="89"/>
      <c r="Q35" s="88"/>
    </row>
    <row r="36" customFormat="false" ht="15" hidden="false" customHeight="false" outlineLevel="0" collapsed="false">
      <c r="A36" s="68" t="e">
        <f aca="false">VLOOKUP(E36,'[1]Listas Desplegables'!$H$3:$J$7,2,FALSE())</f>
        <v>#N/A</v>
      </c>
      <c r="B36" s="68" t="e">
        <f aca="false">VLOOKUP(E36,'[1]Listas Desplegables'!$H$3:$J$7,3,FALSE())</f>
        <v>#N/A</v>
      </c>
      <c r="C36" s="85" t="n">
        <v>31</v>
      </c>
      <c r="D36" s="94" t="s">
        <v>575</v>
      </c>
      <c r="E36" s="94" t="s">
        <v>719</v>
      </c>
      <c r="F36" s="109" t="n">
        <v>34.5</v>
      </c>
      <c r="G36" s="87" t="n">
        <v>31.5</v>
      </c>
      <c r="H36" s="88"/>
      <c r="I36" s="88" t="s">
        <v>720</v>
      </c>
      <c r="J36" s="89" t="s">
        <v>723</v>
      </c>
      <c r="K36" s="89" t="s">
        <v>221</v>
      </c>
      <c r="L36" s="88"/>
      <c r="M36" s="89" t="s">
        <v>724</v>
      </c>
      <c r="N36" s="89" t="s">
        <v>730</v>
      </c>
      <c r="O36" s="89"/>
      <c r="P36" s="89"/>
      <c r="Q36" s="88"/>
    </row>
    <row r="37" customFormat="false" ht="15" hidden="false" customHeight="false" outlineLevel="0" collapsed="false">
      <c r="A37" s="68" t="e">
        <f aca="false">VLOOKUP(E37,'[1]Listas Desplegables'!$H$3:$J$7,2,FALSE())</f>
        <v>#N/A</v>
      </c>
      <c r="B37" s="68" t="e">
        <f aca="false">VLOOKUP(E37,'[1]Listas Desplegables'!$H$3:$J$7,3,FALSE())</f>
        <v>#N/A</v>
      </c>
      <c r="C37" s="85" t="n">
        <v>32</v>
      </c>
      <c r="D37" s="94" t="s">
        <v>575</v>
      </c>
      <c r="E37" s="94" t="s">
        <v>719</v>
      </c>
      <c r="F37" s="109" t="n">
        <v>13.8</v>
      </c>
      <c r="G37" s="87" t="n">
        <v>40</v>
      </c>
      <c r="H37" s="88"/>
      <c r="I37" s="88" t="s">
        <v>720</v>
      </c>
      <c r="J37" s="89" t="s">
        <v>723</v>
      </c>
      <c r="K37" s="89" t="s">
        <v>221</v>
      </c>
      <c r="L37" s="88"/>
      <c r="M37" s="89" t="s">
        <v>724</v>
      </c>
      <c r="N37" s="89" t="s">
        <v>730</v>
      </c>
      <c r="O37" s="89"/>
      <c r="P37" s="89"/>
      <c r="Q37" s="88"/>
    </row>
    <row r="38" customFormat="false" ht="15" hidden="false" customHeight="false" outlineLevel="0" collapsed="false">
      <c r="A38" s="68" t="e">
        <f aca="false">VLOOKUP(E38,'[1]Listas Desplegables'!$H$3:$J$7,2,FALSE())</f>
        <v>#N/A</v>
      </c>
      <c r="B38" s="68" t="e">
        <f aca="false">VLOOKUP(E38,'[1]Listas Desplegables'!$H$3:$J$7,3,FALSE())</f>
        <v>#N/A</v>
      </c>
      <c r="C38" s="85" t="n">
        <v>33</v>
      </c>
      <c r="D38" s="94" t="s">
        <v>498</v>
      </c>
      <c r="E38" s="94" t="s">
        <v>719</v>
      </c>
      <c r="F38" s="109" t="n">
        <v>110</v>
      </c>
      <c r="G38" s="87" t="n">
        <v>31.5</v>
      </c>
      <c r="H38" s="88"/>
      <c r="I38" s="88" t="s">
        <v>733</v>
      </c>
      <c r="J38" s="89" t="s">
        <v>723</v>
      </c>
      <c r="K38" s="89" t="s">
        <v>221</v>
      </c>
      <c r="L38" s="88"/>
      <c r="M38" s="89" t="s">
        <v>724</v>
      </c>
      <c r="N38" s="89" t="s">
        <v>730</v>
      </c>
      <c r="O38" s="89"/>
      <c r="P38" s="89"/>
      <c r="Q38" s="88"/>
    </row>
    <row r="39" customFormat="false" ht="15" hidden="false" customHeight="false" outlineLevel="0" collapsed="false">
      <c r="A39" s="68" t="e">
        <f aca="false">VLOOKUP(E39,'[1]Listas Desplegables'!$H$3:$J$7,2,FALSE())</f>
        <v>#N/A</v>
      </c>
      <c r="B39" s="68" t="e">
        <f aca="false">VLOOKUP(E39,'[1]Listas Desplegables'!$H$3:$J$7,3,FALSE())</f>
        <v>#N/A</v>
      </c>
      <c r="C39" s="85" t="n">
        <v>34</v>
      </c>
      <c r="D39" s="94" t="s">
        <v>498</v>
      </c>
      <c r="E39" s="94" t="s">
        <v>719</v>
      </c>
      <c r="F39" s="109" t="n">
        <v>34.5</v>
      </c>
      <c r="G39" s="87" t="n">
        <v>25</v>
      </c>
      <c r="H39" s="88"/>
      <c r="I39" s="88" t="s">
        <v>720</v>
      </c>
      <c r="J39" s="89" t="s">
        <v>723</v>
      </c>
      <c r="K39" s="89" t="s">
        <v>221</v>
      </c>
      <c r="L39" s="88"/>
      <c r="M39" s="89" t="s">
        <v>724</v>
      </c>
      <c r="N39" s="89" t="s">
        <v>730</v>
      </c>
      <c r="O39" s="89"/>
      <c r="P39" s="89"/>
      <c r="Q39" s="88"/>
    </row>
    <row r="40" customFormat="false" ht="15" hidden="false" customHeight="false" outlineLevel="0" collapsed="false">
      <c r="A40" s="68" t="e">
        <f aca="false">VLOOKUP(E40,'[1]Listas Desplegables'!$H$3:$J$7,2,FALSE())</f>
        <v>#N/A</v>
      </c>
      <c r="B40" s="68" t="e">
        <f aca="false">VLOOKUP(E40,'[1]Listas Desplegables'!$H$3:$J$7,3,FALSE())</f>
        <v>#N/A</v>
      </c>
      <c r="C40" s="85" t="n">
        <v>35</v>
      </c>
      <c r="D40" s="94" t="s">
        <v>498</v>
      </c>
      <c r="E40" s="94" t="s">
        <v>719</v>
      </c>
      <c r="F40" s="109" t="n">
        <v>13.8</v>
      </c>
      <c r="G40" s="87" t="n">
        <v>25</v>
      </c>
      <c r="H40" s="88"/>
      <c r="I40" s="88" t="s">
        <v>733</v>
      </c>
      <c r="J40" s="89" t="s">
        <v>723</v>
      </c>
      <c r="K40" s="89" t="s">
        <v>221</v>
      </c>
      <c r="L40" s="88"/>
      <c r="M40" s="89" t="s">
        <v>724</v>
      </c>
      <c r="N40" s="89" t="s">
        <v>730</v>
      </c>
      <c r="O40" s="89"/>
      <c r="P40" s="89"/>
      <c r="Q40" s="88"/>
    </row>
    <row r="41" customFormat="false" ht="15" hidden="false" customHeight="false" outlineLevel="0" collapsed="false">
      <c r="A41" s="68" t="e">
        <f aca="false">VLOOKUP(E41,'[1]Listas Desplegables'!$H$3:$J$7,2,FALSE())</f>
        <v>#N/A</v>
      </c>
      <c r="B41" s="68" t="e">
        <f aca="false">VLOOKUP(E41,'[1]Listas Desplegables'!$H$3:$J$7,3,FALSE())</f>
        <v>#N/A</v>
      </c>
      <c r="C41" s="85" t="n">
        <v>36</v>
      </c>
      <c r="D41" s="94" t="s">
        <v>581</v>
      </c>
      <c r="E41" s="94" t="s">
        <v>719</v>
      </c>
      <c r="F41" s="109" t="n">
        <v>34.5</v>
      </c>
      <c r="G41" s="87" t="n">
        <v>8</v>
      </c>
      <c r="H41" s="88"/>
      <c r="I41" s="88" t="s">
        <v>720</v>
      </c>
      <c r="J41" s="89" t="s">
        <v>721</v>
      </c>
      <c r="K41" s="89" t="s">
        <v>221</v>
      </c>
      <c r="L41" s="88"/>
      <c r="M41" s="89" t="s">
        <v>727</v>
      </c>
      <c r="N41" s="89" t="s">
        <v>581</v>
      </c>
      <c r="O41" s="89"/>
      <c r="P41" s="89"/>
      <c r="Q41" s="88"/>
    </row>
    <row r="42" customFormat="false" ht="15" hidden="false" customHeight="false" outlineLevel="0" collapsed="false">
      <c r="A42" s="68" t="e">
        <f aca="false">VLOOKUP(E42,'[1]Listas Desplegables'!$H$3:$J$7,2,FALSE())</f>
        <v>#N/A</v>
      </c>
      <c r="B42" s="68" t="e">
        <f aca="false">VLOOKUP(E42,'[1]Listas Desplegables'!$H$3:$J$7,3,FALSE())</f>
        <v>#N/A</v>
      </c>
      <c r="C42" s="85" t="n">
        <v>37</v>
      </c>
      <c r="D42" s="94" t="s">
        <v>581</v>
      </c>
      <c r="E42" s="94" t="s">
        <v>719</v>
      </c>
      <c r="F42" s="109" t="n">
        <v>13.8</v>
      </c>
      <c r="G42" s="87" t="n">
        <v>12.5</v>
      </c>
      <c r="H42" s="88"/>
      <c r="I42" s="88" t="s">
        <v>720</v>
      </c>
      <c r="J42" s="89" t="s">
        <v>723</v>
      </c>
      <c r="K42" s="89" t="s">
        <v>221</v>
      </c>
      <c r="L42" s="88"/>
      <c r="M42" s="89" t="s">
        <v>727</v>
      </c>
      <c r="N42" s="89" t="s">
        <v>581</v>
      </c>
      <c r="O42" s="89"/>
      <c r="P42" s="89"/>
      <c r="Q42" s="88"/>
    </row>
    <row r="43" customFormat="false" ht="15" hidden="false" customHeight="false" outlineLevel="0" collapsed="false">
      <c r="A43" s="68" t="e">
        <f aca="false">VLOOKUP(E43,'[1]Listas Desplegables'!$H$3:$J$7,2,FALSE())</f>
        <v>#N/A</v>
      </c>
      <c r="B43" s="68" t="e">
        <f aca="false">VLOOKUP(E43,'[1]Listas Desplegables'!$H$3:$J$7,3,FALSE())</f>
        <v>#N/A</v>
      </c>
      <c r="C43" s="85" t="n">
        <v>38</v>
      </c>
      <c r="D43" s="94" t="s">
        <v>679</v>
      </c>
      <c r="E43" s="94" t="s">
        <v>719</v>
      </c>
      <c r="F43" s="109" t="n">
        <v>13.8</v>
      </c>
      <c r="G43" s="87" t="n">
        <v>25</v>
      </c>
      <c r="H43" s="88"/>
      <c r="I43" s="88" t="s">
        <v>720</v>
      </c>
      <c r="J43" s="89" t="s">
        <v>723</v>
      </c>
      <c r="K43" s="89" t="s">
        <v>221</v>
      </c>
      <c r="L43" s="88"/>
      <c r="M43" s="89" t="s">
        <v>722</v>
      </c>
      <c r="N43" s="89" t="s">
        <v>679</v>
      </c>
      <c r="O43" s="89"/>
      <c r="P43" s="89"/>
      <c r="Q43" s="88"/>
    </row>
    <row r="44" customFormat="false" ht="15" hidden="false" customHeight="false" outlineLevel="0" collapsed="false">
      <c r="A44" s="68" t="e">
        <f aca="false">VLOOKUP(E44,'[1]Listas Desplegables'!$H$3:$J$7,2,FALSE())</f>
        <v>#N/A</v>
      </c>
      <c r="B44" s="68" t="e">
        <f aca="false">VLOOKUP(E44,'[1]Listas Desplegables'!$H$3:$J$7,3,FALSE())</f>
        <v>#N/A</v>
      </c>
      <c r="C44" s="85" t="n">
        <v>39</v>
      </c>
      <c r="D44" s="94" t="s">
        <v>480</v>
      </c>
      <c r="E44" s="94" t="s">
        <v>719</v>
      </c>
      <c r="F44" s="109" t="n">
        <v>110</v>
      </c>
      <c r="G44" s="87" t="n">
        <v>31.5</v>
      </c>
      <c r="H44" s="88"/>
      <c r="I44" s="88" t="s">
        <v>726</v>
      </c>
      <c r="J44" s="89" t="s">
        <v>721</v>
      </c>
      <c r="K44" s="89" t="s">
        <v>221</v>
      </c>
      <c r="L44" s="88"/>
      <c r="M44" s="89" t="s">
        <v>722</v>
      </c>
      <c r="N44" s="89" t="s">
        <v>641</v>
      </c>
      <c r="O44" s="89"/>
      <c r="P44" s="89"/>
      <c r="Q44" s="88"/>
    </row>
    <row r="45" customFormat="false" ht="15" hidden="false" customHeight="false" outlineLevel="0" collapsed="false">
      <c r="A45" s="68" t="e">
        <f aca="false">VLOOKUP(E45,'[1]Listas Desplegables'!$H$3:$J$7,2,FALSE())</f>
        <v>#N/A</v>
      </c>
      <c r="B45" s="68" t="e">
        <f aca="false">VLOOKUP(E45,'[1]Listas Desplegables'!$H$3:$J$7,3,FALSE())</f>
        <v>#N/A</v>
      </c>
      <c r="C45" s="85" t="n">
        <v>40</v>
      </c>
      <c r="D45" s="94" t="s">
        <v>480</v>
      </c>
      <c r="E45" s="94" t="s">
        <v>719</v>
      </c>
      <c r="F45" s="109" t="n">
        <v>34.5</v>
      </c>
      <c r="G45" s="87" t="n">
        <v>25</v>
      </c>
      <c r="H45" s="88"/>
      <c r="I45" s="88" t="s">
        <v>720</v>
      </c>
      <c r="J45" s="89" t="s">
        <v>723</v>
      </c>
      <c r="K45" s="89" t="s">
        <v>221</v>
      </c>
      <c r="L45" s="88"/>
      <c r="M45" s="89" t="s">
        <v>722</v>
      </c>
      <c r="N45" s="89" t="s">
        <v>641</v>
      </c>
      <c r="O45" s="89"/>
      <c r="P45" s="89"/>
      <c r="Q45" s="88"/>
    </row>
    <row r="46" customFormat="false" ht="15" hidden="false" customHeight="false" outlineLevel="0" collapsed="false">
      <c r="A46" s="68" t="e">
        <f aca="false">VLOOKUP(E46,'[1]Listas Desplegables'!$H$3:$J$7,2,FALSE())</f>
        <v>#N/A</v>
      </c>
      <c r="B46" s="68" t="e">
        <f aca="false">VLOOKUP(E46,'[1]Listas Desplegables'!$H$3:$J$7,3,FALSE())</f>
        <v>#N/A</v>
      </c>
      <c r="C46" s="85" t="n">
        <v>41</v>
      </c>
      <c r="D46" s="94" t="s">
        <v>480</v>
      </c>
      <c r="E46" s="94" t="s">
        <v>719</v>
      </c>
      <c r="F46" s="109" t="n">
        <v>13.8</v>
      </c>
      <c r="G46" s="87" t="n">
        <v>25</v>
      </c>
      <c r="H46" s="88"/>
      <c r="I46" s="88" t="s">
        <v>720</v>
      </c>
      <c r="J46" s="89" t="s">
        <v>723</v>
      </c>
      <c r="K46" s="89" t="s">
        <v>221</v>
      </c>
      <c r="L46" s="88"/>
      <c r="M46" s="89" t="s">
        <v>722</v>
      </c>
      <c r="N46" s="89" t="s">
        <v>641</v>
      </c>
      <c r="O46" s="89"/>
      <c r="P46" s="89"/>
      <c r="Q46" s="88"/>
    </row>
    <row r="47" customFormat="false" ht="15" hidden="false" customHeight="false" outlineLevel="0" collapsed="false">
      <c r="A47" s="68" t="e">
        <f aca="false">VLOOKUP(E47,'[1]Listas Desplegables'!$H$3:$J$7,2,FALSE())</f>
        <v>#N/A</v>
      </c>
      <c r="B47" s="68" t="e">
        <f aca="false">VLOOKUP(E47,'[1]Listas Desplegables'!$H$3:$J$7,3,FALSE())</f>
        <v>#N/A</v>
      </c>
      <c r="C47" s="85" t="n">
        <v>42</v>
      </c>
      <c r="D47" s="94" t="s">
        <v>434</v>
      </c>
      <c r="E47" s="94" t="s">
        <v>719</v>
      </c>
      <c r="F47" s="109" t="n">
        <v>34.5</v>
      </c>
      <c r="G47" s="87" t="n">
        <v>10</v>
      </c>
      <c r="H47" s="88"/>
      <c r="I47" s="88" t="s">
        <v>720</v>
      </c>
      <c r="J47" s="89" t="s">
        <v>721</v>
      </c>
      <c r="K47" s="89" t="s">
        <v>221</v>
      </c>
      <c r="L47" s="88"/>
      <c r="M47" s="89" t="s">
        <v>722</v>
      </c>
      <c r="N47" s="89" t="s">
        <v>735</v>
      </c>
      <c r="O47" s="89"/>
      <c r="P47" s="89"/>
      <c r="Q47" s="88"/>
    </row>
    <row r="48" customFormat="false" ht="15" hidden="false" customHeight="false" outlineLevel="0" collapsed="false">
      <c r="A48" s="68" t="e">
        <f aca="false">VLOOKUP(E48,'[1]Listas Desplegables'!$H$3:$J$7,2,FALSE())</f>
        <v>#N/A</v>
      </c>
      <c r="B48" s="68" t="e">
        <f aca="false">VLOOKUP(E48,'[1]Listas Desplegables'!$H$3:$J$7,3,FALSE())</f>
        <v>#N/A</v>
      </c>
      <c r="C48" s="85" t="n">
        <v>43</v>
      </c>
      <c r="D48" s="94" t="s">
        <v>434</v>
      </c>
      <c r="E48" s="94" t="s">
        <v>719</v>
      </c>
      <c r="F48" s="109" t="n">
        <v>13.8</v>
      </c>
      <c r="G48" s="87" t="n">
        <v>12.5</v>
      </c>
      <c r="H48" s="88"/>
      <c r="I48" s="88" t="s">
        <v>720</v>
      </c>
      <c r="J48" s="89" t="s">
        <v>721</v>
      </c>
      <c r="K48" s="89" t="s">
        <v>221</v>
      </c>
      <c r="L48" s="88"/>
      <c r="M48" s="89" t="s">
        <v>722</v>
      </c>
      <c r="N48" s="89" t="s">
        <v>735</v>
      </c>
      <c r="O48" s="89"/>
      <c r="P48" s="89"/>
      <c r="Q48" s="88"/>
    </row>
    <row r="49" customFormat="false" ht="15" hidden="false" customHeight="false" outlineLevel="0" collapsed="false">
      <c r="A49" s="68" t="e">
        <f aca="false">VLOOKUP(E49,'[1]Listas Desplegables'!$H$3:$J$7,2,FALSE())</f>
        <v>#N/A</v>
      </c>
      <c r="B49" s="68" t="e">
        <f aca="false">VLOOKUP(E49,'[1]Listas Desplegables'!$H$3:$J$7,3,FALSE())</f>
        <v>#N/A</v>
      </c>
      <c r="C49" s="85" t="n">
        <v>44</v>
      </c>
      <c r="D49" s="94" t="s">
        <v>585</v>
      </c>
      <c r="E49" s="94" t="s">
        <v>719</v>
      </c>
      <c r="F49" s="109" t="n">
        <v>34.5</v>
      </c>
      <c r="G49" s="87" t="n">
        <v>6</v>
      </c>
      <c r="H49" s="88"/>
      <c r="I49" s="88" t="s">
        <v>720</v>
      </c>
      <c r="J49" s="89" t="s">
        <v>721</v>
      </c>
      <c r="K49" s="89" t="s">
        <v>221</v>
      </c>
      <c r="L49" s="88"/>
      <c r="M49" s="89" t="s">
        <v>727</v>
      </c>
      <c r="N49" s="89" t="s">
        <v>736</v>
      </c>
      <c r="O49" s="89"/>
      <c r="P49" s="89"/>
      <c r="Q49" s="88"/>
    </row>
    <row r="50" customFormat="false" ht="15" hidden="false" customHeight="false" outlineLevel="0" collapsed="false">
      <c r="A50" s="68" t="e">
        <f aca="false">VLOOKUP(E50,'[1]Listas Desplegables'!$H$3:$J$7,2,FALSE())</f>
        <v>#N/A</v>
      </c>
      <c r="B50" s="68" t="e">
        <f aca="false">VLOOKUP(E50,'[1]Listas Desplegables'!$H$3:$J$7,3,FALSE())</f>
        <v>#N/A</v>
      </c>
      <c r="C50" s="85" t="n">
        <v>45</v>
      </c>
      <c r="D50" s="94" t="s">
        <v>585</v>
      </c>
      <c r="E50" s="94" t="s">
        <v>719</v>
      </c>
      <c r="F50" s="109" t="n">
        <v>13.8</v>
      </c>
      <c r="G50" s="87" t="n">
        <v>8</v>
      </c>
      <c r="H50" s="88"/>
      <c r="I50" s="88" t="s">
        <v>720</v>
      </c>
      <c r="J50" s="89" t="s">
        <v>721</v>
      </c>
      <c r="K50" s="89" t="s">
        <v>221</v>
      </c>
      <c r="L50" s="88"/>
      <c r="M50" s="89" t="s">
        <v>727</v>
      </c>
      <c r="N50" s="89" t="s">
        <v>736</v>
      </c>
      <c r="O50" s="89"/>
      <c r="P50" s="89"/>
      <c r="Q50" s="88"/>
    </row>
    <row r="51" customFormat="false" ht="15" hidden="false" customHeight="false" outlineLevel="0" collapsed="false">
      <c r="A51" s="68" t="e">
        <f aca="false">VLOOKUP(E51,'[1]Listas Desplegables'!$H$3:$J$7,2,FALSE())</f>
        <v>#N/A</v>
      </c>
      <c r="B51" s="68" t="e">
        <f aca="false">VLOOKUP(E51,'[1]Listas Desplegables'!$H$3:$J$7,3,FALSE())</f>
        <v>#N/A</v>
      </c>
      <c r="C51" s="85" t="n">
        <v>46</v>
      </c>
      <c r="D51" s="94" t="s">
        <v>588</v>
      </c>
      <c r="E51" s="94" t="s">
        <v>719</v>
      </c>
      <c r="F51" s="109" t="n">
        <v>34.5</v>
      </c>
      <c r="G51" s="87" t="n">
        <v>12.5</v>
      </c>
      <c r="H51" s="88"/>
      <c r="I51" s="88" t="s">
        <v>720</v>
      </c>
      <c r="J51" s="89" t="s">
        <v>721</v>
      </c>
      <c r="K51" s="89" t="s">
        <v>221</v>
      </c>
      <c r="L51" s="88"/>
      <c r="M51" s="89" t="s">
        <v>724</v>
      </c>
      <c r="N51" s="89" t="s">
        <v>588</v>
      </c>
      <c r="O51" s="89"/>
      <c r="P51" s="89"/>
      <c r="Q51" s="88"/>
    </row>
    <row r="52" customFormat="false" ht="15" hidden="false" customHeight="false" outlineLevel="0" collapsed="false">
      <c r="A52" s="68" t="e">
        <f aca="false">VLOOKUP(E52,'[1]Listas Desplegables'!$H$3:$J$7,2,FALSE())</f>
        <v>#N/A</v>
      </c>
      <c r="B52" s="68" t="e">
        <f aca="false">VLOOKUP(E52,'[1]Listas Desplegables'!$H$3:$J$7,3,FALSE())</f>
        <v>#N/A</v>
      </c>
      <c r="C52" s="85" t="n">
        <v>47</v>
      </c>
      <c r="D52" s="94" t="s">
        <v>588</v>
      </c>
      <c r="E52" s="94" t="s">
        <v>719</v>
      </c>
      <c r="F52" s="109" t="n">
        <v>13.8</v>
      </c>
      <c r="G52" s="87" t="n">
        <v>12</v>
      </c>
      <c r="H52" s="88"/>
      <c r="I52" s="88" t="s">
        <v>720</v>
      </c>
      <c r="J52" s="89" t="s">
        <v>721</v>
      </c>
      <c r="K52" s="89" t="s">
        <v>221</v>
      </c>
      <c r="L52" s="88"/>
      <c r="M52" s="89" t="s">
        <v>724</v>
      </c>
      <c r="N52" s="89" t="s">
        <v>588</v>
      </c>
      <c r="O52" s="89"/>
      <c r="P52" s="89"/>
      <c r="Q52" s="88"/>
    </row>
    <row r="53" customFormat="false" ht="15" hidden="false" customHeight="false" outlineLevel="0" collapsed="false">
      <c r="A53" s="68" t="e">
        <f aca="false">VLOOKUP(E53,'[1]Listas Desplegables'!$H$3:$J$7,2,FALSE())</f>
        <v>#N/A</v>
      </c>
      <c r="B53" s="68" t="e">
        <f aca="false">VLOOKUP(E53,'[1]Listas Desplegables'!$H$3:$J$7,3,FALSE())</f>
        <v>#N/A</v>
      </c>
      <c r="C53" s="85" t="n">
        <v>48</v>
      </c>
      <c r="D53" s="94" t="s">
        <v>489</v>
      </c>
      <c r="E53" s="94" t="s">
        <v>719</v>
      </c>
      <c r="F53" s="109" t="n">
        <v>110</v>
      </c>
      <c r="G53" s="87" t="n">
        <v>31.5</v>
      </c>
      <c r="H53" s="88"/>
      <c r="I53" s="88" t="s">
        <v>720</v>
      </c>
      <c r="J53" s="89" t="s">
        <v>721</v>
      </c>
      <c r="K53" s="89" t="s">
        <v>221</v>
      </c>
      <c r="L53" s="88"/>
      <c r="M53" s="89" t="s">
        <v>724</v>
      </c>
      <c r="N53" s="89" t="s">
        <v>730</v>
      </c>
      <c r="O53" s="89"/>
      <c r="P53" s="89"/>
      <c r="Q53" s="88"/>
    </row>
    <row r="54" customFormat="false" ht="15" hidden="false" customHeight="false" outlineLevel="0" collapsed="false">
      <c r="A54" s="68" t="e">
        <f aca="false">VLOOKUP(E54,'[1]Listas Desplegables'!$H$3:$J$7,2,FALSE())</f>
        <v>#N/A</v>
      </c>
      <c r="B54" s="68" t="e">
        <f aca="false">VLOOKUP(E54,'[1]Listas Desplegables'!$H$3:$J$7,3,FALSE())</f>
        <v>#N/A</v>
      </c>
      <c r="C54" s="85" t="n">
        <v>49</v>
      </c>
      <c r="D54" s="94" t="s">
        <v>489</v>
      </c>
      <c r="E54" s="94" t="s">
        <v>719</v>
      </c>
      <c r="F54" s="109" t="n">
        <v>34.5</v>
      </c>
      <c r="G54" s="87" t="n">
        <v>25</v>
      </c>
      <c r="H54" s="88"/>
      <c r="I54" s="88" t="s">
        <v>720</v>
      </c>
      <c r="J54" s="89" t="s">
        <v>723</v>
      </c>
      <c r="K54" s="89" t="s">
        <v>221</v>
      </c>
      <c r="L54" s="88"/>
      <c r="M54" s="89" t="s">
        <v>724</v>
      </c>
      <c r="N54" s="89" t="s">
        <v>730</v>
      </c>
      <c r="O54" s="89"/>
      <c r="P54" s="89"/>
      <c r="Q54" s="88"/>
    </row>
    <row r="55" customFormat="false" ht="15" hidden="false" customHeight="false" outlineLevel="0" collapsed="false">
      <c r="A55" s="68" t="e">
        <f aca="false">VLOOKUP(E55,'[1]Listas Desplegables'!$H$3:$J$7,2,FALSE())</f>
        <v>#N/A</v>
      </c>
      <c r="B55" s="68" t="e">
        <f aca="false">VLOOKUP(E55,'[1]Listas Desplegables'!$H$3:$J$7,3,FALSE())</f>
        <v>#N/A</v>
      </c>
      <c r="C55" s="85" t="n">
        <v>50</v>
      </c>
      <c r="D55" s="94" t="s">
        <v>489</v>
      </c>
      <c r="E55" s="94" t="s">
        <v>719</v>
      </c>
      <c r="F55" s="109" t="n">
        <v>13.8</v>
      </c>
      <c r="G55" s="87" t="n">
        <v>25</v>
      </c>
      <c r="H55" s="88"/>
      <c r="I55" s="88" t="s">
        <v>720</v>
      </c>
      <c r="J55" s="89" t="s">
        <v>723</v>
      </c>
      <c r="K55" s="89" t="s">
        <v>221</v>
      </c>
      <c r="L55" s="88"/>
      <c r="M55" s="89" t="s">
        <v>724</v>
      </c>
      <c r="N55" s="89" t="s">
        <v>730</v>
      </c>
      <c r="O55" s="89"/>
      <c r="P55" s="89"/>
      <c r="Q55" s="88"/>
    </row>
    <row r="56" customFormat="false" ht="15" hidden="false" customHeight="false" outlineLevel="0" collapsed="false">
      <c r="A56" s="68" t="e">
        <f aca="false">VLOOKUP(E56,'[1]Listas Desplegables'!$H$3:$J$7,2,FALSE())</f>
        <v>#N/A</v>
      </c>
      <c r="B56" s="68" t="e">
        <f aca="false">VLOOKUP(E56,'[1]Listas Desplegables'!$H$3:$J$7,3,FALSE())</f>
        <v>#N/A</v>
      </c>
      <c r="C56" s="85" t="n">
        <v>51</v>
      </c>
      <c r="D56" s="94" t="s">
        <v>597</v>
      </c>
      <c r="E56" s="94" t="s">
        <v>719</v>
      </c>
      <c r="F56" s="109" t="n">
        <v>110</v>
      </c>
      <c r="G56" s="87" t="n">
        <v>25</v>
      </c>
      <c r="H56" s="88"/>
      <c r="I56" s="88" t="s">
        <v>720</v>
      </c>
      <c r="J56" s="89" t="s">
        <v>721</v>
      </c>
      <c r="K56" s="89" t="s">
        <v>221</v>
      </c>
      <c r="L56" s="88"/>
      <c r="M56" s="89" t="s">
        <v>722</v>
      </c>
      <c r="N56" s="89" t="s">
        <v>641</v>
      </c>
      <c r="O56" s="89"/>
      <c r="P56" s="89"/>
      <c r="Q56" s="88"/>
    </row>
    <row r="57" customFormat="false" ht="15" hidden="false" customHeight="false" outlineLevel="0" collapsed="false">
      <c r="A57" s="68" t="e">
        <f aca="false">VLOOKUP(E57,'[1]Listas Desplegables'!$H$3:$J$7,2,FALSE())</f>
        <v>#N/A</v>
      </c>
      <c r="B57" s="68" t="e">
        <f aca="false">VLOOKUP(E57,'[1]Listas Desplegables'!$H$3:$J$7,3,FALSE())</f>
        <v>#N/A</v>
      </c>
      <c r="C57" s="85" t="n">
        <v>52</v>
      </c>
      <c r="D57" s="94" t="s">
        <v>597</v>
      </c>
      <c r="E57" s="94" t="s">
        <v>719</v>
      </c>
      <c r="F57" s="109" t="n">
        <v>13.8</v>
      </c>
      <c r="G57" s="87" t="n">
        <v>20</v>
      </c>
      <c r="H57" s="88"/>
      <c r="I57" s="88" t="s">
        <v>720</v>
      </c>
      <c r="J57" s="89" t="s">
        <v>723</v>
      </c>
      <c r="K57" s="89" t="s">
        <v>221</v>
      </c>
      <c r="L57" s="88"/>
      <c r="M57" s="89" t="s">
        <v>722</v>
      </c>
      <c r="N57" s="89" t="s">
        <v>641</v>
      </c>
      <c r="O57" s="89"/>
      <c r="P57" s="89"/>
      <c r="Q57" s="88"/>
    </row>
    <row r="58" customFormat="false" ht="15" hidden="false" customHeight="false" outlineLevel="0" collapsed="false">
      <c r="A58" s="68" t="e">
        <f aca="false">VLOOKUP(E58,'[1]Listas Desplegables'!$H$3:$J$7,2,FALSE())</f>
        <v>#N/A</v>
      </c>
      <c r="B58" s="68" t="e">
        <f aca="false">VLOOKUP(E58,'[1]Listas Desplegables'!$H$3:$J$7,3,FALSE())</f>
        <v>#N/A</v>
      </c>
      <c r="C58" s="85" t="n">
        <v>53</v>
      </c>
      <c r="D58" s="94" t="s">
        <v>590</v>
      </c>
      <c r="E58" s="94" t="s">
        <v>719</v>
      </c>
      <c r="F58" s="109" t="n">
        <v>34.5</v>
      </c>
      <c r="G58" s="87" t="n">
        <v>12.5</v>
      </c>
      <c r="H58" s="88"/>
      <c r="I58" s="88" t="s">
        <v>720</v>
      </c>
      <c r="J58" s="89" t="s">
        <v>721</v>
      </c>
      <c r="K58" s="89" t="s">
        <v>221</v>
      </c>
      <c r="L58" s="88"/>
      <c r="M58" s="89" t="s">
        <v>722</v>
      </c>
      <c r="N58" s="89" t="s">
        <v>624</v>
      </c>
      <c r="O58" s="89"/>
      <c r="P58" s="89"/>
      <c r="Q58" s="88" t="s">
        <v>728</v>
      </c>
    </row>
    <row r="59" customFormat="false" ht="15" hidden="false" customHeight="false" outlineLevel="0" collapsed="false">
      <c r="A59" s="68" t="e">
        <f aca="false">VLOOKUP(E59,'[1]Listas Desplegables'!$H$3:$J$7,2,FALSE())</f>
        <v>#N/A</v>
      </c>
      <c r="B59" s="68" t="e">
        <f aca="false">VLOOKUP(E59,'[1]Listas Desplegables'!$H$3:$J$7,3,FALSE())</f>
        <v>#N/A</v>
      </c>
      <c r="C59" s="85" t="n">
        <v>54</v>
      </c>
      <c r="D59" s="94" t="s">
        <v>590</v>
      </c>
      <c r="E59" s="94" t="s">
        <v>719</v>
      </c>
      <c r="F59" s="109" t="n">
        <v>13.8</v>
      </c>
      <c r="G59" s="87" t="n">
        <v>12.5</v>
      </c>
      <c r="H59" s="88"/>
      <c r="I59" s="88" t="s">
        <v>720</v>
      </c>
      <c r="J59" s="89" t="s">
        <v>721</v>
      </c>
      <c r="K59" s="89" t="s">
        <v>221</v>
      </c>
      <c r="L59" s="88"/>
      <c r="M59" s="89" t="s">
        <v>722</v>
      </c>
      <c r="N59" s="89" t="s">
        <v>624</v>
      </c>
      <c r="O59" s="89"/>
      <c r="P59" s="89"/>
      <c r="Q59" s="88" t="s">
        <v>728</v>
      </c>
    </row>
    <row r="60" customFormat="false" ht="15" hidden="false" customHeight="false" outlineLevel="0" collapsed="false">
      <c r="A60" s="68" t="e">
        <f aca="false">VLOOKUP(E60,'[1]Listas Desplegables'!$H$3:$J$7,2,FALSE())</f>
        <v>#N/A</v>
      </c>
      <c r="B60" s="68" t="e">
        <f aca="false">VLOOKUP(E60,'[1]Listas Desplegables'!$H$3:$J$7,3,FALSE())</f>
        <v>#N/A</v>
      </c>
      <c r="C60" s="85" t="n">
        <v>55</v>
      </c>
      <c r="D60" s="94" t="s">
        <v>607</v>
      </c>
      <c r="E60" s="94" t="s">
        <v>719</v>
      </c>
      <c r="F60" s="109" t="n">
        <v>110</v>
      </c>
      <c r="G60" s="87" t="n">
        <v>31.5</v>
      </c>
      <c r="H60" s="88"/>
      <c r="I60" s="88" t="s">
        <v>720</v>
      </c>
      <c r="J60" s="89" t="s">
        <v>721</v>
      </c>
      <c r="K60" s="89" t="s">
        <v>221</v>
      </c>
      <c r="L60" s="88"/>
      <c r="M60" s="89" t="s">
        <v>722</v>
      </c>
      <c r="N60" s="89" t="s">
        <v>641</v>
      </c>
      <c r="O60" s="89"/>
      <c r="P60" s="89"/>
      <c r="Q60" s="88"/>
    </row>
    <row r="61" customFormat="false" ht="15" hidden="false" customHeight="false" outlineLevel="0" collapsed="false">
      <c r="A61" s="68" t="e">
        <f aca="false">VLOOKUP(E61,'[1]Listas Desplegables'!$H$3:$J$7,2,FALSE())</f>
        <v>#N/A</v>
      </c>
      <c r="B61" s="68" t="e">
        <f aca="false">VLOOKUP(E61,'[1]Listas Desplegables'!$H$3:$J$7,3,FALSE())</f>
        <v>#N/A</v>
      </c>
      <c r="C61" s="85" t="n">
        <v>56</v>
      </c>
      <c r="D61" s="94" t="s">
        <v>607</v>
      </c>
      <c r="E61" s="94" t="s">
        <v>719</v>
      </c>
      <c r="F61" s="109" t="n">
        <v>13.8</v>
      </c>
      <c r="G61" s="87" t="n">
        <v>25</v>
      </c>
      <c r="H61" s="88"/>
      <c r="I61" s="88" t="s">
        <v>720</v>
      </c>
      <c r="J61" s="89" t="s">
        <v>723</v>
      </c>
      <c r="K61" s="89" t="s">
        <v>221</v>
      </c>
      <c r="L61" s="88"/>
      <c r="M61" s="89" t="s">
        <v>722</v>
      </c>
      <c r="N61" s="89" t="s">
        <v>641</v>
      </c>
      <c r="O61" s="89"/>
      <c r="P61" s="89"/>
      <c r="Q61" s="88"/>
    </row>
    <row r="62" customFormat="false" ht="15" hidden="false" customHeight="false" outlineLevel="0" collapsed="false">
      <c r="A62" s="68" t="e">
        <f aca="false">VLOOKUP(E62,'[1]Listas Desplegables'!$H$3:$J$7,2,FALSE())</f>
        <v>#N/A</v>
      </c>
      <c r="B62" s="68" t="e">
        <f aca="false">VLOOKUP(E62,'[1]Listas Desplegables'!$H$3:$J$7,3,FALSE())</f>
        <v>#N/A</v>
      </c>
      <c r="C62" s="85" t="n">
        <v>57</v>
      </c>
      <c r="D62" s="94" t="s">
        <v>450</v>
      </c>
      <c r="E62" s="94" t="s">
        <v>719</v>
      </c>
      <c r="F62" s="109" t="n">
        <v>110</v>
      </c>
      <c r="G62" s="87" t="n">
        <v>31.5</v>
      </c>
      <c r="H62" s="88"/>
      <c r="I62" s="88" t="s">
        <v>720</v>
      </c>
      <c r="J62" s="89" t="s">
        <v>721</v>
      </c>
      <c r="K62" s="89" t="s">
        <v>221</v>
      </c>
      <c r="L62" s="88"/>
      <c r="M62" s="89" t="s">
        <v>727</v>
      </c>
      <c r="N62" s="89" t="s">
        <v>450</v>
      </c>
      <c r="O62" s="89"/>
      <c r="P62" s="89"/>
      <c r="Q62" s="88"/>
    </row>
    <row r="63" customFormat="false" ht="15" hidden="false" customHeight="false" outlineLevel="0" collapsed="false">
      <c r="A63" s="68" t="e">
        <f aca="false">VLOOKUP(E63,'[1]Listas Desplegables'!$H$3:$J$7,2,FALSE())</f>
        <v>#N/A</v>
      </c>
      <c r="B63" s="68" t="e">
        <f aca="false">VLOOKUP(E63,'[1]Listas Desplegables'!$H$3:$J$7,3,FALSE())</f>
        <v>#N/A</v>
      </c>
      <c r="C63" s="85" t="n">
        <v>58</v>
      </c>
      <c r="D63" s="94" t="s">
        <v>450</v>
      </c>
      <c r="E63" s="94" t="s">
        <v>719</v>
      </c>
      <c r="F63" s="109" t="n">
        <v>13.8</v>
      </c>
      <c r="G63" s="87" t="n">
        <v>25</v>
      </c>
      <c r="H63" s="88"/>
      <c r="I63" s="88" t="s">
        <v>720</v>
      </c>
      <c r="J63" s="89" t="s">
        <v>723</v>
      </c>
      <c r="K63" s="89" t="s">
        <v>221</v>
      </c>
      <c r="L63" s="88"/>
      <c r="M63" s="89" t="s">
        <v>727</v>
      </c>
      <c r="N63" s="89" t="s">
        <v>450</v>
      </c>
      <c r="O63" s="89"/>
      <c r="P63" s="89"/>
      <c r="Q63" s="88"/>
    </row>
    <row r="64" customFormat="false" ht="15" hidden="false" customHeight="false" outlineLevel="0" collapsed="false">
      <c r="A64" s="68" t="e">
        <f aca="false">VLOOKUP(E64,'[1]Listas Desplegables'!$H$3:$J$7,2,FALSE())</f>
        <v>#N/A</v>
      </c>
      <c r="B64" s="68" t="e">
        <f aca="false">VLOOKUP(E64,'[1]Listas Desplegables'!$H$3:$J$7,3,FALSE())</f>
        <v>#N/A</v>
      </c>
      <c r="C64" s="85" t="n">
        <v>59</v>
      </c>
      <c r="D64" s="94" t="s">
        <v>737</v>
      </c>
      <c r="E64" s="94" t="s">
        <v>719</v>
      </c>
      <c r="F64" s="109" t="n">
        <v>34.5</v>
      </c>
      <c r="G64" s="87" t="n">
        <v>25</v>
      </c>
      <c r="H64" s="88"/>
      <c r="I64" s="88" t="s">
        <v>720</v>
      </c>
      <c r="J64" s="89" t="s">
        <v>723</v>
      </c>
      <c r="K64" s="89" t="s">
        <v>221</v>
      </c>
      <c r="L64" s="88"/>
      <c r="M64" s="89" t="s">
        <v>724</v>
      </c>
      <c r="N64" s="89" t="s">
        <v>730</v>
      </c>
      <c r="O64" s="89"/>
      <c r="P64" s="89"/>
      <c r="Q64" s="88"/>
    </row>
    <row r="65" customFormat="false" ht="15" hidden="false" customHeight="false" outlineLevel="0" collapsed="false">
      <c r="A65" s="68" t="e">
        <f aca="false">VLOOKUP(E65,'[1]Listas Desplegables'!$H$3:$J$7,2,FALSE())</f>
        <v>#N/A</v>
      </c>
      <c r="B65" s="68" t="e">
        <f aca="false">VLOOKUP(E65,'[1]Listas Desplegables'!$H$3:$J$7,3,FALSE())</f>
        <v>#N/A</v>
      </c>
      <c r="C65" s="85" t="n">
        <v>60</v>
      </c>
      <c r="D65" s="94" t="s">
        <v>737</v>
      </c>
      <c r="E65" s="94" t="s">
        <v>719</v>
      </c>
      <c r="F65" s="109" t="n">
        <v>13.8</v>
      </c>
      <c r="G65" s="87" t="n">
        <v>25</v>
      </c>
      <c r="H65" s="88"/>
      <c r="I65" s="88" t="s">
        <v>733</v>
      </c>
      <c r="J65" s="89" t="s">
        <v>723</v>
      </c>
      <c r="K65" s="89" t="s">
        <v>221</v>
      </c>
      <c r="L65" s="88"/>
      <c r="M65" s="89" t="s">
        <v>724</v>
      </c>
      <c r="N65" s="89" t="s">
        <v>730</v>
      </c>
      <c r="O65" s="89"/>
      <c r="P65" s="89"/>
      <c r="Q65" s="88"/>
    </row>
    <row r="66" customFormat="false" ht="15" hidden="false" customHeight="false" outlineLevel="0" collapsed="false">
      <c r="A66" s="68" t="e">
        <f aca="false">VLOOKUP(E66,'[1]Listas Desplegables'!$H$3:$J$7,2,FALSE())</f>
        <v>#N/A</v>
      </c>
      <c r="B66" s="68" t="e">
        <f aca="false">VLOOKUP(E66,'[1]Listas Desplegables'!$H$3:$J$7,3,FALSE())</f>
        <v>#N/A</v>
      </c>
      <c r="C66" s="85" t="n">
        <v>61</v>
      </c>
      <c r="D66" s="94" t="s">
        <v>461</v>
      </c>
      <c r="E66" s="94" t="s">
        <v>719</v>
      </c>
      <c r="F66" s="109" t="n">
        <v>110</v>
      </c>
      <c r="G66" s="87" t="n">
        <v>25</v>
      </c>
      <c r="H66" s="88"/>
      <c r="I66" s="88" t="s">
        <v>726</v>
      </c>
      <c r="J66" s="89" t="s">
        <v>721</v>
      </c>
      <c r="K66" s="89" t="s">
        <v>221</v>
      </c>
      <c r="L66" s="88"/>
      <c r="M66" s="89" t="s">
        <v>724</v>
      </c>
      <c r="N66" s="89" t="s">
        <v>461</v>
      </c>
      <c r="O66" s="89"/>
      <c r="P66" s="89"/>
      <c r="Q66" s="88"/>
    </row>
    <row r="67" customFormat="false" ht="15" hidden="false" customHeight="false" outlineLevel="0" collapsed="false">
      <c r="A67" s="68" t="e">
        <f aca="false">VLOOKUP(E67,'[1]Listas Desplegables'!$H$3:$J$7,2,FALSE())</f>
        <v>#N/A</v>
      </c>
      <c r="B67" s="68" t="e">
        <f aca="false">VLOOKUP(E67,'[1]Listas Desplegables'!$H$3:$J$7,3,FALSE())</f>
        <v>#N/A</v>
      </c>
      <c r="C67" s="85" t="n">
        <v>62</v>
      </c>
      <c r="D67" s="94" t="s">
        <v>461</v>
      </c>
      <c r="E67" s="94" t="s">
        <v>719</v>
      </c>
      <c r="F67" s="109" t="n">
        <v>34.5</v>
      </c>
      <c r="G67" s="87" t="n">
        <v>25</v>
      </c>
      <c r="H67" s="88"/>
      <c r="I67" s="88" t="s">
        <v>720</v>
      </c>
      <c r="J67" s="89" t="s">
        <v>723</v>
      </c>
      <c r="K67" s="89" t="s">
        <v>221</v>
      </c>
      <c r="L67" s="88"/>
      <c r="M67" s="89" t="s">
        <v>724</v>
      </c>
      <c r="N67" s="89" t="s">
        <v>461</v>
      </c>
      <c r="O67" s="89"/>
      <c r="P67" s="89"/>
      <c r="Q67" s="88"/>
    </row>
    <row r="68" customFormat="false" ht="15" hidden="false" customHeight="false" outlineLevel="0" collapsed="false">
      <c r="A68" s="68" t="e">
        <f aca="false">VLOOKUP(E68,'[1]Listas Desplegables'!$H$3:$J$7,2,FALSE())</f>
        <v>#N/A</v>
      </c>
      <c r="B68" s="68" t="e">
        <f aca="false">VLOOKUP(E68,'[1]Listas Desplegables'!$H$3:$J$7,3,FALSE())</f>
        <v>#N/A</v>
      </c>
      <c r="C68" s="85" t="n">
        <v>63</v>
      </c>
      <c r="D68" s="94" t="s">
        <v>461</v>
      </c>
      <c r="E68" s="94" t="s">
        <v>719</v>
      </c>
      <c r="F68" s="109" t="n">
        <v>13.8</v>
      </c>
      <c r="G68" s="87" t="n">
        <v>25</v>
      </c>
      <c r="H68" s="88"/>
      <c r="I68" s="88" t="s">
        <v>733</v>
      </c>
      <c r="J68" s="89" t="s">
        <v>723</v>
      </c>
      <c r="K68" s="89" t="s">
        <v>221</v>
      </c>
      <c r="L68" s="88"/>
      <c r="M68" s="89" t="s">
        <v>724</v>
      </c>
      <c r="N68" s="89" t="s">
        <v>461</v>
      </c>
      <c r="O68" s="89"/>
      <c r="P68" s="89"/>
      <c r="Q68" s="88"/>
    </row>
    <row r="69" customFormat="false" ht="15" hidden="false" customHeight="false" outlineLevel="0" collapsed="false">
      <c r="A69" s="68" t="e">
        <f aca="false">VLOOKUP(E69,'[1]Listas Desplegables'!$H$3:$J$7,2,FALSE())</f>
        <v>#N/A</v>
      </c>
      <c r="B69" s="68" t="e">
        <f aca="false">VLOOKUP(E69,'[1]Listas Desplegables'!$H$3:$J$7,3,FALSE())</f>
        <v>#N/A</v>
      </c>
      <c r="C69" s="85" t="n">
        <v>64</v>
      </c>
      <c r="D69" s="94" t="s">
        <v>605</v>
      </c>
      <c r="E69" s="94" t="s">
        <v>719</v>
      </c>
      <c r="F69" s="109" t="n">
        <v>34.5</v>
      </c>
      <c r="G69" s="87" t="n">
        <v>25</v>
      </c>
      <c r="H69" s="88"/>
      <c r="I69" s="88" t="s">
        <v>720</v>
      </c>
      <c r="J69" s="89" t="s">
        <v>723</v>
      </c>
      <c r="K69" s="89" t="s">
        <v>221</v>
      </c>
      <c r="L69" s="88"/>
      <c r="M69" s="89" t="s">
        <v>727</v>
      </c>
      <c r="N69" s="89" t="s">
        <v>605</v>
      </c>
      <c r="O69" s="89"/>
      <c r="P69" s="89"/>
      <c r="Q69" s="88"/>
    </row>
    <row r="70" customFormat="false" ht="15" hidden="false" customHeight="false" outlineLevel="0" collapsed="false">
      <c r="A70" s="68" t="e">
        <f aca="false">VLOOKUP(E70,'[1]Listas Desplegables'!$H$3:$J$7,2,FALSE())</f>
        <v>#N/A</v>
      </c>
      <c r="B70" s="68" t="e">
        <f aca="false">VLOOKUP(E70,'[1]Listas Desplegables'!$H$3:$J$7,3,FALSE())</f>
        <v>#N/A</v>
      </c>
      <c r="C70" s="85" t="n">
        <v>65</v>
      </c>
      <c r="D70" s="94" t="s">
        <v>605</v>
      </c>
      <c r="E70" s="94" t="s">
        <v>719</v>
      </c>
      <c r="F70" s="109" t="n">
        <v>13.8</v>
      </c>
      <c r="G70" s="87" t="n">
        <v>25</v>
      </c>
      <c r="H70" s="88"/>
      <c r="I70" s="88" t="s">
        <v>720</v>
      </c>
      <c r="J70" s="89" t="s">
        <v>723</v>
      </c>
      <c r="K70" s="89" t="s">
        <v>221</v>
      </c>
      <c r="L70" s="88"/>
      <c r="M70" s="89" t="s">
        <v>727</v>
      </c>
      <c r="N70" s="89" t="s">
        <v>605</v>
      </c>
      <c r="O70" s="89"/>
      <c r="P70" s="89"/>
      <c r="Q70" s="88"/>
    </row>
    <row r="71" customFormat="false" ht="15" hidden="false" customHeight="false" outlineLevel="0" collapsed="false">
      <c r="A71" s="68" t="e">
        <f aca="false">VLOOKUP(E71,'[1]Listas Desplegables'!$H$3:$J$7,2,FALSE())</f>
        <v>#N/A</v>
      </c>
      <c r="B71" s="68" t="e">
        <f aca="false">VLOOKUP(E71,'[1]Listas Desplegables'!$H$3:$J$7,3,FALSE())</f>
        <v>#N/A</v>
      </c>
      <c r="C71" s="85" t="n">
        <v>66</v>
      </c>
      <c r="D71" s="94" t="s">
        <v>603</v>
      </c>
      <c r="E71" s="94" t="s">
        <v>719</v>
      </c>
      <c r="F71" s="109" t="n">
        <v>34.5</v>
      </c>
      <c r="G71" s="87" t="n">
        <v>8</v>
      </c>
      <c r="H71" s="88"/>
      <c r="I71" s="88" t="s">
        <v>720</v>
      </c>
      <c r="J71" s="89" t="s">
        <v>721</v>
      </c>
      <c r="K71" s="89" t="s">
        <v>221</v>
      </c>
      <c r="L71" s="88"/>
      <c r="M71" s="89" t="s">
        <v>724</v>
      </c>
      <c r="N71" s="89" t="s">
        <v>603</v>
      </c>
      <c r="O71" s="89"/>
      <c r="P71" s="89"/>
      <c r="Q71" s="88"/>
    </row>
    <row r="72" customFormat="false" ht="15" hidden="false" customHeight="false" outlineLevel="0" collapsed="false">
      <c r="A72" s="68" t="e">
        <f aca="false">VLOOKUP(E72,'[1]Listas Desplegables'!$H$3:$J$7,2,FALSE())</f>
        <v>#N/A</v>
      </c>
      <c r="B72" s="68" t="e">
        <f aca="false">VLOOKUP(E72,'[1]Listas Desplegables'!$H$3:$J$7,3,FALSE())</f>
        <v>#N/A</v>
      </c>
      <c r="C72" s="85" t="n">
        <v>67</v>
      </c>
      <c r="D72" s="94" t="s">
        <v>603</v>
      </c>
      <c r="E72" s="94" t="s">
        <v>719</v>
      </c>
      <c r="F72" s="109" t="n">
        <v>13.8</v>
      </c>
      <c r="G72" s="87" t="n">
        <v>12.5</v>
      </c>
      <c r="H72" s="88"/>
      <c r="I72" s="88" t="s">
        <v>720</v>
      </c>
      <c r="J72" s="89" t="s">
        <v>721</v>
      </c>
      <c r="K72" s="89" t="s">
        <v>221</v>
      </c>
      <c r="L72" s="88"/>
      <c r="M72" s="89" t="s">
        <v>724</v>
      </c>
      <c r="N72" s="89" t="s">
        <v>603</v>
      </c>
      <c r="O72" s="89"/>
      <c r="P72" s="89"/>
      <c r="Q72" s="88"/>
    </row>
    <row r="73" customFormat="false" ht="15" hidden="false" customHeight="false" outlineLevel="0" collapsed="false">
      <c r="A73" s="68" t="e">
        <f aca="false">VLOOKUP(E73,'[1]Listas Desplegables'!$H$3:$J$7,2,FALSE())</f>
        <v>#N/A</v>
      </c>
      <c r="B73" s="68" t="e">
        <f aca="false">VLOOKUP(E73,'[1]Listas Desplegables'!$H$3:$J$7,3,FALSE())</f>
        <v>#N/A</v>
      </c>
      <c r="C73" s="85" t="n">
        <v>68</v>
      </c>
      <c r="D73" s="94" t="s">
        <v>612</v>
      </c>
      <c r="E73" s="94" t="s">
        <v>719</v>
      </c>
      <c r="F73" s="109" t="n">
        <v>13.8</v>
      </c>
      <c r="G73" s="87" t="n">
        <v>25</v>
      </c>
      <c r="H73" s="88"/>
      <c r="I73" s="88" t="s">
        <v>720</v>
      </c>
      <c r="J73" s="89" t="s">
        <v>723</v>
      </c>
      <c r="K73" s="89" t="s">
        <v>221</v>
      </c>
      <c r="L73" s="88"/>
      <c r="M73" s="89" t="s">
        <v>724</v>
      </c>
      <c r="N73" s="89" t="s">
        <v>730</v>
      </c>
      <c r="O73" s="89"/>
      <c r="P73" s="89"/>
      <c r="Q73" s="88"/>
    </row>
    <row r="74" customFormat="false" ht="15" hidden="false" customHeight="false" outlineLevel="0" collapsed="false">
      <c r="A74" s="68" t="e">
        <f aca="false">VLOOKUP(E74,'[1]Listas Desplegables'!$H$3:$J$7,2,FALSE())</f>
        <v>#N/A</v>
      </c>
      <c r="B74" s="68" t="e">
        <f aca="false">VLOOKUP(E74,'[1]Listas Desplegables'!$H$3:$J$7,3,FALSE())</f>
        <v>#N/A</v>
      </c>
      <c r="C74" s="85" t="n">
        <v>69</v>
      </c>
      <c r="D74" s="94" t="s">
        <v>619</v>
      </c>
      <c r="E74" s="94" t="s">
        <v>719</v>
      </c>
      <c r="F74" s="109" t="n">
        <v>110</v>
      </c>
      <c r="G74" s="87" t="n">
        <v>31.5</v>
      </c>
      <c r="H74" s="88"/>
      <c r="I74" s="88" t="s">
        <v>733</v>
      </c>
      <c r="J74" s="89" t="s">
        <v>723</v>
      </c>
      <c r="K74" s="89" t="s">
        <v>221</v>
      </c>
      <c r="L74" s="88"/>
      <c r="M74" s="89" t="s">
        <v>724</v>
      </c>
      <c r="N74" s="89" t="s">
        <v>730</v>
      </c>
      <c r="O74" s="89"/>
      <c r="P74" s="89"/>
      <c r="Q74" s="88"/>
    </row>
    <row r="75" customFormat="false" ht="15" hidden="false" customHeight="false" outlineLevel="0" collapsed="false">
      <c r="A75" s="68" t="e">
        <f aca="false">VLOOKUP(E75,'[1]Listas Desplegables'!$H$3:$J$7,2,FALSE())</f>
        <v>#N/A</v>
      </c>
      <c r="B75" s="68" t="e">
        <f aca="false">VLOOKUP(E75,'[1]Listas Desplegables'!$H$3:$J$7,3,FALSE())</f>
        <v>#N/A</v>
      </c>
      <c r="C75" s="85" t="n">
        <v>70</v>
      </c>
      <c r="D75" s="94" t="s">
        <v>619</v>
      </c>
      <c r="E75" s="94" t="s">
        <v>719</v>
      </c>
      <c r="F75" s="109" t="n">
        <v>13.8</v>
      </c>
      <c r="G75" s="87" t="n">
        <v>25</v>
      </c>
      <c r="H75" s="88"/>
      <c r="I75" s="88" t="s">
        <v>733</v>
      </c>
      <c r="J75" s="89" t="s">
        <v>723</v>
      </c>
      <c r="K75" s="89" t="s">
        <v>221</v>
      </c>
      <c r="L75" s="88"/>
      <c r="M75" s="89" t="s">
        <v>724</v>
      </c>
      <c r="N75" s="89" t="s">
        <v>730</v>
      </c>
      <c r="O75" s="89"/>
      <c r="P75" s="89"/>
      <c r="Q75" s="88"/>
    </row>
    <row r="76" customFormat="false" ht="15" hidden="false" customHeight="false" outlineLevel="0" collapsed="false">
      <c r="A76" s="68" t="e">
        <f aca="false">VLOOKUP(E76,'[1]Listas Desplegables'!$H$3:$J$7,2,FALSE())</f>
        <v>#N/A</v>
      </c>
      <c r="B76" s="68" t="e">
        <f aca="false">VLOOKUP(E76,'[1]Listas Desplegables'!$H$3:$J$7,3,FALSE())</f>
        <v>#N/A</v>
      </c>
      <c r="C76" s="85" t="n">
        <v>71</v>
      </c>
      <c r="D76" s="94" t="s">
        <v>626</v>
      </c>
      <c r="E76" s="94" t="s">
        <v>719</v>
      </c>
      <c r="F76" s="109" t="n">
        <v>34.5</v>
      </c>
      <c r="G76" s="87" t="n">
        <v>16</v>
      </c>
      <c r="H76" s="88"/>
      <c r="I76" s="88" t="s">
        <v>720</v>
      </c>
      <c r="J76" s="89" t="s">
        <v>721</v>
      </c>
      <c r="K76" s="89" t="s">
        <v>221</v>
      </c>
      <c r="L76" s="88"/>
      <c r="M76" s="89" t="s">
        <v>722</v>
      </c>
      <c r="N76" s="89" t="s">
        <v>626</v>
      </c>
      <c r="O76" s="89"/>
      <c r="P76" s="89"/>
      <c r="Q76" s="88" t="s">
        <v>728</v>
      </c>
    </row>
    <row r="77" customFormat="false" ht="15" hidden="false" customHeight="false" outlineLevel="0" collapsed="false">
      <c r="A77" s="68" t="e">
        <f aca="false">VLOOKUP(E77,'[1]Listas Desplegables'!$H$3:$J$7,2,FALSE())</f>
        <v>#N/A</v>
      </c>
      <c r="B77" s="68" t="e">
        <f aca="false">VLOOKUP(E77,'[1]Listas Desplegables'!$H$3:$J$7,3,FALSE())</f>
        <v>#N/A</v>
      </c>
      <c r="C77" s="85" t="n">
        <v>72</v>
      </c>
      <c r="D77" s="94" t="s">
        <v>626</v>
      </c>
      <c r="E77" s="94" t="s">
        <v>719</v>
      </c>
      <c r="F77" s="109" t="n">
        <v>13.8</v>
      </c>
      <c r="G77" s="87" t="n">
        <v>25</v>
      </c>
      <c r="H77" s="88"/>
      <c r="I77" s="88" t="s">
        <v>720</v>
      </c>
      <c r="J77" s="89" t="s">
        <v>723</v>
      </c>
      <c r="K77" s="89" t="s">
        <v>221</v>
      </c>
      <c r="L77" s="88"/>
      <c r="M77" s="89" t="s">
        <v>722</v>
      </c>
      <c r="N77" s="89" t="s">
        <v>626</v>
      </c>
      <c r="O77" s="89"/>
      <c r="P77" s="89"/>
      <c r="Q77" s="88"/>
    </row>
    <row r="78" customFormat="false" ht="15" hidden="false" customHeight="false" outlineLevel="0" collapsed="false">
      <c r="A78" s="68" t="e">
        <f aca="false">VLOOKUP(E78,'[1]Listas Desplegables'!$H$3:$J$7,2,FALSE())</f>
        <v>#N/A</v>
      </c>
      <c r="B78" s="68" t="e">
        <f aca="false">VLOOKUP(E78,'[1]Listas Desplegables'!$H$3:$J$7,3,FALSE())</f>
        <v>#N/A</v>
      </c>
      <c r="C78" s="85" t="n">
        <v>73</v>
      </c>
      <c r="D78" s="94" t="s">
        <v>629</v>
      </c>
      <c r="E78" s="94" t="s">
        <v>719</v>
      </c>
      <c r="F78" s="109" t="n">
        <v>34.5</v>
      </c>
      <c r="G78" s="87" t="n">
        <v>16</v>
      </c>
      <c r="H78" s="88"/>
      <c r="I78" s="88" t="s">
        <v>720</v>
      </c>
      <c r="J78" s="89" t="s">
        <v>721</v>
      </c>
      <c r="K78" s="89" t="s">
        <v>221</v>
      </c>
      <c r="L78" s="88"/>
      <c r="M78" s="89" t="s">
        <v>724</v>
      </c>
      <c r="N78" s="89" t="s">
        <v>629</v>
      </c>
      <c r="O78" s="89"/>
      <c r="P78" s="89"/>
      <c r="Q78" s="88"/>
    </row>
    <row r="79" customFormat="false" ht="15" hidden="false" customHeight="false" outlineLevel="0" collapsed="false">
      <c r="A79" s="68" t="e">
        <f aca="false">VLOOKUP(E79,'[1]Listas Desplegables'!$H$3:$J$7,2,FALSE())</f>
        <v>#N/A</v>
      </c>
      <c r="B79" s="68" t="e">
        <f aca="false">VLOOKUP(E79,'[1]Listas Desplegables'!$H$3:$J$7,3,FALSE())</f>
        <v>#N/A</v>
      </c>
      <c r="C79" s="85" t="n">
        <v>74</v>
      </c>
      <c r="D79" s="94" t="s">
        <v>629</v>
      </c>
      <c r="E79" s="94" t="s">
        <v>719</v>
      </c>
      <c r="F79" s="109" t="n">
        <v>13.8</v>
      </c>
      <c r="G79" s="87" t="n">
        <v>12</v>
      </c>
      <c r="H79" s="88"/>
      <c r="I79" s="88" t="s">
        <v>720</v>
      </c>
      <c r="J79" s="89" t="s">
        <v>721</v>
      </c>
      <c r="K79" s="89" t="s">
        <v>221</v>
      </c>
      <c r="L79" s="88"/>
      <c r="M79" s="89" t="s">
        <v>724</v>
      </c>
      <c r="N79" s="89" t="s">
        <v>629</v>
      </c>
      <c r="O79" s="89"/>
      <c r="P79" s="89"/>
      <c r="Q79" s="88"/>
    </row>
    <row r="80" customFormat="false" ht="15" hidden="false" customHeight="false" outlineLevel="0" collapsed="false">
      <c r="A80" s="68" t="e">
        <f aca="false">VLOOKUP(E80,'[1]Listas Desplegables'!$H$3:$J$7,2,FALSE())</f>
        <v>#N/A</v>
      </c>
      <c r="B80" s="68" t="e">
        <f aca="false">VLOOKUP(E80,'[1]Listas Desplegables'!$H$3:$J$7,3,FALSE())</f>
        <v>#N/A</v>
      </c>
      <c r="C80" s="85" t="n">
        <v>75</v>
      </c>
      <c r="D80" s="94" t="s">
        <v>631</v>
      </c>
      <c r="E80" s="94" t="s">
        <v>719</v>
      </c>
      <c r="F80" s="109" t="n">
        <v>34.5</v>
      </c>
      <c r="G80" s="87" t="n">
        <v>25</v>
      </c>
      <c r="H80" s="88"/>
      <c r="I80" s="88" t="s">
        <v>720</v>
      </c>
      <c r="J80" s="89" t="s">
        <v>723</v>
      </c>
      <c r="K80" s="89" t="s">
        <v>221</v>
      </c>
      <c r="L80" s="88"/>
      <c r="M80" s="89" t="s">
        <v>724</v>
      </c>
      <c r="N80" s="89" t="s">
        <v>738</v>
      </c>
      <c r="O80" s="89"/>
      <c r="P80" s="89"/>
      <c r="Q80" s="88"/>
    </row>
    <row r="81" customFormat="false" ht="15" hidden="false" customHeight="false" outlineLevel="0" collapsed="false">
      <c r="A81" s="68" t="e">
        <f aca="false">VLOOKUP(E81,'[1]Listas Desplegables'!$H$3:$J$7,2,FALSE())</f>
        <v>#N/A</v>
      </c>
      <c r="B81" s="68" t="e">
        <f aca="false">VLOOKUP(E81,'[1]Listas Desplegables'!$H$3:$J$7,3,FALSE())</f>
        <v>#N/A</v>
      </c>
      <c r="C81" s="85" t="n">
        <v>76</v>
      </c>
      <c r="D81" s="94" t="s">
        <v>631</v>
      </c>
      <c r="E81" s="94" t="s">
        <v>719</v>
      </c>
      <c r="F81" s="109" t="n">
        <v>13.8</v>
      </c>
      <c r="G81" s="87" t="n">
        <v>25</v>
      </c>
      <c r="H81" s="88"/>
      <c r="I81" s="88" t="s">
        <v>720</v>
      </c>
      <c r="J81" s="89" t="s">
        <v>723</v>
      </c>
      <c r="K81" s="89" t="s">
        <v>221</v>
      </c>
      <c r="L81" s="88"/>
      <c r="M81" s="89" t="s">
        <v>724</v>
      </c>
      <c r="N81" s="89" t="s">
        <v>738</v>
      </c>
      <c r="O81" s="89"/>
      <c r="P81" s="89"/>
      <c r="Q81" s="88"/>
    </row>
    <row r="82" customFormat="false" ht="15" hidden="false" customHeight="false" outlineLevel="0" collapsed="false">
      <c r="A82" s="68" t="e">
        <f aca="false">VLOOKUP(E82,'[1]Listas Desplegables'!$H$3:$J$7,2,FALSE())</f>
        <v>#N/A</v>
      </c>
      <c r="B82" s="68" t="e">
        <f aca="false">VLOOKUP(E82,'[1]Listas Desplegables'!$H$3:$J$7,3,FALSE())</f>
        <v>#N/A</v>
      </c>
      <c r="C82" s="85" t="n">
        <v>77</v>
      </c>
      <c r="D82" s="94" t="s">
        <v>624</v>
      </c>
      <c r="E82" s="94" t="s">
        <v>719</v>
      </c>
      <c r="F82" s="109" t="n">
        <v>34.5</v>
      </c>
      <c r="G82" s="87" t="n">
        <v>25</v>
      </c>
      <c r="H82" s="88"/>
      <c r="I82" s="88" t="s">
        <v>720</v>
      </c>
      <c r="J82" s="89" t="s">
        <v>721</v>
      </c>
      <c r="K82" s="89" t="s">
        <v>221</v>
      </c>
      <c r="L82" s="88"/>
      <c r="M82" s="89" t="s">
        <v>722</v>
      </c>
      <c r="N82" s="89" t="s">
        <v>624</v>
      </c>
      <c r="O82" s="89"/>
      <c r="P82" s="89"/>
      <c r="Q82" s="88"/>
    </row>
    <row r="83" customFormat="false" ht="15" hidden="false" customHeight="false" outlineLevel="0" collapsed="false">
      <c r="A83" s="68" t="e">
        <f aca="false">VLOOKUP(E83,'[1]Listas Desplegables'!$H$3:$J$7,2,FALSE())</f>
        <v>#N/A</v>
      </c>
      <c r="B83" s="68" t="e">
        <f aca="false">VLOOKUP(E83,'[1]Listas Desplegables'!$H$3:$J$7,3,FALSE())</f>
        <v>#N/A</v>
      </c>
      <c r="C83" s="85" t="n">
        <v>78</v>
      </c>
      <c r="D83" s="94" t="s">
        <v>624</v>
      </c>
      <c r="E83" s="94" t="s">
        <v>719</v>
      </c>
      <c r="F83" s="109" t="n">
        <v>13.8</v>
      </c>
      <c r="G83" s="87" t="n">
        <v>12.5</v>
      </c>
      <c r="H83" s="88"/>
      <c r="I83" s="88" t="s">
        <v>720</v>
      </c>
      <c r="J83" s="89" t="s">
        <v>721</v>
      </c>
      <c r="K83" s="89" t="s">
        <v>221</v>
      </c>
      <c r="L83" s="88"/>
      <c r="M83" s="89" t="s">
        <v>722</v>
      </c>
      <c r="N83" s="89" t="s">
        <v>624</v>
      </c>
      <c r="O83" s="89"/>
      <c r="P83" s="89"/>
      <c r="Q83" s="88"/>
    </row>
    <row r="84" customFormat="false" ht="15" hidden="false" customHeight="false" outlineLevel="0" collapsed="false">
      <c r="A84" s="68" t="e">
        <f aca="false">VLOOKUP(E84,'[1]Listas Desplegables'!$H$3:$J$7,2,FALSE())</f>
        <v>#N/A</v>
      </c>
      <c r="B84" s="68" t="e">
        <f aca="false">VLOOKUP(E84,'[1]Listas Desplegables'!$H$3:$J$7,3,FALSE())</f>
        <v>#N/A</v>
      </c>
      <c r="C84" s="85" t="n">
        <v>79</v>
      </c>
      <c r="D84" s="94" t="s">
        <v>465</v>
      </c>
      <c r="E84" s="94" t="s">
        <v>719</v>
      </c>
      <c r="F84" s="109" t="n">
        <v>110</v>
      </c>
      <c r="G84" s="87" t="n">
        <v>14</v>
      </c>
      <c r="H84" s="88"/>
      <c r="I84" s="88" t="s">
        <v>720</v>
      </c>
      <c r="J84" s="89" t="s">
        <v>721</v>
      </c>
      <c r="K84" s="89" t="s">
        <v>221</v>
      </c>
      <c r="L84" s="88"/>
      <c r="M84" s="89" t="s">
        <v>727</v>
      </c>
      <c r="N84" s="89" t="s">
        <v>465</v>
      </c>
      <c r="O84" s="89"/>
      <c r="P84" s="89"/>
      <c r="Q84" s="88"/>
    </row>
    <row r="85" customFormat="false" ht="15" hidden="false" customHeight="false" outlineLevel="0" collapsed="false">
      <c r="A85" s="68" t="e">
        <f aca="false">VLOOKUP(E85,'[1]Listas Desplegables'!$H$3:$J$7,2,FALSE())</f>
        <v>#N/A</v>
      </c>
      <c r="B85" s="68" t="e">
        <f aca="false">VLOOKUP(E85,'[1]Listas Desplegables'!$H$3:$J$7,3,FALSE())</f>
        <v>#N/A</v>
      </c>
      <c r="C85" s="85" t="n">
        <v>80</v>
      </c>
      <c r="D85" s="94" t="s">
        <v>465</v>
      </c>
      <c r="E85" s="94" t="s">
        <v>719</v>
      </c>
      <c r="F85" s="109" t="n">
        <v>34.5</v>
      </c>
      <c r="G85" s="87" t="n">
        <v>12.5</v>
      </c>
      <c r="H85" s="88"/>
      <c r="I85" s="88" t="s">
        <v>720</v>
      </c>
      <c r="J85" s="89" t="s">
        <v>721</v>
      </c>
      <c r="K85" s="89" t="s">
        <v>221</v>
      </c>
      <c r="L85" s="88"/>
      <c r="M85" s="89" t="s">
        <v>727</v>
      </c>
      <c r="N85" s="89" t="s">
        <v>465</v>
      </c>
      <c r="O85" s="89"/>
      <c r="P85" s="89"/>
      <c r="Q85" s="88"/>
    </row>
    <row r="86" customFormat="false" ht="15" hidden="false" customHeight="false" outlineLevel="0" collapsed="false">
      <c r="A86" s="68" t="e">
        <f aca="false">VLOOKUP(E86,'[1]Listas Desplegables'!$H$3:$J$7,2,FALSE())</f>
        <v>#N/A</v>
      </c>
      <c r="B86" s="68" t="e">
        <f aca="false">VLOOKUP(E86,'[1]Listas Desplegables'!$H$3:$J$7,3,FALSE())</f>
        <v>#N/A</v>
      </c>
      <c r="C86" s="85" t="n">
        <v>81</v>
      </c>
      <c r="D86" s="94" t="s">
        <v>465</v>
      </c>
      <c r="E86" s="94" t="s">
        <v>719</v>
      </c>
      <c r="F86" s="109" t="n">
        <v>13.8</v>
      </c>
      <c r="G86" s="87" t="n">
        <v>25</v>
      </c>
      <c r="H86" s="88"/>
      <c r="I86" s="88" t="s">
        <v>733</v>
      </c>
      <c r="J86" s="89" t="s">
        <v>723</v>
      </c>
      <c r="K86" s="89" t="s">
        <v>221</v>
      </c>
      <c r="L86" s="88"/>
      <c r="M86" s="89" t="s">
        <v>727</v>
      </c>
      <c r="N86" s="89" t="s">
        <v>465</v>
      </c>
      <c r="O86" s="89"/>
      <c r="P86" s="89"/>
      <c r="Q86" s="88"/>
    </row>
    <row r="87" customFormat="false" ht="15" hidden="false" customHeight="false" outlineLevel="0" collapsed="false">
      <c r="A87" s="68" t="e">
        <f aca="false">VLOOKUP(E87,'[1]Listas Desplegables'!$H$3:$J$7,2,FALSE())</f>
        <v>#N/A</v>
      </c>
      <c r="B87" s="68" t="e">
        <f aca="false">VLOOKUP(E87,'[1]Listas Desplegables'!$H$3:$J$7,3,FALSE())</f>
        <v>#N/A</v>
      </c>
      <c r="C87" s="85" t="n">
        <v>82</v>
      </c>
      <c r="D87" s="94" t="s">
        <v>465</v>
      </c>
      <c r="E87" s="94" t="s">
        <v>719</v>
      </c>
      <c r="F87" s="109" t="n">
        <v>13.8</v>
      </c>
      <c r="G87" s="87" t="n">
        <v>25</v>
      </c>
      <c r="H87" s="88"/>
      <c r="I87" s="88" t="s">
        <v>720</v>
      </c>
      <c r="J87" s="89" t="s">
        <v>723</v>
      </c>
      <c r="K87" s="89" t="s">
        <v>221</v>
      </c>
      <c r="L87" s="88"/>
      <c r="M87" s="89" t="s">
        <v>727</v>
      </c>
      <c r="N87" s="89" t="s">
        <v>465</v>
      </c>
      <c r="O87" s="89"/>
      <c r="P87" s="89"/>
      <c r="Q87" s="88"/>
    </row>
    <row r="88" customFormat="false" ht="15" hidden="false" customHeight="false" outlineLevel="0" collapsed="false">
      <c r="A88" s="68" t="e">
        <f aca="false">VLOOKUP(E88,'[1]Listas Desplegables'!$H$3:$J$7,2,FALSE())</f>
        <v>#N/A</v>
      </c>
      <c r="B88" s="68" t="e">
        <f aca="false">VLOOKUP(E88,'[1]Listas Desplegables'!$H$3:$J$7,3,FALSE())</f>
        <v>#N/A</v>
      </c>
      <c r="C88" s="85" t="n">
        <v>83</v>
      </c>
      <c r="D88" s="94" t="s">
        <v>442</v>
      </c>
      <c r="E88" s="94" t="s">
        <v>719</v>
      </c>
      <c r="F88" s="109" t="n">
        <v>110</v>
      </c>
      <c r="G88" s="87" t="n">
        <v>25</v>
      </c>
      <c r="H88" s="88"/>
      <c r="I88" s="88" t="s">
        <v>726</v>
      </c>
      <c r="J88" s="89" t="s">
        <v>721</v>
      </c>
      <c r="K88" s="89" t="s">
        <v>221</v>
      </c>
      <c r="L88" s="88"/>
      <c r="M88" s="89" t="s">
        <v>722</v>
      </c>
      <c r="N88" s="89" t="s">
        <v>438</v>
      </c>
      <c r="O88" s="89"/>
      <c r="P88" s="89"/>
      <c r="Q88" s="88"/>
    </row>
    <row r="89" customFormat="false" ht="15" hidden="false" customHeight="false" outlineLevel="0" collapsed="false">
      <c r="A89" s="68" t="e">
        <f aca="false">VLOOKUP(E89,'[1]Listas Desplegables'!$H$3:$J$7,2,FALSE())</f>
        <v>#N/A</v>
      </c>
      <c r="B89" s="68" t="e">
        <f aca="false">VLOOKUP(E89,'[1]Listas Desplegables'!$H$3:$J$7,3,FALSE())</f>
        <v>#N/A</v>
      </c>
      <c r="C89" s="85" t="n">
        <v>84</v>
      </c>
      <c r="D89" s="94" t="s">
        <v>442</v>
      </c>
      <c r="E89" s="94" t="s">
        <v>719</v>
      </c>
      <c r="F89" s="109" t="n">
        <v>34.5</v>
      </c>
      <c r="G89" s="87" t="n">
        <v>16</v>
      </c>
      <c r="H89" s="88"/>
      <c r="I89" s="88" t="s">
        <v>720</v>
      </c>
      <c r="J89" s="89" t="s">
        <v>723</v>
      </c>
      <c r="K89" s="89" t="s">
        <v>221</v>
      </c>
      <c r="L89" s="88"/>
      <c r="M89" s="89" t="s">
        <v>722</v>
      </c>
      <c r="N89" s="89" t="s">
        <v>438</v>
      </c>
      <c r="O89" s="89"/>
      <c r="P89" s="89"/>
      <c r="Q89" s="88"/>
    </row>
    <row r="90" customFormat="false" ht="15" hidden="false" customHeight="false" outlineLevel="0" collapsed="false">
      <c r="A90" s="68" t="e">
        <f aca="false">VLOOKUP(E90,'[1]Listas Desplegables'!$H$3:$J$7,2,FALSE())</f>
        <v>#N/A</v>
      </c>
      <c r="B90" s="68" t="e">
        <f aca="false">VLOOKUP(E90,'[1]Listas Desplegables'!$H$3:$J$7,3,FALSE())</f>
        <v>#N/A</v>
      </c>
      <c r="C90" s="85" t="n">
        <v>85</v>
      </c>
      <c r="D90" s="94" t="s">
        <v>442</v>
      </c>
      <c r="E90" s="94" t="s">
        <v>719</v>
      </c>
      <c r="F90" s="109" t="n">
        <v>13.8</v>
      </c>
      <c r="G90" s="87" t="n">
        <v>25</v>
      </c>
      <c r="H90" s="88"/>
      <c r="I90" s="88" t="s">
        <v>720</v>
      </c>
      <c r="J90" s="89" t="s">
        <v>723</v>
      </c>
      <c r="K90" s="89" t="s">
        <v>221</v>
      </c>
      <c r="L90" s="88"/>
      <c r="M90" s="89" t="s">
        <v>722</v>
      </c>
      <c r="N90" s="89" t="s">
        <v>438</v>
      </c>
      <c r="O90" s="89"/>
      <c r="P90" s="89"/>
      <c r="Q90" s="88"/>
    </row>
    <row r="91" customFormat="false" ht="15" hidden="false" customHeight="false" outlineLevel="0" collapsed="false">
      <c r="A91" s="68" t="e">
        <f aca="false">VLOOKUP(E91,'[1]Listas Desplegables'!$H$3:$J$7,2,FALSE())</f>
        <v>#N/A</v>
      </c>
      <c r="B91" s="68" t="e">
        <f aca="false">VLOOKUP(E91,'[1]Listas Desplegables'!$H$3:$J$7,3,FALSE())</f>
        <v>#N/A</v>
      </c>
      <c r="C91" s="85" t="n">
        <v>86</v>
      </c>
      <c r="D91" s="94" t="s">
        <v>635</v>
      </c>
      <c r="E91" s="94" t="s">
        <v>719</v>
      </c>
      <c r="F91" s="109" t="n">
        <v>34.5</v>
      </c>
      <c r="G91" s="87" t="n">
        <v>25</v>
      </c>
      <c r="H91" s="88"/>
      <c r="I91" s="88" t="s">
        <v>720</v>
      </c>
      <c r="J91" s="89" t="s">
        <v>721</v>
      </c>
      <c r="K91" s="89" t="s">
        <v>221</v>
      </c>
      <c r="L91" s="88"/>
      <c r="M91" s="89" t="s">
        <v>722</v>
      </c>
      <c r="N91" s="89" t="s">
        <v>635</v>
      </c>
      <c r="O91" s="89"/>
      <c r="P91" s="89"/>
      <c r="Q91" s="88" t="s">
        <v>728</v>
      </c>
    </row>
    <row r="92" customFormat="false" ht="15" hidden="false" customHeight="false" outlineLevel="0" collapsed="false">
      <c r="A92" s="68" t="e">
        <f aca="false">VLOOKUP(E92,'[1]Listas Desplegables'!$H$3:$J$7,2,FALSE())</f>
        <v>#N/A</v>
      </c>
      <c r="B92" s="68" t="e">
        <f aca="false">VLOOKUP(E92,'[1]Listas Desplegables'!$H$3:$J$7,3,FALSE())</f>
        <v>#N/A</v>
      </c>
      <c r="C92" s="85" t="n">
        <v>87</v>
      </c>
      <c r="D92" s="94" t="s">
        <v>635</v>
      </c>
      <c r="E92" s="94" t="s">
        <v>719</v>
      </c>
      <c r="F92" s="109" t="n">
        <v>13.8</v>
      </c>
      <c r="G92" s="87" t="n">
        <v>16</v>
      </c>
      <c r="H92" s="88"/>
      <c r="I92" s="88" t="s">
        <v>720</v>
      </c>
      <c r="J92" s="89" t="s">
        <v>721</v>
      </c>
      <c r="K92" s="89" t="s">
        <v>221</v>
      </c>
      <c r="L92" s="88"/>
      <c r="M92" s="89" t="s">
        <v>722</v>
      </c>
      <c r="N92" s="89" t="s">
        <v>635</v>
      </c>
      <c r="O92" s="89"/>
      <c r="P92" s="89"/>
      <c r="Q92" s="88"/>
    </row>
    <row r="93" customFormat="false" ht="15" hidden="false" customHeight="false" outlineLevel="0" collapsed="false">
      <c r="A93" s="68" t="e">
        <f aca="false">VLOOKUP(E93,'[1]Listas Desplegables'!$H$3:$J$7,2,FALSE())</f>
        <v>#N/A</v>
      </c>
      <c r="B93" s="68" t="e">
        <f aca="false">VLOOKUP(E93,'[1]Listas Desplegables'!$H$3:$J$7,3,FALSE())</f>
        <v>#N/A</v>
      </c>
      <c r="C93" s="85" t="n">
        <v>88</v>
      </c>
      <c r="D93" s="94" t="s">
        <v>633</v>
      </c>
      <c r="E93" s="94" t="s">
        <v>719</v>
      </c>
      <c r="F93" s="109" t="n">
        <v>34.5</v>
      </c>
      <c r="G93" s="87" t="n">
        <v>25</v>
      </c>
      <c r="H93" s="88"/>
      <c r="I93" s="88" t="s">
        <v>720</v>
      </c>
      <c r="J93" s="89" t="s">
        <v>721</v>
      </c>
      <c r="K93" s="89" t="s">
        <v>221</v>
      </c>
      <c r="L93" s="88"/>
      <c r="M93" s="89" t="s">
        <v>722</v>
      </c>
      <c r="N93" s="89" t="s">
        <v>739</v>
      </c>
      <c r="O93" s="89"/>
      <c r="P93" s="89"/>
      <c r="Q93" s="88" t="s">
        <v>728</v>
      </c>
    </row>
    <row r="94" customFormat="false" ht="15" hidden="false" customHeight="false" outlineLevel="0" collapsed="false">
      <c r="A94" s="68" t="e">
        <f aca="false">VLOOKUP(E94,'[1]Listas Desplegables'!$H$3:$J$7,2,FALSE())</f>
        <v>#N/A</v>
      </c>
      <c r="B94" s="68" t="e">
        <f aca="false">VLOOKUP(E94,'[1]Listas Desplegables'!$H$3:$J$7,3,FALSE())</f>
        <v>#N/A</v>
      </c>
      <c r="C94" s="85" t="n">
        <v>89</v>
      </c>
      <c r="D94" s="94" t="s">
        <v>633</v>
      </c>
      <c r="E94" s="94" t="s">
        <v>719</v>
      </c>
      <c r="F94" s="109" t="n">
        <v>13.8</v>
      </c>
      <c r="G94" s="87" t="n">
        <v>12.5</v>
      </c>
      <c r="H94" s="88"/>
      <c r="I94" s="88" t="s">
        <v>720</v>
      </c>
      <c r="J94" s="89" t="s">
        <v>721</v>
      </c>
      <c r="K94" s="89" t="s">
        <v>221</v>
      </c>
      <c r="L94" s="88"/>
      <c r="M94" s="89" t="s">
        <v>722</v>
      </c>
      <c r="N94" s="89" t="s">
        <v>739</v>
      </c>
      <c r="O94" s="89"/>
      <c r="P94" s="89"/>
      <c r="Q94" s="88"/>
    </row>
    <row r="95" customFormat="false" ht="15" hidden="false" customHeight="false" outlineLevel="0" collapsed="false">
      <c r="A95" s="68" t="e">
        <f aca="false">VLOOKUP(E95,'[1]Listas Desplegables'!$H$3:$J$7,2,FALSE())</f>
        <v>#N/A</v>
      </c>
      <c r="B95" s="68" t="e">
        <f aca="false">VLOOKUP(E95,'[1]Listas Desplegables'!$H$3:$J$7,3,FALSE())</f>
        <v>#N/A</v>
      </c>
      <c r="C95" s="85" t="n">
        <v>90</v>
      </c>
      <c r="D95" s="94" t="s">
        <v>740</v>
      </c>
      <c r="E95" s="94" t="s">
        <v>719</v>
      </c>
      <c r="F95" s="109" t="n">
        <v>34.5</v>
      </c>
      <c r="G95" s="87" t="n">
        <v>25</v>
      </c>
      <c r="H95" s="88"/>
      <c r="I95" s="88" t="s">
        <v>720</v>
      </c>
      <c r="J95" s="89" t="s">
        <v>723</v>
      </c>
      <c r="K95" s="89" t="s">
        <v>221</v>
      </c>
      <c r="L95" s="88"/>
      <c r="M95" s="89" t="s">
        <v>724</v>
      </c>
      <c r="N95" s="89" t="s">
        <v>730</v>
      </c>
      <c r="O95" s="89"/>
      <c r="P95" s="89"/>
      <c r="Q95" s="88"/>
    </row>
    <row r="96" customFormat="false" ht="15" hidden="false" customHeight="false" outlineLevel="0" collapsed="false">
      <c r="A96" s="68" t="e">
        <f aca="false">VLOOKUP(E96,'[1]Listas Desplegables'!$H$3:$J$7,2,FALSE())</f>
        <v>#N/A</v>
      </c>
      <c r="B96" s="68" t="e">
        <f aca="false">VLOOKUP(E96,'[1]Listas Desplegables'!$H$3:$J$7,3,FALSE())</f>
        <v>#N/A</v>
      </c>
      <c r="C96" s="85" t="n">
        <v>91</v>
      </c>
      <c r="D96" s="94" t="s">
        <v>740</v>
      </c>
      <c r="E96" s="94" t="s">
        <v>719</v>
      </c>
      <c r="F96" s="109" t="n">
        <v>13.8</v>
      </c>
      <c r="G96" s="87" t="n">
        <v>25</v>
      </c>
      <c r="H96" s="88"/>
      <c r="I96" s="88" t="s">
        <v>720</v>
      </c>
      <c r="J96" s="89" t="s">
        <v>723</v>
      </c>
      <c r="K96" s="89" t="s">
        <v>221</v>
      </c>
      <c r="L96" s="88"/>
      <c r="M96" s="89" t="s">
        <v>724</v>
      </c>
      <c r="N96" s="89" t="s">
        <v>730</v>
      </c>
      <c r="O96" s="89"/>
      <c r="P96" s="89"/>
      <c r="Q96" s="88"/>
    </row>
    <row r="97" customFormat="false" ht="15" hidden="false" customHeight="false" outlineLevel="0" collapsed="false">
      <c r="A97" s="68" t="e">
        <f aca="false">VLOOKUP(E97,'[1]Listas Desplegables'!$H$3:$J$7,2,FALSE())</f>
        <v>#N/A</v>
      </c>
      <c r="B97" s="68" t="e">
        <f aca="false">VLOOKUP(E97,'[1]Listas Desplegables'!$H$3:$J$7,3,FALSE())</f>
        <v>#N/A</v>
      </c>
      <c r="C97" s="85" t="n">
        <v>92</v>
      </c>
      <c r="D97" s="94" t="s">
        <v>637</v>
      </c>
      <c r="E97" s="94" t="s">
        <v>719</v>
      </c>
      <c r="F97" s="109" t="n">
        <v>34.5</v>
      </c>
      <c r="G97" s="87" t="n">
        <v>25</v>
      </c>
      <c r="H97" s="88"/>
      <c r="I97" s="88" t="s">
        <v>720</v>
      </c>
      <c r="J97" s="89" t="s">
        <v>721</v>
      </c>
      <c r="K97" s="89" t="s">
        <v>221</v>
      </c>
      <c r="L97" s="88"/>
      <c r="M97" s="89" t="s">
        <v>724</v>
      </c>
      <c r="N97" s="89" t="s">
        <v>741</v>
      </c>
      <c r="O97" s="89"/>
      <c r="P97" s="89"/>
      <c r="Q97" s="88"/>
    </row>
    <row r="98" customFormat="false" ht="15" hidden="false" customHeight="false" outlineLevel="0" collapsed="false">
      <c r="A98" s="68" t="e">
        <f aca="false">VLOOKUP(E98,'[1]Listas Desplegables'!$H$3:$J$7,2,FALSE())</f>
        <v>#N/A</v>
      </c>
      <c r="B98" s="68" t="e">
        <f aca="false">VLOOKUP(E98,'[1]Listas Desplegables'!$H$3:$J$7,3,FALSE())</f>
        <v>#N/A</v>
      </c>
      <c r="C98" s="85" t="n">
        <v>93</v>
      </c>
      <c r="D98" s="94" t="s">
        <v>637</v>
      </c>
      <c r="E98" s="94" t="s">
        <v>719</v>
      </c>
      <c r="F98" s="109" t="n">
        <v>13.8</v>
      </c>
      <c r="G98" s="87" t="n">
        <v>12.5</v>
      </c>
      <c r="H98" s="88"/>
      <c r="I98" s="88" t="s">
        <v>720</v>
      </c>
      <c r="J98" s="89" t="s">
        <v>721</v>
      </c>
      <c r="K98" s="89" t="s">
        <v>221</v>
      </c>
      <c r="L98" s="88"/>
      <c r="M98" s="89" t="s">
        <v>724</v>
      </c>
      <c r="N98" s="89" t="s">
        <v>741</v>
      </c>
      <c r="O98" s="89"/>
      <c r="P98" s="89"/>
      <c r="Q98" s="88"/>
    </row>
    <row r="99" customFormat="false" ht="15" hidden="false" customHeight="false" outlineLevel="0" collapsed="false">
      <c r="A99" s="68" t="e">
        <f aca="false">VLOOKUP(E99,'[1]Listas Desplegables'!$H$3:$J$7,2,FALSE())</f>
        <v>#N/A</v>
      </c>
      <c r="B99" s="68" t="e">
        <f aca="false">VLOOKUP(E99,'[1]Listas Desplegables'!$H$3:$J$7,3,FALSE())</f>
        <v>#N/A</v>
      </c>
      <c r="C99" s="85" t="n">
        <v>94</v>
      </c>
      <c r="D99" s="94" t="s">
        <v>573</v>
      </c>
      <c r="E99" s="94" t="s">
        <v>719</v>
      </c>
      <c r="F99" s="109" t="n">
        <v>34.5</v>
      </c>
      <c r="G99" s="87" t="n">
        <v>25</v>
      </c>
      <c r="H99" s="88"/>
      <c r="I99" s="88" t="s">
        <v>720</v>
      </c>
      <c r="J99" s="89" t="s">
        <v>721</v>
      </c>
      <c r="K99" s="89" t="s">
        <v>221</v>
      </c>
      <c r="L99" s="88"/>
      <c r="M99" s="89" t="s">
        <v>722</v>
      </c>
      <c r="N99" s="89" t="s">
        <v>573</v>
      </c>
      <c r="O99" s="89"/>
      <c r="P99" s="89"/>
      <c r="Q99" s="88"/>
    </row>
    <row r="100" customFormat="false" ht="15" hidden="false" customHeight="false" outlineLevel="0" collapsed="false">
      <c r="A100" s="68" t="e">
        <f aca="false">VLOOKUP(E100,'[1]Listas Desplegables'!$H$3:$J$7,2,FALSE())</f>
        <v>#N/A</v>
      </c>
      <c r="B100" s="68" t="e">
        <f aca="false">VLOOKUP(E100,'[1]Listas Desplegables'!$H$3:$J$7,3,FALSE())</f>
        <v>#N/A</v>
      </c>
      <c r="C100" s="85" t="n">
        <v>95</v>
      </c>
      <c r="D100" s="94" t="s">
        <v>573</v>
      </c>
      <c r="E100" s="94" t="s">
        <v>719</v>
      </c>
      <c r="F100" s="109" t="n">
        <v>13.8</v>
      </c>
      <c r="G100" s="87" t="n">
        <v>16</v>
      </c>
      <c r="H100" s="88"/>
      <c r="I100" s="88" t="s">
        <v>720</v>
      </c>
      <c r="J100" s="89" t="s">
        <v>721</v>
      </c>
      <c r="K100" s="89" t="s">
        <v>221</v>
      </c>
      <c r="L100" s="88"/>
      <c r="M100" s="89" t="s">
        <v>722</v>
      </c>
      <c r="N100" s="89" t="s">
        <v>573</v>
      </c>
      <c r="O100" s="89"/>
      <c r="P100" s="89"/>
      <c r="Q100" s="88"/>
    </row>
    <row r="101" customFormat="false" ht="15" hidden="false" customHeight="false" outlineLevel="0" collapsed="false">
      <c r="A101" s="68" t="e">
        <f aca="false">VLOOKUP(E101,'[1]Listas Desplegables'!$H$3:$J$7,2,FALSE())</f>
        <v>#N/A</v>
      </c>
      <c r="B101" s="68" t="e">
        <f aca="false">VLOOKUP(E101,'[1]Listas Desplegables'!$H$3:$J$7,3,FALSE())</f>
        <v>#N/A</v>
      </c>
      <c r="C101" s="85" t="n">
        <v>96</v>
      </c>
      <c r="D101" s="94" t="s">
        <v>742</v>
      </c>
      <c r="E101" s="94" t="s">
        <v>719</v>
      </c>
      <c r="F101" s="109" t="n">
        <v>34.5</v>
      </c>
      <c r="G101" s="87" t="n">
        <v>25</v>
      </c>
      <c r="H101" s="88"/>
      <c r="I101" s="88" t="s">
        <v>720</v>
      </c>
      <c r="J101" s="89" t="s">
        <v>721</v>
      </c>
      <c r="K101" s="89" t="s">
        <v>221</v>
      </c>
      <c r="L101" s="88"/>
      <c r="M101" s="89" t="s">
        <v>724</v>
      </c>
      <c r="N101" s="89" t="s">
        <v>742</v>
      </c>
      <c r="O101" s="89"/>
      <c r="P101" s="89"/>
      <c r="Q101" s="88"/>
    </row>
    <row r="102" customFormat="false" ht="15" hidden="false" customHeight="false" outlineLevel="0" collapsed="false">
      <c r="A102" s="68" t="e">
        <f aca="false">VLOOKUP(E102,'[1]Listas Desplegables'!$H$3:$J$7,2,FALSE())</f>
        <v>#N/A</v>
      </c>
      <c r="B102" s="68" t="e">
        <f aca="false">VLOOKUP(E102,'[1]Listas Desplegables'!$H$3:$J$7,3,FALSE())</f>
        <v>#N/A</v>
      </c>
      <c r="C102" s="85" t="n">
        <v>97</v>
      </c>
      <c r="D102" s="94" t="s">
        <v>486</v>
      </c>
      <c r="E102" s="94" t="s">
        <v>719</v>
      </c>
      <c r="F102" s="109" t="n">
        <v>110</v>
      </c>
      <c r="G102" s="87" t="n">
        <v>31.5</v>
      </c>
      <c r="H102" s="88"/>
      <c r="I102" s="88" t="s">
        <v>720</v>
      </c>
      <c r="J102" s="89" t="s">
        <v>721</v>
      </c>
      <c r="K102" s="89" t="s">
        <v>221</v>
      </c>
      <c r="L102" s="88"/>
      <c r="M102" s="89" t="s">
        <v>722</v>
      </c>
      <c r="N102" s="89" t="s">
        <v>486</v>
      </c>
      <c r="O102" s="89"/>
      <c r="P102" s="89"/>
      <c r="Q102" s="88" t="s">
        <v>728</v>
      </c>
    </row>
    <row r="103" customFormat="false" ht="15" hidden="false" customHeight="false" outlineLevel="0" collapsed="false">
      <c r="A103" s="68" t="e">
        <f aca="false">VLOOKUP(E103,'[1]Listas Desplegables'!$H$3:$J$7,2,FALSE())</f>
        <v>#N/A</v>
      </c>
      <c r="B103" s="68" t="e">
        <f aca="false">VLOOKUP(E103,'[1]Listas Desplegables'!$H$3:$J$7,3,FALSE())</f>
        <v>#N/A</v>
      </c>
      <c r="C103" s="85" t="n">
        <v>98</v>
      </c>
      <c r="D103" s="94" t="s">
        <v>486</v>
      </c>
      <c r="E103" s="94" t="s">
        <v>719</v>
      </c>
      <c r="F103" s="109" t="n">
        <v>34.5</v>
      </c>
      <c r="G103" s="87" t="n">
        <v>25</v>
      </c>
      <c r="H103" s="88"/>
      <c r="I103" s="88" t="s">
        <v>720</v>
      </c>
      <c r="J103" s="89" t="s">
        <v>723</v>
      </c>
      <c r="K103" s="89" t="s">
        <v>221</v>
      </c>
      <c r="L103" s="88"/>
      <c r="M103" s="89" t="s">
        <v>722</v>
      </c>
      <c r="N103" s="89" t="s">
        <v>486</v>
      </c>
      <c r="O103" s="89"/>
      <c r="P103" s="89"/>
      <c r="Q103" s="88"/>
    </row>
    <row r="104" customFormat="false" ht="15" hidden="false" customHeight="false" outlineLevel="0" collapsed="false">
      <c r="A104" s="68" t="e">
        <f aca="false">VLOOKUP(E104,'[1]Listas Desplegables'!$H$3:$J$7,2,FALSE())</f>
        <v>#N/A</v>
      </c>
      <c r="B104" s="68" t="e">
        <f aca="false">VLOOKUP(E104,'[1]Listas Desplegables'!$H$3:$J$7,3,FALSE())</f>
        <v>#N/A</v>
      </c>
      <c r="C104" s="85" t="n">
        <v>99</v>
      </c>
      <c r="D104" s="94" t="s">
        <v>486</v>
      </c>
      <c r="E104" s="94" t="s">
        <v>719</v>
      </c>
      <c r="F104" s="109" t="n">
        <v>13.8</v>
      </c>
      <c r="G104" s="87" t="n">
        <v>25</v>
      </c>
      <c r="H104" s="88"/>
      <c r="I104" s="88" t="s">
        <v>720</v>
      </c>
      <c r="J104" s="89" t="s">
        <v>723</v>
      </c>
      <c r="K104" s="89" t="s">
        <v>221</v>
      </c>
      <c r="L104" s="88"/>
      <c r="M104" s="89" t="s">
        <v>722</v>
      </c>
      <c r="N104" s="89" t="s">
        <v>486</v>
      </c>
      <c r="O104" s="89"/>
      <c r="P104" s="89"/>
      <c r="Q104" s="88"/>
    </row>
    <row r="105" customFormat="false" ht="15" hidden="false" customHeight="false" outlineLevel="0" collapsed="false">
      <c r="A105" s="68" t="e">
        <f aca="false">VLOOKUP(E105,'[1]Listas Desplegables'!$H$3:$J$7,2,FALSE())</f>
        <v>#N/A</v>
      </c>
      <c r="B105" s="68" t="e">
        <f aca="false">VLOOKUP(E105,'[1]Listas Desplegables'!$H$3:$J$7,3,FALSE())</f>
        <v>#N/A</v>
      </c>
      <c r="C105" s="85" t="n">
        <v>100</v>
      </c>
      <c r="D105" s="94" t="s">
        <v>639</v>
      </c>
      <c r="E105" s="94" t="s">
        <v>719</v>
      </c>
      <c r="F105" s="109" t="n">
        <v>34.5</v>
      </c>
      <c r="G105" s="87" t="n">
        <v>12.5</v>
      </c>
      <c r="H105" s="88"/>
      <c r="I105" s="88" t="s">
        <v>720</v>
      </c>
      <c r="J105" s="89" t="s">
        <v>721</v>
      </c>
      <c r="K105" s="89" t="s">
        <v>221</v>
      </c>
      <c r="L105" s="88"/>
      <c r="M105" s="89" t="s">
        <v>724</v>
      </c>
      <c r="N105" s="89" t="s">
        <v>639</v>
      </c>
      <c r="O105" s="89"/>
      <c r="P105" s="89"/>
      <c r="Q105" s="88" t="s">
        <v>728</v>
      </c>
    </row>
    <row r="106" customFormat="false" ht="15" hidden="false" customHeight="false" outlineLevel="0" collapsed="false">
      <c r="A106" s="68" t="e">
        <f aca="false">VLOOKUP(E106,'[1]Listas Desplegables'!$H$3:$J$7,2,FALSE())</f>
        <v>#N/A</v>
      </c>
      <c r="B106" s="68" t="e">
        <f aca="false">VLOOKUP(E106,'[1]Listas Desplegables'!$H$3:$J$7,3,FALSE())</f>
        <v>#N/A</v>
      </c>
      <c r="C106" s="85" t="n">
        <v>101</v>
      </c>
      <c r="D106" s="94" t="s">
        <v>639</v>
      </c>
      <c r="E106" s="94" t="s">
        <v>719</v>
      </c>
      <c r="F106" s="109" t="n">
        <v>13.8</v>
      </c>
      <c r="G106" s="87" t="n">
        <v>12.5</v>
      </c>
      <c r="H106" s="88"/>
      <c r="I106" s="88" t="s">
        <v>720</v>
      </c>
      <c r="J106" s="89" t="s">
        <v>721</v>
      </c>
      <c r="K106" s="89" t="s">
        <v>221</v>
      </c>
      <c r="L106" s="88"/>
      <c r="M106" s="89" t="s">
        <v>724</v>
      </c>
      <c r="N106" s="89" t="s">
        <v>639</v>
      </c>
      <c r="O106" s="89"/>
      <c r="P106" s="89"/>
      <c r="Q106" s="88"/>
    </row>
    <row r="107" customFormat="false" ht="15" hidden="false" customHeight="false" outlineLevel="0" collapsed="false">
      <c r="A107" s="68" t="e">
        <f aca="false">VLOOKUP(E107,'[1]Listas Desplegables'!$H$3:$J$7,2,FALSE())</f>
        <v>#N/A</v>
      </c>
      <c r="B107" s="68" t="e">
        <f aca="false">VLOOKUP(E107,'[1]Listas Desplegables'!$H$3:$J$7,3,FALSE())</f>
        <v>#N/A</v>
      </c>
      <c r="C107" s="85" t="n">
        <v>102</v>
      </c>
      <c r="D107" s="94" t="s">
        <v>506</v>
      </c>
      <c r="E107" s="94" t="s">
        <v>719</v>
      </c>
      <c r="F107" s="109" t="n">
        <v>110</v>
      </c>
      <c r="G107" s="87" t="n">
        <v>31.5</v>
      </c>
      <c r="H107" s="88"/>
      <c r="I107" s="88" t="s">
        <v>726</v>
      </c>
      <c r="J107" s="89" t="s">
        <v>721</v>
      </c>
      <c r="K107" s="89" t="s">
        <v>221</v>
      </c>
      <c r="L107" s="88"/>
      <c r="M107" s="89" t="s">
        <v>724</v>
      </c>
      <c r="N107" s="89" t="s">
        <v>730</v>
      </c>
      <c r="O107" s="89"/>
      <c r="P107" s="89"/>
      <c r="Q107" s="88"/>
    </row>
    <row r="108" customFormat="false" ht="15" hidden="false" customHeight="false" outlineLevel="0" collapsed="false">
      <c r="A108" s="68" t="e">
        <f aca="false">VLOOKUP(E108,'[1]Listas Desplegables'!$H$3:$J$7,2,FALSE())</f>
        <v>#N/A</v>
      </c>
      <c r="B108" s="68" t="e">
        <f aca="false">VLOOKUP(E108,'[1]Listas Desplegables'!$H$3:$J$7,3,FALSE())</f>
        <v>#N/A</v>
      </c>
      <c r="C108" s="85" t="n">
        <v>103</v>
      </c>
      <c r="D108" s="94" t="s">
        <v>506</v>
      </c>
      <c r="E108" s="94" t="s">
        <v>719</v>
      </c>
      <c r="F108" s="109" t="n">
        <v>34.5</v>
      </c>
      <c r="G108" s="87" t="n">
        <v>22</v>
      </c>
      <c r="H108" s="88"/>
      <c r="I108" s="88" t="s">
        <v>720</v>
      </c>
      <c r="J108" s="89" t="s">
        <v>721</v>
      </c>
      <c r="K108" s="89" t="s">
        <v>221</v>
      </c>
      <c r="L108" s="88"/>
      <c r="M108" s="89" t="s">
        <v>724</v>
      </c>
      <c r="N108" s="89" t="s">
        <v>730</v>
      </c>
      <c r="O108" s="89"/>
      <c r="P108" s="89"/>
      <c r="Q108" s="88"/>
    </row>
    <row r="109" customFormat="false" ht="15" hidden="false" customHeight="false" outlineLevel="0" collapsed="false">
      <c r="A109" s="68" t="e">
        <f aca="false">VLOOKUP(E109,'[1]Listas Desplegables'!$H$3:$J$7,2,FALSE())</f>
        <v>#N/A</v>
      </c>
      <c r="B109" s="68" t="e">
        <f aca="false">VLOOKUP(E109,'[1]Listas Desplegables'!$H$3:$J$7,3,FALSE())</f>
        <v>#N/A</v>
      </c>
      <c r="C109" s="85" t="n">
        <v>104</v>
      </c>
      <c r="D109" s="94" t="s">
        <v>506</v>
      </c>
      <c r="E109" s="94" t="s">
        <v>719</v>
      </c>
      <c r="F109" s="109" t="n">
        <v>13.8</v>
      </c>
      <c r="G109" s="87" t="n">
        <v>40</v>
      </c>
      <c r="H109" s="88"/>
      <c r="I109" s="88" t="s">
        <v>720</v>
      </c>
      <c r="J109" s="89" t="s">
        <v>723</v>
      </c>
      <c r="K109" s="89" t="s">
        <v>221</v>
      </c>
      <c r="L109" s="88"/>
      <c r="M109" s="89" t="s">
        <v>724</v>
      </c>
      <c r="N109" s="89" t="s">
        <v>730</v>
      </c>
      <c r="O109" s="89"/>
      <c r="P109" s="89"/>
      <c r="Q109" s="88"/>
    </row>
    <row r="110" customFormat="false" ht="15" hidden="false" customHeight="false" outlineLevel="0" collapsed="false">
      <c r="A110" s="68" t="e">
        <f aca="false">VLOOKUP(E110,'[1]Listas Desplegables'!$H$3:$J$7,2,FALSE())</f>
        <v>#N/A</v>
      </c>
      <c r="B110" s="68" t="e">
        <f aca="false">VLOOKUP(E110,'[1]Listas Desplegables'!$H$3:$J$7,3,FALSE())</f>
        <v>#N/A</v>
      </c>
      <c r="C110" s="85" t="n">
        <v>105</v>
      </c>
      <c r="D110" s="94" t="s">
        <v>472</v>
      </c>
      <c r="E110" s="94" t="s">
        <v>719</v>
      </c>
      <c r="F110" s="109" t="n">
        <v>110</v>
      </c>
      <c r="G110" s="87" t="n">
        <v>31.5</v>
      </c>
      <c r="H110" s="88"/>
      <c r="I110" s="88" t="s">
        <v>720</v>
      </c>
      <c r="J110" s="89" t="s">
        <v>721</v>
      </c>
      <c r="K110" s="89" t="s">
        <v>221</v>
      </c>
      <c r="L110" s="88"/>
      <c r="M110" s="89" t="s">
        <v>727</v>
      </c>
      <c r="N110" s="89" t="s">
        <v>743</v>
      </c>
      <c r="O110" s="89"/>
      <c r="P110" s="89"/>
      <c r="Q110" s="88"/>
    </row>
    <row r="111" customFormat="false" ht="15" hidden="false" customHeight="false" outlineLevel="0" collapsed="false">
      <c r="A111" s="68" t="e">
        <f aca="false">VLOOKUP(E111,'[1]Listas Desplegables'!$H$3:$J$7,2,FALSE())</f>
        <v>#N/A</v>
      </c>
      <c r="B111" s="68" t="e">
        <f aca="false">VLOOKUP(E111,'[1]Listas Desplegables'!$H$3:$J$7,3,FALSE())</f>
        <v>#N/A</v>
      </c>
      <c r="C111" s="85" t="n">
        <v>106</v>
      </c>
      <c r="D111" s="94" t="s">
        <v>472</v>
      </c>
      <c r="E111" s="94" t="s">
        <v>719</v>
      </c>
      <c r="F111" s="109" t="n">
        <v>34.5</v>
      </c>
      <c r="G111" s="87" t="n">
        <v>20</v>
      </c>
      <c r="H111" s="88"/>
      <c r="I111" s="88" t="s">
        <v>720</v>
      </c>
      <c r="J111" s="89" t="s">
        <v>721</v>
      </c>
      <c r="K111" s="89" t="s">
        <v>221</v>
      </c>
      <c r="L111" s="88"/>
      <c r="M111" s="89" t="s">
        <v>727</v>
      </c>
      <c r="N111" s="89" t="s">
        <v>743</v>
      </c>
      <c r="O111" s="89"/>
      <c r="P111" s="89"/>
      <c r="Q111" s="88"/>
    </row>
    <row r="112" customFormat="false" ht="15" hidden="false" customHeight="false" outlineLevel="0" collapsed="false">
      <c r="A112" s="68" t="e">
        <f aca="false">VLOOKUP(E112,'[1]Listas Desplegables'!$H$3:$J$7,2,FALSE())</f>
        <v>#N/A</v>
      </c>
      <c r="B112" s="68" t="e">
        <f aca="false">VLOOKUP(E112,'[1]Listas Desplegables'!$H$3:$J$7,3,FALSE())</f>
        <v>#N/A</v>
      </c>
      <c r="C112" s="85" t="n">
        <v>107</v>
      </c>
      <c r="D112" s="94" t="s">
        <v>472</v>
      </c>
      <c r="E112" s="94" t="s">
        <v>719</v>
      </c>
      <c r="F112" s="109" t="n">
        <v>13.8</v>
      </c>
      <c r="G112" s="87" t="n">
        <v>20</v>
      </c>
      <c r="H112" s="88"/>
      <c r="I112" s="88" t="s">
        <v>720</v>
      </c>
      <c r="J112" s="89" t="s">
        <v>723</v>
      </c>
      <c r="K112" s="89" t="s">
        <v>221</v>
      </c>
      <c r="L112" s="88"/>
      <c r="M112" s="89" t="s">
        <v>727</v>
      </c>
      <c r="N112" s="89" t="s">
        <v>743</v>
      </c>
      <c r="O112" s="89"/>
      <c r="P112" s="89"/>
      <c r="Q112" s="88"/>
    </row>
    <row r="113" customFormat="false" ht="15" hidden="false" customHeight="false" outlineLevel="0" collapsed="false">
      <c r="A113" s="68" t="e">
        <f aca="false">VLOOKUP(E113,'[1]Listas Desplegables'!$H$3:$J$7,2,FALSE())</f>
        <v>#N/A</v>
      </c>
      <c r="B113" s="68" t="e">
        <f aca="false">VLOOKUP(E113,'[1]Listas Desplegables'!$H$3:$J$7,3,FALSE())</f>
        <v>#N/A</v>
      </c>
      <c r="C113" s="85" t="n">
        <v>108</v>
      </c>
      <c r="D113" s="94" t="s">
        <v>644</v>
      </c>
      <c r="E113" s="94" t="s">
        <v>719</v>
      </c>
      <c r="F113" s="109" t="n">
        <v>34.5</v>
      </c>
      <c r="G113" s="87" t="n">
        <v>20</v>
      </c>
      <c r="H113" s="88"/>
      <c r="I113" s="88" t="s">
        <v>720</v>
      </c>
      <c r="J113" s="89" t="s">
        <v>723</v>
      </c>
      <c r="K113" s="89" t="s">
        <v>221</v>
      </c>
      <c r="L113" s="88"/>
      <c r="M113" s="89" t="s">
        <v>724</v>
      </c>
      <c r="N113" s="89" t="s">
        <v>644</v>
      </c>
      <c r="O113" s="89"/>
      <c r="P113" s="89"/>
      <c r="Q113" s="88" t="s">
        <v>728</v>
      </c>
    </row>
    <row r="114" customFormat="false" ht="15" hidden="false" customHeight="false" outlineLevel="0" collapsed="false">
      <c r="A114" s="68" t="e">
        <f aca="false">VLOOKUP(E114,'[1]Listas Desplegables'!$H$3:$J$7,2,FALSE())</f>
        <v>#N/A</v>
      </c>
      <c r="B114" s="68" t="e">
        <f aca="false">VLOOKUP(E114,'[1]Listas Desplegables'!$H$3:$J$7,3,FALSE())</f>
        <v>#N/A</v>
      </c>
      <c r="C114" s="85" t="n">
        <v>109</v>
      </c>
      <c r="D114" s="94" t="s">
        <v>644</v>
      </c>
      <c r="E114" s="94" t="s">
        <v>719</v>
      </c>
      <c r="F114" s="109" t="n">
        <v>13.8</v>
      </c>
      <c r="G114" s="87" t="n">
        <v>25</v>
      </c>
      <c r="H114" s="88"/>
      <c r="I114" s="88" t="s">
        <v>720</v>
      </c>
      <c r="J114" s="89" t="s">
        <v>723</v>
      </c>
      <c r="K114" s="89" t="s">
        <v>221</v>
      </c>
      <c r="L114" s="88"/>
      <c r="M114" s="89" t="s">
        <v>724</v>
      </c>
      <c r="N114" s="89" t="s">
        <v>644</v>
      </c>
      <c r="O114" s="89"/>
      <c r="P114" s="89"/>
      <c r="Q114" s="88"/>
    </row>
    <row r="115" customFormat="false" ht="15" hidden="false" customHeight="false" outlineLevel="0" collapsed="false">
      <c r="A115" s="68" t="e">
        <f aca="false">VLOOKUP(E115,'[1]Listas Desplegables'!$H$3:$J$7,2,FALSE())</f>
        <v>#N/A</v>
      </c>
      <c r="B115" s="68" t="e">
        <f aca="false">VLOOKUP(E115,'[1]Listas Desplegables'!$H$3:$J$7,3,FALSE())</f>
        <v>#N/A</v>
      </c>
      <c r="C115" s="85" t="n">
        <v>110</v>
      </c>
      <c r="D115" s="94" t="s">
        <v>648</v>
      </c>
      <c r="E115" s="94" t="s">
        <v>719</v>
      </c>
      <c r="F115" s="109" t="n">
        <v>13.8</v>
      </c>
      <c r="G115" s="87" t="n">
        <v>20</v>
      </c>
      <c r="H115" s="88"/>
      <c r="I115" s="88" t="s">
        <v>720</v>
      </c>
      <c r="J115" s="89" t="s">
        <v>723</v>
      </c>
      <c r="K115" s="89" t="s">
        <v>221</v>
      </c>
      <c r="L115" s="88"/>
      <c r="M115" s="89" t="s">
        <v>727</v>
      </c>
      <c r="N115" s="89" t="s">
        <v>744</v>
      </c>
      <c r="O115" s="89"/>
      <c r="P115" s="89"/>
      <c r="Q115" s="88"/>
    </row>
    <row r="116" customFormat="false" ht="15" hidden="false" customHeight="false" outlineLevel="0" collapsed="false">
      <c r="A116" s="68" t="e">
        <f aca="false">VLOOKUP(E116,'[1]Listas Desplegables'!$H$3:$J$7,2,FALSE())</f>
        <v>#N/A</v>
      </c>
      <c r="B116" s="68" t="e">
        <f aca="false">VLOOKUP(E116,'[1]Listas Desplegables'!$H$3:$J$7,3,FALSE())</f>
        <v>#N/A</v>
      </c>
      <c r="C116" s="85" t="n">
        <v>111</v>
      </c>
      <c r="D116" s="94" t="s">
        <v>745</v>
      </c>
      <c r="E116" s="94" t="s">
        <v>719</v>
      </c>
      <c r="F116" s="109" t="n">
        <v>110</v>
      </c>
      <c r="G116" s="87" t="n">
        <v>40</v>
      </c>
      <c r="H116" s="88"/>
      <c r="I116" s="88" t="s">
        <v>720</v>
      </c>
      <c r="J116" s="89" t="s">
        <v>721</v>
      </c>
      <c r="K116" s="89" t="s">
        <v>221</v>
      </c>
      <c r="L116" s="88"/>
      <c r="M116" s="89" t="s">
        <v>724</v>
      </c>
      <c r="N116" s="89" t="s">
        <v>730</v>
      </c>
      <c r="O116" s="89"/>
      <c r="P116" s="89"/>
      <c r="Q116" s="88" t="s">
        <v>728</v>
      </c>
    </row>
    <row r="117" customFormat="false" ht="15" hidden="false" customHeight="false" outlineLevel="0" collapsed="false">
      <c r="A117" s="68" t="e">
        <f aca="false">VLOOKUP(E117,'[1]Listas Desplegables'!$H$3:$J$7,2,FALSE())</f>
        <v>#N/A</v>
      </c>
      <c r="B117" s="68" t="e">
        <f aca="false">VLOOKUP(E117,'[1]Listas Desplegables'!$H$3:$J$7,3,FALSE())</f>
        <v>#N/A</v>
      </c>
      <c r="C117" s="85" t="n">
        <v>112</v>
      </c>
      <c r="D117" s="94" t="s">
        <v>745</v>
      </c>
      <c r="E117" s="94" t="s">
        <v>719</v>
      </c>
      <c r="F117" s="109" t="n">
        <v>34.5</v>
      </c>
      <c r="G117" s="87" t="n">
        <v>25</v>
      </c>
      <c r="H117" s="88"/>
      <c r="I117" s="88" t="s">
        <v>720</v>
      </c>
      <c r="J117" s="89" t="s">
        <v>721</v>
      </c>
      <c r="K117" s="89" t="s">
        <v>221</v>
      </c>
      <c r="L117" s="88"/>
      <c r="M117" s="89" t="s">
        <v>724</v>
      </c>
      <c r="N117" s="89" t="s">
        <v>730</v>
      </c>
      <c r="O117" s="89"/>
      <c r="P117" s="89"/>
      <c r="Q117" s="88"/>
    </row>
    <row r="118" customFormat="false" ht="15" hidden="false" customHeight="false" outlineLevel="0" collapsed="false">
      <c r="A118" s="68" t="e">
        <f aca="false">VLOOKUP(E118,'[1]Listas Desplegables'!$H$3:$J$7,2,FALSE())</f>
        <v>#N/A</v>
      </c>
      <c r="B118" s="68" t="e">
        <f aca="false">VLOOKUP(E118,'[1]Listas Desplegables'!$H$3:$J$7,3,FALSE())</f>
        <v>#N/A</v>
      </c>
      <c r="C118" s="85" t="n">
        <v>113</v>
      </c>
      <c r="D118" s="94" t="s">
        <v>745</v>
      </c>
      <c r="E118" s="94" t="s">
        <v>719</v>
      </c>
      <c r="F118" s="109" t="n">
        <v>13.8</v>
      </c>
      <c r="G118" s="87" t="n">
        <v>25</v>
      </c>
      <c r="H118" s="88"/>
      <c r="I118" s="88" t="s">
        <v>720</v>
      </c>
      <c r="J118" s="89" t="s">
        <v>723</v>
      </c>
      <c r="K118" s="89" t="s">
        <v>221</v>
      </c>
      <c r="L118" s="88"/>
      <c r="M118" s="89" t="s">
        <v>724</v>
      </c>
      <c r="N118" s="89" t="s">
        <v>730</v>
      </c>
      <c r="O118" s="89"/>
      <c r="P118" s="89"/>
      <c r="Q118" s="88"/>
    </row>
    <row r="119" customFormat="false" ht="15" hidden="false" customHeight="false" outlineLevel="0" collapsed="false">
      <c r="A119" s="68" t="e">
        <f aca="false">VLOOKUP(E119,'[1]Listas Desplegables'!$H$3:$J$7,2,FALSE())</f>
        <v>#N/A</v>
      </c>
      <c r="B119" s="68" t="e">
        <f aca="false">VLOOKUP(E119,'[1]Listas Desplegables'!$H$3:$J$7,3,FALSE())</f>
        <v>#N/A</v>
      </c>
      <c r="C119" s="85" t="n">
        <v>114</v>
      </c>
      <c r="D119" s="94" t="s">
        <v>445</v>
      </c>
      <c r="E119" s="94" t="s">
        <v>719</v>
      </c>
      <c r="F119" s="109" t="n">
        <v>34.5</v>
      </c>
      <c r="G119" s="87" t="n">
        <v>25</v>
      </c>
      <c r="H119" s="88"/>
      <c r="I119" s="88" t="s">
        <v>720</v>
      </c>
      <c r="J119" s="89" t="s">
        <v>721</v>
      </c>
      <c r="K119" s="89" t="s">
        <v>221</v>
      </c>
      <c r="L119" s="88"/>
      <c r="M119" s="89" t="s">
        <v>727</v>
      </c>
      <c r="N119" s="89" t="s">
        <v>445</v>
      </c>
      <c r="O119" s="89"/>
      <c r="P119" s="89"/>
      <c r="Q119" s="88" t="s">
        <v>728</v>
      </c>
    </row>
    <row r="120" customFormat="false" ht="15" hidden="false" customHeight="false" outlineLevel="0" collapsed="false">
      <c r="A120" s="68" t="e">
        <f aca="false">VLOOKUP(E120,'[1]Listas Desplegables'!$H$3:$J$7,2,FALSE())</f>
        <v>#N/A</v>
      </c>
      <c r="B120" s="68" t="e">
        <f aca="false">VLOOKUP(E120,'[1]Listas Desplegables'!$H$3:$J$7,3,FALSE())</f>
        <v>#N/A</v>
      </c>
      <c r="C120" s="85" t="n">
        <v>115</v>
      </c>
      <c r="D120" s="94" t="s">
        <v>445</v>
      </c>
      <c r="E120" s="94" t="s">
        <v>719</v>
      </c>
      <c r="F120" s="109" t="n">
        <v>13.8</v>
      </c>
      <c r="G120" s="87" t="n">
        <v>12.5</v>
      </c>
      <c r="H120" s="88"/>
      <c r="I120" s="88" t="s">
        <v>720</v>
      </c>
      <c r="J120" s="89" t="s">
        <v>721</v>
      </c>
      <c r="K120" s="89" t="s">
        <v>221</v>
      </c>
      <c r="L120" s="88"/>
      <c r="M120" s="89" t="s">
        <v>727</v>
      </c>
      <c r="N120" s="89" t="s">
        <v>445</v>
      </c>
      <c r="O120" s="89"/>
      <c r="P120" s="89"/>
      <c r="Q120" s="88"/>
    </row>
    <row r="121" customFormat="false" ht="15" hidden="false" customHeight="false" outlineLevel="0" collapsed="false">
      <c r="A121" s="68" t="e">
        <f aca="false">VLOOKUP(E121,'[1]Listas Desplegables'!$H$3:$J$7,2,FALSE())</f>
        <v>#N/A</v>
      </c>
      <c r="B121" s="68" t="e">
        <f aca="false">VLOOKUP(E121,'[1]Listas Desplegables'!$H$3:$J$7,3,FALSE())</f>
        <v>#N/A</v>
      </c>
      <c r="C121" s="85" t="n">
        <v>116</v>
      </c>
      <c r="D121" s="94" t="s">
        <v>677</v>
      </c>
      <c r="E121" s="94" t="s">
        <v>719</v>
      </c>
      <c r="F121" s="109" t="n">
        <v>34.5</v>
      </c>
      <c r="G121" s="87" t="n">
        <v>20</v>
      </c>
      <c r="H121" s="88"/>
      <c r="I121" s="88" t="s">
        <v>720</v>
      </c>
      <c r="J121" s="89" t="s">
        <v>721</v>
      </c>
      <c r="K121" s="89" t="s">
        <v>221</v>
      </c>
      <c r="L121" s="88"/>
      <c r="M121" s="89" t="s">
        <v>727</v>
      </c>
      <c r="N121" s="89" t="s">
        <v>677</v>
      </c>
      <c r="O121" s="89"/>
      <c r="P121" s="89"/>
      <c r="Q121" s="88"/>
    </row>
    <row r="122" customFormat="false" ht="15" hidden="false" customHeight="false" outlineLevel="0" collapsed="false">
      <c r="A122" s="68" t="e">
        <f aca="false">VLOOKUP(E122,'[1]Listas Desplegables'!$H$3:$J$7,2,FALSE())</f>
        <v>#N/A</v>
      </c>
      <c r="B122" s="68" t="e">
        <f aca="false">VLOOKUP(E122,'[1]Listas Desplegables'!$H$3:$J$7,3,FALSE())</f>
        <v>#N/A</v>
      </c>
      <c r="C122" s="85" t="n">
        <v>117</v>
      </c>
      <c r="D122" s="94" t="s">
        <v>677</v>
      </c>
      <c r="E122" s="94" t="s">
        <v>719</v>
      </c>
      <c r="F122" s="109" t="n">
        <v>13.8</v>
      </c>
      <c r="G122" s="87" t="n">
        <v>20</v>
      </c>
      <c r="H122" s="88"/>
      <c r="I122" s="88" t="s">
        <v>720</v>
      </c>
      <c r="J122" s="89" t="s">
        <v>721</v>
      </c>
      <c r="K122" s="89" t="s">
        <v>221</v>
      </c>
      <c r="L122" s="88"/>
      <c r="M122" s="89" t="s">
        <v>727</v>
      </c>
      <c r="N122" s="89" t="s">
        <v>677</v>
      </c>
      <c r="O122" s="89"/>
      <c r="P122" s="89"/>
      <c r="Q122" s="88" t="s">
        <v>728</v>
      </c>
    </row>
    <row r="123" customFormat="false" ht="15" hidden="false" customHeight="false" outlineLevel="0" collapsed="false">
      <c r="A123" s="68" t="e">
        <f aca="false">VLOOKUP(E123,'[1]Listas Desplegables'!$H$3:$J$7,2,FALSE())</f>
        <v>#N/A</v>
      </c>
      <c r="B123" s="68" t="e">
        <f aca="false">VLOOKUP(E123,'[1]Listas Desplegables'!$H$3:$J$7,3,FALSE())</f>
        <v>#N/A</v>
      </c>
      <c r="C123" s="85" t="n">
        <v>118</v>
      </c>
      <c r="D123" s="94" t="s">
        <v>652</v>
      </c>
      <c r="E123" s="94" t="s">
        <v>719</v>
      </c>
      <c r="F123" s="109" t="n">
        <v>110</v>
      </c>
      <c r="G123" s="87" t="n">
        <v>31.5</v>
      </c>
      <c r="H123" s="88"/>
      <c r="I123" s="88" t="s">
        <v>733</v>
      </c>
      <c r="J123" s="89" t="s">
        <v>723</v>
      </c>
      <c r="K123" s="89" t="s">
        <v>221</v>
      </c>
      <c r="L123" s="88"/>
      <c r="M123" s="89" t="s">
        <v>724</v>
      </c>
      <c r="N123" s="89" t="s">
        <v>732</v>
      </c>
      <c r="O123" s="89"/>
      <c r="P123" s="89"/>
      <c r="Q123" s="88"/>
    </row>
    <row r="124" customFormat="false" ht="15" hidden="false" customHeight="false" outlineLevel="0" collapsed="false">
      <c r="A124" s="68" t="e">
        <f aca="false">VLOOKUP(E124,'[1]Listas Desplegables'!$H$3:$J$7,2,FALSE())</f>
        <v>#N/A</v>
      </c>
      <c r="B124" s="68" t="e">
        <f aca="false">VLOOKUP(E124,'[1]Listas Desplegables'!$H$3:$J$7,3,FALSE())</f>
        <v>#N/A</v>
      </c>
      <c r="C124" s="85" t="n">
        <v>119</v>
      </c>
      <c r="D124" s="94" t="s">
        <v>652</v>
      </c>
      <c r="E124" s="94" t="s">
        <v>719</v>
      </c>
      <c r="F124" s="109" t="n">
        <v>13.8</v>
      </c>
      <c r="G124" s="87" t="n">
        <v>40</v>
      </c>
      <c r="H124" s="88"/>
      <c r="I124" s="88" t="s">
        <v>720</v>
      </c>
      <c r="J124" s="89" t="s">
        <v>723</v>
      </c>
      <c r="K124" s="89" t="s">
        <v>221</v>
      </c>
      <c r="L124" s="88"/>
      <c r="M124" s="89" t="s">
        <v>724</v>
      </c>
      <c r="N124" s="89" t="s">
        <v>732</v>
      </c>
      <c r="O124" s="89"/>
      <c r="P124" s="89"/>
      <c r="Q124" s="88"/>
    </row>
    <row r="125" customFormat="false" ht="15" hidden="false" customHeight="false" outlineLevel="0" collapsed="false">
      <c r="A125" s="68" t="e">
        <f aca="false">VLOOKUP(E125,'[1]Listas Desplegables'!$H$3:$J$7,2,FALSE())</f>
        <v>#N/A</v>
      </c>
      <c r="B125" s="68" t="e">
        <f aca="false">VLOOKUP(E125,'[1]Listas Desplegables'!$H$3:$J$7,3,FALSE())</f>
        <v>#N/A</v>
      </c>
      <c r="C125" s="85" t="n">
        <v>120</v>
      </c>
      <c r="D125" s="94" t="s">
        <v>656</v>
      </c>
      <c r="E125" s="94" t="s">
        <v>719</v>
      </c>
      <c r="F125" s="109" t="n">
        <v>34.5</v>
      </c>
      <c r="G125" s="87" t="n">
        <v>25</v>
      </c>
      <c r="H125" s="88"/>
      <c r="I125" s="88" t="s">
        <v>720</v>
      </c>
      <c r="J125" s="89" t="s">
        <v>721</v>
      </c>
      <c r="K125" s="89" t="s">
        <v>221</v>
      </c>
      <c r="L125" s="88"/>
      <c r="M125" s="89" t="s">
        <v>722</v>
      </c>
      <c r="N125" s="89" t="s">
        <v>735</v>
      </c>
      <c r="O125" s="89"/>
      <c r="P125" s="89"/>
      <c r="Q125" s="88" t="s">
        <v>728</v>
      </c>
    </row>
    <row r="126" customFormat="false" ht="15" hidden="false" customHeight="false" outlineLevel="0" collapsed="false">
      <c r="A126" s="68" t="e">
        <f aca="false">VLOOKUP(E126,'[1]Listas Desplegables'!$H$3:$J$7,2,FALSE())</f>
        <v>#N/A</v>
      </c>
      <c r="B126" s="68" t="e">
        <f aca="false">VLOOKUP(E126,'[1]Listas Desplegables'!$H$3:$J$7,3,FALSE())</f>
        <v>#N/A</v>
      </c>
      <c r="C126" s="85" t="n">
        <v>121</v>
      </c>
      <c r="D126" s="94" t="s">
        <v>656</v>
      </c>
      <c r="E126" s="94" t="s">
        <v>719</v>
      </c>
      <c r="F126" s="109" t="n">
        <v>13.8</v>
      </c>
      <c r="G126" s="87" t="n">
        <v>25</v>
      </c>
      <c r="H126" s="88"/>
      <c r="I126" s="88" t="s">
        <v>720</v>
      </c>
      <c r="J126" s="89" t="s">
        <v>723</v>
      </c>
      <c r="K126" s="89" t="s">
        <v>221</v>
      </c>
      <c r="L126" s="88"/>
      <c r="M126" s="89" t="s">
        <v>722</v>
      </c>
      <c r="N126" s="89" t="s">
        <v>735</v>
      </c>
      <c r="O126" s="89"/>
      <c r="P126" s="89"/>
      <c r="Q126" s="88"/>
    </row>
    <row r="127" customFormat="false" ht="15" hidden="false" customHeight="false" outlineLevel="0" collapsed="false">
      <c r="A127" s="68" t="e">
        <f aca="false">VLOOKUP(E127,'[1]Listas Desplegables'!$H$3:$J$7,2,FALSE())</f>
        <v>#N/A</v>
      </c>
      <c r="B127" s="68" t="e">
        <f aca="false">VLOOKUP(E127,'[1]Listas Desplegables'!$H$3:$J$7,3,FALSE())</f>
        <v>#N/A</v>
      </c>
      <c r="C127" s="85" t="n">
        <v>122</v>
      </c>
      <c r="D127" s="94" t="s">
        <v>699</v>
      </c>
      <c r="E127" s="94" t="s">
        <v>719</v>
      </c>
      <c r="F127" s="109" t="n">
        <v>110</v>
      </c>
      <c r="G127" s="87" t="n">
        <v>40</v>
      </c>
      <c r="H127" s="88"/>
      <c r="I127" s="88" t="s">
        <v>733</v>
      </c>
      <c r="J127" s="89" t="s">
        <v>723</v>
      </c>
      <c r="K127" s="89" t="s">
        <v>395</v>
      </c>
      <c r="L127" s="96" t="n">
        <v>2029</v>
      </c>
      <c r="M127" s="89" t="s">
        <v>724</v>
      </c>
      <c r="N127" s="89" t="s">
        <v>699</v>
      </c>
      <c r="O127" s="89"/>
      <c r="P127" s="89"/>
      <c r="Q127" s="88"/>
    </row>
    <row r="128" customFormat="false" ht="15" hidden="false" customHeight="false" outlineLevel="0" collapsed="false">
      <c r="A128" s="68" t="e">
        <f aca="false">VLOOKUP(E128,'[1]Listas Desplegables'!$H$3:$J$7,2,FALSE())</f>
        <v>#N/A</v>
      </c>
      <c r="B128" s="68" t="e">
        <f aca="false">VLOOKUP(E128,'[1]Listas Desplegables'!$H$3:$J$7,3,FALSE())</f>
        <v>#N/A</v>
      </c>
      <c r="C128" s="85" t="n">
        <v>123</v>
      </c>
      <c r="D128" s="94" t="s">
        <v>699</v>
      </c>
      <c r="E128" s="94" t="s">
        <v>719</v>
      </c>
      <c r="F128" s="109" t="n">
        <v>13.8</v>
      </c>
      <c r="G128" s="87" t="n">
        <v>31.5</v>
      </c>
      <c r="H128" s="88"/>
      <c r="I128" s="88" t="s">
        <v>720</v>
      </c>
      <c r="J128" s="89" t="s">
        <v>723</v>
      </c>
      <c r="K128" s="89" t="s">
        <v>395</v>
      </c>
      <c r="L128" s="96" t="n">
        <v>2029</v>
      </c>
      <c r="M128" s="89" t="s">
        <v>724</v>
      </c>
      <c r="N128" s="89" t="s">
        <v>699</v>
      </c>
      <c r="O128" s="89"/>
      <c r="P128" s="89"/>
      <c r="Q128" s="88"/>
    </row>
    <row r="129" customFormat="false" ht="15" hidden="false" customHeight="false" outlineLevel="0" collapsed="false">
      <c r="A129" s="68" t="e">
        <f aca="false">VLOOKUP(E129,'[1]Listas Desplegables'!$H$3:$J$7,2,FALSE())</f>
        <v>#N/A</v>
      </c>
      <c r="B129" s="68" t="e">
        <f aca="false">VLOOKUP(E129,'[1]Listas Desplegables'!$H$3:$J$7,3,FALSE())</f>
        <v>#N/A</v>
      </c>
      <c r="C129" s="85" t="n">
        <v>124</v>
      </c>
      <c r="D129" s="94" t="s">
        <v>699</v>
      </c>
      <c r="E129" s="94" t="s">
        <v>719</v>
      </c>
      <c r="F129" s="109" t="n">
        <v>34.5</v>
      </c>
      <c r="G129" s="87" t="n">
        <v>31.5</v>
      </c>
      <c r="H129" s="88"/>
      <c r="I129" s="88" t="s">
        <v>720</v>
      </c>
      <c r="J129" s="89" t="s">
        <v>723</v>
      </c>
      <c r="K129" s="89" t="s">
        <v>395</v>
      </c>
      <c r="L129" s="96" t="n">
        <v>2029</v>
      </c>
      <c r="M129" s="89" t="s">
        <v>724</v>
      </c>
      <c r="N129" s="89" t="s">
        <v>699</v>
      </c>
      <c r="O129" s="89"/>
      <c r="P129" s="89"/>
      <c r="Q129" s="88"/>
    </row>
    <row r="130" customFormat="false" ht="15" hidden="false" customHeight="false" outlineLevel="0" collapsed="false">
      <c r="A130" s="68" t="e">
        <f aca="false">VLOOKUP(E130,'[1]Listas Desplegables'!$H$3:$J$7,2,FALSE())</f>
        <v>#N/A</v>
      </c>
      <c r="B130" s="68" t="e">
        <f aca="false">VLOOKUP(E130,'[1]Listas Desplegables'!$H$3:$J$7,3,FALSE())</f>
        <v>#N/A</v>
      </c>
      <c r="C130" s="85" t="n">
        <v>125</v>
      </c>
      <c r="D130" s="94" t="s">
        <v>701</v>
      </c>
      <c r="E130" s="94" t="s">
        <v>719</v>
      </c>
      <c r="F130" s="109" t="n">
        <v>110</v>
      </c>
      <c r="G130" s="87" t="n">
        <v>40</v>
      </c>
      <c r="H130" s="88"/>
      <c r="I130" s="88" t="s">
        <v>733</v>
      </c>
      <c r="J130" s="89" t="s">
        <v>723</v>
      </c>
      <c r="K130" s="89" t="s">
        <v>395</v>
      </c>
      <c r="L130" s="96" t="n">
        <v>2029</v>
      </c>
      <c r="M130" s="89" t="s">
        <v>722</v>
      </c>
      <c r="N130" s="89" t="s">
        <v>746</v>
      </c>
      <c r="O130" s="89"/>
      <c r="P130" s="89"/>
      <c r="Q130" s="89"/>
    </row>
    <row r="131" customFormat="false" ht="15" hidden="false" customHeight="false" outlineLevel="0" collapsed="false">
      <c r="A131" s="68" t="e">
        <f aca="false">VLOOKUP(E131,'[1]Listas Desplegables'!$H$3:$J$7,2,FALSE())</f>
        <v>#N/A</v>
      </c>
      <c r="B131" s="68" t="e">
        <f aca="false">VLOOKUP(E131,'[1]Listas Desplegables'!$H$3:$J$7,3,FALSE())</f>
        <v>#N/A</v>
      </c>
      <c r="C131" s="85" t="n">
        <v>126</v>
      </c>
      <c r="D131" s="94" t="s">
        <v>701</v>
      </c>
      <c r="E131" s="94" t="s">
        <v>719</v>
      </c>
      <c r="F131" s="109" t="n">
        <v>34.5</v>
      </c>
      <c r="G131" s="87" t="n">
        <v>31.5</v>
      </c>
      <c r="H131" s="88"/>
      <c r="I131" s="88" t="s">
        <v>720</v>
      </c>
      <c r="J131" s="89" t="s">
        <v>723</v>
      </c>
      <c r="K131" s="89" t="s">
        <v>395</v>
      </c>
      <c r="L131" s="96" t="n">
        <v>2029</v>
      </c>
      <c r="M131" s="89" t="s">
        <v>722</v>
      </c>
      <c r="N131" s="89" t="s">
        <v>746</v>
      </c>
      <c r="O131" s="89"/>
      <c r="P131" s="89"/>
      <c r="Q131" s="89"/>
    </row>
    <row r="132" customFormat="false" ht="15" hidden="false" customHeight="false" outlineLevel="0" collapsed="false">
      <c r="A132" s="68" t="e">
        <f aca="false">VLOOKUP(E132,'[1]Listas Desplegables'!$H$3:$J$7,2,FALSE())</f>
        <v>#N/A</v>
      </c>
      <c r="B132" s="68" t="e">
        <f aca="false">VLOOKUP(E132,'[1]Listas Desplegables'!$H$3:$J$7,3,FALSE())</f>
        <v>#N/A</v>
      </c>
      <c r="C132" s="85" t="n">
        <v>127</v>
      </c>
      <c r="D132" s="94" t="s">
        <v>701</v>
      </c>
      <c r="E132" s="94" t="s">
        <v>719</v>
      </c>
      <c r="F132" s="109" t="n">
        <v>13.8</v>
      </c>
      <c r="G132" s="87" t="n">
        <v>31.5</v>
      </c>
      <c r="H132" s="88"/>
      <c r="I132" s="88" t="s">
        <v>720</v>
      </c>
      <c r="J132" s="89" t="s">
        <v>723</v>
      </c>
      <c r="K132" s="89" t="s">
        <v>395</v>
      </c>
      <c r="L132" s="96" t="n">
        <v>2029</v>
      </c>
      <c r="M132" s="89" t="s">
        <v>722</v>
      </c>
      <c r="N132" s="89" t="s">
        <v>746</v>
      </c>
      <c r="O132" s="89"/>
      <c r="P132" s="89"/>
      <c r="Q132" s="89"/>
    </row>
    <row r="133" customFormat="false" ht="15" hidden="false" customHeight="false" outlineLevel="0" collapsed="false">
      <c r="A133" s="68" t="e">
        <f aca="false">VLOOKUP(E133,'[1]Listas Desplegables'!$H$3:$J$7,2,FALSE())</f>
        <v>#N/A</v>
      </c>
      <c r="B133" s="68" t="e">
        <f aca="false">VLOOKUP(E133,'[1]Listas Desplegables'!$H$3:$J$7,3,FALSE())</f>
        <v>#N/A</v>
      </c>
      <c r="C133" s="85" t="n">
        <v>128</v>
      </c>
      <c r="D133" s="94" t="s">
        <v>529</v>
      </c>
      <c r="E133" s="94" t="s">
        <v>719</v>
      </c>
      <c r="F133" s="109" t="n">
        <v>110</v>
      </c>
      <c r="G133" s="87" t="n">
        <v>40</v>
      </c>
      <c r="H133" s="88"/>
      <c r="I133" s="88" t="s">
        <v>720</v>
      </c>
      <c r="J133" s="89" t="s">
        <v>723</v>
      </c>
      <c r="K133" s="89" t="s">
        <v>395</v>
      </c>
      <c r="L133" s="96" t="n">
        <v>2029</v>
      </c>
      <c r="M133" s="89" t="s">
        <v>727</v>
      </c>
      <c r="N133" s="89" t="s">
        <v>743</v>
      </c>
      <c r="O133" s="89"/>
      <c r="P133" s="89"/>
      <c r="Q133" s="89"/>
    </row>
    <row r="134" customFormat="false" ht="15" hidden="false" customHeight="false" outlineLevel="0" collapsed="false">
      <c r="A134" s="68" t="e">
        <f aca="false">VLOOKUP(E134,'[1]Listas Desplegables'!$H$3:$J$7,2,FALSE())</f>
        <v>#N/A</v>
      </c>
      <c r="B134" s="68" t="e">
        <f aca="false">VLOOKUP(E134,'[1]Listas Desplegables'!$H$3:$J$7,3,FALSE())</f>
        <v>#N/A</v>
      </c>
      <c r="C134" s="85" t="n">
        <v>129</v>
      </c>
      <c r="D134" s="94" t="s">
        <v>747</v>
      </c>
      <c r="E134" s="94" t="s">
        <v>719</v>
      </c>
      <c r="F134" s="109" t="n">
        <v>110</v>
      </c>
      <c r="G134" s="87" t="n">
        <v>40</v>
      </c>
      <c r="H134" s="88"/>
      <c r="I134" s="88" t="s">
        <v>733</v>
      </c>
      <c r="J134" s="89" t="s">
        <v>723</v>
      </c>
      <c r="K134" s="89" t="s">
        <v>221</v>
      </c>
      <c r="L134" s="96" t="n">
        <v>2029</v>
      </c>
      <c r="M134" s="89" t="s">
        <v>724</v>
      </c>
      <c r="N134" s="89" t="s">
        <v>730</v>
      </c>
      <c r="O134" s="89"/>
      <c r="P134" s="89"/>
      <c r="Q134" s="89"/>
    </row>
    <row r="135" customFormat="false" ht="15" hidden="false" customHeight="false" outlineLevel="0" collapsed="false">
      <c r="A135" s="68" t="e">
        <f aca="false">VLOOKUP(E135,'[1]Listas Desplegables'!$H$3:$J$7,2,FALSE())</f>
        <v>#N/A</v>
      </c>
      <c r="B135" s="68" t="e">
        <f aca="false">VLOOKUP(E135,'[1]Listas Desplegables'!$H$3:$J$7,3,FALSE())</f>
        <v>#N/A</v>
      </c>
      <c r="C135" s="85" t="n">
        <v>130</v>
      </c>
      <c r="D135" s="94" t="s">
        <v>661</v>
      </c>
      <c r="E135" s="94" t="s">
        <v>719</v>
      </c>
      <c r="F135" s="109" t="n">
        <v>110</v>
      </c>
      <c r="G135" s="87" t="n">
        <v>40</v>
      </c>
      <c r="H135" s="88"/>
      <c r="I135" s="88" t="s">
        <v>733</v>
      </c>
      <c r="J135" s="89" t="s">
        <v>723</v>
      </c>
      <c r="K135" s="89" t="s">
        <v>221</v>
      </c>
      <c r="L135" s="88"/>
      <c r="M135" s="89" t="s">
        <v>724</v>
      </c>
      <c r="N135" s="89" t="s">
        <v>730</v>
      </c>
      <c r="O135" s="89"/>
      <c r="P135" s="89"/>
      <c r="Q135" s="89"/>
    </row>
    <row r="136" customFormat="false" ht="15" hidden="false" customHeight="false" outlineLevel="0" collapsed="false">
      <c r="A136" s="68" t="e">
        <f aca="false">VLOOKUP(E136,'[1]Listas Desplegables'!$H$3:$J$7,2,FALSE())</f>
        <v>#N/A</v>
      </c>
      <c r="B136" s="68" t="e">
        <f aca="false">VLOOKUP(E136,'[1]Listas Desplegables'!$H$3:$J$7,3,FALSE())</f>
        <v>#N/A</v>
      </c>
      <c r="C136" s="85" t="n">
        <v>131</v>
      </c>
      <c r="D136" s="94" t="s">
        <v>661</v>
      </c>
      <c r="E136" s="94" t="s">
        <v>719</v>
      </c>
      <c r="F136" s="109" t="n">
        <v>13.8</v>
      </c>
      <c r="G136" s="87" t="n">
        <v>31.5</v>
      </c>
      <c r="H136" s="88"/>
      <c r="I136" s="88" t="s">
        <v>720</v>
      </c>
      <c r="J136" s="89" t="s">
        <v>723</v>
      </c>
      <c r="K136" s="89" t="s">
        <v>395</v>
      </c>
      <c r="L136" s="96" t="n">
        <v>2029</v>
      </c>
      <c r="M136" s="89" t="s">
        <v>724</v>
      </c>
      <c r="N136" s="89" t="s">
        <v>730</v>
      </c>
      <c r="O136" s="89"/>
      <c r="P136" s="89"/>
      <c r="Q136" s="89"/>
    </row>
    <row r="137" customFormat="false" ht="15" hidden="false" customHeight="false" outlineLevel="0" collapsed="false">
      <c r="A137" s="68" t="e">
        <f aca="false">VLOOKUP(E137,'[1]Listas Desplegables'!$H$3:$J$7,2,FALSE())</f>
        <v>#N/A</v>
      </c>
      <c r="B137" s="68" t="e">
        <f aca="false">VLOOKUP(E137,'[1]Listas Desplegables'!$H$3:$J$7,3,FALSE())</f>
        <v>#N/A</v>
      </c>
      <c r="C137" s="85" t="n">
        <v>132</v>
      </c>
      <c r="D137" s="94" t="s">
        <v>747</v>
      </c>
      <c r="E137" s="94" t="s">
        <v>719</v>
      </c>
      <c r="F137" s="109" t="n">
        <v>13.8</v>
      </c>
      <c r="G137" s="87" t="n">
        <v>31.5</v>
      </c>
      <c r="H137" s="88"/>
      <c r="I137" s="88" t="s">
        <v>720</v>
      </c>
      <c r="J137" s="89" t="s">
        <v>723</v>
      </c>
      <c r="K137" s="89" t="s">
        <v>395</v>
      </c>
      <c r="L137" s="96" t="n">
        <v>2029</v>
      </c>
      <c r="M137" s="89" t="s">
        <v>724</v>
      </c>
      <c r="N137" s="89" t="s">
        <v>730</v>
      </c>
      <c r="O137" s="89"/>
      <c r="P137" s="89"/>
      <c r="Q137" s="89" t="s">
        <v>748</v>
      </c>
    </row>
    <row r="138" customFormat="false" ht="15" hidden="false" customHeight="false" outlineLevel="0" collapsed="false">
      <c r="A138" s="68" t="e">
        <f aca="false">VLOOKUP(E138,'[1]Listas Desplegables'!$H$3:$J$7,2,FALSE())</f>
        <v>#N/A</v>
      </c>
      <c r="B138" s="68" t="e">
        <f aca="false">VLOOKUP(E138,'[1]Listas Desplegables'!$H$3:$J$7,3,FALSE())</f>
        <v>#N/A</v>
      </c>
      <c r="C138" s="85" t="n">
        <v>133</v>
      </c>
      <c r="D138" s="94" t="s">
        <v>669</v>
      </c>
      <c r="E138" s="94" t="s">
        <v>719</v>
      </c>
      <c r="F138" s="109" t="n">
        <v>34.5</v>
      </c>
      <c r="G138" s="87" t="n">
        <v>25</v>
      </c>
      <c r="H138" s="88"/>
      <c r="I138" s="88" t="s">
        <v>720</v>
      </c>
      <c r="J138" s="89" t="s">
        <v>723</v>
      </c>
      <c r="K138" s="89" t="s">
        <v>395</v>
      </c>
      <c r="L138" s="96" t="n">
        <v>2029</v>
      </c>
      <c r="M138" s="89" t="s">
        <v>724</v>
      </c>
      <c r="N138" s="89" t="s">
        <v>457</v>
      </c>
      <c r="O138" s="89"/>
      <c r="P138" s="89"/>
      <c r="Q138" s="89"/>
    </row>
    <row r="139" customFormat="false" ht="15" hidden="false" customHeight="false" outlineLevel="0" collapsed="false">
      <c r="A139" s="68" t="e">
        <f aca="false">VLOOKUP(E139,'[1]Listas Desplegables'!$H$3:$J$7,2,FALSE())</f>
        <v>#N/A</v>
      </c>
      <c r="B139" s="68" t="e">
        <f aca="false">VLOOKUP(E139,'[1]Listas Desplegables'!$H$3:$J$7,3,FALSE())</f>
        <v>#N/A</v>
      </c>
      <c r="C139" s="85" t="n">
        <v>134</v>
      </c>
      <c r="D139" s="94" t="s">
        <v>669</v>
      </c>
      <c r="E139" s="94" t="s">
        <v>719</v>
      </c>
      <c r="F139" s="109" t="n">
        <v>13.8</v>
      </c>
      <c r="G139" s="87" t="n">
        <v>25</v>
      </c>
      <c r="H139" s="88"/>
      <c r="I139" s="88" t="s">
        <v>720</v>
      </c>
      <c r="J139" s="89" t="s">
        <v>723</v>
      </c>
      <c r="K139" s="89" t="s">
        <v>395</v>
      </c>
      <c r="L139" s="96" t="n">
        <v>2029</v>
      </c>
      <c r="M139" s="89" t="s">
        <v>724</v>
      </c>
      <c r="N139" s="89" t="s">
        <v>457</v>
      </c>
      <c r="O139" s="89"/>
      <c r="P139" s="89"/>
      <c r="Q139" s="89"/>
    </row>
    <row r="140" customFormat="false" ht="15" hidden="false" customHeight="false" outlineLevel="0" collapsed="false">
      <c r="A140" s="68" t="e">
        <f aca="false">VLOOKUP(E140,'[1]Listas Desplegables'!$H$3:$J$7,2,FALSE())</f>
        <v>#N/A</v>
      </c>
      <c r="B140" s="68" t="e">
        <f aca="false">VLOOKUP(E140,'[1]Listas Desplegables'!$H$3:$J$7,3,FALSE())</f>
        <v>#N/A</v>
      </c>
      <c r="C140" s="85" t="n">
        <v>135</v>
      </c>
      <c r="D140" s="94" t="s">
        <v>524</v>
      </c>
      <c r="E140" s="94" t="s">
        <v>524</v>
      </c>
      <c r="F140" s="109" t="n">
        <v>220</v>
      </c>
      <c r="G140" s="87" t="n">
        <v>31.5</v>
      </c>
      <c r="H140" s="88"/>
      <c r="I140" s="88" t="s">
        <v>749</v>
      </c>
      <c r="J140" s="89" t="s">
        <v>721</v>
      </c>
      <c r="K140" s="89" t="s">
        <v>221</v>
      </c>
      <c r="L140" s="88"/>
      <c r="M140" s="89" t="s">
        <v>724</v>
      </c>
      <c r="N140" s="89" t="s">
        <v>732</v>
      </c>
      <c r="O140" s="89"/>
      <c r="P140" s="89"/>
      <c r="Q140" s="89"/>
    </row>
    <row r="141" customFormat="false" ht="15" hidden="false" customHeight="false" outlineLevel="0" collapsed="false">
      <c r="A141" s="68" t="e">
        <f aca="false">VLOOKUP(E141,'[1]Listas Desplegables'!$H$3:$J$7,2,FALSE())</f>
        <v>#N/A</v>
      </c>
      <c r="B141" s="68" t="e">
        <f aca="false">VLOOKUP(E141,'[1]Listas Desplegables'!$H$3:$J$7,3,FALSE())</f>
        <v>#N/A</v>
      </c>
      <c r="C141" s="85" t="n">
        <v>136</v>
      </c>
      <c r="D141" s="94" t="s">
        <v>524</v>
      </c>
      <c r="E141" s="94" t="s">
        <v>524</v>
      </c>
      <c r="F141" s="109" t="n">
        <v>110</v>
      </c>
      <c r="G141" s="87" t="n">
        <v>40</v>
      </c>
      <c r="H141" s="88"/>
      <c r="I141" s="88" t="s">
        <v>749</v>
      </c>
      <c r="J141" s="89" t="s">
        <v>721</v>
      </c>
      <c r="K141" s="89" t="s">
        <v>221</v>
      </c>
      <c r="L141" s="88"/>
      <c r="M141" s="89" t="s">
        <v>724</v>
      </c>
      <c r="N141" s="89" t="s">
        <v>732</v>
      </c>
      <c r="O141" s="89"/>
      <c r="P141" s="89"/>
      <c r="Q141" s="89"/>
    </row>
    <row r="142" customFormat="false" ht="15" hidden="false" customHeight="false" outlineLevel="0" collapsed="false">
      <c r="A142" s="68" t="e">
        <f aca="false">VLOOKUP(E142,'[1]Listas Desplegables'!$H$3:$J$7,2,FALSE())</f>
        <v>#N/A</v>
      </c>
      <c r="B142" s="68" t="e">
        <f aca="false">VLOOKUP(E142,'[1]Listas Desplegables'!$H$3:$J$7,3,FALSE())</f>
        <v>#N/A</v>
      </c>
      <c r="C142" s="85" t="n">
        <v>137</v>
      </c>
      <c r="D142" s="94" t="s">
        <v>684</v>
      </c>
      <c r="E142" s="94" t="s">
        <v>524</v>
      </c>
      <c r="F142" s="109" t="n">
        <v>110</v>
      </c>
      <c r="G142" s="87" t="n">
        <v>40</v>
      </c>
      <c r="H142" s="88"/>
      <c r="I142" s="88" t="s">
        <v>749</v>
      </c>
      <c r="J142" s="89" t="s">
        <v>721</v>
      </c>
      <c r="K142" s="89" t="s">
        <v>221</v>
      </c>
      <c r="L142" s="88"/>
      <c r="M142" s="89" t="s">
        <v>724</v>
      </c>
      <c r="N142" s="89" t="s">
        <v>732</v>
      </c>
      <c r="O142" s="89"/>
      <c r="P142" s="89"/>
      <c r="Q142" s="89"/>
    </row>
    <row r="143" customFormat="false" ht="15" hidden="false" customHeight="false" outlineLevel="0" collapsed="false">
      <c r="A143" s="68" t="e">
        <f aca="false">VLOOKUP(E143,'[1]Listas Desplegables'!$H$3:$J$7,2,FALSE())</f>
        <v>#N/A</v>
      </c>
      <c r="B143" s="68" t="e">
        <f aca="false">VLOOKUP(E143,'[1]Listas Desplegables'!$H$3:$J$7,3,FALSE())</f>
        <v>#N/A</v>
      </c>
      <c r="C143" s="85" t="n">
        <v>138</v>
      </c>
      <c r="D143" s="94" t="s">
        <v>695</v>
      </c>
      <c r="E143" s="94" t="s">
        <v>750</v>
      </c>
      <c r="F143" s="109" t="n">
        <v>220</v>
      </c>
      <c r="G143" s="87" t="n">
        <v>31.5</v>
      </c>
      <c r="H143" s="88"/>
      <c r="I143" s="88" t="s">
        <v>751</v>
      </c>
      <c r="J143" s="89" t="s">
        <v>752</v>
      </c>
      <c r="K143" s="89" t="s">
        <v>221</v>
      </c>
      <c r="L143" s="88"/>
      <c r="M143" s="89" t="s">
        <v>724</v>
      </c>
      <c r="N143" s="89" t="s">
        <v>753</v>
      </c>
      <c r="O143" s="89"/>
      <c r="P143" s="89"/>
      <c r="Q143" s="89"/>
    </row>
    <row r="144" customFormat="false" ht="15" hidden="false" customHeight="false" outlineLevel="0" collapsed="false">
      <c r="A144" s="68" t="e">
        <f aca="false">VLOOKUP(E144,'[1]Listas Desplegables'!$H$3:$J$7,2,FALSE())</f>
        <v>#N/A</v>
      </c>
      <c r="B144" s="68" t="e">
        <f aca="false">VLOOKUP(E144,'[1]Listas Desplegables'!$H$3:$J$7,3,FALSE())</f>
        <v>#N/A</v>
      </c>
      <c r="C144" s="85" t="n">
        <v>139</v>
      </c>
      <c r="D144" s="94" t="s">
        <v>695</v>
      </c>
      <c r="E144" s="94" t="s">
        <v>754</v>
      </c>
      <c r="F144" s="109" t="n">
        <v>110</v>
      </c>
      <c r="G144" s="87" t="n">
        <v>40</v>
      </c>
      <c r="H144" s="88"/>
      <c r="I144" s="88" t="s">
        <v>751</v>
      </c>
      <c r="J144" s="89" t="s">
        <v>752</v>
      </c>
      <c r="K144" s="89" t="s">
        <v>221</v>
      </c>
      <c r="L144" s="88"/>
      <c r="M144" s="89" t="s">
        <v>724</v>
      </c>
      <c r="N144" s="89" t="s">
        <v>753</v>
      </c>
      <c r="O144" s="89"/>
      <c r="P144" s="89"/>
      <c r="Q144" s="89"/>
    </row>
    <row r="145" customFormat="false" ht="15" hidden="false" customHeight="false" outlineLevel="0" collapsed="false">
      <c r="A145" s="68" t="e">
        <f aca="false">VLOOKUP(E145,'[1]Listas Desplegables'!$H$3:$J$7,2,FALSE())</f>
        <v>#N/A</v>
      </c>
      <c r="B145" s="68" t="e">
        <f aca="false">VLOOKUP(E145,'[1]Listas Desplegables'!$H$3:$J$7,3,FALSE())</f>
        <v>#N/A</v>
      </c>
      <c r="C145" s="85" t="n">
        <v>140</v>
      </c>
      <c r="D145" s="94" t="s">
        <v>434</v>
      </c>
      <c r="E145" s="94" t="s">
        <v>719</v>
      </c>
      <c r="F145" s="109" t="n">
        <v>110</v>
      </c>
      <c r="G145" s="87" t="n">
        <v>40</v>
      </c>
      <c r="H145" s="88"/>
      <c r="I145" s="88" t="s">
        <v>733</v>
      </c>
      <c r="J145" s="89" t="s">
        <v>723</v>
      </c>
      <c r="K145" s="89" t="s">
        <v>395</v>
      </c>
      <c r="L145" s="96" t="n">
        <v>2029</v>
      </c>
      <c r="M145" s="89" t="s">
        <v>722</v>
      </c>
      <c r="N145" s="89" t="s">
        <v>434</v>
      </c>
      <c r="O145" s="89"/>
      <c r="P145" s="89"/>
      <c r="Q145" s="89"/>
    </row>
    <row r="146" customFormat="false" ht="15" hidden="false" customHeight="false" outlineLevel="0" collapsed="false">
      <c r="A146" s="68" t="e">
        <f aca="false">VLOOKUP(E146,'[1]Listas Desplegables'!$H$3:$J$7,2,FALSE())</f>
        <v>#N/A</v>
      </c>
      <c r="B146" s="68" t="e">
        <f aca="false">VLOOKUP(E146,'[1]Listas Desplegables'!$H$3:$J$7,3,FALSE())</f>
        <v>#N/A</v>
      </c>
      <c r="C146" s="85" t="n">
        <v>141</v>
      </c>
      <c r="D146" s="94" t="s">
        <v>703</v>
      </c>
      <c r="E146" s="94" t="s">
        <v>719</v>
      </c>
      <c r="F146" s="109" t="n">
        <v>110</v>
      </c>
      <c r="G146" s="87" t="n">
        <v>40</v>
      </c>
      <c r="H146" s="88"/>
      <c r="I146" s="88" t="s">
        <v>733</v>
      </c>
      <c r="J146" s="89" t="s">
        <v>723</v>
      </c>
      <c r="K146" s="89" t="s">
        <v>395</v>
      </c>
      <c r="L146" s="96" t="n">
        <v>2029</v>
      </c>
      <c r="M146" s="89" t="s">
        <v>722</v>
      </c>
      <c r="N146" s="89" t="s">
        <v>641</v>
      </c>
      <c r="O146" s="89"/>
      <c r="P146" s="89"/>
      <c r="Q146" s="89"/>
    </row>
    <row r="147" customFormat="false" ht="15" hidden="false" customHeight="false" outlineLevel="0" collapsed="false">
      <c r="A147" s="68" t="e">
        <f aca="false">VLOOKUP(E147,'[1]Listas Desplegables'!$H$3:$J$7,2,FALSE())</f>
        <v>#N/A</v>
      </c>
      <c r="B147" s="68" t="e">
        <f aca="false">VLOOKUP(E147,'[1]Listas Desplegables'!$H$3:$J$7,3,FALSE())</f>
        <v>#N/A</v>
      </c>
      <c r="C147" s="85" t="n">
        <v>142</v>
      </c>
      <c r="D147" s="94" t="s">
        <v>703</v>
      </c>
      <c r="E147" s="94" t="s">
        <v>719</v>
      </c>
      <c r="F147" s="109" t="n">
        <v>34.5</v>
      </c>
      <c r="G147" s="87" t="n">
        <v>31.5</v>
      </c>
      <c r="H147" s="88"/>
      <c r="I147" s="88" t="s">
        <v>720</v>
      </c>
      <c r="J147" s="89" t="s">
        <v>723</v>
      </c>
      <c r="K147" s="89" t="s">
        <v>395</v>
      </c>
      <c r="L147" s="96" t="n">
        <v>2029</v>
      </c>
      <c r="M147" s="89" t="s">
        <v>722</v>
      </c>
      <c r="N147" s="89" t="s">
        <v>641</v>
      </c>
      <c r="O147" s="89"/>
      <c r="P147" s="89"/>
      <c r="Q147" s="89"/>
    </row>
    <row r="148" customFormat="false" ht="15" hidden="false" customHeight="false" outlineLevel="0" collapsed="false">
      <c r="A148" s="68" t="e">
        <f aca="false">VLOOKUP(E148,'[1]Listas Desplegables'!$H$3:$J$7,2,FALSE())</f>
        <v>#N/A</v>
      </c>
      <c r="B148" s="68" t="e">
        <f aca="false">VLOOKUP(E148,'[1]Listas Desplegables'!$H$3:$J$7,3,FALSE())</f>
        <v>#N/A</v>
      </c>
      <c r="C148" s="85" t="n">
        <v>143</v>
      </c>
      <c r="D148" s="94" t="s">
        <v>703</v>
      </c>
      <c r="E148" s="94" t="s">
        <v>719</v>
      </c>
      <c r="F148" s="109" t="n">
        <v>13.8</v>
      </c>
      <c r="G148" s="87" t="n">
        <v>40</v>
      </c>
      <c r="H148" s="88"/>
      <c r="I148" s="88" t="s">
        <v>720</v>
      </c>
      <c r="J148" s="89" t="s">
        <v>723</v>
      </c>
      <c r="K148" s="89" t="s">
        <v>395</v>
      </c>
      <c r="L148" s="96" t="n">
        <v>2029</v>
      </c>
      <c r="M148" s="89" t="s">
        <v>722</v>
      </c>
      <c r="N148" s="89" t="s">
        <v>641</v>
      </c>
      <c r="O148" s="89"/>
      <c r="P148" s="89"/>
      <c r="Q148" s="89"/>
    </row>
    <row r="149" customFormat="false" ht="15" hidden="false" customHeight="false" outlineLevel="0" collapsed="false">
      <c r="A149" s="68" t="e">
        <f aca="false">VLOOKUP(E149,'[1]Listas Desplegables'!$H$3:$J$7,2,FALSE())</f>
        <v>#N/A</v>
      </c>
      <c r="B149" s="68" t="e">
        <f aca="false">VLOOKUP(E149,'[1]Listas Desplegables'!$H$3:$J$7,3,FALSE())</f>
        <v>#N/A</v>
      </c>
      <c r="C149" s="85" t="n">
        <v>144</v>
      </c>
      <c r="D149" s="94" t="s">
        <v>445</v>
      </c>
      <c r="E149" s="94" t="s">
        <v>719</v>
      </c>
      <c r="F149" s="109" t="n">
        <v>110</v>
      </c>
      <c r="G149" s="87" t="n">
        <v>40</v>
      </c>
      <c r="H149" s="88"/>
      <c r="I149" s="88" t="s">
        <v>733</v>
      </c>
      <c r="J149" s="89" t="s">
        <v>723</v>
      </c>
      <c r="K149" s="89" t="s">
        <v>395</v>
      </c>
      <c r="L149" s="96" t="n">
        <v>2029</v>
      </c>
      <c r="M149" s="89" t="s">
        <v>727</v>
      </c>
      <c r="N149" s="89" t="s">
        <v>445</v>
      </c>
      <c r="O149" s="89"/>
      <c r="P149" s="89"/>
      <c r="Q149" s="89"/>
    </row>
    <row r="150" customFormat="false" ht="15.75" hidden="false" customHeight="false" outlineLevel="0" collapsed="false">
      <c r="A150" s="68" t="e">
        <f aca="false">VLOOKUP(E150,'[1]Listas Desplegables'!$H$3:$J$7,2,FALSE())</f>
        <v>#N/A</v>
      </c>
      <c r="B150" s="68" t="e">
        <f aca="false">VLOOKUP(E150,'[1]Listas Desplegables'!$H$3:$J$7,3,FALSE())</f>
        <v>#N/A</v>
      </c>
      <c r="C150" s="85" t="n">
        <v>145</v>
      </c>
      <c r="D150" s="98"/>
      <c r="E150" s="98"/>
      <c r="F150" s="98"/>
      <c r="G150" s="98"/>
      <c r="H150" s="99"/>
      <c r="I150" s="99"/>
      <c r="J150" s="99"/>
      <c r="K150" s="99"/>
      <c r="L150" s="99"/>
      <c r="M150" s="99"/>
      <c r="N150" s="99"/>
      <c r="O150" s="99"/>
      <c r="P150" s="99"/>
      <c r="Q150" s="101"/>
    </row>
  </sheetData>
  <autoFilter ref="D4:L150"/>
  <mergeCells count="16">
    <mergeCell ref="C3:Q3"/>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s>
  <dataValidations count="6">
    <dataValidation allowBlank="true" errorStyle="stop" operator="between" showDropDown="false" showErrorMessage="true" showInputMessage="true" sqref="F1:H3 F6:I149 F150:H1150" type="decimal">
      <formula1>-1000000000</formula1>
      <formula2>100000000000</formula2>
    </dataValidation>
    <dataValidation allowBlank="true" errorStyle="stop" operator="greaterThan" showDropDown="false" showErrorMessage="true" showInputMessage="true" sqref="L1:L3 M6:M149 L127:L134 L136:L139 L145:L1150" type="date">
      <formula1>1</formula1>
      <formula2>0</formula2>
    </dataValidation>
    <dataValidation allowBlank="true" errorStyle="stop" operator="between" showDropDown="false" showErrorMessage="true" showInputMessage="true" sqref="J1:J3 K6:K149 J150:J1150" type="list">
      <formula1>'Listas Desplegables'!$B$44:$B$46</formula1>
      <formula2>0</formula2>
    </dataValidation>
    <dataValidation allowBlank="true" errorStyle="stop" operator="between" showDropDown="false" showErrorMessage="true" showInputMessage="true" sqref="K1:K3 L6:L126 L135 L140:L144 K150:K1150" type="list">
      <formula1>'Listas Desplegables'!$B$48:$B$49</formula1>
      <formula2>0</formula2>
    </dataValidation>
    <dataValidation allowBlank="true" errorStyle="stop" operator="between" showDropDown="false" showErrorMessage="true" showInputMessage="true" sqref="I1:I3 J6:J149 I150:I1150" type="list">
      <formula1>'Listas Desplegables'!$B$34:$B$42</formula1>
      <formula2>0</formula2>
    </dataValidation>
    <dataValidation allowBlank="true" errorStyle="stop" operator="between" showDropDown="false" showErrorMessage="true" showInputMessage="true" sqref="Q6:Q129" type="list">
      <formula1>'Listas Desplegables'!$B$90:$B$93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Z21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124" activePane="bottomLeft" state="frozen"/>
      <selection pane="topLeft" activeCell="A1" activeCellId="0" sqref="A1"/>
      <selection pane="bottomLeft" activeCell="D129" activeCellId="0" sqref="D129"/>
    </sheetView>
  </sheetViews>
  <sheetFormatPr defaultColWidth="11.57421875" defaultRowHeight="15" zeroHeight="false" outlineLevelRow="0" outlineLevelCol="0"/>
  <cols>
    <col collapsed="false" customWidth="true" hidden="true" outlineLevel="0" max="2" min="1" style="68" width="3"/>
    <col collapsed="false" customWidth="true" hidden="false" outlineLevel="0" max="3" min="3" style="69" width="6.71"/>
    <col collapsed="false" customWidth="true" hidden="false" outlineLevel="0" max="4" min="4" style="0" width="33"/>
    <col collapsed="false" customWidth="true" hidden="false" outlineLevel="0" max="5" min="5" style="0" width="12.72"/>
    <col collapsed="false" customWidth="true" hidden="false" outlineLevel="0" max="6" min="6" style="0" width="5.17"/>
    <col collapsed="false" customWidth="true" hidden="false" outlineLevel="0" max="7" min="7" style="0" width="12.72"/>
    <col collapsed="false" customWidth="true" hidden="false" outlineLevel="0" max="8" min="8" style="0" width="22.24"/>
    <col collapsed="false" customWidth="true" hidden="false" outlineLevel="0" max="9" min="9" style="0" width="4.49"/>
    <col collapsed="false" customWidth="true" hidden="false" outlineLevel="0" max="10" min="10" style="102" width="2.36"/>
    <col collapsed="false" customWidth="true" hidden="false" outlineLevel="0" max="11" min="11" style="0" width="7.07"/>
    <col collapsed="false" customWidth="true" hidden="false" outlineLevel="0" max="12" min="12" style="0" width="5.72"/>
    <col collapsed="false" customWidth="true" hidden="false" outlineLevel="0" max="25" min="13" style="0" width="12.72"/>
    <col collapsed="false" customWidth="true" hidden="false" outlineLevel="0" max="26" min="26" style="112" width="29.43"/>
  </cols>
  <sheetData>
    <row r="1" customFormat="false" ht="15" hidden="true" customHeight="false" outlineLevel="0" collapsed="false"/>
    <row r="2" customFormat="false" ht="15.75" hidden="true" customHeight="false" outlineLevel="0" collapsed="false"/>
    <row r="3" s="73" customFormat="true" ht="15.75" hidden="true" customHeight="false" outlineLevel="0" collapsed="false">
      <c r="A3" s="71"/>
      <c r="B3" s="71"/>
      <c r="C3" s="72" t="s">
        <v>755</v>
      </c>
      <c r="D3" s="72"/>
      <c r="E3" s="72"/>
      <c r="F3" s="72"/>
      <c r="G3" s="72"/>
      <c r="H3" s="72"/>
      <c r="I3" s="72"/>
      <c r="J3" s="72"/>
      <c r="K3" s="72"/>
      <c r="L3" s="72"/>
      <c r="M3" s="72"/>
      <c r="N3" s="72"/>
      <c r="O3" s="72"/>
      <c r="P3" s="72"/>
      <c r="Q3" s="72"/>
      <c r="R3" s="72"/>
      <c r="S3" s="72"/>
      <c r="T3" s="72"/>
      <c r="U3" s="72"/>
      <c r="V3" s="72"/>
      <c r="W3" s="72"/>
      <c r="X3" s="72"/>
      <c r="Y3" s="72"/>
      <c r="Z3" s="72"/>
    </row>
    <row r="4" s="77" customFormat="true" ht="25.5" hidden="false" customHeight="true" outlineLevel="0" collapsed="false">
      <c r="A4" s="74"/>
      <c r="B4" s="74"/>
      <c r="C4" s="75" t="s">
        <v>214</v>
      </c>
      <c r="D4" s="76" t="str">
        <f aca="false">'Manual de Uso'!C124</f>
        <v>Nombre</v>
      </c>
      <c r="E4" s="76" t="str">
        <f aca="false">'Manual de Uso'!C125</f>
        <v>Subestación</v>
      </c>
      <c r="F4" s="76" t="str">
        <f aca="false">'Manual de Uso'!C126</f>
        <v>Nivel de tensión [kV]</v>
      </c>
      <c r="G4" s="76" t="str">
        <f aca="false">'Manual de Uso'!C127</f>
        <v>Tipo</v>
      </c>
      <c r="H4" s="76" t="str">
        <f aca="false">'Manual de Uso'!C128</f>
        <v>Atendida Subestación Nivel IV</v>
      </c>
      <c r="I4" s="76" t="str">
        <f aca="false">'Manual de Uso'!C129</f>
        <v>En Operación</v>
      </c>
      <c r="J4" s="104" t="str">
        <f aca="false">'Manual de Uso'!C130</f>
        <v>FPO</v>
      </c>
      <c r="K4" s="76" t="str">
        <f aca="false">'Manual de Uso'!C131</f>
        <v>Demanda Mínima</v>
      </c>
      <c r="L4" s="76"/>
      <c r="M4" s="76" t="str">
        <f aca="false">'Manual de Uso'!C132</f>
        <v>Demanda Media</v>
      </c>
      <c r="N4" s="76"/>
      <c r="O4" s="76" t="str">
        <f aca="false">'Manual de Uso'!C133</f>
        <v>Demanda Máxima</v>
      </c>
      <c r="P4" s="76"/>
      <c r="Q4" s="105" t="s">
        <v>756</v>
      </c>
      <c r="R4" s="105"/>
      <c r="S4" s="105"/>
      <c r="T4" s="105" t="s">
        <v>757</v>
      </c>
      <c r="U4" s="105"/>
      <c r="V4" s="105"/>
      <c r="W4" s="105" t="s">
        <v>758</v>
      </c>
      <c r="X4" s="105"/>
      <c r="Y4" s="105"/>
      <c r="Z4" s="76" t="str">
        <f aca="false">'Manual de Uso'!C137</f>
        <v>Observaciones transportador</v>
      </c>
    </row>
    <row r="5" s="77" customFormat="true" ht="9.9" hidden="false" customHeight="true" outlineLevel="0" collapsed="false">
      <c r="A5" s="74"/>
      <c r="B5" s="74"/>
      <c r="C5" s="75"/>
      <c r="D5" s="76"/>
      <c r="E5" s="76"/>
      <c r="F5" s="76"/>
      <c r="G5" s="76"/>
      <c r="H5" s="76"/>
      <c r="I5" s="76"/>
      <c r="J5" s="104"/>
      <c r="K5" s="113" t="s">
        <v>759</v>
      </c>
      <c r="L5" s="113" t="s">
        <v>760</v>
      </c>
      <c r="M5" s="113" t="s">
        <v>759</v>
      </c>
      <c r="N5" s="113" t="s">
        <v>760</v>
      </c>
      <c r="O5" s="113" t="s">
        <v>759</v>
      </c>
      <c r="P5" s="113" t="s">
        <v>760</v>
      </c>
      <c r="Q5" s="114" t="str">
        <f aca="false">'Manual de Uso'!C134</f>
        <v>Traslados de carga Año</v>
      </c>
      <c r="R5" s="114" t="str">
        <f aca="false">'Manual de Uso'!C135</f>
        <v>Porcentaje</v>
      </c>
      <c r="S5" s="114" t="str">
        <f aca="false">'Manual de Uso'!C136</f>
        <v>Subestación destino traslado</v>
      </c>
      <c r="T5" s="115" t="s">
        <v>151</v>
      </c>
      <c r="U5" s="115" t="s">
        <v>153</v>
      </c>
      <c r="V5" s="115" t="s">
        <v>155</v>
      </c>
      <c r="W5" s="115" t="s">
        <v>151</v>
      </c>
      <c r="X5" s="115" t="s">
        <v>153</v>
      </c>
      <c r="Y5" s="115" t="s">
        <v>155</v>
      </c>
      <c r="Z5" s="76"/>
    </row>
    <row r="6" customFormat="false" ht="15" hidden="false" customHeight="false" outlineLevel="0" collapsed="false">
      <c r="A6" s="68" t="e">
        <f aca="false">VLOOKUP(#REF!,'[1]Listas Desplegables'!$H$3:$J$7,2,FALSE())</f>
        <v>#VALUE!</v>
      </c>
      <c r="B6" s="68" t="e">
        <f aca="false">VLOOKUP(#REF!,'[1]Listas Desplegables'!$H$3:$J$7,3,FALSE())</f>
        <v>#VALUE!</v>
      </c>
      <c r="C6" s="78" t="n">
        <v>1</v>
      </c>
      <c r="D6" s="79" t="s">
        <v>761</v>
      </c>
      <c r="E6" s="79" t="s">
        <v>295</v>
      </c>
      <c r="F6" s="80" t="n">
        <v>13.8</v>
      </c>
      <c r="G6" s="79" t="s">
        <v>762</v>
      </c>
      <c r="H6" s="79" t="s">
        <v>763</v>
      </c>
      <c r="I6" s="79" t="s">
        <v>221</v>
      </c>
      <c r="J6" s="116"/>
      <c r="K6" s="117" t="n">
        <v>20.6607955</v>
      </c>
      <c r="L6" s="117" t="n">
        <v>4.2027273</v>
      </c>
      <c r="M6" s="117" t="n">
        <v>35.6369318</v>
      </c>
      <c r="N6" s="117" t="n">
        <v>8.1059318</v>
      </c>
      <c r="O6" s="117" t="n">
        <v>29.37675</v>
      </c>
      <c r="P6" s="117" t="n">
        <v>5.8195227</v>
      </c>
      <c r="Q6" s="81"/>
      <c r="R6" s="81"/>
      <c r="S6" s="81"/>
      <c r="T6" s="81"/>
      <c r="U6" s="81"/>
      <c r="V6" s="81"/>
      <c r="W6" s="81"/>
      <c r="X6" s="81"/>
      <c r="Y6" s="81"/>
      <c r="Z6" s="118"/>
    </row>
    <row r="7" customFormat="false" ht="15" hidden="false" customHeight="false" outlineLevel="0" collapsed="false">
      <c r="A7" s="68" t="e">
        <f aca="false">VLOOKUP(#REF!,'[1]Listas Desplegables'!$H$3:$J$7,2,FALSE())</f>
        <v>#VALUE!</v>
      </c>
      <c r="B7" s="68" t="e">
        <f aca="false">VLOOKUP(#REF!,'[1]Listas Desplegables'!$H$3:$J$7,3,FALSE())</f>
        <v>#VALUE!</v>
      </c>
      <c r="C7" s="85" t="n">
        <v>2</v>
      </c>
      <c r="D7" s="86" t="s">
        <v>764</v>
      </c>
      <c r="E7" s="86" t="s">
        <v>295</v>
      </c>
      <c r="F7" s="87" t="n">
        <v>13.8</v>
      </c>
      <c r="G7" s="86" t="s">
        <v>762</v>
      </c>
      <c r="H7" s="86" t="s">
        <v>763</v>
      </c>
      <c r="I7" s="86" t="s">
        <v>221</v>
      </c>
      <c r="J7" s="119"/>
      <c r="K7" s="120" t="n">
        <v>16.0299546</v>
      </c>
      <c r="L7" s="120" t="n">
        <v>2.1405682</v>
      </c>
      <c r="M7" s="120" t="n">
        <v>24.2346818</v>
      </c>
      <c r="N7" s="120" t="n">
        <v>5.0103409</v>
      </c>
      <c r="O7" s="120" t="n">
        <v>25.53</v>
      </c>
      <c r="P7" s="120" t="n">
        <v>3.7134545</v>
      </c>
      <c r="Q7" s="88"/>
      <c r="R7" s="88"/>
      <c r="S7" s="88"/>
      <c r="T7" s="88"/>
      <c r="U7" s="88"/>
      <c r="V7" s="88"/>
      <c r="W7" s="88"/>
      <c r="X7" s="88"/>
      <c r="Y7" s="88"/>
      <c r="Z7" s="121"/>
    </row>
    <row r="8" customFormat="false" ht="15" hidden="false" customHeight="false" outlineLevel="0" collapsed="false">
      <c r="A8" s="68" t="e">
        <f aca="false">VLOOKUP(#REF!,'[1]Listas Desplegables'!$H$3:$J$7,2,FALSE())</f>
        <v>#VALUE!</v>
      </c>
      <c r="B8" s="68" t="e">
        <f aca="false">VLOOKUP(#REF!,'[1]Listas Desplegables'!$H$3:$J$7,3,FALSE())</f>
        <v>#VALUE!</v>
      </c>
      <c r="C8" s="85" t="n">
        <v>3</v>
      </c>
      <c r="D8" s="86" t="s">
        <v>765</v>
      </c>
      <c r="E8" s="86" t="s">
        <v>247</v>
      </c>
      <c r="F8" s="87" t="n">
        <v>13.8</v>
      </c>
      <c r="G8" s="86" t="s">
        <v>762</v>
      </c>
      <c r="H8" s="86" t="s">
        <v>763</v>
      </c>
      <c r="I8" s="86" t="s">
        <v>221</v>
      </c>
      <c r="J8" s="119"/>
      <c r="K8" s="120" t="n">
        <v>14.742</v>
      </c>
      <c r="L8" s="120" t="n">
        <v>4.311</v>
      </c>
      <c r="M8" s="120" t="n">
        <v>16.041</v>
      </c>
      <c r="N8" s="120" t="n">
        <v>4.959</v>
      </c>
      <c r="O8" s="120" t="n">
        <v>16.953</v>
      </c>
      <c r="P8" s="120" t="n">
        <v>4.41</v>
      </c>
      <c r="Q8" s="88"/>
      <c r="R8" s="88"/>
      <c r="S8" s="88"/>
      <c r="T8" s="88"/>
      <c r="U8" s="88"/>
      <c r="V8" s="88"/>
      <c r="W8" s="88"/>
      <c r="X8" s="88"/>
      <c r="Y8" s="88"/>
      <c r="Z8" s="121"/>
    </row>
    <row r="9" customFormat="false" ht="15" hidden="false" customHeight="false" outlineLevel="0" collapsed="false">
      <c r="A9" s="68" t="e">
        <f aca="false">VLOOKUP(#REF!,'[1]Listas Desplegables'!$H$3:$J$7,2,FALSE())</f>
        <v>#VALUE!</v>
      </c>
      <c r="B9" s="68" t="e">
        <f aca="false">VLOOKUP(#REF!,'[1]Listas Desplegables'!$H$3:$J$7,3,FALSE())</f>
        <v>#VALUE!</v>
      </c>
      <c r="C9" s="85" t="n">
        <v>4</v>
      </c>
      <c r="D9" s="86" t="s">
        <v>766</v>
      </c>
      <c r="E9" s="86" t="s">
        <v>247</v>
      </c>
      <c r="F9" s="87" t="n">
        <v>13.8</v>
      </c>
      <c r="G9" s="86" t="s">
        <v>762</v>
      </c>
      <c r="H9" s="86" t="s">
        <v>763</v>
      </c>
      <c r="I9" s="86" t="s">
        <v>221</v>
      </c>
      <c r="J9" s="119"/>
      <c r="K9" s="120" t="n">
        <v>14.46</v>
      </c>
      <c r="L9" s="120" t="n">
        <v>3.903</v>
      </c>
      <c r="M9" s="120" t="n">
        <v>15.504</v>
      </c>
      <c r="N9" s="120" t="n">
        <v>4.431</v>
      </c>
      <c r="O9" s="120" t="n">
        <v>16.338</v>
      </c>
      <c r="P9" s="120" t="n">
        <v>3.948</v>
      </c>
      <c r="Q9" s="88"/>
      <c r="R9" s="88"/>
      <c r="S9" s="88"/>
      <c r="T9" s="88"/>
      <c r="U9" s="88"/>
      <c r="V9" s="88"/>
      <c r="W9" s="88"/>
      <c r="X9" s="88"/>
      <c r="Y9" s="88"/>
      <c r="Z9" s="121"/>
    </row>
    <row r="10" customFormat="false" ht="15" hidden="false" customHeight="false" outlineLevel="0" collapsed="false">
      <c r="A10" s="68" t="e">
        <f aca="false">VLOOKUP(#REF!,'[1]Listas Desplegables'!$H$3:$J$7,2,FALSE())</f>
        <v>#VALUE!</v>
      </c>
      <c r="B10" s="68" t="e">
        <f aca="false">VLOOKUP(#REF!,'[1]Listas Desplegables'!$H$3:$J$7,3,FALSE())</f>
        <v>#VALUE!</v>
      </c>
      <c r="C10" s="85" t="n">
        <v>5</v>
      </c>
      <c r="D10" s="86" t="s">
        <v>322</v>
      </c>
      <c r="E10" s="86" t="s">
        <v>322</v>
      </c>
      <c r="F10" s="87" t="n">
        <v>13.8</v>
      </c>
      <c r="G10" s="86" t="s">
        <v>762</v>
      </c>
      <c r="H10" s="86" t="s">
        <v>763</v>
      </c>
      <c r="I10" s="86" t="s">
        <v>221</v>
      </c>
      <c r="J10" s="119"/>
      <c r="K10" s="120" t="n">
        <v>14.6464</v>
      </c>
      <c r="L10" s="120" t="n">
        <v>3.20528</v>
      </c>
      <c r="M10" s="120" t="n">
        <v>17.17824</v>
      </c>
      <c r="N10" s="120" t="n">
        <v>5.1704</v>
      </c>
      <c r="O10" s="120" t="n">
        <v>18.31904</v>
      </c>
      <c r="P10" s="120" t="n">
        <v>3.77568</v>
      </c>
      <c r="Q10" s="88"/>
      <c r="R10" s="88"/>
      <c r="S10" s="88"/>
      <c r="T10" s="88"/>
      <c r="U10" s="88"/>
      <c r="V10" s="88"/>
      <c r="W10" s="88"/>
      <c r="X10" s="88"/>
      <c r="Y10" s="88"/>
      <c r="Z10" s="121"/>
    </row>
    <row r="11" customFormat="false" ht="15" hidden="false" customHeight="false" outlineLevel="0" collapsed="false">
      <c r="A11" s="68" t="e">
        <f aca="false">VLOOKUP(#REF!,'[1]Listas Desplegables'!$H$3:$J$7,2,FALSE())</f>
        <v>#VALUE!</v>
      </c>
      <c r="B11" s="68" t="e">
        <f aca="false">VLOOKUP(#REF!,'[1]Listas Desplegables'!$H$3:$J$7,3,FALSE())</f>
        <v>#VALUE!</v>
      </c>
      <c r="C11" s="85" t="n">
        <v>6</v>
      </c>
      <c r="D11" s="86" t="s">
        <v>767</v>
      </c>
      <c r="E11" s="86" t="s">
        <v>244</v>
      </c>
      <c r="F11" s="87" t="n">
        <v>13.8</v>
      </c>
      <c r="G11" s="86" t="s">
        <v>762</v>
      </c>
      <c r="H11" s="86" t="s">
        <v>768</v>
      </c>
      <c r="I11" s="86" t="s">
        <v>221</v>
      </c>
      <c r="J11" s="119"/>
      <c r="K11" s="120" t="n">
        <v>31.44</v>
      </c>
      <c r="L11" s="120" t="n">
        <v>9.078</v>
      </c>
      <c r="M11" s="120" t="n">
        <v>32.526</v>
      </c>
      <c r="N11" s="120" t="n">
        <v>9.21</v>
      </c>
      <c r="O11" s="120" t="n">
        <v>34.302</v>
      </c>
      <c r="P11" s="120" t="n">
        <v>8.376</v>
      </c>
      <c r="Q11" s="88"/>
      <c r="R11" s="88"/>
      <c r="S11" s="88"/>
      <c r="T11" s="88"/>
      <c r="U11" s="88"/>
      <c r="V11" s="88"/>
      <c r="W11" s="88"/>
      <c r="X11" s="88"/>
      <c r="Y11" s="88"/>
      <c r="Z11" s="121"/>
    </row>
    <row r="12" customFormat="false" ht="15" hidden="false" customHeight="false" outlineLevel="0" collapsed="false">
      <c r="A12" s="68" t="e">
        <f aca="false">VLOOKUP(#REF!,'[1]Listas Desplegables'!$H$3:$J$7,2,FALSE())</f>
        <v>#VALUE!</v>
      </c>
      <c r="B12" s="68" t="e">
        <f aca="false">VLOOKUP(#REF!,'[1]Listas Desplegables'!$H$3:$J$7,3,FALSE())</f>
        <v>#VALUE!</v>
      </c>
      <c r="C12" s="85" t="n">
        <v>7</v>
      </c>
      <c r="D12" s="86" t="s">
        <v>769</v>
      </c>
      <c r="E12" s="86" t="s">
        <v>244</v>
      </c>
      <c r="F12" s="87" t="n">
        <v>13.8</v>
      </c>
      <c r="G12" s="86" t="s">
        <v>762</v>
      </c>
      <c r="H12" s="86" t="s">
        <v>768</v>
      </c>
      <c r="I12" s="86" t="s">
        <v>221</v>
      </c>
      <c r="J12" s="119"/>
      <c r="K12" s="120" t="n">
        <v>16.1445</v>
      </c>
      <c r="L12" s="120" t="n">
        <v>4.77</v>
      </c>
      <c r="M12" s="120" t="n">
        <v>32.718</v>
      </c>
      <c r="N12" s="120" t="n">
        <v>8.724</v>
      </c>
      <c r="O12" s="120" t="n">
        <v>22.4775</v>
      </c>
      <c r="P12" s="120" t="n">
        <v>5.5695</v>
      </c>
      <c r="Q12" s="88"/>
      <c r="R12" s="88"/>
      <c r="S12" s="88"/>
      <c r="T12" s="88"/>
      <c r="U12" s="88"/>
      <c r="V12" s="88"/>
      <c r="W12" s="88"/>
      <c r="X12" s="88"/>
      <c r="Y12" s="88"/>
      <c r="Z12" s="121"/>
    </row>
    <row r="13" customFormat="false" ht="15" hidden="false" customHeight="false" outlineLevel="0" collapsed="false">
      <c r="A13" s="68" t="e">
        <f aca="false">VLOOKUP(#REF!,'[1]Listas Desplegables'!$H$3:$J$7,2,FALSE())</f>
        <v>#VALUE!</v>
      </c>
      <c r="B13" s="68" t="e">
        <f aca="false">VLOOKUP(#REF!,'[1]Listas Desplegables'!$H$3:$J$7,3,FALSE())</f>
        <v>#VALUE!</v>
      </c>
      <c r="C13" s="85" t="n">
        <v>8</v>
      </c>
      <c r="D13" s="86" t="s">
        <v>770</v>
      </c>
      <c r="E13" s="86" t="s">
        <v>216</v>
      </c>
      <c r="F13" s="87" t="n">
        <v>13.8</v>
      </c>
      <c r="G13" s="86" t="s">
        <v>762</v>
      </c>
      <c r="H13" s="86" t="s">
        <v>771</v>
      </c>
      <c r="I13" s="86" t="s">
        <v>221</v>
      </c>
      <c r="J13" s="119"/>
      <c r="K13" s="120" t="n">
        <v>21.84</v>
      </c>
      <c r="L13" s="120" t="n">
        <v>5.64</v>
      </c>
      <c r="M13" s="120" t="n">
        <v>40.29</v>
      </c>
      <c r="N13" s="120" t="n">
        <v>10.686</v>
      </c>
      <c r="O13" s="120" t="n">
        <v>30.324</v>
      </c>
      <c r="P13" s="120" t="n">
        <v>7.374</v>
      </c>
      <c r="Q13" s="88"/>
      <c r="R13" s="88"/>
      <c r="S13" s="88"/>
      <c r="T13" s="88"/>
      <c r="U13" s="88"/>
      <c r="V13" s="88"/>
      <c r="W13" s="88"/>
      <c r="X13" s="88"/>
      <c r="Y13" s="88"/>
      <c r="Z13" s="121"/>
    </row>
    <row r="14" customFormat="false" ht="15" hidden="false" customHeight="false" outlineLevel="0" collapsed="false">
      <c r="A14" s="68" t="e">
        <f aca="false">VLOOKUP(#REF!,'[1]Listas Desplegables'!$H$3:$J$7,2,FALSE())</f>
        <v>#VALUE!</v>
      </c>
      <c r="B14" s="68" t="e">
        <f aca="false">VLOOKUP(#REF!,'[1]Listas Desplegables'!$H$3:$J$7,3,FALSE())</f>
        <v>#VALUE!</v>
      </c>
      <c r="C14" s="85" t="n">
        <v>9</v>
      </c>
      <c r="D14" s="86" t="s">
        <v>772</v>
      </c>
      <c r="E14" s="86" t="s">
        <v>216</v>
      </c>
      <c r="F14" s="87" t="n">
        <v>13.8</v>
      </c>
      <c r="G14" s="86" t="s">
        <v>762</v>
      </c>
      <c r="H14" s="86" t="s">
        <v>771</v>
      </c>
      <c r="I14" s="86" t="s">
        <v>221</v>
      </c>
      <c r="J14" s="119"/>
      <c r="K14" s="120" t="n">
        <v>21.858</v>
      </c>
      <c r="L14" s="120" t="n">
        <v>5.664</v>
      </c>
      <c r="M14" s="120" t="n">
        <v>40.314</v>
      </c>
      <c r="N14" s="120" t="n">
        <v>10.704</v>
      </c>
      <c r="O14" s="120" t="n">
        <v>30.36</v>
      </c>
      <c r="P14" s="120" t="n">
        <v>7.392</v>
      </c>
      <c r="Q14" s="88"/>
      <c r="R14" s="88"/>
      <c r="S14" s="88"/>
      <c r="T14" s="88"/>
      <c r="U14" s="88"/>
      <c r="V14" s="88"/>
      <c r="W14" s="88"/>
      <c r="X14" s="88"/>
      <c r="Y14" s="88"/>
      <c r="Z14" s="121"/>
    </row>
    <row r="15" customFormat="false" ht="15" hidden="false" customHeight="false" outlineLevel="0" collapsed="false">
      <c r="A15" s="68" t="e">
        <f aca="false">VLOOKUP(#REF!,'[1]Listas Desplegables'!$H$3:$J$7,2,FALSE())</f>
        <v>#VALUE!</v>
      </c>
      <c r="B15" s="68" t="e">
        <f aca="false">VLOOKUP(#REF!,'[1]Listas Desplegables'!$H$3:$J$7,3,FALSE())</f>
        <v>#VALUE!</v>
      </c>
      <c r="C15" s="85" t="n">
        <v>10</v>
      </c>
      <c r="D15" s="86" t="s">
        <v>773</v>
      </c>
      <c r="E15" s="86" t="s">
        <v>225</v>
      </c>
      <c r="F15" s="87" t="n">
        <v>13.8</v>
      </c>
      <c r="G15" s="86" t="s">
        <v>762</v>
      </c>
      <c r="H15" s="86" t="s">
        <v>774</v>
      </c>
      <c r="I15" s="86" t="s">
        <v>221</v>
      </c>
      <c r="J15" s="119"/>
      <c r="K15" s="120" t="n">
        <v>23.1495</v>
      </c>
      <c r="L15" s="120" t="n">
        <v>6.2675</v>
      </c>
      <c r="M15" s="120" t="n">
        <v>27.991</v>
      </c>
      <c r="N15" s="120" t="n">
        <v>7.0495</v>
      </c>
      <c r="O15" s="120" t="n">
        <v>25.50125</v>
      </c>
      <c r="P15" s="120" t="n">
        <v>5.50275</v>
      </c>
      <c r="Q15" s="88"/>
      <c r="R15" s="88"/>
      <c r="S15" s="88"/>
      <c r="T15" s="88"/>
      <c r="U15" s="88"/>
      <c r="V15" s="88"/>
      <c r="W15" s="88"/>
      <c r="X15" s="88"/>
      <c r="Y15" s="88"/>
      <c r="Z15" s="121"/>
    </row>
    <row r="16" customFormat="false" ht="15" hidden="false" customHeight="false" outlineLevel="0" collapsed="false">
      <c r="A16" s="68" t="e">
        <f aca="false">VLOOKUP(#REF!,'[1]Listas Desplegables'!$H$3:$J$7,2,FALSE())</f>
        <v>#VALUE!</v>
      </c>
      <c r="B16" s="68" t="e">
        <f aca="false">VLOOKUP(#REF!,'[1]Listas Desplegables'!$H$3:$J$7,3,FALSE())</f>
        <v>#VALUE!</v>
      </c>
      <c r="C16" s="85" t="n">
        <v>11</v>
      </c>
      <c r="D16" s="86" t="s">
        <v>775</v>
      </c>
      <c r="E16" s="86" t="s">
        <v>225</v>
      </c>
      <c r="F16" s="87" t="n">
        <v>13.8</v>
      </c>
      <c r="G16" s="86" t="s">
        <v>762</v>
      </c>
      <c r="H16" s="86" t="s">
        <v>774</v>
      </c>
      <c r="I16" s="86" t="s">
        <v>221</v>
      </c>
      <c r="J16" s="119"/>
      <c r="K16" s="120" t="n">
        <v>14.09325</v>
      </c>
      <c r="L16" s="120" t="n">
        <v>3.28325</v>
      </c>
      <c r="M16" s="120" t="n">
        <v>27.7035</v>
      </c>
      <c r="N16" s="120" t="n">
        <v>6.923</v>
      </c>
      <c r="O16" s="120" t="n">
        <v>19.96975</v>
      </c>
      <c r="P16" s="120" t="n">
        <v>4.19175</v>
      </c>
      <c r="Q16" s="88"/>
      <c r="R16" s="88"/>
      <c r="S16" s="88"/>
      <c r="T16" s="88"/>
      <c r="U16" s="88"/>
      <c r="V16" s="88"/>
      <c r="W16" s="88"/>
      <c r="X16" s="88"/>
      <c r="Y16" s="88"/>
      <c r="Z16" s="121"/>
    </row>
    <row r="17" customFormat="false" ht="15" hidden="false" customHeight="false" outlineLevel="0" collapsed="false">
      <c r="A17" s="68" t="e">
        <f aca="false">VLOOKUP(#REF!,'[1]Listas Desplegables'!$H$3:$J$7,2,FALSE())</f>
        <v>#VALUE!</v>
      </c>
      <c r="B17" s="68" t="e">
        <f aca="false">VLOOKUP(#REF!,'[1]Listas Desplegables'!$H$3:$J$7,3,FALSE())</f>
        <v>#VALUE!</v>
      </c>
      <c r="C17" s="85" t="n">
        <v>12</v>
      </c>
      <c r="D17" s="86" t="s">
        <v>776</v>
      </c>
      <c r="E17" s="86" t="s">
        <v>225</v>
      </c>
      <c r="F17" s="87" t="n">
        <v>13.8</v>
      </c>
      <c r="G17" s="86" t="s">
        <v>762</v>
      </c>
      <c r="H17" s="86" t="s">
        <v>774</v>
      </c>
      <c r="I17" s="86" t="s">
        <v>221</v>
      </c>
      <c r="J17" s="119"/>
      <c r="K17" s="120" t="n">
        <v>21.9305</v>
      </c>
      <c r="L17" s="120" t="n">
        <v>6.3365</v>
      </c>
      <c r="M17" s="120" t="n">
        <v>3.795</v>
      </c>
      <c r="N17" s="120" t="n">
        <v>1.07525</v>
      </c>
      <c r="O17" s="120" t="n">
        <v>24.73075</v>
      </c>
      <c r="P17" s="120" t="n">
        <v>5.70975</v>
      </c>
      <c r="Q17" s="88"/>
      <c r="R17" s="88"/>
      <c r="S17" s="88"/>
      <c r="T17" s="88"/>
      <c r="U17" s="88"/>
      <c r="V17" s="88"/>
      <c r="W17" s="88"/>
      <c r="X17" s="88"/>
      <c r="Y17" s="88"/>
      <c r="Z17" s="121"/>
    </row>
    <row r="18" customFormat="false" ht="15" hidden="false" customHeight="false" outlineLevel="0" collapsed="false">
      <c r="A18" s="68" t="e">
        <f aca="false">VLOOKUP(#REF!,'[1]Listas Desplegables'!$H$3:$J$7,2,FALSE())</f>
        <v>#VALUE!</v>
      </c>
      <c r="B18" s="68" t="e">
        <f aca="false">VLOOKUP(#REF!,'[1]Listas Desplegables'!$H$3:$J$7,3,FALSE())</f>
        <v>#VALUE!</v>
      </c>
      <c r="C18" s="85" t="n">
        <v>13</v>
      </c>
      <c r="D18" s="86" t="s">
        <v>777</v>
      </c>
      <c r="E18" s="86" t="s">
        <v>228</v>
      </c>
      <c r="F18" s="87" t="n">
        <v>13.8</v>
      </c>
      <c r="G18" s="86" t="s">
        <v>762</v>
      </c>
      <c r="H18" s="86" t="s">
        <v>778</v>
      </c>
      <c r="I18" s="86" t="s">
        <v>221</v>
      </c>
      <c r="J18" s="119"/>
      <c r="K18" s="120" t="n">
        <v>41.9865</v>
      </c>
      <c r="L18" s="120" t="n">
        <v>13.01225</v>
      </c>
      <c r="M18" s="120" t="n">
        <v>38.11675</v>
      </c>
      <c r="N18" s="120" t="n">
        <v>11.73575</v>
      </c>
      <c r="O18" s="120" t="n">
        <v>43.91275</v>
      </c>
      <c r="P18" s="120" t="n">
        <v>11.39075</v>
      </c>
      <c r="Q18" s="88"/>
      <c r="R18" s="88"/>
      <c r="S18" s="88"/>
      <c r="T18" s="88"/>
      <c r="U18" s="88"/>
      <c r="V18" s="88"/>
      <c r="W18" s="88"/>
      <c r="X18" s="88"/>
      <c r="Y18" s="88"/>
      <c r="Z18" s="121"/>
    </row>
    <row r="19" customFormat="false" ht="15" hidden="false" customHeight="false" outlineLevel="0" collapsed="false">
      <c r="A19" s="68" t="e">
        <f aca="false">VLOOKUP(#REF!,'[1]Listas Desplegables'!$H$3:$J$7,2,FALSE())</f>
        <v>#VALUE!</v>
      </c>
      <c r="B19" s="68" t="e">
        <f aca="false">VLOOKUP(#REF!,'[1]Listas Desplegables'!$H$3:$J$7,3,FALSE())</f>
        <v>#VALUE!</v>
      </c>
      <c r="C19" s="85" t="n">
        <v>14</v>
      </c>
      <c r="D19" s="86" t="s">
        <v>779</v>
      </c>
      <c r="E19" s="86" t="s">
        <v>228</v>
      </c>
      <c r="F19" s="87" t="n">
        <v>13.8</v>
      </c>
      <c r="G19" s="86" t="s">
        <v>762</v>
      </c>
      <c r="H19" s="86" t="s">
        <v>778</v>
      </c>
      <c r="I19" s="86" t="s">
        <v>221</v>
      </c>
      <c r="J19" s="119"/>
      <c r="K19" s="120" t="n">
        <v>38.26625</v>
      </c>
      <c r="L19" s="120" t="n">
        <v>12.88</v>
      </c>
      <c r="M19" s="120" t="n">
        <v>36.4665</v>
      </c>
      <c r="N19" s="120" t="n">
        <v>12.78225</v>
      </c>
      <c r="O19" s="120" t="n">
        <v>41.57825</v>
      </c>
      <c r="P19" s="120" t="n">
        <v>14.04725</v>
      </c>
      <c r="Q19" s="88"/>
      <c r="R19" s="88"/>
      <c r="S19" s="88"/>
      <c r="T19" s="88"/>
      <c r="U19" s="88"/>
      <c r="V19" s="88"/>
      <c r="W19" s="88"/>
      <c r="X19" s="88"/>
      <c r="Y19" s="88"/>
      <c r="Z19" s="121"/>
    </row>
    <row r="20" customFormat="false" ht="15" hidden="false" customHeight="false" outlineLevel="0" collapsed="false">
      <c r="A20" s="68" t="e">
        <f aca="false">VLOOKUP(#REF!,'[1]Listas Desplegables'!$H$3:$J$7,2,FALSE())</f>
        <v>#VALUE!</v>
      </c>
      <c r="B20" s="68" t="e">
        <f aca="false">VLOOKUP(#REF!,'[1]Listas Desplegables'!$H$3:$J$7,3,FALSE())</f>
        <v>#VALUE!</v>
      </c>
      <c r="C20" s="85" t="n">
        <v>15</v>
      </c>
      <c r="D20" s="86" t="s">
        <v>780</v>
      </c>
      <c r="E20" s="86" t="s">
        <v>781</v>
      </c>
      <c r="F20" s="87" t="n">
        <v>13.8</v>
      </c>
      <c r="G20" s="86" t="s">
        <v>762</v>
      </c>
      <c r="H20" s="86" t="s">
        <v>782</v>
      </c>
      <c r="I20" s="86" t="s">
        <v>221</v>
      </c>
      <c r="J20" s="119"/>
      <c r="K20" s="120" t="n">
        <v>34.822</v>
      </c>
      <c r="L20" s="120" t="n">
        <v>10.5383125</v>
      </c>
      <c r="M20" s="120" t="n">
        <v>31.9585</v>
      </c>
      <c r="N20" s="120" t="n">
        <v>9.507625</v>
      </c>
      <c r="O20" s="120" t="n">
        <v>37.8766875</v>
      </c>
      <c r="P20" s="120" t="n">
        <v>9.7390625</v>
      </c>
      <c r="Q20" s="88"/>
      <c r="R20" s="88"/>
      <c r="S20" s="88"/>
      <c r="T20" s="88"/>
      <c r="U20" s="88"/>
      <c r="V20" s="88"/>
      <c r="W20" s="88"/>
      <c r="X20" s="88"/>
      <c r="Y20" s="88"/>
      <c r="Z20" s="121"/>
    </row>
    <row r="21" customFormat="false" ht="15" hidden="false" customHeight="false" outlineLevel="0" collapsed="false">
      <c r="A21" s="68" t="e">
        <f aca="false">VLOOKUP(#REF!,'[1]Listas Desplegables'!$H$3:$J$7,2,FALSE())</f>
        <v>#VALUE!</v>
      </c>
      <c r="B21" s="68" t="e">
        <f aca="false">VLOOKUP(#REF!,'[1]Listas Desplegables'!$H$3:$J$7,3,FALSE())</f>
        <v>#VALUE!</v>
      </c>
      <c r="C21" s="85" t="n">
        <v>16</v>
      </c>
      <c r="D21" s="86" t="s">
        <v>783</v>
      </c>
      <c r="E21" s="86" t="s">
        <v>781</v>
      </c>
      <c r="F21" s="87" t="n">
        <v>13.8</v>
      </c>
      <c r="G21" s="86" t="s">
        <v>762</v>
      </c>
      <c r="H21" s="86" t="s">
        <v>782</v>
      </c>
      <c r="I21" s="86" t="s">
        <v>221</v>
      </c>
      <c r="J21" s="119"/>
      <c r="K21" s="120" t="n">
        <v>39.453625</v>
      </c>
      <c r="L21" s="120" t="n">
        <v>12.0563125</v>
      </c>
      <c r="M21" s="120" t="n">
        <v>35.8843125</v>
      </c>
      <c r="N21" s="120" t="n">
        <v>11.1161875</v>
      </c>
      <c r="O21" s="120" t="n">
        <v>42.4450625</v>
      </c>
      <c r="P21" s="120" t="n">
        <v>11.5761875</v>
      </c>
      <c r="Q21" s="88"/>
      <c r="R21" s="88"/>
      <c r="S21" s="88"/>
      <c r="T21" s="88"/>
      <c r="U21" s="88"/>
      <c r="V21" s="88"/>
      <c r="W21" s="88"/>
      <c r="X21" s="88"/>
      <c r="Y21" s="88"/>
      <c r="Z21" s="121"/>
    </row>
    <row r="22" customFormat="false" ht="15" hidden="false" customHeight="false" outlineLevel="0" collapsed="false">
      <c r="A22" s="68" t="e">
        <f aca="false">VLOOKUP(#REF!,'[1]Listas Desplegables'!$H$3:$J$7,2,FALSE())</f>
        <v>#VALUE!</v>
      </c>
      <c r="B22" s="68" t="e">
        <f aca="false">VLOOKUP(#REF!,'[1]Listas Desplegables'!$H$3:$J$7,3,FALSE())</f>
        <v>#VALUE!</v>
      </c>
      <c r="C22" s="85" t="n">
        <v>17</v>
      </c>
      <c r="D22" s="86" t="s">
        <v>784</v>
      </c>
      <c r="E22" s="86" t="s">
        <v>781</v>
      </c>
      <c r="F22" s="87" t="n">
        <v>13.8</v>
      </c>
      <c r="G22" s="86" t="s">
        <v>762</v>
      </c>
      <c r="H22" s="86" t="s">
        <v>782</v>
      </c>
      <c r="I22" s="86" t="s">
        <v>221</v>
      </c>
      <c r="J22" s="119"/>
      <c r="K22" s="120" t="n">
        <v>36.558</v>
      </c>
      <c r="L22" s="120" t="n">
        <v>16.347</v>
      </c>
      <c r="M22" s="120" t="n">
        <v>29.973</v>
      </c>
      <c r="N22" s="120" t="n">
        <v>12.612</v>
      </c>
      <c r="O22" s="120" t="n">
        <v>37.92</v>
      </c>
      <c r="P22" s="120" t="n">
        <v>15.546</v>
      </c>
      <c r="Q22" s="88"/>
      <c r="R22" s="88"/>
      <c r="S22" s="88"/>
      <c r="T22" s="88"/>
      <c r="U22" s="88"/>
      <c r="V22" s="88"/>
      <c r="W22" s="88"/>
      <c r="X22" s="88"/>
      <c r="Y22" s="88"/>
      <c r="Z22" s="121"/>
    </row>
    <row r="23" customFormat="false" ht="15" hidden="false" customHeight="false" outlineLevel="0" collapsed="false">
      <c r="A23" s="68" t="e">
        <f aca="false">VLOOKUP(#REF!,'[1]Listas Desplegables'!$H$3:$J$7,2,FALSE())</f>
        <v>#VALUE!</v>
      </c>
      <c r="B23" s="68" t="e">
        <f aca="false">VLOOKUP(#REF!,'[1]Listas Desplegables'!$H$3:$J$7,3,FALSE())</f>
        <v>#VALUE!</v>
      </c>
      <c r="C23" s="85" t="n">
        <v>18</v>
      </c>
      <c r="D23" s="86" t="s">
        <v>785</v>
      </c>
      <c r="E23" s="86" t="s">
        <v>234</v>
      </c>
      <c r="F23" s="87" t="n">
        <v>13.8</v>
      </c>
      <c r="G23" s="86" t="s">
        <v>762</v>
      </c>
      <c r="H23" s="86" t="s">
        <v>786</v>
      </c>
      <c r="I23" s="86" t="s">
        <v>221</v>
      </c>
      <c r="J23" s="119"/>
      <c r="K23" s="120" t="n">
        <v>12.16125</v>
      </c>
      <c r="L23" s="120" t="n">
        <v>4.968</v>
      </c>
      <c r="M23" s="120" t="n">
        <v>20.6885</v>
      </c>
      <c r="N23" s="120" t="n">
        <v>7.2565</v>
      </c>
      <c r="O23" s="120" t="n">
        <v>14.7315</v>
      </c>
      <c r="P23" s="120" t="n">
        <v>5.3245</v>
      </c>
      <c r="Q23" s="88"/>
      <c r="R23" s="88"/>
      <c r="S23" s="88"/>
      <c r="T23" s="88"/>
      <c r="U23" s="88"/>
      <c r="V23" s="88"/>
      <c r="W23" s="88"/>
      <c r="X23" s="88"/>
      <c r="Y23" s="88"/>
      <c r="Z23" s="121"/>
    </row>
    <row r="24" customFormat="false" ht="15" hidden="false" customHeight="false" outlineLevel="0" collapsed="false">
      <c r="A24" s="68" t="e">
        <f aca="false">VLOOKUP(#REF!,'[1]Listas Desplegables'!$H$3:$J$7,2,FALSE())</f>
        <v>#VALUE!</v>
      </c>
      <c r="B24" s="68" t="e">
        <f aca="false">VLOOKUP(#REF!,'[1]Listas Desplegables'!$H$3:$J$7,3,FALSE())</f>
        <v>#VALUE!</v>
      </c>
      <c r="C24" s="85" t="n">
        <v>19</v>
      </c>
      <c r="D24" s="86" t="s">
        <v>787</v>
      </c>
      <c r="E24" s="86" t="s">
        <v>234</v>
      </c>
      <c r="F24" s="87" t="n">
        <v>13.8</v>
      </c>
      <c r="G24" s="86" t="s">
        <v>762</v>
      </c>
      <c r="H24" s="86" t="s">
        <v>786</v>
      </c>
      <c r="I24" s="86" t="s">
        <v>221</v>
      </c>
      <c r="J24" s="119"/>
      <c r="K24" s="120" t="n">
        <v>10.71225</v>
      </c>
      <c r="L24" s="120" t="n">
        <v>3.312</v>
      </c>
      <c r="M24" s="120" t="n">
        <v>18.6645</v>
      </c>
      <c r="N24" s="120" t="n">
        <v>5.83625</v>
      </c>
      <c r="O24" s="120" t="n">
        <v>12.11525</v>
      </c>
      <c r="P24" s="120" t="n">
        <v>3.54775</v>
      </c>
      <c r="Q24" s="88"/>
      <c r="R24" s="88"/>
      <c r="S24" s="88"/>
      <c r="T24" s="88"/>
      <c r="U24" s="88"/>
      <c r="V24" s="88"/>
      <c r="W24" s="88"/>
      <c r="X24" s="88"/>
      <c r="Y24" s="88"/>
      <c r="Z24" s="121"/>
    </row>
    <row r="25" customFormat="false" ht="15" hidden="false" customHeight="false" outlineLevel="0" collapsed="false">
      <c r="A25" s="68" t="e">
        <f aca="false">VLOOKUP(#REF!,'[1]Listas Desplegables'!$H$3:$J$7,2,FALSE())</f>
        <v>#VALUE!</v>
      </c>
      <c r="B25" s="68" t="e">
        <f aca="false">VLOOKUP(#REF!,'[1]Listas Desplegables'!$H$3:$J$7,3,FALSE())</f>
        <v>#VALUE!</v>
      </c>
      <c r="C25" s="85" t="n">
        <v>20</v>
      </c>
      <c r="D25" s="86" t="s">
        <v>788</v>
      </c>
      <c r="E25" s="86" t="s">
        <v>234</v>
      </c>
      <c r="F25" s="87" t="n">
        <v>13.8</v>
      </c>
      <c r="G25" s="86" t="s">
        <v>762</v>
      </c>
      <c r="H25" s="86" t="s">
        <v>786</v>
      </c>
      <c r="I25" s="86" t="s">
        <v>221</v>
      </c>
      <c r="J25" s="119"/>
      <c r="K25" s="120" t="n">
        <v>18.492</v>
      </c>
      <c r="L25" s="120" t="n">
        <v>5.796</v>
      </c>
      <c r="M25" s="120" t="n">
        <v>20.309</v>
      </c>
      <c r="N25" s="120" t="n">
        <v>6.509</v>
      </c>
      <c r="O25" s="120" t="n">
        <v>20.539</v>
      </c>
      <c r="P25" s="120" t="n">
        <v>5.81325</v>
      </c>
      <c r="Q25" s="88"/>
      <c r="R25" s="88"/>
      <c r="S25" s="88"/>
      <c r="T25" s="88"/>
      <c r="U25" s="88"/>
      <c r="V25" s="88"/>
      <c r="W25" s="88"/>
      <c r="X25" s="88"/>
      <c r="Y25" s="88"/>
      <c r="Z25" s="121"/>
    </row>
    <row r="26" customFormat="false" ht="15" hidden="false" customHeight="false" outlineLevel="0" collapsed="false">
      <c r="A26" s="68" t="e">
        <f aca="false">VLOOKUP(#REF!,'[1]Listas Desplegables'!$H$3:$J$7,2,FALSE())</f>
        <v>#VALUE!</v>
      </c>
      <c r="B26" s="68" t="e">
        <f aca="false">VLOOKUP(#REF!,'[1]Listas Desplegables'!$H$3:$J$7,3,FALSE())</f>
        <v>#VALUE!</v>
      </c>
      <c r="C26" s="85" t="n">
        <v>21</v>
      </c>
      <c r="D26" s="86" t="s">
        <v>288</v>
      </c>
      <c r="E26" s="86" t="s">
        <v>288</v>
      </c>
      <c r="F26" s="87" t="n">
        <v>13.8</v>
      </c>
      <c r="G26" s="86" t="s">
        <v>762</v>
      </c>
      <c r="H26" s="86" t="s">
        <v>789</v>
      </c>
      <c r="I26" s="86" t="s">
        <v>221</v>
      </c>
      <c r="J26" s="119"/>
      <c r="K26" s="120" t="n">
        <v>25.2954</v>
      </c>
      <c r="L26" s="120" t="n">
        <v>7.7556</v>
      </c>
      <c r="M26" s="120" t="n">
        <v>24.9366</v>
      </c>
      <c r="N26" s="120" t="n">
        <v>7.3416</v>
      </c>
      <c r="O26" s="120" t="n">
        <v>28.313</v>
      </c>
      <c r="P26" s="120" t="n">
        <v>7.4198</v>
      </c>
      <c r="Q26" s="88"/>
      <c r="R26" s="88"/>
      <c r="S26" s="88"/>
      <c r="T26" s="88"/>
      <c r="U26" s="88"/>
      <c r="V26" s="88"/>
      <c r="W26" s="88"/>
      <c r="X26" s="88"/>
      <c r="Y26" s="88"/>
      <c r="Z26" s="121"/>
    </row>
    <row r="27" customFormat="false" ht="15" hidden="false" customHeight="false" outlineLevel="0" collapsed="false">
      <c r="A27" s="68" t="e">
        <f aca="false">VLOOKUP(#REF!,'[1]Listas Desplegables'!$H$3:$J$7,2,FALSE())</f>
        <v>#VALUE!</v>
      </c>
      <c r="B27" s="68" t="e">
        <f aca="false">VLOOKUP(#REF!,'[1]Listas Desplegables'!$H$3:$J$7,3,FALSE())</f>
        <v>#VALUE!</v>
      </c>
      <c r="C27" s="85" t="n">
        <v>22</v>
      </c>
      <c r="D27" s="86" t="s">
        <v>790</v>
      </c>
      <c r="E27" s="86" t="s">
        <v>791</v>
      </c>
      <c r="F27" s="87" t="n">
        <v>13.8</v>
      </c>
      <c r="G27" s="86" t="s">
        <v>762</v>
      </c>
      <c r="H27" s="86" t="s">
        <v>792</v>
      </c>
      <c r="I27" s="86" t="s">
        <v>221</v>
      </c>
      <c r="J27" s="119"/>
      <c r="K27" s="120" t="n">
        <v>26.92</v>
      </c>
      <c r="L27" s="120" t="n">
        <v>10.46</v>
      </c>
      <c r="M27" s="120" t="n">
        <v>26.92</v>
      </c>
      <c r="N27" s="120" t="n">
        <v>10.54</v>
      </c>
      <c r="O27" s="120" t="n">
        <v>29.42</v>
      </c>
      <c r="P27" s="120" t="n">
        <v>10.62</v>
      </c>
      <c r="Q27" s="88"/>
      <c r="R27" s="88"/>
      <c r="S27" s="88"/>
      <c r="T27" s="88"/>
      <c r="U27" s="88"/>
      <c r="V27" s="88"/>
      <c r="W27" s="88"/>
      <c r="X27" s="88"/>
      <c r="Y27" s="88"/>
      <c r="Z27" s="121"/>
    </row>
    <row r="28" customFormat="false" ht="15" hidden="false" customHeight="false" outlineLevel="0" collapsed="false">
      <c r="A28" s="68" t="e">
        <f aca="false">VLOOKUP(#REF!,'[1]Listas Desplegables'!$H$3:$J$7,2,FALSE())</f>
        <v>#VALUE!</v>
      </c>
      <c r="B28" s="68" t="e">
        <f aca="false">VLOOKUP(#REF!,'[1]Listas Desplegables'!$H$3:$J$7,3,FALSE())</f>
        <v>#VALUE!</v>
      </c>
      <c r="C28" s="85" t="n">
        <v>23</v>
      </c>
      <c r="D28" s="94" t="s">
        <v>793</v>
      </c>
      <c r="E28" s="94" t="s">
        <v>791</v>
      </c>
      <c r="F28" s="109" t="n">
        <v>13.8</v>
      </c>
      <c r="G28" s="94" t="s">
        <v>762</v>
      </c>
      <c r="H28" s="94" t="s">
        <v>792</v>
      </c>
      <c r="I28" s="94" t="s">
        <v>221</v>
      </c>
      <c r="J28" s="122"/>
      <c r="K28" s="123" t="n">
        <v>27.18</v>
      </c>
      <c r="L28" s="123" t="n">
        <v>11.9</v>
      </c>
      <c r="M28" s="123" t="n">
        <v>26.32</v>
      </c>
      <c r="N28" s="123" t="n">
        <v>11.46</v>
      </c>
      <c r="O28" s="123" t="n">
        <v>29.58</v>
      </c>
      <c r="P28" s="123" t="n">
        <v>12.08</v>
      </c>
      <c r="Q28" s="124"/>
      <c r="R28" s="124"/>
      <c r="S28" s="124"/>
      <c r="T28" s="124"/>
      <c r="U28" s="124"/>
      <c r="V28" s="124"/>
      <c r="W28" s="124"/>
      <c r="X28" s="124"/>
      <c r="Y28" s="124"/>
      <c r="Z28" s="121"/>
    </row>
    <row r="29" customFormat="false" ht="15" hidden="false" customHeight="false" outlineLevel="0" collapsed="false">
      <c r="A29" s="68" t="e">
        <f aca="false">VLOOKUP(#REF!,'[1]Listas Desplegables'!$H$3:$J$7,2,FALSE())</f>
        <v>#VALUE!</v>
      </c>
      <c r="B29" s="68" t="e">
        <f aca="false">VLOOKUP(#REF!,'[1]Listas Desplegables'!$H$3:$J$7,3,FALSE())</f>
        <v>#VALUE!</v>
      </c>
      <c r="C29" s="85" t="n">
        <v>24</v>
      </c>
      <c r="D29" s="94" t="s">
        <v>794</v>
      </c>
      <c r="E29" s="94" t="s">
        <v>791</v>
      </c>
      <c r="F29" s="109" t="n">
        <v>13.8</v>
      </c>
      <c r="G29" s="94" t="s">
        <v>762</v>
      </c>
      <c r="H29" s="94" t="s">
        <v>792</v>
      </c>
      <c r="I29" s="94" t="s">
        <v>221</v>
      </c>
      <c r="J29" s="122"/>
      <c r="K29" s="123" t="n">
        <v>15.3</v>
      </c>
      <c r="L29" s="123" t="n">
        <v>5.16</v>
      </c>
      <c r="M29" s="123" t="n">
        <v>16.46</v>
      </c>
      <c r="N29" s="123" t="n">
        <v>5.48</v>
      </c>
      <c r="O29" s="123" t="n">
        <v>18.92</v>
      </c>
      <c r="P29" s="123" t="n">
        <v>5.9</v>
      </c>
      <c r="Q29" s="124"/>
      <c r="R29" s="124"/>
      <c r="S29" s="124"/>
      <c r="T29" s="124"/>
      <c r="U29" s="124"/>
      <c r="V29" s="124"/>
      <c r="W29" s="124"/>
      <c r="X29" s="124"/>
      <c r="Y29" s="124"/>
      <c r="Z29" s="121"/>
    </row>
    <row r="30" customFormat="false" ht="15" hidden="false" customHeight="false" outlineLevel="0" collapsed="false">
      <c r="A30" s="68" t="e">
        <f aca="false">VLOOKUP(#REF!,'[1]Listas Desplegables'!$H$3:$J$7,2,FALSE())</f>
        <v>#VALUE!</v>
      </c>
      <c r="B30" s="68" t="e">
        <f aca="false">VLOOKUP(#REF!,'[1]Listas Desplegables'!$H$3:$J$7,3,FALSE())</f>
        <v>#VALUE!</v>
      </c>
      <c r="C30" s="85" t="n">
        <v>25</v>
      </c>
      <c r="D30" s="94" t="s">
        <v>795</v>
      </c>
      <c r="E30" s="94" t="s">
        <v>230</v>
      </c>
      <c r="F30" s="109" t="n">
        <v>13.8</v>
      </c>
      <c r="G30" s="94" t="s">
        <v>762</v>
      </c>
      <c r="H30" s="94" t="s">
        <v>796</v>
      </c>
      <c r="I30" s="94" t="s">
        <v>221</v>
      </c>
      <c r="J30" s="122"/>
      <c r="K30" s="123" t="n">
        <v>19.3451563</v>
      </c>
      <c r="L30" s="123" t="n">
        <v>7.0617188</v>
      </c>
      <c r="M30" s="123" t="n">
        <v>17.3542188</v>
      </c>
      <c r="N30" s="123" t="n">
        <v>7.3779688</v>
      </c>
      <c r="O30" s="123" t="n">
        <v>21.1564063</v>
      </c>
      <c r="P30" s="123" t="n">
        <v>6.7526563</v>
      </c>
      <c r="Q30" s="124"/>
      <c r="R30" s="124"/>
      <c r="S30" s="124"/>
      <c r="T30" s="124"/>
      <c r="U30" s="124"/>
      <c r="V30" s="124"/>
      <c r="W30" s="124"/>
      <c r="X30" s="124"/>
      <c r="Y30" s="124"/>
      <c r="Z30" s="121"/>
    </row>
    <row r="31" customFormat="false" ht="15" hidden="false" customHeight="false" outlineLevel="0" collapsed="false">
      <c r="A31" s="68" t="e">
        <f aca="false">VLOOKUP(#REF!,'[1]Listas Desplegables'!$H$3:$J$7,2,FALSE())</f>
        <v>#VALUE!</v>
      </c>
      <c r="B31" s="68" t="e">
        <f aca="false">VLOOKUP(#REF!,'[1]Listas Desplegables'!$H$3:$J$7,3,FALSE())</f>
        <v>#VALUE!</v>
      </c>
      <c r="C31" s="85" t="n">
        <v>26</v>
      </c>
      <c r="D31" s="94" t="s">
        <v>325</v>
      </c>
      <c r="E31" s="94" t="s">
        <v>325</v>
      </c>
      <c r="F31" s="109" t="n">
        <v>13.8</v>
      </c>
      <c r="G31" s="94" t="s">
        <v>762</v>
      </c>
      <c r="H31" s="94" t="s">
        <v>797</v>
      </c>
      <c r="I31" s="94" t="s">
        <v>221</v>
      </c>
      <c r="J31" s="122"/>
      <c r="K31" s="123" t="n">
        <v>17.9916</v>
      </c>
      <c r="L31" s="123" t="n">
        <v>5.08728</v>
      </c>
      <c r="M31" s="123" t="n">
        <v>10.29072</v>
      </c>
      <c r="N31" s="123" t="n">
        <v>3.83328</v>
      </c>
      <c r="O31" s="123" t="n">
        <v>20.68704</v>
      </c>
      <c r="P31" s="123" t="n">
        <v>4.90512</v>
      </c>
      <c r="Q31" s="124"/>
      <c r="R31" s="124"/>
      <c r="S31" s="124"/>
      <c r="T31" s="124"/>
      <c r="U31" s="124"/>
      <c r="V31" s="124"/>
      <c r="W31" s="124"/>
      <c r="X31" s="124"/>
      <c r="Y31" s="124"/>
      <c r="Z31" s="121"/>
    </row>
    <row r="32" customFormat="false" ht="15" hidden="false" customHeight="false" outlineLevel="0" collapsed="false">
      <c r="A32" s="68" t="e">
        <f aca="false">VLOOKUP(#REF!,'[1]Listas Desplegables'!$H$3:$J$7,2,FALSE())</f>
        <v>#VALUE!</v>
      </c>
      <c r="B32" s="68" t="e">
        <f aca="false">VLOOKUP(#REF!,'[1]Listas Desplegables'!$H$3:$J$7,3,FALSE())</f>
        <v>#VALUE!</v>
      </c>
      <c r="C32" s="85" t="n">
        <v>27</v>
      </c>
      <c r="D32" s="94" t="s">
        <v>798</v>
      </c>
      <c r="E32" s="94" t="s">
        <v>799</v>
      </c>
      <c r="F32" s="109" t="n">
        <v>13.8</v>
      </c>
      <c r="G32" s="94" t="s">
        <v>762</v>
      </c>
      <c r="H32" s="94" t="s">
        <v>797</v>
      </c>
      <c r="I32" s="94" t="s">
        <v>221</v>
      </c>
      <c r="J32" s="122"/>
      <c r="K32" s="123" t="n">
        <v>24.541</v>
      </c>
      <c r="L32" s="123" t="n">
        <v>7.817125</v>
      </c>
      <c r="M32" s="123" t="n">
        <v>24.44325</v>
      </c>
      <c r="N32" s="123" t="n">
        <v>8.8190625</v>
      </c>
      <c r="O32" s="123" t="n">
        <v>27.689125</v>
      </c>
      <c r="P32" s="123" t="n">
        <v>8.1290625</v>
      </c>
      <c r="Q32" s="124"/>
      <c r="R32" s="124"/>
      <c r="S32" s="124"/>
      <c r="T32" s="124"/>
      <c r="U32" s="124"/>
      <c r="V32" s="124"/>
      <c r="W32" s="124"/>
      <c r="X32" s="124"/>
      <c r="Y32" s="124"/>
      <c r="Z32" s="121"/>
    </row>
    <row r="33" customFormat="false" ht="15" hidden="false" customHeight="false" outlineLevel="0" collapsed="false">
      <c r="A33" s="68" t="e">
        <f aca="false">VLOOKUP(#REF!,'[1]Listas Desplegables'!$H$3:$J$7,2,FALSE())</f>
        <v>#VALUE!</v>
      </c>
      <c r="B33" s="68" t="e">
        <f aca="false">VLOOKUP(#REF!,'[1]Listas Desplegables'!$H$3:$J$7,3,FALSE())</f>
        <v>#VALUE!</v>
      </c>
      <c r="C33" s="85" t="n">
        <v>28</v>
      </c>
      <c r="D33" s="94" t="s">
        <v>800</v>
      </c>
      <c r="E33" s="94" t="s">
        <v>799</v>
      </c>
      <c r="F33" s="109" t="n">
        <v>110</v>
      </c>
      <c r="G33" s="94" t="s">
        <v>801</v>
      </c>
      <c r="H33" s="94" t="s">
        <v>797</v>
      </c>
      <c r="I33" s="94" t="s">
        <v>221</v>
      </c>
      <c r="J33" s="122"/>
      <c r="K33" s="123" t="n">
        <v>23.1739375</v>
      </c>
      <c r="L33" s="123" t="n">
        <v>8.3073125</v>
      </c>
      <c r="M33" s="123" t="n">
        <v>23.1739375</v>
      </c>
      <c r="N33" s="123" t="n">
        <v>9.2675625</v>
      </c>
      <c r="O33" s="123" t="n">
        <v>25.9799375</v>
      </c>
      <c r="P33" s="123" t="n">
        <v>8.633625</v>
      </c>
      <c r="Q33" s="124"/>
      <c r="R33" s="124"/>
      <c r="S33" s="124"/>
      <c r="T33" s="124"/>
      <c r="U33" s="124"/>
      <c r="V33" s="124"/>
      <c r="W33" s="124"/>
      <c r="X33" s="124"/>
      <c r="Y33" s="124"/>
      <c r="Z33" s="121"/>
    </row>
    <row r="34" customFormat="false" ht="15" hidden="false" customHeight="false" outlineLevel="0" collapsed="false">
      <c r="A34" s="68" t="e">
        <f aca="false">VLOOKUP(#REF!,'[1]Listas Desplegables'!$H$3:$J$7,2,FALSE())</f>
        <v>#VALUE!</v>
      </c>
      <c r="B34" s="68" t="e">
        <f aca="false">VLOOKUP(#REF!,'[1]Listas Desplegables'!$H$3:$J$7,3,FALSE())</f>
        <v>#VALUE!</v>
      </c>
      <c r="C34" s="85" t="n">
        <v>29</v>
      </c>
      <c r="D34" s="94" t="s">
        <v>802</v>
      </c>
      <c r="E34" s="94" t="s">
        <v>799</v>
      </c>
      <c r="F34" s="109" t="n">
        <v>110</v>
      </c>
      <c r="G34" s="94" t="s">
        <v>801</v>
      </c>
      <c r="H34" s="94" t="s">
        <v>797</v>
      </c>
      <c r="I34" s="94" t="s">
        <v>221</v>
      </c>
      <c r="J34" s="122"/>
      <c r="K34" s="123" t="n">
        <v>6.1159091</v>
      </c>
      <c r="L34" s="123" t="n">
        <v>2.5404545</v>
      </c>
      <c r="M34" s="123" t="n">
        <v>3.8200909</v>
      </c>
      <c r="N34" s="123" t="n">
        <v>1.9759091</v>
      </c>
      <c r="O34" s="123" t="n">
        <v>3.4437273</v>
      </c>
      <c r="P34" s="123" t="n">
        <v>1.7124545</v>
      </c>
      <c r="Q34" s="124"/>
      <c r="R34" s="124"/>
      <c r="S34" s="124"/>
      <c r="T34" s="124"/>
      <c r="U34" s="124"/>
      <c r="V34" s="124"/>
      <c r="W34" s="124"/>
      <c r="X34" s="124"/>
      <c r="Y34" s="124"/>
      <c r="Z34" s="121"/>
    </row>
    <row r="35" customFormat="false" ht="15" hidden="false" customHeight="false" outlineLevel="0" collapsed="false">
      <c r="A35" s="68" t="e">
        <f aca="false">VLOOKUP(#REF!,'[1]Listas Desplegables'!$H$3:$J$7,2,FALSE())</f>
        <v>#VALUE!</v>
      </c>
      <c r="B35" s="68" t="e">
        <f aca="false">VLOOKUP(#REF!,'[1]Listas Desplegables'!$H$3:$J$7,3,FALSE())</f>
        <v>#VALUE!</v>
      </c>
      <c r="C35" s="85" t="n">
        <v>30</v>
      </c>
      <c r="D35" s="94" t="s">
        <v>803</v>
      </c>
      <c r="E35" s="94" t="s">
        <v>799</v>
      </c>
      <c r="F35" s="109" t="n">
        <v>34.5</v>
      </c>
      <c r="G35" s="94" t="s">
        <v>801</v>
      </c>
      <c r="H35" s="94" t="s">
        <v>797</v>
      </c>
      <c r="I35" s="94" t="s">
        <v>221</v>
      </c>
      <c r="J35" s="122"/>
      <c r="K35" s="123" t="n">
        <v>4.6764</v>
      </c>
      <c r="L35" s="123" t="n">
        <v>0.2016</v>
      </c>
      <c r="M35" s="123" t="n">
        <v>1.4148</v>
      </c>
      <c r="N35" s="123" t="n">
        <v>0.2304</v>
      </c>
      <c r="O35" s="123" t="n">
        <v>4.536</v>
      </c>
      <c r="P35" s="123" t="n">
        <v>0.1476</v>
      </c>
      <c r="Q35" s="124"/>
      <c r="R35" s="124"/>
      <c r="S35" s="124"/>
      <c r="T35" s="124"/>
      <c r="U35" s="124"/>
      <c r="V35" s="124"/>
      <c r="W35" s="124"/>
      <c r="X35" s="124"/>
      <c r="Y35" s="124"/>
      <c r="Z35" s="121"/>
    </row>
    <row r="36" customFormat="false" ht="15" hidden="false" customHeight="false" outlineLevel="0" collapsed="false">
      <c r="A36" s="68" t="e">
        <f aca="false">VLOOKUP(#REF!,'[1]Listas Desplegables'!$H$3:$J$7,2,FALSE())</f>
        <v>#VALUE!</v>
      </c>
      <c r="B36" s="68" t="e">
        <f aca="false">VLOOKUP(#REF!,'[1]Listas Desplegables'!$H$3:$J$7,3,FALSE())</f>
        <v>#VALUE!</v>
      </c>
      <c r="C36" s="85" t="n">
        <v>31</v>
      </c>
      <c r="D36" s="94" t="s">
        <v>804</v>
      </c>
      <c r="E36" s="94" t="s">
        <v>227</v>
      </c>
      <c r="F36" s="109" t="n">
        <v>110</v>
      </c>
      <c r="G36" s="94" t="s">
        <v>801</v>
      </c>
      <c r="H36" s="94" t="s">
        <v>805</v>
      </c>
      <c r="I36" s="94" t="s">
        <v>221</v>
      </c>
      <c r="J36" s="122"/>
      <c r="K36" s="123" t="n">
        <v>13.06125</v>
      </c>
      <c r="L36" s="123" t="n">
        <v>8.00625</v>
      </c>
      <c r="M36" s="123" t="n">
        <v>15.24375</v>
      </c>
      <c r="N36" s="123" t="n">
        <v>9.3375</v>
      </c>
      <c r="O36" s="123" t="n">
        <v>14.19</v>
      </c>
      <c r="P36" s="123" t="n">
        <v>8.70375</v>
      </c>
      <c r="Q36" s="124"/>
      <c r="R36" s="124"/>
      <c r="S36" s="124"/>
      <c r="T36" s="124"/>
      <c r="U36" s="124"/>
      <c r="V36" s="124"/>
      <c r="W36" s="124"/>
      <c r="X36" s="124"/>
      <c r="Y36" s="124"/>
      <c r="Z36" s="121"/>
    </row>
    <row r="37" customFormat="false" ht="15" hidden="false" customHeight="false" outlineLevel="0" collapsed="false">
      <c r="C37" s="85" t="n">
        <v>32</v>
      </c>
      <c r="D37" s="94" t="s">
        <v>806</v>
      </c>
      <c r="E37" s="86" t="s">
        <v>234</v>
      </c>
      <c r="F37" s="109" t="n">
        <v>34.5</v>
      </c>
      <c r="G37" s="86" t="s">
        <v>762</v>
      </c>
      <c r="H37" s="86" t="s">
        <v>786</v>
      </c>
      <c r="I37" s="86" t="s">
        <v>221</v>
      </c>
      <c r="J37" s="122"/>
      <c r="K37" s="123" t="n">
        <v>2.9507251</v>
      </c>
      <c r="L37" s="123" t="n">
        <v>1.1742682</v>
      </c>
      <c r="M37" s="123" t="n">
        <v>1.505472</v>
      </c>
      <c r="N37" s="123" t="n">
        <v>0.5984251</v>
      </c>
      <c r="O37" s="123" t="n">
        <v>2.634576</v>
      </c>
      <c r="P37" s="123" t="n">
        <v>1.0312483</v>
      </c>
      <c r="Q37" s="124"/>
      <c r="R37" s="124"/>
      <c r="S37" s="124"/>
      <c r="T37" s="124"/>
      <c r="U37" s="124"/>
      <c r="V37" s="124"/>
      <c r="W37" s="124"/>
      <c r="X37" s="124"/>
      <c r="Y37" s="124"/>
      <c r="Z37" s="121"/>
    </row>
    <row r="38" customFormat="false" ht="15" hidden="false" customHeight="false" outlineLevel="0" collapsed="false">
      <c r="A38" s="68" t="e">
        <f aca="false">VLOOKUP(#REF!,'[1]Listas Desplegables'!$H$3:$J$7,2,FALSE())</f>
        <v>#VALUE!</v>
      </c>
      <c r="B38" s="68" t="e">
        <f aca="false">VLOOKUP(#REF!,'[1]Listas Desplegables'!$H$3:$J$7,3,FALSE())</f>
        <v>#VALUE!</v>
      </c>
      <c r="C38" s="85" t="n">
        <v>33</v>
      </c>
      <c r="D38" s="94" t="s">
        <v>807</v>
      </c>
      <c r="E38" s="94" t="s">
        <v>247</v>
      </c>
      <c r="F38" s="109" t="n">
        <v>34.5</v>
      </c>
      <c r="G38" s="94" t="s">
        <v>801</v>
      </c>
      <c r="H38" s="94" t="s">
        <v>763</v>
      </c>
      <c r="I38" s="94" t="s">
        <v>221</v>
      </c>
      <c r="J38" s="122"/>
      <c r="K38" s="123" t="n">
        <v>4.6805</v>
      </c>
      <c r="L38" s="123" t="n">
        <v>2.7209</v>
      </c>
      <c r="M38" s="123" t="n">
        <v>4.7702</v>
      </c>
      <c r="N38" s="123" t="n">
        <v>2.7692</v>
      </c>
      <c r="O38" s="123" t="n">
        <v>4.8783</v>
      </c>
      <c r="P38" s="123" t="n">
        <v>2.9256</v>
      </c>
      <c r="Q38" s="124"/>
      <c r="R38" s="124"/>
      <c r="S38" s="124"/>
      <c r="T38" s="124"/>
      <c r="U38" s="124"/>
      <c r="V38" s="124"/>
      <c r="W38" s="124"/>
      <c r="X38" s="124"/>
      <c r="Y38" s="124"/>
      <c r="Z38" s="121"/>
    </row>
    <row r="39" customFormat="false" ht="15" hidden="false" customHeight="false" outlineLevel="0" collapsed="false">
      <c r="A39" s="68" t="e">
        <f aca="false">VLOOKUP(#REF!,'[1]Listas Desplegables'!$H$3:$J$7,2,FALSE())</f>
        <v>#VALUE!</v>
      </c>
      <c r="B39" s="68" t="e">
        <f aca="false">VLOOKUP(#REF!,'[1]Listas Desplegables'!$H$3:$J$7,3,FALSE())</f>
        <v>#VALUE!</v>
      </c>
      <c r="C39" s="85" t="n">
        <v>34</v>
      </c>
      <c r="D39" s="94" t="s">
        <v>808</v>
      </c>
      <c r="E39" s="94" t="s">
        <v>279</v>
      </c>
      <c r="F39" s="109" t="n">
        <v>13.8</v>
      </c>
      <c r="G39" s="94" t="s">
        <v>762</v>
      </c>
      <c r="H39" s="94" t="s">
        <v>809</v>
      </c>
      <c r="I39" s="94" t="s">
        <v>221</v>
      </c>
      <c r="J39" s="122"/>
      <c r="K39" s="123" t="n">
        <v>18.8821636</v>
      </c>
      <c r="L39" s="123" t="n">
        <v>3.5265273</v>
      </c>
      <c r="M39" s="123" t="n">
        <v>17.7897682</v>
      </c>
      <c r="N39" s="123" t="n">
        <v>3.9264136</v>
      </c>
      <c r="O39" s="123" t="n">
        <v>20.9672182</v>
      </c>
      <c r="P39" s="123" t="n">
        <v>3.4117364</v>
      </c>
      <c r="Q39" s="124"/>
      <c r="R39" s="124"/>
      <c r="S39" s="124"/>
      <c r="T39" s="124"/>
      <c r="U39" s="124"/>
      <c r="V39" s="124"/>
      <c r="W39" s="124"/>
      <c r="X39" s="124"/>
      <c r="Y39" s="124"/>
      <c r="Z39" s="121"/>
    </row>
    <row r="40" customFormat="false" ht="15" hidden="false" customHeight="false" outlineLevel="0" collapsed="false">
      <c r="A40" s="68" t="e">
        <f aca="false">VLOOKUP(#REF!,'[1]Listas Desplegables'!$H$3:$J$7,2,FALSE())</f>
        <v>#VALUE!</v>
      </c>
      <c r="B40" s="68" t="e">
        <f aca="false">VLOOKUP(#REF!,'[1]Listas Desplegables'!$H$3:$J$7,3,FALSE())</f>
        <v>#VALUE!</v>
      </c>
      <c r="C40" s="85" t="n">
        <v>35</v>
      </c>
      <c r="D40" s="94" t="s">
        <v>810</v>
      </c>
      <c r="E40" s="94" t="s">
        <v>279</v>
      </c>
      <c r="F40" s="109" t="n">
        <v>13.8</v>
      </c>
      <c r="G40" s="94" t="s">
        <v>762</v>
      </c>
      <c r="H40" s="94" t="s">
        <v>809</v>
      </c>
      <c r="I40" s="94" t="s">
        <v>221</v>
      </c>
      <c r="J40" s="122"/>
      <c r="K40" s="123" t="n">
        <v>19.757</v>
      </c>
      <c r="L40" s="123" t="n">
        <v>1.725</v>
      </c>
      <c r="M40" s="123" t="n">
        <v>14.973</v>
      </c>
      <c r="N40" s="123" t="n">
        <v>2.07</v>
      </c>
      <c r="O40" s="123" t="n">
        <v>21.505</v>
      </c>
      <c r="P40" s="123" t="n">
        <v>1.794</v>
      </c>
      <c r="Q40" s="124"/>
      <c r="R40" s="124"/>
      <c r="S40" s="124"/>
      <c r="T40" s="124"/>
      <c r="U40" s="124"/>
      <c r="V40" s="124"/>
      <c r="W40" s="124"/>
      <c r="X40" s="124"/>
      <c r="Y40" s="124"/>
      <c r="Z40" s="121"/>
    </row>
    <row r="41" customFormat="false" ht="15" hidden="false" customHeight="false" outlineLevel="0" collapsed="false">
      <c r="A41" s="68" t="e">
        <f aca="false">VLOOKUP(#REF!,'[1]Listas Desplegables'!$H$3:$J$7,2,FALSE())</f>
        <v>#VALUE!</v>
      </c>
      <c r="B41" s="68" t="e">
        <f aca="false">VLOOKUP(#REF!,'[1]Listas Desplegables'!$H$3:$J$7,3,FALSE())</f>
        <v>#VALUE!</v>
      </c>
      <c r="C41" s="85" t="n">
        <v>36</v>
      </c>
      <c r="D41" s="94" t="s">
        <v>280</v>
      </c>
      <c r="E41" s="94" t="s">
        <v>280</v>
      </c>
      <c r="F41" s="109" t="n">
        <v>13.8</v>
      </c>
      <c r="G41" s="94" t="s">
        <v>762</v>
      </c>
      <c r="H41" s="94" t="s">
        <v>811</v>
      </c>
      <c r="I41" s="94" t="s">
        <v>221</v>
      </c>
      <c r="J41" s="122"/>
      <c r="K41" s="123" t="n">
        <v>8.73425</v>
      </c>
      <c r="L41" s="123" t="n">
        <v>3.65424</v>
      </c>
      <c r="M41" s="123" t="n">
        <v>9.544195</v>
      </c>
      <c r="N41" s="123" t="n">
        <v>4.164035</v>
      </c>
      <c r="O41" s="123" t="n">
        <v>9.84239</v>
      </c>
      <c r="P41" s="123" t="n">
        <v>3.65631</v>
      </c>
      <c r="Q41" s="124"/>
      <c r="R41" s="124"/>
      <c r="S41" s="124"/>
      <c r="T41" s="124"/>
      <c r="U41" s="124"/>
      <c r="V41" s="124"/>
      <c r="W41" s="124"/>
      <c r="X41" s="124"/>
      <c r="Y41" s="124"/>
      <c r="Z41" s="121"/>
    </row>
    <row r="42" customFormat="false" ht="15" hidden="false" customHeight="false" outlineLevel="0" collapsed="false">
      <c r="A42" s="68" t="e">
        <f aca="false">VLOOKUP(#REF!,'[1]Listas Desplegables'!$H$3:$J$7,2,FALSE())</f>
        <v>#VALUE!</v>
      </c>
      <c r="B42" s="68" t="e">
        <f aca="false">VLOOKUP(#REF!,'[1]Listas Desplegables'!$H$3:$J$7,3,FALSE())</f>
        <v>#VALUE!</v>
      </c>
      <c r="C42" s="85" t="n">
        <v>37</v>
      </c>
      <c r="D42" s="94" t="s">
        <v>812</v>
      </c>
      <c r="E42" s="94" t="s">
        <v>280</v>
      </c>
      <c r="F42" s="109" t="n">
        <v>34.5</v>
      </c>
      <c r="G42" s="94" t="s">
        <v>801</v>
      </c>
      <c r="H42" s="94" t="s">
        <v>811</v>
      </c>
      <c r="I42" s="94" t="s">
        <v>221</v>
      </c>
      <c r="J42" s="122"/>
      <c r="K42" s="123" t="n">
        <v>1.81</v>
      </c>
      <c r="L42" s="123" t="n">
        <v>0.95</v>
      </c>
      <c r="M42" s="123" t="n">
        <v>1.66</v>
      </c>
      <c r="N42" s="123" t="n">
        <v>0.89</v>
      </c>
      <c r="O42" s="123" t="n">
        <v>1.59</v>
      </c>
      <c r="P42" s="123" t="n">
        <v>0.77</v>
      </c>
      <c r="Q42" s="124"/>
      <c r="R42" s="124"/>
      <c r="S42" s="124"/>
      <c r="T42" s="124"/>
      <c r="U42" s="124"/>
      <c r="V42" s="124"/>
      <c r="W42" s="124"/>
      <c r="X42" s="124"/>
      <c r="Y42" s="124"/>
      <c r="Z42" s="121"/>
    </row>
    <row r="43" customFormat="false" ht="15" hidden="false" customHeight="false" outlineLevel="0" collapsed="false">
      <c r="A43" s="68" t="e">
        <f aca="false">VLOOKUP(#REF!,'[1]Listas Desplegables'!$H$3:$J$7,2,FALSE())</f>
        <v>#VALUE!</v>
      </c>
      <c r="B43" s="68" t="e">
        <f aca="false">VLOOKUP(#REF!,'[1]Listas Desplegables'!$H$3:$J$7,3,FALSE())</f>
        <v>#VALUE!</v>
      </c>
      <c r="C43" s="85" t="n">
        <v>38</v>
      </c>
      <c r="D43" s="94" t="s">
        <v>813</v>
      </c>
      <c r="E43" s="94" t="s">
        <v>280</v>
      </c>
      <c r="F43" s="109" t="n">
        <v>34.5</v>
      </c>
      <c r="G43" s="94" t="s">
        <v>801</v>
      </c>
      <c r="H43" s="94" t="s">
        <v>811</v>
      </c>
      <c r="I43" s="94" t="s">
        <v>221</v>
      </c>
      <c r="J43" s="122"/>
      <c r="K43" s="123" t="n">
        <v>6.57</v>
      </c>
      <c r="L43" s="123" t="n">
        <v>2.28</v>
      </c>
      <c r="M43" s="123" t="n">
        <v>7.18</v>
      </c>
      <c r="N43" s="123" t="n">
        <v>2.89</v>
      </c>
      <c r="O43" s="123" t="n">
        <v>7.19</v>
      </c>
      <c r="P43" s="123" t="n">
        <v>2.53</v>
      </c>
      <c r="Q43" s="124"/>
      <c r="R43" s="124"/>
      <c r="S43" s="124"/>
      <c r="T43" s="124"/>
      <c r="U43" s="124"/>
      <c r="V43" s="124"/>
      <c r="W43" s="124"/>
      <c r="X43" s="124"/>
      <c r="Y43" s="124"/>
      <c r="Z43" s="121"/>
    </row>
    <row r="44" customFormat="false" ht="15" hidden="false" customHeight="false" outlineLevel="0" collapsed="false">
      <c r="A44" s="68" t="e">
        <f aca="false">VLOOKUP(#REF!,'[1]Listas Desplegables'!$H$3:$J$7,2,FALSE())</f>
        <v>#VALUE!</v>
      </c>
      <c r="B44" s="68" t="e">
        <f aca="false">VLOOKUP(#REF!,'[1]Listas Desplegables'!$H$3:$J$7,3,FALSE())</f>
        <v>#VALUE!</v>
      </c>
      <c r="C44" s="85" t="n">
        <v>39</v>
      </c>
      <c r="D44" s="94" t="s">
        <v>814</v>
      </c>
      <c r="E44" s="94" t="s">
        <v>280</v>
      </c>
      <c r="F44" s="109" t="n">
        <v>34.5</v>
      </c>
      <c r="G44" s="94" t="s">
        <v>801</v>
      </c>
      <c r="H44" s="94" t="s">
        <v>811</v>
      </c>
      <c r="I44" s="94" t="s">
        <v>221</v>
      </c>
      <c r="J44" s="122"/>
      <c r="K44" s="123" t="n">
        <v>2.6</v>
      </c>
      <c r="L44" s="123" t="n">
        <v>1.54</v>
      </c>
      <c r="M44" s="123" t="n">
        <v>2.62</v>
      </c>
      <c r="N44" s="123" t="n">
        <v>1.57</v>
      </c>
      <c r="O44" s="123" t="n">
        <v>2.6</v>
      </c>
      <c r="P44" s="123" t="n">
        <v>1.54</v>
      </c>
      <c r="Q44" s="124"/>
      <c r="R44" s="124"/>
      <c r="S44" s="124"/>
      <c r="T44" s="124"/>
      <c r="U44" s="124"/>
      <c r="V44" s="124"/>
      <c r="W44" s="124"/>
      <c r="X44" s="124"/>
      <c r="Y44" s="124"/>
      <c r="Z44" s="121"/>
    </row>
    <row r="45" customFormat="false" ht="15" hidden="false" customHeight="false" outlineLevel="0" collapsed="false">
      <c r="A45" s="68" t="e">
        <f aca="false">VLOOKUP(#REF!,'[1]Listas Desplegables'!$H$3:$J$7,2,FALSE())</f>
        <v>#VALUE!</v>
      </c>
      <c r="B45" s="68" t="e">
        <f aca="false">VLOOKUP(#REF!,'[1]Listas Desplegables'!$H$3:$J$7,3,FALSE())</f>
        <v>#VALUE!</v>
      </c>
      <c r="C45" s="85" t="n">
        <v>40</v>
      </c>
      <c r="D45" s="94" t="s">
        <v>815</v>
      </c>
      <c r="E45" s="94" t="s">
        <v>816</v>
      </c>
      <c r="F45" s="109" t="n">
        <v>13.8</v>
      </c>
      <c r="G45" s="94" t="s">
        <v>762</v>
      </c>
      <c r="H45" s="94" t="s">
        <v>817</v>
      </c>
      <c r="I45" s="94" t="s">
        <v>221</v>
      </c>
      <c r="J45" s="122"/>
      <c r="K45" s="123" t="n">
        <v>25.62</v>
      </c>
      <c r="L45" s="123" t="n">
        <v>8.27</v>
      </c>
      <c r="M45" s="123" t="n">
        <v>20.13</v>
      </c>
      <c r="N45" s="123" t="n">
        <v>6.82</v>
      </c>
      <c r="O45" s="123" t="n">
        <v>26.02</v>
      </c>
      <c r="P45" s="123" t="n">
        <v>7.33</v>
      </c>
      <c r="Q45" s="124"/>
      <c r="R45" s="124"/>
      <c r="S45" s="124"/>
      <c r="T45" s="124"/>
      <c r="U45" s="124"/>
      <c r="V45" s="124"/>
      <c r="W45" s="124"/>
      <c r="X45" s="124"/>
      <c r="Y45" s="124"/>
      <c r="Z45" s="121"/>
    </row>
    <row r="46" customFormat="false" ht="15" hidden="false" customHeight="false" outlineLevel="0" collapsed="false">
      <c r="A46" s="68" t="e">
        <f aca="false">VLOOKUP(#REF!,'[1]Listas Desplegables'!$H$3:$J$7,2,FALSE())</f>
        <v>#VALUE!</v>
      </c>
      <c r="B46" s="68" t="e">
        <f aca="false">VLOOKUP(#REF!,'[1]Listas Desplegables'!$H$3:$J$7,3,FALSE())</f>
        <v>#VALUE!</v>
      </c>
      <c r="C46" s="85" t="n">
        <v>41</v>
      </c>
      <c r="D46" s="94" t="s">
        <v>818</v>
      </c>
      <c r="E46" s="94" t="s">
        <v>816</v>
      </c>
      <c r="F46" s="109" t="n">
        <v>13.8</v>
      </c>
      <c r="G46" s="94" t="s">
        <v>762</v>
      </c>
      <c r="H46" s="94" t="s">
        <v>817</v>
      </c>
      <c r="I46" s="94" t="s">
        <v>221</v>
      </c>
      <c r="J46" s="122"/>
      <c r="K46" s="123" t="n">
        <v>14.85</v>
      </c>
      <c r="L46" s="123" t="n">
        <v>5.12</v>
      </c>
      <c r="M46" s="123" t="n">
        <v>13.18</v>
      </c>
      <c r="N46" s="123" t="n">
        <v>4.57</v>
      </c>
      <c r="O46" s="123" t="n">
        <v>15.2</v>
      </c>
      <c r="P46" s="123" t="n">
        <v>4.67</v>
      </c>
      <c r="Q46" s="124"/>
      <c r="R46" s="124"/>
      <c r="S46" s="124"/>
      <c r="T46" s="124"/>
      <c r="U46" s="124"/>
      <c r="V46" s="124"/>
      <c r="W46" s="124"/>
      <c r="X46" s="124"/>
      <c r="Y46" s="124"/>
      <c r="Z46" s="121"/>
    </row>
    <row r="47" customFormat="false" ht="15" hidden="false" customHeight="false" outlineLevel="0" collapsed="false">
      <c r="A47" s="68" t="e">
        <f aca="false">VLOOKUP(#REF!,'[1]Listas Desplegables'!$H$3:$J$7,2,FALSE())</f>
        <v>#VALUE!</v>
      </c>
      <c r="B47" s="68" t="e">
        <f aca="false">VLOOKUP(#REF!,'[1]Listas Desplegables'!$H$3:$J$7,3,FALSE())</f>
        <v>#VALUE!</v>
      </c>
      <c r="C47" s="85" t="n">
        <v>42</v>
      </c>
      <c r="D47" s="94" t="s">
        <v>819</v>
      </c>
      <c r="E47" s="94" t="s">
        <v>308</v>
      </c>
      <c r="F47" s="109" t="n">
        <v>13.8</v>
      </c>
      <c r="G47" s="94" t="s">
        <v>762</v>
      </c>
      <c r="H47" s="94" t="s">
        <v>796</v>
      </c>
      <c r="I47" s="94" t="s">
        <v>221</v>
      </c>
      <c r="J47" s="122"/>
      <c r="K47" s="123" t="n">
        <v>1.33</v>
      </c>
      <c r="L47" s="123" t="n">
        <v>0.29</v>
      </c>
      <c r="M47" s="123" t="n">
        <v>1.28</v>
      </c>
      <c r="N47" s="123" t="n">
        <v>0.43</v>
      </c>
      <c r="O47" s="123" t="n">
        <v>1.57</v>
      </c>
      <c r="P47" s="123" t="n">
        <v>0.25</v>
      </c>
      <c r="Q47" s="124"/>
      <c r="R47" s="124"/>
      <c r="S47" s="124"/>
      <c r="T47" s="124"/>
      <c r="U47" s="124"/>
      <c r="V47" s="124"/>
      <c r="W47" s="124"/>
      <c r="X47" s="124"/>
      <c r="Y47" s="124"/>
      <c r="Z47" s="121"/>
    </row>
    <row r="48" customFormat="false" ht="15" hidden="false" customHeight="false" outlineLevel="0" collapsed="false">
      <c r="A48" s="68" t="e">
        <f aca="false">VLOOKUP(#REF!,'[1]Listas Desplegables'!$H$3:$J$7,2,FALSE())</f>
        <v>#VALUE!</v>
      </c>
      <c r="B48" s="68" t="e">
        <f aca="false">VLOOKUP(#REF!,'[1]Listas Desplegables'!$H$3:$J$7,3,FALSE())</f>
        <v>#VALUE!</v>
      </c>
      <c r="C48" s="85" t="n">
        <v>43</v>
      </c>
      <c r="D48" s="94" t="s">
        <v>820</v>
      </c>
      <c r="E48" s="94" t="s">
        <v>308</v>
      </c>
      <c r="F48" s="109" t="n">
        <v>13.8</v>
      </c>
      <c r="G48" s="94" t="s">
        <v>762</v>
      </c>
      <c r="H48" s="94" t="s">
        <v>796</v>
      </c>
      <c r="I48" s="94" t="s">
        <v>221</v>
      </c>
      <c r="J48" s="122"/>
      <c r="K48" s="123" t="n">
        <v>0.78</v>
      </c>
      <c r="L48" s="123" t="n">
        <v>0.09</v>
      </c>
      <c r="M48" s="123" t="n">
        <v>0.79</v>
      </c>
      <c r="N48" s="123" t="n">
        <v>0.17</v>
      </c>
      <c r="O48" s="123" t="n">
        <v>0.9</v>
      </c>
      <c r="P48" s="123" t="n">
        <v>0.09</v>
      </c>
      <c r="Q48" s="124"/>
      <c r="R48" s="124"/>
      <c r="S48" s="124"/>
      <c r="T48" s="124"/>
      <c r="U48" s="124"/>
      <c r="V48" s="124"/>
      <c r="W48" s="124"/>
      <c r="X48" s="124"/>
      <c r="Y48" s="124"/>
      <c r="Z48" s="121"/>
    </row>
    <row r="49" customFormat="false" ht="15" hidden="false" customHeight="false" outlineLevel="0" collapsed="false">
      <c r="A49" s="68" t="e">
        <f aca="false">VLOOKUP(#REF!,'[1]Listas Desplegables'!$H$3:$J$7,2,FALSE())</f>
        <v>#VALUE!</v>
      </c>
      <c r="B49" s="68" t="e">
        <f aca="false">VLOOKUP(#REF!,'[1]Listas Desplegables'!$H$3:$J$7,3,FALSE())</f>
        <v>#VALUE!</v>
      </c>
      <c r="C49" s="85" t="n">
        <v>44</v>
      </c>
      <c r="D49" s="94" t="s">
        <v>821</v>
      </c>
      <c r="E49" s="94" t="s">
        <v>821</v>
      </c>
      <c r="F49" s="109" t="n">
        <v>13.8</v>
      </c>
      <c r="G49" s="94" t="s">
        <v>762</v>
      </c>
      <c r="H49" s="94" t="s">
        <v>796</v>
      </c>
      <c r="I49" s="94" t="s">
        <v>221</v>
      </c>
      <c r="J49" s="122"/>
      <c r="K49" s="123" t="n">
        <v>5.49</v>
      </c>
      <c r="L49" s="123" t="n">
        <v>1.8</v>
      </c>
      <c r="M49" s="123" t="n">
        <v>5.21</v>
      </c>
      <c r="N49" s="123" t="n">
        <v>2.06</v>
      </c>
      <c r="O49" s="123" t="n">
        <v>6.06</v>
      </c>
      <c r="P49" s="123" t="n">
        <v>1.67</v>
      </c>
      <c r="Q49" s="124"/>
      <c r="R49" s="124"/>
      <c r="S49" s="124"/>
      <c r="T49" s="124"/>
      <c r="U49" s="124"/>
      <c r="V49" s="124"/>
      <c r="W49" s="124"/>
      <c r="X49" s="124"/>
      <c r="Y49" s="124"/>
      <c r="Z49" s="121"/>
    </row>
    <row r="50" customFormat="false" ht="15" hidden="false" customHeight="false" outlineLevel="0" collapsed="false">
      <c r="A50" s="68" t="e">
        <f aca="false">VLOOKUP(#REF!,'[1]Listas Desplegables'!$H$3:$J$7,2,FALSE())</f>
        <v>#VALUE!</v>
      </c>
      <c r="B50" s="68" t="e">
        <f aca="false">VLOOKUP(#REF!,'[1]Listas Desplegables'!$H$3:$J$7,3,FALSE())</f>
        <v>#VALUE!</v>
      </c>
      <c r="C50" s="85" t="n">
        <v>45</v>
      </c>
      <c r="D50" s="94" t="s">
        <v>311</v>
      </c>
      <c r="E50" s="94" t="s">
        <v>311</v>
      </c>
      <c r="F50" s="109" t="n">
        <v>13.8</v>
      </c>
      <c r="G50" s="94" t="s">
        <v>762</v>
      </c>
      <c r="H50" s="94" t="s">
        <v>822</v>
      </c>
      <c r="I50" s="94" t="s">
        <v>221</v>
      </c>
      <c r="J50" s="122"/>
      <c r="K50" s="123" t="n">
        <v>7.72</v>
      </c>
      <c r="L50" s="123" t="n">
        <v>2.93</v>
      </c>
      <c r="M50" s="123" t="n">
        <v>5.15</v>
      </c>
      <c r="N50" s="123" t="n">
        <v>2.89</v>
      </c>
      <c r="O50" s="123" t="n">
        <v>8.82</v>
      </c>
      <c r="P50" s="123" t="n">
        <v>3.05</v>
      </c>
      <c r="Q50" s="124"/>
      <c r="R50" s="124"/>
      <c r="S50" s="124"/>
      <c r="T50" s="124"/>
      <c r="U50" s="124"/>
      <c r="V50" s="124"/>
      <c r="W50" s="124"/>
      <c r="X50" s="124"/>
      <c r="Y50" s="124"/>
      <c r="Z50" s="121"/>
    </row>
    <row r="51" customFormat="false" ht="15" hidden="false" customHeight="false" outlineLevel="0" collapsed="false">
      <c r="A51" s="68" t="e">
        <f aca="false">VLOOKUP(#REF!,'[1]Listas Desplegables'!$H$3:$J$7,2,FALSE())</f>
        <v>#VALUE!</v>
      </c>
      <c r="B51" s="68" t="e">
        <f aca="false">VLOOKUP(#REF!,'[1]Listas Desplegables'!$H$3:$J$7,3,FALSE())</f>
        <v>#VALUE!</v>
      </c>
      <c r="C51" s="85" t="n">
        <v>46</v>
      </c>
      <c r="D51" s="94" t="s">
        <v>305</v>
      </c>
      <c r="E51" s="94" t="s">
        <v>305</v>
      </c>
      <c r="F51" s="109" t="n">
        <v>13.8</v>
      </c>
      <c r="G51" s="94" t="s">
        <v>762</v>
      </c>
      <c r="H51" s="94" t="s">
        <v>822</v>
      </c>
      <c r="I51" s="94" t="s">
        <v>221</v>
      </c>
      <c r="J51" s="122"/>
      <c r="K51" s="123" t="n">
        <v>3.34</v>
      </c>
      <c r="L51" s="123" t="n">
        <v>1.12</v>
      </c>
      <c r="M51" s="123" t="n">
        <v>2.62</v>
      </c>
      <c r="N51" s="123" t="n">
        <v>1.08</v>
      </c>
      <c r="O51" s="123" t="n">
        <v>3.49</v>
      </c>
      <c r="P51" s="123" t="n">
        <v>0.93</v>
      </c>
      <c r="Q51" s="124"/>
      <c r="R51" s="124"/>
      <c r="S51" s="124"/>
      <c r="T51" s="124"/>
      <c r="U51" s="124"/>
      <c r="V51" s="124"/>
      <c r="W51" s="124"/>
      <c r="X51" s="124"/>
      <c r="Y51" s="124"/>
      <c r="Z51" s="121"/>
    </row>
    <row r="52" customFormat="false" ht="15" hidden="false" customHeight="false" outlineLevel="0" collapsed="false">
      <c r="A52" s="68" t="e">
        <f aca="false">VLOOKUP(#REF!,'[1]Listas Desplegables'!$H$3:$J$7,2,FALSE())</f>
        <v>#VALUE!</v>
      </c>
      <c r="B52" s="68" t="e">
        <f aca="false">VLOOKUP(#REF!,'[1]Listas Desplegables'!$H$3:$J$7,3,FALSE())</f>
        <v>#VALUE!</v>
      </c>
      <c r="C52" s="85" t="n">
        <v>47</v>
      </c>
      <c r="D52" s="94" t="s">
        <v>301</v>
      </c>
      <c r="E52" s="94" t="s">
        <v>301</v>
      </c>
      <c r="F52" s="109" t="n">
        <v>13.8</v>
      </c>
      <c r="G52" s="94" t="s">
        <v>762</v>
      </c>
      <c r="H52" s="94" t="s">
        <v>822</v>
      </c>
      <c r="I52" s="94" t="s">
        <v>221</v>
      </c>
      <c r="J52" s="122"/>
      <c r="K52" s="123" t="n">
        <v>2.67</v>
      </c>
      <c r="L52" s="123" t="n">
        <v>0.85</v>
      </c>
      <c r="M52" s="123" t="n">
        <v>2.38</v>
      </c>
      <c r="N52" s="123" t="n">
        <v>0.79</v>
      </c>
      <c r="O52" s="123" t="n">
        <v>2.89</v>
      </c>
      <c r="P52" s="123" t="n">
        <v>0.75</v>
      </c>
      <c r="Q52" s="124"/>
      <c r="R52" s="124"/>
      <c r="S52" s="124"/>
      <c r="T52" s="124"/>
      <c r="U52" s="124"/>
      <c r="V52" s="124"/>
      <c r="W52" s="124"/>
      <c r="X52" s="124"/>
      <c r="Y52" s="124"/>
      <c r="Z52" s="121"/>
    </row>
    <row r="53" customFormat="false" ht="15" hidden="false" customHeight="false" outlineLevel="0" collapsed="false">
      <c r="A53" s="68" t="e">
        <f aca="false">VLOOKUP(#REF!,'[1]Listas Desplegables'!$H$3:$J$7,2,FALSE())</f>
        <v>#VALUE!</v>
      </c>
      <c r="B53" s="68" t="e">
        <f aca="false">VLOOKUP(#REF!,'[1]Listas Desplegables'!$H$3:$J$7,3,FALSE())</f>
        <v>#VALUE!</v>
      </c>
      <c r="C53" s="85" t="n">
        <v>48</v>
      </c>
      <c r="D53" s="94" t="s">
        <v>823</v>
      </c>
      <c r="E53" s="94" t="s">
        <v>302</v>
      </c>
      <c r="F53" s="109" t="n">
        <v>13.8</v>
      </c>
      <c r="G53" s="94" t="s">
        <v>762</v>
      </c>
      <c r="H53" s="94" t="s">
        <v>822</v>
      </c>
      <c r="I53" s="94" t="s">
        <v>221</v>
      </c>
      <c r="J53" s="122"/>
      <c r="K53" s="123" t="n">
        <v>8.12</v>
      </c>
      <c r="L53" s="123" t="n">
        <v>2.48</v>
      </c>
      <c r="M53" s="123" t="n">
        <v>7.49</v>
      </c>
      <c r="N53" s="123" t="n">
        <v>2.37</v>
      </c>
      <c r="O53" s="123" t="n">
        <v>8.56</v>
      </c>
      <c r="P53" s="123" t="n">
        <v>2.24</v>
      </c>
      <c r="Q53" s="124"/>
      <c r="R53" s="124"/>
      <c r="S53" s="124"/>
      <c r="T53" s="124"/>
      <c r="U53" s="124"/>
      <c r="V53" s="124"/>
      <c r="W53" s="124"/>
      <c r="X53" s="124"/>
      <c r="Y53" s="124"/>
      <c r="Z53" s="121"/>
    </row>
    <row r="54" customFormat="false" ht="15" hidden="false" customHeight="false" outlineLevel="0" collapsed="false">
      <c r="A54" s="68" t="e">
        <f aca="false">VLOOKUP(#REF!,'[1]Listas Desplegables'!$H$3:$J$7,2,FALSE())</f>
        <v>#VALUE!</v>
      </c>
      <c r="B54" s="68" t="e">
        <f aca="false">VLOOKUP(#REF!,'[1]Listas Desplegables'!$H$3:$J$7,3,FALSE())</f>
        <v>#VALUE!</v>
      </c>
      <c r="C54" s="85" t="n">
        <v>49</v>
      </c>
      <c r="D54" s="94" t="s">
        <v>824</v>
      </c>
      <c r="E54" s="94" t="s">
        <v>302</v>
      </c>
      <c r="F54" s="109" t="n">
        <v>13.8</v>
      </c>
      <c r="G54" s="94" t="s">
        <v>762</v>
      </c>
      <c r="H54" s="94" t="s">
        <v>822</v>
      </c>
      <c r="I54" s="94" t="s">
        <v>221</v>
      </c>
      <c r="J54" s="122"/>
      <c r="K54" s="123" t="n">
        <v>2.51</v>
      </c>
      <c r="L54" s="123" t="n">
        <v>0.79</v>
      </c>
      <c r="M54" s="123" t="n">
        <v>2.2</v>
      </c>
      <c r="N54" s="123" t="n">
        <v>0.75</v>
      </c>
      <c r="O54" s="123" t="n">
        <v>2.71</v>
      </c>
      <c r="P54" s="123" t="n">
        <v>0.71</v>
      </c>
      <c r="Q54" s="124"/>
      <c r="R54" s="124"/>
      <c r="S54" s="124"/>
      <c r="T54" s="124"/>
      <c r="U54" s="124"/>
      <c r="V54" s="124"/>
      <c r="W54" s="124"/>
      <c r="X54" s="124"/>
      <c r="Y54" s="124"/>
      <c r="Z54" s="121"/>
    </row>
    <row r="55" customFormat="false" ht="15" hidden="false" customHeight="false" outlineLevel="0" collapsed="false">
      <c r="A55" s="68" t="e">
        <f aca="false">VLOOKUP(#REF!,'[1]Listas Desplegables'!$H$3:$J$7,2,FALSE())</f>
        <v>#VALUE!</v>
      </c>
      <c r="B55" s="68" t="e">
        <f aca="false">VLOOKUP(#REF!,'[1]Listas Desplegables'!$H$3:$J$7,3,FALSE())</f>
        <v>#VALUE!</v>
      </c>
      <c r="C55" s="85" t="n">
        <v>50</v>
      </c>
      <c r="D55" s="94" t="s">
        <v>317</v>
      </c>
      <c r="E55" s="94" t="s">
        <v>317</v>
      </c>
      <c r="F55" s="109" t="n">
        <v>13.8</v>
      </c>
      <c r="G55" s="94" t="s">
        <v>762</v>
      </c>
      <c r="H55" s="94" t="s">
        <v>822</v>
      </c>
      <c r="I55" s="94" t="s">
        <v>221</v>
      </c>
      <c r="J55" s="122"/>
      <c r="K55" s="123" t="n">
        <v>6.02</v>
      </c>
      <c r="L55" s="123" t="n">
        <v>2.4</v>
      </c>
      <c r="M55" s="123" t="n">
        <v>5.03</v>
      </c>
      <c r="N55" s="123" t="n">
        <v>2.16</v>
      </c>
      <c r="O55" s="123" t="n">
        <v>6.41</v>
      </c>
      <c r="P55" s="123" t="n">
        <v>2.21</v>
      </c>
      <c r="Q55" s="124"/>
      <c r="R55" s="124"/>
      <c r="S55" s="124"/>
      <c r="T55" s="124"/>
      <c r="U55" s="124"/>
      <c r="V55" s="124"/>
      <c r="W55" s="124"/>
      <c r="X55" s="124"/>
      <c r="Y55" s="124"/>
      <c r="Z55" s="121"/>
    </row>
    <row r="56" customFormat="false" ht="15" hidden="false" customHeight="false" outlineLevel="0" collapsed="false">
      <c r="A56" s="68" t="e">
        <f aca="false">VLOOKUP(#REF!,'[1]Listas Desplegables'!$H$3:$J$7,2,FALSE())</f>
        <v>#VALUE!</v>
      </c>
      <c r="B56" s="68" t="e">
        <f aca="false">VLOOKUP(#REF!,'[1]Listas Desplegables'!$H$3:$J$7,3,FALSE())</f>
        <v>#VALUE!</v>
      </c>
      <c r="C56" s="85" t="n">
        <v>51</v>
      </c>
      <c r="D56" s="94" t="s">
        <v>250</v>
      </c>
      <c r="E56" s="94" t="s">
        <v>250</v>
      </c>
      <c r="F56" s="109" t="n">
        <v>13.8</v>
      </c>
      <c r="G56" s="94" t="s">
        <v>762</v>
      </c>
      <c r="H56" s="94" t="s">
        <v>822</v>
      </c>
      <c r="I56" s="94" t="s">
        <v>221</v>
      </c>
      <c r="J56" s="122"/>
      <c r="K56" s="123" t="n">
        <v>18.43</v>
      </c>
      <c r="L56" s="123" t="n">
        <v>6.55</v>
      </c>
      <c r="M56" s="123" t="n">
        <v>17.51</v>
      </c>
      <c r="N56" s="123" t="n">
        <v>6.32</v>
      </c>
      <c r="O56" s="123" t="n">
        <v>19.83</v>
      </c>
      <c r="P56" s="123" t="n">
        <v>5.83</v>
      </c>
      <c r="Q56" s="124"/>
      <c r="R56" s="124"/>
      <c r="S56" s="124"/>
      <c r="T56" s="124"/>
      <c r="U56" s="124"/>
      <c r="V56" s="124"/>
      <c r="W56" s="124"/>
      <c r="X56" s="124"/>
      <c r="Y56" s="124"/>
      <c r="Z56" s="121"/>
    </row>
    <row r="57" customFormat="false" ht="15" hidden="false" customHeight="false" outlineLevel="0" collapsed="false">
      <c r="A57" s="68" t="e">
        <f aca="false">VLOOKUP(#REF!,'[1]Listas Desplegables'!$H$3:$J$7,2,FALSE())</f>
        <v>#VALUE!</v>
      </c>
      <c r="B57" s="68" t="e">
        <f aca="false">VLOOKUP(#REF!,'[1]Listas Desplegables'!$H$3:$J$7,3,FALSE())</f>
        <v>#VALUE!</v>
      </c>
      <c r="C57" s="85" t="n">
        <v>52</v>
      </c>
      <c r="D57" s="94" t="s">
        <v>252</v>
      </c>
      <c r="E57" s="94" t="s">
        <v>252</v>
      </c>
      <c r="F57" s="109" t="n">
        <v>13.8</v>
      </c>
      <c r="G57" s="94" t="s">
        <v>762</v>
      </c>
      <c r="H57" s="94" t="s">
        <v>825</v>
      </c>
      <c r="I57" s="94" t="s">
        <v>221</v>
      </c>
      <c r="J57" s="122"/>
      <c r="K57" s="123" t="n">
        <v>7.45</v>
      </c>
      <c r="L57" s="123" t="n">
        <v>3.26</v>
      </c>
      <c r="M57" s="123" t="n">
        <v>6.94</v>
      </c>
      <c r="N57" s="123" t="n">
        <v>3.11</v>
      </c>
      <c r="O57" s="123" t="n">
        <v>8.13</v>
      </c>
      <c r="P57" s="123" t="n">
        <v>3.22</v>
      </c>
      <c r="Q57" s="124"/>
      <c r="R57" s="124"/>
      <c r="S57" s="124"/>
      <c r="T57" s="124"/>
      <c r="U57" s="124"/>
      <c r="V57" s="124"/>
      <c r="W57" s="124"/>
      <c r="X57" s="124"/>
      <c r="Y57" s="124"/>
      <c r="Z57" s="121"/>
    </row>
    <row r="58" customFormat="false" ht="15" hidden="false" customHeight="false" outlineLevel="0" collapsed="false">
      <c r="A58" s="68" t="e">
        <f aca="false">VLOOKUP(#REF!,'[1]Listas Desplegables'!$H$3:$J$7,2,FALSE())</f>
        <v>#VALUE!</v>
      </c>
      <c r="B58" s="68" t="e">
        <f aca="false">VLOOKUP(#REF!,'[1]Listas Desplegables'!$H$3:$J$7,3,FALSE())</f>
        <v>#VALUE!</v>
      </c>
      <c r="C58" s="85" t="n">
        <v>53</v>
      </c>
      <c r="D58" s="94" t="s">
        <v>334</v>
      </c>
      <c r="E58" s="94" t="s">
        <v>334</v>
      </c>
      <c r="F58" s="109" t="n">
        <v>13.8</v>
      </c>
      <c r="G58" s="94" t="s">
        <v>762</v>
      </c>
      <c r="H58" s="94" t="s">
        <v>825</v>
      </c>
      <c r="I58" s="94" t="s">
        <v>221</v>
      </c>
      <c r="J58" s="122"/>
      <c r="K58" s="123" t="n">
        <v>4.2</v>
      </c>
      <c r="L58" s="123" t="n">
        <v>1.41</v>
      </c>
      <c r="M58" s="123" t="n">
        <v>3.78</v>
      </c>
      <c r="N58" s="123" t="n">
        <v>1.3</v>
      </c>
      <c r="O58" s="123" t="n">
        <v>4.35</v>
      </c>
      <c r="P58" s="123" t="n">
        <v>1.21</v>
      </c>
      <c r="Q58" s="124"/>
      <c r="R58" s="124"/>
      <c r="S58" s="124"/>
      <c r="T58" s="124"/>
      <c r="U58" s="124"/>
      <c r="V58" s="124"/>
      <c r="W58" s="124"/>
      <c r="X58" s="124"/>
      <c r="Y58" s="124"/>
      <c r="Z58" s="121"/>
    </row>
    <row r="59" customFormat="false" ht="15" hidden="false" customHeight="false" outlineLevel="0" collapsed="false">
      <c r="A59" s="68" t="e">
        <f aca="false">VLOOKUP(#REF!,'[1]Listas Desplegables'!$H$3:$J$7,2,FALSE())</f>
        <v>#VALUE!</v>
      </c>
      <c r="B59" s="68" t="e">
        <f aca="false">VLOOKUP(#REF!,'[1]Listas Desplegables'!$H$3:$J$7,3,FALSE())</f>
        <v>#VALUE!</v>
      </c>
      <c r="C59" s="85" t="n">
        <v>54</v>
      </c>
      <c r="D59" s="94" t="s">
        <v>369</v>
      </c>
      <c r="E59" s="94" t="s">
        <v>369</v>
      </c>
      <c r="F59" s="109" t="n">
        <v>13.8</v>
      </c>
      <c r="G59" s="94" t="s">
        <v>762</v>
      </c>
      <c r="H59" s="94" t="s">
        <v>825</v>
      </c>
      <c r="I59" s="94" t="s">
        <v>221</v>
      </c>
      <c r="J59" s="122"/>
      <c r="K59" s="123" t="n">
        <v>6.08</v>
      </c>
      <c r="L59" s="123" t="n">
        <v>1.78</v>
      </c>
      <c r="M59" s="123" t="n">
        <v>5.87</v>
      </c>
      <c r="N59" s="123" t="n">
        <v>1.69</v>
      </c>
      <c r="O59" s="123" t="n">
        <v>7.16</v>
      </c>
      <c r="P59" s="123" t="n">
        <v>1.69</v>
      </c>
      <c r="Q59" s="124"/>
      <c r="R59" s="124"/>
      <c r="S59" s="124"/>
      <c r="T59" s="124"/>
      <c r="U59" s="124"/>
      <c r="V59" s="124"/>
      <c r="W59" s="124"/>
      <c r="X59" s="124"/>
      <c r="Y59" s="124"/>
      <c r="Z59" s="121"/>
    </row>
    <row r="60" customFormat="false" ht="15" hidden="false" customHeight="false" outlineLevel="0" collapsed="false">
      <c r="A60" s="68" t="e">
        <f aca="false">VLOOKUP(#REF!,'[1]Listas Desplegables'!$H$3:$J$7,2,FALSE())</f>
        <v>#VALUE!</v>
      </c>
      <c r="B60" s="68" t="e">
        <f aca="false">VLOOKUP(#REF!,'[1]Listas Desplegables'!$H$3:$J$7,3,FALSE())</f>
        <v>#VALUE!</v>
      </c>
      <c r="C60" s="85" t="n">
        <v>55</v>
      </c>
      <c r="D60" s="94" t="s">
        <v>826</v>
      </c>
      <c r="E60" s="94" t="s">
        <v>826</v>
      </c>
      <c r="F60" s="109" t="n">
        <v>13.8</v>
      </c>
      <c r="G60" s="94" t="s">
        <v>762</v>
      </c>
      <c r="H60" s="94" t="s">
        <v>825</v>
      </c>
      <c r="I60" s="94" t="s">
        <v>221</v>
      </c>
      <c r="J60" s="122"/>
      <c r="K60" s="123" t="n">
        <v>0.25</v>
      </c>
      <c r="L60" s="123" t="n">
        <v>0.09</v>
      </c>
      <c r="M60" s="123" t="n">
        <v>0.2</v>
      </c>
      <c r="N60" s="123" t="n">
        <v>0.07</v>
      </c>
      <c r="O60" s="123" t="n">
        <v>0.27</v>
      </c>
      <c r="P60" s="123" t="n">
        <v>0.08</v>
      </c>
      <c r="Q60" s="124"/>
      <c r="R60" s="124"/>
      <c r="S60" s="124"/>
      <c r="T60" s="124"/>
      <c r="U60" s="124"/>
      <c r="V60" s="124"/>
      <c r="W60" s="124"/>
      <c r="X60" s="124"/>
      <c r="Y60" s="124"/>
      <c r="Z60" s="121"/>
    </row>
    <row r="61" customFormat="false" ht="15" hidden="false" customHeight="false" outlineLevel="0" collapsed="false">
      <c r="A61" s="68" t="e">
        <f aca="false">VLOOKUP(#REF!,'[1]Listas Desplegables'!$H$3:$J$7,2,FALSE())</f>
        <v>#VALUE!</v>
      </c>
      <c r="B61" s="68" t="e">
        <f aca="false">VLOOKUP(#REF!,'[1]Listas Desplegables'!$H$3:$J$7,3,FALSE())</f>
        <v>#VALUE!</v>
      </c>
      <c r="C61" s="85" t="n">
        <v>56</v>
      </c>
      <c r="D61" s="94" t="s">
        <v>365</v>
      </c>
      <c r="E61" s="94" t="s">
        <v>365</v>
      </c>
      <c r="F61" s="109" t="n">
        <v>13.8</v>
      </c>
      <c r="G61" s="94" t="s">
        <v>762</v>
      </c>
      <c r="H61" s="94" t="s">
        <v>825</v>
      </c>
      <c r="I61" s="94" t="s">
        <v>221</v>
      </c>
      <c r="J61" s="122"/>
      <c r="K61" s="123" t="n">
        <v>2.33</v>
      </c>
      <c r="L61" s="123" t="n">
        <v>0.38</v>
      </c>
      <c r="M61" s="123" t="n">
        <v>2.01</v>
      </c>
      <c r="N61" s="123" t="n">
        <v>0.29</v>
      </c>
      <c r="O61" s="123" t="n">
        <v>2.55</v>
      </c>
      <c r="P61" s="123" t="n">
        <v>0.38</v>
      </c>
      <c r="Q61" s="124"/>
      <c r="R61" s="124"/>
      <c r="S61" s="124"/>
      <c r="T61" s="124"/>
      <c r="U61" s="124"/>
      <c r="V61" s="124"/>
      <c r="W61" s="124"/>
      <c r="X61" s="124"/>
      <c r="Y61" s="124"/>
      <c r="Z61" s="121"/>
    </row>
    <row r="62" customFormat="false" ht="15" hidden="false" customHeight="false" outlineLevel="0" collapsed="false">
      <c r="A62" s="68" t="e">
        <f aca="false">VLOOKUP(#REF!,'[1]Listas Desplegables'!$H$3:$J$7,2,FALSE())</f>
        <v>#VALUE!</v>
      </c>
      <c r="B62" s="68" t="e">
        <f aca="false">VLOOKUP(#REF!,'[1]Listas Desplegables'!$H$3:$J$7,3,FALSE())</f>
        <v>#VALUE!</v>
      </c>
      <c r="C62" s="85" t="n">
        <v>57</v>
      </c>
      <c r="D62" s="94" t="s">
        <v>827</v>
      </c>
      <c r="E62" s="94" t="s">
        <v>305</v>
      </c>
      <c r="F62" s="109" t="n">
        <v>34.5</v>
      </c>
      <c r="G62" s="94" t="s">
        <v>762</v>
      </c>
      <c r="H62" s="94" t="s">
        <v>822</v>
      </c>
      <c r="I62" s="94" t="s">
        <v>221</v>
      </c>
      <c r="J62" s="122"/>
      <c r="K62" s="123" t="n">
        <v>0.59</v>
      </c>
      <c r="L62" s="123" t="n">
        <v>0.51</v>
      </c>
      <c r="M62" s="123" t="n">
        <v>1.07</v>
      </c>
      <c r="N62" s="123" t="n">
        <v>0.75</v>
      </c>
      <c r="O62" s="123" t="n">
        <v>0.61</v>
      </c>
      <c r="P62" s="123" t="n">
        <v>0.51</v>
      </c>
      <c r="Q62" s="124"/>
      <c r="R62" s="124"/>
      <c r="S62" s="124"/>
      <c r="T62" s="124"/>
      <c r="U62" s="124"/>
      <c r="V62" s="124"/>
      <c r="W62" s="124"/>
      <c r="X62" s="124"/>
      <c r="Y62" s="124"/>
      <c r="Z62" s="121"/>
    </row>
    <row r="63" customFormat="false" ht="15" hidden="false" customHeight="false" outlineLevel="0" collapsed="false">
      <c r="A63" s="68" t="e">
        <f aca="false">VLOOKUP(#REF!,'[1]Listas Desplegables'!$H$3:$J$7,2,FALSE())</f>
        <v>#VALUE!</v>
      </c>
      <c r="B63" s="68" t="e">
        <f aca="false">VLOOKUP(#REF!,'[1]Listas Desplegables'!$H$3:$J$7,3,FALSE())</f>
        <v>#VALUE!</v>
      </c>
      <c r="C63" s="85" t="n">
        <v>58</v>
      </c>
      <c r="D63" s="94" t="s">
        <v>828</v>
      </c>
      <c r="E63" s="94" t="s">
        <v>301</v>
      </c>
      <c r="F63" s="109" t="n">
        <v>34.5</v>
      </c>
      <c r="G63" s="94" t="s">
        <v>762</v>
      </c>
      <c r="H63" s="94" t="s">
        <v>822</v>
      </c>
      <c r="I63" s="94" t="s">
        <v>221</v>
      </c>
      <c r="J63" s="122"/>
      <c r="K63" s="123" t="n">
        <v>0.05</v>
      </c>
      <c r="L63" s="123" t="n">
        <v>0.08</v>
      </c>
      <c r="M63" s="123" t="n">
        <v>0.6</v>
      </c>
      <c r="N63" s="123" t="n">
        <v>0.39</v>
      </c>
      <c r="O63" s="123" t="n">
        <v>0.03</v>
      </c>
      <c r="P63" s="123" t="n">
        <v>0.1</v>
      </c>
      <c r="Q63" s="124"/>
      <c r="R63" s="124"/>
      <c r="S63" s="124"/>
      <c r="T63" s="124"/>
      <c r="U63" s="124"/>
      <c r="V63" s="124"/>
      <c r="W63" s="124"/>
      <c r="X63" s="124"/>
      <c r="Y63" s="124"/>
      <c r="Z63" s="121"/>
    </row>
    <row r="64" customFormat="false" ht="15" hidden="false" customHeight="false" outlineLevel="0" collapsed="false">
      <c r="A64" s="68" t="e">
        <f aca="false">VLOOKUP(#REF!,'[1]Listas Desplegables'!$H$3:$J$7,2,FALSE())</f>
        <v>#VALUE!</v>
      </c>
      <c r="B64" s="68" t="e">
        <f aca="false">VLOOKUP(#REF!,'[1]Listas Desplegables'!$H$3:$J$7,3,FALSE())</f>
        <v>#VALUE!</v>
      </c>
      <c r="C64" s="85" t="n">
        <v>59</v>
      </c>
      <c r="D64" s="94" t="s">
        <v>263</v>
      </c>
      <c r="E64" s="94" t="s">
        <v>263</v>
      </c>
      <c r="F64" s="109" t="n">
        <v>13.8</v>
      </c>
      <c r="G64" s="94" t="s">
        <v>762</v>
      </c>
      <c r="H64" s="94" t="s">
        <v>829</v>
      </c>
      <c r="I64" s="94" t="s">
        <v>221</v>
      </c>
      <c r="J64" s="122"/>
      <c r="K64" s="123" t="n">
        <v>8.28</v>
      </c>
      <c r="L64" s="123" t="n">
        <v>1.981</v>
      </c>
      <c r="M64" s="123" t="n">
        <v>7.938</v>
      </c>
      <c r="N64" s="123" t="n">
        <v>1.955</v>
      </c>
      <c r="O64" s="123" t="n">
        <v>8.864</v>
      </c>
      <c r="P64" s="123" t="n">
        <v>1.873</v>
      </c>
      <c r="Q64" s="124"/>
      <c r="R64" s="124"/>
      <c r="S64" s="124"/>
      <c r="T64" s="124"/>
      <c r="U64" s="124"/>
      <c r="V64" s="124"/>
      <c r="W64" s="124"/>
      <c r="X64" s="124"/>
      <c r="Y64" s="124"/>
      <c r="Z64" s="121"/>
    </row>
    <row r="65" customFormat="false" ht="15" hidden="false" customHeight="false" outlineLevel="0" collapsed="false">
      <c r="A65" s="68" t="e">
        <f aca="false">VLOOKUP(#REF!,'[1]Listas Desplegables'!$H$3:$J$7,2,FALSE())</f>
        <v>#VALUE!</v>
      </c>
      <c r="B65" s="68" t="e">
        <f aca="false">VLOOKUP(#REF!,'[1]Listas Desplegables'!$H$3:$J$7,3,FALSE())</f>
        <v>#VALUE!</v>
      </c>
      <c r="C65" s="85" t="n">
        <v>60</v>
      </c>
      <c r="D65" s="94" t="s">
        <v>830</v>
      </c>
      <c r="E65" s="94" t="s">
        <v>830</v>
      </c>
      <c r="F65" s="109" t="n">
        <v>13.8</v>
      </c>
      <c r="G65" s="94" t="s">
        <v>762</v>
      </c>
      <c r="H65" s="94" t="s">
        <v>829</v>
      </c>
      <c r="I65" s="94" t="s">
        <v>221</v>
      </c>
      <c r="J65" s="122"/>
      <c r="K65" s="123" t="n">
        <v>4.816</v>
      </c>
      <c r="L65" s="123" t="n">
        <v>1.039</v>
      </c>
      <c r="M65" s="123" t="n">
        <v>4.834</v>
      </c>
      <c r="N65" s="123" t="n">
        <v>1.069</v>
      </c>
      <c r="O65" s="123" t="n">
        <v>5.24</v>
      </c>
      <c r="P65" s="123" t="n">
        <v>0.954</v>
      </c>
      <c r="Q65" s="124"/>
      <c r="R65" s="124"/>
      <c r="S65" s="124"/>
      <c r="T65" s="124"/>
      <c r="U65" s="124"/>
      <c r="V65" s="124"/>
      <c r="W65" s="124"/>
      <c r="X65" s="124"/>
      <c r="Y65" s="124"/>
      <c r="Z65" s="121"/>
    </row>
    <row r="66" customFormat="false" ht="15" hidden="false" customHeight="false" outlineLevel="0" collapsed="false">
      <c r="A66" s="68" t="e">
        <f aca="false">VLOOKUP(#REF!,'[1]Listas Desplegables'!$H$3:$J$7,2,FALSE())</f>
        <v>#VALUE!</v>
      </c>
      <c r="B66" s="68" t="e">
        <f aca="false">VLOOKUP(#REF!,'[1]Listas Desplegables'!$H$3:$J$7,3,FALSE())</f>
        <v>#VALUE!</v>
      </c>
      <c r="C66" s="85" t="n">
        <v>61</v>
      </c>
      <c r="D66" s="94" t="s">
        <v>831</v>
      </c>
      <c r="E66" s="94" t="s">
        <v>362</v>
      </c>
      <c r="F66" s="109" t="n">
        <v>13.8</v>
      </c>
      <c r="G66" s="94" t="s">
        <v>762</v>
      </c>
      <c r="H66" s="94" t="s">
        <v>829</v>
      </c>
      <c r="I66" s="94" t="s">
        <v>221</v>
      </c>
      <c r="J66" s="122"/>
      <c r="K66" s="123" t="n">
        <v>4.016</v>
      </c>
      <c r="L66" s="123" t="n">
        <v>0.756</v>
      </c>
      <c r="M66" s="123" t="n">
        <v>4.026</v>
      </c>
      <c r="N66" s="123" t="n">
        <v>0.888</v>
      </c>
      <c r="O66" s="123" t="n">
        <v>3.563</v>
      </c>
      <c r="P66" s="123" t="n">
        <v>0.589</v>
      </c>
      <c r="Q66" s="124"/>
      <c r="R66" s="124"/>
      <c r="S66" s="124"/>
      <c r="T66" s="124"/>
      <c r="U66" s="124"/>
      <c r="V66" s="124"/>
      <c r="W66" s="124"/>
      <c r="X66" s="124"/>
      <c r="Y66" s="124"/>
      <c r="Z66" s="121"/>
    </row>
    <row r="67" customFormat="false" ht="15" hidden="false" customHeight="false" outlineLevel="0" collapsed="false">
      <c r="A67" s="68" t="e">
        <f aca="false">VLOOKUP(#REF!,'[1]Listas Desplegables'!$H$3:$J$7,2,FALSE())</f>
        <v>#VALUE!</v>
      </c>
      <c r="B67" s="68" t="e">
        <f aca="false">VLOOKUP(#REF!,'[1]Listas Desplegables'!$H$3:$J$7,3,FALSE())</f>
        <v>#VALUE!</v>
      </c>
      <c r="C67" s="85" t="n">
        <v>62</v>
      </c>
      <c r="D67" s="94" t="s">
        <v>832</v>
      </c>
      <c r="E67" s="94" t="s">
        <v>362</v>
      </c>
      <c r="F67" s="109" t="n">
        <v>13.8</v>
      </c>
      <c r="G67" s="94" t="s">
        <v>762</v>
      </c>
      <c r="H67" s="94" t="s">
        <v>829</v>
      </c>
      <c r="I67" s="94" t="s">
        <v>221</v>
      </c>
      <c r="J67" s="122"/>
      <c r="K67" s="123" t="n">
        <v>2.599</v>
      </c>
      <c r="L67" s="123" t="n">
        <v>0.528</v>
      </c>
      <c r="M67" s="123" t="n">
        <v>3.138</v>
      </c>
      <c r="N67" s="123" t="n">
        <v>0.616</v>
      </c>
      <c r="O67" s="123" t="n">
        <v>2.774</v>
      </c>
      <c r="P67" s="123" t="n">
        <v>0.518</v>
      </c>
      <c r="Q67" s="124"/>
      <c r="R67" s="124"/>
      <c r="S67" s="124"/>
      <c r="T67" s="124"/>
      <c r="U67" s="124"/>
      <c r="V67" s="124"/>
      <c r="W67" s="124"/>
      <c r="X67" s="124"/>
      <c r="Y67" s="124"/>
      <c r="Z67" s="121"/>
    </row>
    <row r="68" customFormat="false" ht="15" hidden="false" customHeight="false" outlineLevel="0" collapsed="false">
      <c r="A68" s="68" t="e">
        <f aca="false">VLOOKUP(#REF!,'[1]Listas Desplegables'!$H$3:$J$7,2,FALSE())</f>
        <v>#VALUE!</v>
      </c>
      <c r="B68" s="68" t="e">
        <f aca="false">VLOOKUP(#REF!,'[1]Listas Desplegables'!$H$3:$J$7,3,FALSE())</f>
        <v>#VALUE!</v>
      </c>
      <c r="C68" s="85" t="n">
        <v>63</v>
      </c>
      <c r="D68" s="94" t="s">
        <v>343</v>
      </c>
      <c r="E68" s="94" t="s">
        <v>343</v>
      </c>
      <c r="F68" s="109" t="n">
        <v>13.8</v>
      </c>
      <c r="G68" s="94" t="s">
        <v>762</v>
      </c>
      <c r="H68" s="94" t="s">
        <v>833</v>
      </c>
      <c r="I68" s="94" t="s">
        <v>221</v>
      </c>
      <c r="J68" s="122"/>
      <c r="K68" s="123" t="n">
        <v>11.32</v>
      </c>
      <c r="L68" s="123" t="n">
        <v>3.293</v>
      </c>
      <c r="M68" s="123" t="n">
        <v>10.106</v>
      </c>
      <c r="N68" s="123" t="n">
        <v>2.88</v>
      </c>
      <c r="O68" s="123" t="n">
        <v>12.615</v>
      </c>
      <c r="P68" s="123" t="n">
        <v>3.03</v>
      </c>
      <c r="Q68" s="124"/>
      <c r="R68" s="124"/>
      <c r="S68" s="124"/>
      <c r="T68" s="124"/>
      <c r="U68" s="124"/>
      <c r="V68" s="124"/>
      <c r="W68" s="124"/>
      <c r="X68" s="124"/>
      <c r="Y68" s="124"/>
      <c r="Z68" s="121"/>
    </row>
    <row r="69" customFormat="false" ht="15" hidden="false" customHeight="false" outlineLevel="0" collapsed="false">
      <c r="A69" s="68" t="e">
        <f aca="false">VLOOKUP(#REF!,'[1]Listas Desplegables'!$H$3:$J$7,2,FALSE())</f>
        <v>#VALUE!</v>
      </c>
      <c r="B69" s="68" t="e">
        <f aca="false">VLOOKUP(#REF!,'[1]Listas Desplegables'!$H$3:$J$7,3,FALSE())</f>
        <v>#VALUE!</v>
      </c>
      <c r="C69" s="85" t="n">
        <v>64</v>
      </c>
      <c r="D69" s="94" t="s">
        <v>345</v>
      </c>
      <c r="E69" s="94" t="s">
        <v>345</v>
      </c>
      <c r="F69" s="109" t="n">
        <v>13.8</v>
      </c>
      <c r="G69" s="94" t="s">
        <v>762</v>
      </c>
      <c r="H69" s="94" t="s">
        <v>833</v>
      </c>
      <c r="I69" s="94" t="s">
        <v>221</v>
      </c>
      <c r="J69" s="122"/>
      <c r="K69" s="123" t="n">
        <v>8.923</v>
      </c>
      <c r="L69" s="123" t="n">
        <v>2.324</v>
      </c>
      <c r="M69" s="123" t="n">
        <v>8.777</v>
      </c>
      <c r="N69" s="123" t="n">
        <v>2.512</v>
      </c>
      <c r="O69" s="123" t="n">
        <v>9.965</v>
      </c>
      <c r="P69" s="123" t="n">
        <v>1.917</v>
      </c>
      <c r="Q69" s="124"/>
      <c r="R69" s="124"/>
      <c r="S69" s="124"/>
      <c r="T69" s="124"/>
      <c r="U69" s="124"/>
      <c r="V69" s="124"/>
      <c r="W69" s="124"/>
      <c r="X69" s="124"/>
      <c r="Y69" s="124"/>
      <c r="Z69" s="121"/>
    </row>
    <row r="70" customFormat="false" ht="15" hidden="false" customHeight="false" outlineLevel="0" collapsed="false">
      <c r="A70" s="68" t="e">
        <f aca="false">VLOOKUP(#REF!,'[1]Listas Desplegables'!$H$3:$J$7,2,FALSE())</f>
        <v>#VALUE!</v>
      </c>
      <c r="B70" s="68" t="e">
        <f aca="false">VLOOKUP(#REF!,'[1]Listas Desplegables'!$H$3:$J$7,3,FALSE())</f>
        <v>#VALUE!</v>
      </c>
      <c r="C70" s="85" t="n">
        <v>65</v>
      </c>
      <c r="D70" s="94" t="s">
        <v>834</v>
      </c>
      <c r="E70" s="94" t="s">
        <v>342</v>
      </c>
      <c r="F70" s="109" t="n">
        <v>13.8</v>
      </c>
      <c r="G70" s="94" t="s">
        <v>762</v>
      </c>
      <c r="H70" s="94" t="s">
        <v>833</v>
      </c>
      <c r="I70" s="94" t="s">
        <v>221</v>
      </c>
      <c r="J70" s="122"/>
      <c r="K70" s="123" t="n">
        <v>7.919</v>
      </c>
      <c r="L70" s="123" t="n">
        <v>1.771</v>
      </c>
      <c r="M70" s="123" t="n">
        <v>8.735</v>
      </c>
      <c r="N70" s="123" t="n">
        <v>2.077</v>
      </c>
      <c r="O70" s="123" t="n">
        <v>8.562</v>
      </c>
      <c r="P70" s="123" t="n">
        <v>1.531</v>
      </c>
      <c r="Q70" s="124"/>
      <c r="R70" s="124"/>
      <c r="S70" s="124"/>
      <c r="T70" s="124"/>
      <c r="U70" s="124"/>
      <c r="V70" s="124"/>
      <c r="W70" s="124"/>
      <c r="X70" s="124"/>
      <c r="Y70" s="124"/>
      <c r="Z70" s="121"/>
    </row>
    <row r="71" customFormat="false" ht="15" hidden="false" customHeight="false" outlineLevel="0" collapsed="false">
      <c r="A71" s="68" t="e">
        <f aca="false">VLOOKUP(#REF!,'[1]Listas Desplegables'!$H$3:$J$7,2,FALSE())</f>
        <v>#VALUE!</v>
      </c>
      <c r="B71" s="68" t="e">
        <f aca="false">VLOOKUP(#REF!,'[1]Listas Desplegables'!$H$3:$J$7,3,FALSE())</f>
        <v>#VALUE!</v>
      </c>
      <c r="C71" s="85" t="n">
        <v>66</v>
      </c>
      <c r="D71" s="94" t="s">
        <v>835</v>
      </c>
      <c r="E71" s="94" t="s">
        <v>342</v>
      </c>
      <c r="F71" s="109" t="n">
        <v>13.8</v>
      </c>
      <c r="G71" s="94" t="s">
        <v>762</v>
      </c>
      <c r="H71" s="94" t="s">
        <v>833</v>
      </c>
      <c r="I71" s="94" t="s">
        <v>221</v>
      </c>
      <c r="J71" s="122"/>
      <c r="K71" s="123" t="n">
        <v>7.297</v>
      </c>
      <c r="L71" s="123" t="n">
        <v>1.49</v>
      </c>
      <c r="M71" s="123" t="n">
        <v>7.551</v>
      </c>
      <c r="N71" s="123" t="n">
        <v>1.606</v>
      </c>
      <c r="O71" s="123" t="n">
        <v>7.553</v>
      </c>
      <c r="P71" s="123" t="n">
        <v>1.282</v>
      </c>
      <c r="Q71" s="124"/>
      <c r="R71" s="124"/>
      <c r="S71" s="124"/>
      <c r="T71" s="124"/>
      <c r="U71" s="124"/>
      <c r="V71" s="124"/>
      <c r="W71" s="124"/>
      <c r="X71" s="124"/>
      <c r="Y71" s="124"/>
      <c r="Z71" s="121"/>
    </row>
    <row r="72" customFormat="false" ht="15" hidden="false" customHeight="false" outlineLevel="0" collapsed="false">
      <c r="A72" s="68" t="e">
        <f aca="false">VLOOKUP(#REF!,'[1]Listas Desplegables'!$H$3:$J$7,2,FALSE())</f>
        <v>#VALUE!</v>
      </c>
      <c r="B72" s="68" t="e">
        <f aca="false">VLOOKUP(#REF!,'[1]Listas Desplegables'!$H$3:$J$7,3,FALSE())</f>
        <v>#VALUE!</v>
      </c>
      <c r="C72" s="85" t="n">
        <v>67</v>
      </c>
      <c r="D72" s="94" t="s">
        <v>836</v>
      </c>
      <c r="E72" s="94" t="s">
        <v>264</v>
      </c>
      <c r="F72" s="109" t="n">
        <v>13.8</v>
      </c>
      <c r="G72" s="94" t="s">
        <v>762</v>
      </c>
      <c r="H72" s="94" t="s">
        <v>837</v>
      </c>
      <c r="I72" s="94" t="s">
        <v>221</v>
      </c>
      <c r="J72" s="122"/>
      <c r="K72" s="123" t="n">
        <v>17.994</v>
      </c>
      <c r="L72" s="123" t="n">
        <v>2.822</v>
      </c>
      <c r="M72" s="123" t="n">
        <v>17.019</v>
      </c>
      <c r="N72" s="123" t="n">
        <v>3.041</v>
      </c>
      <c r="O72" s="123" t="n">
        <v>19.546</v>
      </c>
      <c r="P72" s="123" t="n">
        <v>2.772</v>
      </c>
      <c r="Q72" s="124"/>
      <c r="R72" s="124"/>
      <c r="S72" s="124"/>
      <c r="T72" s="124"/>
      <c r="U72" s="124"/>
      <c r="V72" s="124"/>
      <c r="W72" s="124"/>
      <c r="X72" s="124"/>
      <c r="Y72" s="124"/>
      <c r="Z72" s="121"/>
    </row>
    <row r="73" customFormat="false" ht="15" hidden="false" customHeight="false" outlineLevel="0" collapsed="false">
      <c r="A73" s="68" t="e">
        <f aca="false">VLOOKUP(#REF!,'[1]Listas Desplegables'!$H$3:$J$7,2,FALSE())</f>
        <v>#VALUE!</v>
      </c>
      <c r="B73" s="68" t="e">
        <f aca="false">VLOOKUP(#REF!,'[1]Listas Desplegables'!$H$3:$J$7,3,FALSE())</f>
        <v>#VALUE!</v>
      </c>
      <c r="C73" s="85" t="n">
        <v>68</v>
      </c>
      <c r="D73" s="94" t="s">
        <v>838</v>
      </c>
      <c r="E73" s="94" t="s">
        <v>264</v>
      </c>
      <c r="F73" s="109" t="n">
        <v>13.8</v>
      </c>
      <c r="G73" s="94" t="s">
        <v>762</v>
      </c>
      <c r="H73" s="94" t="s">
        <v>837</v>
      </c>
      <c r="I73" s="94" t="s">
        <v>221</v>
      </c>
      <c r="J73" s="122"/>
      <c r="K73" s="123" t="n">
        <v>21.25</v>
      </c>
      <c r="L73" s="123" t="n">
        <v>6.27</v>
      </c>
      <c r="M73" s="123" t="n">
        <v>21.01</v>
      </c>
      <c r="N73" s="123" t="n">
        <v>6.58</v>
      </c>
      <c r="O73" s="123" t="n">
        <v>23.93</v>
      </c>
      <c r="P73" s="123" t="n">
        <v>6.79</v>
      </c>
      <c r="Q73" s="124"/>
      <c r="R73" s="124"/>
      <c r="S73" s="124"/>
      <c r="T73" s="124"/>
      <c r="U73" s="124"/>
      <c r="V73" s="124"/>
      <c r="W73" s="124"/>
      <c r="X73" s="124"/>
      <c r="Y73" s="124"/>
      <c r="Z73" s="121"/>
    </row>
    <row r="74" customFormat="false" ht="15" hidden="false" customHeight="false" outlineLevel="0" collapsed="false">
      <c r="A74" s="68" t="e">
        <f aca="false">VLOOKUP(#REF!,'[1]Listas Desplegables'!$H$3:$J$7,2,FALSE())</f>
        <v>#VALUE!</v>
      </c>
      <c r="B74" s="68" t="e">
        <f aca="false">VLOOKUP(#REF!,'[1]Listas Desplegables'!$H$3:$J$7,3,FALSE())</f>
        <v>#VALUE!</v>
      </c>
      <c r="C74" s="85" t="n">
        <v>69</v>
      </c>
      <c r="D74" s="94" t="s">
        <v>839</v>
      </c>
      <c r="E74" s="94" t="s">
        <v>263</v>
      </c>
      <c r="F74" s="109" t="n">
        <v>110</v>
      </c>
      <c r="G74" s="94" t="s">
        <v>801</v>
      </c>
      <c r="H74" s="94" t="s">
        <v>829</v>
      </c>
      <c r="I74" s="94" t="s">
        <v>221</v>
      </c>
      <c r="J74" s="122"/>
      <c r="K74" s="123" t="n">
        <v>3.72</v>
      </c>
      <c r="L74" s="123" t="n">
        <v>4.45</v>
      </c>
      <c r="M74" s="123" t="n">
        <v>4</v>
      </c>
      <c r="N74" s="123" t="n">
        <v>4</v>
      </c>
      <c r="O74" s="123" t="n">
        <v>4.49</v>
      </c>
      <c r="P74" s="123" t="n">
        <v>3.74</v>
      </c>
      <c r="Q74" s="124"/>
      <c r="R74" s="124"/>
      <c r="S74" s="124"/>
      <c r="T74" s="124"/>
      <c r="U74" s="124"/>
      <c r="V74" s="124"/>
      <c r="W74" s="124"/>
      <c r="X74" s="124"/>
      <c r="Y74" s="124"/>
      <c r="Z74" s="121"/>
    </row>
    <row r="75" customFormat="false" ht="15" hidden="false" customHeight="false" outlineLevel="0" collapsed="false">
      <c r="A75" s="68" t="e">
        <f aca="false">VLOOKUP(#REF!,'[1]Listas Desplegables'!$H$3:$J$7,2,FALSE())</f>
        <v>#VALUE!</v>
      </c>
      <c r="B75" s="68" t="e">
        <f aca="false">VLOOKUP(#REF!,'[1]Listas Desplegables'!$H$3:$J$7,3,FALSE())</f>
        <v>#VALUE!</v>
      </c>
      <c r="C75" s="85" t="n">
        <v>70</v>
      </c>
      <c r="D75" s="94" t="s">
        <v>840</v>
      </c>
      <c r="E75" s="94" t="s">
        <v>263</v>
      </c>
      <c r="F75" s="109" t="n">
        <v>110</v>
      </c>
      <c r="G75" s="94" t="s">
        <v>801</v>
      </c>
      <c r="H75" s="94" t="s">
        <v>829</v>
      </c>
      <c r="I75" s="94" t="s">
        <v>221</v>
      </c>
      <c r="J75" s="122"/>
      <c r="K75" s="123" t="n">
        <v>22.47</v>
      </c>
      <c r="L75" s="123" t="n">
        <v>9.93</v>
      </c>
      <c r="M75" s="123" t="n">
        <v>26</v>
      </c>
      <c r="N75" s="123" t="n">
        <v>14</v>
      </c>
      <c r="O75" s="123" t="n">
        <v>16.66</v>
      </c>
      <c r="P75" s="123" t="n">
        <v>10.84</v>
      </c>
      <c r="Q75" s="124"/>
      <c r="R75" s="124"/>
      <c r="S75" s="124"/>
      <c r="T75" s="124"/>
      <c r="U75" s="124"/>
      <c r="V75" s="124"/>
      <c r="W75" s="124"/>
      <c r="X75" s="124"/>
      <c r="Y75" s="124"/>
      <c r="Z75" s="121"/>
    </row>
    <row r="76" customFormat="false" ht="15" hidden="false" customHeight="false" outlineLevel="0" collapsed="false">
      <c r="A76" s="68" t="e">
        <f aca="false">VLOOKUP(#REF!,'[1]Listas Desplegables'!$H$3:$J$7,2,FALSE())</f>
        <v>#VALUE!</v>
      </c>
      <c r="B76" s="68" t="e">
        <f aca="false">VLOOKUP(#REF!,'[1]Listas Desplegables'!$H$3:$J$7,3,FALSE())</f>
        <v>#VALUE!</v>
      </c>
      <c r="C76" s="85" t="n">
        <v>71</v>
      </c>
      <c r="D76" s="94" t="s">
        <v>841</v>
      </c>
      <c r="E76" s="94" t="s">
        <v>267</v>
      </c>
      <c r="F76" s="109" t="n">
        <v>13.8</v>
      </c>
      <c r="G76" s="94" t="s">
        <v>762</v>
      </c>
      <c r="H76" s="94" t="s">
        <v>842</v>
      </c>
      <c r="I76" s="94" t="s">
        <v>221</v>
      </c>
      <c r="J76" s="122"/>
      <c r="K76" s="123" t="n">
        <v>18.712</v>
      </c>
      <c r="L76" s="123" t="n">
        <v>4.915</v>
      </c>
      <c r="M76" s="123" t="n">
        <v>21.738</v>
      </c>
      <c r="N76" s="123" t="n">
        <v>5.622</v>
      </c>
      <c r="O76" s="123" t="n">
        <v>22.107</v>
      </c>
      <c r="P76" s="123" t="n">
        <v>4.984</v>
      </c>
      <c r="Q76" s="124"/>
      <c r="R76" s="124"/>
      <c r="S76" s="124"/>
      <c r="T76" s="124"/>
      <c r="U76" s="124"/>
      <c r="V76" s="124"/>
      <c r="W76" s="124"/>
      <c r="X76" s="124"/>
      <c r="Y76" s="124"/>
      <c r="Z76" s="121"/>
    </row>
    <row r="77" customFormat="false" ht="15" hidden="false" customHeight="false" outlineLevel="0" collapsed="false">
      <c r="A77" s="68" t="e">
        <f aca="false">VLOOKUP(#REF!,'[1]Listas Desplegables'!$H$3:$J$7,2,FALSE())</f>
        <v>#VALUE!</v>
      </c>
      <c r="B77" s="68" t="e">
        <f aca="false">VLOOKUP(#REF!,'[1]Listas Desplegables'!$H$3:$J$7,3,FALSE())</f>
        <v>#VALUE!</v>
      </c>
      <c r="C77" s="85" t="n">
        <v>72</v>
      </c>
      <c r="D77" s="94" t="s">
        <v>843</v>
      </c>
      <c r="E77" s="94" t="s">
        <v>267</v>
      </c>
      <c r="F77" s="109" t="n">
        <v>13.8</v>
      </c>
      <c r="G77" s="94" t="s">
        <v>762</v>
      </c>
      <c r="H77" s="94" t="s">
        <v>842</v>
      </c>
      <c r="I77" s="94" t="s">
        <v>221</v>
      </c>
      <c r="J77" s="122"/>
      <c r="K77" s="123" t="n">
        <v>22.819</v>
      </c>
      <c r="L77" s="123" t="n">
        <v>5.693</v>
      </c>
      <c r="M77" s="123" t="n">
        <v>22.354</v>
      </c>
      <c r="N77" s="123" t="n">
        <v>5.861</v>
      </c>
      <c r="O77" s="123" t="n">
        <v>24.149</v>
      </c>
      <c r="P77" s="123" t="n">
        <v>5.395</v>
      </c>
      <c r="Q77" s="124"/>
      <c r="R77" s="124"/>
      <c r="S77" s="124"/>
      <c r="T77" s="124"/>
      <c r="U77" s="124"/>
      <c r="V77" s="124"/>
      <c r="W77" s="124"/>
      <c r="X77" s="124"/>
      <c r="Y77" s="124"/>
      <c r="Z77" s="121"/>
    </row>
    <row r="78" customFormat="false" ht="15" hidden="false" customHeight="false" outlineLevel="0" collapsed="false">
      <c r="A78" s="68" t="e">
        <f aca="false">VLOOKUP(#REF!,'[1]Listas Desplegables'!$H$3:$J$7,2,FALSE())</f>
        <v>#VALUE!</v>
      </c>
      <c r="B78" s="68" t="e">
        <f aca="false">VLOOKUP(#REF!,'[1]Listas Desplegables'!$H$3:$J$7,3,FALSE())</f>
        <v>#VALUE!</v>
      </c>
      <c r="C78" s="85" t="n">
        <v>73</v>
      </c>
      <c r="D78" s="94" t="s">
        <v>844</v>
      </c>
      <c r="E78" s="94" t="s">
        <v>267</v>
      </c>
      <c r="F78" s="109" t="n">
        <v>13.8</v>
      </c>
      <c r="G78" s="94" t="s">
        <v>762</v>
      </c>
      <c r="H78" s="94" t="s">
        <v>842</v>
      </c>
      <c r="I78" s="94" t="s">
        <v>221</v>
      </c>
      <c r="J78" s="122"/>
      <c r="K78" s="123" t="n">
        <v>11.407</v>
      </c>
      <c r="L78" s="123" t="n">
        <v>2.601</v>
      </c>
      <c r="M78" s="123" t="n">
        <v>10.729</v>
      </c>
      <c r="N78" s="123" t="n">
        <v>2.827</v>
      </c>
      <c r="O78" s="123" t="n">
        <v>13.244</v>
      </c>
      <c r="P78" s="123" t="n">
        <v>2.783</v>
      </c>
      <c r="Q78" s="124"/>
      <c r="R78" s="124"/>
      <c r="S78" s="124"/>
      <c r="T78" s="124"/>
      <c r="U78" s="124"/>
      <c r="V78" s="124"/>
      <c r="W78" s="124"/>
      <c r="X78" s="124"/>
      <c r="Y78" s="124"/>
      <c r="Z78" s="121"/>
    </row>
    <row r="79" customFormat="false" ht="15" hidden="false" customHeight="false" outlineLevel="0" collapsed="false">
      <c r="A79" s="68" t="e">
        <f aca="false">VLOOKUP(#REF!,'[1]Listas Desplegables'!$H$3:$J$7,2,FALSE())</f>
        <v>#VALUE!</v>
      </c>
      <c r="B79" s="68" t="e">
        <f aca="false">VLOOKUP(#REF!,'[1]Listas Desplegables'!$H$3:$J$7,3,FALSE())</f>
        <v>#VALUE!</v>
      </c>
      <c r="C79" s="85" t="n">
        <v>74</v>
      </c>
      <c r="D79" s="94" t="s">
        <v>375</v>
      </c>
      <c r="E79" s="94" t="s">
        <v>375</v>
      </c>
      <c r="F79" s="109" t="n">
        <v>13.8</v>
      </c>
      <c r="G79" s="94" t="s">
        <v>762</v>
      </c>
      <c r="H79" s="94" t="s">
        <v>842</v>
      </c>
      <c r="I79" s="94" t="s">
        <v>221</v>
      </c>
      <c r="J79" s="122"/>
      <c r="K79" s="123" t="n">
        <v>2.654</v>
      </c>
      <c r="L79" s="123" t="n">
        <v>0.813</v>
      </c>
      <c r="M79" s="123" t="n">
        <v>3.2</v>
      </c>
      <c r="N79" s="123" t="n">
        <v>1.148</v>
      </c>
      <c r="O79" s="123" t="n">
        <v>3.024</v>
      </c>
      <c r="P79" s="123" t="n">
        <v>0.833</v>
      </c>
      <c r="Q79" s="124"/>
      <c r="R79" s="124"/>
      <c r="S79" s="124"/>
      <c r="T79" s="124"/>
      <c r="U79" s="124"/>
      <c r="V79" s="124"/>
      <c r="W79" s="124"/>
      <c r="X79" s="124"/>
      <c r="Y79" s="124"/>
      <c r="Z79" s="121"/>
    </row>
    <row r="80" customFormat="false" ht="15" hidden="false" customHeight="false" outlineLevel="0" collapsed="false">
      <c r="A80" s="68" t="e">
        <f aca="false">VLOOKUP(#REF!,'[1]Listas Desplegables'!$H$3:$J$7,2,FALSE())</f>
        <v>#VALUE!</v>
      </c>
      <c r="B80" s="68" t="e">
        <f aca="false">VLOOKUP(#REF!,'[1]Listas Desplegables'!$H$3:$J$7,3,FALSE())</f>
        <v>#VALUE!</v>
      </c>
      <c r="C80" s="85" t="n">
        <v>75</v>
      </c>
      <c r="D80" s="94" t="s">
        <v>845</v>
      </c>
      <c r="E80" s="94" t="s">
        <v>845</v>
      </c>
      <c r="F80" s="109" t="n">
        <v>13.8</v>
      </c>
      <c r="G80" s="94" t="s">
        <v>762</v>
      </c>
      <c r="H80" s="94" t="s">
        <v>842</v>
      </c>
      <c r="I80" s="94" t="s">
        <v>221</v>
      </c>
      <c r="J80" s="122"/>
      <c r="K80" s="123" t="n">
        <v>0.161</v>
      </c>
      <c r="L80" s="123" t="n">
        <v>0.031</v>
      </c>
      <c r="M80" s="123" t="n">
        <v>0.141</v>
      </c>
      <c r="N80" s="123" t="n">
        <v>0.033</v>
      </c>
      <c r="O80" s="123" t="n">
        <v>0.157</v>
      </c>
      <c r="P80" s="123" t="n">
        <v>0.021</v>
      </c>
      <c r="Q80" s="124"/>
      <c r="R80" s="124"/>
      <c r="S80" s="124"/>
      <c r="T80" s="124"/>
      <c r="U80" s="124"/>
      <c r="V80" s="124"/>
      <c r="W80" s="124"/>
      <c r="X80" s="124"/>
      <c r="Y80" s="124"/>
      <c r="Z80" s="121"/>
    </row>
    <row r="81" customFormat="false" ht="15" hidden="false" customHeight="false" outlineLevel="0" collapsed="false">
      <c r="A81" s="68" t="e">
        <f aca="false">VLOOKUP(#REF!,'[1]Listas Desplegables'!$H$3:$J$7,2,FALSE())</f>
        <v>#VALUE!</v>
      </c>
      <c r="B81" s="68" t="e">
        <f aca="false">VLOOKUP(#REF!,'[1]Listas Desplegables'!$H$3:$J$7,3,FALSE())</f>
        <v>#VALUE!</v>
      </c>
      <c r="C81" s="85" t="n">
        <v>76</v>
      </c>
      <c r="D81" s="94" t="s">
        <v>331</v>
      </c>
      <c r="E81" s="94" t="s">
        <v>331</v>
      </c>
      <c r="F81" s="109" t="n">
        <v>13.8</v>
      </c>
      <c r="G81" s="94" t="s">
        <v>762</v>
      </c>
      <c r="H81" s="94" t="s">
        <v>842</v>
      </c>
      <c r="I81" s="94" t="s">
        <v>221</v>
      </c>
      <c r="J81" s="122"/>
      <c r="K81" s="123" t="n">
        <v>2.995</v>
      </c>
      <c r="L81" s="123" t="n">
        <v>0.86</v>
      </c>
      <c r="M81" s="123" t="n">
        <v>2.531</v>
      </c>
      <c r="N81" s="123" t="n">
        <v>0.8</v>
      </c>
      <c r="O81" s="123" t="n">
        <v>2.927</v>
      </c>
      <c r="P81" s="123" t="n">
        <v>0.733</v>
      </c>
      <c r="Q81" s="124"/>
      <c r="R81" s="124"/>
      <c r="S81" s="124"/>
      <c r="T81" s="124"/>
      <c r="U81" s="124"/>
      <c r="V81" s="124"/>
      <c r="W81" s="124"/>
      <c r="X81" s="124"/>
      <c r="Y81" s="124"/>
      <c r="Z81" s="121"/>
    </row>
    <row r="82" customFormat="false" ht="15" hidden="false" customHeight="false" outlineLevel="0" collapsed="false">
      <c r="A82" s="68" t="e">
        <f aca="false">VLOOKUP(#REF!,'[1]Listas Desplegables'!$H$3:$J$7,2,FALSE())</f>
        <v>#VALUE!</v>
      </c>
      <c r="B82" s="68" t="e">
        <f aca="false">VLOOKUP(#REF!,'[1]Listas Desplegables'!$H$3:$J$7,3,FALSE())</f>
        <v>#VALUE!</v>
      </c>
      <c r="C82" s="85" t="n">
        <v>77</v>
      </c>
      <c r="D82" s="94" t="s">
        <v>332</v>
      </c>
      <c r="E82" s="94" t="s">
        <v>332</v>
      </c>
      <c r="F82" s="109" t="n">
        <v>13.8</v>
      </c>
      <c r="G82" s="94" t="s">
        <v>762</v>
      </c>
      <c r="H82" s="94" t="s">
        <v>842</v>
      </c>
      <c r="I82" s="94" t="s">
        <v>221</v>
      </c>
      <c r="J82" s="122"/>
      <c r="K82" s="123" t="n">
        <v>6.102</v>
      </c>
      <c r="L82" s="123" t="n">
        <v>1.987</v>
      </c>
      <c r="M82" s="123" t="n">
        <v>5.941</v>
      </c>
      <c r="N82" s="123" t="n">
        <v>2.055</v>
      </c>
      <c r="O82" s="123" t="n">
        <v>6.341</v>
      </c>
      <c r="P82" s="123" t="n">
        <v>1.831</v>
      </c>
      <c r="Q82" s="124"/>
      <c r="R82" s="124"/>
      <c r="S82" s="124"/>
      <c r="T82" s="124"/>
      <c r="U82" s="124"/>
      <c r="V82" s="124"/>
      <c r="W82" s="124"/>
      <c r="X82" s="124"/>
      <c r="Y82" s="124"/>
      <c r="Z82" s="121"/>
    </row>
    <row r="83" customFormat="false" ht="15" hidden="false" customHeight="false" outlineLevel="0" collapsed="false">
      <c r="A83" s="68" t="e">
        <f aca="false">VLOOKUP(#REF!,'[1]Listas Desplegables'!$H$3:$J$7,2,FALSE())</f>
        <v>#VALUE!</v>
      </c>
      <c r="B83" s="68" t="e">
        <f aca="false">VLOOKUP(#REF!,'[1]Listas Desplegables'!$H$3:$J$7,3,FALSE())</f>
        <v>#VALUE!</v>
      </c>
      <c r="C83" s="85" t="n">
        <v>78</v>
      </c>
      <c r="D83" s="94" t="s">
        <v>846</v>
      </c>
      <c r="E83" s="94" t="s">
        <v>846</v>
      </c>
      <c r="F83" s="109" t="n">
        <v>13.8</v>
      </c>
      <c r="G83" s="94" t="s">
        <v>762</v>
      </c>
      <c r="H83" s="94" t="s">
        <v>847</v>
      </c>
      <c r="I83" s="94" t="s">
        <v>221</v>
      </c>
      <c r="J83" s="122"/>
      <c r="K83" s="123" t="n">
        <v>5.125887</v>
      </c>
      <c r="L83" s="123" t="n">
        <v>1.776372</v>
      </c>
      <c r="M83" s="123" t="n">
        <v>5.223738</v>
      </c>
      <c r="N83" s="123" t="n">
        <v>1.9607835</v>
      </c>
      <c r="O83" s="123" t="n">
        <v>5.9275125</v>
      </c>
      <c r="P83" s="123" t="n">
        <v>1.8930405</v>
      </c>
      <c r="Q83" s="124"/>
      <c r="R83" s="124"/>
      <c r="S83" s="124"/>
      <c r="T83" s="124"/>
      <c r="U83" s="124"/>
      <c r="V83" s="124"/>
      <c r="W83" s="124"/>
      <c r="X83" s="124"/>
      <c r="Y83" s="124"/>
      <c r="Z83" s="121"/>
    </row>
    <row r="84" customFormat="false" ht="15" hidden="false" customHeight="false" outlineLevel="0" collapsed="false">
      <c r="A84" s="68" t="e">
        <f aca="false">VLOOKUP(#REF!,'[1]Listas Desplegables'!$H$3:$J$7,2,FALSE())</f>
        <v>#VALUE!</v>
      </c>
      <c r="B84" s="68" t="e">
        <f aca="false">VLOOKUP(#REF!,'[1]Listas Desplegables'!$H$3:$J$7,3,FALSE())</f>
        <v>#VALUE!</v>
      </c>
      <c r="C84" s="85" t="n">
        <v>79</v>
      </c>
      <c r="D84" s="94" t="s">
        <v>259</v>
      </c>
      <c r="E84" s="94" t="s">
        <v>259</v>
      </c>
      <c r="F84" s="109" t="n">
        <v>13.8</v>
      </c>
      <c r="G84" s="94" t="s">
        <v>762</v>
      </c>
      <c r="H84" s="94" t="s">
        <v>848</v>
      </c>
      <c r="I84" s="94" t="s">
        <v>221</v>
      </c>
      <c r="J84" s="122"/>
      <c r="K84" s="123" t="n">
        <v>10.016</v>
      </c>
      <c r="L84" s="123" t="n">
        <v>3.097</v>
      </c>
      <c r="M84" s="123" t="n">
        <v>8.782</v>
      </c>
      <c r="N84" s="123" t="n">
        <v>2.597</v>
      </c>
      <c r="O84" s="123" t="n">
        <v>10.996</v>
      </c>
      <c r="P84" s="123" t="n">
        <v>2.954</v>
      </c>
      <c r="Q84" s="124"/>
      <c r="R84" s="124"/>
      <c r="S84" s="124"/>
      <c r="T84" s="124"/>
      <c r="U84" s="124"/>
      <c r="V84" s="124"/>
      <c r="W84" s="124"/>
      <c r="X84" s="124"/>
      <c r="Y84" s="124"/>
      <c r="Z84" s="121"/>
    </row>
    <row r="85" customFormat="false" ht="15" hidden="false" customHeight="false" outlineLevel="0" collapsed="false">
      <c r="A85" s="68" t="e">
        <f aca="false">VLOOKUP(#REF!,'[1]Listas Desplegables'!$H$3:$J$7,2,FALSE())</f>
        <v>#VALUE!</v>
      </c>
      <c r="B85" s="68" t="e">
        <f aca="false">VLOOKUP(#REF!,'[1]Listas Desplegables'!$H$3:$J$7,3,FALSE())</f>
        <v>#VALUE!</v>
      </c>
      <c r="C85" s="85" t="n">
        <v>80</v>
      </c>
      <c r="D85" s="94" t="s">
        <v>849</v>
      </c>
      <c r="E85" s="94" t="s">
        <v>259</v>
      </c>
      <c r="F85" s="109" t="n">
        <v>13.8</v>
      </c>
      <c r="G85" s="94" t="s">
        <v>762</v>
      </c>
      <c r="H85" s="94" t="s">
        <v>848</v>
      </c>
      <c r="I85" s="94" t="s">
        <v>221</v>
      </c>
      <c r="J85" s="122"/>
      <c r="K85" s="123" t="n">
        <v>5.372</v>
      </c>
      <c r="L85" s="123" t="n">
        <v>1.692</v>
      </c>
      <c r="M85" s="123" t="n">
        <v>5.636</v>
      </c>
      <c r="N85" s="123" t="n">
        <v>1.674</v>
      </c>
      <c r="O85" s="123" t="n">
        <v>6.64</v>
      </c>
      <c r="P85" s="123" t="n">
        <v>1.703</v>
      </c>
      <c r="Q85" s="124"/>
      <c r="R85" s="124"/>
      <c r="S85" s="124"/>
      <c r="T85" s="124"/>
      <c r="U85" s="124"/>
      <c r="V85" s="124"/>
      <c r="W85" s="124"/>
      <c r="X85" s="124"/>
      <c r="Y85" s="124"/>
      <c r="Z85" s="121"/>
    </row>
    <row r="86" customFormat="false" ht="15" hidden="false" customHeight="false" outlineLevel="0" collapsed="false">
      <c r="A86" s="68" t="e">
        <f aca="false">VLOOKUP(#REF!,'[1]Listas Desplegables'!$H$3:$J$7,2,FALSE())</f>
        <v>#VALUE!</v>
      </c>
      <c r="B86" s="68" t="e">
        <f aca="false">VLOOKUP(#REF!,'[1]Listas Desplegables'!$H$3:$J$7,3,FALSE())</f>
        <v>#VALUE!</v>
      </c>
      <c r="C86" s="85" t="n">
        <v>81</v>
      </c>
      <c r="D86" s="94" t="s">
        <v>327</v>
      </c>
      <c r="E86" s="94" t="s">
        <v>327</v>
      </c>
      <c r="F86" s="109" t="n">
        <v>13.8</v>
      </c>
      <c r="G86" s="94" t="s">
        <v>762</v>
      </c>
      <c r="H86" s="94" t="s">
        <v>848</v>
      </c>
      <c r="I86" s="94" t="s">
        <v>221</v>
      </c>
      <c r="J86" s="122"/>
      <c r="K86" s="123" t="n">
        <v>6.473</v>
      </c>
      <c r="L86" s="123" t="n">
        <v>2.008</v>
      </c>
      <c r="M86" s="123" t="n">
        <v>6.354</v>
      </c>
      <c r="N86" s="123" t="n">
        <v>2.017</v>
      </c>
      <c r="O86" s="123" t="n">
        <v>4.038</v>
      </c>
      <c r="P86" s="123" t="n">
        <v>1.016</v>
      </c>
      <c r="Q86" s="124"/>
      <c r="R86" s="124"/>
      <c r="S86" s="124"/>
      <c r="T86" s="124"/>
      <c r="U86" s="124"/>
      <c r="V86" s="124"/>
      <c r="W86" s="124"/>
      <c r="X86" s="124"/>
      <c r="Y86" s="124"/>
      <c r="Z86" s="121"/>
    </row>
    <row r="87" customFormat="false" ht="15" hidden="false" customHeight="false" outlineLevel="0" collapsed="false">
      <c r="A87" s="68" t="e">
        <f aca="false">VLOOKUP(#REF!,'[1]Listas Desplegables'!$H$3:$J$7,2,FALSE())</f>
        <v>#VALUE!</v>
      </c>
      <c r="B87" s="68" t="e">
        <f aca="false">VLOOKUP(#REF!,'[1]Listas Desplegables'!$H$3:$J$7,3,FALSE())</f>
        <v>#VALUE!</v>
      </c>
      <c r="C87" s="85" t="n">
        <v>82</v>
      </c>
      <c r="D87" s="94" t="s">
        <v>328</v>
      </c>
      <c r="E87" s="94" t="s">
        <v>328</v>
      </c>
      <c r="F87" s="109" t="n">
        <v>13.8</v>
      </c>
      <c r="G87" s="94" t="s">
        <v>762</v>
      </c>
      <c r="H87" s="94" t="s">
        <v>848</v>
      </c>
      <c r="I87" s="94" t="s">
        <v>221</v>
      </c>
      <c r="J87" s="122"/>
      <c r="K87" s="123" t="n">
        <v>4.966</v>
      </c>
      <c r="L87" s="123" t="n">
        <v>2.04</v>
      </c>
      <c r="M87" s="123" t="n">
        <v>6.859</v>
      </c>
      <c r="N87" s="123" t="n">
        <v>2.812</v>
      </c>
      <c r="O87" s="123" t="n">
        <v>2.839</v>
      </c>
      <c r="P87" s="123" t="n">
        <v>1.019</v>
      </c>
      <c r="Q87" s="124"/>
      <c r="R87" s="124"/>
      <c r="S87" s="124"/>
      <c r="T87" s="124"/>
      <c r="U87" s="124"/>
      <c r="V87" s="124"/>
      <c r="W87" s="124"/>
      <c r="X87" s="124"/>
      <c r="Y87" s="124"/>
      <c r="Z87" s="121"/>
    </row>
    <row r="88" customFormat="false" ht="15" hidden="false" customHeight="false" outlineLevel="0" collapsed="false">
      <c r="A88" s="68" t="e">
        <f aca="false">VLOOKUP(#REF!,'[1]Listas Desplegables'!$H$3:$J$7,2,FALSE())</f>
        <v>#VALUE!</v>
      </c>
      <c r="B88" s="68" t="e">
        <f aca="false">VLOOKUP(#REF!,'[1]Listas Desplegables'!$H$3:$J$7,3,FALSE())</f>
        <v>#VALUE!</v>
      </c>
      <c r="C88" s="85" t="n">
        <v>83</v>
      </c>
      <c r="D88" s="94" t="s">
        <v>850</v>
      </c>
      <c r="E88" s="94" t="s">
        <v>850</v>
      </c>
      <c r="F88" s="109" t="n">
        <v>13.8</v>
      </c>
      <c r="G88" s="94" t="s">
        <v>762</v>
      </c>
      <c r="H88" s="94" t="s">
        <v>848</v>
      </c>
      <c r="I88" s="94" t="s">
        <v>221</v>
      </c>
      <c r="J88" s="122"/>
      <c r="K88" s="123" t="n">
        <v>3.148</v>
      </c>
      <c r="L88" s="123" t="n">
        <v>0.983</v>
      </c>
      <c r="M88" s="123" t="n">
        <v>3.134</v>
      </c>
      <c r="N88" s="123" t="n">
        <v>0.93</v>
      </c>
      <c r="O88" s="123" t="n">
        <v>1.708</v>
      </c>
      <c r="P88" s="123" t="n">
        <v>0.457</v>
      </c>
      <c r="Q88" s="124"/>
      <c r="R88" s="124"/>
      <c r="S88" s="124"/>
      <c r="T88" s="124"/>
      <c r="U88" s="124"/>
      <c r="V88" s="124"/>
      <c r="W88" s="124"/>
      <c r="X88" s="124"/>
      <c r="Y88" s="124"/>
      <c r="Z88" s="121"/>
    </row>
    <row r="89" customFormat="false" ht="15" hidden="false" customHeight="false" outlineLevel="0" collapsed="false">
      <c r="A89" s="68" t="e">
        <f aca="false">VLOOKUP(#REF!,'[1]Listas Desplegables'!$H$3:$J$7,2,FALSE())</f>
        <v>#VALUE!</v>
      </c>
      <c r="B89" s="68" t="e">
        <f aca="false">VLOOKUP(#REF!,'[1]Listas Desplegables'!$H$3:$J$7,3,FALSE())</f>
        <v>#VALUE!</v>
      </c>
      <c r="C89" s="85" t="n">
        <v>84</v>
      </c>
      <c r="D89" s="94" t="s">
        <v>851</v>
      </c>
      <c r="E89" s="94" t="s">
        <v>327</v>
      </c>
      <c r="F89" s="109" t="n">
        <v>34.5</v>
      </c>
      <c r="G89" s="94" t="s">
        <v>762</v>
      </c>
      <c r="H89" s="94" t="s">
        <v>848</v>
      </c>
      <c r="I89" s="94" t="s">
        <v>221</v>
      </c>
      <c r="J89" s="122"/>
      <c r="K89" s="123" t="n">
        <v>0.512</v>
      </c>
      <c r="L89" s="123" t="n">
        <v>0.746</v>
      </c>
      <c r="M89" s="123" t="n">
        <v>1.404</v>
      </c>
      <c r="N89" s="123" t="n">
        <v>1.768</v>
      </c>
      <c r="O89" s="123" t="n">
        <v>1.048</v>
      </c>
      <c r="P89" s="123" t="n">
        <v>0.877</v>
      </c>
      <c r="Q89" s="124"/>
      <c r="R89" s="124"/>
      <c r="S89" s="124"/>
      <c r="T89" s="124"/>
      <c r="U89" s="124"/>
      <c r="V89" s="124"/>
      <c r="W89" s="124"/>
      <c r="X89" s="124"/>
      <c r="Y89" s="124"/>
      <c r="Z89" s="121"/>
    </row>
    <row r="90" customFormat="false" ht="15" hidden="false" customHeight="false" outlineLevel="0" collapsed="false">
      <c r="A90" s="68" t="e">
        <f aca="false">VLOOKUP(#REF!,'[1]Listas Desplegables'!$H$3:$J$7,2,FALSE())</f>
        <v>#VALUE!</v>
      </c>
      <c r="B90" s="68" t="e">
        <f aca="false">VLOOKUP(#REF!,'[1]Listas Desplegables'!$H$3:$J$7,3,FALSE())</f>
        <v>#VALUE!</v>
      </c>
      <c r="C90" s="85" t="n">
        <v>85</v>
      </c>
      <c r="D90" s="94" t="s">
        <v>852</v>
      </c>
      <c r="E90" s="94" t="s">
        <v>274</v>
      </c>
      <c r="F90" s="109" t="n">
        <v>13.8</v>
      </c>
      <c r="G90" s="94" t="s">
        <v>762</v>
      </c>
      <c r="H90" s="94" t="s">
        <v>853</v>
      </c>
      <c r="I90" s="94" t="s">
        <v>221</v>
      </c>
      <c r="J90" s="122"/>
      <c r="K90" s="123" t="n">
        <v>20.815</v>
      </c>
      <c r="L90" s="123" t="n">
        <v>7.242</v>
      </c>
      <c r="M90" s="123" t="n">
        <v>22.843</v>
      </c>
      <c r="N90" s="123" t="n">
        <v>7.188</v>
      </c>
      <c r="O90" s="123" t="n">
        <v>25.251</v>
      </c>
      <c r="P90" s="123" t="n">
        <v>7.341</v>
      </c>
      <c r="Q90" s="124"/>
      <c r="R90" s="124"/>
      <c r="S90" s="124"/>
      <c r="T90" s="124"/>
      <c r="U90" s="124"/>
      <c r="V90" s="124"/>
      <c r="W90" s="124"/>
      <c r="X90" s="124"/>
      <c r="Y90" s="124"/>
      <c r="Z90" s="121"/>
    </row>
    <row r="91" customFormat="false" ht="15" hidden="false" customHeight="false" outlineLevel="0" collapsed="false">
      <c r="A91" s="68" t="e">
        <f aca="false">VLOOKUP(#REF!,'[1]Listas Desplegables'!$H$3:$J$7,2,FALSE())</f>
        <v>#VALUE!</v>
      </c>
      <c r="B91" s="68" t="e">
        <f aca="false">VLOOKUP(#REF!,'[1]Listas Desplegables'!$H$3:$J$7,3,FALSE())</f>
        <v>#VALUE!</v>
      </c>
      <c r="C91" s="85" t="n">
        <v>86</v>
      </c>
      <c r="D91" s="94" t="s">
        <v>854</v>
      </c>
      <c r="E91" s="94" t="s">
        <v>274</v>
      </c>
      <c r="F91" s="109" t="n">
        <v>13.8</v>
      </c>
      <c r="G91" s="94" t="s">
        <v>762</v>
      </c>
      <c r="H91" s="94" t="s">
        <v>853</v>
      </c>
      <c r="I91" s="94" t="s">
        <v>221</v>
      </c>
      <c r="J91" s="122"/>
      <c r="K91" s="123" t="n">
        <v>13.416</v>
      </c>
      <c r="L91" s="123" t="n">
        <v>4.849</v>
      </c>
      <c r="M91" s="123" t="n">
        <v>12.032</v>
      </c>
      <c r="N91" s="123" t="n">
        <v>4.612</v>
      </c>
      <c r="O91" s="123" t="n">
        <v>15.422</v>
      </c>
      <c r="P91" s="123" t="n">
        <v>4.666</v>
      </c>
      <c r="Q91" s="124"/>
      <c r="R91" s="124"/>
      <c r="S91" s="124"/>
      <c r="T91" s="124"/>
      <c r="U91" s="124"/>
      <c r="V91" s="124"/>
      <c r="W91" s="124"/>
      <c r="X91" s="124"/>
      <c r="Y91" s="124"/>
      <c r="Z91" s="121"/>
    </row>
    <row r="92" customFormat="false" ht="15" hidden="false" customHeight="false" outlineLevel="0" collapsed="false">
      <c r="A92" s="68" t="e">
        <f aca="false">VLOOKUP(#REF!,'[1]Listas Desplegables'!$H$3:$J$7,2,FALSE())</f>
        <v>#VALUE!</v>
      </c>
      <c r="B92" s="68" t="e">
        <f aca="false">VLOOKUP(#REF!,'[1]Listas Desplegables'!$H$3:$J$7,3,FALSE())</f>
        <v>#VALUE!</v>
      </c>
      <c r="C92" s="85" t="n">
        <v>87</v>
      </c>
      <c r="D92" s="94" t="s">
        <v>855</v>
      </c>
      <c r="E92" s="94" t="s">
        <v>855</v>
      </c>
      <c r="F92" s="109" t="n">
        <v>13.8</v>
      </c>
      <c r="G92" s="94" t="s">
        <v>762</v>
      </c>
      <c r="H92" s="94" t="s">
        <v>856</v>
      </c>
      <c r="I92" s="94" t="s">
        <v>221</v>
      </c>
      <c r="J92" s="122"/>
      <c r="K92" s="123" t="n">
        <v>0.789</v>
      </c>
      <c r="L92" s="123" t="n">
        <v>0.287</v>
      </c>
      <c r="M92" s="123" t="n">
        <v>1.33</v>
      </c>
      <c r="N92" s="123" t="n">
        <v>0.493</v>
      </c>
      <c r="O92" s="123" t="n">
        <v>0.842</v>
      </c>
      <c r="P92" s="123" t="n">
        <v>0.25</v>
      </c>
      <c r="Q92" s="124"/>
      <c r="R92" s="124"/>
      <c r="S92" s="124"/>
      <c r="T92" s="124"/>
      <c r="U92" s="124"/>
      <c r="V92" s="124"/>
      <c r="W92" s="124"/>
      <c r="X92" s="124"/>
      <c r="Y92" s="124"/>
      <c r="Z92" s="121"/>
    </row>
    <row r="93" customFormat="false" ht="15" hidden="false" customHeight="false" outlineLevel="0" collapsed="false">
      <c r="A93" s="68" t="e">
        <f aca="false">VLOOKUP(#REF!,'[1]Listas Desplegables'!$H$3:$J$7,2,FALSE())</f>
        <v>#VALUE!</v>
      </c>
      <c r="B93" s="68" t="e">
        <f aca="false">VLOOKUP(#REF!,'[1]Listas Desplegables'!$H$3:$J$7,3,FALSE())</f>
        <v>#VALUE!</v>
      </c>
      <c r="C93" s="85" t="n">
        <v>88</v>
      </c>
      <c r="D93" s="94" t="s">
        <v>857</v>
      </c>
      <c r="E93" s="94" t="s">
        <v>272</v>
      </c>
      <c r="F93" s="109" t="n">
        <v>110</v>
      </c>
      <c r="G93" s="94" t="s">
        <v>801</v>
      </c>
      <c r="H93" s="94" t="s">
        <v>858</v>
      </c>
      <c r="I93" s="94" t="s">
        <v>221</v>
      </c>
      <c r="J93" s="122"/>
      <c r="K93" s="123" t="n">
        <v>1.24</v>
      </c>
      <c r="L93" s="123" t="n">
        <v>0.02</v>
      </c>
      <c r="M93" s="123" t="n">
        <v>0.84</v>
      </c>
      <c r="N93" s="123" t="n">
        <v>0.86</v>
      </c>
      <c r="O93" s="123" t="n">
        <v>0.56</v>
      </c>
      <c r="P93" s="123" t="n">
        <v>0.14</v>
      </c>
      <c r="Q93" s="124"/>
      <c r="R93" s="124"/>
      <c r="S93" s="124"/>
      <c r="T93" s="124"/>
      <c r="U93" s="124"/>
      <c r="V93" s="124"/>
      <c r="W93" s="124"/>
      <c r="X93" s="124"/>
      <c r="Y93" s="124"/>
      <c r="Z93" s="121"/>
    </row>
    <row r="94" customFormat="false" ht="15" hidden="false" customHeight="false" outlineLevel="0" collapsed="false">
      <c r="A94" s="68" t="e">
        <f aca="false">VLOOKUP(#REF!,'[1]Listas Desplegables'!$H$3:$J$7,2,FALSE())</f>
        <v>#VALUE!</v>
      </c>
      <c r="B94" s="68" t="e">
        <f aca="false">VLOOKUP(#REF!,'[1]Listas Desplegables'!$H$3:$J$7,3,FALSE())</f>
        <v>#VALUE!</v>
      </c>
      <c r="C94" s="85" t="n">
        <v>89</v>
      </c>
      <c r="D94" s="94" t="s">
        <v>859</v>
      </c>
      <c r="E94" s="94" t="s">
        <v>351</v>
      </c>
      <c r="F94" s="109" t="n">
        <v>13.8</v>
      </c>
      <c r="G94" s="94" t="s">
        <v>762</v>
      </c>
      <c r="H94" s="94" t="s">
        <v>856</v>
      </c>
      <c r="I94" s="94" t="s">
        <v>221</v>
      </c>
      <c r="J94" s="122"/>
      <c r="K94" s="123" t="n">
        <v>2.236</v>
      </c>
      <c r="L94" s="123" t="n">
        <v>0.679</v>
      </c>
      <c r="M94" s="123" t="n">
        <v>2.92</v>
      </c>
      <c r="N94" s="123" t="n">
        <v>1.154</v>
      </c>
      <c r="O94" s="123" t="n">
        <v>2.68</v>
      </c>
      <c r="P94" s="123" t="n">
        <v>0.701</v>
      </c>
      <c r="Q94" s="124"/>
      <c r="R94" s="124"/>
      <c r="S94" s="124"/>
      <c r="T94" s="124"/>
      <c r="U94" s="124"/>
      <c r="V94" s="124"/>
      <c r="W94" s="124"/>
      <c r="X94" s="124"/>
      <c r="Y94" s="124"/>
      <c r="Z94" s="121"/>
    </row>
    <row r="95" customFormat="false" ht="15" hidden="false" customHeight="false" outlineLevel="0" collapsed="false">
      <c r="A95" s="68" t="e">
        <f aca="false">VLOOKUP(#REF!,'[1]Listas Desplegables'!$H$3:$J$7,2,FALSE())</f>
        <v>#VALUE!</v>
      </c>
      <c r="B95" s="68" t="e">
        <f aca="false">VLOOKUP(#REF!,'[1]Listas Desplegables'!$H$3:$J$7,3,FALSE())</f>
        <v>#VALUE!</v>
      </c>
      <c r="C95" s="85" t="n">
        <v>90</v>
      </c>
      <c r="D95" s="94" t="s">
        <v>860</v>
      </c>
      <c r="E95" s="94" t="s">
        <v>351</v>
      </c>
      <c r="F95" s="109" t="n">
        <v>13.8</v>
      </c>
      <c r="G95" s="94" t="s">
        <v>762</v>
      </c>
      <c r="H95" s="94" t="s">
        <v>856</v>
      </c>
      <c r="I95" s="94" t="s">
        <v>221</v>
      </c>
      <c r="J95" s="122"/>
      <c r="K95" s="123" t="n">
        <v>6.00576</v>
      </c>
      <c r="L95" s="123" t="n">
        <v>2.85384</v>
      </c>
      <c r="M95" s="123" t="n">
        <v>9.84216</v>
      </c>
      <c r="N95" s="123" t="n">
        <v>4.91418</v>
      </c>
      <c r="O95" s="123" t="n">
        <v>7.52376</v>
      </c>
      <c r="P95" s="123" t="n">
        <v>3.00702</v>
      </c>
      <c r="Q95" s="124"/>
      <c r="R95" s="124"/>
      <c r="S95" s="124"/>
      <c r="T95" s="124"/>
      <c r="U95" s="124"/>
      <c r="V95" s="124"/>
      <c r="W95" s="124"/>
      <c r="X95" s="124"/>
      <c r="Y95" s="124"/>
      <c r="Z95" s="121"/>
    </row>
    <row r="96" customFormat="false" ht="15" hidden="false" customHeight="false" outlineLevel="0" collapsed="false">
      <c r="A96" s="68" t="e">
        <f aca="false">VLOOKUP(#REF!,'[1]Listas Desplegables'!$H$3:$J$7,2,FALSE())</f>
        <v>#VALUE!</v>
      </c>
      <c r="B96" s="68" t="e">
        <f aca="false">VLOOKUP(#REF!,'[1]Listas Desplegables'!$H$3:$J$7,3,FALSE())</f>
        <v>#VALUE!</v>
      </c>
      <c r="C96" s="85" t="n">
        <v>91</v>
      </c>
      <c r="D96" s="94" t="s">
        <v>861</v>
      </c>
      <c r="E96" s="94" t="s">
        <v>862</v>
      </c>
      <c r="F96" s="109" t="n">
        <v>34.5</v>
      </c>
      <c r="G96" s="94" t="s">
        <v>762</v>
      </c>
      <c r="H96" s="94" t="s">
        <v>863</v>
      </c>
      <c r="I96" s="94" t="s">
        <v>221</v>
      </c>
      <c r="J96" s="122"/>
      <c r="K96" s="123" t="n">
        <v>0.9456</v>
      </c>
      <c r="L96" s="123" t="n">
        <v>0.6456</v>
      </c>
      <c r="M96" s="123" t="n">
        <v>1.9296</v>
      </c>
      <c r="N96" s="123" t="n">
        <v>1.0716</v>
      </c>
      <c r="O96" s="123" t="n">
        <v>2.6124</v>
      </c>
      <c r="P96" s="123" t="n">
        <v>1.5108</v>
      </c>
      <c r="Q96" s="124"/>
      <c r="R96" s="124"/>
      <c r="S96" s="124"/>
      <c r="T96" s="124"/>
      <c r="U96" s="124"/>
      <c r="V96" s="124"/>
      <c r="W96" s="124"/>
      <c r="X96" s="124"/>
      <c r="Y96" s="124"/>
      <c r="Z96" s="121"/>
    </row>
    <row r="97" customFormat="false" ht="15" hidden="false" customHeight="false" outlineLevel="0" collapsed="false">
      <c r="A97" s="68" t="e">
        <f aca="false">VLOOKUP(#REF!,'[1]Listas Desplegables'!$H$3:$J$7,2,FALSE())</f>
        <v>#VALUE!</v>
      </c>
      <c r="B97" s="68" t="e">
        <f aca="false">VLOOKUP(#REF!,'[1]Listas Desplegables'!$H$3:$J$7,3,FALSE())</f>
        <v>#VALUE!</v>
      </c>
      <c r="C97" s="85" t="n">
        <v>92</v>
      </c>
      <c r="D97" s="94" t="s">
        <v>355</v>
      </c>
      <c r="E97" s="94" t="s">
        <v>355</v>
      </c>
      <c r="F97" s="109" t="n">
        <v>13.8</v>
      </c>
      <c r="G97" s="94" t="s">
        <v>762</v>
      </c>
      <c r="H97" s="94" t="s">
        <v>863</v>
      </c>
      <c r="I97" s="94" t="s">
        <v>221</v>
      </c>
      <c r="J97" s="122"/>
      <c r="K97" s="123" t="n">
        <v>8.08128</v>
      </c>
      <c r="L97" s="123" t="n">
        <v>2.30736</v>
      </c>
      <c r="M97" s="123" t="n">
        <v>9.15584</v>
      </c>
      <c r="N97" s="123" t="n">
        <v>2.6496</v>
      </c>
      <c r="O97" s="123" t="n">
        <v>10.63888</v>
      </c>
      <c r="P97" s="123" t="n">
        <v>2.53552</v>
      </c>
      <c r="Q97" s="124"/>
      <c r="R97" s="124"/>
      <c r="S97" s="124"/>
      <c r="T97" s="124"/>
      <c r="U97" s="124"/>
      <c r="V97" s="124"/>
      <c r="W97" s="124"/>
      <c r="X97" s="124"/>
      <c r="Y97" s="124"/>
      <c r="Z97" s="121"/>
    </row>
    <row r="98" customFormat="false" ht="30" hidden="false" customHeight="false" outlineLevel="0" collapsed="false">
      <c r="A98" s="68" t="e">
        <f aca="false">VLOOKUP(#REF!,'[1]Listas Desplegables'!$H$3:$J$7,2,FALSE())</f>
        <v>#VALUE!</v>
      </c>
      <c r="B98" s="68" t="e">
        <f aca="false">VLOOKUP(#REF!,'[1]Listas Desplegables'!$H$3:$J$7,3,FALSE())</f>
        <v>#VALUE!</v>
      </c>
      <c r="C98" s="85" t="n">
        <v>93</v>
      </c>
      <c r="D98" s="94" t="s">
        <v>864</v>
      </c>
      <c r="E98" s="94" t="s">
        <v>355</v>
      </c>
      <c r="F98" s="109" t="n">
        <v>13.8</v>
      </c>
      <c r="G98" s="94" t="s">
        <v>762</v>
      </c>
      <c r="H98" s="94" t="s">
        <v>863</v>
      </c>
      <c r="I98" s="94" t="s">
        <v>221</v>
      </c>
      <c r="J98" s="122"/>
      <c r="K98" s="123" t="n">
        <v>2.03808</v>
      </c>
      <c r="L98" s="123" t="n">
        <v>0.429</v>
      </c>
      <c r="M98" s="123" t="n">
        <v>2.77992</v>
      </c>
      <c r="N98" s="123" t="n">
        <v>0.59796</v>
      </c>
      <c r="O98" s="123" t="n">
        <v>3.08088</v>
      </c>
      <c r="P98" s="123" t="n">
        <v>0.50688</v>
      </c>
      <c r="Q98" s="124"/>
      <c r="R98" s="124"/>
      <c r="S98" s="124"/>
      <c r="T98" s="124"/>
      <c r="U98" s="124"/>
      <c r="V98" s="124"/>
      <c r="W98" s="124"/>
      <c r="X98" s="124"/>
      <c r="Y98" s="124"/>
      <c r="Z98" s="121" t="s">
        <v>865</v>
      </c>
    </row>
    <row r="99" customFormat="false" ht="60" hidden="false" customHeight="false" outlineLevel="0" collapsed="false">
      <c r="A99" s="68" t="e">
        <f aca="false">VLOOKUP(#REF!,'[1]Listas Desplegables'!$H$3:$J$7,2,FALSE())</f>
        <v>#VALUE!</v>
      </c>
      <c r="B99" s="68" t="e">
        <f aca="false">VLOOKUP(#REF!,'[1]Listas Desplegables'!$H$3:$J$7,3,FALSE())</f>
        <v>#VALUE!</v>
      </c>
      <c r="C99" s="85" t="n">
        <v>94</v>
      </c>
      <c r="D99" s="94" t="s">
        <v>866</v>
      </c>
      <c r="E99" s="94" t="s">
        <v>867</v>
      </c>
      <c r="F99" s="109" t="n">
        <v>34.5</v>
      </c>
      <c r="G99" s="94" t="s">
        <v>762</v>
      </c>
      <c r="H99" s="94" t="s">
        <v>858</v>
      </c>
      <c r="I99" s="94" t="s">
        <v>221</v>
      </c>
      <c r="J99" s="122"/>
      <c r="K99" s="123" t="n">
        <v>0.2916</v>
      </c>
      <c r="L99" s="123" t="n">
        <v>0.1476</v>
      </c>
      <c r="M99" s="123" t="n">
        <v>0.6192</v>
      </c>
      <c r="N99" s="123" t="n">
        <v>0.126</v>
      </c>
      <c r="O99" s="123" t="n">
        <v>0.4608</v>
      </c>
      <c r="P99" s="123" t="n">
        <v>0.1584</v>
      </c>
      <c r="Q99" s="124"/>
      <c r="R99" s="124"/>
      <c r="S99" s="124"/>
      <c r="T99" s="124"/>
      <c r="U99" s="124"/>
      <c r="V99" s="124"/>
      <c r="W99" s="124"/>
      <c r="X99" s="124"/>
      <c r="Y99" s="124"/>
      <c r="Z99" s="121" t="s">
        <v>868</v>
      </c>
    </row>
    <row r="100" customFormat="false" ht="15" hidden="false" customHeight="false" outlineLevel="0" collapsed="false">
      <c r="A100" s="68" t="e">
        <f aca="false">VLOOKUP(#REF!,'[1]Listas Desplegables'!$H$3:$J$7,2,FALSE())</f>
        <v>#VALUE!</v>
      </c>
      <c r="B100" s="68" t="e">
        <f aca="false">VLOOKUP(#REF!,'[1]Listas Desplegables'!$H$3:$J$7,3,FALSE())</f>
        <v>#VALUE!</v>
      </c>
      <c r="C100" s="85" t="n">
        <v>95</v>
      </c>
      <c r="D100" s="94" t="s">
        <v>256</v>
      </c>
      <c r="E100" s="94" t="s">
        <v>256</v>
      </c>
      <c r="F100" s="109" t="n">
        <v>13.8</v>
      </c>
      <c r="G100" s="94" t="s">
        <v>762</v>
      </c>
      <c r="H100" s="94" t="s">
        <v>863</v>
      </c>
      <c r="I100" s="94" t="s">
        <v>221</v>
      </c>
      <c r="J100" s="122"/>
      <c r="K100" s="123" t="n">
        <v>13.8</v>
      </c>
      <c r="L100" s="123" t="n">
        <v>3.6193636</v>
      </c>
      <c r="M100" s="123" t="n">
        <v>16.0958182</v>
      </c>
      <c r="N100" s="123" t="n">
        <v>4.3783636</v>
      </c>
      <c r="O100" s="123" t="n">
        <v>19.2259091</v>
      </c>
      <c r="P100" s="123" t="n">
        <v>4.1258864</v>
      </c>
      <c r="Q100" s="124"/>
      <c r="R100" s="124"/>
      <c r="S100" s="124"/>
      <c r="T100" s="124"/>
      <c r="U100" s="124"/>
      <c r="V100" s="124"/>
      <c r="W100" s="124"/>
      <c r="X100" s="124"/>
      <c r="Y100" s="124"/>
      <c r="Z100" s="121"/>
    </row>
    <row r="101" customFormat="false" ht="15" hidden="false" customHeight="false" outlineLevel="0" collapsed="false">
      <c r="A101" s="68" t="e">
        <f aca="false">VLOOKUP(#REF!,'[1]Listas Desplegables'!$H$3:$J$7,2,FALSE())</f>
        <v>#VALUE!</v>
      </c>
      <c r="B101" s="68" t="e">
        <f aca="false">VLOOKUP(#REF!,'[1]Listas Desplegables'!$H$3:$J$7,3,FALSE())</f>
        <v>#VALUE!</v>
      </c>
      <c r="C101" s="85" t="n">
        <v>96</v>
      </c>
      <c r="D101" s="94" t="s">
        <v>869</v>
      </c>
      <c r="E101" s="94" t="s">
        <v>256</v>
      </c>
      <c r="F101" s="109" t="n">
        <v>13.8</v>
      </c>
      <c r="G101" s="94" t="s">
        <v>762</v>
      </c>
      <c r="H101" s="94" t="s">
        <v>863</v>
      </c>
      <c r="I101" s="94" t="s">
        <v>221</v>
      </c>
      <c r="J101" s="122"/>
      <c r="K101" s="123" t="n">
        <v>9.7352727</v>
      </c>
      <c r="L101" s="123" t="n">
        <v>3.2837727</v>
      </c>
      <c r="M101" s="123" t="n">
        <v>10.4974091</v>
      </c>
      <c r="N101" s="123" t="n">
        <v>3.4186364</v>
      </c>
      <c r="O101" s="123" t="n">
        <v>11.3410909</v>
      </c>
      <c r="P101" s="123" t="n">
        <v>3.1426364</v>
      </c>
      <c r="Q101" s="124"/>
      <c r="R101" s="124"/>
      <c r="S101" s="124"/>
      <c r="T101" s="124"/>
      <c r="U101" s="124"/>
      <c r="V101" s="124"/>
      <c r="W101" s="124"/>
      <c r="X101" s="124"/>
      <c r="Y101" s="124"/>
      <c r="Z101" s="121"/>
    </row>
    <row r="102" customFormat="false" ht="15" hidden="false" customHeight="false" outlineLevel="0" collapsed="false">
      <c r="A102" s="68" t="e">
        <f aca="false">VLOOKUP(#REF!,'[1]Listas Desplegables'!$H$3:$J$7,2,FALSE())</f>
        <v>#VALUE!</v>
      </c>
      <c r="B102" s="68" t="e">
        <f aca="false">VLOOKUP(#REF!,'[1]Listas Desplegables'!$H$3:$J$7,3,FALSE())</f>
        <v>#VALUE!</v>
      </c>
      <c r="C102" s="85" t="n">
        <v>97</v>
      </c>
      <c r="D102" s="94" t="s">
        <v>870</v>
      </c>
      <c r="E102" s="94" t="s">
        <v>255</v>
      </c>
      <c r="F102" s="109" t="n">
        <v>34.5</v>
      </c>
      <c r="G102" s="94" t="s">
        <v>801</v>
      </c>
      <c r="H102" s="94" t="s">
        <v>871</v>
      </c>
      <c r="I102" s="94" t="s">
        <v>221</v>
      </c>
      <c r="J102" s="122"/>
      <c r="K102" s="123" t="n">
        <v>4.02709</v>
      </c>
      <c r="L102" s="123" t="n">
        <v>0.92209</v>
      </c>
      <c r="M102" s="123" t="n">
        <v>3.68836</v>
      </c>
      <c r="N102" s="123" t="n">
        <v>0.65864</v>
      </c>
      <c r="O102" s="123" t="n">
        <v>4.53518</v>
      </c>
      <c r="P102" s="123" t="n">
        <v>1.11027</v>
      </c>
      <c r="Q102" s="124"/>
      <c r="R102" s="124"/>
      <c r="S102" s="124"/>
      <c r="T102" s="124"/>
      <c r="U102" s="124"/>
      <c r="V102" s="124"/>
      <c r="W102" s="124"/>
      <c r="X102" s="124"/>
      <c r="Y102" s="124"/>
      <c r="Z102" s="121"/>
    </row>
    <row r="103" customFormat="false" ht="15" hidden="false" customHeight="false" outlineLevel="0" collapsed="false">
      <c r="A103" s="68" t="e">
        <f aca="false">VLOOKUP(#REF!,'[1]Listas Desplegables'!$H$3:$J$7,2,FALSE())</f>
        <v>#VALUE!</v>
      </c>
      <c r="B103" s="68" t="e">
        <f aca="false">VLOOKUP(#REF!,'[1]Listas Desplegables'!$H$3:$J$7,3,FALSE())</f>
        <v>#VALUE!</v>
      </c>
      <c r="C103" s="85" t="n">
        <v>98</v>
      </c>
      <c r="D103" s="94" t="s">
        <v>872</v>
      </c>
      <c r="E103" s="94" t="s">
        <v>256</v>
      </c>
      <c r="F103" s="109" t="n">
        <v>34.5</v>
      </c>
      <c r="G103" s="94" t="s">
        <v>801</v>
      </c>
      <c r="H103" s="94" t="s">
        <v>863</v>
      </c>
      <c r="I103" s="94" t="s">
        <v>221</v>
      </c>
      <c r="J103" s="122"/>
      <c r="K103" s="123" t="n">
        <v>0.077</v>
      </c>
      <c r="L103" s="123" t="n">
        <v>0.007</v>
      </c>
      <c r="M103" s="123" t="n">
        <v>0.629</v>
      </c>
      <c r="N103" s="123" t="n">
        <v>0.245</v>
      </c>
      <c r="O103" s="123" t="n">
        <v>0.35</v>
      </c>
      <c r="P103" s="123" t="n">
        <v>0.079</v>
      </c>
      <c r="Q103" s="124"/>
      <c r="R103" s="124"/>
      <c r="S103" s="124"/>
      <c r="T103" s="124"/>
      <c r="U103" s="124"/>
      <c r="V103" s="124"/>
      <c r="W103" s="124"/>
      <c r="X103" s="124"/>
      <c r="Y103" s="124"/>
      <c r="Z103" s="121"/>
    </row>
    <row r="104" customFormat="false" ht="15" hidden="false" customHeight="false" outlineLevel="0" collapsed="false">
      <c r="A104" s="68" t="e">
        <f aca="false">VLOOKUP(#REF!,'[1]Listas Desplegables'!$H$3:$J$7,2,FALSE())</f>
        <v>#VALUE!</v>
      </c>
      <c r="B104" s="68" t="e">
        <f aca="false">VLOOKUP(#REF!,'[1]Listas Desplegables'!$H$3:$J$7,3,FALSE())</f>
        <v>#VALUE!</v>
      </c>
      <c r="C104" s="85" t="n">
        <v>99</v>
      </c>
      <c r="D104" s="94" t="s">
        <v>873</v>
      </c>
      <c r="E104" s="94" t="s">
        <v>255</v>
      </c>
      <c r="F104" s="109" t="n">
        <v>34.5</v>
      </c>
      <c r="G104" s="94" t="s">
        <v>762</v>
      </c>
      <c r="H104" s="94" t="s">
        <v>871</v>
      </c>
      <c r="I104" s="94" t="s">
        <v>221</v>
      </c>
      <c r="J104" s="122"/>
      <c r="K104" s="123" t="n">
        <v>1.844</v>
      </c>
      <c r="L104" s="123" t="n">
        <v>0.518</v>
      </c>
      <c r="M104" s="123" t="n">
        <v>5.504</v>
      </c>
      <c r="N104" s="123" t="n">
        <v>1.976</v>
      </c>
      <c r="O104" s="123" t="n">
        <v>5.024</v>
      </c>
      <c r="P104" s="123" t="n">
        <v>1.553</v>
      </c>
      <c r="Q104" s="124"/>
      <c r="R104" s="124"/>
      <c r="S104" s="124"/>
      <c r="T104" s="124"/>
      <c r="U104" s="124"/>
      <c r="V104" s="124"/>
      <c r="W104" s="124"/>
      <c r="X104" s="124"/>
      <c r="Y104" s="124"/>
      <c r="Z104" s="121"/>
    </row>
    <row r="105" customFormat="false" ht="15" hidden="false" customHeight="false" outlineLevel="0" collapsed="false">
      <c r="A105" s="68" t="e">
        <f aca="false">VLOOKUP(#REF!,'[1]Listas Desplegables'!$H$3:$J$7,2,FALSE())</f>
        <v>#VALUE!</v>
      </c>
      <c r="B105" s="68" t="e">
        <f aca="false">VLOOKUP(#REF!,'[1]Listas Desplegables'!$H$3:$J$7,3,FALSE())</f>
        <v>#VALUE!</v>
      </c>
      <c r="C105" s="85" t="n">
        <v>100</v>
      </c>
      <c r="D105" s="94" t="s">
        <v>337</v>
      </c>
      <c r="E105" s="94" t="s">
        <v>337</v>
      </c>
      <c r="F105" s="109" t="n">
        <v>13.8</v>
      </c>
      <c r="G105" s="94" t="s">
        <v>762</v>
      </c>
      <c r="H105" s="94" t="s">
        <v>871</v>
      </c>
      <c r="I105" s="94" t="s">
        <v>221</v>
      </c>
      <c r="J105" s="122"/>
      <c r="K105" s="123" t="n">
        <v>16.422</v>
      </c>
      <c r="L105" s="123" t="n">
        <v>5.87</v>
      </c>
      <c r="M105" s="123" t="n">
        <v>16.821</v>
      </c>
      <c r="N105" s="123" t="n">
        <v>6.138</v>
      </c>
      <c r="O105" s="123" t="n">
        <v>19.597</v>
      </c>
      <c r="P105" s="123" t="n">
        <v>6.063</v>
      </c>
      <c r="Q105" s="124"/>
      <c r="R105" s="124"/>
      <c r="S105" s="124"/>
      <c r="T105" s="124"/>
      <c r="U105" s="124"/>
      <c r="V105" s="124"/>
      <c r="W105" s="124"/>
      <c r="X105" s="124"/>
      <c r="Y105" s="124"/>
      <c r="Z105" s="121"/>
    </row>
    <row r="106" customFormat="false" ht="15" hidden="false" customHeight="false" outlineLevel="0" collapsed="false">
      <c r="A106" s="68" t="e">
        <f aca="false">VLOOKUP(#REF!,'[1]Listas Desplegables'!$H$3:$J$7,2,FALSE())</f>
        <v>#VALUE!</v>
      </c>
      <c r="B106" s="68" t="e">
        <f aca="false">VLOOKUP(#REF!,'[1]Listas Desplegables'!$H$3:$J$7,3,FALSE())</f>
        <v>#VALUE!</v>
      </c>
      <c r="C106" s="85" t="n">
        <v>101</v>
      </c>
      <c r="D106" s="94" t="s">
        <v>874</v>
      </c>
      <c r="E106" s="94" t="s">
        <v>255</v>
      </c>
      <c r="F106" s="109" t="n">
        <v>13.8</v>
      </c>
      <c r="G106" s="94" t="s">
        <v>762</v>
      </c>
      <c r="H106" s="94" t="s">
        <v>871</v>
      </c>
      <c r="I106" s="94" t="s">
        <v>221</v>
      </c>
      <c r="J106" s="122"/>
      <c r="K106" s="123" t="n">
        <v>17.688</v>
      </c>
      <c r="L106" s="123" t="n">
        <v>5.418</v>
      </c>
      <c r="M106" s="123" t="n">
        <v>18.315</v>
      </c>
      <c r="N106" s="123" t="n">
        <v>5.093</v>
      </c>
      <c r="O106" s="123" t="n">
        <v>20.842</v>
      </c>
      <c r="P106" s="123" t="n">
        <v>5.222</v>
      </c>
      <c r="Q106" s="124"/>
      <c r="R106" s="124"/>
      <c r="S106" s="124"/>
      <c r="T106" s="124"/>
      <c r="U106" s="124"/>
      <c r="V106" s="124"/>
      <c r="W106" s="124"/>
      <c r="X106" s="124"/>
      <c r="Y106" s="124"/>
      <c r="Z106" s="121"/>
    </row>
    <row r="107" customFormat="false" ht="15" hidden="false" customHeight="false" outlineLevel="0" collapsed="false">
      <c r="A107" s="68" t="e">
        <f aca="false">VLOOKUP(#REF!,'[1]Listas Desplegables'!$H$3:$J$7,2,FALSE())</f>
        <v>#VALUE!</v>
      </c>
      <c r="B107" s="68" t="e">
        <f aca="false">VLOOKUP(#REF!,'[1]Listas Desplegables'!$H$3:$J$7,3,FALSE())</f>
        <v>#VALUE!</v>
      </c>
      <c r="C107" s="85" t="n">
        <v>102</v>
      </c>
      <c r="D107" s="94" t="s">
        <v>875</v>
      </c>
      <c r="E107" s="94" t="s">
        <v>255</v>
      </c>
      <c r="F107" s="109" t="n">
        <v>13.8</v>
      </c>
      <c r="G107" s="94" t="s">
        <v>762</v>
      </c>
      <c r="H107" s="94" t="s">
        <v>871</v>
      </c>
      <c r="I107" s="94" t="s">
        <v>221</v>
      </c>
      <c r="J107" s="122"/>
      <c r="K107" s="123" t="n">
        <v>17.834</v>
      </c>
      <c r="L107" s="123" t="n">
        <v>5.143</v>
      </c>
      <c r="M107" s="123" t="n">
        <v>18.311</v>
      </c>
      <c r="N107" s="123" t="n">
        <v>4.804</v>
      </c>
      <c r="O107" s="123" t="n">
        <v>20.893</v>
      </c>
      <c r="P107" s="123" t="n">
        <v>4.935</v>
      </c>
      <c r="Q107" s="124"/>
      <c r="R107" s="124"/>
      <c r="S107" s="124"/>
      <c r="T107" s="124"/>
      <c r="U107" s="124"/>
      <c r="V107" s="124"/>
      <c r="W107" s="124"/>
      <c r="X107" s="124"/>
      <c r="Y107" s="124"/>
      <c r="Z107" s="121"/>
    </row>
    <row r="108" customFormat="false" ht="15" hidden="false" customHeight="false" outlineLevel="0" collapsed="false">
      <c r="A108" s="68" t="e">
        <f aca="false">VLOOKUP(#REF!,'[1]Listas Desplegables'!$H$3:$J$7,2,FALSE())</f>
        <v>#VALUE!</v>
      </c>
      <c r="B108" s="68" t="e">
        <f aca="false">VLOOKUP(#REF!,'[1]Listas Desplegables'!$H$3:$J$7,3,FALSE())</f>
        <v>#VALUE!</v>
      </c>
      <c r="C108" s="85" t="n">
        <v>103</v>
      </c>
      <c r="D108" s="94" t="s">
        <v>876</v>
      </c>
      <c r="E108" s="94" t="s">
        <v>269</v>
      </c>
      <c r="F108" s="109" t="n">
        <v>13.8</v>
      </c>
      <c r="G108" s="94" t="s">
        <v>762</v>
      </c>
      <c r="H108" s="94" t="s">
        <v>877</v>
      </c>
      <c r="I108" s="94" t="s">
        <v>221</v>
      </c>
      <c r="J108" s="122"/>
      <c r="K108" s="123" t="n">
        <v>18.098</v>
      </c>
      <c r="L108" s="123" t="n">
        <v>5.273</v>
      </c>
      <c r="M108" s="123" t="n">
        <v>19.751</v>
      </c>
      <c r="N108" s="123" t="n">
        <v>5.557</v>
      </c>
      <c r="O108" s="123" t="n">
        <v>21.105</v>
      </c>
      <c r="P108" s="123" t="n">
        <v>5.365</v>
      </c>
      <c r="Q108" s="124"/>
      <c r="R108" s="124"/>
      <c r="S108" s="124"/>
      <c r="T108" s="124"/>
      <c r="U108" s="124"/>
      <c r="V108" s="124"/>
      <c r="W108" s="124"/>
      <c r="X108" s="124"/>
      <c r="Y108" s="124"/>
      <c r="Z108" s="121"/>
    </row>
    <row r="109" customFormat="false" ht="15" hidden="false" customHeight="false" outlineLevel="0" collapsed="false">
      <c r="A109" s="68" t="e">
        <f aca="false">VLOOKUP(#REF!,'[1]Listas Desplegables'!$H$3:$J$7,2,FALSE())</f>
        <v>#VALUE!</v>
      </c>
      <c r="B109" s="68" t="e">
        <f aca="false">VLOOKUP(#REF!,'[1]Listas Desplegables'!$H$3:$J$7,3,FALSE())</f>
        <v>#VALUE!</v>
      </c>
      <c r="C109" s="85" t="n">
        <v>104</v>
      </c>
      <c r="D109" s="94" t="s">
        <v>878</v>
      </c>
      <c r="E109" s="94" t="s">
        <v>269</v>
      </c>
      <c r="F109" s="109" t="n">
        <v>13.8</v>
      </c>
      <c r="G109" s="94" t="s">
        <v>762</v>
      </c>
      <c r="H109" s="94" t="s">
        <v>877</v>
      </c>
      <c r="I109" s="94" t="s">
        <v>221</v>
      </c>
      <c r="J109" s="122"/>
      <c r="K109" s="123" t="n">
        <v>34.92</v>
      </c>
      <c r="L109" s="123" t="n">
        <v>15.06</v>
      </c>
      <c r="M109" s="123" t="n">
        <v>38.82</v>
      </c>
      <c r="N109" s="123" t="n">
        <v>17.1</v>
      </c>
      <c r="O109" s="123" t="n">
        <v>41.16</v>
      </c>
      <c r="P109" s="123" t="n">
        <v>17.24</v>
      </c>
      <c r="Q109" s="124"/>
      <c r="R109" s="124"/>
      <c r="S109" s="124"/>
      <c r="T109" s="124"/>
      <c r="U109" s="124"/>
      <c r="V109" s="124"/>
      <c r="W109" s="124"/>
      <c r="X109" s="124"/>
      <c r="Y109" s="124"/>
      <c r="Z109" s="121"/>
    </row>
    <row r="110" customFormat="false" ht="15" hidden="false" customHeight="false" outlineLevel="0" collapsed="false">
      <c r="A110" s="68" t="e">
        <f aca="false">VLOOKUP(#REF!,'[1]Listas Desplegables'!$H$3:$J$7,2,FALSE())</f>
        <v>#VALUE!</v>
      </c>
      <c r="B110" s="68" t="e">
        <f aca="false">VLOOKUP(#REF!,'[1]Listas Desplegables'!$H$3:$J$7,3,FALSE())</f>
        <v>#VALUE!</v>
      </c>
      <c r="C110" s="85" t="n">
        <v>105</v>
      </c>
      <c r="D110" s="94" t="s">
        <v>879</v>
      </c>
      <c r="E110" s="94" t="s">
        <v>261</v>
      </c>
      <c r="F110" s="109" t="n">
        <v>13.8</v>
      </c>
      <c r="G110" s="94" t="s">
        <v>762</v>
      </c>
      <c r="H110" s="94" t="s">
        <v>880</v>
      </c>
      <c r="I110" s="94" t="s">
        <v>221</v>
      </c>
      <c r="J110" s="122"/>
      <c r="K110" s="123" t="n">
        <v>12.884</v>
      </c>
      <c r="L110" s="123" t="n">
        <v>3.858</v>
      </c>
      <c r="M110" s="123" t="n">
        <v>18.925</v>
      </c>
      <c r="N110" s="123" t="n">
        <v>5.075</v>
      </c>
      <c r="O110" s="123" t="n">
        <v>15.713</v>
      </c>
      <c r="P110" s="123" t="n">
        <v>4.171</v>
      </c>
      <c r="Q110" s="124"/>
      <c r="R110" s="124"/>
      <c r="S110" s="124"/>
      <c r="T110" s="124"/>
      <c r="U110" s="124"/>
      <c r="V110" s="124"/>
      <c r="W110" s="124"/>
      <c r="X110" s="124"/>
      <c r="Y110" s="124"/>
      <c r="Z110" s="121"/>
    </row>
    <row r="111" customFormat="false" ht="15" hidden="false" customHeight="false" outlineLevel="0" collapsed="false">
      <c r="A111" s="68" t="e">
        <f aca="false">VLOOKUP(#REF!,'[1]Listas Desplegables'!$H$3:$J$7,2,FALSE())</f>
        <v>#VALUE!</v>
      </c>
      <c r="B111" s="68" t="e">
        <f aca="false">VLOOKUP(#REF!,'[1]Listas Desplegables'!$H$3:$J$7,3,FALSE())</f>
        <v>#VALUE!</v>
      </c>
      <c r="C111" s="85" t="n">
        <v>106</v>
      </c>
      <c r="D111" s="94" t="s">
        <v>881</v>
      </c>
      <c r="E111" s="94" t="s">
        <v>261</v>
      </c>
      <c r="F111" s="109" t="n">
        <v>13.8</v>
      </c>
      <c r="G111" s="94" t="s">
        <v>762</v>
      </c>
      <c r="H111" s="94" t="s">
        <v>880</v>
      </c>
      <c r="I111" s="94" t="s">
        <v>221</v>
      </c>
      <c r="J111" s="122"/>
      <c r="K111" s="123" t="n">
        <v>8.305</v>
      </c>
      <c r="L111" s="123" t="n">
        <v>2.098</v>
      </c>
      <c r="M111" s="123" t="n">
        <v>16.685</v>
      </c>
      <c r="N111" s="123" t="n">
        <v>3.442</v>
      </c>
      <c r="O111" s="123" t="n">
        <v>13.838</v>
      </c>
      <c r="P111" s="123" t="n">
        <v>2.678</v>
      </c>
      <c r="Q111" s="124"/>
      <c r="R111" s="124"/>
      <c r="S111" s="124"/>
      <c r="T111" s="124"/>
      <c r="U111" s="124"/>
      <c r="V111" s="124"/>
      <c r="W111" s="124"/>
      <c r="X111" s="124"/>
      <c r="Y111" s="124"/>
      <c r="Z111" s="121"/>
    </row>
    <row r="112" customFormat="false" ht="15" hidden="false" customHeight="false" outlineLevel="0" collapsed="false">
      <c r="A112" s="68" t="e">
        <f aca="false">VLOOKUP(#REF!,'[1]Listas Desplegables'!$H$3:$J$7,2,FALSE())</f>
        <v>#VALUE!</v>
      </c>
      <c r="B112" s="68" t="e">
        <f aca="false">VLOOKUP(#REF!,'[1]Listas Desplegables'!$H$3:$J$7,3,FALSE())</f>
        <v>#VALUE!</v>
      </c>
      <c r="C112" s="85" t="n">
        <v>107</v>
      </c>
      <c r="D112" s="94" t="s">
        <v>882</v>
      </c>
      <c r="E112" s="94" t="s">
        <v>261</v>
      </c>
      <c r="F112" s="109" t="n">
        <v>13.8</v>
      </c>
      <c r="G112" s="94" t="s">
        <v>762</v>
      </c>
      <c r="H112" s="94" t="s">
        <v>880</v>
      </c>
      <c r="I112" s="94" t="s">
        <v>221</v>
      </c>
      <c r="J112" s="122"/>
      <c r="K112" s="123" t="n">
        <v>9.891</v>
      </c>
      <c r="L112" s="123" t="n">
        <v>2.036</v>
      </c>
      <c r="M112" s="123" t="n">
        <v>12.272</v>
      </c>
      <c r="N112" s="123" t="n">
        <v>2.762</v>
      </c>
      <c r="O112" s="123" t="n">
        <v>12.478</v>
      </c>
      <c r="P112" s="123" t="n">
        <v>2.216</v>
      </c>
      <c r="Q112" s="124"/>
      <c r="R112" s="124"/>
      <c r="S112" s="124"/>
      <c r="T112" s="124"/>
      <c r="U112" s="124"/>
      <c r="V112" s="124"/>
      <c r="W112" s="124"/>
      <c r="X112" s="124"/>
      <c r="Y112" s="124"/>
      <c r="Z112" s="121"/>
    </row>
    <row r="113" customFormat="false" ht="15" hidden="false" customHeight="false" outlineLevel="0" collapsed="false">
      <c r="A113" s="68" t="e">
        <f aca="false">VLOOKUP(#REF!,'[1]Listas Desplegables'!$H$3:$J$7,2,FALSE())</f>
        <v>#VALUE!</v>
      </c>
      <c r="B113" s="68" t="e">
        <f aca="false">VLOOKUP(#REF!,'[1]Listas Desplegables'!$H$3:$J$7,3,FALSE())</f>
        <v>#VALUE!</v>
      </c>
      <c r="C113" s="85" t="n">
        <v>108</v>
      </c>
      <c r="D113" s="94" t="s">
        <v>883</v>
      </c>
      <c r="E113" s="94" t="s">
        <v>259</v>
      </c>
      <c r="F113" s="109" t="n">
        <v>34.5</v>
      </c>
      <c r="G113" s="94" t="s">
        <v>801</v>
      </c>
      <c r="H113" s="94" t="s">
        <v>848</v>
      </c>
      <c r="I113" s="94" t="s">
        <v>221</v>
      </c>
      <c r="J113" s="122"/>
      <c r="K113" s="123" t="n">
        <v>0</v>
      </c>
      <c r="L113" s="123" t="n">
        <v>0.009</v>
      </c>
      <c r="M113" s="123" t="n">
        <v>0.066</v>
      </c>
      <c r="N113" s="123" t="n">
        <v>0.047</v>
      </c>
      <c r="O113" s="123" t="n">
        <v>0.028</v>
      </c>
      <c r="P113" s="123" t="n">
        <v>0.028</v>
      </c>
      <c r="Q113" s="124"/>
      <c r="R113" s="124"/>
      <c r="S113" s="124"/>
      <c r="T113" s="124"/>
      <c r="U113" s="124"/>
      <c r="V113" s="124"/>
      <c r="W113" s="124"/>
      <c r="X113" s="124"/>
      <c r="Y113" s="124"/>
      <c r="Z113" s="121"/>
    </row>
    <row r="114" customFormat="false" ht="15" hidden="false" customHeight="false" outlineLevel="0" collapsed="false">
      <c r="A114" s="68" t="e">
        <f aca="false">VLOOKUP(#REF!,'[1]Listas Desplegables'!$H$3:$J$7,2,FALSE())</f>
        <v>#VALUE!</v>
      </c>
      <c r="B114" s="68" t="e">
        <f aca="false">VLOOKUP(#REF!,'[1]Listas Desplegables'!$H$3:$J$7,3,FALSE())</f>
        <v>#VALUE!</v>
      </c>
      <c r="C114" s="85" t="n">
        <v>109</v>
      </c>
      <c r="D114" s="94" t="s">
        <v>884</v>
      </c>
      <c r="E114" s="94" t="s">
        <v>327</v>
      </c>
      <c r="F114" s="109" t="n">
        <v>34.5</v>
      </c>
      <c r="G114" s="94" t="s">
        <v>801</v>
      </c>
      <c r="H114" s="94" t="s">
        <v>848</v>
      </c>
      <c r="I114" s="94" t="s">
        <v>221</v>
      </c>
      <c r="J114" s="122"/>
      <c r="K114" s="123" t="n">
        <v>0.16</v>
      </c>
      <c r="L114" s="123" t="n">
        <v>0.041</v>
      </c>
      <c r="M114" s="123" t="n">
        <v>7</v>
      </c>
      <c r="N114" s="123" t="n">
        <v>1.667</v>
      </c>
      <c r="O114" s="123" t="n">
        <v>3</v>
      </c>
      <c r="P114" s="123" t="n">
        <v>1</v>
      </c>
      <c r="Q114" s="124"/>
      <c r="R114" s="124"/>
      <c r="S114" s="124"/>
      <c r="T114" s="124"/>
      <c r="U114" s="124"/>
      <c r="V114" s="124"/>
      <c r="W114" s="124"/>
      <c r="X114" s="124"/>
      <c r="Y114" s="124"/>
      <c r="Z114" s="121"/>
    </row>
    <row r="115" customFormat="false" ht="15" hidden="false" customHeight="false" outlineLevel="0" collapsed="false">
      <c r="A115" s="68" t="e">
        <f aca="false">VLOOKUP(#REF!,'[1]Listas Desplegables'!$H$3:$J$7,2,FALSE())</f>
        <v>#VALUE!</v>
      </c>
      <c r="B115" s="68" t="e">
        <f aca="false">VLOOKUP(#REF!,'[1]Listas Desplegables'!$H$3:$J$7,3,FALSE())</f>
        <v>#VALUE!</v>
      </c>
      <c r="C115" s="85" t="n">
        <v>110</v>
      </c>
      <c r="D115" s="94" t="s">
        <v>885</v>
      </c>
      <c r="E115" s="94" t="s">
        <v>359</v>
      </c>
      <c r="F115" s="109" t="n">
        <v>13.8</v>
      </c>
      <c r="G115" s="94" t="s">
        <v>762</v>
      </c>
      <c r="H115" s="94" t="s">
        <v>886</v>
      </c>
      <c r="I115" s="94" t="s">
        <v>221</v>
      </c>
      <c r="J115" s="122"/>
      <c r="K115" s="123" t="n">
        <v>6.107</v>
      </c>
      <c r="L115" s="123" t="n">
        <v>1.787</v>
      </c>
      <c r="M115" s="123" t="n">
        <v>5.659</v>
      </c>
      <c r="N115" s="123" t="n">
        <v>1.884</v>
      </c>
      <c r="O115" s="123" t="n">
        <v>6.178</v>
      </c>
      <c r="P115" s="123" t="n">
        <v>1.584</v>
      </c>
      <c r="Q115" s="124"/>
      <c r="R115" s="124"/>
      <c r="S115" s="124"/>
      <c r="T115" s="124"/>
      <c r="U115" s="124"/>
      <c r="V115" s="124"/>
      <c r="W115" s="124"/>
      <c r="X115" s="124"/>
      <c r="Y115" s="124"/>
      <c r="Z115" s="121"/>
    </row>
    <row r="116" customFormat="false" ht="15" hidden="false" customHeight="false" outlineLevel="0" collapsed="false">
      <c r="A116" s="68" t="e">
        <f aca="false">VLOOKUP(#REF!,'[1]Listas Desplegables'!$H$3:$J$7,2,FALSE())</f>
        <v>#VALUE!</v>
      </c>
      <c r="B116" s="68" t="e">
        <f aca="false">VLOOKUP(#REF!,'[1]Listas Desplegables'!$H$3:$J$7,3,FALSE())</f>
        <v>#VALUE!</v>
      </c>
      <c r="C116" s="85" t="n">
        <v>111</v>
      </c>
      <c r="D116" s="94" t="s">
        <v>887</v>
      </c>
      <c r="E116" s="94" t="s">
        <v>359</v>
      </c>
      <c r="F116" s="109" t="n">
        <v>13.8</v>
      </c>
      <c r="G116" s="94" t="s">
        <v>762</v>
      </c>
      <c r="H116" s="94" t="s">
        <v>886</v>
      </c>
      <c r="I116" s="94" t="s">
        <v>221</v>
      </c>
      <c r="J116" s="122"/>
      <c r="K116" s="123" t="n">
        <v>5.509</v>
      </c>
      <c r="L116" s="123" t="n">
        <v>1.639</v>
      </c>
      <c r="M116" s="123" t="n">
        <v>5.224</v>
      </c>
      <c r="N116" s="123" t="n">
        <v>1.705</v>
      </c>
      <c r="O116" s="123" t="n">
        <v>5.793</v>
      </c>
      <c r="P116" s="123" t="n">
        <v>1.478</v>
      </c>
      <c r="Q116" s="124"/>
      <c r="R116" s="124"/>
      <c r="S116" s="124"/>
      <c r="T116" s="124"/>
      <c r="U116" s="124"/>
      <c r="V116" s="124"/>
      <c r="W116" s="124"/>
      <c r="X116" s="124"/>
      <c r="Y116" s="124"/>
      <c r="Z116" s="121"/>
    </row>
    <row r="117" customFormat="false" ht="15" hidden="false" customHeight="false" outlineLevel="0" collapsed="false">
      <c r="C117" s="85" t="n">
        <v>112</v>
      </c>
      <c r="D117" s="94" t="s">
        <v>888</v>
      </c>
      <c r="E117" s="94" t="s">
        <v>855</v>
      </c>
      <c r="F117" s="109" t="n">
        <v>13.8</v>
      </c>
      <c r="G117" s="94" t="s">
        <v>801</v>
      </c>
      <c r="H117" s="94" t="s">
        <v>856</v>
      </c>
      <c r="I117" s="94" t="s">
        <v>221</v>
      </c>
      <c r="J117" s="122"/>
      <c r="K117" s="123" t="n">
        <v>0.641</v>
      </c>
      <c r="L117" s="123" t="n">
        <v>0.144</v>
      </c>
      <c r="M117" s="123" t="n">
        <v>3.128</v>
      </c>
      <c r="N117" s="123" t="n">
        <v>1.566</v>
      </c>
      <c r="O117" s="123" t="n">
        <v>0.958</v>
      </c>
      <c r="P117" s="123" t="n">
        <v>0.252</v>
      </c>
      <c r="Q117" s="124"/>
      <c r="R117" s="124"/>
      <c r="S117" s="124"/>
      <c r="T117" s="124"/>
      <c r="U117" s="124"/>
      <c r="V117" s="124"/>
      <c r="W117" s="124"/>
      <c r="X117" s="124"/>
      <c r="Y117" s="124"/>
      <c r="Z117" s="121"/>
    </row>
    <row r="118" customFormat="false" ht="15" hidden="false" customHeight="false" outlineLevel="0" collapsed="false">
      <c r="A118" s="68" t="e">
        <f aca="false">VLOOKUP(#REF!,'[1]Listas Desplegables'!$H$3:$J$7,2,FALSE())</f>
        <v>#VALUE!</v>
      </c>
      <c r="B118" s="68" t="e">
        <f aca="false">VLOOKUP(#REF!,'[1]Listas Desplegables'!$H$3:$J$7,3,FALSE())</f>
        <v>#VALUE!</v>
      </c>
      <c r="C118" s="85" t="n">
        <v>113</v>
      </c>
      <c r="D118" s="94" t="s">
        <v>360</v>
      </c>
      <c r="E118" s="94" t="s">
        <v>360</v>
      </c>
      <c r="F118" s="109" t="n">
        <v>13.8</v>
      </c>
      <c r="G118" s="94" t="s">
        <v>762</v>
      </c>
      <c r="H118" s="94" t="s">
        <v>886</v>
      </c>
      <c r="I118" s="94" t="s">
        <v>221</v>
      </c>
      <c r="J118" s="122"/>
      <c r="K118" s="123" t="n">
        <v>5.5280291</v>
      </c>
      <c r="L118" s="123" t="n">
        <v>1.7232436</v>
      </c>
      <c r="M118" s="123" t="n">
        <v>5.6534836</v>
      </c>
      <c r="N118" s="123" t="n">
        <v>1.9560873</v>
      </c>
      <c r="O118" s="123" t="n">
        <v>5.5691782</v>
      </c>
      <c r="P118" s="123" t="n">
        <v>1.62288</v>
      </c>
      <c r="Q118" s="124"/>
      <c r="R118" s="124"/>
      <c r="S118" s="124"/>
      <c r="T118" s="124"/>
      <c r="U118" s="124"/>
      <c r="V118" s="124"/>
      <c r="W118" s="124"/>
      <c r="X118" s="124"/>
      <c r="Y118" s="124"/>
      <c r="Z118" s="121"/>
    </row>
    <row r="119" customFormat="false" ht="15" hidden="false" customHeight="false" outlineLevel="0" collapsed="false">
      <c r="A119" s="68" t="e">
        <f aca="false">VLOOKUP(#REF!,'[1]Listas Desplegables'!$H$3:$J$7,2,FALSE())</f>
        <v>#VALUE!</v>
      </c>
      <c r="B119" s="68" t="e">
        <f aca="false">VLOOKUP(#REF!,'[1]Listas Desplegables'!$H$3:$J$7,3,FALSE())</f>
        <v>#VALUE!</v>
      </c>
      <c r="C119" s="85" t="n">
        <v>114</v>
      </c>
      <c r="D119" s="94" t="s">
        <v>889</v>
      </c>
      <c r="E119" s="94" t="s">
        <v>391</v>
      </c>
      <c r="F119" s="109" t="n">
        <v>13.8</v>
      </c>
      <c r="G119" s="94" t="s">
        <v>762</v>
      </c>
      <c r="H119" s="94" t="s">
        <v>890</v>
      </c>
      <c r="I119" s="94" t="s">
        <v>221</v>
      </c>
      <c r="J119" s="122"/>
      <c r="K119" s="123" t="n">
        <v>12.81</v>
      </c>
      <c r="L119" s="123" t="n">
        <v>2.4375</v>
      </c>
      <c r="M119" s="123" t="n">
        <v>18.8625</v>
      </c>
      <c r="N119" s="123" t="n">
        <v>5.175</v>
      </c>
      <c r="O119" s="123" t="n">
        <v>16.59</v>
      </c>
      <c r="P119" s="123" t="n">
        <v>3.27</v>
      </c>
      <c r="Q119" s="124"/>
      <c r="R119" s="124"/>
      <c r="S119" s="124"/>
      <c r="T119" s="124"/>
      <c r="U119" s="124"/>
      <c r="V119" s="124"/>
      <c r="W119" s="124"/>
      <c r="X119" s="124"/>
      <c r="Y119" s="124"/>
      <c r="Z119" s="121"/>
    </row>
    <row r="120" customFormat="false" ht="15" hidden="false" customHeight="false" outlineLevel="0" collapsed="false">
      <c r="A120" s="68" t="e">
        <f aca="false">VLOOKUP(#REF!,'[1]Listas Desplegables'!$H$3:$J$7,2,FALSE())</f>
        <v>#VALUE!</v>
      </c>
      <c r="B120" s="68" t="e">
        <f aca="false">VLOOKUP(#REF!,'[1]Listas Desplegables'!$H$3:$J$7,3,FALSE())</f>
        <v>#VALUE!</v>
      </c>
      <c r="C120" s="85" t="n">
        <v>115</v>
      </c>
      <c r="D120" s="94" t="s">
        <v>891</v>
      </c>
      <c r="E120" s="94" t="s">
        <v>391</v>
      </c>
      <c r="F120" s="109" t="n">
        <v>13.8</v>
      </c>
      <c r="G120" s="94" t="s">
        <v>762</v>
      </c>
      <c r="H120" s="94" t="s">
        <v>890</v>
      </c>
      <c r="I120" s="94" t="s">
        <v>221</v>
      </c>
      <c r="J120" s="122"/>
      <c r="K120" s="123" t="n">
        <v>4.4505</v>
      </c>
      <c r="L120" s="123" t="n">
        <v>0.28175</v>
      </c>
      <c r="M120" s="123" t="n">
        <v>10.90775</v>
      </c>
      <c r="N120" s="123" t="n">
        <v>2.8175</v>
      </c>
      <c r="O120" s="123" t="n">
        <v>9.8095</v>
      </c>
      <c r="P120" s="123" t="n">
        <v>1.90325</v>
      </c>
      <c r="Q120" s="124"/>
      <c r="R120" s="124"/>
      <c r="S120" s="124"/>
      <c r="T120" s="124"/>
      <c r="U120" s="124"/>
      <c r="V120" s="124"/>
      <c r="W120" s="124"/>
      <c r="X120" s="124"/>
      <c r="Y120" s="124"/>
      <c r="Z120" s="121"/>
    </row>
    <row r="121" customFormat="false" ht="15" hidden="false" customHeight="false" outlineLevel="0" collapsed="false">
      <c r="C121" s="85" t="n">
        <v>116</v>
      </c>
      <c r="D121" s="94" t="s">
        <v>892</v>
      </c>
      <c r="E121" s="94" t="s">
        <v>247</v>
      </c>
      <c r="F121" s="109" t="n">
        <v>34.5</v>
      </c>
      <c r="G121" s="94" t="s">
        <v>801</v>
      </c>
      <c r="H121" s="94" t="s">
        <v>763</v>
      </c>
      <c r="I121" s="94" t="s">
        <v>221</v>
      </c>
      <c r="J121" s="122"/>
      <c r="K121" s="123" t="n">
        <v>5.3</v>
      </c>
      <c r="L121" s="123" t="n">
        <v>4.1</v>
      </c>
      <c r="M121" s="123" t="n">
        <v>5</v>
      </c>
      <c r="N121" s="123" t="n">
        <v>4</v>
      </c>
      <c r="O121" s="123" t="n">
        <v>5.2</v>
      </c>
      <c r="P121" s="123" t="n">
        <v>4.2</v>
      </c>
      <c r="Q121" s="124"/>
      <c r="R121" s="124"/>
      <c r="S121" s="124"/>
      <c r="T121" s="124"/>
      <c r="U121" s="124"/>
      <c r="V121" s="124"/>
      <c r="W121" s="124"/>
      <c r="X121" s="124"/>
      <c r="Y121" s="124"/>
      <c r="Z121" s="121"/>
    </row>
    <row r="122" customFormat="false" ht="15" hidden="false" customHeight="false" outlineLevel="0" collapsed="false">
      <c r="C122" s="85" t="n">
        <v>117</v>
      </c>
      <c r="D122" s="94" t="s">
        <v>893</v>
      </c>
      <c r="E122" s="94" t="s">
        <v>247</v>
      </c>
      <c r="F122" s="109" t="n">
        <v>34.5</v>
      </c>
      <c r="G122" s="94" t="s">
        <v>801</v>
      </c>
      <c r="H122" s="94" t="s">
        <v>763</v>
      </c>
      <c r="I122" s="94" t="s">
        <v>221</v>
      </c>
      <c r="J122" s="122"/>
      <c r="K122" s="123" t="n">
        <v>4.32</v>
      </c>
      <c r="L122" s="123" t="n">
        <v>1.91</v>
      </c>
      <c r="M122" s="123" t="n">
        <v>4.29</v>
      </c>
      <c r="N122" s="123" t="n">
        <v>1.96</v>
      </c>
      <c r="O122" s="123" t="n">
        <v>5.22</v>
      </c>
      <c r="P122" s="123" t="n">
        <v>1.93</v>
      </c>
      <c r="Q122" s="124"/>
      <c r="R122" s="124"/>
      <c r="S122" s="124"/>
      <c r="T122" s="124"/>
      <c r="U122" s="124"/>
      <c r="V122" s="124"/>
      <c r="W122" s="124"/>
      <c r="X122" s="124"/>
      <c r="Y122" s="124"/>
      <c r="Z122" s="121"/>
    </row>
    <row r="123" customFormat="false" ht="30" hidden="false" customHeight="false" outlineLevel="0" collapsed="false">
      <c r="C123" s="85" t="n">
        <v>118</v>
      </c>
      <c r="D123" s="94" t="s">
        <v>894</v>
      </c>
      <c r="E123" s="94" t="s">
        <v>227</v>
      </c>
      <c r="F123" s="109" t="n">
        <v>13.8</v>
      </c>
      <c r="G123" s="94" t="s">
        <v>762</v>
      </c>
      <c r="H123" s="94" t="s">
        <v>805</v>
      </c>
      <c r="I123" s="94" t="s">
        <v>395</v>
      </c>
      <c r="J123" s="96" t="n">
        <v>2029</v>
      </c>
      <c r="K123" s="123"/>
      <c r="L123" s="123"/>
      <c r="M123" s="123"/>
      <c r="N123" s="123"/>
      <c r="O123" s="123"/>
      <c r="P123" s="123"/>
      <c r="Q123" s="124"/>
      <c r="R123" s="124"/>
      <c r="S123" s="124"/>
      <c r="T123" s="124"/>
      <c r="U123" s="124"/>
      <c r="V123" s="124"/>
      <c r="W123" s="124"/>
      <c r="X123" s="124"/>
      <c r="Y123" s="124"/>
      <c r="Z123" s="121" t="s">
        <v>895</v>
      </c>
    </row>
    <row r="124" customFormat="false" ht="60" hidden="false" customHeight="false" outlineLevel="0" collapsed="false">
      <c r="A124" s="68" t="e">
        <f aca="false">VLOOKUP(#REF!,'[1]Listas Desplegables'!$H$3:$J$7,2,FALSE())</f>
        <v>#VALUE!</v>
      </c>
      <c r="B124" s="68" t="e">
        <f aca="false">VLOOKUP(#REF!,'[1]Listas Desplegables'!$H$3:$J$7,3,FALSE())</f>
        <v>#VALUE!</v>
      </c>
      <c r="C124" s="85" t="n">
        <v>119</v>
      </c>
      <c r="D124" s="125" t="s">
        <v>388</v>
      </c>
      <c r="E124" s="125" t="s">
        <v>388</v>
      </c>
      <c r="F124" s="109" t="n">
        <v>13.8</v>
      </c>
      <c r="G124" s="125" t="s">
        <v>762</v>
      </c>
      <c r="H124" s="125" t="s">
        <v>896</v>
      </c>
      <c r="I124" s="94" t="s">
        <v>395</v>
      </c>
      <c r="J124" s="96" t="n">
        <v>2029</v>
      </c>
      <c r="K124" s="126"/>
      <c r="L124" s="126"/>
      <c r="M124" s="126"/>
      <c r="N124" s="126"/>
      <c r="O124" s="126"/>
      <c r="P124" s="126"/>
      <c r="Q124" s="126"/>
      <c r="R124" s="124"/>
      <c r="S124" s="124"/>
      <c r="T124" s="124"/>
      <c r="U124" s="124"/>
      <c r="V124" s="124"/>
      <c r="W124" s="124"/>
      <c r="X124" s="124"/>
      <c r="Y124" s="124"/>
      <c r="Z124" s="127" t="s">
        <v>897</v>
      </c>
    </row>
    <row r="125" customFormat="false" ht="30" hidden="false" customHeight="false" outlineLevel="0" collapsed="false">
      <c r="A125" s="68" t="e">
        <f aca="false">VLOOKUP(#REF!,'[1]Listas Desplegables'!$H$3:$J$7,2,FALSE())</f>
        <v>#VALUE!</v>
      </c>
      <c r="B125" s="68" t="e">
        <f aca="false">VLOOKUP(#REF!,'[1]Listas Desplegables'!$H$3:$J$7,3,FALSE())</f>
        <v>#VALUE!</v>
      </c>
      <c r="C125" s="85" t="n">
        <v>120</v>
      </c>
      <c r="D125" s="86" t="s">
        <v>403</v>
      </c>
      <c r="E125" s="86" t="s">
        <v>403</v>
      </c>
      <c r="F125" s="109" t="n">
        <v>13.8</v>
      </c>
      <c r="G125" s="86" t="s">
        <v>762</v>
      </c>
      <c r="H125" s="86" t="s">
        <v>898</v>
      </c>
      <c r="I125" s="94" t="s">
        <v>395</v>
      </c>
      <c r="J125" s="96" t="n">
        <v>2029</v>
      </c>
      <c r="K125" s="128"/>
      <c r="L125" s="128"/>
      <c r="M125" s="128"/>
      <c r="N125" s="128"/>
      <c r="O125" s="128"/>
      <c r="P125" s="128"/>
      <c r="Q125" s="128"/>
      <c r="R125" s="124"/>
      <c r="S125" s="124"/>
      <c r="T125" s="124"/>
      <c r="U125" s="124"/>
      <c r="V125" s="124"/>
      <c r="W125" s="124"/>
      <c r="X125" s="124"/>
      <c r="Y125" s="124"/>
      <c r="Z125" s="121" t="s">
        <v>899</v>
      </c>
    </row>
    <row r="126" customFormat="false" ht="30" hidden="false" customHeight="false" outlineLevel="0" collapsed="false">
      <c r="A126" s="68" t="e">
        <f aca="false">VLOOKUP(#REF!,'[1]Listas Desplegables'!$H$3:$J$7,2,FALSE())</f>
        <v>#VALUE!</v>
      </c>
      <c r="B126" s="68" t="e">
        <f aca="false">VLOOKUP(#REF!,'[1]Listas Desplegables'!$H$3:$J$7,3,FALSE())</f>
        <v>#VALUE!</v>
      </c>
      <c r="C126" s="85" t="n">
        <v>121</v>
      </c>
      <c r="D126" s="86" t="s">
        <v>394</v>
      </c>
      <c r="E126" s="86" t="s">
        <v>394</v>
      </c>
      <c r="F126" s="109" t="n">
        <v>13.8</v>
      </c>
      <c r="G126" s="86" t="s">
        <v>762</v>
      </c>
      <c r="H126" s="86" t="s">
        <v>900</v>
      </c>
      <c r="I126" s="94" t="s">
        <v>395</v>
      </c>
      <c r="J126" s="96" t="n">
        <v>2029</v>
      </c>
      <c r="K126" s="128"/>
      <c r="L126" s="128"/>
      <c r="M126" s="128"/>
      <c r="N126" s="128"/>
      <c r="O126" s="128"/>
      <c r="P126" s="128"/>
      <c r="Q126" s="128"/>
      <c r="R126" s="124"/>
      <c r="S126" s="124"/>
      <c r="T126" s="124"/>
      <c r="U126" s="124"/>
      <c r="V126" s="124"/>
      <c r="W126" s="124"/>
      <c r="X126" s="124"/>
      <c r="Y126" s="124"/>
      <c r="Z126" s="121" t="s">
        <v>901</v>
      </c>
    </row>
    <row r="127" customFormat="false" ht="30" hidden="false" customHeight="false" outlineLevel="0" collapsed="false">
      <c r="A127" s="68" t="e">
        <f aca="false">VLOOKUP(#REF!,'[1]Listas Desplegables'!$H$3:$J$7,2,FALSE())</f>
        <v>#VALUE!</v>
      </c>
      <c r="B127" s="68" t="e">
        <f aca="false">VLOOKUP(#REF!,'[1]Listas Desplegables'!$H$3:$J$7,3,FALSE())</f>
        <v>#VALUE!</v>
      </c>
      <c r="C127" s="85" t="n">
        <v>122</v>
      </c>
      <c r="D127" s="86" t="s">
        <v>412</v>
      </c>
      <c r="E127" s="86" t="s">
        <v>412</v>
      </c>
      <c r="F127" s="109" t="n">
        <v>13.8</v>
      </c>
      <c r="G127" s="86" t="s">
        <v>762</v>
      </c>
      <c r="H127" s="86" t="s">
        <v>796</v>
      </c>
      <c r="I127" s="94" t="s">
        <v>395</v>
      </c>
      <c r="J127" s="96" t="n">
        <v>2029</v>
      </c>
      <c r="K127" s="128"/>
      <c r="L127" s="122"/>
      <c r="M127" s="128"/>
      <c r="N127" s="128"/>
      <c r="O127" s="128"/>
      <c r="P127" s="128"/>
      <c r="Q127" s="128"/>
      <c r="R127" s="124"/>
      <c r="S127" s="124"/>
      <c r="T127" s="124"/>
      <c r="U127" s="124"/>
      <c r="V127" s="124"/>
      <c r="W127" s="124"/>
      <c r="X127" s="124"/>
      <c r="Y127" s="124"/>
      <c r="Z127" s="121" t="s">
        <v>902</v>
      </c>
    </row>
    <row r="128" customFormat="false" ht="30" hidden="false" customHeight="false" outlineLevel="0" collapsed="false">
      <c r="A128" s="68" t="e">
        <f aca="false">VLOOKUP(#REF!,'[1]Listas Desplegables'!$H$3:$J$7,2,FALSE())</f>
        <v>#VALUE!</v>
      </c>
      <c r="B128" s="68" t="e">
        <f aca="false">VLOOKUP(#REF!,'[1]Listas Desplegables'!$H$3:$J$7,3,FALSE())</f>
        <v>#VALUE!</v>
      </c>
      <c r="C128" s="85" t="n">
        <v>123</v>
      </c>
      <c r="D128" s="86" t="s">
        <v>747</v>
      </c>
      <c r="E128" s="86" t="s">
        <v>747</v>
      </c>
      <c r="F128" s="109" t="n">
        <v>13.8</v>
      </c>
      <c r="G128" s="86" t="s">
        <v>762</v>
      </c>
      <c r="H128" s="86" t="s">
        <v>903</v>
      </c>
      <c r="I128" s="94" t="s">
        <v>395</v>
      </c>
      <c r="J128" s="96" t="n">
        <v>2029</v>
      </c>
      <c r="K128" s="128"/>
      <c r="L128" s="128"/>
      <c r="M128" s="128"/>
      <c r="N128" s="128"/>
      <c r="O128" s="128"/>
      <c r="P128" s="128"/>
      <c r="Q128" s="128"/>
      <c r="R128" s="124"/>
      <c r="S128" s="124"/>
      <c r="T128" s="124"/>
      <c r="U128" s="124"/>
      <c r="V128" s="124"/>
      <c r="W128" s="124"/>
      <c r="X128" s="124"/>
      <c r="Y128" s="124"/>
      <c r="Z128" s="121" t="s">
        <v>904</v>
      </c>
    </row>
    <row r="129" customFormat="false" ht="60" hidden="false" customHeight="false" outlineLevel="0" collapsed="false">
      <c r="A129" s="68" t="e">
        <f aca="false">VLOOKUP(#REF!,'[1]Listas Desplegables'!$H$3:$J$7,2,FALSE())</f>
        <v>#VALUE!</v>
      </c>
      <c r="B129" s="68" t="e">
        <f aca="false">VLOOKUP(#REF!,'[1]Listas Desplegables'!$H$3:$J$7,3,FALSE())</f>
        <v>#VALUE!</v>
      </c>
      <c r="C129" s="85" t="n">
        <v>124</v>
      </c>
      <c r="D129" s="86" t="s">
        <v>424</v>
      </c>
      <c r="E129" s="86" t="s">
        <v>424</v>
      </c>
      <c r="F129" s="109" t="n">
        <v>13.8</v>
      </c>
      <c r="G129" s="86" t="s">
        <v>762</v>
      </c>
      <c r="H129" s="86" t="s">
        <v>905</v>
      </c>
      <c r="I129" s="94" t="s">
        <v>395</v>
      </c>
      <c r="J129" s="96" t="n">
        <v>2029</v>
      </c>
      <c r="K129" s="128"/>
      <c r="L129" s="128"/>
      <c r="M129" s="128"/>
      <c r="N129" s="128"/>
      <c r="O129" s="128"/>
      <c r="P129" s="128"/>
      <c r="Q129" s="128"/>
      <c r="R129" s="124"/>
      <c r="S129" s="124"/>
      <c r="T129" s="124"/>
      <c r="U129" s="124"/>
      <c r="V129" s="124"/>
      <c r="W129" s="124"/>
      <c r="X129" s="124"/>
      <c r="Y129" s="124"/>
      <c r="Z129" s="121" t="s">
        <v>906</v>
      </c>
    </row>
    <row r="130" customFormat="false" ht="30" hidden="false" customHeight="false" outlineLevel="0" collapsed="false">
      <c r="A130" s="68" t="e">
        <f aca="false">VLOOKUP(#REF!,'[1]Listas Desplegables'!$H$3:$J$7,2,FALSE())</f>
        <v>#VALUE!</v>
      </c>
      <c r="B130" s="68" t="e">
        <f aca="false">VLOOKUP(#REF!,'[1]Listas Desplegables'!$H$3:$J$7,3,FALSE())</f>
        <v>#VALUE!</v>
      </c>
      <c r="C130" s="85" t="n">
        <v>125</v>
      </c>
      <c r="D130" s="94" t="s">
        <v>332</v>
      </c>
      <c r="E130" s="94" t="s">
        <v>332</v>
      </c>
      <c r="F130" s="109" t="n">
        <v>110</v>
      </c>
      <c r="G130" s="94" t="s">
        <v>762</v>
      </c>
      <c r="H130" s="94" t="s">
        <v>907</v>
      </c>
      <c r="I130" s="94" t="s">
        <v>395</v>
      </c>
      <c r="J130" s="96" t="n">
        <v>2029</v>
      </c>
      <c r="K130" s="109"/>
      <c r="L130" s="109"/>
      <c r="M130" s="109"/>
      <c r="N130" s="109"/>
      <c r="O130" s="109"/>
      <c r="P130" s="109"/>
      <c r="Q130" s="124"/>
      <c r="R130" s="124"/>
      <c r="S130" s="124"/>
      <c r="T130" s="124"/>
      <c r="U130" s="124"/>
      <c r="V130" s="124"/>
      <c r="W130" s="124"/>
      <c r="X130" s="124"/>
      <c r="Y130" s="124"/>
      <c r="Z130" s="121" t="s">
        <v>908</v>
      </c>
    </row>
    <row r="131" customFormat="false" ht="30" hidden="false" customHeight="false" outlineLevel="0" collapsed="false">
      <c r="A131" s="68" t="e">
        <f aca="false">VLOOKUP(#REF!,'[1]Listas Desplegables'!$H$3:$J$7,2,FALSE())</f>
        <v>#VALUE!</v>
      </c>
      <c r="B131" s="68" t="e">
        <f aca="false">VLOOKUP(#REF!,'[1]Listas Desplegables'!$H$3:$J$7,3,FALSE())</f>
        <v>#VALUE!</v>
      </c>
      <c r="C131" s="85" t="n">
        <v>126</v>
      </c>
      <c r="D131" s="94" t="s">
        <v>328</v>
      </c>
      <c r="E131" s="94" t="s">
        <v>328</v>
      </c>
      <c r="F131" s="109" t="n">
        <v>110</v>
      </c>
      <c r="G131" s="94" t="s">
        <v>762</v>
      </c>
      <c r="H131" s="94" t="s">
        <v>909</v>
      </c>
      <c r="I131" s="94" t="s">
        <v>395</v>
      </c>
      <c r="J131" s="96" t="n">
        <v>2029</v>
      </c>
      <c r="K131" s="109"/>
      <c r="L131" s="109"/>
      <c r="M131" s="109"/>
      <c r="N131" s="109"/>
      <c r="O131" s="109"/>
      <c r="P131" s="109"/>
      <c r="Q131" s="124"/>
      <c r="R131" s="124"/>
      <c r="S131" s="124"/>
      <c r="T131" s="124"/>
      <c r="U131" s="124"/>
      <c r="V131" s="124"/>
      <c r="W131" s="124"/>
      <c r="X131" s="124"/>
      <c r="Y131" s="124"/>
      <c r="Z131" s="121" t="s">
        <v>910</v>
      </c>
    </row>
    <row r="132" customFormat="false" ht="15" hidden="false" customHeight="false" outlineLevel="0" collapsed="false">
      <c r="A132" s="68" t="e">
        <f aca="false">VLOOKUP(#REF!,'[1]Listas Desplegables'!$H$3:$J$7,2,FALSE())</f>
        <v>#VALUE!</v>
      </c>
      <c r="B132" s="68" t="e">
        <f aca="false">VLOOKUP(#REF!,'[1]Listas Desplegables'!$H$3:$J$7,3,FALSE())</f>
        <v>#VALUE!</v>
      </c>
      <c r="C132" s="85" t="n">
        <v>127</v>
      </c>
      <c r="D132" s="94"/>
      <c r="E132" s="94"/>
      <c r="F132" s="109"/>
      <c r="G132" s="94"/>
      <c r="H132" s="94"/>
      <c r="I132" s="94"/>
      <c r="J132" s="122"/>
      <c r="K132" s="109"/>
      <c r="L132" s="109"/>
      <c r="M132" s="109"/>
      <c r="N132" s="109"/>
      <c r="O132" s="109"/>
      <c r="P132" s="109"/>
      <c r="Q132" s="124"/>
      <c r="R132" s="124"/>
      <c r="S132" s="124"/>
      <c r="T132" s="124"/>
      <c r="U132" s="124"/>
      <c r="V132" s="124"/>
      <c r="W132" s="124"/>
      <c r="X132" s="124"/>
      <c r="Y132" s="124"/>
      <c r="Z132" s="121"/>
    </row>
    <row r="133" customFormat="false" ht="15" hidden="false" customHeight="false" outlineLevel="0" collapsed="false">
      <c r="A133" s="68" t="e">
        <f aca="false">VLOOKUP(#REF!,'[1]Listas Desplegables'!$H$3:$J$7,2,FALSE())</f>
        <v>#VALUE!</v>
      </c>
      <c r="B133" s="68" t="e">
        <f aca="false">VLOOKUP(#REF!,'[1]Listas Desplegables'!$H$3:$J$7,3,FALSE())</f>
        <v>#VALUE!</v>
      </c>
      <c r="C133" s="85" t="n">
        <v>128</v>
      </c>
      <c r="D133" s="94"/>
      <c r="E133" s="94"/>
      <c r="F133" s="109"/>
      <c r="G133" s="94"/>
      <c r="H133" s="94"/>
      <c r="I133" s="94"/>
      <c r="J133" s="122"/>
      <c r="K133" s="109"/>
      <c r="L133" s="109"/>
      <c r="M133" s="109"/>
      <c r="N133" s="109"/>
      <c r="O133" s="109"/>
      <c r="P133" s="109"/>
      <c r="Q133" s="124"/>
      <c r="R133" s="124"/>
      <c r="S133" s="124"/>
      <c r="T133" s="124"/>
      <c r="U133" s="124"/>
      <c r="V133" s="124"/>
      <c r="W133" s="124"/>
      <c r="X133" s="124"/>
      <c r="Y133" s="124"/>
      <c r="Z133" s="121"/>
    </row>
    <row r="134" customFormat="false" ht="15" hidden="false" customHeight="false" outlineLevel="0" collapsed="false">
      <c r="A134" s="68" t="e">
        <f aca="false">VLOOKUP(#REF!,'[1]Listas Desplegables'!$H$3:$J$7,2,FALSE())</f>
        <v>#VALUE!</v>
      </c>
      <c r="B134" s="68" t="e">
        <f aca="false">VLOOKUP(#REF!,'[1]Listas Desplegables'!$H$3:$J$7,3,FALSE())</f>
        <v>#VALUE!</v>
      </c>
      <c r="C134" s="85" t="n">
        <v>129</v>
      </c>
      <c r="D134" s="94"/>
      <c r="E134" s="94"/>
      <c r="F134" s="109"/>
      <c r="G134" s="94"/>
      <c r="H134" s="94"/>
      <c r="I134" s="94"/>
      <c r="J134" s="122"/>
      <c r="K134" s="109"/>
      <c r="L134" s="109"/>
      <c r="M134" s="109"/>
      <c r="N134" s="109"/>
      <c r="O134" s="109"/>
      <c r="P134" s="109"/>
      <c r="Q134" s="124"/>
      <c r="R134" s="124"/>
      <c r="S134" s="124"/>
      <c r="T134" s="124"/>
      <c r="U134" s="124"/>
      <c r="V134" s="124"/>
      <c r="W134" s="124"/>
      <c r="X134" s="124"/>
      <c r="Y134" s="124"/>
      <c r="Z134" s="121"/>
    </row>
    <row r="135" customFormat="false" ht="15" hidden="false" customHeight="false" outlineLevel="0" collapsed="false">
      <c r="A135" s="68" t="e">
        <f aca="false">VLOOKUP(#REF!,'[1]Listas Desplegables'!$H$3:$J$7,2,FALSE())</f>
        <v>#VALUE!</v>
      </c>
      <c r="B135" s="68" t="e">
        <f aca="false">VLOOKUP(#REF!,'[1]Listas Desplegables'!$H$3:$J$7,3,FALSE())</f>
        <v>#VALUE!</v>
      </c>
      <c r="C135" s="85" t="n">
        <v>130</v>
      </c>
      <c r="D135" s="94"/>
      <c r="E135" s="94"/>
      <c r="F135" s="109"/>
      <c r="G135" s="94"/>
      <c r="H135" s="94"/>
      <c r="I135" s="94"/>
      <c r="J135" s="122"/>
      <c r="K135" s="109"/>
      <c r="L135" s="109"/>
      <c r="M135" s="109"/>
      <c r="N135" s="109"/>
      <c r="O135" s="109"/>
      <c r="P135" s="109"/>
      <c r="Q135" s="124"/>
      <c r="R135" s="124"/>
      <c r="S135" s="124"/>
      <c r="T135" s="124"/>
      <c r="U135" s="124"/>
      <c r="V135" s="124"/>
      <c r="W135" s="124"/>
      <c r="X135" s="124"/>
      <c r="Y135" s="124"/>
      <c r="Z135" s="121"/>
    </row>
    <row r="136" customFormat="false" ht="15" hidden="false" customHeight="false" outlineLevel="0" collapsed="false">
      <c r="A136" s="68" t="e">
        <f aca="false">VLOOKUP(#REF!,'[1]Listas Desplegables'!$H$3:$J$7,2,FALSE())</f>
        <v>#VALUE!</v>
      </c>
      <c r="B136" s="68" t="e">
        <f aca="false">VLOOKUP(#REF!,'[1]Listas Desplegables'!$H$3:$J$7,3,FALSE())</f>
        <v>#VALUE!</v>
      </c>
      <c r="C136" s="85" t="n">
        <v>131</v>
      </c>
      <c r="D136" s="94"/>
      <c r="E136" s="94"/>
      <c r="F136" s="109"/>
      <c r="G136" s="94"/>
      <c r="H136" s="94"/>
      <c r="I136" s="94"/>
      <c r="J136" s="122"/>
      <c r="K136" s="109"/>
      <c r="L136" s="109"/>
      <c r="M136" s="109"/>
      <c r="N136" s="109"/>
      <c r="O136" s="109"/>
      <c r="P136" s="109"/>
      <c r="Q136" s="124"/>
      <c r="R136" s="124"/>
      <c r="S136" s="124"/>
      <c r="T136" s="124"/>
      <c r="U136" s="124"/>
      <c r="V136" s="124"/>
      <c r="W136" s="124"/>
      <c r="X136" s="124"/>
      <c r="Y136" s="124"/>
      <c r="Z136" s="121"/>
    </row>
    <row r="137" customFormat="false" ht="15" hidden="false" customHeight="false" outlineLevel="0" collapsed="false">
      <c r="A137" s="68" t="e">
        <f aca="false">VLOOKUP(#REF!,'[1]Listas Desplegables'!$H$3:$J$7,2,FALSE())</f>
        <v>#VALUE!</v>
      </c>
      <c r="B137" s="68" t="e">
        <f aca="false">VLOOKUP(#REF!,'[1]Listas Desplegables'!$H$3:$J$7,3,FALSE())</f>
        <v>#VALUE!</v>
      </c>
      <c r="C137" s="85" t="n">
        <v>132</v>
      </c>
      <c r="D137" s="94"/>
      <c r="E137" s="94"/>
      <c r="F137" s="109"/>
      <c r="G137" s="94"/>
      <c r="H137" s="94"/>
      <c r="I137" s="94"/>
      <c r="J137" s="122"/>
      <c r="K137" s="109"/>
      <c r="L137" s="109"/>
      <c r="M137" s="109"/>
      <c r="N137" s="109"/>
      <c r="O137" s="109"/>
      <c r="P137" s="109"/>
      <c r="Q137" s="124"/>
      <c r="R137" s="124"/>
      <c r="S137" s="124"/>
      <c r="T137" s="124"/>
      <c r="U137" s="124"/>
      <c r="V137" s="124"/>
      <c r="W137" s="124"/>
      <c r="X137" s="124"/>
      <c r="Y137" s="124"/>
      <c r="Z137" s="121"/>
    </row>
    <row r="138" customFormat="false" ht="15" hidden="false" customHeight="false" outlineLevel="0" collapsed="false">
      <c r="A138" s="68" t="e">
        <f aca="false">VLOOKUP(#REF!,'[1]Listas Desplegables'!$H$3:$J$7,2,FALSE())</f>
        <v>#VALUE!</v>
      </c>
      <c r="B138" s="68" t="e">
        <f aca="false">VLOOKUP(#REF!,'[1]Listas Desplegables'!$H$3:$J$7,3,FALSE())</f>
        <v>#VALUE!</v>
      </c>
      <c r="C138" s="85" t="n">
        <v>133</v>
      </c>
      <c r="D138" s="94"/>
      <c r="E138" s="94"/>
      <c r="F138" s="109"/>
      <c r="G138" s="94"/>
      <c r="H138" s="94"/>
      <c r="I138" s="94"/>
      <c r="J138" s="122"/>
      <c r="K138" s="109"/>
      <c r="L138" s="109"/>
      <c r="M138" s="109"/>
      <c r="N138" s="109"/>
      <c r="O138" s="109"/>
      <c r="P138" s="109"/>
      <c r="Q138" s="124"/>
      <c r="R138" s="124"/>
      <c r="S138" s="124"/>
      <c r="T138" s="124"/>
      <c r="U138" s="124"/>
      <c r="V138" s="124"/>
      <c r="W138" s="124"/>
      <c r="X138" s="124"/>
      <c r="Y138" s="124"/>
      <c r="Z138" s="121"/>
    </row>
    <row r="139" customFormat="false" ht="15" hidden="false" customHeight="false" outlineLevel="0" collapsed="false">
      <c r="A139" s="68" t="e">
        <f aca="false">VLOOKUP(#REF!,'[1]Listas Desplegables'!$H$3:$J$7,2,FALSE())</f>
        <v>#VALUE!</v>
      </c>
      <c r="B139" s="68" t="e">
        <f aca="false">VLOOKUP(#REF!,'[1]Listas Desplegables'!$H$3:$J$7,3,FALSE())</f>
        <v>#VALUE!</v>
      </c>
      <c r="C139" s="85" t="n">
        <v>134</v>
      </c>
      <c r="D139" s="94"/>
      <c r="E139" s="94"/>
      <c r="F139" s="109"/>
      <c r="G139" s="94"/>
      <c r="H139" s="94"/>
      <c r="I139" s="94"/>
      <c r="J139" s="122"/>
      <c r="K139" s="109"/>
      <c r="L139" s="109"/>
      <c r="M139" s="109"/>
      <c r="N139" s="109"/>
      <c r="O139" s="109"/>
      <c r="P139" s="109"/>
      <c r="Q139" s="124"/>
      <c r="R139" s="124"/>
      <c r="S139" s="124"/>
      <c r="T139" s="124"/>
      <c r="U139" s="124"/>
      <c r="V139" s="124"/>
      <c r="W139" s="124"/>
      <c r="X139" s="124"/>
      <c r="Y139" s="124"/>
      <c r="Z139" s="121"/>
    </row>
    <row r="140" customFormat="false" ht="15" hidden="false" customHeight="false" outlineLevel="0" collapsed="false">
      <c r="A140" s="68" t="e">
        <f aca="false">VLOOKUP(#REF!,'[1]Listas Desplegables'!$H$3:$J$7,2,FALSE())</f>
        <v>#VALUE!</v>
      </c>
      <c r="B140" s="68" t="e">
        <f aca="false">VLOOKUP(#REF!,'[1]Listas Desplegables'!$H$3:$J$7,3,FALSE())</f>
        <v>#VALUE!</v>
      </c>
      <c r="C140" s="85" t="n">
        <v>135</v>
      </c>
      <c r="D140" s="94"/>
      <c r="E140" s="94"/>
      <c r="F140" s="109"/>
      <c r="G140" s="94"/>
      <c r="H140" s="94"/>
      <c r="I140" s="94"/>
      <c r="J140" s="122"/>
      <c r="K140" s="109"/>
      <c r="L140" s="109"/>
      <c r="M140" s="109"/>
      <c r="N140" s="109"/>
      <c r="O140" s="109"/>
      <c r="P140" s="109"/>
      <c r="Q140" s="124"/>
      <c r="R140" s="124"/>
      <c r="S140" s="124"/>
      <c r="T140" s="124"/>
      <c r="U140" s="124"/>
      <c r="V140" s="124"/>
      <c r="W140" s="124"/>
      <c r="X140" s="124"/>
      <c r="Y140" s="124"/>
      <c r="Z140" s="121"/>
    </row>
    <row r="141" customFormat="false" ht="15" hidden="false" customHeight="false" outlineLevel="0" collapsed="false">
      <c r="A141" s="68" t="e">
        <f aca="false">VLOOKUP(#REF!,'[1]Listas Desplegables'!$H$3:$J$7,2,FALSE())</f>
        <v>#VALUE!</v>
      </c>
      <c r="B141" s="68" t="e">
        <f aca="false">VLOOKUP(#REF!,'[1]Listas Desplegables'!$H$3:$J$7,3,FALSE())</f>
        <v>#VALUE!</v>
      </c>
      <c r="C141" s="85" t="n">
        <v>136</v>
      </c>
      <c r="D141" s="94"/>
      <c r="E141" s="94"/>
      <c r="F141" s="109"/>
      <c r="G141" s="94"/>
      <c r="H141" s="94"/>
      <c r="I141" s="94"/>
      <c r="J141" s="122"/>
      <c r="K141" s="109"/>
      <c r="L141" s="109"/>
      <c r="M141" s="109"/>
      <c r="N141" s="109"/>
      <c r="O141" s="109"/>
      <c r="P141" s="109"/>
      <c r="Q141" s="124"/>
      <c r="R141" s="124"/>
      <c r="S141" s="124"/>
      <c r="T141" s="124"/>
      <c r="U141" s="124"/>
      <c r="V141" s="124"/>
      <c r="W141" s="124"/>
      <c r="X141" s="124"/>
      <c r="Y141" s="124"/>
      <c r="Z141" s="121"/>
    </row>
    <row r="142" customFormat="false" ht="15" hidden="false" customHeight="false" outlineLevel="0" collapsed="false">
      <c r="A142" s="68" t="e">
        <f aca="false">VLOOKUP(#REF!,'[1]Listas Desplegables'!$H$3:$J$7,2,FALSE())</f>
        <v>#VALUE!</v>
      </c>
      <c r="B142" s="68" t="e">
        <f aca="false">VLOOKUP(#REF!,'[1]Listas Desplegables'!$H$3:$J$7,3,FALSE())</f>
        <v>#VALUE!</v>
      </c>
      <c r="C142" s="85" t="n">
        <v>137</v>
      </c>
      <c r="D142" s="94"/>
      <c r="E142" s="94"/>
      <c r="F142" s="109"/>
      <c r="G142" s="94"/>
      <c r="H142" s="94"/>
      <c r="I142" s="94"/>
      <c r="J142" s="122"/>
      <c r="K142" s="109"/>
      <c r="L142" s="109"/>
      <c r="M142" s="109"/>
      <c r="N142" s="109"/>
      <c r="O142" s="109"/>
      <c r="P142" s="109"/>
      <c r="Q142" s="124"/>
      <c r="R142" s="124"/>
      <c r="S142" s="124"/>
      <c r="T142" s="124"/>
      <c r="U142" s="124"/>
      <c r="V142" s="124"/>
      <c r="W142" s="124"/>
      <c r="X142" s="124"/>
      <c r="Y142" s="124"/>
      <c r="Z142" s="121"/>
    </row>
    <row r="143" customFormat="false" ht="15" hidden="false" customHeight="false" outlineLevel="0" collapsed="false">
      <c r="A143" s="68" t="e">
        <f aca="false">VLOOKUP(#REF!,'[1]Listas Desplegables'!$H$3:$J$7,2,FALSE())</f>
        <v>#VALUE!</v>
      </c>
      <c r="B143" s="68" t="e">
        <f aca="false">VLOOKUP(#REF!,'[1]Listas Desplegables'!$H$3:$J$7,3,FALSE())</f>
        <v>#VALUE!</v>
      </c>
      <c r="C143" s="85" t="n">
        <v>138</v>
      </c>
      <c r="D143" s="94"/>
      <c r="E143" s="94"/>
      <c r="F143" s="109"/>
      <c r="G143" s="94"/>
      <c r="H143" s="94"/>
      <c r="I143" s="94"/>
      <c r="J143" s="122"/>
      <c r="K143" s="109"/>
      <c r="L143" s="109"/>
      <c r="M143" s="109"/>
      <c r="N143" s="109"/>
      <c r="O143" s="109"/>
      <c r="P143" s="109"/>
      <c r="Q143" s="124"/>
      <c r="R143" s="124"/>
      <c r="S143" s="124"/>
      <c r="T143" s="124"/>
      <c r="U143" s="124"/>
      <c r="V143" s="124"/>
      <c r="W143" s="124"/>
      <c r="X143" s="124"/>
      <c r="Y143" s="124"/>
      <c r="Z143" s="121"/>
    </row>
    <row r="144" customFormat="false" ht="15" hidden="false" customHeight="false" outlineLevel="0" collapsed="false">
      <c r="A144" s="68" t="e">
        <f aca="false">VLOOKUP(#REF!,'[1]Listas Desplegables'!$H$3:$J$7,2,FALSE())</f>
        <v>#VALUE!</v>
      </c>
      <c r="B144" s="68" t="e">
        <f aca="false">VLOOKUP(#REF!,'[1]Listas Desplegables'!$H$3:$J$7,3,FALSE())</f>
        <v>#VALUE!</v>
      </c>
      <c r="C144" s="85" t="n">
        <v>139</v>
      </c>
      <c r="D144" s="94"/>
      <c r="E144" s="94"/>
      <c r="F144" s="109"/>
      <c r="G144" s="94"/>
      <c r="H144" s="94"/>
      <c r="I144" s="94"/>
      <c r="J144" s="122"/>
      <c r="K144" s="109"/>
      <c r="L144" s="109"/>
      <c r="M144" s="109"/>
      <c r="N144" s="109"/>
      <c r="O144" s="109"/>
      <c r="P144" s="109"/>
      <c r="Q144" s="124"/>
      <c r="R144" s="124"/>
      <c r="S144" s="124"/>
      <c r="T144" s="124"/>
      <c r="U144" s="124"/>
      <c r="V144" s="124"/>
      <c r="W144" s="124"/>
      <c r="X144" s="124"/>
      <c r="Y144" s="124"/>
      <c r="Z144" s="121"/>
    </row>
    <row r="145" customFormat="false" ht="15" hidden="false" customHeight="false" outlineLevel="0" collapsed="false">
      <c r="A145" s="68" t="e">
        <f aca="false">VLOOKUP(#REF!,'[1]Listas Desplegables'!$H$3:$J$7,2,FALSE())</f>
        <v>#VALUE!</v>
      </c>
      <c r="B145" s="68" t="e">
        <f aca="false">VLOOKUP(#REF!,'[1]Listas Desplegables'!$H$3:$J$7,3,FALSE())</f>
        <v>#VALUE!</v>
      </c>
      <c r="C145" s="85" t="n">
        <v>140</v>
      </c>
      <c r="D145" s="94"/>
      <c r="E145" s="94"/>
      <c r="F145" s="109"/>
      <c r="G145" s="94"/>
      <c r="H145" s="94"/>
      <c r="I145" s="94"/>
      <c r="J145" s="122"/>
      <c r="K145" s="109"/>
      <c r="L145" s="109"/>
      <c r="M145" s="109"/>
      <c r="N145" s="109"/>
      <c r="O145" s="109"/>
      <c r="P145" s="109"/>
      <c r="Q145" s="124"/>
      <c r="R145" s="124"/>
      <c r="S145" s="124"/>
      <c r="T145" s="124"/>
      <c r="U145" s="124"/>
      <c r="V145" s="124"/>
      <c r="W145" s="124"/>
      <c r="X145" s="124"/>
      <c r="Y145" s="124"/>
      <c r="Z145" s="121"/>
    </row>
    <row r="146" customFormat="false" ht="15" hidden="false" customHeight="false" outlineLevel="0" collapsed="false">
      <c r="A146" s="68" t="e">
        <f aca="false">VLOOKUP(#REF!,'[1]Listas Desplegables'!$H$3:$J$7,2,FALSE())</f>
        <v>#VALUE!</v>
      </c>
      <c r="B146" s="68" t="e">
        <f aca="false">VLOOKUP(#REF!,'[1]Listas Desplegables'!$H$3:$J$7,3,FALSE())</f>
        <v>#VALUE!</v>
      </c>
      <c r="C146" s="85" t="n">
        <v>141</v>
      </c>
      <c r="D146" s="94"/>
      <c r="E146" s="94"/>
      <c r="F146" s="109"/>
      <c r="G146" s="94"/>
      <c r="H146" s="94"/>
      <c r="I146" s="94"/>
      <c r="J146" s="122"/>
      <c r="K146" s="109"/>
      <c r="L146" s="109"/>
      <c r="M146" s="109"/>
      <c r="N146" s="109"/>
      <c r="O146" s="109"/>
      <c r="P146" s="109"/>
      <c r="Q146" s="124"/>
      <c r="R146" s="124"/>
      <c r="S146" s="124"/>
      <c r="T146" s="124"/>
      <c r="U146" s="124"/>
      <c r="V146" s="124"/>
      <c r="W146" s="124"/>
      <c r="X146" s="124"/>
      <c r="Y146" s="124"/>
      <c r="Z146" s="121"/>
    </row>
    <row r="147" customFormat="false" ht="15" hidden="false" customHeight="false" outlineLevel="0" collapsed="false">
      <c r="A147" s="68" t="e">
        <f aca="false">VLOOKUP(#REF!,'[1]Listas Desplegables'!$H$3:$J$7,2,FALSE())</f>
        <v>#VALUE!</v>
      </c>
      <c r="B147" s="68" t="e">
        <f aca="false">VLOOKUP(#REF!,'[1]Listas Desplegables'!$H$3:$J$7,3,FALSE())</f>
        <v>#VALUE!</v>
      </c>
      <c r="C147" s="85" t="n">
        <v>142</v>
      </c>
      <c r="D147" s="94"/>
      <c r="E147" s="94"/>
      <c r="F147" s="109"/>
      <c r="G147" s="94"/>
      <c r="H147" s="94"/>
      <c r="I147" s="94"/>
      <c r="J147" s="122"/>
      <c r="K147" s="109"/>
      <c r="L147" s="109"/>
      <c r="M147" s="109"/>
      <c r="N147" s="109"/>
      <c r="O147" s="109"/>
      <c r="P147" s="109"/>
      <c r="Q147" s="124"/>
      <c r="R147" s="124"/>
      <c r="S147" s="124"/>
      <c r="T147" s="124"/>
      <c r="U147" s="124"/>
      <c r="V147" s="124"/>
      <c r="W147" s="124"/>
      <c r="X147" s="124"/>
      <c r="Y147" s="124"/>
      <c r="Z147" s="121"/>
    </row>
    <row r="148" customFormat="false" ht="15" hidden="false" customHeight="false" outlineLevel="0" collapsed="false">
      <c r="A148" s="68" t="e">
        <f aca="false">VLOOKUP(#REF!,'[1]Listas Desplegables'!$H$3:$J$7,2,FALSE())</f>
        <v>#VALUE!</v>
      </c>
      <c r="B148" s="68" t="e">
        <f aca="false">VLOOKUP(#REF!,'[1]Listas Desplegables'!$H$3:$J$7,3,FALSE())</f>
        <v>#VALUE!</v>
      </c>
      <c r="C148" s="85" t="n">
        <v>143</v>
      </c>
      <c r="D148" s="94"/>
      <c r="E148" s="94"/>
      <c r="F148" s="109"/>
      <c r="G148" s="94"/>
      <c r="H148" s="94"/>
      <c r="I148" s="94"/>
      <c r="J148" s="122"/>
      <c r="K148" s="109"/>
      <c r="L148" s="109"/>
      <c r="M148" s="109"/>
      <c r="N148" s="109"/>
      <c r="O148" s="109"/>
      <c r="P148" s="109"/>
      <c r="Q148" s="124"/>
      <c r="R148" s="124"/>
      <c r="S148" s="124"/>
      <c r="T148" s="124"/>
      <c r="U148" s="124"/>
      <c r="V148" s="124"/>
      <c r="W148" s="124"/>
      <c r="X148" s="124"/>
      <c r="Y148" s="124"/>
      <c r="Z148" s="121"/>
    </row>
    <row r="149" customFormat="false" ht="15" hidden="false" customHeight="false" outlineLevel="0" collapsed="false">
      <c r="A149" s="68" t="e">
        <f aca="false">VLOOKUP(#REF!,'[1]Listas Desplegables'!$H$3:$J$7,2,FALSE())</f>
        <v>#VALUE!</v>
      </c>
      <c r="B149" s="68" t="e">
        <f aca="false">VLOOKUP(#REF!,'[1]Listas Desplegables'!$H$3:$J$7,3,FALSE())</f>
        <v>#VALUE!</v>
      </c>
      <c r="C149" s="85" t="n">
        <v>144</v>
      </c>
      <c r="D149" s="94"/>
      <c r="E149" s="94"/>
      <c r="F149" s="109"/>
      <c r="G149" s="94"/>
      <c r="H149" s="94"/>
      <c r="I149" s="94"/>
      <c r="J149" s="122"/>
      <c r="K149" s="109"/>
      <c r="L149" s="109"/>
      <c r="M149" s="109"/>
      <c r="N149" s="109"/>
      <c r="O149" s="109"/>
      <c r="P149" s="109"/>
      <c r="Q149" s="124"/>
      <c r="R149" s="124"/>
      <c r="S149" s="124"/>
      <c r="T149" s="124"/>
      <c r="U149" s="124"/>
      <c r="V149" s="124"/>
      <c r="W149" s="124"/>
      <c r="X149" s="124"/>
      <c r="Y149" s="124"/>
      <c r="Z149" s="121"/>
    </row>
    <row r="150" customFormat="false" ht="15" hidden="false" customHeight="false" outlineLevel="0" collapsed="false">
      <c r="A150" s="68" t="e">
        <f aca="false">VLOOKUP(#REF!,'[1]Listas Desplegables'!$H$3:$J$7,2,FALSE())</f>
        <v>#VALUE!</v>
      </c>
      <c r="B150" s="68" t="e">
        <f aca="false">VLOOKUP(#REF!,'[1]Listas Desplegables'!$H$3:$J$7,3,FALSE())</f>
        <v>#VALUE!</v>
      </c>
      <c r="C150" s="85" t="n">
        <v>145</v>
      </c>
      <c r="D150" s="94"/>
      <c r="E150" s="94"/>
      <c r="F150" s="109"/>
      <c r="G150" s="94"/>
      <c r="H150" s="94"/>
      <c r="I150" s="94"/>
      <c r="J150" s="122"/>
      <c r="K150" s="109"/>
      <c r="L150" s="109"/>
      <c r="M150" s="109"/>
      <c r="N150" s="109"/>
      <c r="O150" s="109"/>
      <c r="P150" s="109"/>
      <c r="Q150" s="124"/>
      <c r="R150" s="124"/>
      <c r="S150" s="124"/>
      <c r="T150" s="124"/>
      <c r="U150" s="124"/>
      <c r="V150" s="124"/>
      <c r="W150" s="124"/>
      <c r="X150" s="124"/>
      <c r="Y150" s="124"/>
      <c r="Z150" s="121"/>
    </row>
    <row r="151" customFormat="false" ht="15" hidden="false" customHeight="false" outlineLevel="0" collapsed="false">
      <c r="A151" s="68" t="e">
        <f aca="false">VLOOKUP(#REF!,'[1]Listas Desplegables'!$H$3:$J$7,2,FALSE())</f>
        <v>#VALUE!</v>
      </c>
      <c r="B151" s="68" t="e">
        <f aca="false">VLOOKUP(#REF!,'[1]Listas Desplegables'!$H$3:$J$7,3,FALSE())</f>
        <v>#VALUE!</v>
      </c>
      <c r="C151" s="85" t="n">
        <v>146</v>
      </c>
      <c r="D151" s="94"/>
      <c r="E151" s="94"/>
      <c r="F151" s="109"/>
      <c r="G151" s="94"/>
      <c r="H151" s="94"/>
      <c r="I151" s="94"/>
      <c r="J151" s="122"/>
      <c r="K151" s="109"/>
      <c r="L151" s="109"/>
      <c r="M151" s="109"/>
      <c r="N151" s="109"/>
      <c r="O151" s="109"/>
      <c r="P151" s="109"/>
      <c r="Q151" s="124"/>
      <c r="R151" s="124"/>
      <c r="S151" s="124"/>
      <c r="T151" s="124"/>
      <c r="U151" s="124"/>
      <c r="V151" s="124"/>
      <c r="W151" s="124"/>
      <c r="X151" s="124"/>
      <c r="Y151" s="124"/>
      <c r="Z151" s="121"/>
    </row>
    <row r="152" customFormat="false" ht="15" hidden="false" customHeight="false" outlineLevel="0" collapsed="false">
      <c r="A152" s="68" t="e">
        <f aca="false">VLOOKUP(#REF!,'[1]Listas Desplegables'!$H$3:$J$7,2,FALSE())</f>
        <v>#VALUE!</v>
      </c>
      <c r="B152" s="68" t="e">
        <f aca="false">VLOOKUP(#REF!,'[1]Listas Desplegables'!$H$3:$J$7,3,FALSE())</f>
        <v>#VALUE!</v>
      </c>
      <c r="C152" s="85" t="n">
        <v>147</v>
      </c>
      <c r="D152" s="94"/>
      <c r="E152" s="94"/>
      <c r="F152" s="109"/>
      <c r="G152" s="94"/>
      <c r="H152" s="94"/>
      <c r="I152" s="94"/>
      <c r="J152" s="122"/>
      <c r="K152" s="109"/>
      <c r="L152" s="109"/>
      <c r="M152" s="109"/>
      <c r="N152" s="109"/>
      <c r="O152" s="109"/>
      <c r="P152" s="109"/>
      <c r="Q152" s="124"/>
      <c r="R152" s="124"/>
      <c r="S152" s="124"/>
      <c r="T152" s="124"/>
      <c r="U152" s="124"/>
      <c r="V152" s="124"/>
      <c r="W152" s="124"/>
      <c r="X152" s="124"/>
      <c r="Y152" s="124"/>
      <c r="Z152" s="121"/>
    </row>
    <row r="153" customFormat="false" ht="15" hidden="false" customHeight="false" outlineLevel="0" collapsed="false">
      <c r="A153" s="68" t="e">
        <f aca="false">VLOOKUP(#REF!,'[1]Listas Desplegables'!$H$3:$J$7,2,FALSE())</f>
        <v>#VALUE!</v>
      </c>
      <c r="B153" s="68" t="e">
        <f aca="false">VLOOKUP(#REF!,'[1]Listas Desplegables'!$H$3:$J$7,3,FALSE())</f>
        <v>#VALUE!</v>
      </c>
      <c r="C153" s="85" t="n">
        <v>148</v>
      </c>
      <c r="D153" s="94"/>
      <c r="E153" s="94"/>
      <c r="F153" s="109"/>
      <c r="G153" s="94"/>
      <c r="H153" s="94"/>
      <c r="I153" s="94"/>
      <c r="J153" s="122"/>
      <c r="K153" s="109"/>
      <c r="L153" s="109"/>
      <c r="M153" s="109"/>
      <c r="N153" s="109"/>
      <c r="O153" s="109"/>
      <c r="P153" s="109"/>
      <c r="Q153" s="124"/>
      <c r="R153" s="124"/>
      <c r="S153" s="124"/>
      <c r="T153" s="124"/>
      <c r="U153" s="124"/>
      <c r="V153" s="124"/>
      <c r="W153" s="124"/>
      <c r="X153" s="124"/>
      <c r="Y153" s="124"/>
      <c r="Z153" s="121"/>
    </row>
    <row r="154" customFormat="false" ht="15" hidden="false" customHeight="false" outlineLevel="0" collapsed="false">
      <c r="A154" s="68" t="e">
        <f aca="false">VLOOKUP(#REF!,'[1]Listas Desplegables'!$H$3:$J$7,2,FALSE())</f>
        <v>#VALUE!</v>
      </c>
      <c r="B154" s="68" t="e">
        <f aca="false">VLOOKUP(#REF!,'[1]Listas Desplegables'!$H$3:$J$7,3,FALSE())</f>
        <v>#VALUE!</v>
      </c>
      <c r="C154" s="85" t="n">
        <v>149</v>
      </c>
      <c r="D154" s="94"/>
      <c r="E154" s="94"/>
      <c r="F154" s="109"/>
      <c r="G154" s="94"/>
      <c r="H154" s="94"/>
      <c r="I154" s="94"/>
      <c r="J154" s="122"/>
      <c r="K154" s="109"/>
      <c r="L154" s="109"/>
      <c r="M154" s="109"/>
      <c r="N154" s="109"/>
      <c r="O154" s="109"/>
      <c r="P154" s="109"/>
      <c r="Q154" s="124"/>
      <c r="R154" s="124"/>
      <c r="S154" s="124"/>
      <c r="T154" s="124"/>
      <c r="U154" s="124"/>
      <c r="V154" s="124"/>
      <c r="W154" s="124"/>
      <c r="X154" s="124"/>
      <c r="Y154" s="124"/>
      <c r="Z154" s="121"/>
    </row>
    <row r="155" customFormat="false" ht="15" hidden="false" customHeight="false" outlineLevel="0" collapsed="false">
      <c r="A155" s="68" t="e">
        <f aca="false">VLOOKUP(#REF!,'[1]Listas Desplegables'!$H$3:$J$7,2,FALSE())</f>
        <v>#VALUE!</v>
      </c>
      <c r="B155" s="68" t="e">
        <f aca="false">VLOOKUP(#REF!,'[1]Listas Desplegables'!$H$3:$J$7,3,FALSE())</f>
        <v>#VALUE!</v>
      </c>
      <c r="C155" s="85" t="n">
        <v>150</v>
      </c>
      <c r="D155" s="94"/>
      <c r="E155" s="94"/>
      <c r="F155" s="109"/>
      <c r="G155" s="94"/>
      <c r="H155" s="94"/>
      <c r="I155" s="94"/>
      <c r="J155" s="122"/>
      <c r="K155" s="109"/>
      <c r="L155" s="109"/>
      <c r="M155" s="109"/>
      <c r="N155" s="109"/>
      <c r="O155" s="109"/>
      <c r="P155" s="109"/>
      <c r="Q155" s="124"/>
      <c r="R155" s="124"/>
      <c r="S155" s="124"/>
      <c r="T155" s="124"/>
      <c r="U155" s="124"/>
      <c r="V155" s="124"/>
      <c r="W155" s="124"/>
      <c r="X155" s="124"/>
      <c r="Y155" s="124"/>
      <c r="Z155" s="121"/>
    </row>
    <row r="156" customFormat="false" ht="15" hidden="false" customHeight="false" outlineLevel="0" collapsed="false">
      <c r="A156" s="68" t="e">
        <f aca="false">VLOOKUP(#REF!,'[1]Listas Desplegables'!$H$3:$J$7,2,FALSE())</f>
        <v>#VALUE!</v>
      </c>
      <c r="B156" s="68" t="e">
        <f aca="false">VLOOKUP(#REF!,'[1]Listas Desplegables'!$H$3:$J$7,3,FALSE())</f>
        <v>#VALUE!</v>
      </c>
      <c r="C156" s="85" t="n">
        <v>151</v>
      </c>
      <c r="D156" s="94"/>
      <c r="E156" s="94"/>
      <c r="F156" s="109"/>
      <c r="G156" s="94"/>
      <c r="H156" s="94"/>
      <c r="I156" s="94"/>
      <c r="J156" s="122"/>
      <c r="K156" s="109"/>
      <c r="L156" s="109"/>
      <c r="M156" s="109"/>
      <c r="N156" s="109"/>
      <c r="O156" s="109"/>
      <c r="P156" s="109"/>
      <c r="Q156" s="124"/>
      <c r="R156" s="124"/>
      <c r="S156" s="124"/>
      <c r="T156" s="124"/>
      <c r="U156" s="124"/>
      <c r="V156" s="124"/>
      <c r="W156" s="124"/>
      <c r="X156" s="124"/>
      <c r="Y156" s="124"/>
      <c r="Z156" s="121"/>
    </row>
    <row r="157" customFormat="false" ht="15" hidden="false" customHeight="false" outlineLevel="0" collapsed="false">
      <c r="A157" s="68" t="e">
        <f aca="false">VLOOKUP(#REF!,'[1]Listas Desplegables'!$H$3:$J$7,2,FALSE())</f>
        <v>#VALUE!</v>
      </c>
      <c r="B157" s="68" t="e">
        <f aca="false">VLOOKUP(#REF!,'[1]Listas Desplegables'!$H$3:$J$7,3,FALSE())</f>
        <v>#VALUE!</v>
      </c>
      <c r="C157" s="85" t="n">
        <v>152</v>
      </c>
      <c r="D157" s="94"/>
      <c r="E157" s="94"/>
      <c r="F157" s="109"/>
      <c r="G157" s="94"/>
      <c r="H157" s="94"/>
      <c r="I157" s="94"/>
      <c r="J157" s="122"/>
      <c r="K157" s="109"/>
      <c r="L157" s="109"/>
      <c r="M157" s="109"/>
      <c r="N157" s="109"/>
      <c r="O157" s="109"/>
      <c r="P157" s="109"/>
      <c r="Q157" s="124"/>
      <c r="R157" s="124"/>
      <c r="S157" s="124"/>
      <c r="T157" s="124"/>
      <c r="U157" s="124"/>
      <c r="V157" s="124"/>
      <c r="W157" s="124"/>
      <c r="X157" s="124"/>
      <c r="Y157" s="124"/>
      <c r="Z157" s="121"/>
    </row>
    <row r="158" customFormat="false" ht="15" hidden="false" customHeight="false" outlineLevel="0" collapsed="false">
      <c r="A158" s="68" t="e">
        <f aca="false">VLOOKUP(#REF!,'[1]Listas Desplegables'!$H$3:$J$7,2,FALSE())</f>
        <v>#VALUE!</v>
      </c>
      <c r="B158" s="68" t="e">
        <f aca="false">VLOOKUP(#REF!,'[1]Listas Desplegables'!$H$3:$J$7,3,FALSE())</f>
        <v>#VALUE!</v>
      </c>
      <c r="C158" s="85" t="n">
        <v>153</v>
      </c>
      <c r="D158" s="94"/>
      <c r="E158" s="94"/>
      <c r="F158" s="109"/>
      <c r="G158" s="94"/>
      <c r="H158" s="94"/>
      <c r="I158" s="94"/>
      <c r="J158" s="122"/>
      <c r="K158" s="109"/>
      <c r="L158" s="109"/>
      <c r="M158" s="109"/>
      <c r="N158" s="109"/>
      <c r="O158" s="109"/>
      <c r="P158" s="109"/>
      <c r="Q158" s="124"/>
      <c r="R158" s="124"/>
      <c r="S158" s="124"/>
      <c r="T158" s="124"/>
      <c r="U158" s="124"/>
      <c r="V158" s="124"/>
      <c r="W158" s="124"/>
      <c r="X158" s="124"/>
      <c r="Y158" s="124"/>
      <c r="Z158" s="121"/>
    </row>
    <row r="159" customFormat="false" ht="15" hidden="false" customHeight="false" outlineLevel="0" collapsed="false">
      <c r="A159" s="68" t="e">
        <f aca="false">VLOOKUP(#REF!,'[1]Listas Desplegables'!$H$3:$J$7,2,FALSE())</f>
        <v>#VALUE!</v>
      </c>
      <c r="B159" s="68" t="e">
        <f aca="false">VLOOKUP(#REF!,'[1]Listas Desplegables'!$H$3:$J$7,3,FALSE())</f>
        <v>#VALUE!</v>
      </c>
      <c r="C159" s="85" t="n">
        <v>154</v>
      </c>
      <c r="D159" s="94"/>
      <c r="E159" s="94"/>
      <c r="F159" s="109"/>
      <c r="G159" s="94"/>
      <c r="H159" s="94"/>
      <c r="I159" s="94"/>
      <c r="J159" s="122"/>
      <c r="K159" s="109"/>
      <c r="L159" s="109"/>
      <c r="M159" s="109"/>
      <c r="N159" s="109"/>
      <c r="O159" s="109"/>
      <c r="P159" s="109"/>
      <c r="Q159" s="124"/>
      <c r="R159" s="124"/>
      <c r="S159" s="124"/>
      <c r="T159" s="124"/>
      <c r="U159" s="124"/>
      <c r="V159" s="124"/>
      <c r="W159" s="124"/>
      <c r="X159" s="124"/>
      <c r="Y159" s="124"/>
      <c r="Z159" s="121"/>
    </row>
    <row r="160" customFormat="false" ht="15" hidden="false" customHeight="false" outlineLevel="0" collapsed="false">
      <c r="A160" s="68" t="e">
        <f aca="false">VLOOKUP(#REF!,'[1]Listas Desplegables'!$H$3:$J$7,2,FALSE())</f>
        <v>#VALUE!</v>
      </c>
      <c r="B160" s="68" t="e">
        <f aca="false">VLOOKUP(#REF!,'[1]Listas Desplegables'!$H$3:$J$7,3,FALSE())</f>
        <v>#VALUE!</v>
      </c>
      <c r="C160" s="85" t="n">
        <v>155</v>
      </c>
      <c r="D160" s="94"/>
      <c r="E160" s="94"/>
      <c r="F160" s="109"/>
      <c r="G160" s="94"/>
      <c r="H160" s="94"/>
      <c r="I160" s="94"/>
      <c r="J160" s="122"/>
      <c r="K160" s="109"/>
      <c r="L160" s="109"/>
      <c r="M160" s="109"/>
      <c r="N160" s="109"/>
      <c r="O160" s="109"/>
      <c r="P160" s="109"/>
      <c r="Q160" s="124"/>
      <c r="R160" s="124"/>
      <c r="S160" s="124"/>
      <c r="T160" s="124"/>
      <c r="U160" s="124"/>
      <c r="V160" s="124"/>
      <c r="W160" s="124"/>
      <c r="X160" s="124"/>
      <c r="Y160" s="124"/>
      <c r="Z160" s="121"/>
    </row>
    <row r="161" customFormat="false" ht="15" hidden="false" customHeight="false" outlineLevel="0" collapsed="false">
      <c r="A161" s="68" t="e">
        <f aca="false">VLOOKUP(#REF!,'[1]Listas Desplegables'!$H$3:$J$7,2,FALSE())</f>
        <v>#VALUE!</v>
      </c>
      <c r="B161" s="68" t="e">
        <f aca="false">VLOOKUP(#REF!,'[1]Listas Desplegables'!$H$3:$J$7,3,FALSE())</f>
        <v>#VALUE!</v>
      </c>
      <c r="C161" s="85" t="n">
        <v>156</v>
      </c>
      <c r="D161" s="94"/>
      <c r="E161" s="94"/>
      <c r="F161" s="109"/>
      <c r="G161" s="94"/>
      <c r="H161" s="94"/>
      <c r="I161" s="94"/>
      <c r="J161" s="122"/>
      <c r="K161" s="109"/>
      <c r="L161" s="109"/>
      <c r="M161" s="109"/>
      <c r="N161" s="109"/>
      <c r="O161" s="109"/>
      <c r="P161" s="109"/>
      <c r="Q161" s="124"/>
      <c r="R161" s="124"/>
      <c r="S161" s="124"/>
      <c r="T161" s="124"/>
      <c r="U161" s="124"/>
      <c r="V161" s="124"/>
      <c r="W161" s="124"/>
      <c r="X161" s="124"/>
      <c r="Y161" s="124"/>
      <c r="Z161" s="121"/>
    </row>
    <row r="162" customFormat="false" ht="15" hidden="false" customHeight="false" outlineLevel="0" collapsed="false">
      <c r="A162" s="68" t="e">
        <f aca="false">VLOOKUP(#REF!,'[1]Listas Desplegables'!$H$3:$J$7,2,FALSE())</f>
        <v>#VALUE!</v>
      </c>
      <c r="B162" s="68" t="e">
        <f aca="false">VLOOKUP(#REF!,'[1]Listas Desplegables'!$H$3:$J$7,3,FALSE())</f>
        <v>#VALUE!</v>
      </c>
      <c r="C162" s="85" t="n">
        <v>157</v>
      </c>
      <c r="D162" s="94"/>
      <c r="E162" s="94"/>
      <c r="F162" s="109"/>
      <c r="G162" s="94"/>
      <c r="H162" s="94"/>
      <c r="I162" s="94"/>
      <c r="J162" s="122"/>
      <c r="K162" s="109"/>
      <c r="L162" s="109"/>
      <c r="M162" s="109"/>
      <c r="N162" s="109"/>
      <c r="O162" s="109"/>
      <c r="P162" s="109"/>
      <c r="Q162" s="124"/>
      <c r="R162" s="124"/>
      <c r="S162" s="124"/>
      <c r="T162" s="124"/>
      <c r="U162" s="124"/>
      <c r="V162" s="124"/>
      <c r="W162" s="124"/>
      <c r="X162" s="124"/>
      <c r="Y162" s="124"/>
      <c r="Z162" s="121"/>
    </row>
    <row r="163" customFormat="false" ht="15" hidden="false" customHeight="false" outlineLevel="0" collapsed="false">
      <c r="A163" s="68" t="e">
        <f aca="false">VLOOKUP(#REF!,'[1]Listas Desplegables'!$H$3:$J$7,2,FALSE())</f>
        <v>#VALUE!</v>
      </c>
      <c r="B163" s="68" t="e">
        <f aca="false">VLOOKUP(#REF!,'[1]Listas Desplegables'!$H$3:$J$7,3,FALSE())</f>
        <v>#VALUE!</v>
      </c>
      <c r="C163" s="85" t="n">
        <v>158</v>
      </c>
      <c r="D163" s="94"/>
      <c r="E163" s="94"/>
      <c r="F163" s="109"/>
      <c r="G163" s="94"/>
      <c r="H163" s="94"/>
      <c r="I163" s="94"/>
      <c r="J163" s="122"/>
      <c r="K163" s="109"/>
      <c r="L163" s="109"/>
      <c r="M163" s="109"/>
      <c r="N163" s="109"/>
      <c r="O163" s="109"/>
      <c r="P163" s="109"/>
      <c r="Q163" s="124"/>
      <c r="R163" s="124"/>
      <c r="S163" s="124"/>
      <c r="T163" s="124"/>
      <c r="U163" s="124"/>
      <c r="V163" s="124"/>
      <c r="W163" s="124"/>
      <c r="X163" s="124"/>
      <c r="Y163" s="124"/>
      <c r="Z163" s="121"/>
    </row>
    <row r="164" customFormat="false" ht="15" hidden="false" customHeight="false" outlineLevel="0" collapsed="false">
      <c r="A164" s="68" t="e">
        <f aca="false">VLOOKUP(#REF!,'[1]Listas Desplegables'!$H$3:$J$7,2,FALSE())</f>
        <v>#VALUE!</v>
      </c>
      <c r="B164" s="68" t="e">
        <f aca="false">VLOOKUP(#REF!,'[1]Listas Desplegables'!$H$3:$J$7,3,FALSE())</f>
        <v>#VALUE!</v>
      </c>
      <c r="C164" s="85" t="n">
        <v>159</v>
      </c>
      <c r="D164" s="94"/>
      <c r="E164" s="94"/>
      <c r="F164" s="109"/>
      <c r="G164" s="94"/>
      <c r="H164" s="94"/>
      <c r="I164" s="94"/>
      <c r="J164" s="122"/>
      <c r="K164" s="109"/>
      <c r="L164" s="109"/>
      <c r="M164" s="109"/>
      <c r="N164" s="109"/>
      <c r="O164" s="109"/>
      <c r="P164" s="109"/>
      <c r="Q164" s="124"/>
      <c r="R164" s="124"/>
      <c r="S164" s="124"/>
      <c r="T164" s="124"/>
      <c r="U164" s="124"/>
      <c r="V164" s="124"/>
      <c r="W164" s="124"/>
      <c r="X164" s="124"/>
      <c r="Y164" s="124"/>
      <c r="Z164" s="121"/>
    </row>
    <row r="165" customFormat="false" ht="15" hidden="false" customHeight="false" outlineLevel="0" collapsed="false">
      <c r="A165" s="68" t="e">
        <f aca="false">VLOOKUP(#REF!,'[1]Listas Desplegables'!$H$3:$J$7,2,FALSE())</f>
        <v>#VALUE!</v>
      </c>
      <c r="B165" s="68" t="e">
        <f aca="false">VLOOKUP(#REF!,'[1]Listas Desplegables'!$H$3:$J$7,3,FALSE())</f>
        <v>#VALUE!</v>
      </c>
      <c r="C165" s="85" t="n">
        <v>160</v>
      </c>
      <c r="D165" s="94"/>
      <c r="E165" s="94"/>
      <c r="F165" s="109"/>
      <c r="G165" s="94"/>
      <c r="H165" s="94"/>
      <c r="I165" s="94"/>
      <c r="J165" s="122"/>
      <c r="K165" s="109"/>
      <c r="L165" s="109"/>
      <c r="M165" s="109"/>
      <c r="N165" s="109"/>
      <c r="O165" s="109"/>
      <c r="P165" s="109"/>
      <c r="Q165" s="124"/>
      <c r="R165" s="124"/>
      <c r="S165" s="124"/>
      <c r="T165" s="124"/>
      <c r="U165" s="124"/>
      <c r="V165" s="124"/>
      <c r="W165" s="124"/>
      <c r="X165" s="124"/>
      <c r="Y165" s="124"/>
      <c r="Z165" s="121"/>
    </row>
    <row r="166" customFormat="false" ht="15" hidden="false" customHeight="false" outlineLevel="0" collapsed="false">
      <c r="A166" s="68" t="e">
        <f aca="false">VLOOKUP(#REF!,'[1]Listas Desplegables'!$H$3:$J$7,2,FALSE())</f>
        <v>#VALUE!</v>
      </c>
      <c r="B166" s="68" t="e">
        <f aca="false">VLOOKUP(#REF!,'[1]Listas Desplegables'!$H$3:$J$7,3,FALSE())</f>
        <v>#VALUE!</v>
      </c>
      <c r="C166" s="85" t="n">
        <v>161</v>
      </c>
      <c r="D166" s="94"/>
      <c r="E166" s="94"/>
      <c r="F166" s="109"/>
      <c r="G166" s="94"/>
      <c r="H166" s="94"/>
      <c r="I166" s="94"/>
      <c r="J166" s="122"/>
      <c r="K166" s="109"/>
      <c r="L166" s="109"/>
      <c r="M166" s="109"/>
      <c r="N166" s="109"/>
      <c r="O166" s="109"/>
      <c r="P166" s="109"/>
      <c r="Q166" s="124"/>
      <c r="R166" s="124"/>
      <c r="S166" s="124"/>
      <c r="T166" s="124"/>
      <c r="U166" s="124"/>
      <c r="V166" s="124"/>
      <c r="W166" s="124"/>
      <c r="X166" s="124"/>
      <c r="Y166" s="124"/>
      <c r="Z166" s="121"/>
    </row>
    <row r="167" customFormat="false" ht="15" hidden="false" customHeight="false" outlineLevel="0" collapsed="false">
      <c r="A167" s="68" t="e">
        <f aca="false">VLOOKUP(#REF!,'[1]Listas Desplegables'!$H$3:$J$7,2,FALSE())</f>
        <v>#VALUE!</v>
      </c>
      <c r="B167" s="68" t="e">
        <f aca="false">VLOOKUP(#REF!,'[1]Listas Desplegables'!$H$3:$J$7,3,FALSE())</f>
        <v>#VALUE!</v>
      </c>
      <c r="C167" s="85" t="n">
        <v>162</v>
      </c>
      <c r="D167" s="94"/>
      <c r="E167" s="94"/>
      <c r="F167" s="109"/>
      <c r="G167" s="94"/>
      <c r="H167" s="94"/>
      <c r="I167" s="94"/>
      <c r="J167" s="122"/>
      <c r="K167" s="109"/>
      <c r="L167" s="109"/>
      <c r="M167" s="109"/>
      <c r="N167" s="109"/>
      <c r="O167" s="109"/>
      <c r="P167" s="109"/>
      <c r="Q167" s="124"/>
      <c r="R167" s="124"/>
      <c r="S167" s="124"/>
      <c r="T167" s="124"/>
      <c r="U167" s="124"/>
      <c r="V167" s="124"/>
      <c r="W167" s="124"/>
      <c r="X167" s="124"/>
      <c r="Y167" s="124"/>
      <c r="Z167" s="121"/>
    </row>
    <row r="168" customFormat="false" ht="15" hidden="false" customHeight="false" outlineLevel="0" collapsed="false">
      <c r="A168" s="68" t="e">
        <f aca="false">VLOOKUP(#REF!,'[1]Listas Desplegables'!$H$3:$J$7,2,FALSE())</f>
        <v>#VALUE!</v>
      </c>
      <c r="B168" s="68" t="e">
        <f aca="false">VLOOKUP(#REF!,'[1]Listas Desplegables'!$H$3:$J$7,3,FALSE())</f>
        <v>#VALUE!</v>
      </c>
      <c r="C168" s="85" t="n">
        <v>163</v>
      </c>
      <c r="D168" s="94"/>
      <c r="E168" s="94"/>
      <c r="F168" s="109"/>
      <c r="G168" s="94"/>
      <c r="H168" s="94"/>
      <c r="I168" s="94"/>
      <c r="J168" s="122"/>
      <c r="K168" s="109"/>
      <c r="L168" s="109"/>
      <c r="M168" s="109"/>
      <c r="N168" s="109"/>
      <c r="O168" s="109"/>
      <c r="P168" s="109"/>
      <c r="Q168" s="124"/>
      <c r="R168" s="124"/>
      <c r="S168" s="124"/>
      <c r="T168" s="124"/>
      <c r="U168" s="124"/>
      <c r="V168" s="124"/>
      <c r="W168" s="124"/>
      <c r="X168" s="124"/>
      <c r="Y168" s="124"/>
      <c r="Z168" s="121"/>
    </row>
    <row r="169" customFormat="false" ht="15" hidden="false" customHeight="false" outlineLevel="0" collapsed="false">
      <c r="A169" s="68" t="e">
        <f aca="false">VLOOKUP(#REF!,'[1]Listas Desplegables'!$H$3:$J$7,2,FALSE())</f>
        <v>#VALUE!</v>
      </c>
      <c r="B169" s="68" t="e">
        <f aca="false">VLOOKUP(#REF!,'[1]Listas Desplegables'!$H$3:$J$7,3,FALSE())</f>
        <v>#VALUE!</v>
      </c>
      <c r="C169" s="85" t="n">
        <v>164</v>
      </c>
      <c r="D169" s="94"/>
      <c r="E169" s="94"/>
      <c r="F169" s="109"/>
      <c r="G169" s="94"/>
      <c r="H169" s="94"/>
      <c r="I169" s="94"/>
      <c r="J169" s="122"/>
      <c r="K169" s="109"/>
      <c r="L169" s="109"/>
      <c r="M169" s="109"/>
      <c r="N169" s="109"/>
      <c r="O169" s="109"/>
      <c r="P169" s="109"/>
      <c r="Q169" s="124"/>
      <c r="R169" s="124"/>
      <c r="S169" s="124"/>
      <c r="T169" s="124"/>
      <c r="U169" s="124"/>
      <c r="V169" s="124"/>
      <c r="W169" s="124"/>
      <c r="X169" s="124"/>
      <c r="Y169" s="124"/>
      <c r="Z169" s="121"/>
    </row>
    <row r="170" customFormat="false" ht="15" hidden="false" customHeight="false" outlineLevel="0" collapsed="false">
      <c r="A170" s="68" t="e">
        <f aca="false">VLOOKUP(#REF!,'[1]Listas Desplegables'!$H$3:$J$7,2,FALSE())</f>
        <v>#VALUE!</v>
      </c>
      <c r="B170" s="68" t="e">
        <f aca="false">VLOOKUP(#REF!,'[1]Listas Desplegables'!$H$3:$J$7,3,FALSE())</f>
        <v>#VALUE!</v>
      </c>
      <c r="C170" s="85" t="n">
        <v>165</v>
      </c>
      <c r="D170" s="94"/>
      <c r="E170" s="94"/>
      <c r="F170" s="109"/>
      <c r="G170" s="94"/>
      <c r="H170" s="94"/>
      <c r="I170" s="94"/>
      <c r="J170" s="122"/>
      <c r="K170" s="109"/>
      <c r="L170" s="109"/>
      <c r="M170" s="109"/>
      <c r="N170" s="109"/>
      <c r="O170" s="109"/>
      <c r="P170" s="109"/>
      <c r="Q170" s="124"/>
      <c r="R170" s="124"/>
      <c r="S170" s="124"/>
      <c r="T170" s="124"/>
      <c r="U170" s="124"/>
      <c r="V170" s="124"/>
      <c r="W170" s="124"/>
      <c r="X170" s="124"/>
      <c r="Y170" s="124"/>
      <c r="Z170" s="121"/>
    </row>
    <row r="171" customFormat="false" ht="15" hidden="false" customHeight="false" outlineLevel="0" collapsed="false">
      <c r="A171" s="68" t="e">
        <f aca="false">VLOOKUP(#REF!,'[1]Listas Desplegables'!$H$3:$J$7,2,FALSE())</f>
        <v>#VALUE!</v>
      </c>
      <c r="B171" s="68" t="e">
        <f aca="false">VLOOKUP(#REF!,'[1]Listas Desplegables'!$H$3:$J$7,3,FALSE())</f>
        <v>#VALUE!</v>
      </c>
      <c r="C171" s="85" t="n">
        <v>166</v>
      </c>
      <c r="D171" s="94"/>
      <c r="E171" s="94"/>
      <c r="F171" s="109"/>
      <c r="G171" s="94"/>
      <c r="H171" s="94"/>
      <c r="I171" s="94"/>
      <c r="J171" s="122"/>
      <c r="K171" s="109"/>
      <c r="L171" s="109"/>
      <c r="M171" s="109"/>
      <c r="N171" s="109"/>
      <c r="O171" s="109"/>
      <c r="P171" s="109"/>
      <c r="Q171" s="124"/>
      <c r="R171" s="124"/>
      <c r="S171" s="124"/>
      <c r="T171" s="124"/>
      <c r="U171" s="124"/>
      <c r="V171" s="124"/>
      <c r="W171" s="124"/>
      <c r="X171" s="124"/>
      <c r="Y171" s="124"/>
      <c r="Z171" s="121"/>
    </row>
    <row r="172" customFormat="false" ht="15" hidden="false" customHeight="false" outlineLevel="0" collapsed="false">
      <c r="A172" s="68" t="e">
        <f aca="false">VLOOKUP(#REF!,'[1]Listas Desplegables'!$H$3:$J$7,2,FALSE())</f>
        <v>#VALUE!</v>
      </c>
      <c r="B172" s="68" t="e">
        <f aca="false">VLOOKUP(#REF!,'[1]Listas Desplegables'!$H$3:$J$7,3,FALSE())</f>
        <v>#VALUE!</v>
      </c>
      <c r="C172" s="85" t="n">
        <v>167</v>
      </c>
      <c r="D172" s="94"/>
      <c r="E172" s="94"/>
      <c r="F172" s="109"/>
      <c r="G172" s="94"/>
      <c r="H172" s="94"/>
      <c r="I172" s="94"/>
      <c r="J172" s="122"/>
      <c r="K172" s="109"/>
      <c r="L172" s="109"/>
      <c r="M172" s="109"/>
      <c r="N172" s="109"/>
      <c r="O172" s="109"/>
      <c r="P172" s="109"/>
      <c r="Q172" s="124"/>
      <c r="R172" s="124"/>
      <c r="S172" s="124"/>
      <c r="T172" s="124"/>
      <c r="U172" s="124"/>
      <c r="V172" s="124"/>
      <c r="W172" s="124"/>
      <c r="X172" s="124"/>
      <c r="Y172" s="124"/>
      <c r="Z172" s="121"/>
    </row>
    <row r="173" customFormat="false" ht="15" hidden="false" customHeight="false" outlineLevel="0" collapsed="false">
      <c r="A173" s="68" t="e">
        <f aca="false">VLOOKUP(#REF!,'[1]Listas Desplegables'!$H$3:$J$7,2,FALSE())</f>
        <v>#VALUE!</v>
      </c>
      <c r="B173" s="68" t="e">
        <f aca="false">VLOOKUP(#REF!,'[1]Listas Desplegables'!$H$3:$J$7,3,FALSE())</f>
        <v>#VALUE!</v>
      </c>
      <c r="C173" s="85" t="n">
        <v>168</v>
      </c>
      <c r="D173" s="94"/>
      <c r="E173" s="94"/>
      <c r="F173" s="109"/>
      <c r="G173" s="94"/>
      <c r="H173" s="94"/>
      <c r="I173" s="94"/>
      <c r="J173" s="122"/>
      <c r="K173" s="109"/>
      <c r="L173" s="109"/>
      <c r="M173" s="109"/>
      <c r="N173" s="109"/>
      <c r="O173" s="109"/>
      <c r="P173" s="109"/>
      <c r="Q173" s="124"/>
      <c r="R173" s="124"/>
      <c r="S173" s="124"/>
      <c r="T173" s="124"/>
      <c r="U173" s="124"/>
      <c r="V173" s="124"/>
      <c r="W173" s="124"/>
      <c r="X173" s="124"/>
      <c r="Y173" s="124"/>
      <c r="Z173" s="121"/>
    </row>
    <row r="174" customFormat="false" ht="15" hidden="false" customHeight="false" outlineLevel="0" collapsed="false">
      <c r="A174" s="68" t="e">
        <f aca="false">VLOOKUP(#REF!,'[1]Listas Desplegables'!$H$3:$J$7,2,FALSE())</f>
        <v>#VALUE!</v>
      </c>
      <c r="B174" s="68" t="e">
        <f aca="false">VLOOKUP(#REF!,'[1]Listas Desplegables'!$H$3:$J$7,3,FALSE())</f>
        <v>#VALUE!</v>
      </c>
      <c r="C174" s="85" t="n">
        <v>169</v>
      </c>
      <c r="D174" s="94"/>
      <c r="E174" s="94"/>
      <c r="F174" s="109"/>
      <c r="G174" s="94"/>
      <c r="H174" s="94"/>
      <c r="I174" s="94"/>
      <c r="J174" s="122"/>
      <c r="K174" s="109"/>
      <c r="L174" s="109"/>
      <c r="M174" s="109"/>
      <c r="N174" s="109"/>
      <c r="O174" s="109"/>
      <c r="P174" s="109"/>
      <c r="Q174" s="124"/>
      <c r="R174" s="124"/>
      <c r="S174" s="124"/>
      <c r="T174" s="124"/>
      <c r="U174" s="124"/>
      <c r="V174" s="124"/>
      <c r="W174" s="124"/>
      <c r="X174" s="124"/>
      <c r="Y174" s="124"/>
      <c r="Z174" s="121"/>
    </row>
    <row r="175" customFormat="false" ht="15" hidden="false" customHeight="false" outlineLevel="0" collapsed="false">
      <c r="A175" s="68" t="e">
        <f aca="false">VLOOKUP(#REF!,'[1]Listas Desplegables'!$H$3:$J$7,2,FALSE())</f>
        <v>#VALUE!</v>
      </c>
      <c r="B175" s="68" t="e">
        <f aca="false">VLOOKUP(#REF!,'[1]Listas Desplegables'!$H$3:$J$7,3,FALSE())</f>
        <v>#VALUE!</v>
      </c>
      <c r="C175" s="85" t="n">
        <v>170</v>
      </c>
      <c r="D175" s="94"/>
      <c r="E175" s="94"/>
      <c r="F175" s="109"/>
      <c r="G175" s="94"/>
      <c r="H175" s="94"/>
      <c r="I175" s="94"/>
      <c r="J175" s="122"/>
      <c r="K175" s="109"/>
      <c r="L175" s="109"/>
      <c r="M175" s="109"/>
      <c r="N175" s="109"/>
      <c r="O175" s="109"/>
      <c r="P175" s="109"/>
      <c r="Q175" s="124"/>
      <c r="R175" s="124"/>
      <c r="S175" s="124"/>
      <c r="T175" s="124"/>
      <c r="U175" s="124"/>
      <c r="V175" s="124"/>
      <c r="W175" s="124"/>
      <c r="X175" s="124"/>
      <c r="Y175" s="124"/>
      <c r="Z175" s="121"/>
    </row>
    <row r="176" customFormat="false" ht="15" hidden="false" customHeight="false" outlineLevel="0" collapsed="false">
      <c r="A176" s="68" t="e">
        <f aca="false">VLOOKUP(#REF!,'[1]Listas Desplegables'!$H$3:$J$7,2,FALSE())</f>
        <v>#VALUE!</v>
      </c>
      <c r="B176" s="68" t="e">
        <f aca="false">VLOOKUP(#REF!,'[1]Listas Desplegables'!$H$3:$J$7,3,FALSE())</f>
        <v>#VALUE!</v>
      </c>
      <c r="C176" s="85" t="n">
        <v>171</v>
      </c>
      <c r="D176" s="94"/>
      <c r="E176" s="94"/>
      <c r="F176" s="109"/>
      <c r="G176" s="94"/>
      <c r="H176" s="94"/>
      <c r="I176" s="94"/>
      <c r="J176" s="122"/>
      <c r="K176" s="109"/>
      <c r="L176" s="109"/>
      <c r="M176" s="109"/>
      <c r="N176" s="109"/>
      <c r="O176" s="109"/>
      <c r="P176" s="109"/>
      <c r="Q176" s="124"/>
      <c r="R176" s="124"/>
      <c r="S176" s="124"/>
      <c r="T176" s="124"/>
      <c r="U176" s="124"/>
      <c r="V176" s="124"/>
      <c r="W176" s="124"/>
      <c r="X176" s="124"/>
      <c r="Y176" s="124"/>
      <c r="Z176" s="121"/>
    </row>
    <row r="177" customFormat="false" ht="15" hidden="false" customHeight="false" outlineLevel="0" collapsed="false">
      <c r="A177" s="68" t="e">
        <f aca="false">VLOOKUP(#REF!,'[1]Listas Desplegables'!$H$3:$J$7,2,FALSE())</f>
        <v>#VALUE!</v>
      </c>
      <c r="B177" s="68" t="e">
        <f aca="false">VLOOKUP(#REF!,'[1]Listas Desplegables'!$H$3:$J$7,3,FALSE())</f>
        <v>#VALUE!</v>
      </c>
      <c r="C177" s="85" t="n">
        <v>172</v>
      </c>
      <c r="D177" s="94"/>
      <c r="E177" s="94"/>
      <c r="F177" s="109"/>
      <c r="G177" s="94"/>
      <c r="H177" s="94"/>
      <c r="I177" s="94"/>
      <c r="J177" s="122"/>
      <c r="K177" s="109"/>
      <c r="L177" s="109"/>
      <c r="M177" s="109"/>
      <c r="N177" s="109"/>
      <c r="O177" s="109"/>
      <c r="P177" s="109"/>
      <c r="Q177" s="124"/>
      <c r="R177" s="124"/>
      <c r="S177" s="124"/>
      <c r="T177" s="124"/>
      <c r="U177" s="124"/>
      <c r="V177" s="124"/>
      <c r="W177" s="124"/>
      <c r="X177" s="124"/>
      <c r="Y177" s="124"/>
      <c r="Z177" s="121"/>
    </row>
    <row r="178" customFormat="false" ht="15" hidden="false" customHeight="false" outlineLevel="0" collapsed="false">
      <c r="A178" s="68" t="e">
        <f aca="false">VLOOKUP(#REF!,'[1]Listas Desplegables'!$H$3:$J$7,2,FALSE())</f>
        <v>#VALUE!</v>
      </c>
      <c r="B178" s="68" t="e">
        <f aca="false">VLOOKUP(#REF!,'[1]Listas Desplegables'!$H$3:$J$7,3,FALSE())</f>
        <v>#VALUE!</v>
      </c>
      <c r="C178" s="85" t="n">
        <v>173</v>
      </c>
      <c r="D178" s="94"/>
      <c r="E178" s="94"/>
      <c r="F178" s="109"/>
      <c r="G178" s="94"/>
      <c r="H178" s="94"/>
      <c r="I178" s="94"/>
      <c r="J178" s="122"/>
      <c r="K178" s="109"/>
      <c r="L178" s="109"/>
      <c r="M178" s="109"/>
      <c r="N178" s="109"/>
      <c r="O178" s="109"/>
      <c r="P178" s="109"/>
      <c r="Q178" s="124"/>
      <c r="R178" s="124"/>
      <c r="S178" s="124"/>
      <c r="T178" s="124"/>
      <c r="U178" s="124"/>
      <c r="V178" s="124"/>
      <c r="W178" s="124"/>
      <c r="X178" s="124"/>
      <c r="Y178" s="124"/>
      <c r="Z178" s="121"/>
    </row>
    <row r="179" customFormat="false" ht="15" hidden="false" customHeight="false" outlineLevel="0" collapsed="false">
      <c r="A179" s="68" t="e">
        <f aca="false">VLOOKUP(#REF!,'[1]Listas Desplegables'!$H$3:$J$7,2,FALSE())</f>
        <v>#VALUE!</v>
      </c>
      <c r="B179" s="68" t="e">
        <f aca="false">VLOOKUP(#REF!,'[1]Listas Desplegables'!$H$3:$J$7,3,FALSE())</f>
        <v>#VALUE!</v>
      </c>
      <c r="C179" s="85" t="n">
        <v>174</v>
      </c>
      <c r="D179" s="94"/>
      <c r="E179" s="94"/>
      <c r="F179" s="109"/>
      <c r="G179" s="94"/>
      <c r="H179" s="94"/>
      <c r="I179" s="94"/>
      <c r="J179" s="122"/>
      <c r="K179" s="109"/>
      <c r="L179" s="109"/>
      <c r="M179" s="109"/>
      <c r="N179" s="109"/>
      <c r="O179" s="109"/>
      <c r="P179" s="109"/>
      <c r="Q179" s="124"/>
      <c r="R179" s="124"/>
      <c r="S179" s="124"/>
      <c r="T179" s="124"/>
      <c r="U179" s="124"/>
      <c r="V179" s="124"/>
      <c r="W179" s="124"/>
      <c r="X179" s="124"/>
      <c r="Y179" s="124"/>
      <c r="Z179" s="121"/>
    </row>
    <row r="180" customFormat="false" ht="15" hidden="false" customHeight="false" outlineLevel="0" collapsed="false">
      <c r="A180" s="68" t="e">
        <f aca="false">VLOOKUP(#REF!,'[1]Listas Desplegables'!$H$3:$J$7,2,FALSE())</f>
        <v>#VALUE!</v>
      </c>
      <c r="B180" s="68" t="e">
        <f aca="false">VLOOKUP(#REF!,'[1]Listas Desplegables'!$H$3:$J$7,3,FALSE())</f>
        <v>#VALUE!</v>
      </c>
      <c r="C180" s="85" t="n">
        <v>175</v>
      </c>
      <c r="D180" s="94"/>
      <c r="E180" s="94"/>
      <c r="F180" s="109"/>
      <c r="G180" s="94"/>
      <c r="H180" s="94"/>
      <c r="I180" s="94"/>
      <c r="J180" s="122"/>
      <c r="K180" s="109"/>
      <c r="L180" s="109"/>
      <c r="M180" s="109"/>
      <c r="N180" s="109"/>
      <c r="O180" s="109"/>
      <c r="P180" s="109"/>
      <c r="Q180" s="124"/>
      <c r="R180" s="124"/>
      <c r="S180" s="124"/>
      <c r="T180" s="124"/>
      <c r="U180" s="124"/>
      <c r="V180" s="124"/>
      <c r="W180" s="124"/>
      <c r="X180" s="124"/>
      <c r="Y180" s="124"/>
      <c r="Z180" s="121"/>
    </row>
    <row r="181" customFormat="false" ht="15" hidden="false" customHeight="false" outlineLevel="0" collapsed="false">
      <c r="A181" s="68" t="e">
        <f aca="false">VLOOKUP(#REF!,'[1]Listas Desplegables'!$H$3:$J$7,2,FALSE())</f>
        <v>#VALUE!</v>
      </c>
      <c r="B181" s="68" t="e">
        <f aca="false">VLOOKUP(#REF!,'[1]Listas Desplegables'!$H$3:$J$7,3,FALSE())</f>
        <v>#VALUE!</v>
      </c>
      <c r="C181" s="85" t="n">
        <v>176</v>
      </c>
      <c r="D181" s="94"/>
      <c r="E181" s="94"/>
      <c r="F181" s="109"/>
      <c r="G181" s="94"/>
      <c r="H181" s="94"/>
      <c r="I181" s="94"/>
      <c r="J181" s="122"/>
      <c r="K181" s="109"/>
      <c r="L181" s="109"/>
      <c r="M181" s="109"/>
      <c r="N181" s="109"/>
      <c r="O181" s="109"/>
      <c r="P181" s="109"/>
      <c r="Q181" s="124"/>
      <c r="R181" s="124"/>
      <c r="S181" s="124"/>
      <c r="T181" s="124"/>
      <c r="U181" s="124"/>
      <c r="V181" s="124"/>
      <c r="W181" s="124"/>
      <c r="X181" s="124"/>
      <c r="Y181" s="124"/>
      <c r="Z181" s="121"/>
    </row>
    <row r="182" customFormat="false" ht="15" hidden="false" customHeight="false" outlineLevel="0" collapsed="false">
      <c r="A182" s="68" t="e">
        <f aca="false">VLOOKUP(#REF!,'[1]Listas Desplegables'!$H$3:$J$7,2,FALSE())</f>
        <v>#VALUE!</v>
      </c>
      <c r="B182" s="68" t="e">
        <f aca="false">VLOOKUP(#REF!,'[1]Listas Desplegables'!$H$3:$J$7,3,FALSE())</f>
        <v>#VALUE!</v>
      </c>
      <c r="C182" s="85" t="n">
        <v>177</v>
      </c>
      <c r="D182" s="94"/>
      <c r="E182" s="94"/>
      <c r="F182" s="109"/>
      <c r="G182" s="94"/>
      <c r="H182" s="94"/>
      <c r="I182" s="94"/>
      <c r="J182" s="122"/>
      <c r="K182" s="109"/>
      <c r="L182" s="109"/>
      <c r="M182" s="109"/>
      <c r="N182" s="109"/>
      <c r="O182" s="109"/>
      <c r="P182" s="109"/>
      <c r="Q182" s="124"/>
      <c r="R182" s="124"/>
      <c r="S182" s="124"/>
      <c r="T182" s="124"/>
      <c r="U182" s="124"/>
      <c r="V182" s="124"/>
      <c r="W182" s="124"/>
      <c r="X182" s="124"/>
      <c r="Y182" s="124"/>
      <c r="Z182" s="121"/>
    </row>
    <row r="183" customFormat="false" ht="15" hidden="false" customHeight="false" outlineLevel="0" collapsed="false">
      <c r="A183" s="68" t="e">
        <f aca="false">VLOOKUP(#REF!,'[1]Listas Desplegables'!$H$3:$J$7,2,FALSE())</f>
        <v>#VALUE!</v>
      </c>
      <c r="B183" s="68" t="e">
        <f aca="false">VLOOKUP(#REF!,'[1]Listas Desplegables'!$H$3:$J$7,3,FALSE())</f>
        <v>#VALUE!</v>
      </c>
      <c r="C183" s="85" t="n">
        <v>178</v>
      </c>
      <c r="D183" s="94"/>
      <c r="E183" s="94"/>
      <c r="F183" s="109"/>
      <c r="G183" s="94"/>
      <c r="H183" s="94"/>
      <c r="I183" s="94"/>
      <c r="J183" s="122"/>
      <c r="K183" s="109"/>
      <c r="L183" s="109"/>
      <c r="M183" s="109"/>
      <c r="N183" s="109"/>
      <c r="O183" s="109"/>
      <c r="P183" s="109"/>
      <c r="Q183" s="124"/>
      <c r="R183" s="124"/>
      <c r="S183" s="124"/>
      <c r="T183" s="124"/>
      <c r="U183" s="124"/>
      <c r="V183" s="124"/>
      <c r="W183" s="124"/>
      <c r="X183" s="124"/>
      <c r="Y183" s="124"/>
      <c r="Z183" s="121"/>
    </row>
    <row r="184" customFormat="false" ht="15" hidden="false" customHeight="false" outlineLevel="0" collapsed="false">
      <c r="A184" s="68" t="e">
        <f aca="false">VLOOKUP(#REF!,'[1]Listas Desplegables'!$H$3:$J$7,2,FALSE())</f>
        <v>#VALUE!</v>
      </c>
      <c r="B184" s="68" t="e">
        <f aca="false">VLOOKUP(#REF!,'[1]Listas Desplegables'!$H$3:$J$7,3,FALSE())</f>
        <v>#VALUE!</v>
      </c>
      <c r="C184" s="85" t="n">
        <v>179</v>
      </c>
      <c r="D184" s="94"/>
      <c r="E184" s="94"/>
      <c r="F184" s="109"/>
      <c r="G184" s="94"/>
      <c r="H184" s="94"/>
      <c r="I184" s="94"/>
      <c r="J184" s="122"/>
      <c r="K184" s="109"/>
      <c r="L184" s="109"/>
      <c r="M184" s="109"/>
      <c r="N184" s="109"/>
      <c r="O184" s="109"/>
      <c r="P184" s="109"/>
      <c r="Q184" s="124"/>
      <c r="R184" s="124"/>
      <c r="S184" s="124"/>
      <c r="T184" s="124"/>
      <c r="U184" s="124"/>
      <c r="V184" s="124"/>
      <c r="W184" s="124"/>
      <c r="X184" s="124"/>
      <c r="Y184" s="124"/>
      <c r="Z184" s="121"/>
    </row>
    <row r="185" customFormat="false" ht="15" hidden="false" customHeight="false" outlineLevel="0" collapsed="false">
      <c r="A185" s="68" t="e">
        <f aca="false">VLOOKUP(#REF!,'[1]Listas Desplegables'!$H$3:$J$7,2,FALSE())</f>
        <v>#VALUE!</v>
      </c>
      <c r="B185" s="68" t="e">
        <f aca="false">VLOOKUP(#REF!,'[1]Listas Desplegables'!$H$3:$J$7,3,FALSE())</f>
        <v>#VALUE!</v>
      </c>
      <c r="C185" s="85" t="n">
        <v>180</v>
      </c>
      <c r="D185" s="94"/>
      <c r="E185" s="94"/>
      <c r="F185" s="109"/>
      <c r="G185" s="94"/>
      <c r="H185" s="94"/>
      <c r="I185" s="94"/>
      <c r="J185" s="122"/>
      <c r="K185" s="109"/>
      <c r="L185" s="109"/>
      <c r="M185" s="109"/>
      <c r="N185" s="109"/>
      <c r="O185" s="109"/>
      <c r="P185" s="109"/>
      <c r="Q185" s="124"/>
      <c r="R185" s="124"/>
      <c r="S185" s="124"/>
      <c r="T185" s="124"/>
      <c r="U185" s="124"/>
      <c r="V185" s="124"/>
      <c r="W185" s="124"/>
      <c r="X185" s="124"/>
      <c r="Y185" s="124"/>
      <c r="Z185" s="121"/>
    </row>
    <row r="186" customFormat="false" ht="15" hidden="false" customHeight="false" outlineLevel="0" collapsed="false">
      <c r="A186" s="68" t="e">
        <f aca="false">VLOOKUP(#REF!,'[1]Listas Desplegables'!$H$3:$J$7,2,FALSE())</f>
        <v>#VALUE!</v>
      </c>
      <c r="B186" s="68" t="e">
        <f aca="false">VLOOKUP(#REF!,'[1]Listas Desplegables'!$H$3:$J$7,3,FALSE())</f>
        <v>#VALUE!</v>
      </c>
      <c r="C186" s="85" t="n">
        <v>181</v>
      </c>
      <c r="D186" s="94"/>
      <c r="E186" s="94"/>
      <c r="F186" s="109"/>
      <c r="G186" s="94"/>
      <c r="H186" s="94"/>
      <c r="I186" s="94"/>
      <c r="J186" s="122"/>
      <c r="K186" s="109"/>
      <c r="L186" s="109"/>
      <c r="M186" s="109"/>
      <c r="N186" s="109"/>
      <c r="O186" s="109"/>
      <c r="P186" s="109"/>
      <c r="Q186" s="124"/>
      <c r="R186" s="124"/>
      <c r="S186" s="124"/>
      <c r="T186" s="124"/>
      <c r="U186" s="124"/>
      <c r="V186" s="124"/>
      <c r="W186" s="124"/>
      <c r="X186" s="124"/>
      <c r="Y186" s="124"/>
      <c r="Z186" s="121"/>
    </row>
    <row r="187" customFormat="false" ht="15" hidden="false" customHeight="false" outlineLevel="0" collapsed="false">
      <c r="A187" s="68" t="e">
        <f aca="false">VLOOKUP(#REF!,'[1]Listas Desplegables'!$H$3:$J$7,2,FALSE())</f>
        <v>#VALUE!</v>
      </c>
      <c r="B187" s="68" t="e">
        <f aca="false">VLOOKUP(#REF!,'[1]Listas Desplegables'!$H$3:$J$7,3,FALSE())</f>
        <v>#VALUE!</v>
      </c>
      <c r="C187" s="85" t="n">
        <v>182</v>
      </c>
      <c r="D187" s="94"/>
      <c r="E187" s="94"/>
      <c r="F187" s="109"/>
      <c r="G187" s="94"/>
      <c r="H187" s="94"/>
      <c r="I187" s="94"/>
      <c r="J187" s="122"/>
      <c r="K187" s="109"/>
      <c r="L187" s="109"/>
      <c r="M187" s="109"/>
      <c r="N187" s="109"/>
      <c r="O187" s="109"/>
      <c r="P187" s="109"/>
      <c r="Q187" s="124"/>
      <c r="R187" s="124"/>
      <c r="S187" s="124"/>
      <c r="T187" s="124"/>
      <c r="U187" s="124"/>
      <c r="V187" s="124"/>
      <c r="W187" s="124"/>
      <c r="X187" s="124"/>
      <c r="Y187" s="124"/>
      <c r="Z187" s="121"/>
    </row>
    <row r="188" customFormat="false" ht="15" hidden="false" customHeight="false" outlineLevel="0" collapsed="false">
      <c r="A188" s="68" t="e">
        <f aca="false">VLOOKUP(#REF!,'[1]Listas Desplegables'!$H$3:$J$7,2,FALSE())</f>
        <v>#VALUE!</v>
      </c>
      <c r="B188" s="68" t="e">
        <f aca="false">VLOOKUP(#REF!,'[1]Listas Desplegables'!$H$3:$J$7,3,FALSE())</f>
        <v>#VALUE!</v>
      </c>
      <c r="C188" s="85" t="n">
        <v>183</v>
      </c>
      <c r="D188" s="94"/>
      <c r="E188" s="94"/>
      <c r="F188" s="109"/>
      <c r="G188" s="94"/>
      <c r="H188" s="94"/>
      <c r="I188" s="94"/>
      <c r="J188" s="122"/>
      <c r="K188" s="109"/>
      <c r="L188" s="109"/>
      <c r="M188" s="109"/>
      <c r="N188" s="109"/>
      <c r="O188" s="109"/>
      <c r="P188" s="109"/>
      <c r="Q188" s="124"/>
      <c r="R188" s="124"/>
      <c r="S188" s="124"/>
      <c r="T188" s="124"/>
      <c r="U188" s="124"/>
      <c r="V188" s="124"/>
      <c r="W188" s="124"/>
      <c r="X188" s="124"/>
      <c r="Y188" s="124"/>
      <c r="Z188" s="121"/>
    </row>
    <row r="189" customFormat="false" ht="15" hidden="false" customHeight="false" outlineLevel="0" collapsed="false">
      <c r="A189" s="68" t="e">
        <f aca="false">VLOOKUP(#REF!,'[1]Listas Desplegables'!$H$3:$J$7,2,FALSE())</f>
        <v>#VALUE!</v>
      </c>
      <c r="B189" s="68" t="e">
        <f aca="false">VLOOKUP(#REF!,'[1]Listas Desplegables'!$H$3:$J$7,3,FALSE())</f>
        <v>#VALUE!</v>
      </c>
      <c r="C189" s="85" t="n">
        <v>184</v>
      </c>
      <c r="D189" s="94"/>
      <c r="E189" s="94"/>
      <c r="F189" s="109"/>
      <c r="G189" s="94"/>
      <c r="H189" s="94"/>
      <c r="I189" s="94"/>
      <c r="J189" s="122"/>
      <c r="K189" s="109"/>
      <c r="L189" s="109"/>
      <c r="M189" s="109"/>
      <c r="N189" s="109"/>
      <c r="O189" s="109"/>
      <c r="P189" s="109"/>
      <c r="Q189" s="124"/>
      <c r="R189" s="124"/>
      <c r="S189" s="124"/>
      <c r="T189" s="124"/>
      <c r="U189" s="124"/>
      <c r="V189" s="124"/>
      <c r="W189" s="124"/>
      <c r="X189" s="124"/>
      <c r="Y189" s="124"/>
      <c r="Z189" s="121"/>
    </row>
    <row r="190" customFormat="false" ht="15" hidden="false" customHeight="false" outlineLevel="0" collapsed="false">
      <c r="A190" s="68" t="e">
        <f aca="false">VLOOKUP(#REF!,'[1]Listas Desplegables'!$H$3:$J$7,2,FALSE())</f>
        <v>#VALUE!</v>
      </c>
      <c r="B190" s="68" t="e">
        <f aca="false">VLOOKUP(#REF!,'[1]Listas Desplegables'!$H$3:$J$7,3,FALSE())</f>
        <v>#VALUE!</v>
      </c>
      <c r="C190" s="85" t="n">
        <v>185</v>
      </c>
      <c r="D190" s="94"/>
      <c r="E190" s="94"/>
      <c r="F190" s="109"/>
      <c r="G190" s="94"/>
      <c r="H190" s="94"/>
      <c r="I190" s="94"/>
      <c r="J190" s="122"/>
      <c r="K190" s="109"/>
      <c r="L190" s="109"/>
      <c r="M190" s="109"/>
      <c r="N190" s="109"/>
      <c r="O190" s="109"/>
      <c r="P190" s="109"/>
      <c r="Q190" s="124"/>
      <c r="R190" s="124"/>
      <c r="S190" s="124"/>
      <c r="T190" s="124"/>
      <c r="U190" s="124"/>
      <c r="V190" s="124"/>
      <c r="W190" s="124"/>
      <c r="X190" s="124"/>
      <c r="Y190" s="124"/>
      <c r="Z190" s="121"/>
    </row>
    <row r="191" customFormat="false" ht="15" hidden="false" customHeight="false" outlineLevel="0" collapsed="false">
      <c r="A191" s="68" t="e">
        <f aca="false">VLOOKUP(#REF!,'[1]Listas Desplegables'!$H$3:$J$7,2,FALSE())</f>
        <v>#VALUE!</v>
      </c>
      <c r="B191" s="68" t="e">
        <f aca="false">VLOOKUP(#REF!,'[1]Listas Desplegables'!$H$3:$J$7,3,FALSE())</f>
        <v>#VALUE!</v>
      </c>
      <c r="C191" s="85" t="n">
        <v>186</v>
      </c>
      <c r="D191" s="94"/>
      <c r="E191" s="94"/>
      <c r="F191" s="109"/>
      <c r="G191" s="94"/>
      <c r="H191" s="94"/>
      <c r="I191" s="94"/>
      <c r="J191" s="122"/>
      <c r="K191" s="109"/>
      <c r="L191" s="109"/>
      <c r="M191" s="109"/>
      <c r="N191" s="109"/>
      <c r="O191" s="109"/>
      <c r="P191" s="109"/>
      <c r="Q191" s="124"/>
      <c r="R191" s="124"/>
      <c r="S191" s="124"/>
      <c r="T191" s="124"/>
      <c r="U191" s="124"/>
      <c r="V191" s="124"/>
      <c r="W191" s="124"/>
      <c r="X191" s="124"/>
      <c r="Y191" s="124"/>
      <c r="Z191" s="121"/>
    </row>
    <row r="192" customFormat="false" ht="15" hidden="false" customHeight="false" outlineLevel="0" collapsed="false">
      <c r="A192" s="68" t="e">
        <f aca="false">VLOOKUP(#REF!,'[1]Listas Desplegables'!$H$3:$J$7,2,FALSE())</f>
        <v>#VALUE!</v>
      </c>
      <c r="B192" s="68" t="e">
        <f aca="false">VLOOKUP(#REF!,'[1]Listas Desplegables'!$H$3:$J$7,3,FALSE())</f>
        <v>#VALUE!</v>
      </c>
      <c r="C192" s="85" t="n">
        <v>187</v>
      </c>
      <c r="D192" s="94"/>
      <c r="E192" s="94"/>
      <c r="F192" s="109"/>
      <c r="G192" s="94"/>
      <c r="H192" s="94"/>
      <c r="I192" s="94"/>
      <c r="J192" s="122"/>
      <c r="K192" s="109"/>
      <c r="L192" s="109"/>
      <c r="M192" s="109"/>
      <c r="N192" s="109"/>
      <c r="O192" s="109"/>
      <c r="P192" s="109"/>
      <c r="Q192" s="124"/>
      <c r="R192" s="124"/>
      <c r="S192" s="124"/>
      <c r="T192" s="124"/>
      <c r="U192" s="124"/>
      <c r="V192" s="124"/>
      <c r="W192" s="124"/>
      <c r="X192" s="124"/>
      <c r="Y192" s="124"/>
      <c r="Z192" s="121"/>
    </row>
    <row r="193" customFormat="false" ht="15" hidden="false" customHeight="false" outlineLevel="0" collapsed="false">
      <c r="A193" s="68" t="e">
        <f aca="false">VLOOKUP(#REF!,'[1]Listas Desplegables'!$H$3:$J$7,2,FALSE())</f>
        <v>#VALUE!</v>
      </c>
      <c r="B193" s="68" t="e">
        <f aca="false">VLOOKUP(#REF!,'[1]Listas Desplegables'!$H$3:$J$7,3,FALSE())</f>
        <v>#VALUE!</v>
      </c>
      <c r="C193" s="85" t="n">
        <v>188</v>
      </c>
      <c r="D193" s="94"/>
      <c r="E193" s="94"/>
      <c r="F193" s="109"/>
      <c r="G193" s="94"/>
      <c r="H193" s="94"/>
      <c r="I193" s="94"/>
      <c r="J193" s="122"/>
      <c r="K193" s="109"/>
      <c r="L193" s="109"/>
      <c r="M193" s="109"/>
      <c r="N193" s="109"/>
      <c r="O193" s="109"/>
      <c r="P193" s="109"/>
      <c r="Q193" s="124"/>
      <c r="R193" s="124"/>
      <c r="S193" s="124"/>
      <c r="T193" s="124"/>
      <c r="U193" s="124"/>
      <c r="V193" s="124"/>
      <c r="W193" s="124"/>
      <c r="X193" s="124"/>
      <c r="Y193" s="124"/>
      <c r="Z193" s="121"/>
    </row>
    <row r="194" customFormat="false" ht="15" hidden="false" customHeight="false" outlineLevel="0" collapsed="false">
      <c r="A194" s="68" t="e">
        <f aca="false">VLOOKUP(#REF!,'[1]Listas Desplegables'!$H$3:$J$7,2,FALSE())</f>
        <v>#VALUE!</v>
      </c>
      <c r="B194" s="68" t="e">
        <f aca="false">VLOOKUP(#REF!,'[1]Listas Desplegables'!$H$3:$J$7,3,FALSE())</f>
        <v>#VALUE!</v>
      </c>
      <c r="C194" s="85" t="n">
        <v>189</v>
      </c>
      <c r="D194" s="94"/>
      <c r="E194" s="94"/>
      <c r="F194" s="109"/>
      <c r="G194" s="94"/>
      <c r="H194" s="94"/>
      <c r="I194" s="94"/>
      <c r="J194" s="122"/>
      <c r="K194" s="109"/>
      <c r="L194" s="109"/>
      <c r="M194" s="109"/>
      <c r="N194" s="109"/>
      <c r="O194" s="109"/>
      <c r="P194" s="109"/>
      <c r="Q194" s="124"/>
      <c r="R194" s="124"/>
      <c r="S194" s="124"/>
      <c r="T194" s="124"/>
      <c r="U194" s="124"/>
      <c r="V194" s="124"/>
      <c r="W194" s="124"/>
      <c r="X194" s="124"/>
      <c r="Y194" s="124"/>
      <c r="Z194" s="121"/>
    </row>
    <row r="195" customFormat="false" ht="15" hidden="false" customHeight="false" outlineLevel="0" collapsed="false">
      <c r="A195" s="68" t="e">
        <f aca="false">VLOOKUP(#REF!,'[1]Listas Desplegables'!$H$3:$J$7,2,FALSE())</f>
        <v>#VALUE!</v>
      </c>
      <c r="B195" s="68" t="e">
        <f aca="false">VLOOKUP(#REF!,'[1]Listas Desplegables'!$H$3:$J$7,3,FALSE())</f>
        <v>#VALUE!</v>
      </c>
      <c r="C195" s="85" t="n">
        <v>190</v>
      </c>
      <c r="D195" s="94"/>
      <c r="E195" s="94"/>
      <c r="F195" s="109"/>
      <c r="G195" s="94"/>
      <c r="H195" s="94"/>
      <c r="I195" s="94"/>
      <c r="J195" s="122"/>
      <c r="K195" s="109"/>
      <c r="L195" s="109"/>
      <c r="M195" s="109"/>
      <c r="N195" s="109"/>
      <c r="O195" s="109"/>
      <c r="P195" s="109"/>
      <c r="Q195" s="124"/>
      <c r="R195" s="124"/>
      <c r="S195" s="124"/>
      <c r="T195" s="124"/>
      <c r="U195" s="124"/>
      <c r="V195" s="124"/>
      <c r="W195" s="124"/>
      <c r="X195" s="124"/>
      <c r="Y195" s="124"/>
      <c r="Z195" s="121"/>
    </row>
    <row r="196" customFormat="false" ht="15" hidden="false" customHeight="false" outlineLevel="0" collapsed="false">
      <c r="A196" s="68" t="e">
        <f aca="false">VLOOKUP(#REF!,'[1]Listas Desplegables'!$H$3:$J$7,2,FALSE())</f>
        <v>#VALUE!</v>
      </c>
      <c r="B196" s="68" t="e">
        <f aca="false">VLOOKUP(#REF!,'[1]Listas Desplegables'!$H$3:$J$7,3,FALSE())</f>
        <v>#VALUE!</v>
      </c>
      <c r="C196" s="85" t="n">
        <v>191</v>
      </c>
      <c r="D196" s="94"/>
      <c r="E196" s="94"/>
      <c r="F196" s="109"/>
      <c r="G196" s="94"/>
      <c r="H196" s="94"/>
      <c r="I196" s="94"/>
      <c r="J196" s="122"/>
      <c r="K196" s="109"/>
      <c r="L196" s="109"/>
      <c r="M196" s="109"/>
      <c r="N196" s="109"/>
      <c r="O196" s="109"/>
      <c r="P196" s="109"/>
      <c r="Q196" s="124"/>
      <c r="R196" s="124"/>
      <c r="S196" s="124"/>
      <c r="T196" s="124"/>
      <c r="U196" s="124"/>
      <c r="V196" s="124"/>
      <c r="W196" s="124"/>
      <c r="X196" s="124"/>
      <c r="Y196" s="124"/>
      <c r="Z196" s="121"/>
    </row>
    <row r="197" customFormat="false" ht="15" hidden="false" customHeight="false" outlineLevel="0" collapsed="false">
      <c r="A197" s="68" t="e">
        <f aca="false">VLOOKUP(#REF!,'[1]Listas Desplegables'!$H$3:$J$7,2,FALSE())</f>
        <v>#VALUE!</v>
      </c>
      <c r="B197" s="68" t="e">
        <f aca="false">VLOOKUP(#REF!,'[1]Listas Desplegables'!$H$3:$J$7,3,FALSE())</f>
        <v>#VALUE!</v>
      </c>
      <c r="C197" s="85" t="n">
        <v>192</v>
      </c>
      <c r="D197" s="94"/>
      <c r="E197" s="94"/>
      <c r="F197" s="109"/>
      <c r="G197" s="94"/>
      <c r="H197" s="94"/>
      <c r="I197" s="94"/>
      <c r="J197" s="122"/>
      <c r="K197" s="109"/>
      <c r="L197" s="109"/>
      <c r="M197" s="109"/>
      <c r="N197" s="109"/>
      <c r="O197" s="109"/>
      <c r="P197" s="109"/>
      <c r="Q197" s="124"/>
      <c r="R197" s="124"/>
      <c r="S197" s="124"/>
      <c r="T197" s="124"/>
      <c r="U197" s="124"/>
      <c r="V197" s="124"/>
      <c r="W197" s="124"/>
      <c r="X197" s="124"/>
      <c r="Y197" s="124"/>
      <c r="Z197" s="121"/>
    </row>
    <row r="198" customFormat="false" ht="15" hidden="false" customHeight="false" outlineLevel="0" collapsed="false">
      <c r="A198" s="68" t="e">
        <f aca="false">VLOOKUP(#REF!,'[1]Listas Desplegables'!$H$3:$J$7,2,FALSE())</f>
        <v>#VALUE!</v>
      </c>
      <c r="B198" s="68" t="e">
        <f aca="false">VLOOKUP(#REF!,'[1]Listas Desplegables'!$H$3:$J$7,3,FALSE())</f>
        <v>#VALUE!</v>
      </c>
      <c r="C198" s="85" t="n">
        <v>193</v>
      </c>
      <c r="D198" s="94"/>
      <c r="E198" s="94"/>
      <c r="F198" s="109"/>
      <c r="G198" s="94"/>
      <c r="H198" s="94"/>
      <c r="I198" s="94"/>
      <c r="J198" s="122"/>
      <c r="K198" s="109"/>
      <c r="L198" s="109"/>
      <c r="M198" s="109"/>
      <c r="N198" s="109"/>
      <c r="O198" s="109"/>
      <c r="P198" s="109"/>
      <c r="Q198" s="124"/>
      <c r="R198" s="124"/>
      <c r="S198" s="124"/>
      <c r="T198" s="124"/>
      <c r="U198" s="124"/>
      <c r="V198" s="124"/>
      <c r="W198" s="124"/>
      <c r="X198" s="124"/>
      <c r="Y198" s="124"/>
      <c r="Z198" s="121"/>
    </row>
    <row r="199" customFormat="false" ht="15" hidden="false" customHeight="false" outlineLevel="0" collapsed="false">
      <c r="A199" s="68" t="e">
        <f aca="false">VLOOKUP(#REF!,'[1]Listas Desplegables'!$H$3:$J$7,2,FALSE())</f>
        <v>#VALUE!</v>
      </c>
      <c r="B199" s="68" t="e">
        <f aca="false">VLOOKUP(#REF!,'[1]Listas Desplegables'!$H$3:$J$7,3,FALSE())</f>
        <v>#VALUE!</v>
      </c>
      <c r="C199" s="85" t="n">
        <v>194</v>
      </c>
      <c r="D199" s="94"/>
      <c r="E199" s="94"/>
      <c r="F199" s="109"/>
      <c r="G199" s="94"/>
      <c r="H199" s="94"/>
      <c r="I199" s="94"/>
      <c r="J199" s="122"/>
      <c r="K199" s="109"/>
      <c r="L199" s="109"/>
      <c r="M199" s="109"/>
      <c r="N199" s="109"/>
      <c r="O199" s="109"/>
      <c r="P199" s="109"/>
      <c r="Q199" s="124"/>
      <c r="R199" s="124"/>
      <c r="S199" s="124"/>
      <c r="T199" s="124"/>
      <c r="U199" s="124"/>
      <c r="V199" s="124"/>
      <c r="W199" s="124"/>
      <c r="X199" s="124"/>
      <c r="Y199" s="124"/>
      <c r="Z199" s="121"/>
    </row>
    <row r="200" customFormat="false" ht="15" hidden="false" customHeight="false" outlineLevel="0" collapsed="false">
      <c r="A200" s="68" t="e">
        <f aca="false">VLOOKUP(#REF!,'[1]Listas Desplegables'!$H$3:$J$7,2,FALSE())</f>
        <v>#VALUE!</v>
      </c>
      <c r="B200" s="68" t="e">
        <f aca="false">VLOOKUP(#REF!,'[1]Listas Desplegables'!$H$3:$J$7,3,FALSE())</f>
        <v>#VALUE!</v>
      </c>
      <c r="C200" s="85" t="n">
        <v>195</v>
      </c>
      <c r="D200" s="94"/>
      <c r="E200" s="94"/>
      <c r="F200" s="109"/>
      <c r="G200" s="94"/>
      <c r="H200" s="94"/>
      <c r="I200" s="94"/>
      <c r="J200" s="122"/>
      <c r="K200" s="109"/>
      <c r="L200" s="109"/>
      <c r="M200" s="109"/>
      <c r="N200" s="109"/>
      <c r="O200" s="109"/>
      <c r="P200" s="109"/>
      <c r="Q200" s="124"/>
      <c r="R200" s="124"/>
      <c r="S200" s="124"/>
      <c r="T200" s="124"/>
      <c r="U200" s="124"/>
      <c r="V200" s="124"/>
      <c r="W200" s="124"/>
      <c r="X200" s="124"/>
      <c r="Y200" s="124"/>
      <c r="Z200" s="121"/>
    </row>
    <row r="201" customFormat="false" ht="15" hidden="false" customHeight="false" outlineLevel="0" collapsed="false">
      <c r="A201" s="68" t="e">
        <f aca="false">VLOOKUP(#REF!,'[1]Listas Desplegables'!$H$3:$J$7,2,FALSE())</f>
        <v>#VALUE!</v>
      </c>
      <c r="B201" s="68" t="e">
        <f aca="false">VLOOKUP(#REF!,'[1]Listas Desplegables'!$H$3:$J$7,3,FALSE())</f>
        <v>#VALUE!</v>
      </c>
      <c r="C201" s="85" t="n">
        <v>196</v>
      </c>
      <c r="D201" s="94"/>
      <c r="E201" s="94"/>
      <c r="F201" s="109"/>
      <c r="G201" s="94"/>
      <c r="H201" s="94"/>
      <c r="I201" s="94"/>
      <c r="J201" s="122"/>
      <c r="K201" s="109"/>
      <c r="L201" s="109"/>
      <c r="M201" s="109"/>
      <c r="N201" s="109"/>
      <c r="O201" s="109"/>
      <c r="P201" s="109"/>
      <c r="Q201" s="124"/>
      <c r="R201" s="124"/>
      <c r="S201" s="124"/>
      <c r="T201" s="124"/>
      <c r="U201" s="124"/>
      <c r="V201" s="124"/>
      <c r="W201" s="124"/>
      <c r="X201" s="124"/>
      <c r="Y201" s="124"/>
      <c r="Z201" s="121"/>
    </row>
    <row r="202" customFormat="false" ht="15" hidden="false" customHeight="false" outlineLevel="0" collapsed="false">
      <c r="A202" s="68" t="e">
        <f aca="false">VLOOKUP(#REF!,'[1]Listas Desplegables'!$H$3:$J$7,2,FALSE())</f>
        <v>#VALUE!</v>
      </c>
      <c r="B202" s="68" t="e">
        <f aca="false">VLOOKUP(#REF!,'[1]Listas Desplegables'!$H$3:$J$7,3,FALSE())</f>
        <v>#VALUE!</v>
      </c>
      <c r="C202" s="85" t="n">
        <v>197</v>
      </c>
      <c r="D202" s="94"/>
      <c r="E202" s="94"/>
      <c r="F202" s="109"/>
      <c r="G202" s="94"/>
      <c r="H202" s="94"/>
      <c r="I202" s="94"/>
      <c r="J202" s="122"/>
      <c r="K202" s="109"/>
      <c r="L202" s="109"/>
      <c r="M202" s="109"/>
      <c r="N202" s="109"/>
      <c r="O202" s="109"/>
      <c r="P202" s="109"/>
      <c r="Q202" s="124"/>
      <c r="R202" s="124"/>
      <c r="S202" s="124"/>
      <c r="T202" s="124"/>
      <c r="U202" s="124"/>
      <c r="V202" s="124"/>
      <c r="W202" s="124"/>
      <c r="X202" s="124"/>
      <c r="Y202" s="124"/>
      <c r="Z202" s="121"/>
    </row>
    <row r="203" customFormat="false" ht="15" hidden="false" customHeight="false" outlineLevel="0" collapsed="false">
      <c r="A203" s="68" t="e">
        <f aca="false">VLOOKUP(#REF!,'[1]Listas Desplegables'!$H$3:$J$7,2,FALSE())</f>
        <v>#VALUE!</v>
      </c>
      <c r="B203" s="68" t="e">
        <f aca="false">VLOOKUP(#REF!,'[1]Listas Desplegables'!$H$3:$J$7,3,FALSE())</f>
        <v>#VALUE!</v>
      </c>
      <c r="C203" s="85" t="n">
        <v>198</v>
      </c>
      <c r="D203" s="94"/>
      <c r="E203" s="94"/>
      <c r="F203" s="109"/>
      <c r="G203" s="94"/>
      <c r="H203" s="94"/>
      <c r="I203" s="94"/>
      <c r="J203" s="122"/>
      <c r="K203" s="109"/>
      <c r="L203" s="109"/>
      <c r="M203" s="109"/>
      <c r="N203" s="109"/>
      <c r="O203" s="109"/>
      <c r="P203" s="109"/>
      <c r="Q203" s="124"/>
      <c r="R203" s="124"/>
      <c r="S203" s="124"/>
      <c r="T203" s="124"/>
      <c r="U203" s="124"/>
      <c r="V203" s="124"/>
      <c r="W203" s="124"/>
      <c r="X203" s="124"/>
      <c r="Y203" s="124"/>
      <c r="Z203" s="121"/>
    </row>
    <row r="204" customFormat="false" ht="15" hidden="false" customHeight="false" outlineLevel="0" collapsed="false">
      <c r="A204" s="68" t="e">
        <f aca="false">VLOOKUP(#REF!,'[1]Listas Desplegables'!$H$3:$J$7,2,FALSE())</f>
        <v>#VALUE!</v>
      </c>
      <c r="B204" s="68" t="e">
        <f aca="false">VLOOKUP(#REF!,'[1]Listas Desplegables'!$H$3:$J$7,3,FALSE())</f>
        <v>#VALUE!</v>
      </c>
      <c r="C204" s="85" t="n">
        <v>199</v>
      </c>
      <c r="D204" s="94"/>
      <c r="E204" s="94"/>
      <c r="F204" s="109"/>
      <c r="G204" s="94"/>
      <c r="H204" s="94"/>
      <c r="I204" s="94"/>
      <c r="J204" s="122"/>
      <c r="K204" s="109"/>
      <c r="L204" s="109"/>
      <c r="M204" s="109"/>
      <c r="N204" s="109"/>
      <c r="O204" s="109"/>
      <c r="P204" s="109"/>
      <c r="Q204" s="124"/>
      <c r="R204" s="124"/>
      <c r="S204" s="124"/>
      <c r="T204" s="124"/>
      <c r="U204" s="124"/>
      <c r="V204" s="124"/>
      <c r="W204" s="124"/>
      <c r="X204" s="124"/>
      <c r="Y204" s="124"/>
      <c r="Z204" s="121"/>
    </row>
    <row r="205" customFormat="false" ht="15" hidden="false" customHeight="false" outlineLevel="0" collapsed="false">
      <c r="A205" s="68" t="e">
        <f aca="false">VLOOKUP(#REF!,'[1]Listas Desplegables'!$H$3:$J$7,2,FALSE())</f>
        <v>#VALUE!</v>
      </c>
      <c r="B205" s="68" t="e">
        <f aca="false">VLOOKUP(#REF!,'[1]Listas Desplegables'!$H$3:$J$7,3,FALSE())</f>
        <v>#VALUE!</v>
      </c>
      <c r="C205" s="85" t="n">
        <v>200</v>
      </c>
      <c r="D205" s="94"/>
      <c r="E205" s="94"/>
      <c r="F205" s="109"/>
      <c r="G205" s="94"/>
      <c r="H205" s="94"/>
      <c r="I205" s="94"/>
      <c r="J205" s="122"/>
      <c r="K205" s="109"/>
      <c r="L205" s="109"/>
      <c r="M205" s="109"/>
      <c r="N205" s="109"/>
      <c r="O205" s="109"/>
      <c r="P205" s="109"/>
      <c r="Q205" s="124"/>
      <c r="R205" s="124"/>
      <c r="S205" s="124"/>
      <c r="T205" s="124"/>
      <c r="U205" s="124"/>
      <c r="V205" s="124"/>
      <c r="W205" s="124"/>
      <c r="X205" s="124"/>
      <c r="Y205" s="124"/>
      <c r="Z205" s="121"/>
    </row>
    <row r="206" customFormat="false" ht="15" hidden="false" customHeight="false" outlineLevel="0" collapsed="false">
      <c r="A206" s="68" t="e">
        <f aca="false">VLOOKUP(#REF!,'[1]Listas Desplegables'!$H$3:$J$7,2,FALSE())</f>
        <v>#VALUE!</v>
      </c>
      <c r="B206" s="68" t="e">
        <f aca="false">VLOOKUP(#REF!,'[1]Listas Desplegables'!$H$3:$J$7,3,FALSE())</f>
        <v>#VALUE!</v>
      </c>
      <c r="C206" s="85" t="n">
        <v>201</v>
      </c>
      <c r="D206" s="94"/>
      <c r="E206" s="94"/>
      <c r="F206" s="109"/>
      <c r="G206" s="94"/>
      <c r="H206" s="94"/>
      <c r="I206" s="94"/>
      <c r="J206" s="122"/>
      <c r="K206" s="109"/>
      <c r="L206" s="109"/>
      <c r="M206" s="109"/>
      <c r="N206" s="109"/>
      <c r="O206" s="109"/>
      <c r="P206" s="109"/>
      <c r="Q206" s="124"/>
      <c r="R206" s="124"/>
      <c r="S206" s="124"/>
      <c r="T206" s="124"/>
      <c r="U206" s="124"/>
      <c r="V206" s="124"/>
      <c r="W206" s="124"/>
      <c r="X206" s="124"/>
      <c r="Y206" s="124"/>
      <c r="Z206" s="121"/>
    </row>
    <row r="207" customFormat="false" ht="15" hidden="false" customHeight="false" outlineLevel="0" collapsed="false">
      <c r="A207" s="68" t="e">
        <f aca="false">VLOOKUP(#REF!,'[1]Listas Desplegables'!$H$3:$J$7,2,FALSE())</f>
        <v>#VALUE!</v>
      </c>
      <c r="B207" s="68" t="e">
        <f aca="false">VLOOKUP(#REF!,'[1]Listas Desplegables'!$H$3:$J$7,3,FALSE())</f>
        <v>#VALUE!</v>
      </c>
      <c r="C207" s="85" t="n">
        <v>202</v>
      </c>
      <c r="D207" s="94"/>
      <c r="E207" s="94"/>
      <c r="F207" s="109"/>
      <c r="G207" s="94"/>
      <c r="H207" s="94"/>
      <c r="I207" s="94"/>
      <c r="J207" s="122"/>
      <c r="K207" s="109"/>
      <c r="L207" s="109"/>
      <c r="M207" s="109"/>
      <c r="N207" s="109"/>
      <c r="O207" s="109"/>
      <c r="P207" s="109"/>
      <c r="Q207" s="124"/>
      <c r="R207" s="124"/>
      <c r="S207" s="124"/>
      <c r="T207" s="124"/>
      <c r="U207" s="124"/>
      <c r="V207" s="124"/>
      <c r="W207" s="124"/>
      <c r="X207" s="124"/>
      <c r="Y207" s="124"/>
      <c r="Z207" s="121"/>
    </row>
    <row r="208" customFormat="false" ht="15" hidden="false" customHeight="false" outlineLevel="0" collapsed="false">
      <c r="A208" s="68" t="e">
        <f aca="false">VLOOKUP(#REF!,'[1]Listas Desplegables'!$H$3:$J$7,2,FALSE())</f>
        <v>#VALUE!</v>
      </c>
      <c r="B208" s="68" t="e">
        <f aca="false">VLOOKUP(#REF!,'[1]Listas Desplegables'!$H$3:$J$7,3,FALSE())</f>
        <v>#VALUE!</v>
      </c>
      <c r="C208" s="85" t="n">
        <v>203</v>
      </c>
      <c r="D208" s="94"/>
      <c r="E208" s="94"/>
      <c r="F208" s="109"/>
      <c r="G208" s="94"/>
      <c r="H208" s="94"/>
      <c r="I208" s="94"/>
      <c r="J208" s="122"/>
      <c r="K208" s="109"/>
      <c r="L208" s="109"/>
      <c r="M208" s="109"/>
      <c r="N208" s="109"/>
      <c r="O208" s="109"/>
      <c r="P208" s="109"/>
      <c r="Q208" s="124"/>
      <c r="R208" s="124"/>
      <c r="S208" s="124"/>
      <c r="T208" s="124"/>
      <c r="U208" s="124"/>
      <c r="V208" s="124"/>
      <c r="W208" s="124"/>
      <c r="X208" s="124"/>
      <c r="Y208" s="124"/>
      <c r="Z208" s="121"/>
    </row>
    <row r="209" customFormat="false" ht="15" hidden="false" customHeight="false" outlineLevel="0" collapsed="false">
      <c r="A209" s="68" t="e">
        <f aca="false">VLOOKUP(#REF!,'[1]Listas Desplegables'!$H$3:$J$7,2,FALSE())</f>
        <v>#VALUE!</v>
      </c>
      <c r="B209" s="68" t="e">
        <f aca="false">VLOOKUP(#REF!,'[1]Listas Desplegables'!$H$3:$J$7,3,FALSE())</f>
        <v>#VALUE!</v>
      </c>
      <c r="C209" s="85" t="n">
        <v>204</v>
      </c>
      <c r="D209" s="94"/>
      <c r="E209" s="94"/>
      <c r="F209" s="109"/>
      <c r="G209" s="94"/>
      <c r="H209" s="94"/>
      <c r="I209" s="94"/>
      <c r="J209" s="122"/>
      <c r="K209" s="109"/>
      <c r="L209" s="109"/>
      <c r="M209" s="109"/>
      <c r="N209" s="109"/>
      <c r="O209" s="109"/>
      <c r="P209" s="109"/>
      <c r="Q209" s="124"/>
      <c r="R209" s="124"/>
      <c r="S209" s="124"/>
      <c r="T209" s="124"/>
      <c r="U209" s="124"/>
      <c r="V209" s="124"/>
      <c r="W209" s="124"/>
      <c r="X209" s="124"/>
      <c r="Y209" s="124"/>
      <c r="Z209" s="121"/>
    </row>
    <row r="210" customFormat="false" ht="15" hidden="false" customHeight="false" outlineLevel="0" collapsed="false">
      <c r="A210" s="68" t="e">
        <f aca="false">VLOOKUP(#REF!,'[1]Listas Desplegables'!$H$3:$J$7,2,FALSE())</f>
        <v>#VALUE!</v>
      </c>
      <c r="B210" s="68" t="e">
        <f aca="false">VLOOKUP(#REF!,'[1]Listas Desplegables'!$H$3:$J$7,3,FALSE())</f>
        <v>#VALUE!</v>
      </c>
      <c r="C210" s="85" t="n">
        <v>205</v>
      </c>
      <c r="D210" s="94"/>
      <c r="E210" s="94"/>
      <c r="F210" s="109"/>
      <c r="G210" s="94"/>
      <c r="H210" s="94"/>
      <c r="I210" s="94"/>
      <c r="J210" s="122"/>
      <c r="K210" s="109"/>
      <c r="L210" s="109"/>
      <c r="M210" s="109"/>
      <c r="N210" s="109"/>
      <c r="O210" s="109"/>
      <c r="P210" s="109"/>
      <c r="Q210" s="124"/>
      <c r="R210" s="124"/>
      <c r="S210" s="124"/>
      <c r="T210" s="124"/>
      <c r="U210" s="124"/>
      <c r="V210" s="124"/>
      <c r="W210" s="124"/>
      <c r="X210" s="124"/>
      <c r="Y210" s="124"/>
      <c r="Z210" s="121"/>
    </row>
    <row r="211" customFormat="false" ht="15" hidden="false" customHeight="false" outlineLevel="0" collapsed="false">
      <c r="A211" s="68" t="e">
        <f aca="false">VLOOKUP(#REF!,'[1]Listas Desplegables'!$H$3:$J$7,2,FALSE())</f>
        <v>#VALUE!</v>
      </c>
      <c r="B211" s="68" t="e">
        <f aca="false">VLOOKUP(#REF!,'[1]Listas Desplegables'!$H$3:$J$7,3,FALSE())</f>
        <v>#VALUE!</v>
      </c>
      <c r="C211" s="85" t="n">
        <v>206</v>
      </c>
      <c r="D211" s="94"/>
      <c r="E211" s="94"/>
      <c r="F211" s="109"/>
      <c r="G211" s="94"/>
      <c r="H211" s="94"/>
      <c r="I211" s="94"/>
      <c r="J211" s="122"/>
      <c r="K211" s="109"/>
      <c r="L211" s="109"/>
      <c r="M211" s="109"/>
      <c r="N211" s="109"/>
      <c r="O211" s="109"/>
      <c r="P211" s="109"/>
      <c r="Q211" s="124"/>
      <c r="R211" s="124"/>
      <c r="S211" s="124"/>
      <c r="T211" s="124"/>
      <c r="U211" s="124"/>
      <c r="V211" s="124"/>
      <c r="W211" s="124"/>
      <c r="X211" s="124"/>
      <c r="Y211" s="124"/>
      <c r="Z211" s="121"/>
    </row>
    <row r="212" customFormat="false" ht="15" hidden="false" customHeight="false" outlineLevel="0" collapsed="false">
      <c r="A212" s="68" t="e">
        <f aca="false">VLOOKUP(#REF!,'[1]Listas Desplegables'!$H$3:$J$7,2,FALSE())</f>
        <v>#VALUE!</v>
      </c>
      <c r="B212" s="68" t="e">
        <f aca="false">VLOOKUP(#REF!,'[1]Listas Desplegables'!$H$3:$J$7,3,FALSE())</f>
        <v>#VALUE!</v>
      </c>
      <c r="C212" s="85" t="n">
        <v>207</v>
      </c>
      <c r="D212" s="94"/>
      <c r="E212" s="94"/>
      <c r="F212" s="109"/>
      <c r="G212" s="94"/>
      <c r="H212" s="94"/>
      <c r="I212" s="94"/>
      <c r="J212" s="122"/>
      <c r="K212" s="109"/>
      <c r="L212" s="109"/>
      <c r="M212" s="109"/>
      <c r="N212" s="109"/>
      <c r="O212" s="109"/>
      <c r="P212" s="109"/>
      <c r="Q212" s="124"/>
      <c r="R212" s="124"/>
      <c r="S212" s="124"/>
      <c r="T212" s="124"/>
      <c r="U212" s="124"/>
      <c r="V212" s="124"/>
      <c r="W212" s="124"/>
      <c r="X212" s="124"/>
      <c r="Y212" s="124"/>
      <c r="Z212" s="121"/>
    </row>
    <row r="213" customFormat="false" ht="15" hidden="false" customHeight="false" outlineLevel="0" collapsed="false">
      <c r="A213" s="68" t="e">
        <f aca="false">VLOOKUP(#REF!,'[1]Listas Desplegables'!$H$3:$J$7,2,FALSE())</f>
        <v>#VALUE!</v>
      </c>
      <c r="B213" s="68" t="e">
        <f aca="false">VLOOKUP(#REF!,'[1]Listas Desplegables'!$H$3:$J$7,3,FALSE())</f>
        <v>#VALUE!</v>
      </c>
      <c r="C213" s="85" t="n">
        <v>208</v>
      </c>
      <c r="D213" s="94"/>
      <c r="E213" s="94"/>
      <c r="F213" s="109"/>
      <c r="G213" s="94"/>
      <c r="H213" s="94"/>
      <c r="I213" s="94"/>
      <c r="J213" s="122"/>
      <c r="K213" s="109"/>
      <c r="L213" s="109"/>
      <c r="M213" s="109"/>
      <c r="N213" s="109"/>
      <c r="O213" s="109"/>
      <c r="P213" s="109"/>
      <c r="Q213" s="124"/>
      <c r="R213" s="124"/>
      <c r="S213" s="124"/>
      <c r="T213" s="124"/>
      <c r="U213" s="124"/>
      <c r="V213" s="124"/>
      <c r="W213" s="124"/>
      <c r="X213" s="124"/>
      <c r="Y213" s="124"/>
      <c r="Z213" s="121"/>
    </row>
    <row r="214" customFormat="false" ht="15" hidden="false" customHeight="false" outlineLevel="0" collapsed="false">
      <c r="A214" s="68" t="e">
        <f aca="false">VLOOKUP(#REF!,'[1]Listas Desplegables'!$H$3:$J$7,2,FALSE())</f>
        <v>#VALUE!</v>
      </c>
      <c r="B214" s="68" t="e">
        <f aca="false">VLOOKUP(#REF!,'[1]Listas Desplegables'!$H$3:$J$7,3,FALSE())</f>
        <v>#VALUE!</v>
      </c>
      <c r="C214" s="85" t="n">
        <v>209</v>
      </c>
      <c r="D214" s="94"/>
      <c r="E214" s="94"/>
      <c r="F214" s="109"/>
      <c r="G214" s="94"/>
      <c r="H214" s="94"/>
      <c r="I214" s="94"/>
      <c r="J214" s="122"/>
      <c r="K214" s="109"/>
      <c r="L214" s="109"/>
      <c r="M214" s="109"/>
      <c r="N214" s="109"/>
      <c r="O214" s="109"/>
      <c r="P214" s="109"/>
      <c r="Q214" s="124"/>
      <c r="R214" s="124"/>
      <c r="S214" s="124"/>
      <c r="T214" s="124"/>
      <c r="U214" s="124"/>
      <c r="V214" s="124"/>
      <c r="W214" s="124"/>
      <c r="X214" s="124"/>
      <c r="Y214" s="124"/>
      <c r="Z214" s="121"/>
    </row>
    <row r="215" customFormat="false" ht="15.75" hidden="false" customHeight="false" outlineLevel="0" collapsed="false">
      <c r="A215" s="68" t="e">
        <f aca="false">VLOOKUP(#REF!,'[1]Listas Desplegables'!$H$3:$J$7,2,FALSE())</f>
        <v>#VALUE!</v>
      </c>
      <c r="B215" s="68" t="e">
        <f aca="false">VLOOKUP(#REF!,'[1]Listas Desplegables'!$H$3:$J$7,3,FALSE())</f>
        <v>#VALUE!</v>
      </c>
      <c r="C215" s="85" t="n">
        <v>210</v>
      </c>
      <c r="D215" s="98"/>
      <c r="E215" s="98"/>
      <c r="F215" s="98"/>
      <c r="G215" s="98"/>
      <c r="H215" s="98"/>
      <c r="I215" s="98"/>
      <c r="J215" s="129"/>
      <c r="K215" s="98"/>
      <c r="L215" s="98"/>
      <c r="M215" s="98"/>
      <c r="N215" s="98"/>
      <c r="O215" s="98"/>
      <c r="P215" s="98"/>
      <c r="Q215" s="99"/>
      <c r="R215" s="99"/>
      <c r="S215" s="99"/>
      <c r="T215" s="99"/>
      <c r="U215" s="99"/>
      <c r="V215" s="99"/>
      <c r="W215" s="99"/>
      <c r="X215" s="99"/>
      <c r="Y215" s="99"/>
      <c r="Z215" s="130"/>
    </row>
  </sheetData>
  <autoFilter ref="C4:F215"/>
  <mergeCells count="16">
    <mergeCell ref="C3:Z3"/>
    <mergeCell ref="C4:C5"/>
    <mergeCell ref="D4:D5"/>
    <mergeCell ref="E4:E5"/>
    <mergeCell ref="F4:F5"/>
    <mergeCell ref="G4:G5"/>
    <mergeCell ref="H4:H5"/>
    <mergeCell ref="I4:I5"/>
    <mergeCell ref="J4:J5"/>
    <mergeCell ref="K4:L4"/>
    <mergeCell ref="M4:N4"/>
    <mergeCell ref="O4:P4"/>
    <mergeCell ref="Q4:S4"/>
    <mergeCell ref="T4:V4"/>
    <mergeCell ref="W4:Y4"/>
    <mergeCell ref="Z4:Z5"/>
  </mergeCells>
  <dataValidations count="7">
    <dataValidation allowBlank="true" errorStyle="stop" operator="between" showDropDown="false" showErrorMessage="true" showInputMessage="true" sqref="F1 K1:Y1 F6:F1215 K6:Y1215" type="decimal">
      <formula1>-100000000</formula1>
      <formula2>100000000000</formula2>
    </dataValidation>
    <dataValidation allowBlank="true" errorStyle="stop" operator="greaterThan" showDropDown="false" showErrorMessage="true" showInputMessage="true" sqref="J1 J6:J1215" type="date">
      <formula1>1</formula1>
      <formula2>0</formula2>
    </dataValidation>
    <dataValidation allowBlank="true" errorStyle="stop" operator="between" showDropDown="false" showErrorMessage="true" showInputMessage="true" sqref="G216:G1215" type="list">
      <formula1>$B$217:$B$220</formula1>
      <formula2>0</formula2>
    </dataValidation>
    <dataValidation allowBlank="true" errorStyle="stop" operator="between" showDropDown="false" showErrorMessage="true" showInputMessage="true" sqref="I216:I1215" type="list">
      <formula1>$B$222:$B$223</formula1>
      <formula2>0</formula2>
    </dataValidation>
    <dataValidation allowBlank="true" errorStyle="stop" operator="between" showDropDown="false" showErrorMessage="true" showInputMessage="true" sqref="E216:E1215 H216:H1215" type="list">
      <formula1>'c:\users\aacosta\downloads\[circular_002_anexo.xlsx]listas desplegables'!#ref!</formula1>
      <formula2>0</formula2>
    </dataValidation>
    <dataValidation allowBlank="true" errorStyle="stop" operator="between" showDropDown="false" showErrorMessage="true" showInputMessage="true" sqref="G1 G6:G123 G132:G215" type="list">
      <formula1>'Listas Desplegables'!$B$53:$B$56</formula1>
      <formula2>0</formula2>
    </dataValidation>
    <dataValidation allowBlank="true" errorStyle="stop" operator="between" showDropDown="false" showErrorMessage="true" showInputMessage="true" sqref="I1 I6:I215" type="list">
      <formula1>'Listas Desplegables'!$B$58:$B$59</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2:P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6" activeCellId="0" sqref="D6"/>
    </sheetView>
  </sheetViews>
  <sheetFormatPr defaultColWidth="11.57421875" defaultRowHeight="15" zeroHeight="false" outlineLevelRow="0" outlineLevelCol="0"/>
  <cols>
    <col collapsed="false" customWidth="true" hidden="false" outlineLevel="0" max="2" min="1" style="68" width="3"/>
    <col collapsed="false" customWidth="true" hidden="false" outlineLevel="0" max="3" min="3" style="69" width="6.71"/>
    <col collapsed="false" customWidth="true" hidden="false" outlineLevel="0" max="4" min="4" style="0" width="33"/>
    <col collapsed="false" customWidth="true" hidden="false" outlineLevel="0" max="5" min="5" style="0" width="14.57"/>
    <col collapsed="false" customWidth="true" hidden="false" outlineLevel="0" max="6" min="6" style="0" width="12.72"/>
    <col collapsed="false" customWidth="true" hidden="false" outlineLevel="0" max="11" min="10" style="0" width="14.86"/>
    <col collapsed="false" customWidth="false" hidden="false" outlineLevel="0" max="15" min="13" style="70" width="11.57"/>
    <col collapsed="false" customWidth="true" hidden="false" outlineLevel="0" max="16" min="16" style="0" width="29.43"/>
  </cols>
  <sheetData>
    <row r="2" customFormat="false" ht="15.75" hidden="false" customHeight="false" outlineLevel="0" collapsed="false"/>
    <row r="3" s="73" customFormat="true" ht="15.75" hidden="false" customHeight="false" outlineLevel="0" collapsed="false">
      <c r="A3" s="71"/>
      <c r="B3" s="71"/>
      <c r="C3" s="72" t="s">
        <v>911</v>
      </c>
      <c r="D3" s="72"/>
      <c r="E3" s="72"/>
      <c r="F3" s="72"/>
      <c r="G3" s="72"/>
      <c r="H3" s="72"/>
      <c r="I3" s="72"/>
      <c r="J3" s="72"/>
      <c r="K3" s="72"/>
      <c r="L3" s="72"/>
      <c r="M3" s="72"/>
      <c r="N3" s="72"/>
      <c r="O3" s="72"/>
      <c r="P3" s="72"/>
    </row>
    <row r="4" s="77" customFormat="true" ht="12" hidden="false" customHeight="true" outlineLevel="0" collapsed="false">
      <c r="A4" s="74"/>
      <c r="B4" s="74"/>
      <c r="C4" s="75" t="s">
        <v>214</v>
      </c>
      <c r="D4" s="76" t="str">
        <f aca="false">'Manual de Uso'!C138</f>
        <v>Nombre</v>
      </c>
      <c r="E4" s="76" t="str">
        <f aca="false">'Manual de Uso'!C139</f>
        <v>Subestación</v>
      </c>
      <c r="F4" s="76" t="str">
        <f aca="false">'Manual de Uso'!C140</f>
        <v>Nivel de tensión [kV]</v>
      </c>
      <c r="G4" s="76" t="str">
        <f aca="false">'Manual de Uso'!C141</f>
        <v>Capacidad [MVAr]</v>
      </c>
      <c r="H4" s="76" t="s">
        <v>163</v>
      </c>
      <c r="I4" s="76" t="str">
        <f aca="false">'Manual de Uso'!C143</f>
        <v>Número de pasos</v>
      </c>
      <c r="J4" s="76" t="str">
        <f aca="false">'Manual de Uso'!C144</f>
        <v>Tipo conexión</v>
      </c>
      <c r="K4" s="76" t="str">
        <f aca="false">'Manual de Uso'!C145</f>
        <v>Operabilidad</v>
      </c>
      <c r="L4" s="76" t="str">
        <f aca="false">'Manual de Uso'!C146</f>
        <v>En Operación</v>
      </c>
      <c r="M4" s="105" t="str">
        <f aca="false">'Manual de Uso'!C147</f>
        <v>FPO</v>
      </c>
      <c r="N4" s="105" t="str">
        <f aca="false">'Manual de Uso'!C148</f>
        <v>Operador</v>
      </c>
      <c r="O4" s="105" t="str">
        <f aca="false">'Manual de Uso'!C149</f>
        <v>Tipo activo Uso/Conexión</v>
      </c>
      <c r="P4" s="76" t="str">
        <f aca="false">'Manual de Uso'!C150</f>
        <v>Observaciones transportador</v>
      </c>
    </row>
    <row r="5" s="77" customFormat="true" ht="24" hidden="false" customHeight="true" outlineLevel="0" collapsed="false">
      <c r="A5" s="74"/>
      <c r="B5" s="74"/>
      <c r="C5" s="75"/>
      <c r="D5" s="76"/>
      <c r="E5" s="76"/>
      <c r="F5" s="76"/>
      <c r="G5" s="76"/>
      <c r="H5" s="76"/>
      <c r="I5" s="76"/>
      <c r="J5" s="76"/>
      <c r="K5" s="76"/>
      <c r="L5" s="76"/>
      <c r="M5" s="105"/>
      <c r="N5" s="105"/>
      <c r="O5" s="105"/>
      <c r="P5" s="76"/>
    </row>
    <row r="6" customFormat="false" ht="15" hidden="false" customHeight="false" outlineLevel="0" collapsed="false">
      <c r="A6" s="68" t="e">
        <f aca="false">VLOOKUP(E6,'[1]Listas Desplegables'!$H$3:$J$7,2,FALSE())</f>
        <v>#N/A</v>
      </c>
      <c r="B6" s="68" t="e">
        <f aca="false">VLOOKUP(E6,'[1]Listas Desplegables'!$H$3:$J$7,3,FALSE())</f>
        <v>#N/A</v>
      </c>
      <c r="C6" s="78" t="n">
        <v>1</v>
      </c>
      <c r="D6" s="79" t="s">
        <v>267</v>
      </c>
      <c r="E6" s="79" t="s">
        <v>267</v>
      </c>
      <c r="F6" s="80" t="n">
        <v>110</v>
      </c>
      <c r="G6" s="81" t="n">
        <v>15</v>
      </c>
      <c r="H6" s="82" t="s">
        <v>912</v>
      </c>
      <c r="I6" s="81" t="n">
        <v>1</v>
      </c>
      <c r="J6" s="82" t="s">
        <v>913</v>
      </c>
      <c r="K6" s="82" t="s">
        <v>914</v>
      </c>
      <c r="L6" s="82" t="s">
        <v>221</v>
      </c>
      <c r="M6" s="83"/>
      <c r="N6" s="83"/>
      <c r="O6" s="81"/>
      <c r="P6" s="84"/>
    </row>
    <row r="7" customFormat="false" ht="15" hidden="false" customHeight="false" outlineLevel="0" collapsed="false">
      <c r="A7" s="68" t="e">
        <f aca="false">VLOOKUP(E7,'[1]Listas Desplegables'!$H$3:$J$7,2,FALSE())</f>
        <v>#N/A</v>
      </c>
      <c r="B7" s="68" t="e">
        <f aca="false">VLOOKUP(E7,'[1]Listas Desplegables'!$H$3:$J$7,3,FALSE())</f>
        <v>#N/A</v>
      </c>
      <c r="C7" s="85" t="n">
        <v>2</v>
      </c>
      <c r="D7" s="86" t="s">
        <v>264</v>
      </c>
      <c r="E7" s="86" t="s">
        <v>264</v>
      </c>
      <c r="F7" s="87" t="n">
        <v>110</v>
      </c>
      <c r="G7" s="88" t="n">
        <v>15</v>
      </c>
      <c r="H7" s="89" t="s">
        <v>912</v>
      </c>
      <c r="I7" s="88" t="n">
        <v>1</v>
      </c>
      <c r="J7" s="89" t="s">
        <v>913</v>
      </c>
      <c r="K7" s="89" t="s">
        <v>914</v>
      </c>
      <c r="L7" s="89" t="s">
        <v>221</v>
      </c>
      <c r="M7" s="90"/>
      <c r="N7" s="90"/>
      <c r="O7" s="88"/>
      <c r="P7" s="91"/>
    </row>
    <row r="8" customFormat="false" ht="15" hidden="false" customHeight="false" outlineLevel="0" collapsed="false">
      <c r="A8" s="68" t="e">
        <f aca="false">VLOOKUP(E8,'[1]Listas Desplegables'!$H$3:$J$7,2,FALSE())</f>
        <v>#N/A</v>
      </c>
      <c r="B8" s="68" t="e">
        <f aca="false">VLOOKUP(E8,'[1]Listas Desplegables'!$H$3:$J$7,3,FALSE())</f>
        <v>#N/A</v>
      </c>
      <c r="C8" s="85" t="n">
        <v>3</v>
      </c>
      <c r="D8" s="86" t="s">
        <v>331</v>
      </c>
      <c r="E8" s="86" t="s">
        <v>331</v>
      </c>
      <c r="F8" s="87" t="n">
        <v>13.8</v>
      </c>
      <c r="G8" s="88" t="n">
        <v>3</v>
      </c>
      <c r="H8" s="89" t="s">
        <v>912</v>
      </c>
      <c r="I8" s="88" t="n">
        <v>1</v>
      </c>
      <c r="J8" s="89" t="s">
        <v>913</v>
      </c>
      <c r="K8" s="89" t="s">
        <v>914</v>
      </c>
      <c r="L8" s="89" t="s">
        <v>221</v>
      </c>
      <c r="M8" s="90"/>
      <c r="N8" s="90"/>
      <c r="O8" s="88"/>
      <c r="P8" s="91"/>
    </row>
    <row r="9" customFormat="false" ht="15" hidden="false" customHeight="false" outlineLevel="0" collapsed="false">
      <c r="A9" s="68" t="e">
        <f aca="false">VLOOKUP(E9,'[1]Listas Desplegables'!$H$3:$J$7,2,FALSE())</f>
        <v>#N/A</v>
      </c>
      <c r="B9" s="68" t="e">
        <f aca="false">VLOOKUP(E9,'[1]Listas Desplegables'!$H$3:$J$7,3,FALSE())</f>
        <v>#N/A</v>
      </c>
      <c r="C9" s="85" t="n">
        <v>4</v>
      </c>
      <c r="D9" s="86" t="s">
        <v>342</v>
      </c>
      <c r="E9" s="86" t="s">
        <v>342</v>
      </c>
      <c r="F9" s="87" t="n">
        <v>13.8</v>
      </c>
      <c r="G9" s="88" t="n">
        <v>3</v>
      </c>
      <c r="H9" s="89" t="s">
        <v>912</v>
      </c>
      <c r="I9" s="88" t="n">
        <v>1</v>
      </c>
      <c r="J9" s="89" t="s">
        <v>913</v>
      </c>
      <c r="K9" s="89" t="s">
        <v>914</v>
      </c>
      <c r="L9" s="89" t="s">
        <v>221</v>
      </c>
      <c r="M9" s="90"/>
      <c r="N9" s="90"/>
      <c r="O9" s="88"/>
      <c r="P9" s="91"/>
    </row>
    <row r="10" customFormat="false" ht="15" hidden="false" customHeight="false" outlineLevel="0" collapsed="false">
      <c r="A10" s="68" t="e">
        <f aca="false">VLOOKUP(E10,'[1]Listas Desplegables'!$H$3:$J$7,2,FALSE())</f>
        <v>#N/A</v>
      </c>
      <c r="B10" s="68" t="e">
        <f aca="false">VLOOKUP(E10,'[1]Listas Desplegables'!$H$3:$J$7,3,FALSE())</f>
        <v>#N/A</v>
      </c>
      <c r="C10" s="85" t="n">
        <v>5</v>
      </c>
      <c r="D10" s="86" t="s">
        <v>345</v>
      </c>
      <c r="E10" s="86" t="s">
        <v>345</v>
      </c>
      <c r="F10" s="87" t="n">
        <v>13.8</v>
      </c>
      <c r="G10" s="88" t="n">
        <v>3</v>
      </c>
      <c r="H10" s="89" t="s">
        <v>912</v>
      </c>
      <c r="I10" s="88" t="n">
        <v>1</v>
      </c>
      <c r="J10" s="89" t="s">
        <v>913</v>
      </c>
      <c r="K10" s="89" t="s">
        <v>914</v>
      </c>
      <c r="L10" s="89" t="s">
        <v>221</v>
      </c>
      <c r="M10" s="90"/>
      <c r="N10" s="90"/>
      <c r="O10" s="88"/>
      <c r="P10" s="91"/>
    </row>
    <row r="11" customFormat="false" ht="15" hidden="false" customHeight="false" outlineLevel="0" collapsed="false">
      <c r="A11" s="68" t="e">
        <f aca="false">VLOOKUP(E11,'[1]Listas Desplegables'!$H$3:$J$7,2,FALSE())</f>
        <v>#N/A</v>
      </c>
      <c r="B11" s="68" t="e">
        <f aca="false">VLOOKUP(E11,'[1]Listas Desplegables'!$H$3:$J$7,3,FALSE())</f>
        <v>#N/A</v>
      </c>
      <c r="C11" s="85" t="n">
        <v>6</v>
      </c>
      <c r="D11" s="86"/>
      <c r="E11" s="86"/>
      <c r="F11" s="87"/>
      <c r="G11" s="88"/>
      <c r="H11" s="89"/>
      <c r="I11" s="88"/>
      <c r="J11" s="89"/>
      <c r="K11" s="89"/>
      <c r="L11" s="89"/>
      <c r="M11" s="90"/>
      <c r="N11" s="90"/>
      <c r="O11" s="88"/>
      <c r="P11" s="91"/>
    </row>
    <row r="12" customFormat="false" ht="15" hidden="false" customHeight="false" outlineLevel="0" collapsed="false">
      <c r="A12" s="68" t="e">
        <f aca="false">VLOOKUP(E12,'[1]Listas Desplegables'!$H$3:$J$7,2,FALSE())</f>
        <v>#N/A</v>
      </c>
      <c r="B12" s="68" t="e">
        <f aca="false">VLOOKUP(E12,'[1]Listas Desplegables'!$H$3:$J$7,3,FALSE())</f>
        <v>#N/A</v>
      </c>
      <c r="C12" s="85" t="n">
        <v>7</v>
      </c>
      <c r="D12" s="86"/>
      <c r="E12" s="86"/>
      <c r="F12" s="87"/>
      <c r="G12" s="88"/>
      <c r="H12" s="89"/>
      <c r="I12" s="88"/>
      <c r="J12" s="89"/>
      <c r="K12" s="89"/>
      <c r="L12" s="89"/>
      <c r="M12" s="90"/>
      <c r="N12" s="90"/>
      <c r="O12" s="88"/>
      <c r="P12" s="91"/>
    </row>
    <row r="13" customFormat="false" ht="15" hidden="false" customHeight="false" outlineLevel="0" collapsed="false">
      <c r="A13" s="68" t="e">
        <f aca="false">VLOOKUP(E13,'[1]Listas Desplegables'!$H$3:$J$7,2,FALSE())</f>
        <v>#N/A</v>
      </c>
      <c r="B13" s="68" t="e">
        <f aca="false">VLOOKUP(E13,'[1]Listas Desplegables'!$H$3:$J$7,3,FALSE())</f>
        <v>#N/A</v>
      </c>
      <c r="C13" s="85" t="n">
        <v>8</v>
      </c>
      <c r="D13" s="86"/>
      <c r="E13" s="86"/>
      <c r="F13" s="87"/>
      <c r="G13" s="88"/>
      <c r="H13" s="89"/>
      <c r="I13" s="88"/>
      <c r="J13" s="89"/>
      <c r="K13" s="89"/>
      <c r="L13" s="89"/>
      <c r="M13" s="90"/>
      <c r="N13" s="90"/>
      <c r="O13" s="88"/>
      <c r="P13" s="91"/>
    </row>
    <row r="14" customFormat="false" ht="15" hidden="false" customHeight="false" outlineLevel="0" collapsed="false">
      <c r="A14" s="68" t="e">
        <f aca="false">VLOOKUP(E14,'[1]Listas Desplegables'!$H$3:$J$7,2,FALSE())</f>
        <v>#N/A</v>
      </c>
      <c r="B14" s="68" t="e">
        <f aca="false">VLOOKUP(E14,'[1]Listas Desplegables'!$H$3:$J$7,3,FALSE())</f>
        <v>#N/A</v>
      </c>
      <c r="C14" s="85" t="n">
        <v>9</v>
      </c>
      <c r="D14" s="86"/>
      <c r="E14" s="86"/>
      <c r="F14" s="87"/>
      <c r="G14" s="88"/>
      <c r="H14" s="89"/>
      <c r="I14" s="88"/>
      <c r="J14" s="89"/>
      <c r="K14" s="89"/>
      <c r="L14" s="89"/>
      <c r="M14" s="90"/>
      <c r="N14" s="90"/>
      <c r="O14" s="88"/>
      <c r="P14" s="91"/>
    </row>
    <row r="15" customFormat="false" ht="15" hidden="false" customHeight="false" outlineLevel="0" collapsed="false">
      <c r="A15" s="68" t="e">
        <f aca="false">VLOOKUP(E15,'[1]Listas Desplegables'!$H$3:$J$7,2,FALSE())</f>
        <v>#N/A</v>
      </c>
      <c r="B15" s="68" t="e">
        <f aca="false">VLOOKUP(E15,'[1]Listas Desplegables'!$H$3:$J$7,3,FALSE())</f>
        <v>#N/A</v>
      </c>
      <c r="C15" s="92" t="n">
        <v>10</v>
      </c>
      <c r="D15" s="86"/>
      <c r="E15" s="86"/>
      <c r="F15" s="87"/>
      <c r="G15" s="88"/>
      <c r="H15" s="89"/>
      <c r="I15" s="88"/>
      <c r="J15" s="89"/>
      <c r="K15" s="89"/>
      <c r="L15" s="89"/>
      <c r="M15" s="90"/>
      <c r="N15" s="90"/>
      <c r="O15" s="88"/>
      <c r="P15" s="91"/>
    </row>
    <row r="16" customFormat="false" ht="15" hidden="false" customHeight="false" outlineLevel="0" collapsed="false">
      <c r="A16" s="68" t="e">
        <f aca="false">VLOOKUP(E16,'[1]Listas Desplegables'!$H$3:$J$7,2,FALSE())</f>
        <v>#N/A</v>
      </c>
      <c r="B16" s="68" t="e">
        <f aca="false">VLOOKUP(E16,'[1]Listas Desplegables'!$H$3:$J$7,3,FALSE())</f>
        <v>#N/A</v>
      </c>
      <c r="C16" s="85" t="n">
        <v>11</v>
      </c>
      <c r="D16" s="86"/>
      <c r="E16" s="86"/>
      <c r="F16" s="87"/>
      <c r="G16" s="88"/>
      <c r="H16" s="89"/>
      <c r="I16" s="88"/>
      <c r="J16" s="89"/>
      <c r="K16" s="89"/>
      <c r="L16" s="89"/>
      <c r="M16" s="90"/>
      <c r="N16" s="90"/>
      <c r="O16" s="88"/>
      <c r="P16" s="91"/>
    </row>
    <row r="17" customFormat="false" ht="15" hidden="false" customHeight="false" outlineLevel="0" collapsed="false">
      <c r="A17" s="68" t="e">
        <f aca="false">VLOOKUP(E17,'[1]Listas Desplegables'!$H$3:$J$7,2,FALSE())</f>
        <v>#N/A</v>
      </c>
      <c r="B17" s="68" t="e">
        <f aca="false">VLOOKUP(E17,'[1]Listas Desplegables'!$H$3:$J$7,3,FALSE())</f>
        <v>#N/A</v>
      </c>
      <c r="C17" s="85" t="n">
        <v>12</v>
      </c>
      <c r="D17" s="86"/>
      <c r="E17" s="86"/>
      <c r="F17" s="87"/>
      <c r="G17" s="88"/>
      <c r="H17" s="89"/>
      <c r="I17" s="88"/>
      <c r="J17" s="89"/>
      <c r="K17" s="89"/>
      <c r="L17" s="89"/>
      <c r="M17" s="90"/>
      <c r="N17" s="90"/>
      <c r="O17" s="88"/>
      <c r="P17" s="91"/>
    </row>
    <row r="18" customFormat="false" ht="15" hidden="false" customHeight="false" outlineLevel="0" collapsed="false">
      <c r="A18" s="68" t="e">
        <f aca="false">VLOOKUP(E18,'[1]Listas Desplegables'!$H$3:$J$7,2,FALSE())</f>
        <v>#N/A</v>
      </c>
      <c r="B18" s="68" t="e">
        <f aca="false">VLOOKUP(E18,'[1]Listas Desplegables'!$H$3:$J$7,3,FALSE())</f>
        <v>#N/A</v>
      </c>
      <c r="C18" s="85" t="n">
        <v>13</v>
      </c>
      <c r="D18" s="86"/>
      <c r="E18" s="86"/>
      <c r="F18" s="87"/>
      <c r="G18" s="88"/>
      <c r="H18" s="89"/>
      <c r="I18" s="88"/>
      <c r="J18" s="89"/>
      <c r="K18" s="89"/>
      <c r="L18" s="89"/>
      <c r="M18" s="90"/>
      <c r="N18" s="90"/>
      <c r="O18" s="88"/>
      <c r="P18" s="91"/>
    </row>
    <row r="19" customFormat="false" ht="15" hidden="false" customHeight="false" outlineLevel="0" collapsed="false">
      <c r="A19" s="68" t="e">
        <f aca="false">VLOOKUP(E19,'[1]Listas Desplegables'!$H$3:$J$7,2,FALSE())</f>
        <v>#N/A</v>
      </c>
      <c r="B19" s="68" t="e">
        <f aca="false">VLOOKUP(E19,'[1]Listas Desplegables'!$H$3:$J$7,3,FALSE())</f>
        <v>#N/A</v>
      </c>
      <c r="C19" s="85" t="n">
        <v>14</v>
      </c>
      <c r="D19" s="86"/>
      <c r="E19" s="86"/>
      <c r="F19" s="87"/>
      <c r="G19" s="88"/>
      <c r="H19" s="89"/>
      <c r="I19" s="88"/>
      <c r="J19" s="89"/>
      <c r="K19" s="89"/>
      <c r="L19" s="89"/>
      <c r="M19" s="90"/>
      <c r="N19" s="90"/>
      <c r="O19" s="88"/>
      <c r="P19" s="91"/>
    </row>
    <row r="20" customFormat="false" ht="15" hidden="false" customHeight="false" outlineLevel="0" collapsed="false">
      <c r="A20" s="68" t="e">
        <f aca="false">VLOOKUP(E20,'[1]Listas Desplegables'!$H$3:$J$7,2,FALSE())</f>
        <v>#N/A</v>
      </c>
      <c r="B20" s="68" t="e">
        <f aca="false">VLOOKUP(E20,'[1]Listas Desplegables'!$H$3:$J$7,3,FALSE())</f>
        <v>#N/A</v>
      </c>
      <c r="C20" s="85" t="n">
        <v>15</v>
      </c>
      <c r="D20" s="86"/>
      <c r="E20" s="86"/>
      <c r="F20" s="87"/>
      <c r="G20" s="88"/>
      <c r="H20" s="89"/>
      <c r="I20" s="88"/>
      <c r="J20" s="89"/>
      <c r="K20" s="89"/>
      <c r="L20" s="89"/>
      <c r="M20" s="90"/>
      <c r="N20" s="90"/>
      <c r="O20" s="88"/>
      <c r="P20" s="91"/>
    </row>
    <row r="21" customFormat="false" ht="15" hidden="false" customHeight="false" outlineLevel="0" collapsed="false">
      <c r="A21" s="68" t="e">
        <f aca="false">VLOOKUP(E21,'[1]Listas Desplegables'!$H$3:$J$7,2,FALSE())</f>
        <v>#N/A</v>
      </c>
      <c r="B21" s="68" t="e">
        <f aca="false">VLOOKUP(E21,'[1]Listas Desplegables'!$H$3:$J$7,3,FALSE())</f>
        <v>#N/A</v>
      </c>
      <c r="C21" s="85" t="n">
        <v>16</v>
      </c>
      <c r="D21" s="86"/>
      <c r="E21" s="86"/>
      <c r="F21" s="87"/>
      <c r="G21" s="88"/>
      <c r="H21" s="89"/>
      <c r="I21" s="88"/>
      <c r="J21" s="89"/>
      <c r="K21" s="89"/>
      <c r="L21" s="89"/>
      <c r="M21" s="90"/>
      <c r="N21" s="90"/>
      <c r="O21" s="88"/>
      <c r="P21" s="91"/>
    </row>
    <row r="22" customFormat="false" ht="15" hidden="false" customHeight="false" outlineLevel="0" collapsed="false">
      <c r="A22" s="68" t="e">
        <f aca="false">VLOOKUP(E22,'[1]Listas Desplegables'!$H$3:$J$7,2,FALSE())</f>
        <v>#N/A</v>
      </c>
      <c r="B22" s="68" t="e">
        <f aca="false">VLOOKUP(E22,'[1]Listas Desplegables'!$H$3:$J$7,3,FALSE())</f>
        <v>#N/A</v>
      </c>
      <c r="C22" s="85" t="n">
        <v>17</v>
      </c>
      <c r="D22" s="86"/>
      <c r="E22" s="86"/>
      <c r="F22" s="87"/>
      <c r="G22" s="88"/>
      <c r="H22" s="89"/>
      <c r="I22" s="88"/>
      <c r="J22" s="89"/>
      <c r="K22" s="89"/>
      <c r="L22" s="89"/>
      <c r="M22" s="90"/>
      <c r="N22" s="90"/>
      <c r="O22" s="88"/>
      <c r="P22" s="91"/>
    </row>
    <row r="23" customFormat="false" ht="15" hidden="false" customHeight="false" outlineLevel="0" collapsed="false">
      <c r="A23" s="68" t="e">
        <f aca="false">VLOOKUP(E23,'[1]Listas Desplegables'!$H$3:$J$7,2,FALSE())</f>
        <v>#N/A</v>
      </c>
      <c r="B23" s="68" t="e">
        <f aca="false">VLOOKUP(E23,'[1]Listas Desplegables'!$H$3:$J$7,3,FALSE())</f>
        <v>#N/A</v>
      </c>
      <c r="C23" s="85" t="n">
        <v>18</v>
      </c>
      <c r="D23" s="86"/>
      <c r="E23" s="86"/>
      <c r="F23" s="87"/>
      <c r="G23" s="88"/>
      <c r="H23" s="89"/>
      <c r="I23" s="88"/>
      <c r="J23" s="89"/>
      <c r="K23" s="89"/>
      <c r="L23" s="89"/>
      <c r="M23" s="90"/>
      <c r="N23" s="90"/>
      <c r="O23" s="88"/>
      <c r="P23" s="91"/>
    </row>
    <row r="24" customFormat="false" ht="15" hidden="false" customHeight="false" outlineLevel="0" collapsed="false">
      <c r="A24" s="68" t="e">
        <f aca="false">VLOOKUP(E24,'[1]Listas Desplegables'!$H$3:$J$7,2,FALSE())</f>
        <v>#N/A</v>
      </c>
      <c r="B24" s="68" t="e">
        <f aca="false">VLOOKUP(E24,'[1]Listas Desplegables'!$H$3:$J$7,3,FALSE())</f>
        <v>#N/A</v>
      </c>
      <c r="C24" s="92" t="n">
        <v>19</v>
      </c>
      <c r="D24" s="86"/>
      <c r="E24" s="86"/>
      <c r="F24" s="87"/>
      <c r="G24" s="88"/>
      <c r="H24" s="89"/>
      <c r="I24" s="88"/>
      <c r="J24" s="89"/>
      <c r="K24" s="89"/>
      <c r="L24" s="89"/>
      <c r="M24" s="90"/>
      <c r="N24" s="90"/>
      <c r="O24" s="88"/>
      <c r="P24" s="91"/>
    </row>
    <row r="25" customFormat="false" ht="15" hidden="false" customHeight="false" outlineLevel="0" collapsed="false">
      <c r="A25" s="68" t="e">
        <f aca="false">VLOOKUP(E25,'[1]Listas Desplegables'!$H$3:$J$7,2,FALSE())</f>
        <v>#N/A</v>
      </c>
      <c r="B25" s="68" t="e">
        <f aca="false">VLOOKUP(E25,'[1]Listas Desplegables'!$H$3:$J$7,3,FALSE())</f>
        <v>#N/A</v>
      </c>
      <c r="C25" s="93" t="n">
        <v>20</v>
      </c>
      <c r="D25" s="94"/>
      <c r="E25" s="94"/>
      <c r="F25" s="109"/>
      <c r="G25" s="88"/>
      <c r="H25" s="89"/>
      <c r="I25" s="88"/>
      <c r="J25" s="89"/>
      <c r="K25" s="89"/>
      <c r="L25" s="89"/>
      <c r="M25" s="90"/>
      <c r="N25" s="90"/>
      <c r="O25" s="88"/>
      <c r="P25" s="91"/>
    </row>
    <row r="26" customFormat="false" ht="15" hidden="false" customHeight="false" outlineLevel="0" collapsed="false">
      <c r="A26" s="68" t="e">
        <f aca="false">VLOOKUP(E26,'[1]Listas Desplegables'!$H$3:$J$7,2,FALSE())</f>
        <v>#N/A</v>
      </c>
      <c r="B26" s="68" t="e">
        <f aca="false">VLOOKUP(E26,'[1]Listas Desplegables'!$H$3:$J$7,3,FALSE())</f>
        <v>#N/A</v>
      </c>
      <c r="C26" s="92" t="n">
        <v>21</v>
      </c>
      <c r="D26" s="94"/>
      <c r="E26" s="94"/>
      <c r="F26" s="109"/>
      <c r="G26" s="88"/>
      <c r="H26" s="89"/>
      <c r="I26" s="88"/>
      <c r="J26" s="89"/>
      <c r="K26" s="89"/>
      <c r="L26" s="89"/>
      <c r="M26" s="90"/>
      <c r="N26" s="90"/>
      <c r="O26" s="88"/>
      <c r="P26" s="91"/>
    </row>
    <row r="27" customFormat="false" ht="15" hidden="false" customHeight="false" outlineLevel="0" collapsed="false">
      <c r="A27" s="68" t="e">
        <f aca="false">VLOOKUP(E27,'[1]Listas Desplegables'!$H$3:$J$7,2,FALSE())</f>
        <v>#N/A</v>
      </c>
      <c r="B27" s="68" t="e">
        <f aca="false">VLOOKUP(E27,'[1]Listas Desplegables'!$H$3:$J$7,3,FALSE())</f>
        <v>#N/A</v>
      </c>
      <c r="C27" s="85" t="n">
        <v>22</v>
      </c>
      <c r="D27" s="94"/>
      <c r="E27" s="94"/>
      <c r="F27" s="109"/>
      <c r="G27" s="88"/>
      <c r="H27" s="89"/>
      <c r="I27" s="88"/>
      <c r="J27" s="89"/>
      <c r="K27" s="89"/>
      <c r="L27" s="89"/>
      <c r="M27" s="90"/>
      <c r="N27" s="90"/>
      <c r="O27" s="88"/>
      <c r="P27" s="91"/>
    </row>
    <row r="28" customFormat="false" ht="15" hidden="false" customHeight="false" outlineLevel="0" collapsed="false">
      <c r="A28" s="68" t="e">
        <f aca="false">VLOOKUP(E28,'[1]Listas Desplegables'!$H$3:$J$7,2,FALSE())</f>
        <v>#N/A</v>
      </c>
      <c r="B28" s="68" t="e">
        <f aca="false">VLOOKUP(E28,'[1]Listas Desplegables'!$H$3:$J$7,3,FALSE())</f>
        <v>#N/A</v>
      </c>
      <c r="C28" s="85" t="n">
        <v>23</v>
      </c>
      <c r="D28" s="94"/>
      <c r="E28" s="94"/>
      <c r="F28" s="109"/>
      <c r="G28" s="88"/>
      <c r="H28" s="89"/>
      <c r="I28" s="88"/>
      <c r="J28" s="89"/>
      <c r="K28" s="89"/>
      <c r="L28" s="89"/>
      <c r="M28" s="90"/>
      <c r="N28" s="90"/>
      <c r="O28" s="88"/>
      <c r="P28" s="91"/>
    </row>
    <row r="29" customFormat="false" ht="15" hidden="false" customHeight="false" outlineLevel="0" collapsed="false">
      <c r="A29" s="68" t="e">
        <f aca="false">VLOOKUP(E29,'[1]Listas Desplegables'!$H$3:$J$7,2,FALSE())</f>
        <v>#N/A</v>
      </c>
      <c r="B29" s="68" t="e">
        <f aca="false">VLOOKUP(E29,'[1]Listas Desplegables'!$H$3:$J$7,3,FALSE())</f>
        <v>#N/A</v>
      </c>
      <c r="C29" s="85" t="n">
        <v>24</v>
      </c>
      <c r="D29" s="94"/>
      <c r="E29" s="94"/>
      <c r="F29" s="109"/>
      <c r="G29" s="88"/>
      <c r="H29" s="89"/>
      <c r="I29" s="88"/>
      <c r="J29" s="89"/>
      <c r="K29" s="89"/>
      <c r="L29" s="89"/>
      <c r="M29" s="90"/>
      <c r="N29" s="90"/>
      <c r="O29" s="88"/>
      <c r="P29" s="91"/>
    </row>
    <row r="30" customFormat="false" ht="15" hidden="false" customHeight="false" outlineLevel="0" collapsed="false">
      <c r="A30" s="68" t="e">
        <f aca="false">VLOOKUP(E30,'[1]Listas Desplegables'!$H$3:$J$7,2,FALSE())</f>
        <v>#N/A</v>
      </c>
      <c r="B30" s="68" t="e">
        <f aca="false">VLOOKUP(E30,'[1]Listas Desplegables'!$H$3:$J$7,3,FALSE())</f>
        <v>#N/A</v>
      </c>
      <c r="C30" s="85" t="n">
        <v>25</v>
      </c>
      <c r="D30" s="94"/>
      <c r="E30" s="94"/>
      <c r="F30" s="109"/>
      <c r="G30" s="88"/>
      <c r="H30" s="89"/>
      <c r="I30" s="88"/>
      <c r="J30" s="89"/>
      <c r="K30" s="89"/>
      <c r="L30" s="89"/>
      <c r="M30" s="90"/>
      <c r="N30" s="90"/>
      <c r="O30" s="88"/>
      <c r="P30" s="91"/>
    </row>
    <row r="31" customFormat="false" ht="15" hidden="false" customHeight="false" outlineLevel="0" collapsed="false">
      <c r="A31" s="68" t="e">
        <f aca="false">VLOOKUP(E31,'[1]Listas Desplegables'!$H$3:$J$7,2,FALSE())</f>
        <v>#N/A</v>
      </c>
      <c r="B31" s="68" t="e">
        <f aca="false">VLOOKUP(E31,'[1]Listas Desplegables'!$H$3:$J$7,3,FALSE())</f>
        <v>#N/A</v>
      </c>
      <c r="C31" s="85" t="n">
        <v>26</v>
      </c>
      <c r="D31" s="94"/>
      <c r="E31" s="94"/>
      <c r="F31" s="109"/>
      <c r="G31" s="88"/>
      <c r="H31" s="89"/>
      <c r="I31" s="88"/>
      <c r="J31" s="89"/>
      <c r="K31" s="89"/>
      <c r="L31" s="89"/>
      <c r="M31" s="90"/>
      <c r="N31" s="90"/>
      <c r="O31" s="88"/>
      <c r="P31" s="91"/>
    </row>
    <row r="32" customFormat="false" ht="15" hidden="false" customHeight="false" outlineLevel="0" collapsed="false">
      <c r="A32" s="68" t="e">
        <f aca="false">VLOOKUP(E32,'[1]Listas Desplegables'!$H$3:$J$7,2,FALSE())</f>
        <v>#N/A</v>
      </c>
      <c r="B32" s="68" t="e">
        <f aca="false">VLOOKUP(E32,'[1]Listas Desplegables'!$H$3:$J$7,3,FALSE())</f>
        <v>#N/A</v>
      </c>
      <c r="C32" s="85" t="n">
        <v>27</v>
      </c>
      <c r="D32" s="94"/>
      <c r="E32" s="94"/>
      <c r="F32" s="109"/>
      <c r="G32" s="88"/>
      <c r="H32" s="89"/>
      <c r="I32" s="88"/>
      <c r="J32" s="89"/>
      <c r="K32" s="89"/>
      <c r="L32" s="89"/>
      <c r="M32" s="90"/>
      <c r="N32" s="90"/>
      <c r="O32" s="88"/>
      <c r="P32" s="91"/>
    </row>
    <row r="33" customFormat="false" ht="15" hidden="false" customHeight="false" outlineLevel="0" collapsed="false">
      <c r="A33" s="68" t="e">
        <f aca="false">VLOOKUP(E33,'[1]Listas Desplegables'!$H$3:$J$7,2,FALSE())</f>
        <v>#N/A</v>
      </c>
      <c r="B33" s="68" t="e">
        <f aca="false">VLOOKUP(E33,'[1]Listas Desplegables'!$H$3:$J$7,3,FALSE())</f>
        <v>#N/A</v>
      </c>
      <c r="C33" s="85" t="n">
        <v>28</v>
      </c>
      <c r="D33" s="94"/>
      <c r="E33" s="94"/>
      <c r="F33" s="109"/>
      <c r="G33" s="88"/>
      <c r="H33" s="89"/>
      <c r="I33" s="88"/>
      <c r="J33" s="89"/>
      <c r="K33" s="89"/>
      <c r="L33" s="89"/>
      <c r="M33" s="90"/>
      <c r="N33" s="90"/>
      <c r="O33" s="88"/>
      <c r="P33" s="91"/>
    </row>
    <row r="34" customFormat="false" ht="15" hidden="false" customHeight="false" outlineLevel="0" collapsed="false">
      <c r="A34" s="68" t="e">
        <f aca="false">VLOOKUP(E34,'[1]Listas Desplegables'!$H$3:$J$7,2,FALSE())</f>
        <v>#N/A</v>
      </c>
      <c r="B34" s="68" t="e">
        <f aca="false">VLOOKUP(E34,'[1]Listas Desplegables'!$H$3:$J$7,3,FALSE())</f>
        <v>#N/A</v>
      </c>
      <c r="C34" s="85" t="n">
        <v>29</v>
      </c>
      <c r="D34" s="94"/>
      <c r="E34" s="94"/>
      <c r="F34" s="109"/>
      <c r="G34" s="88"/>
      <c r="H34" s="89"/>
      <c r="I34" s="88"/>
      <c r="J34" s="89"/>
      <c r="K34" s="89"/>
      <c r="L34" s="89"/>
      <c r="M34" s="90"/>
      <c r="N34" s="90"/>
      <c r="O34" s="88"/>
      <c r="P34" s="91"/>
    </row>
    <row r="35" customFormat="false" ht="15" hidden="false" customHeight="false" outlineLevel="0" collapsed="false">
      <c r="A35" s="68" t="e">
        <f aca="false">VLOOKUP(E35,'[1]Listas Desplegables'!$H$3:$J$7,2,FALSE())</f>
        <v>#N/A</v>
      </c>
      <c r="B35" s="68" t="e">
        <f aca="false">VLOOKUP(E35,'[1]Listas Desplegables'!$H$3:$J$7,3,FALSE())</f>
        <v>#N/A</v>
      </c>
      <c r="C35" s="92" t="n">
        <v>30</v>
      </c>
      <c r="D35" s="94"/>
      <c r="E35" s="94"/>
      <c r="F35" s="109"/>
      <c r="G35" s="88"/>
      <c r="H35" s="89"/>
      <c r="I35" s="88"/>
      <c r="J35" s="89"/>
      <c r="K35" s="89"/>
      <c r="L35" s="89"/>
      <c r="M35" s="90"/>
      <c r="N35" s="90"/>
      <c r="O35" s="88"/>
      <c r="P35" s="91"/>
    </row>
    <row r="36" customFormat="false" ht="15" hidden="false" customHeight="false" outlineLevel="0" collapsed="false">
      <c r="A36" s="68" t="e">
        <f aca="false">VLOOKUP(E36,'[1]Listas Desplegables'!$H$3:$J$7,2,FALSE())</f>
        <v>#N/A</v>
      </c>
      <c r="B36" s="68" t="e">
        <f aca="false">VLOOKUP(E36,'[1]Listas Desplegables'!$H$3:$J$7,3,FALSE())</f>
        <v>#N/A</v>
      </c>
      <c r="C36" s="85" t="n">
        <v>31</v>
      </c>
      <c r="D36" s="94"/>
      <c r="E36" s="94"/>
      <c r="F36" s="109"/>
      <c r="G36" s="88"/>
      <c r="H36" s="89"/>
      <c r="I36" s="88"/>
      <c r="J36" s="89"/>
      <c r="K36" s="89"/>
      <c r="L36" s="89"/>
      <c r="M36" s="90"/>
      <c r="N36" s="90"/>
      <c r="O36" s="88"/>
      <c r="P36" s="91"/>
    </row>
    <row r="37" customFormat="false" ht="15" hidden="false" customHeight="false" outlineLevel="0" collapsed="false">
      <c r="A37" s="68" t="e">
        <f aca="false">VLOOKUP(E37,'[1]Listas Desplegables'!$H$3:$J$7,2,FALSE())</f>
        <v>#N/A</v>
      </c>
      <c r="B37" s="68" t="e">
        <f aca="false">VLOOKUP(E37,'[1]Listas Desplegables'!$H$3:$J$7,3,FALSE())</f>
        <v>#N/A</v>
      </c>
      <c r="C37" s="85" t="n">
        <v>32</v>
      </c>
      <c r="D37" s="94"/>
      <c r="E37" s="94"/>
      <c r="F37" s="109"/>
      <c r="G37" s="88"/>
      <c r="H37" s="89"/>
      <c r="I37" s="88"/>
      <c r="J37" s="89"/>
      <c r="K37" s="89"/>
      <c r="L37" s="89"/>
      <c r="M37" s="90"/>
      <c r="N37" s="90"/>
      <c r="O37" s="88"/>
      <c r="P37" s="91"/>
    </row>
    <row r="38" customFormat="false" ht="15" hidden="false" customHeight="false" outlineLevel="0" collapsed="false">
      <c r="A38" s="68" t="e">
        <f aca="false">VLOOKUP(E38,'[1]Listas Desplegables'!$H$3:$J$7,2,FALSE())</f>
        <v>#N/A</v>
      </c>
      <c r="B38" s="68" t="e">
        <f aca="false">VLOOKUP(E38,'[1]Listas Desplegables'!$H$3:$J$7,3,FALSE())</f>
        <v>#N/A</v>
      </c>
      <c r="C38" s="85" t="n">
        <v>33</v>
      </c>
      <c r="D38" s="94"/>
      <c r="E38" s="94"/>
      <c r="F38" s="109"/>
      <c r="G38" s="88"/>
      <c r="H38" s="89"/>
      <c r="I38" s="88"/>
      <c r="J38" s="89"/>
      <c r="K38" s="89"/>
      <c r="L38" s="89"/>
      <c r="M38" s="90"/>
      <c r="N38" s="90"/>
      <c r="O38" s="88"/>
      <c r="P38" s="91"/>
    </row>
    <row r="39" customFormat="false" ht="15" hidden="false" customHeight="false" outlineLevel="0" collapsed="false">
      <c r="A39" s="68" t="e">
        <f aca="false">VLOOKUP(E39,'[1]Listas Desplegables'!$H$3:$J$7,2,FALSE())</f>
        <v>#N/A</v>
      </c>
      <c r="B39" s="68" t="e">
        <f aca="false">VLOOKUP(E39,'[1]Listas Desplegables'!$H$3:$J$7,3,FALSE())</f>
        <v>#N/A</v>
      </c>
      <c r="C39" s="85" t="n">
        <v>34</v>
      </c>
      <c r="D39" s="94"/>
      <c r="E39" s="94"/>
      <c r="F39" s="109"/>
      <c r="G39" s="88"/>
      <c r="H39" s="89"/>
      <c r="I39" s="88"/>
      <c r="J39" s="89"/>
      <c r="K39" s="89"/>
      <c r="L39" s="89"/>
      <c r="M39" s="90"/>
      <c r="N39" s="90"/>
      <c r="O39" s="88"/>
      <c r="P39" s="91"/>
    </row>
    <row r="40" customFormat="false" ht="15" hidden="false" customHeight="false" outlineLevel="0" collapsed="false">
      <c r="A40" s="68" t="e">
        <f aca="false">VLOOKUP(E40,'[1]Listas Desplegables'!$H$3:$J$7,2,FALSE())</f>
        <v>#N/A</v>
      </c>
      <c r="B40" s="68" t="e">
        <f aca="false">VLOOKUP(E40,'[1]Listas Desplegables'!$H$3:$J$7,3,FALSE())</f>
        <v>#N/A</v>
      </c>
      <c r="C40" s="85" t="n">
        <v>35</v>
      </c>
      <c r="D40" s="94"/>
      <c r="E40" s="94"/>
      <c r="F40" s="109"/>
      <c r="G40" s="88"/>
      <c r="H40" s="89"/>
      <c r="I40" s="88"/>
      <c r="J40" s="89"/>
      <c r="K40" s="89"/>
      <c r="L40" s="89"/>
      <c r="M40" s="90"/>
      <c r="N40" s="90"/>
      <c r="O40" s="88"/>
      <c r="P40" s="91"/>
    </row>
    <row r="41" customFormat="false" ht="15" hidden="false" customHeight="false" outlineLevel="0" collapsed="false">
      <c r="A41" s="68" t="e">
        <f aca="false">VLOOKUP(E41,'[1]Listas Desplegables'!$H$3:$J$7,2,FALSE())</f>
        <v>#N/A</v>
      </c>
      <c r="B41" s="68" t="e">
        <f aca="false">VLOOKUP(E41,'[1]Listas Desplegables'!$H$3:$J$7,3,FALSE())</f>
        <v>#N/A</v>
      </c>
      <c r="C41" s="85" t="n">
        <v>36</v>
      </c>
      <c r="D41" s="94"/>
      <c r="E41" s="94"/>
      <c r="F41" s="109"/>
      <c r="G41" s="88"/>
      <c r="H41" s="89"/>
      <c r="I41" s="88"/>
      <c r="J41" s="89"/>
      <c r="K41" s="89"/>
      <c r="L41" s="89"/>
      <c r="M41" s="90"/>
      <c r="N41" s="90"/>
      <c r="O41" s="88"/>
      <c r="P41" s="91"/>
    </row>
    <row r="42" customFormat="false" ht="15" hidden="false" customHeight="false" outlineLevel="0" collapsed="false">
      <c r="A42" s="68" t="e">
        <f aca="false">VLOOKUP(E42,'[1]Listas Desplegables'!$H$3:$J$7,2,FALSE())</f>
        <v>#N/A</v>
      </c>
      <c r="B42" s="68" t="e">
        <f aca="false">VLOOKUP(E42,'[1]Listas Desplegables'!$H$3:$J$7,3,FALSE())</f>
        <v>#N/A</v>
      </c>
      <c r="C42" s="85" t="n">
        <v>37</v>
      </c>
      <c r="D42" s="94"/>
      <c r="E42" s="94"/>
      <c r="F42" s="109"/>
      <c r="G42" s="88"/>
      <c r="H42" s="89"/>
      <c r="I42" s="88"/>
      <c r="J42" s="89"/>
      <c r="K42" s="89"/>
      <c r="L42" s="89"/>
      <c r="M42" s="90"/>
      <c r="N42" s="90"/>
      <c r="O42" s="88"/>
      <c r="P42" s="91"/>
    </row>
    <row r="43" customFormat="false" ht="15" hidden="false" customHeight="false" outlineLevel="0" collapsed="false">
      <c r="A43" s="68" t="e">
        <f aca="false">VLOOKUP(E43,'[1]Listas Desplegables'!$H$3:$J$7,2,FALSE())</f>
        <v>#N/A</v>
      </c>
      <c r="B43" s="68" t="e">
        <f aca="false">VLOOKUP(E43,'[1]Listas Desplegables'!$H$3:$J$7,3,FALSE())</f>
        <v>#N/A</v>
      </c>
      <c r="C43" s="85" t="n">
        <v>38</v>
      </c>
      <c r="D43" s="94"/>
      <c r="E43" s="94"/>
      <c r="F43" s="109"/>
      <c r="G43" s="88"/>
      <c r="H43" s="89"/>
      <c r="I43" s="88"/>
      <c r="J43" s="89"/>
      <c r="K43" s="89"/>
      <c r="L43" s="89"/>
      <c r="M43" s="90"/>
      <c r="N43" s="90"/>
      <c r="O43" s="88"/>
      <c r="P43" s="91"/>
    </row>
    <row r="44" customFormat="false" ht="15" hidden="false" customHeight="false" outlineLevel="0" collapsed="false">
      <c r="A44" s="68" t="e">
        <f aca="false">VLOOKUP(E44,'[1]Listas Desplegables'!$H$3:$J$7,2,FALSE())</f>
        <v>#N/A</v>
      </c>
      <c r="B44" s="68" t="e">
        <f aca="false">VLOOKUP(E44,'[1]Listas Desplegables'!$H$3:$J$7,3,FALSE())</f>
        <v>#N/A</v>
      </c>
      <c r="C44" s="92" t="n">
        <v>39</v>
      </c>
      <c r="D44" s="94"/>
      <c r="E44" s="94"/>
      <c r="F44" s="109"/>
      <c r="G44" s="88"/>
      <c r="H44" s="89"/>
      <c r="I44" s="88"/>
      <c r="J44" s="89"/>
      <c r="K44" s="89"/>
      <c r="L44" s="89"/>
      <c r="M44" s="90"/>
      <c r="N44" s="90"/>
      <c r="O44" s="88"/>
      <c r="P44" s="91"/>
    </row>
    <row r="45" customFormat="false" ht="15" hidden="false" customHeight="false" outlineLevel="0" collapsed="false">
      <c r="A45" s="68" t="e">
        <f aca="false">VLOOKUP(E45,'[1]Listas Desplegables'!$H$3:$J$7,2,FALSE())</f>
        <v>#N/A</v>
      </c>
      <c r="B45" s="68" t="e">
        <f aca="false">VLOOKUP(E45,'[1]Listas Desplegables'!$H$3:$J$7,3,FALSE())</f>
        <v>#N/A</v>
      </c>
      <c r="C45" s="93" t="n">
        <v>40</v>
      </c>
      <c r="D45" s="94"/>
      <c r="E45" s="94"/>
      <c r="F45" s="109"/>
      <c r="G45" s="88"/>
      <c r="H45" s="89"/>
      <c r="I45" s="88"/>
      <c r="J45" s="89"/>
      <c r="K45" s="89"/>
      <c r="L45" s="89"/>
      <c r="M45" s="90"/>
      <c r="N45" s="90"/>
      <c r="O45" s="88"/>
      <c r="P45" s="91"/>
    </row>
    <row r="46" customFormat="false" ht="15" hidden="false" customHeight="false" outlineLevel="0" collapsed="false">
      <c r="A46" s="68" t="e">
        <f aca="false">VLOOKUP(E46,'[1]Listas Desplegables'!$H$3:$J$7,2,FALSE())</f>
        <v>#N/A</v>
      </c>
      <c r="B46" s="68" t="e">
        <f aca="false">VLOOKUP(E46,'[1]Listas Desplegables'!$H$3:$J$7,3,FALSE())</f>
        <v>#N/A</v>
      </c>
      <c r="C46" s="92" t="n">
        <v>41</v>
      </c>
      <c r="D46" s="94"/>
      <c r="E46" s="94"/>
      <c r="F46" s="109"/>
      <c r="G46" s="88"/>
      <c r="H46" s="89"/>
      <c r="I46" s="88"/>
      <c r="J46" s="89"/>
      <c r="K46" s="89"/>
      <c r="L46" s="89"/>
      <c r="M46" s="90"/>
      <c r="N46" s="90"/>
      <c r="O46" s="88"/>
      <c r="P46" s="91"/>
    </row>
    <row r="47" customFormat="false" ht="15" hidden="false" customHeight="false" outlineLevel="0" collapsed="false">
      <c r="A47" s="68" t="e">
        <f aca="false">VLOOKUP(E47,'[1]Listas Desplegables'!$H$3:$J$7,2,FALSE())</f>
        <v>#N/A</v>
      </c>
      <c r="B47" s="68" t="e">
        <f aca="false">VLOOKUP(E47,'[1]Listas Desplegables'!$H$3:$J$7,3,FALSE())</f>
        <v>#N/A</v>
      </c>
      <c r="C47" s="85" t="n">
        <v>42</v>
      </c>
      <c r="D47" s="94"/>
      <c r="E47" s="94"/>
      <c r="F47" s="109"/>
      <c r="G47" s="88"/>
      <c r="H47" s="89"/>
      <c r="I47" s="88"/>
      <c r="J47" s="89"/>
      <c r="K47" s="89"/>
      <c r="L47" s="89"/>
      <c r="M47" s="90"/>
      <c r="N47" s="90"/>
      <c r="O47" s="88"/>
      <c r="P47" s="91"/>
    </row>
    <row r="48" customFormat="false" ht="15" hidden="false" customHeight="false" outlineLevel="0" collapsed="false">
      <c r="A48" s="68" t="e">
        <f aca="false">VLOOKUP(E48,'[1]Listas Desplegables'!$H$3:$J$7,2,FALSE())</f>
        <v>#N/A</v>
      </c>
      <c r="B48" s="68" t="e">
        <f aca="false">VLOOKUP(E48,'[1]Listas Desplegables'!$H$3:$J$7,3,FALSE())</f>
        <v>#N/A</v>
      </c>
      <c r="C48" s="85" t="n">
        <v>43</v>
      </c>
      <c r="D48" s="94"/>
      <c r="E48" s="94"/>
      <c r="F48" s="109"/>
      <c r="G48" s="88"/>
      <c r="H48" s="89"/>
      <c r="I48" s="88"/>
      <c r="J48" s="89"/>
      <c r="K48" s="89"/>
      <c r="L48" s="89"/>
      <c r="M48" s="90"/>
      <c r="N48" s="90"/>
      <c r="O48" s="88"/>
      <c r="P48" s="91"/>
    </row>
    <row r="49" customFormat="false" ht="15" hidden="false" customHeight="false" outlineLevel="0" collapsed="false">
      <c r="A49" s="68" t="e">
        <f aca="false">VLOOKUP(E49,'[1]Listas Desplegables'!$H$3:$J$7,2,FALSE())</f>
        <v>#N/A</v>
      </c>
      <c r="B49" s="68" t="e">
        <f aca="false">VLOOKUP(E49,'[1]Listas Desplegables'!$H$3:$J$7,3,FALSE())</f>
        <v>#N/A</v>
      </c>
      <c r="C49" s="85" t="n">
        <v>44</v>
      </c>
      <c r="D49" s="94"/>
      <c r="E49" s="94"/>
      <c r="F49" s="109"/>
      <c r="G49" s="88"/>
      <c r="H49" s="89"/>
      <c r="I49" s="88"/>
      <c r="J49" s="89"/>
      <c r="K49" s="89"/>
      <c r="L49" s="89"/>
      <c r="M49" s="90"/>
      <c r="N49" s="90"/>
      <c r="O49" s="88"/>
      <c r="P49" s="91"/>
    </row>
    <row r="50" customFormat="false" ht="15" hidden="false" customHeight="false" outlineLevel="0" collapsed="false">
      <c r="A50" s="68" t="e">
        <f aca="false">VLOOKUP(E50,'[1]Listas Desplegables'!$H$3:$J$7,2,FALSE())</f>
        <v>#N/A</v>
      </c>
      <c r="B50" s="68" t="e">
        <f aca="false">VLOOKUP(E50,'[1]Listas Desplegables'!$H$3:$J$7,3,FALSE())</f>
        <v>#N/A</v>
      </c>
      <c r="C50" s="85" t="n">
        <v>45</v>
      </c>
      <c r="D50" s="94"/>
      <c r="E50" s="94"/>
      <c r="F50" s="109"/>
      <c r="G50" s="88"/>
      <c r="H50" s="89"/>
      <c r="I50" s="88"/>
      <c r="J50" s="89"/>
      <c r="K50" s="89"/>
      <c r="L50" s="89"/>
      <c r="M50" s="90"/>
      <c r="N50" s="90"/>
      <c r="O50" s="88"/>
      <c r="P50" s="91"/>
    </row>
    <row r="51" customFormat="false" ht="15" hidden="false" customHeight="false" outlineLevel="0" collapsed="false">
      <c r="A51" s="68" t="e">
        <f aca="false">VLOOKUP(E51,'[1]Listas Desplegables'!$H$3:$J$7,2,FALSE())</f>
        <v>#N/A</v>
      </c>
      <c r="B51" s="68" t="e">
        <f aca="false">VLOOKUP(E51,'[1]Listas Desplegables'!$H$3:$J$7,3,FALSE())</f>
        <v>#N/A</v>
      </c>
      <c r="C51" s="85" t="n">
        <v>46</v>
      </c>
      <c r="D51" s="94"/>
      <c r="E51" s="94"/>
      <c r="F51" s="109"/>
      <c r="G51" s="88"/>
      <c r="H51" s="89"/>
      <c r="I51" s="88"/>
      <c r="J51" s="89"/>
      <c r="K51" s="89"/>
      <c r="L51" s="89"/>
      <c r="M51" s="90"/>
      <c r="N51" s="90"/>
      <c r="O51" s="88"/>
      <c r="P51" s="91"/>
    </row>
    <row r="52" customFormat="false" ht="15" hidden="false" customHeight="false" outlineLevel="0" collapsed="false">
      <c r="A52" s="68" t="e">
        <f aca="false">VLOOKUP(E52,'[1]Listas Desplegables'!$H$3:$J$7,2,FALSE())</f>
        <v>#N/A</v>
      </c>
      <c r="B52" s="68" t="e">
        <f aca="false">VLOOKUP(E52,'[1]Listas Desplegables'!$H$3:$J$7,3,FALSE())</f>
        <v>#N/A</v>
      </c>
      <c r="C52" s="85" t="n">
        <v>47</v>
      </c>
      <c r="D52" s="94"/>
      <c r="E52" s="94"/>
      <c r="F52" s="109"/>
      <c r="G52" s="88"/>
      <c r="H52" s="88"/>
      <c r="I52" s="88"/>
      <c r="J52" s="89"/>
      <c r="K52" s="89"/>
      <c r="L52" s="89"/>
      <c r="M52" s="90"/>
      <c r="N52" s="90"/>
      <c r="O52" s="88"/>
      <c r="P52" s="91"/>
    </row>
    <row r="53" customFormat="false" ht="15" hidden="false" customHeight="false" outlineLevel="0" collapsed="false">
      <c r="A53" s="68" t="e">
        <f aca="false">VLOOKUP(E53,'[1]Listas Desplegables'!$H$3:$J$7,2,FALSE())</f>
        <v>#N/A</v>
      </c>
      <c r="B53" s="68" t="e">
        <f aca="false">VLOOKUP(E53,'[1]Listas Desplegables'!$H$3:$J$7,3,FALSE())</f>
        <v>#N/A</v>
      </c>
      <c r="C53" s="85" t="n">
        <v>48</v>
      </c>
      <c r="D53" s="94"/>
      <c r="E53" s="94"/>
      <c r="F53" s="109"/>
      <c r="G53" s="88"/>
      <c r="H53" s="88"/>
      <c r="I53" s="88"/>
      <c r="J53" s="89"/>
      <c r="K53" s="89"/>
      <c r="L53" s="89"/>
      <c r="M53" s="90"/>
      <c r="N53" s="90"/>
      <c r="O53" s="88"/>
      <c r="P53" s="91"/>
    </row>
    <row r="54" customFormat="false" ht="15" hidden="false" customHeight="false" outlineLevel="0" collapsed="false">
      <c r="A54" s="68" t="e">
        <f aca="false">VLOOKUP(E54,'[1]Listas Desplegables'!$H$3:$J$7,2,FALSE())</f>
        <v>#N/A</v>
      </c>
      <c r="B54" s="68" t="e">
        <f aca="false">VLOOKUP(E54,'[1]Listas Desplegables'!$H$3:$J$7,3,FALSE())</f>
        <v>#N/A</v>
      </c>
      <c r="C54" s="85" t="n">
        <v>49</v>
      </c>
      <c r="D54" s="94"/>
      <c r="E54" s="94"/>
      <c r="F54" s="109"/>
      <c r="G54" s="88"/>
      <c r="H54" s="88"/>
      <c r="I54" s="88"/>
      <c r="J54" s="89"/>
      <c r="K54" s="89"/>
      <c r="L54" s="89"/>
      <c r="M54" s="90"/>
      <c r="N54" s="90"/>
      <c r="O54" s="88"/>
      <c r="P54" s="91"/>
    </row>
    <row r="55" customFormat="false" ht="15" hidden="false" customHeight="false" outlineLevel="0" collapsed="false">
      <c r="A55" s="68" t="e">
        <f aca="false">VLOOKUP(E55,'[1]Listas Desplegables'!$H$3:$J$7,2,FALSE())</f>
        <v>#N/A</v>
      </c>
      <c r="B55" s="68" t="e">
        <f aca="false">VLOOKUP(E55,'[1]Listas Desplegables'!$H$3:$J$7,3,FALSE())</f>
        <v>#N/A</v>
      </c>
      <c r="C55" s="92" t="n">
        <v>50</v>
      </c>
      <c r="D55" s="94"/>
      <c r="E55" s="94"/>
      <c r="F55" s="109"/>
      <c r="G55" s="88"/>
      <c r="H55" s="88"/>
      <c r="I55" s="88"/>
      <c r="J55" s="89"/>
      <c r="K55" s="89"/>
      <c r="L55" s="89"/>
      <c r="M55" s="90"/>
      <c r="N55" s="90"/>
      <c r="O55" s="88"/>
      <c r="P55" s="91"/>
    </row>
    <row r="56" customFormat="false" ht="15" hidden="false" customHeight="false" outlineLevel="0" collapsed="false">
      <c r="A56" s="68" t="e">
        <f aca="false">VLOOKUP(E56,'[1]Listas Desplegables'!$H$3:$J$7,2,FALSE())</f>
        <v>#N/A</v>
      </c>
      <c r="B56" s="68" t="e">
        <f aca="false">VLOOKUP(E56,'[1]Listas Desplegables'!$H$3:$J$7,3,FALSE())</f>
        <v>#N/A</v>
      </c>
      <c r="C56" s="85" t="n">
        <v>51</v>
      </c>
      <c r="D56" s="94"/>
      <c r="E56" s="94"/>
      <c r="F56" s="109"/>
      <c r="G56" s="88"/>
      <c r="H56" s="88"/>
      <c r="I56" s="88"/>
      <c r="J56" s="89"/>
      <c r="K56" s="89"/>
      <c r="L56" s="89"/>
      <c r="M56" s="90"/>
      <c r="N56" s="90"/>
      <c r="O56" s="88"/>
      <c r="P56" s="91"/>
    </row>
    <row r="57" customFormat="false" ht="15.75" hidden="false" customHeight="false" outlineLevel="0" collapsed="false">
      <c r="A57" s="68" t="e">
        <f aca="false">VLOOKUP(E57,'[1]Listas Desplegables'!$H$3:$J$7,2,FALSE())</f>
        <v>#N/A</v>
      </c>
      <c r="B57" s="68" t="e">
        <f aca="false">VLOOKUP(E57,'[1]Listas Desplegables'!$H$3:$J$7,3,FALSE())</f>
        <v>#N/A</v>
      </c>
      <c r="C57" s="97" t="s">
        <v>452</v>
      </c>
      <c r="D57" s="98"/>
      <c r="E57" s="98"/>
      <c r="F57" s="98"/>
      <c r="G57" s="99"/>
      <c r="H57" s="99"/>
      <c r="I57" s="99"/>
      <c r="J57" s="99"/>
      <c r="K57" s="99"/>
      <c r="L57" s="99"/>
      <c r="M57" s="100"/>
      <c r="N57" s="100"/>
      <c r="O57" s="99"/>
      <c r="P57" s="101"/>
    </row>
  </sheetData>
  <mergeCells count="15">
    <mergeCell ref="C3:P3"/>
    <mergeCell ref="C4:C5"/>
    <mergeCell ref="D4:D5"/>
    <mergeCell ref="E4:E5"/>
    <mergeCell ref="F4:F5"/>
    <mergeCell ref="G4:G5"/>
    <mergeCell ref="H4:H5"/>
    <mergeCell ref="I4:I5"/>
    <mergeCell ref="J4:J5"/>
    <mergeCell ref="K4:K5"/>
    <mergeCell ref="L4:L5"/>
    <mergeCell ref="M4:M5"/>
    <mergeCell ref="N4:N5"/>
    <mergeCell ref="O4:O5"/>
    <mergeCell ref="P4:P5"/>
  </mergeCells>
  <dataValidations count="7">
    <dataValidation allowBlank="true" errorStyle="stop" operator="between" showDropDown="false" showErrorMessage="true" showInputMessage="true" sqref="F6:G51 I6:I51 F52:I1057" type="decimal">
      <formula1>-1000000</formula1>
      <formula2>10000000</formula2>
    </dataValidation>
    <dataValidation allowBlank="true" errorStyle="stop" operator="greaterThan" showDropDown="false" showErrorMessage="true" showInputMessage="true" sqref="M6:N57 M58:O1057" type="date">
      <formula1>1</formula1>
      <formula2>0</formula2>
    </dataValidation>
    <dataValidation allowBlank="true" errorStyle="stop" operator="between" showDropDown="false" showErrorMessage="true" showInputMessage="true" sqref="J6:J1057" type="list">
      <formula1>'Listas Desplegables'!$B$63:$B$64</formula1>
      <formula2>0</formula2>
    </dataValidation>
    <dataValidation allowBlank="true" errorStyle="stop" operator="between" showDropDown="false" showErrorMessage="true" showInputMessage="true" sqref="K6:K1057" type="list">
      <formula1>'Listas Desplegables'!$B$66:$B$67</formula1>
      <formula2>0</formula2>
    </dataValidation>
    <dataValidation allowBlank="true" errorStyle="stop" operator="between" showDropDown="false" showErrorMessage="true" showInputMessage="true" sqref="L6:L1057" type="list">
      <formula1>'Listas Desplegables'!$B$69:$B$70</formula1>
      <formula2>0</formula2>
    </dataValidation>
    <dataValidation allowBlank="true" errorStyle="stop" operator="between" showDropDown="false" showErrorMessage="true" showInputMessage="true" sqref="H6:H51" type="list">
      <formula1>'Listas Desplegables'!$B$72:$B$73</formula1>
      <formula2>0</formula2>
    </dataValidation>
    <dataValidation allowBlank="true" errorStyle="stop" operator="between" showDropDown="false" showErrorMessage="true" showInputMessage="true" sqref="O6:O57" type="list">
      <formula1>'Listas Desplegables'!$B$90:$B$93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2:N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P42" activeCellId="0" sqref="P42"/>
    </sheetView>
  </sheetViews>
  <sheetFormatPr defaultColWidth="11.57421875" defaultRowHeight="15" zeroHeight="false" outlineLevelRow="0" outlineLevelCol="0"/>
  <cols>
    <col collapsed="false" customWidth="true" hidden="false" outlineLevel="0" max="2" min="1" style="68" width="3"/>
    <col collapsed="false" customWidth="true" hidden="false" outlineLevel="0" max="3" min="3" style="69" width="6.71"/>
    <col collapsed="false" customWidth="true" hidden="false" outlineLevel="0" max="4" min="4" style="0" width="33"/>
    <col collapsed="false" customWidth="true" hidden="false" outlineLevel="0" max="5" min="5" style="0" width="20.57"/>
    <col collapsed="false" customWidth="true" hidden="false" outlineLevel="0" max="8" min="6" style="0" width="12.72"/>
    <col collapsed="false" customWidth="true" hidden="false" outlineLevel="0" max="9" min="9" style="70" width="12.72"/>
    <col collapsed="false" customWidth="true" hidden="false" outlineLevel="0" max="10" min="10" style="0" width="12.72"/>
    <col collapsed="false" customWidth="true" hidden="false" outlineLevel="0" max="14" min="14" style="0" width="29.43"/>
  </cols>
  <sheetData>
    <row r="2" customFormat="false" ht="15.75" hidden="false" customHeight="false" outlineLevel="0" collapsed="false"/>
    <row r="3" s="73" customFormat="true" ht="15.75" hidden="false" customHeight="false" outlineLevel="0" collapsed="false">
      <c r="A3" s="71"/>
      <c r="B3" s="71"/>
      <c r="C3" s="72" t="s">
        <v>915</v>
      </c>
      <c r="D3" s="72"/>
      <c r="E3" s="72"/>
      <c r="F3" s="72"/>
      <c r="G3" s="72"/>
      <c r="H3" s="72"/>
      <c r="I3" s="72"/>
      <c r="J3" s="72"/>
      <c r="K3" s="72"/>
      <c r="L3" s="72"/>
      <c r="M3" s="72"/>
      <c r="N3" s="72"/>
    </row>
    <row r="4" s="77" customFormat="true" ht="12" hidden="false" customHeight="true" outlineLevel="0" collapsed="false">
      <c r="A4" s="74"/>
      <c r="B4" s="74"/>
      <c r="C4" s="75" t="s">
        <v>214</v>
      </c>
      <c r="D4" s="76" t="str">
        <f aca="false">'Manual de Uso'!C151</f>
        <v>Nombre</v>
      </c>
      <c r="E4" s="76" t="str">
        <f aca="false">'Manual de Uso'!C152</f>
        <v>Subestación</v>
      </c>
      <c r="F4" s="76" t="str">
        <f aca="false">'Manual de Uso'!C153</f>
        <v>Nivel de tensión [kV]</v>
      </c>
      <c r="G4" s="76" t="str">
        <f aca="false">'Manual de Uso'!C154</f>
        <v>Tecnología</v>
      </c>
      <c r="H4" s="76" t="str">
        <f aca="false">'Manual de Uso'!C155</f>
        <v>En Operación</v>
      </c>
      <c r="I4" s="105" t="str">
        <f aca="false">'Manual de Uso'!C156</f>
        <v>FPO</v>
      </c>
      <c r="J4" s="76" t="str">
        <f aca="false">'Manual de Uso'!C157</f>
        <v>Qmin [MVAr]</v>
      </c>
      <c r="K4" s="76" t="str">
        <f aca="false">'Manual de Uso'!C158</f>
        <v>Qmax [MVAr]</v>
      </c>
      <c r="L4" s="76" t="str">
        <f aca="false">'Manual de Uso'!C159</f>
        <v>Operador</v>
      </c>
      <c r="M4" s="76" t="str">
        <f aca="false">'Manual de Uso'!C160</f>
        <v>Tipo activo Uso/Conexión</v>
      </c>
      <c r="N4" s="76" t="str">
        <f aca="false">'Manual de Uso'!C161</f>
        <v>Observaciones transportador</v>
      </c>
    </row>
    <row r="5" s="77" customFormat="true" ht="24" hidden="false" customHeight="true" outlineLevel="0" collapsed="false">
      <c r="A5" s="74"/>
      <c r="B5" s="74"/>
      <c r="C5" s="75"/>
      <c r="D5" s="76"/>
      <c r="E5" s="76"/>
      <c r="F5" s="76"/>
      <c r="G5" s="76"/>
      <c r="H5" s="76"/>
      <c r="I5" s="105"/>
      <c r="J5" s="76"/>
      <c r="K5" s="76"/>
      <c r="L5" s="76"/>
      <c r="M5" s="76"/>
      <c r="N5" s="76"/>
    </row>
    <row r="6" customFormat="false" ht="15" hidden="false" customHeight="false" outlineLevel="0" collapsed="false">
      <c r="A6" s="68" t="e">
        <f aca="false">VLOOKUP(#REF!,'[1]Listas Desplegables'!$H$3:$J$7,2,FALSE())</f>
        <v>#VALUE!</v>
      </c>
      <c r="B6" s="68" t="e">
        <f aca="false">VLOOKUP(#REF!,'[1]Listas Desplegables'!$H$3:$J$7,3,FALSE())</f>
        <v>#VALUE!</v>
      </c>
      <c r="C6" s="78" t="n">
        <v>1</v>
      </c>
      <c r="D6" s="79"/>
      <c r="E6" s="79"/>
      <c r="F6" s="80"/>
      <c r="G6" s="80"/>
      <c r="H6" s="81"/>
      <c r="I6" s="83"/>
      <c r="J6" s="81"/>
      <c r="K6" s="81"/>
      <c r="L6" s="81"/>
      <c r="M6" s="81"/>
      <c r="N6" s="84"/>
    </row>
    <row r="7" customFormat="false" ht="15" hidden="false" customHeight="false" outlineLevel="0" collapsed="false">
      <c r="A7" s="68" t="e">
        <f aca="false">VLOOKUP(#REF!,'[1]Listas Desplegables'!$H$3:$J$7,2,FALSE())</f>
        <v>#VALUE!</v>
      </c>
      <c r="B7" s="68" t="e">
        <f aca="false">VLOOKUP(#REF!,'[1]Listas Desplegables'!$H$3:$J$7,3,FALSE())</f>
        <v>#VALUE!</v>
      </c>
      <c r="C7" s="85" t="n">
        <v>2</v>
      </c>
      <c r="D7" s="86"/>
      <c r="E7" s="86"/>
      <c r="F7" s="87"/>
      <c r="G7" s="87"/>
      <c r="H7" s="88"/>
      <c r="I7" s="90"/>
      <c r="J7" s="88"/>
      <c r="K7" s="88"/>
      <c r="L7" s="88"/>
      <c r="M7" s="88"/>
      <c r="N7" s="91"/>
    </row>
    <row r="8" customFormat="false" ht="15" hidden="false" customHeight="false" outlineLevel="0" collapsed="false">
      <c r="A8" s="68" t="e">
        <f aca="false">VLOOKUP(#REF!,'[1]Listas Desplegables'!$H$3:$J$7,2,FALSE())</f>
        <v>#VALUE!</v>
      </c>
      <c r="B8" s="68" t="e">
        <f aca="false">VLOOKUP(#REF!,'[1]Listas Desplegables'!$H$3:$J$7,3,FALSE())</f>
        <v>#VALUE!</v>
      </c>
      <c r="C8" s="85" t="n">
        <v>3</v>
      </c>
      <c r="D8" s="86"/>
      <c r="E8" s="86"/>
      <c r="F8" s="87"/>
      <c r="G8" s="87"/>
      <c r="H8" s="88"/>
      <c r="I8" s="90"/>
      <c r="J8" s="88"/>
      <c r="K8" s="88"/>
      <c r="L8" s="88"/>
      <c r="M8" s="88"/>
      <c r="N8" s="91"/>
    </row>
    <row r="9" customFormat="false" ht="15" hidden="false" customHeight="false" outlineLevel="0" collapsed="false">
      <c r="A9" s="68" t="e">
        <f aca="false">VLOOKUP(#REF!,'[1]Listas Desplegables'!$H$3:$J$7,2,FALSE())</f>
        <v>#VALUE!</v>
      </c>
      <c r="B9" s="68" t="e">
        <f aca="false">VLOOKUP(#REF!,'[1]Listas Desplegables'!$H$3:$J$7,3,FALSE())</f>
        <v>#VALUE!</v>
      </c>
      <c r="C9" s="85" t="n">
        <v>4</v>
      </c>
      <c r="D9" s="86"/>
      <c r="E9" s="86"/>
      <c r="F9" s="87"/>
      <c r="G9" s="87"/>
      <c r="H9" s="88"/>
      <c r="I9" s="90"/>
      <c r="J9" s="88"/>
      <c r="K9" s="88"/>
      <c r="L9" s="88"/>
      <c r="M9" s="88"/>
      <c r="N9" s="91"/>
    </row>
    <row r="10" customFormat="false" ht="15" hidden="false" customHeight="false" outlineLevel="0" collapsed="false">
      <c r="A10" s="68" t="e">
        <f aca="false">VLOOKUP(#REF!,'[1]Listas Desplegables'!$H$3:$J$7,2,FALSE())</f>
        <v>#VALUE!</v>
      </c>
      <c r="B10" s="68" t="e">
        <f aca="false">VLOOKUP(#REF!,'[1]Listas Desplegables'!$H$3:$J$7,3,FALSE())</f>
        <v>#VALUE!</v>
      </c>
      <c r="C10" s="85" t="n">
        <v>5</v>
      </c>
      <c r="D10" s="86"/>
      <c r="E10" s="86"/>
      <c r="F10" s="87"/>
      <c r="G10" s="87"/>
      <c r="H10" s="88"/>
      <c r="I10" s="90"/>
      <c r="J10" s="88"/>
      <c r="K10" s="88"/>
      <c r="L10" s="88"/>
      <c r="M10" s="88"/>
      <c r="N10" s="91"/>
    </row>
    <row r="11" customFormat="false" ht="15" hidden="false" customHeight="false" outlineLevel="0" collapsed="false">
      <c r="A11" s="68" t="e">
        <f aca="false">VLOOKUP(#REF!,'[1]Listas Desplegables'!$H$3:$J$7,2,FALSE())</f>
        <v>#VALUE!</v>
      </c>
      <c r="B11" s="68" t="e">
        <f aca="false">VLOOKUP(#REF!,'[1]Listas Desplegables'!$H$3:$J$7,3,FALSE())</f>
        <v>#VALUE!</v>
      </c>
      <c r="C11" s="85" t="n">
        <v>6</v>
      </c>
      <c r="D11" s="86"/>
      <c r="E11" s="86"/>
      <c r="F11" s="87"/>
      <c r="G11" s="87"/>
      <c r="H11" s="88"/>
      <c r="I11" s="90"/>
      <c r="J11" s="88"/>
      <c r="K11" s="88"/>
      <c r="L11" s="88"/>
      <c r="M11" s="88"/>
      <c r="N11" s="91"/>
    </row>
    <row r="12" customFormat="false" ht="15" hidden="false" customHeight="false" outlineLevel="0" collapsed="false">
      <c r="A12" s="68" t="e">
        <f aca="false">VLOOKUP(#REF!,'[1]Listas Desplegables'!$H$3:$J$7,2,FALSE())</f>
        <v>#VALUE!</v>
      </c>
      <c r="B12" s="68" t="e">
        <f aca="false">VLOOKUP(#REF!,'[1]Listas Desplegables'!$H$3:$J$7,3,FALSE())</f>
        <v>#VALUE!</v>
      </c>
      <c r="C12" s="85" t="n">
        <v>7</v>
      </c>
      <c r="D12" s="86"/>
      <c r="E12" s="86"/>
      <c r="F12" s="87"/>
      <c r="G12" s="87"/>
      <c r="H12" s="88"/>
      <c r="I12" s="90"/>
      <c r="J12" s="88"/>
      <c r="K12" s="88"/>
      <c r="L12" s="88"/>
      <c r="M12" s="88"/>
      <c r="N12" s="91"/>
    </row>
    <row r="13" customFormat="false" ht="15" hidden="false" customHeight="false" outlineLevel="0" collapsed="false">
      <c r="A13" s="68" t="e">
        <f aca="false">VLOOKUP(#REF!,'[1]Listas Desplegables'!$H$3:$J$7,2,FALSE())</f>
        <v>#VALUE!</v>
      </c>
      <c r="B13" s="68" t="e">
        <f aca="false">VLOOKUP(#REF!,'[1]Listas Desplegables'!$H$3:$J$7,3,FALSE())</f>
        <v>#VALUE!</v>
      </c>
      <c r="C13" s="85" t="n">
        <v>8</v>
      </c>
      <c r="D13" s="86"/>
      <c r="E13" s="86"/>
      <c r="F13" s="87"/>
      <c r="G13" s="87"/>
      <c r="H13" s="88"/>
      <c r="I13" s="90"/>
      <c r="J13" s="88"/>
      <c r="K13" s="88"/>
      <c r="L13" s="88"/>
      <c r="M13" s="88"/>
      <c r="N13" s="91"/>
    </row>
    <row r="14" customFormat="false" ht="15" hidden="false" customHeight="false" outlineLevel="0" collapsed="false">
      <c r="A14" s="68" t="e">
        <f aca="false">VLOOKUP(#REF!,'[1]Listas Desplegables'!$H$3:$J$7,2,FALSE())</f>
        <v>#VALUE!</v>
      </c>
      <c r="B14" s="68" t="e">
        <f aca="false">VLOOKUP(#REF!,'[1]Listas Desplegables'!$H$3:$J$7,3,FALSE())</f>
        <v>#VALUE!</v>
      </c>
      <c r="C14" s="85" t="n">
        <v>9</v>
      </c>
      <c r="D14" s="86"/>
      <c r="E14" s="86"/>
      <c r="F14" s="87"/>
      <c r="G14" s="87"/>
      <c r="H14" s="88"/>
      <c r="I14" s="90"/>
      <c r="J14" s="88"/>
      <c r="K14" s="88"/>
      <c r="L14" s="88"/>
      <c r="M14" s="88"/>
      <c r="N14" s="91"/>
    </row>
    <row r="15" customFormat="false" ht="15" hidden="false" customHeight="false" outlineLevel="0" collapsed="false">
      <c r="A15" s="68" t="e">
        <f aca="false">VLOOKUP(#REF!,'[1]Listas Desplegables'!$H$3:$J$7,2,FALSE())</f>
        <v>#VALUE!</v>
      </c>
      <c r="B15" s="68" t="e">
        <f aca="false">VLOOKUP(#REF!,'[1]Listas Desplegables'!$H$3:$J$7,3,FALSE())</f>
        <v>#VALUE!</v>
      </c>
      <c r="C15" s="92" t="n">
        <v>10</v>
      </c>
      <c r="D15" s="86"/>
      <c r="E15" s="86"/>
      <c r="F15" s="87"/>
      <c r="G15" s="87"/>
      <c r="H15" s="88"/>
      <c r="I15" s="90"/>
      <c r="J15" s="88"/>
      <c r="K15" s="88"/>
      <c r="L15" s="88"/>
      <c r="M15" s="88"/>
      <c r="N15" s="91"/>
    </row>
    <row r="16" customFormat="false" ht="15" hidden="false" customHeight="false" outlineLevel="0" collapsed="false">
      <c r="A16" s="68" t="e">
        <f aca="false">VLOOKUP(#REF!,'[1]Listas Desplegables'!$H$3:$J$7,2,FALSE())</f>
        <v>#VALUE!</v>
      </c>
      <c r="B16" s="68" t="e">
        <f aca="false">VLOOKUP(#REF!,'[1]Listas Desplegables'!$H$3:$J$7,3,FALSE())</f>
        <v>#VALUE!</v>
      </c>
      <c r="C16" s="85" t="n">
        <v>11</v>
      </c>
      <c r="D16" s="86"/>
      <c r="E16" s="86"/>
      <c r="F16" s="87"/>
      <c r="G16" s="87"/>
      <c r="H16" s="88"/>
      <c r="I16" s="90"/>
      <c r="J16" s="88"/>
      <c r="K16" s="88"/>
      <c r="L16" s="88"/>
      <c r="M16" s="88"/>
      <c r="N16" s="91"/>
    </row>
    <row r="17" customFormat="false" ht="15" hidden="false" customHeight="false" outlineLevel="0" collapsed="false">
      <c r="A17" s="68" t="e">
        <f aca="false">VLOOKUP(#REF!,'[1]Listas Desplegables'!$H$3:$J$7,2,FALSE())</f>
        <v>#VALUE!</v>
      </c>
      <c r="B17" s="68" t="e">
        <f aca="false">VLOOKUP(#REF!,'[1]Listas Desplegables'!$H$3:$J$7,3,FALSE())</f>
        <v>#VALUE!</v>
      </c>
      <c r="C17" s="85" t="n">
        <v>12</v>
      </c>
      <c r="D17" s="86"/>
      <c r="E17" s="86"/>
      <c r="F17" s="87"/>
      <c r="G17" s="87"/>
      <c r="H17" s="88"/>
      <c r="I17" s="90"/>
      <c r="J17" s="88"/>
      <c r="K17" s="88"/>
      <c r="L17" s="88"/>
      <c r="M17" s="88"/>
      <c r="N17" s="91"/>
    </row>
    <row r="18" customFormat="false" ht="15" hidden="false" customHeight="false" outlineLevel="0" collapsed="false">
      <c r="A18" s="68" t="e">
        <f aca="false">VLOOKUP(#REF!,'[1]Listas Desplegables'!$H$3:$J$7,2,FALSE())</f>
        <v>#VALUE!</v>
      </c>
      <c r="B18" s="68" t="e">
        <f aca="false">VLOOKUP(#REF!,'[1]Listas Desplegables'!$H$3:$J$7,3,FALSE())</f>
        <v>#VALUE!</v>
      </c>
      <c r="C18" s="85" t="n">
        <v>13</v>
      </c>
      <c r="D18" s="86"/>
      <c r="E18" s="86"/>
      <c r="F18" s="87"/>
      <c r="G18" s="87"/>
      <c r="H18" s="88"/>
      <c r="I18" s="90"/>
      <c r="J18" s="88"/>
      <c r="K18" s="88"/>
      <c r="L18" s="88"/>
      <c r="M18" s="88"/>
      <c r="N18" s="91"/>
    </row>
    <row r="19" customFormat="false" ht="15" hidden="false" customHeight="false" outlineLevel="0" collapsed="false">
      <c r="A19" s="68" t="e">
        <f aca="false">VLOOKUP(#REF!,'[1]Listas Desplegables'!$H$3:$J$7,2,FALSE())</f>
        <v>#VALUE!</v>
      </c>
      <c r="B19" s="68" t="e">
        <f aca="false">VLOOKUP(#REF!,'[1]Listas Desplegables'!$H$3:$J$7,3,FALSE())</f>
        <v>#VALUE!</v>
      </c>
      <c r="C19" s="85" t="n">
        <v>14</v>
      </c>
      <c r="D19" s="86"/>
      <c r="E19" s="86"/>
      <c r="F19" s="87"/>
      <c r="G19" s="87"/>
      <c r="H19" s="88"/>
      <c r="I19" s="90"/>
      <c r="J19" s="88"/>
      <c r="K19" s="88"/>
      <c r="L19" s="88"/>
      <c r="M19" s="88"/>
      <c r="N19" s="91"/>
    </row>
    <row r="20" customFormat="false" ht="15" hidden="false" customHeight="false" outlineLevel="0" collapsed="false">
      <c r="A20" s="68" t="e">
        <f aca="false">VLOOKUP(#REF!,'[1]Listas Desplegables'!$H$3:$J$7,2,FALSE())</f>
        <v>#VALUE!</v>
      </c>
      <c r="B20" s="68" t="e">
        <f aca="false">VLOOKUP(#REF!,'[1]Listas Desplegables'!$H$3:$J$7,3,FALSE())</f>
        <v>#VALUE!</v>
      </c>
      <c r="C20" s="85" t="n">
        <v>15</v>
      </c>
      <c r="D20" s="86"/>
      <c r="E20" s="86"/>
      <c r="F20" s="87"/>
      <c r="G20" s="87"/>
      <c r="H20" s="88"/>
      <c r="I20" s="90"/>
      <c r="J20" s="88"/>
      <c r="K20" s="88"/>
      <c r="L20" s="88"/>
      <c r="M20" s="88"/>
      <c r="N20" s="91"/>
    </row>
    <row r="21" customFormat="false" ht="15" hidden="false" customHeight="false" outlineLevel="0" collapsed="false">
      <c r="A21" s="68" t="e">
        <f aca="false">VLOOKUP(#REF!,'[1]Listas Desplegables'!$H$3:$J$7,2,FALSE())</f>
        <v>#VALUE!</v>
      </c>
      <c r="B21" s="68" t="e">
        <f aca="false">VLOOKUP(#REF!,'[1]Listas Desplegables'!$H$3:$J$7,3,FALSE())</f>
        <v>#VALUE!</v>
      </c>
      <c r="C21" s="85" t="n">
        <v>16</v>
      </c>
      <c r="D21" s="86"/>
      <c r="E21" s="86"/>
      <c r="F21" s="87"/>
      <c r="G21" s="87"/>
      <c r="H21" s="88"/>
      <c r="I21" s="90"/>
      <c r="J21" s="88"/>
      <c r="K21" s="88"/>
      <c r="L21" s="88"/>
      <c r="M21" s="88"/>
      <c r="N21" s="91"/>
    </row>
    <row r="22" customFormat="false" ht="15" hidden="false" customHeight="false" outlineLevel="0" collapsed="false">
      <c r="A22" s="68" t="e">
        <f aca="false">VLOOKUP(#REF!,'[1]Listas Desplegables'!$H$3:$J$7,2,FALSE())</f>
        <v>#VALUE!</v>
      </c>
      <c r="B22" s="68" t="e">
        <f aca="false">VLOOKUP(#REF!,'[1]Listas Desplegables'!$H$3:$J$7,3,FALSE())</f>
        <v>#VALUE!</v>
      </c>
      <c r="C22" s="85" t="n">
        <v>17</v>
      </c>
      <c r="D22" s="86"/>
      <c r="E22" s="86"/>
      <c r="F22" s="87"/>
      <c r="G22" s="87"/>
      <c r="H22" s="88"/>
      <c r="I22" s="90"/>
      <c r="J22" s="88"/>
      <c r="K22" s="88"/>
      <c r="L22" s="88"/>
      <c r="M22" s="88"/>
      <c r="N22" s="91"/>
    </row>
    <row r="23" customFormat="false" ht="15" hidden="false" customHeight="false" outlineLevel="0" collapsed="false">
      <c r="A23" s="68" t="e">
        <f aca="false">VLOOKUP(#REF!,'[1]Listas Desplegables'!$H$3:$J$7,2,FALSE())</f>
        <v>#VALUE!</v>
      </c>
      <c r="B23" s="68" t="e">
        <f aca="false">VLOOKUP(#REF!,'[1]Listas Desplegables'!$H$3:$J$7,3,FALSE())</f>
        <v>#VALUE!</v>
      </c>
      <c r="C23" s="85" t="n">
        <v>18</v>
      </c>
      <c r="D23" s="86"/>
      <c r="E23" s="86"/>
      <c r="F23" s="87"/>
      <c r="G23" s="87"/>
      <c r="H23" s="88"/>
      <c r="I23" s="90"/>
      <c r="J23" s="88"/>
      <c r="K23" s="88"/>
      <c r="L23" s="88"/>
      <c r="M23" s="88"/>
      <c r="N23" s="91"/>
    </row>
    <row r="24" customFormat="false" ht="15" hidden="false" customHeight="false" outlineLevel="0" collapsed="false">
      <c r="A24" s="68" t="e">
        <f aca="false">VLOOKUP(#REF!,'[1]Listas Desplegables'!$H$3:$J$7,2,FALSE())</f>
        <v>#VALUE!</v>
      </c>
      <c r="B24" s="68" t="e">
        <f aca="false">VLOOKUP(#REF!,'[1]Listas Desplegables'!$H$3:$J$7,3,FALSE())</f>
        <v>#VALUE!</v>
      </c>
      <c r="C24" s="92" t="n">
        <v>19</v>
      </c>
      <c r="D24" s="86"/>
      <c r="E24" s="86"/>
      <c r="F24" s="87"/>
      <c r="G24" s="87"/>
      <c r="H24" s="88"/>
      <c r="I24" s="90"/>
      <c r="J24" s="88"/>
      <c r="K24" s="88"/>
      <c r="L24" s="88"/>
      <c r="M24" s="88"/>
      <c r="N24" s="91"/>
    </row>
    <row r="25" customFormat="false" ht="15" hidden="false" customHeight="false" outlineLevel="0" collapsed="false">
      <c r="A25" s="68" t="e">
        <f aca="false">VLOOKUP(#REF!,'[1]Listas Desplegables'!$H$3:$J$7,2,FALSE())</f>
        <v>#VALUE!</v>
      </c>
      <c r="B25" s="68" t="e">
        <f aca="false">VLOOKUP(#REF!,'[1]Listas Desplegables'!$H$3:$J$7,3,FALSE())</f>
        <v>#VALUE!</v>
      </c>
      <c r="C25" s="93" t="n">
        <v>20</v>
      </c>
      <c r="D25" s="94"/>
      <c r="E25" s="94"/>
      <c r="F25" s="109"/>
      <c r="G25" s="87"/>
      <c r="H25" s="88"/>
      <c r="I25" s="90"/>
      <c r="J25" s="88"/>
      <c r="K25" s="88"/>
      <c r="L25" s="88"/>
      <c r="M25" s="88"/>
      <c r="N25" s="91"/>
    </row>
    <row r="26" customFormat="false" ht="15" hidden="false" customHeight="false" outlineLevel="0" collapsed="false">
      <c r="A26" s="68" t="e">
        <f aca="false">VLOOKUP(#REF!,'[1]Listas Desplegables'!$H$3:$J$7,2,FALSE())</f>
        <v>#VALUE!</v>
      </c>
      <c r="B26" s="68" t="e">
        <f aca="false">VLOOKUP(#REF!,'[1]Listas Desplegables'!$H$3:$J$7,3,FALSE())</f>
        <v>#VALUE!</v>
      </c>
      <c r="C26" s="92" t="n">
        <v>21</v>
      </c>
      <c r="D26" s="94"/>
      <c r="E26" s="94"/>
      <c r="F26" s="109"/>
      <c r="G26" s="87"/>
      <c r="H26" s="88"/>
      <c r="I26" s="90"/>
      <c r="J26" s="88"/>
      <c r="K26" s="88"/>
      <c r="L26" s="88"/>
      <c r="M26" s="88"/>
      <c r="N26" s="91"/>
    </row>
    <row r="27" customFormat="false" ht="15" hidden="false" customHeight="false" outlineLevel="0" collapsed="false">
      <c r="A27" s="68" t="e">
        <f aca="false">VLOOKUP(#REF!,'[1]Listas Desplegables'!$H$3:$J$7,2,FALSE())</f>
        <v>#VALUE!</v>
      </c>
      <c r="B27" s="68" t="e">
        <f aca="false">VLOOKUP(#REF!,'[1]Listas Desplegables'!$H$3:$J$7,3,FALSE())</f>
        <v>#VALUE!</v>
      </c>
      <c r="C27" s="85" t="n">
        <v>22</v>
      </c>
      <c r="D27" s="94"/>
      <c r="E27" s="94"/>
      <c r="F27" s="109"/>
      <c r="G27" s="87"/>
      <c r="H27" s="88"/>
      <c r="I27" s="90"/>
      <c r="J27" s="88"/>
      <c r="K27" s="88"/>
      <c r="L27" s="88"/>
      <c r="M27" s="88"/>
      <c r="N27" s="91"/>
    </row>
    <row r="28" customFormat="false" ht="15" hidden="false" customHeight="false" outlineLevel="0" collapsed="false">
      <c r="A28" s="68" t="e">
        <f aca="false">VLOOKUP(#REF!,'[1]Listas Desplegables'!$H$3:$J$7,2,FALSE())</f>
        <v>#VALUE!</v>
      </c>
      <c r="B28" s="68" t="e">
        <f aca="false">VLOOKUP(#REF!,'[1]Listas Desplegables'!$H$3:$J$7,3,FALSE())</f>
        <v>#VALUE!</v>
      </c>
      <c r="C28" s="85" t="n">
        <v>23</v>
      </c>
      <c r="D28" s="94"/>
      <c r="E28" s="94"/>
      <c r="F28" s="109"/>
      <c r="G28" s="87"/>
      <c r="H28" s="88"/>
      <c r="I28" s="90"/>
      <c r="J28" s="88"/>
      <c r="K28" s="88"/>
      <c r="L28" s="88"/>
      <c r="M28" s="88"/>
      <c r="N28" s="91"/>
    </row>
    <row r="29" customFormat="false" ht="15" hidden="false" customHeight="false" outlineLevel="0" collapsed="false">
      <c r="A29" s="68" t="e">
        <f aca="false">VLOOKUP(#REF!,'[1]Listas Desplegables'!$H$3:$J$7,2,FALSE())</f>
        <v>#VALUE!</v>
      </c>
      <c r="B29" s="68" t="e">
        <f aca="false">VLOOKUP(#REF!,'[1]Listas Desplegables'!$H$3:$J$7,3,FALSE())</f>
        <v>#VALUE!</v>
      </c>
      <c r="C29" s="85" t="n">
        <v>24</v>
      </c>
      <c r="D29" s="94"/>
      <c r="E29" s="94"/>
      <c r="F29" s="109"/>
      <c r="G29" s="87"/>
      <c r="H29" s="88"/>
      <c r="I29" s="90"/>
      <c r="J29" s="88"/>
      <c r="K29" s="88"/>
      <c r="L29" s="88"/>
      <c r="M29" s="88"/>
      <c r="N29" s="91"/>
    </row>
    <row r="30" customFormat="false" ht="15" hidden="false" customHeight="false" outlineLevel="0" collapsed="false">
      <c r="A30" s="68" t="e">
        <f aca="false">VLOOKUP(#REF!,'[1]Listas Desplegables'!$H$3:$J$7,2,FALSE())</f>
        <v>#VALUE!</v>
      </c>
      <c r="B30" s="68" t="e">
        <f aca="false">VLOOKUP(#REF!,'[1]Listas Desplegables'!$H$3:$J$7,3,FALSE())</f>
        <v>#VALUE!</v>
      </c>
      <c r="C30" s="85" t="n">
        <v>25</v>
      </c>
      <c r="D30" s="94"/>
      <c r="E30" s="94"/>
      <c r="F30" s="109"/>
      <c r="G30" s="87"/>
      <c r="H30" s="88"/>
      <c r="I30" s="90"/>
      <c r="J30" s="88"/>
      <c r="K30" s="88"/>
      <c r="L30" s="88"/>
      <c r="M30" s="88"/>
      <c r="N30" s="91"/>
    </row>
    <row r="31" customFormat="false" ht="15" hidden="false" customHeight="false" outlineLevel="0" collapsed="false">
      <c r="A31" s="68" t="e">
        <f aca="false">VLOOKUP(#REF!,'[1]Listas Desplegables'!$H$3:$J$7,2,FALSE())</f>
        <v>#VALUE!</v>
      </c>
      <c r="B31" s="68" t="e">
        <f aca="false">VLOOKUP(#REF!,'[1]Listas Desplegables'!$H$3:$J$7,3,FALSE())</f>
        <v>#VALUE!</v>
      </c>
      <c r="C31" s="85" t="n">
        <v>26</v>
      </c>
      <c r="D31" s="94"/>
      <c r="E31" s="94"/>
      <c r="F31" s="109"/>
      <c r="G31" s="87"/>
      <c r="H31" s="88"/>
      <c r="I31" s="90"/>
      <c r="J31" s="88"/>
      <c r="K31" s="88"/>
      <c r="L31" s="88"/>
      <c r="M31" s="88"/>
      <c r="N31" s="91"/>
    </row>
    <row r="32" customFormat="false" ht="15" hidden="false" customHeight="false" outlineLevel="0" collapsed="false">
      <c r="A32" s="68" t="e">
        <f aca="false">VLOOKUP(#REF!,'[1]Listas Desplegables'!$H$3:$J$7,2,FALSE())</f>
        <v>#VALUE!</v>
      </c>
      <c r="B32" s="68" t="e">
        <f aca="false">VLOOKUP(#REF!,'[1]Listas Desplegables'!$H$3:$J$7,3,FALSE())</f>
        <v>#VALUE!</v>
      </c>
      <c r="C32" s="85" t="n">
        <v>27</v>
      </c>
      <c r="D32" s="94"/>
      <c r="E32" s="94"/>
      <c r="F32" s="109"/>
      <c r="G32" s="87"/>
      <c r="H32" s="88"/>
      <c r="I32" s="90"/>
      <c r="J32" s="88"/>
      <c r="K32" s="88"/>
      <c r="L32" s="88"/>
      <c r="M32" s="88"/>
      <c r="N32" s="91"/>
    </row>
    <row r="33" customFormat="false" ht="15" hidden="false" customHeight="false" outlineLevel="0" collapsed="false">
      <c r="A33" s="68" t="e">
        <f aca="false">VLOOKUP(#REF!,'[1]Listas Desplegables'!$H$3:$J$7,2,FALSE())</f>
        <v>#VALUE!</v>
      </c>
      <c r="B33" s="68" t="e">
        <f aca="false">VLOOKUP(#REF!,'[1]Listas Desplegables'!$H$3:$J$7,3,FALSE())</f>
        <v>#VALUE!</v>
      </c>
      <c r="C33" s="85" t="n">
        <v>28</v>
      </c>
      <c r="D33" s="94"/>
      <c r="E33" s="94"/>
      <c r="F33" s="109"/>
      <c r="G33" s="87"/>
      <c r="H33" s="88"/>
      <c r="I33" s="90"/>
      <c r="J33" s="88"/>
      <c r="K33" s="88"/>
      <c r="L33" s="88"/>
      <c r="M33" s="88"/>
      <c r="N33" s="91"/>
    </row>
    <row r="34" customFormat="false" ht="15" hidden="false" customHeight="false" outlineLevel="0" collapsed="false">
      <c r="A34" s="68" t="e">
        <f aca="false">VLOOKUP(#REF!,'[1]Listas Desplegables'!$H$3:$J$7,2,FALSE())</f>
        <v>#VALUE!</v>
      </c>
      <c r="B34" s="68" t="e">
        <f aca="false">VLOOKUP(#REF!,'[1]Listas Desplegables'!$H$3:$J$7,3,FALSE())</f>
        <v>#VALUE!</v>
      </c>
      <c r="C34" s="85" t="n">
        <v>29</v>
      </c>
      <c r="D34" s="94"/>
      <c r="E34" s="94"/>
      <c r="F34" s="109"/>
      <c r="G34" s="87"/>
      <c r="H34" s="88"/>
      <c r="I34" s="90"/>
      <c r="J34" s="88"/>
      <c r="K34" s="88"/>
      <c r="L34" s="88"/>
      <c r="M34" s="88"/>
      <c r="N34" s="91"/>
    </row>
    <row r="35" customFormat="false" ht="15" hidden="false" customHeight="false" outlineLevel="0" collapsed="false">
      <c r="A35" s="68" t="e">
        <f aca="false">VLOOKUP(#REF!,'[1]Listas Desplegables'!$H$3:$J$7,2,FALSE())</f>
        <v>#VALUE!</v>
      </c>
      <c r="B35" s="68" t="e">
        <f aca="false">VLOOKUP(#REF!,'[1]Listas Desplegables'!$H$3:$J$7,3,FALSE())</f>
        <v>#VALUE!</v>
      </c>
      <c r="C35" s="92" t="n">
        <v>30</v>
      </c>
      <c r="D35" s="94"/>
      <c r="E35" s="94"/>
      <c r="F35" s="109"/>
      <c r="G35" s="87"/>
      <c r="H35" s="88"/>
      <c r="I35" s="90"/>
      <c r="J35" s="88"/>
      <c r="K35" s="88"/>
      <c r="L35" s="88"/>
      <c r="M35" s="88"/>
      <c r="N35" s="91"/>
    </row>
    <row r="36" customFormat="false" ht="15" hidden="false" customHeight="false" outlineLevel="0" collapsed="false">
      <c r="A36" s="68" t="e">
        <f aca="false">VLOOKUP(#REF!,'[1]Listas Desplegables'!$H$3:$J$7,2,FALSE())</f>
        <v>#VALUE!</v>
      </c>
      <c r="B36" s="68" t="e">
        <f aca="false">VLOOKUP(#REF!,'[1]Listas Desplegables'!$H$3:$J$7,3,FALSE())</f>
        <v>#VALUE!</v>
      </c>
      <c r="C36" s="85" t="n">
        <v>31</v>
      </c>
      <c r="D36" s="94"/>
      <c r="E36" s="94"/>
      <c r="F36" s="109"/>
      <c r="G36" s="87"/>
      <c r="H36" s="88"/>
      <c r="I36" s="90"/>
      <c r="J36" s="88"/>
      <c r="K36" s="88"/>
      <c r="L36" s="88"/>
      <c r="M36" s="88"/>
      <c r="N36" s="91"/>
    </row>
    <row r="37" customFormat="false" ht="15" hidden="false" customHeight="false" outlineLevel="0" collapsed="false">
      <c r="A37" s="68" t="e">
        <f aca="false">VLOOKUP(#REF!,'[1]Listas Desplegables'!$H$3:$J$7,2,FALSE())</f>
        <v>#VALUE!</v>
      </c>
      <c r="B37" s="68" t="e">
        <f aca="false">VLOOKUP(#REF!,'[1]Listas Desplegables'!$H$3:$J$7,3,FALSE())</f>
        <v>#VALUE!</v>
      </c>
      <c r="C37" s="85" t="n">
        <v>32</v>
      </c>
      <c r="D37" s="94"/>
      <c r="E37" s="94"/>
      <c r="F37" s="109"/>
      <c r="G37" s="87"/>
      <c r="H37" s="88"/>
      <c r="I37" s="90"/>
      <c r="J37" s="88"/>
      <c r="K37" s="88"/>
      <c r="L37" s="88"/>
      <c r="M37" s="88"/>
      <c r="N37" s="91"/>
    </row>
    <row r="38" customFormat="false" ht="15" hidden="false" customHeight="false" outlineLevel="0" collapsed="false">
      <c r="A38" s="68" t="e">
        <f aca="false">VLOOKUP(#REF!,'[1]Listas Desplegables'!$H$3:$J$7,2,FALSE())</f>
        <v>#VALUE!</v>
      </c>
      <c r="B38" s="68" t="e">
        <f aca="false">VLOOKUP(#REF!,'[1]Listas Desplegables'!$H$3:$J$7,3,FALSE())</f>
        <v>#VALUE!</v>
      </c>
      <c r="C38" s="85" t="n">
        <v>33</v>
      </c>
      <c r="D38" s="94"/>
      <c r="E38" s="94"/>
      <c r="F38" s="109"/>
      <c r="G38" s="87"/>
      <c r="H38" s="88"/>
      <c r="I38" s="90"/>
      <c r="J38" s="88"/>
      <c r="K38" s="88"/>
      <c r="L38" s="88"/>
      <c r="M38" s="88"/>
      <c r="N38" s="91"/>
    </row>
    <row r="39" customFormat="false" ht="15" hidden="false" customHeight="false" outlineLevel="0" collapsed="false">
      <c r="A39" s="68" t="e">
        <f aca="false">VLOOKUP(#REF!,'[1]Listas Desplegables'!$H$3:$J$7,2,FALSE())</f>
        <v>#VALUE!</v>
      </c>
      <c r="B39" s="68" t="e">
        <f aca="false">VLOOKUP(#REF!,'[1]Listas Desplegables'!$H$3:$J$7,3,FALSE())</f>
        <v>#VALUE!</v>
      </c>
      <c r="C39" s="85" t="n">
        <v>34</v>
      </c>
      <c r="D39" s="94"/>
      <c r="E39" s="94"/>
      <c r="F39" s="109"/>
      <c r="G39" s="87"/>
      <c r="H39" s="88"/>
      <c r="I39" s="90"/>
      <c r="J39" s="88"/>
      <c r="K39" s="88"/>
      <c r="L39" s="88"/>
      <c r="M39" s="88"/>
      <c r="N39" s="91"/>
    </row>
    <row r="40" customFormat="false" ht="15" hidden="false" customHeight="false" outlineLevel="0" collapsed="false">
      <c r="A40" s="68" t="e">
        <f aca="false">VLOOKUP(#REF!,'[1]Listas Desplegables'!$H$3:$J$7,2,FALSE())</f>
        <v>#VALUE!</v>
      </c>
      <c r="B40" s="68" t="e">
        <f aca="false">VLOOKUP(#REF!,'[1]Listas Desplegables'!$H$3:$J$7,3,FALSE())</f>
        <v>#VALUE!</v>
      </c>
      <c r="C40" s="85" t="n">
        <v>35</v>
      </c>
      <c r="D40" s="94"/>
      <c r="E40" s="94"/>
      <c r="F40" s="109"/>
      <c r="G40" s="87"/>
      <c r="H40" s="88"/>
      <c r="I40" s="90"/>
      <c r="J40" s="88"/>
      <c r="K40" s="88"/>
      <c r="L40" s="88"/>
      <c r="M40" s="88"/>
      <c r="N40" s="91"/>
    </row>
    <row r="41" customFormat="false" ht="15" hidden="false" customHeight="false" outlineLevel="0" collapsed="false">
      <c r="A41" s="68" t="e">
        <f aca="false">VLOOKUP(#REF!,'[1]Listas Desplegables'!$H$3:$J$7,2,FALSE())</f>
        <v>#VALUE!</v>
      </c>
      <c r="B41" s="68" t="e">
        <f aca="false">VLOOKUP(#REF!,'[1]Listas Desplegables'!$H$3:$J$7,3,FALSE())</f>
        <v>#VALUE!</v>
      </c>
      <c r="C41" s="85" t="n">
        <v>36</v>
      </c>
      <c r="D41" s="94"/>
      <c r="E41" s="94"/>
      <c r="F41" s="109"/>
      <c r="G41" s="87"/>
      <c r="H41" s="88"/>
      <c r="I41" s="90"/>
      <c r="J41" s="88"/>
      <c r="K41" s="88"/>
      <c r="L41" s="88"/>
      <c r="M41" s="88"/>
      <c r="N41" s="91"/>
    </row>
    <row r="42" customFormat="false" ht="15" hidden="false" customHeight="false" outlineLevel="0" collapsed="false">
      <c r="A42" s="68" t="e">
        <f aca="false">VLOOKUP(#REF!,'[1]Listas Desplegables'!$H$3:$J$7,2,FALSE())</f>
        <v>#VALUE!</v>
      </c>
      <c r="B42" s="68" t="e">
        <f aca="false">VLOOKUP(#REF!,'[1]Listas Desplegables'!$H$3:$J$7,3,FALSE())</f>
        <v>#VALUE!</v>
      </c>
      <c r="C42" s="85" t="n">
        <v>37</v>
      </c>
      <c r="D42" s="94"/>
      <c r="E42" s="94"/>
      <c r="F42" s="109"/>
      <c r="G42" s="87"/>
      <c r="H42" s="88"/>
      <c r="I42" s="90"/>
      <c r="J42" s="88"/>
      <c r="K42" s="88"/>
      <c r="L42" s="88"/>
      <c r="M42" s="88"/>
      <c r="N42" s="91"/>
    </row>
    <row r="43" customFormat="false" ht="15" hidden="false" customHeight="false" outlineLevel="0" collapsed="false">
      <c r="A43" s="68" t="e">
        <f aca="false">VLOOKUP(#REF!,'[1]Listas Desplegables'!$H$3:$J$7,2,FALSE())</f>
        <v>#VALUE!</v>
      </c>
      <c r="B43" s="68" t="e">
        <f aca="false">VLOOKUP(#REF!,'[1]Listas Desplegables'!$H$3:$J$7,3,FALSE())</f>
        <v>#VALUE!</v>
      </c>
      <c r="C43" s="85" t="n">
        <v>38</v>
      </c>
      <c r="D43" s="94"/>
      <c r="E43" s="94"/>
      <c r="F43" s="109"/>
      <c r="G43" s="87"/>
      <c r="H43" s="88"/>
      <c r="I43" s="90"/>
      <c r="J43" s="88"/>
      <c r="K43" s="88"/>
      <c r="L43" s="88"/>
      <c r="M43" s="88"/>
      <c r="N43" s="91"/>
    </row>
    <row r="44" customFormat="false" ht="15" hidden="false" customHeight="false" outlineLevel="0" collapsed="false">
      <c r="A44" s="68" t="e">
        <f aca="false">VLOOKUP(#REF!,'[1]Listas Desplegables'!$H$3:$J$7,2,FALSE())</f>
        <v>#VALUE!</v>
      </c>
      <c r="B44" s="68" t="e">
        <f aca="false">VLOOKUP(#REF!,'[1]Listas Desplegables'!$H$3:$J$7,3,FALSE())</f>
        <v>#VALUE!</v>
      </c>
      <c r="C44" s="92" t="n">
        <v>39</v>
      </c>
      <c r="D44" s="94"/>
      <c r="E44" s="94"/>
      <c r="F44" s="109"/>
      <c r="G44" s="87"/>
      <c r="H44" s="88"/>
      <c r="I44" s="90"/>
      <c r="J44" s="88"/>
      <c r="K44" s="88"/>
      <c r="L44" s="88"/>
      <c r="M44" s="88"/>
      <c r="N44" s="91"/>
    </row>
    <row r="45" customFormat="false" ht="15" hidden="false" customHeight="false" outlineLevel="0" collapsed="false">
      <c r="A45" s="68" t="e">
        <f aca="false">VLOOKUP(#REF!,'[1]Listas Desplegables'!$H$3:$J$7,2,FALSE())</f>
        <v>#VALUE!</v>
      </c>
      <c r="B45" s="68" t="e">
        <f aca="false">VLOOKUP(#REF!,'[1]Listas Desplegables'!$H$3:$J$7,3,FALSE())</f>
        <v>#VALUE!</v>
      </c>
      <c r="C45" s="93" t="n">
        <v>40</v>
      </c>
      <c r="D45" s="94"/>
      <c r="E45" s="94"/>
      <c r="F45" s="109"/>
      <c r="G45" s="87"/>
      <c r="H45" s="88"/>
      <c r="I45" s="90"/>
      <c r="J45" s="88"/>
      <c r="K45" s="88"/>
      <c r="L45" s="88"/>
      <c r="M45" s="88"/>
      <c r="N45" s="91"/>
    </row>
    <row r="46" customFormat="false" ht="15" hidden="false" customHeight="false" outlineLevel="0" collapsed="false">
      <c r="A46" s="68" t="e">
        <f aca="false">VLOOKUP(#REF!,'[1]Listas Desplegables'!$H$3:$J$7,2,FALSE())</f>
        <v>#VALUE!</v>
      </c>
      <c r="B46" s="68" t="e">
        <f aca="false">VLOOKUP(#REF!,'[1]Listas Desplegables'!$H$3:$J$7,3,FALSE())</f>
        <v>#VALUE!</v>
      </c>
      <c r="C46" s="92" t="n">
        <v>41</v>
      </c>
      <c r="D46" s="94"/>
      <c r="E46" s="94"/>
      <c r="F46" s="109"/>
      <c r="G46" s="87"/>
      <c r="H46" s="88"/>
      <c r="I46" s="90"/>
      <c r="J46" s="88"/>
      <c r="K46" s="88"/>
      <c r="L46" s="88"/>
      <c r="M46" s="88"/>
      <c r="N46" s="91"/>
    </row>
    <row r="47" customFormat="false" ht="15" hidden="false" customHeight="false" outlineLevel="0" collapsed="false">
      <c r="A47" s="68" t="e">
        <f aca="false">VLOOKUP(#REF!,'[1]Listas Desplegables'!$H$3:$J$7,2,FALSE())</f>
        <v>#VALUE!</v>
      </c>
      <c r="B47" s="68" t="e">
        <f aca="false">VLOOKUP(#REF!,'[1]Listas Desplegables'!$H$3:$J$7,3,FALSE())</f>
        <v>#VALUE!</v>
      </c>
      <c r="C47" s="85" t="n">
        <v>42</v>
      </c>
      <c r="D47" s="94"/>
      <c r="E47" s="94"/>
      <c r="F47" s="109"/>
      <c r="G47" s="87"/>
      <c r="H47" s="88"/>
      <c r="I47" s="90"/>
      <c r="J47" s="88"/>
      <c r="K47" s="88"/>
      <c r="L47" s="88"/>
      <c r="M47" s="88"/>
      <c r="N47" s="91"/>
    </row>
    <row r="48" customFormat="false" ht="15" hidden="false" customHeight="false" outlineLevel="0" collapsed="false">
      <c r="A48" s="68" t="e">
        <f aca="false">VLOOKUP(#REF!,'[1]Listas Desplegables'!$H$3:$J$7,2,FALSE())</f>
        <v>#VALUE!</v>
      </c>
      <c r="B48" s="68" t="e">
        <f aca="false">VLOOKUP(#REF!,'[1]Listas Desplegables'!$H$3:$J$7,3,FALSE())</f>
        <v>#VALUE!</v>
      </c>
      <c r="C48" s="85" t="n">
        <v>43</v>
      </c>
      <c r="D48" s="94"/>
      <c r="E48" s="94"/>
      <c r="F48" s="109"/>
      <c r="G48" s="87"/>
      <c r="H48" s="88"/>
      <c r="I48" s="90"/>
      <c r="J48" s="88"/>
      <c r="K48" s="88"/>
      <c r="L48" s="88"/>
      <c r="M48" s="88"/>
      <c r="N48" s="91"/>
    </row>
    <row r="49" customFormat="false" ht="15" hidden="false" customHeight="false" outlineLevel="0" collapsed="false">
      <c r="A49" s="68" t="e">
        <f aca="false">VLOOKUP(#REF!,'[1]Listas Desplegables'!$H$3:$J$7,2,FALSE())</f>
        <v>#VALUE!</v>
      </c>
      <c r="B49" s="68" t="e">
        <f aca="false">VLOOKUP(#REF!,'[1]Listas Desplegables'!$H$3:$J$7,3,FALSE())</f>
        <v>#VALUE!</v>
      </c>
      <c r="C49" s="85" t="n">
        <v>44</v>
      </c>
      <c r="D49" s="94"/>
      <c r="E49" s="94"/>
      <c r="F49" s="109"/>
      <c r="G49" s="87"/>
      <c r="H49" s="88"/>
      <c r="I49" s="90"/>
      <c r="J49" s="88"/>
      <c r="K49" s="88"/>
      <c r="L49" s="88"/>
      <c r="M49" s="88"/>
      <c r="N49" s="91"/>
    </row>
    <row r="50" customFormat="false" ht="15" hidden="false" customHeight="false" outlineLevel="0" collapsed="false">
      <c r="A50" s="68" t="e">
        <f aca="false">VLOOKUP(#REF!,'[1]Listas Desplegables'!$H$3:$J$7,2,FALSE())</f>
        <v>#VALUE!</v>
      </c>
      <c r="B50" s="68" t="e">
        <f aca="false">VLOOKUP(#REF!,'[1]Listas Desplegables'!$H$3:$J$7,3,FALSE())</f>
        <v>#VALUE!</v>
      </c>
      <c r="C50" s="85" t="n">
        <v>45</v>
      </c>
      <c r="D50" s="94"/>
      <c r="E50" s="94"/>
      <c r="F50" s="109"/>
      <c r="G50" s="87"/>
      <c r="H50" s="88"/>
      <c r="I50" s="90"/>
      <c r="J50" s="88"/>
      <c r="K50" s="88"/>
      <c r="L50" s="88"/>
      <c r="M50" s="88"/>
      <c r="N50" s="91"/>
    </row>
    <row r="51" customFormat="false" ht="15" hidden="false" customHeight="false" outlineLevel="0" collapsed="false">
      <c r="A51" s="68" t="e">
        <f aca="false">VLOOKUP(#REF!,'[1]Listas Desplegables'!$H$3:$J$7,2,FALSE())</f>
        <v>#VALUE!</v>
      </c>
      <c r="B51" s="68" t="e">
        <f aca="false">VLOOKUP(#REF!,'[1]Listas Desplegables'!$H$3:$J$7,3,FALSE())</f>
        <v>#VALUE!</v>
      </c>
      <c r="C51" s="85" t="n">
        <v>46</v>
      </c>
      <c r="D51" s="94"/>
      <c r="E51" s="94"/>
      <c r="F51" s="109"/>
      <c r="G51" s="87"/>
      <c r="H51" s="88"/>
      <c r="I51" s="90"/>
      <c r="J51" s="88"/>
      <c r="K51" s="88"/>
      <c r="L51" s="88"/>
      <c r="M51" s="88"/>
      <c r="N51" s="91"/>
    </row>
    <row r="52" customFormat="false" ht="15" hidden="false" customHeight="false" outlineLevel="0" collapsed="false">
      <c r="A52" s="68" t="e">
        <f aca="false">VLOOKUP(#REF!,'[1]Listas Desplegables'!$H$3:$J$7,2,FALSE())</f>
        <v>#VALUE!</v>
      </c>
      <c r="B52" s="68" t="e">
        <f aca="false">VLOOKUP(#REF!,'[1]Listas Desplegables'!$H$3:$J$7,3,FALSE())</f>
        <v>#VALUE!</v>
      </c>
      <c r="C52" s="85" t="n">
        <v>47</v>
      </c>
      <c r="D52" s="94"/>
      <c r="E52" s="94"/>
      <c r="F52" s="109"/>
      <c r="G52" s="87"/>
      <c r="H52" s="88"/>
      <c r="I52" s="90"/>
      <c r="J52" s="88"/>
      <c r="K52" s="88"/>
      <c r="L52" s="88"/>
      <c r="M52" s="88"/>
      <c r="N52" s="91"/>
    </row>
    <row r="53" customFormat="false" ht="15" hidden="false" customHeight="false" outlineLevel="0" collapsed="false">
      <c r="A53" s="68" t="e">
        <f aca="false">VLOOKUP(#REF!,'[1]Listas Desplegables'!$H$3:$J$7,2,FALSE())</f>
        <v>#VALUE!</v>
      </c>
      <c r="B53" s="68" t="e">
        <f aca="false">VLOOKUP(#REF!,'[1]Listas Desplegables'!$H$3:$J$7,3,FALSE())</f>
        <v>#VALUE!</v>
      </c>
      <c r="C53" s="85" t="n">
        <v>48</v>
      </c>
      <c r="D53" s="94"/>
      <c r="E53" s="94"/>
      <c r="F53" s="109"/>
      <c r="G53" s="87"/>
      <c r="H53" s="88"/>
      <c r="I53" s="90"/>
      <c r="J53" s="88"/>
      <c r="K53" s="88"/>
      <c r="L53" s="88"/>
      <c r="M53" s="88"/>
      <c r="N53" s="91"/>
    </row>
    <row r="54" customFormat="false" ht="15" hidden="false" customHeight="false" outlineLevel="0" collapsed="false">
      <c r="A54" s="68" t="e">
        <f aca="false">VLOOKUP(#REF!,'[1]Listas Desplegables'!$H$3:$J$7,2,FALSE())</f>
        <v>#VALUE!</v>
      </c>
      <c r="B54" s="68" t="e">
        <f aca="false">VLOOKUP(#REF!,'[1]Listas Desplegables'!$H$3:$J$7,3,FALSE())</f>
        <v>#VALUE!</v>
      </c>
      <c r="C54" s="85" t="n">
        <v>49</v>
      </c>
      <c r="D54" s="94"/>
      <c r="E54" s="94"/>
      <c r="F54" s="109"/>
      <c r="G54" s="87"/>
      <c r="H54" s="88"/>
      <c r="I54" s="90"/>
      <c r="J54" s="88"/>
      <c r="K54" s="88"/>
      <c r="L54" s="88"/>
      <c r="M54" s="88"/>
      <c r="N54" s="91"/>
    </row>
    <row r="55" customFormat="false" ht="15" hidden="false" customHeight="false" outlineLevel="0" collapsed="false">
      <c r="A55" s="68" t="e">
        <f aca="false">VLOOKUP(#REF!,'[1]Listas Desplegables'!$H$3:$J$7,2,FALSE())</f>
        <v>#VALUE!</v>
      </c>
      <c r="B55" s="68" t="e">
        <f aca="false">VLOOKUP(#REF!,'[1]Listas Desplegables'!$H$3:$J$7,3,FALSE())</f>
        <v>#VALUE!</v>
      </c>
      <c r="C55" s="92" t="n">
        <v>50</v>
      </c>
      <c r="D55" s="94"/>
      <c r="E55" s="94"/>
      <c r="F55" s="109"/>
      <c r="G55" s="87"/>
      <c r="H55" s="88"/>
      <c r="I55" s="90"/>
      <c r="J55" s="88"/>
      <c r="K55" s="88"/>
      <c r="L55" s="88"/>
      <c r="M55" s="88"/>
      <c r="N55" s="91"/>
    </row>
    <row r="56" customFormat="false" ht="15" hidden="false" customHeight="false" outlineLevel="0" collapsed="false">
      <c r="A56" s="68" t="e">
        <f aca="false">VLOOKUP(#REF!,'[1]Listas Desplegables'!$H$3:$J$7,2,FALSE())</f>
        <v>#VALUE!</v>
      </c>
      <c r="B56" s="68" t="e">
        <f aca="false">VLOOKUP(#REF!,'[1]Listas Desplegables'!$H$3:$J$7,3,FALSE())</f>
        <v>#VALUE!</v>
      </c>
      <c r="C56" s="85" t="n">
        <v>51</v>
      </c>
      <c r="D56" s="94"/>
      <c r="E56" s="94"/>
      <c r="F56" s="109"/>
      <c r="G56" s="87"/>
      <c r="H56" s="88"/>
      <c r="I56" s="90"/>
      <c r="J56" s="88"/>
      <c r="K56" s="88"/>
      <c r="L56" s="88"/>
      <c r="M56" s="88"/>
      <c r="N56" s="91"/>
    </row>
    <row r="57" customFormat="false" ht="15.75" hidden="false" customHeight="false" outlineLevel="0" collapsed="false">
      <c r="A57" s="68" t="e">
        <f aca="false">VLOOKUP(#REF!,'[1]Listas Desplegables'!$H$3:$J$7,2,FALSE())</f>
        <v>#VALUE!</v>
      </c>
      <c r="B57" s="68" t="e">
        <f aca="false">VLOOKUP(#REF!,'[1]Listas Desplegables'!$H$3:$J$7,3,FALSE())</f>
        <v>#VALUE!</v>
      </c>
      <c r="C57" s="97" t="s">
        <v>452</v>
      </c>
      <c r="D57" s="98"/>
      <c r="E57" s="98"/>
      <c r="F57" s="98"/>
      <c r="G57" s="98"/>
      <c r="H57" s="99"/>
      <c r="I57" s="100"/>
      <c r="J57" s="99"/>
      <c r="K57" s="99"/>
      <c r="L57" s="99"/>
      <c r="M57" s="99"/>
      <c r="N57" s="101"/>
    </row>
  </sheetData>
  <mergeCells count="13">
    <mergeCell ref="C3:N3"/>
    <mergeCell ref="C4:C5"/>
    <mergeCell ref="D4:D5"/>
    <mergeCell ref="E4:E5"/>
    <mergeCell ref="F4:F5"/>
    <mergeCell ref="G4:G5"/>
    <mergeCell ref="H4:H5"/>
    <mergeCell ref="I4:I5"/>
    <mergeCell ref="J4:J5"/>
    <mergeCell ref="K4:K5"/>
    <mergeCell ref="L4:L5"/>
    <mergeCell ref="M4:M5"/>
    <mergeCell ref="N4:N5"/>
  </mergeCells>
  <dataValidations count="7">
    <dataValidation allowBlank="true" errorStyle="stop" operator="between" showDropDown="false" showErrorMessage="true" showInputMessage="true" sqref="F1:F3 J1:M3 F6:F1057 J6:L57 J58:M1057" type="decimal">
      <formula1>-100000000</formula1>
      <formula2>100000</formula2>
    </dataValidation>
    <dataValidation allowBlank="true" errorStyle="stop" operator="greaterThan" showDropDown="false" showErrorMessage="true" showInputMessage="true" sqref="I1:I3 I6:I1057" type="date">
      <formula1>1</formula1>
      <formula2>0</formula2>
    </dataValidation>
    <dataValidation allowBlank="true" errorStyle="stop" operator="between" showDropDown="false" showErrorMessage="true" showInputMessage="true" sqref="G58:G1057" type="list">
      <formula1>$B$80:$B$82</formula1>
      <formula2>0</formula2>
    </dataValidation>
    <dataValidation allowBlank="true" errorStyle="stop" operator="between" showDropDown="false" showErrorMessage="true" showInputMessage="true" sqref="G6:G57" type="list">
      <formula1>$B$81:$B$83</formula1>
      <formula2>0</formula2>
    </dataValidation>
    <dataValidation allowBlank="true" errorStyle="stop" operator="between" showDropDown="false" showErrorMessage="true" showInputMessage="true" sqref="G1:G3" type="list">
      <formula1>'Listas Desplegables'!$B$77:$B$79</formula1>
      <formula2>0</formula2>
    </dataValidation>
    <dataValidation allowBlank="true" errorStyle="stop" operator="between" showDropDown="false" showErrorMessage="true" showInputMessage="true" sqref="H6:H57" type="list">
      <formula1>'Listas Desplegables'!$B$81:$B$82</formula1>
      <formula2>0</formula2>
    </dataValidation>
    <dataValidation allowBlank="true" errorStyle="stop" operator="between" showDropDown="false" showErrorMessage="true" showInputMessage="true" sqref="M6:M57" type="list">
      <formula1>'Listas Desplegables'!$B$90:$B$93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2:O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Q20" activeCellId="0" sqref="Q20"/>
    </sheetView>
  </sheetViews>
  <sheetFormatPr defaultColWidth="11.57421875" defaultRowHeight="15" zeroHeight="false" outlineLevelRow="0" outlineLevelCol="0"/>
  <cols>
    <col collapsed="false" customWidth="true" hidden="false" outlineLevel="0" max="2" min="1" style="68" width="3"/>
    <col collapsed="false" customWidth="true" hidden="false" outlineLevel="0" max="3" min="3" style="69" width="6.71"/>
    <col collapsed="false" customWidth="true" hidden="false" outlineLevel="0" max="4" min="4" style="0" width="33"/>
    <col collapsed="false" customWidth="true" hidden="false" outlineLevel="0" max="5" min="5" style="0" width="20.57"/>
    <col collapsed="false" customWidth="true" hidden="false" outlineLevel="0" max="11" min="6" style="0" width="12.72"/>
    <col collapsed="false" customWidth="true" hidden="false" outlineLevel="0" max="15" min="15" style="0" width="29.43"/>
  </cols>
  <sheetData>
    <row r="2" customFormat="false" ht="15.75" hidden="false" customHeight="false" outlineLevel="0" collapsed="false"/>
    <row r="3" s="73" customFormat="true" ht="15.75" hidden="false" customHeight="false" outlineLevel="0" collapsed="false">
      <c r="A3" s="71"/>
      <c r="B3" s="71"/>
      <c r="C3" s="72" t="s">
        <v>916</v>
      </c>
      <c r="D3" s="72"/>
      <c r="E3" s="72"/>
      <c r="F3" s="72"/>
      <c r="G3" s="72"/>
      <c r="H3" s="72"/>
      <c r="I3" s="72"/>
      <c r="J3" s="72"/>
      <c r="K3" s="72"/>
      <c r="L3" s="72"/>
      <c r="M3" s="72"/>
      <c r="N3" s="72"/>
      <c r="O3" s="72"/>
    </row>
    <row r="4" s="77" customFormat="true" ht="12" hidden="false" customHeight="true" outlineLevel="0" collapsed="false">
      <c r="A4" s="74"/>
      <c r="B4" s="74"/>
      <c r="C4" s="75" t="s">
        <v>214</v>
      </c>
      <c r="D4" s="76" t="str">
        <f aca="false">'Manual de Uso'!C162</f>
        <v>Nombre</v>
      </c>
      <c r="E4" s="76" t="str">
        <f aca="false">'Manual de Uso'!C163</f>
        <v>Línea Intervenida</v>
      </c>
      <c r="F4" s="76" t="str">
        <f aca="false">'Manual de Uso'!C164</f>
        <v>Nivel de tensión [kV]</v>
      </c>
      <c r="G4" s="76" t="str">
        <f aca="false">'Manual de Uso'!C165</f>
        <v>En Operación</v>
      </c>
      <c r="H4" s="76" t="str">
        <f aca="false">'Manual de Uso'!C166</f>
        <v>FPO</v>
      </c>
      <c r="I4" s="76" t="str">
        <f aca="false">'Manual de Uso'!C167</f>
        <v>Conectado al lado de</v>
      </c>
      <c r="J4" s="76" t="str">
        <f aca="false">'Manual de Uso'!C168</f>
        <v>Tensión máxima aporte [V]</v>
      </c>
      <c r="K4" s="76" t="str">
        <f aca="false">'Manual de Uso'!C169</f>
        <v>Corriente máxima aporte [A]</v>
      </c>
      <c r="L4" s="76" t="str">
        <f aca="false">'Manual de Uso'!C170</f>
        <v>Modelo (si disponible)</v>
      </c>
      <c r="M4" s="76" t="str">
        <f aca="false">'Manual de Uso'!C171</f>
        <v>Operador</v>
      </c>
      <c r="N4" s="76" t="str">
        <f aca="false">'Manual de Uso'!C172</f>
        <v>Tipo activo Uso/Conexión</v>
      </c>
      <c r="O4" s="76" t="str">
        <f aca="false">'Manual de Uso'!C173</f>
        <v>Observaciones transportador</v>
      </c>
    </row>
    <row r="5" s="77" customFormat="true" ht="24" hidden="false" customHeight="true" outlineLevel="0" collapsed="false">
      <c r="A5" s="74"/>
      <c r="B5" s="74"/>
      <c r="C5" s="75"/>
      <c r="D5" s="76"/>
      <c r="E5" s="76"/>
      <c r="F5" s="76"/>
      <c r="G5" s="76"/>
      <c r="H5" s="76"/>
      <c r="I5" s="76"/>
      <c r="J5" s="76"/>
      <c r="K5" s="76"/>
      <c r="L5" s="76"/>
      <c r="M5" s="76"/>
      <c r="N5" s="76"/>
      <c r="O5" s="76"/>
    </row>
    <row r="6" customFormat="false" ht="15" hidden="false" customHeight="false" outlineLevel="0" collapsed="false">
      <c r="A6" s="68" t="e">
        <f aca="false">VLOOKUP(#REF!,'[1]Listas Desplegables'!$H$3:$J$7,2,FALSE())</f>
        <v>#VALUE!</v>
      </c>
      <c r="B6" s="68" t="e">
        <f aca="false">VLOOKUP(#REF!,'[1]Listas Desplegables'!$H$3:$J$7,3,FALSE())</f>
        <v>#VALUE!</v>
      </c>
      <c r="C6" s="78" t="n">
        <v>1</v>
      </c>
      <c r="D6" s="79"/>
      <c r="E6" s="79"/>
      <c r="F6" s="80"/>
      <c r="G6" s="80"/>
      <c r="H6" s="80"/>
      <c r="I6" s="79"/>
      <c r="J6" s="80"/>
      <c r="K6" s="81"/>
      <c r="L6" s="82"/>
      <c r="M6" s="82"/>
      <c r="N6" s="81"/>
      <c r="O6" s="84"/>
    </row>
    <row r="7" customFormat="false" ht="15" hidden="false" customHeight="false" outlineLevel="0" collapsed="false">
      <c r="A7" s="68" t="e">
        <f aca="false">VLOOKUP(#REF!,'[1]Listas Desplegables'!$H$3:$J$7,2,FALSE())</f>
        <v>#VALUE!</v>
      </c>
      <c r="B7" s="68" t="e">
        <f aca="false">VLOOKUP(#REF!,'[1]Listas Desplegables'!$H$3:$J$7,3,FALSE())</f>
        <v>#VALUE!</v>
      </c>
      <c r="C7" s="85" t="n">
        <v>2</v>
      </c>
      <c r="D7" s="86"/>
      <c r="E7" s="86"/>
      <c r="F7" s="87"/>
      <c r="G7" s="87"/>
      <c r="H7" s="87"/>
      <c r="I7" s="86"/>
      <c r="J7" s="87"/>
      <c r="K7" s="88"/>
      <c r="L7" s="89"/>
      <c r="M7" s="89"/>
      <c r="N7" s="88"/>
      <c r="O7" s="91"/>
    </row>
    <row r="8" customFormat="false" ht="15" hidden="false" customHeight="false" outlineLevel="0" collapsed="false">
      <c r="A8" s="68" t="e">
        <f aca="false">VLOOKUP(#REF!,'[1]Listas Desplegables'!$H$3:$J$7,2,FALSE())</f>
        <v>#VALUE!</v>
      </c>
      <c r="B8" s="68" t="e">
        <f aca="false">VLOOKUP(#REF!,'[1]Listas Desplegables'!$H$3:$J$7,3,FALSE())</f>
        <v>#VALUE!</v>
      </c>
      <c r="C8" s="85" t="n">
        <v>3</v>
      </c>
      <c r="D8" s="86"/>
      <c r="E8" s="86"/>
      <c r="F8" s="87"/>
      <c r="G8" s="87"/>
      <c r="H8" s="87"/>
      <c r="I8" s="86"/>
      <c r="J8" s="87"/>
      <c r="K8" s="88"/>
      <c r="L8" s="89"/>
      <c r="M8" s="89"/>
      <c r="N8" s="88"/>
      <c r="O8" s="91"/>
    </row>
    <row r="9" customFormat="false" ht="15" hidden="false" customHeight="false" outlineLevel="0" collapsed="false">
      <c r="A9" s="68" t="e">
        <f aca="false">VLOOKUP(#REF!,'[1]Listas Desplegables'!$H$3:$J$7,2,FALSE())</f>
        <v>#VALUE!</v>
      </c>
      <c r="B9" s="68" t="e">
        <f aca="false">VLOOKUP(#REF!,'[1]Listas Desplegables'!$H$3:$J$7,3,FALSE())</f>
        <v>#VALUE!</v>
      </c>
      <c r="C9" s="85" t="n">
        <v>4</v>
      </c>
      <c r="D9" s="86"/>
      <c r="E9" s="86"/>
      <c r="F9" s="87"/>
      <c r="G9" s="87"/>
      <c r="H9" s="87"/>
      <c r="I9" s="86"/>
      <c r="J9" s="87"/>
      <c r="K9" s="88"/>
      <c r="L9" s="89"/>
      <c r="M9" s="89"/>
      <c r="N9" s="88"/>
      <c r="O9" s="91"/>
    </row>
    <row r="10" customFormat="false" ht="15" hidden="false" customHeight="false" outlineLevel="0" collapsed="false">
      <c r="A10" s="68" t="e">
        <f aca="false">VLOOKUP(#REF!,'[1]Listas Desplegables'!$H$3:$J$7,2,FALSE())</f>
        <v>#VALUE!</v>
      </c>
      <c r="B10" s="68" t="e">
        <f aca="false">VLOOKUP(#REF!,'[1]Listas Desplegables'!$H$3:$J$7,3,FALSE())</f>
        <v>#VALUE!</v>
      </c>
      <c r="C10" s="85" t="n">
        <v>5</v>
      </c>
      <c r="D10" s="86"/>
      <c r="E10" s="86"/>
      <c r="F10" s="87"/>
      <c r="G10" s="87"/>
      <c r="H10" s="87"/>
      <c r="I10" s="86"/>
      <c r="J10" s="87"/>
      <c r="K10" s="88"/>
      <c r="L10" s="89"/>
      <c r="M10" s="89"/>
      <c r="N10" s="88"/>
      <c r="O10" s="91"/>
    </row>
    <row r="11" customFormat="false" ht="15" hidden="false" customHeight="false" outlineLevel="0" collapsed="false">
      <c r="A11" s="68" t="e">
        <f aca="false">VLOOKUP(#REF!,'[1]Listas Desplegables'!$H$3:$J$7,2,FALSE())</f>
        <v>#VALUE!</v>
      </c>
      <c r="B11" s="68" t="e">
        <f aca="false">VLOOKUP(#REF!,'[1]Listas Desplegables'!$H$3:$J$7,3,FALSE())</f>
        <v>#VALUE!</v>
      </c>
      <c r="C11" s="85" t="n">
        <v>6</v>
      </c>
      <c r="D11" s="86"/>
      <c r="E11" s="86"/>
      <c r="F11" s="87"/>
      <c r="G11" s="87"/>
      <c r="H11" s="87"/>
      <c r="I11" s="86"/>
      <c r="J11" s="87"/>
      <c r="K11" s="88"/>
      <c r="L11" s="89"/>
      <c r="M11" s="89"/>
      <c r="N11" s="88"/>
      <c r="O11" s="91"/>
    </row>
    <row r="12" customFormat="false" ht="15" hidden="false" customHeight="false" outlineLevel="0" collapsed="false">
      <c r="A12" s="68" t="e">
        <f aca="false">VLOOKUP(#REF!,'[1]Listas Desplegables'!$H$3:$J$7,2,FALSE())</f>
        <v>#VALUE!</v>
      </c>
      <c r="B12" s="68" t="e">
        <f aca="false">VLOOKUP(#REF!,'[1]Listas Desplegables'!$H$3:$J$7,3,FALSE())</f>
        <v>#VALUE!</v>
      </c>
      <c r="C12" s="85" t="n">
        <v>7</v>
      </c>
      <c r="D12" s="86"/>
      <c r="E12" s="86"/>
      <c r="F12" s="87"/>
      <c r="G12" s="87"/>
      <c r="H12" s="87"/>
      <c r="I12" s="86"/>
      <c r="J12" s="87"/>
      <c r="K12" s="88"/>
      <c r="L12" s="89"/>
      <c r="M12" s="89"/>
      <c r="N12" s="88"/>
      <c r="O12" s="91"/>
    </row>
    <row r="13" customFormat="false" ht="15" hidden="false" customHeight="false" outlineLevel="0" collapsed="false">
      <c r="A13" s="68" t="e">
        <f aca="false">VLOOKUP(#REF!,'[1]Listas Desplegables'!$H$3:$J$7,2,FALSE())</f>
        <v>#VALUE!</v>
      </c>
      <c r="B13" s="68" t="e">
        <f aca="false">VLOOKUP(#REF!,'[1]Listas Desplegables'!$H$3:$J$7,3,FALSE())</f>
        <v>#VALUE!</v>
      </c>
      <c r="C13" s="85" t="n">
        <v>8</v>
      </c>
      <c r="D13" s="86"/>
      <c r="E13" s="86"/>
      <c r="F13" s="87"/>
      <c r="G13" s="87"/>
      <c r="H13" s="87"/>
      <c r="I13" s="86"/>
      <c r="J13" s="87"/>
      <c r="K13" s="88"/>
      <c r="L13" s="89"/>
      <c r="M13" s="89"/>
      <c r="N13" s="88"/>
      <c r="O13" s="91"/>
    </row>
    <row r="14" customFormat="false" ht="15" hidden="false" customHeight="false" outlineLevel="0" collapsed="false">
      <c r="A14" s="68" t="e">
        <f aca="false">VLOOKUP(#REF!,'[1]Listas Desplegables'!$H$3:$J$7,2,FALSE())</f>
        <v>#VALUE!</v>
      </c>
      <c r="B14" s="68" t="e">
        <f aca="false">VLOOKUP(#REF!,'[1]Listas Desplegables'!$H$3:$J$7,3,FALSE())</f>
        <v>#VALUE!</v>
      </c>
      <c r="C14" s="85" t="n">
        <v>9</v>
      </c>
      <c r="D14" s="86"/>
      <c r="E14" s="86"/>
      <c r="F14" s="87"/>
      <c r="G14" s="87"/>
      <c r="H14" s="87"/>
      <c r="I14" s="86"/>
      <c r="J14" s="87"/>
      <c r="K14" s="88"/>
      <c r="L14" s="89"/>
      <c r="M14" s="89"/>
      <c r="N14" s="88"/>
      <c r="O14" s="91"/>
    </row>
    <row r="15" customFormat="false" ht="15" hidden="false" customHeight="false" outlineLevel="0" collapsed="false">
      <c r="A15" s="68" t="e">
        <f aca="false">VLOOKUP(#REF!,'[1]Listas Desplegables'!$H$3:$J$7,2,FALSE())</f>
        <v>#VALUE!</v>
      </c>
      <c r="B15" s="68" t="e">
        <f aca="false">VLOOKUP(#REF!,'[1]Listas Desplegables'!$H$3:$J$7,3,FALSE())</f>
        <v>#VALUE!</v>
      </c>
      <c r="C15" s="92" t="n">
        <v>10</v>
      </c>
      <c r="D15" s="86"/>
      <c r="E15" s="86"/>
      <c r="F15" s="87"/>
      <c r="G15" s="87"/>
      <c r="H15" s="87"/>
      <c r="I15" s="86"/>
      <c r="J15" s="87"/>
      <c r="K15" s="88"/>
      <c r="L15" s="89"/>
      <c r="M15" s="89"/>
      <c r="N15" s="88"/>
      <c r="O15" s="91"/>
    </row>
    <row r="16" customFormat="false" ht="15" hidden="false" customHeight="false" outlineLevel="0" collapsed="false">
      <c r="A16" s="68" t="e">
        <f aca="false">VLOOKUP(#REF!,'[1]Listas Desplegables'!$H$3:$J$7,2,FALSE())</f>
        <v>#VALUE!</v>
      </c>
      <c r="B16" s="68" t="e">
        <f aca="false">VLOOKUP(#REF!,'[1]Listas Desplegables'!$H$3:$J$7,3,FALSE())</f>
        <v>#VALUE!</v>
      </c>
      <c r="C16" s="85" t="n">
        <v>11</v>
      </c>
      <c r="D16" s="86"/>
      <c r="E16" s="86"/>
      <c r="F16" s="87"/>
      <c r="G16" s="87"/>
      <c r="H16" s="87"/>
      <c r="I16" s="86"/>
      <c r="J16" s="87"/>
      <c r="K16" s="88"/>
      <c r="L16" s="89"/>
      <c r="M16" s="89"/>
      <c r="N16" s="88"/>
      <c r="O16" s="91"/>
    </row>
    <row r="17" customFormat="false" ht="15" hidden="false" customHeight="false" outlineLevel="0" collapsed="false">
      <c r="A17" s="68" t="e">
        <f aca="false">VLOOKUP(#REF!,'[1]Listas Desplegables'!$H$3:$J$7,2,FALSE())</f>
        <v>#VALUE!</v>
      </c>
      <c r="B17" s="68" t="e">
        <f aca="false">VLOOKUP(#REF!,'[1]Listas Desplegables'!$H$3:$J$7,3,FALSE())</f>
        <v>#VALUE!</v>
      </c>
      <c r="C17" s="85" t="n">
        <v>12</v>
      </c>
      <c r="D17" s="86"/>
      <c r="E17" s="86"/>
      <c r="F17" s="87"/>
      <c r="G17" s="87"/>
      <c r="H17" s="87"/>
      <c r="I17" s="86"/>
      <c r="J17" s="87"/>
      <c r="K17" s="88"/>
      <c r="L17" s="89"/>
      <c r="M17" s="89"/>
      <c r="N17" s="88"/>
      <c r="O17" s="91"/>
    </row>
    <row r="18" customFormat="false" ht="15" hidden="false" customHeight="false" outlineLevel="0" collapsed="false">
      <c r="A18" s="68" t="e">
        <f aca="false">VLOOKUP(#REF!,'[1]Listas Desplegables'!$H$3:$J$7,2,FALSE())</f>
        <v>#VALUE!</v>
      </c>
      <c r="B18" s="68" t="e">
        <f aca="false">VLOOKUP(#REF!,'[1]Listas Desplegables'!$H$3:$J$7,3,FALSE())</f>
        <v>#VALUE!</v>
      </c>
      <c r="C18" s="85" t="n">
        <v>13</v>
      </c>
      <c r="D18" s="86"/>
      <c r="E18" s="86"/>
      <c r="F18" s="87"/>
      <c r="G18" s="87"/>
      <c r="H18" s="87"/>
      <c r="I18" s="86"/>
      <c r="J18" s="87"/>
      <c r="K18" s="88"/>
      <c r="L18" s="89"/>
      <c r="M18" s="89"/>
      <c r="N18" s="88"/>
      <c r="O18" s="91"/>
    </row>
    <row r="19" customFormat="false" ht="15" hidden="false" customHeight="false" outlineLevel="0" collapsed="false">
      <c r="A19" s="68" t="e">
        <f aca="false">VLOOKUP(#REF!,'[1]Listas Desplegables'!$H$3:$J$7,2,FALSE())</f>
        <v>#VALUE!</v>
      </c>
      <c r="B19" s="68" t="e">
        <f aca="false">VLOOKUP(#REF!,'[1]Listas Desplegables'!$H$3:$J$7,3,FALSE())</f>
        <v>#VALUE!</v>
      </c>
      <c r="C19" s="85" t="n">
        <v>14</v>
      </c>
      <c r="D19" s="86"/>
      <c r="E19" s="86"/>
      <c r="F19" s="87"/>
      <c r="G19" s="87"/>
      <c r="H19" s="87"/>
      <c r="I19" s="86"/>
      <c r="J19" s="87"/>
      <c r="K19" s="88"/>
      <c r="L19" s="89"/>
      <c r="M19" s="89"/>
      <c r="N19" s="88"/>
      <c r="O19" s="91"/>
    </row>
    <row r="20" customFormat="false" ht="15" hidden="false" customHeight="false" outlineLevel="0" collapsed="false">
      <c r="A20" s="68" t="e">
        <f aca="false">VLOOKUP(#REF!,'[1]Listas Desplegables'!$H$3:$J$7,2,FALSE())</f>
        <v>#VALUE!</v>
      </c>
      <c r="B20" s="68" t="e">
        <f aca="false">VLOOKUP(#REF!,'[1]Listas Desplegables'!$H$3:$J$7,3,FALSE())</f>
        <v>#VALUE!</v>
      </c>
      <c r="C20" s="85" t="n">
        <v>15</v>
      </c>
      <c r="D20" s="86"/>
      <c r="E20" s="86"/>
      <c r="F20" s="87"/>
      <c r="G20" s="87"/>
      <c r="H20" s="87"/>
      <c r="I20" s="86"/>
      <c r="J20" s="87"/>
      <c r="K20" s="88"/>
      <c r="L20" s="89"/>
      <c r="M20" s="89"/>
      <c r="N20" s="88"/>
      <c r="O20" s="91"/>
    </row>
    <row r="21" customFormat="false" ht="15" hidden="false" customHeight="false" outlineLevel="0" collapsed="false">
      <c r="A21" s="68" t="e">
        <f aca="false">VLOOKUP(#REF!,'[1]Listas Desplegables'!$H$3:$J$7,2,FALSE())</f>
        <v>#VALUE!</v>
      </c>
      <c r="B21" s="68" t="e">
        <f aca="false">VLOOKUP(#REF!,'[1]Listas Desplegables'!$H$3:$J$7,3,FALSE())</f>
        <v>#VALUE!</v>
      </c>
      <c r="C21" s="85" t="n">
        <v>16</v>
      </c>
      <c r="D21" s="86"/>
      <c r="E21" s="86"/>
      <c r="F21" s="87"/>
      <c r="G21" s="87"/>
      <c r="H21" s="87"/>
      <c r="I21" s="86"/>
      <c r="J21" s="87"/>
      <c r="K21" s="88"/>
      <c r="L21" s="89"/>
      <c r="M21" s="89"/>
      <c r="N21" s="88"/>
      <c r="O21" s="91"/>
    </row>
    <row r="22" customFormat="false" ht="15" hidden="false" customHeight="false" outlineLevel="0" collapsed="false">
      <c r="A22" s="68" t="e">
        <f aca="false">VLOOKUP(#REF!,'[1]Listas Desplegables'!$H$3:$J$7,2,FALSE())</f>
        <v>#VALUE!</v>
      </c>
      <c r="B22" s="68" t="e">
        <f aca="false">VLOOKUP(#REF!,'[1]Listas Desplegables'!$H$3:$J$7,3,FALSE())</f>
        <v>#VALUE!</v>
      </c>
      <c r="C22" s="85" t="n">
        <v>17</v>
      </c>
      <c r="D22" s="86"/>
      <c r="E22" s="86"/>
      <c r="F22" s="87"/>
      <c r="G22" s="87"/>
      <c r="H22" s="87"/>
      <c r="I22" s="86"/>
      <c r="J22" s="87"/>
      <c r="K22" s="88"/>
      <c r="L22" s="89"/>
      <c r="M22" s="89"/>
      <c r="N22" s="88"/>
      <c r="O22" s="91"/>
    </row>
    <row r="23" customFormat="false" ht="15" hidden="false" customHeight="false" outlineLevel="0" collapsed="false">
      <c r="A23" s="68" t="e">
        <f aca="false">VLOOKUP(#REF!,'[1]Listas Desplegables'!$H$3:$J$7,2,FALSE())</f>
        <v>#VALUE!</v>
      </c>
      <c r="B23" s="68" t="e">
        <f aca="false">VLOOKUP(#REF!,'[1]Listas Desplegables'!$H$3:$J$7,3,FALSE())</f>
        <v>#VALUE!</v>
      </c>
      <c r="C23" s="85" t="n">
        <v>18</v>
      </c>
      <c r="D23" s="86"/>
      <c r="E23" s="86"/>
      <c r="F23" s="87"/>
      <c r="G23" s="87"/>
      <c r="H23" s="87"/>
      <c r="I23" s="86"/>
      <c r="J23" s="87"/>
      <c r="K23" s="88"/>
      <c r="L23" s="89"/>
      <c r="M23" s="89"/>
      <c r="N23" s="88"/>
      <c r="O23" s="91"/>
    </row>
    <row r="24" customFormat="false" ht="15" hidden="false" customHeight="false" outlineLevel="0" collapsed="false">
      <c r="A24" s="68" t="e">
        <f aca="false">VLOOKUP(#REF!,'[1]Listas Desplegables'!$H$3:$J$7,2,FALSE())</f>
        <v>#VALUE!</v>
      </c>
      <c r="B24" s="68" t="e">
        <f aca="false">VLOOKUP(#REF!,'[1]Listas Desplegables'!$H$3:$J$7,3,FALSE())</f>
        <v>#VALUE!</v>
      </c>
      <c r="C24" s="92" t="n">
        <v>19</v>
      </c>
      <c r="D24" s="86"/>
      <c r="E24" s="86"/>
      <c r="F24" s="87"/>
      <c r="G24" s="87"/>
      <c r="H24" s="87"/>
      <c r="I24" s="86"/>
      <c r="J24" s="87"/>
      <c r="K24" s="88"/>
      <c r="L24" s="89"/>
      <c r="M24" s="89"/>
      <c r="N24" s="88"/>
      <c r="O24" s="91"/>
    </row>
    <row r="25" customFormat="false" ht="15" hidden="false" customHeight="false" outlineLevel="0" collapsed="false">
      <c r="A25" s="68" t="e">
        <f aca="false">VLOOKUP(#REF!,'[1]Listas Desplegables'!$H$3:$J$7,2,FALSE())</f>
        <v>#VALUE!</v>
      </c>
      <c r="B25" s="68" t="e">
        <f aca="false">VLOOKUP(#REF!,'[1]Listas Desplegables'!$H$3:$J$7,3,FALSE())</f>
        <v>#VALUE!</v>
      </c>
      <c r="C25" s="93" t="n">
        <v>20</v>
      </c>
      <c r="D25" s="94"/>
      <c r="E25" s="94"/>
      <c r="F25" s="109"/>
      <c r="G25" s="109"/>
      <c r="H25" s="109"/>
      <c r="I25" s="94"/>
      <c r="J25" s="87"/>
      <c r="K25" s="88"/>
      <c r="L25" s="89"/>
      <c r="M25" s="89"/>
      <c r="N25" s="88"/>
      <c r="O25" s="91"/>
    </row>
    <row r="26" customFormat="false" ht="15" hidden="false" customHeight="false" outlineLevel="0" collapsed="false">
      <c r="A26" s="68" t="e">
        <f aca="false">VLOOKUP(#REF!,'[1]Listas Desplegables'!$H$3:$J$7,2,FALSE())</f>
        <v>#VALUE!</v>
      </c>
      <c r="B26" s="68" t="e">
        <f aca="false">VLOOKUP(#REF!,'[1]Listas Desplegables'!$H$3:$J$7,3,FALSE())</f>
        <v>#VALUE!</v>
      </c>
      <c r="C26" s="92" t="n">
        <v>21</v>
      </c>
      <c r="D26" s="94"/>
      <c r="E26" s="94"/>
      <c r="F26" s="109"/>
      <c r="G26" s="109"/>
      <c r="H26" s="109"/>
      <c r="I26" s="94"/>
      <c r="J26" s="87"/>
      <c r="K26" s="88"/>
      <c r="L26" s="89"/>
      <c r="M26" s="89"/>
      <c r="N26" s="88"/>
      <c r="O26" s="91"/>
    </row>
    <row r="27" customFormat="false" ht="15" hidden="false" customHeight="false" outlineLevel="0" collapsed="false">
      <c r="A27" s="68" t="e">
        <f aca="false">VLOOKUP(#REF!,'[1]Listas Desplegables'!$H$3:$J$7,2,FALSE())</f>
        <v>#VALUE!</v>
      </c>
      <c r="B27" s="68" t="e">
        <f aca="false">VLOOKUP(#REF!,'[1]Listas Desplegables'!$H$3:$J$7,3,FALSE())</f>
        <v>#VALUE!</v>
      </c>
      <c r="C27" s="85" t="n">
        <v>22</v>
      </c>
      <c r="D27" s="94"/>
      <c r="E27" s="94"/>
      <c r="F27" s="109"/>
      <c r="G27" s="109"/>
      <c r="H27" s="109"/>
      <c r="I27" s="94"/>
      <c r="J27" s="87"/>
      <c r="K27" s="88"/>
      <c r="L27" s="89"/>
      <c r="M27" s="89"/>
      <c r="N27" s="88"/>
      <c r="O27" s="91"/>
    </row>
    <row r="28" customFormat="false" ht="15" hidden="false" customHeight="false" outlineLevel="0" collapsed="false">
      <c r="A28" s="68" t="e">
        <f aca="false">VLOOKUP(#REF!,'[1]Listas Desplegables'!$H$3:$J$7,2,FALSE())</f>
        <v>#VALUE!</v>
      </c>
      <c r="B28" s="68" t="e">
        <f aca="false">VLOOKUP(#REF!,'[1]Listas Desplegables'!$H$3:$J$7,3,FALSE())</f>
        <v>#VALUE!</v>
      </c>
      <c r="C28" s="85" t="n">
        <v>23</v>
      </c>
      <c r="D28" s="94"/>
      <c r="E28" s="94"/>
      <c r="F28" s="109"/>
      <c r="G28" s="109"/>
      <c r="H28" s="109"/>
      <c r="I28" s="94"/>
      <c r="J28" s="87"/>
      <c r="K28" s="88"/>
      <c r="L28" s="89"/>
      <c r="M28" s="89"/>
      <c r="N28" s="88"/>
      <c r="O28" s="91"/>
    </row>
    <row r="29" customFormat="false" ht="15" hidden="false" customHeight="false" outlineLevel="0" collapsed="false">
      <c r="A29" s="68" t="e">
        <f aca="false">VLOOKUP(#REF!,'[1]Listas Desplegables'!$H$3:$J$7,2,FALSE())</f>
        <v>#VALUE!</v>
      </c>
      <c r="B29" s="68" t="e">
        <f aca="false">VLOOKUP(#REF!,'[1]Listas Desplegables'!$H$3:$J$7,3,FALSE())</f>
        <v>#VALUE!</v>
      </c>
      <c r="C29" s="85" t="n">
        <v>24</v>
      </c>
      <c r="D29" s="94"/>
      <c r="E29" s="94"/>
      <c r="F29" s="109"/>
      <c r="G29" s="109"/>
      <c r="H29" s="109"/>
      <c r="I29" s="94"/>
      <c r="J29" s="87"/>
      <c r="K29" s="88"/>
      <c r="L29" s="89"/>
      <c r="M29" s="89"/>
      <c r="N29" s="88"/>
      <c r="O29" s="91"/>
    </row>
    <row r="30" customFormat="false" ht="15" hidden="false" customHeight="false" outlineLevel="0" collapsed="false">
      <c r="A30" s="68" t="e">
        <f aca="false">VLOOKUP(#REF!,'[1]Listas Desplegables'!$H$3:$J$7,2,FALSE())</f>
        <v>#VALUE!</v>
      </c>
      <c r="B30" s="68" t="e">
        <f aca="false">VLOOKUP(#REF!,'[1]Listas Desplegables'!$H$3:$J$7,3,FALSE())</f>
        <v>#VALUE!</v>
      </c>
      <c r="C30" s="85" t="n">
        <v>25</v>
      </c>
      <c r="D30" s="94"/>
      <c r="E30" s="94"/>
      <c r="F30" s="109"/>
      <c r="G30" s="109"/>
      <c r="H30" s="109"/>
      <c r="I30" s="94"/>
      <c r="J30" s="87"/>
      <c r="K30" s="88"/>
      <c r="L30" s="89"/>
      <c r="M30" s="89"/>
      <c r="N30" s="88"/>
      <c r="O30" s="91"/>
    </row>
    <row r="31" customFormat="false" ht="15" hidden="false" customHeight="false" outlineLevel="0" collapsed="false">
      <c r="A31" s="68" t="e">
        <f aca="false">VLOOKUP(#REF!,'[1]Listas Desplegables'!$H$3:$J$7,2,FALSE())</f>
        <v>#VALUE!</v>
      </c>
      <c r="B31" s="68" t="e">
        <f aca="false">VLOOKUP(#REF!,'[1]Listas Desplegables'!$H$3:$J$7,3,FALSE())</f>
        <v>#VALUE!</v>
      </c>
      <c r="C31" s="85" t="n">
        <v>26</v>
      </c>
      <c r="D31" s="94"/>
      <c r="E31" s="94"/>
      <c r="F31" s="109"/>
      <c r="G31" s="109"/>
      <c r="H31" s="109"/>
      <c r="I31" s="94"/>
      <c r="J31" s="87"/>
      <c r="K31" s="88"/>
      <c r="L31" s="89"/>
      <c r="M31" s="89"/>
      <c r="N31" s="88"/>
      <c r="O31" s="91"/>
    </row>
    <row r="32" customFormat="false" ht="15" hidden="false" customHeight="false" outlineLevel="0" collapsed="false">
      <c r="A32" s="68" t="e">
        <f aca="false">VLOOKUP(#REF!,'[1]Listas Desplegables'!$H$3:$J$7,2,FALSE())</f>
        <v>#VALUE!</v>
      </c>
      <c r="B32" s="68" t="e">
        <f aca="false">VLOOKUP(#REF!,'[1]Listas Desplegables'!$H$3:$J$7,3,FALSE())</f>
        <v>#VALUE!</v>
      </c>
      <c r="C32" s="85" t="n">
        <v>27</v>
      </c>
      <c r="D32" s="94"/>
      <c r="E32" s="94"/>
      <c r="F32" s="109"/>
      <c r="G32" s="109"/>
      <c r="H32" s="109"/>
      <c r="I32" s="94"/>
      <c r="J32" s="87"/>
      <c r="K32" s="88"/>
      <c r="L32" s="89"/>
      <c r="M32" s="89"/>
      <c r="N32" s="88"/>
      <c r="O32" s="91"/>
    </row>
    <row r="33" customFormat="false" ht="15" hidden="false" customHeight="false" outlineLevel="0" collapsed="false">
      <c r="A33" s="68" t="e">
        <f aca="false">VLOOKUP(#REF!,'[1]Listas Desplegables'!$H$3:$J$7,2,FALSE())</f>
        <v>#VALUE!</v>
      </c>
      <c r="B33" s="68" t="e">
        <f aca="false">VLOOKUP(#REF!,'[1]Listas Desplegables'!$H$3:$J$7,3,FALSE())</f>
        <v>#VALUE!</v>
      </c>
      <c r="C33" s="85" t="n">
        <v>28</v>
      </c>
      <c r="D33" s="94"/>
      <c r="E33" s="94"/>
      <c r="F33" s="109"/>
      <c r="G33" s="109"/>
      <c r="H33" s="109"/>
      <c r="I33" s="94"/>
      <c r="J33" s="87"/>
      <c r="K33" s="88"/>
      <c r="L33" s="89"/>
      <c r="M33" s="89"/>
      <c r="N33" s="88"/>
      <c r="O33" s="91"/>
    </row>
    <row r="34" customFormat="false" ht="15" hidden="false" customHeight="false" outlineLevel="0" collapsed="false">
      <c r="A34" s="68" t="e">
        <f aca="false">VLOOKUP(#REF!,'[1]Listas Desplegables'!$H$3:$J$7,2,FALSE())</f>
        <v>#VALUE!</v>
      </c>
      <c r="B34" s="68" t="e">
        <f aca="false">VLOOKUP(#REF!,'[1]Listas Desplegables'!$H$3:$J$7,3,FALSE())</f>
        <v>#VALUE!</v>
      </c>
      <c r="C34" s="85" t="n">
        <v>29</v>
      </c>
      <c r="D34" s="94"/>
      <c r="E34" s="94"/>
      <c r="F34" s="109"/>
      <c r="G34" s="109"/>
      <c r="H34" s="109"/>
      <c r="I34" s="94"/>
      <c r="J34" s="87"/>
      <c r="K34" s="88"/>
      <c r="L34" s="89"/>
      <c r="M34" s="89"/>
      <c r="N34" s="88"/>
      <c r="O34" s="91"/>
    </row>
    <row r="35" customFormat="false" ht="15" hidden="false" customHeight="false" outlineLevel="0" collapsed="false">
      <c r="A35" s="68" t="e">
        <f aca="false">VLOOKUP(#REF!,'[1]Listas Desplegables'!$H$3:$J$7,2,FALSE())</f>
        <v>#VALUE!</v>
      </c>
      <c r="B35" s="68" t="e">
        <f aca="false">VLOOKUP(#REF!,'[1]Listas Desplegables'!$H$3:$J$7,3,FALSE())</f>
        <v>#VALUE!</v>
      </c>
      <c r="C35" s="92" t="n">
        <v>30</v>
      </c>
      <c r="D35" s="94"/>
      <c r="E35" s="94"/>
      <c r="F35" s="109"/>
      <c r="G35" s="109"/>
      <c r="H35" s="109"/>
      <c r="I35" s="94"/>
      <c r="J35" s="87"/>
      <c r="K35" s="88"/>
      <c r="L35" s="89"/>
      <c r="M35" s="89"/>
      <c r="N35" s="88"/>
      <c r="O35" s="91"/>
    </row>
    <row r="36" customFormat="false" ht="15" hidden="false" customHeight="false" outlineLevel="0" collapsed="false">
      <c r="A36" s="68" t="e">
        <f aca="false">VLOOKUP(#REF!,'[1]Listas Desplegables'!$H$3:$J$7,2,FALSE())</f>
        <v>#VALUE!</v>
      </c>
      <c r="B36" s="68" t="e">
        <f aca="false">VLOOKUP(#REF!,'[1]Listas Desplegables'!$H$3:$J$7,3,FALSE())</f>
        <v>#VALUE!</v>
      </c>
      <c r="C36" s="85" t="n">
        <v>31</v>
      </c>
      <c r="D36" s="94"/>
      <c r="E36" s="94"/>
      <c r="F36" s="109"/>
      <c r="G36" s="109"/>
      <c r="H36" s="109"/>
      <c r="I36" s="94"/>
      <c r="J36" s="87"/>
      <c r="K36" s="88"/>
      <c r="L36" s="89"/>
      <c r="M36" s="89"/>
      <c r="N36" s="88"/>
      <c r="O36" s="91"/>
    </row>
    <row r="37" customFormat="false" ht="15" hidden="false" customHeight="false" outlineLevel="0" collapsed="false">
      <c r="A37" s="68" t="e">
        <f aca="false">VLOOKUP(#REF!,'[1]Listas Desplegables'!$H$3:$J$7,2,FALSE())</f>
        <v>#VALUE!</v>
      </c>
      <c r="B37" s="68" t="e">
        <f aca="false">VLOOKUP(#REF!,'[1]Listas Desplegables'!$H$3:$J$7,3,FALSE())</f>
        <v>#VALUE!</v>
      </c>
      <c r="C37" s="85" t="n">
        <v>32</v>
      </c>
      <c r="D37" s="94"/>
      <c r="E37" s="94"/>
      <c r="F37" s="109"/>
      <c r="G37" s="109"/>
      <c r="H37" s="109"/>
      <c r="I37" s="94"/>
      <c r="J37" s="87"/>
      <c r="K37" s="88"/>
      <c r="L37" s="89"/>
      <c r="M37" s="89"/>
      <c r="N37" s="88"/>
      <c r="O37" s="91"/>
    </row>
    <row r="38" customFormat="false" ht="15" hidden="false" customHeight="false" outlineLevel="0" collapsed="false">
      <c r="A38" s="68" t="e">
        <f aca="false">VLOOKUP(#REF!,'[1]Listas Desplegables'!$H$3:$J$7,2,FALSE())</f>
        <v>#VALUE!</v>
      </c>
      <c r="B38" s="68" t="e">
        <f aca="false">VLOOKUP(#REF!,'[1]Listas Desplegables'!$H$3:$J$7,3,FALSE())</f>
        <v>#VALUE!</v>
      </c>
      <c r="C38" s="85" t="n">
        <v>33</v>
      </c>
      <c r="D38" s="94"/>
      <c r="E38" s="94"/>
      <c r="F38" s="109"/>
      <c r="G38" s="109"/>
      <c r="H38" s="109"/>
      <c r="I38" s="94"/>
      <c r="J38" s="87"/>
      <c r="K38" s="88"/>
      <c r="L38" s="89"/>
      <c r="M38" s="89"/>
      <c r="N38" s="88"/>
      <c r="O38" s="91"/>
    </row>
    <row r="39" customFormat="false" ht="15" hidden="false" customHeight="false" outlineLevel="0" collapsed="false">
      <c r="A39" s="68" t="e">
        <f aca="false">VLOOKUP(#REF!,'[1]Listas Desplegables'!$H$3:$J$7,2,FALSE())</f>
        <v>#VALUE!</v>
      </c>
      <c r="B39" s="68" t="e">
        <f aca="false">VLOOKUP(#REF!,'[1]Listas Desplegables'!$H$3:$J$7,3,FALSE())</f>
        <v>#VALUE!</v>
      </c>
      <c r="C39" s="85" t="n">
        <v>34</v>
      </c>
      <c r="D39" s="94"/>
      <c r="E39" s="94"/>
      <c r="F39" s="109"/>
      <c r="G39" s="109"/>
      <c r="H39" s="109"/>
      <c r="I39" s="94"/>
      <c r="J39" s="87"/>
      <c r="K39" s="88"/>
      <c r="L39" s="89"/>
      <c r="M39" s="89"/>
      <c r="N39" s="88"/>
      <c r="O39" s="91"/>
    </row>
    <row r="40" customFormat="false" ht="15" hidden="false" customHeight="false" outlineLevel="0" collapsed="false">
      <c r="A40" s="68" t="e">
        <f aca="false">VLOOKUP(#REF!,'[1]Listas Desplegables'!$H$3:$J$7,2,FALSE())</f>
        <v>#VALUE!</v>
      </c>
      <c r="B40" s="68" t="e">
        <f aca="false">VLOOKUP(#REF!,'[1]Listas Desplegables'!$H$3:$J$7,3,FALSE())</f>
        <v>#VALUE!</v>
      </c>
      <c r="C40" s="85" t="n">
        <v>35</v>
      </c>
      <c r="D40" s="94"/>
      <c r="E40" s="94"/>
      <c r="F40" s="109"/>
      <c r="G40" s="109"/>
      <c r="H40" s="109"/>
      <c r="I40" s="94"/>
      <c r="J40" s="87"/>
      <c r="K40" s="88"/>
      <c r="L40" s="89"/>
      <c r="M40" s="89"/>
      <c r="N40" s="88"/>
      <c r="O40" s="91"/>
    </row>
    <row r="41" customFormat="false" ht="15" hidden="false" customHeight="false" outlineLevel="0" collapsed="false">
      <c r="A41" s="68" t="e">
        <f aca="false">VLOOKUP(#REF!,'[1]Listas Desplegables'!$H$3:$J$7,2,FALSE())</f>
        <v>#VALUE!</v>
      </c>
      <c r="B41" s="68" t="e">
        <f aca="false">VLOOKUP(#REF!,'[1]Listas Desplegables'!$H$3:$J$7,3,FALSE())</f>
        <v>#VALUE!</v>
      </c>
      <c r="C41" s="85" t="n">
        <v>36</v>
      </c>
      <c r="D41" s="94"/>
      <c r="E41" s="94"/>
      <c r="F41" s="109"/>
      <c r="G41" s="109"/>
      <c r="H41" s="109"/>
      <c r="I41" s="94"/>
      <c r="J41" s="87"/>
      <c r="K41" s="88"/>
      <c r="L41" s="89"/>
      <c r="M41" s="89"/>
      <c r="N41" s="88"/>
      <c r="O41" s="91"/>
    </row>
    <row r="42" customFormat="false" ht="15" hidden="false" customHeight="false" outlineLevel="0" collapsed="false">
      <c r="A42" s="68" t="e">
        <f aca="false">VLOOKUP(#REF!,'[1]Listas Desplegables'!$H$3:$J$7,2,FALSE())</f>
        <v>#VALUE!</v>
      </c>
      <c r="B42" s="68" t="e">
        <f aca="false">VLOOKUP(#REF!,'[1]Listas Desplegables'!$H$3:$J$7,3,FALSE())</f>
        <v>#VALUE!</v>
      </c>
      <c r="C42" s="85" t="n">
        <v>37</v>
      </c>
      <c r="D42" s="94"/>
      <c r="E42" s="94"/>
      <c r="F42" s="109"/>
      <c r="G42" s="109"/>
      <c r="H42" s="109"/>
      <c r="I42" s="94"/>
      <c r="J42" s="87"/>
      <c r="K42" s="88"/>
      <c r="L42" s="89"/>
      <c r="M42" s="89"/>
      <c r="N42" s="88"/>
      <c r="O42" s="91"/>
    </row>
    <row r="43" customFormat="false" ht="15" hidden="false" customHeight="false" outlineLevel="0" collapsed="false">
      <c r="A43" s="68" t="e">
        <f aca="false">VLOOKUP(#REF!,'[1]Listas Desplegables'!$H$3:$J$7,2,FALSE())</f>
        <v>#VALUE!</v>
      </c>
      <c r="B43" s="68" t="e">
        <f aca="false">VLOOKUP(#REF!,'[1]Listas Desplegables'!$H$3:$J$7,3,FALSE())</f>
        <v>#VALUE!</v>
      </c>
      <c r="C43" s="85" t="n">
        <v>38</v>
      </c>
      <c r="D43" s="94"/>
      <c r="E43" s="94"/>
      <c r="F43" s="109"/>
      <c r="G43" s="109"/>
      <c r="H43" s="109"/>
      <c r="I43" s="94"/>
      <c r="J43" s="87"/>
      <c r="K43" s="88"/>
      <c r="L43" s="89"/>
      <c r="M43" s="89"/>
      <c r="N43" s="88"/>
      <c r="O43" s="91"/>
    </row>
    <row r="44" customFormat="false" ht="15" hidden="false" customHeight="false" outlineLevel="0" collapsed="false">
      <c r="A44" s="68" t="e">
        <f aca="false">VLOOKUP(#REF!,'[1]Listas Desplegables'!$H$3:$J$7,2,FALSE())</f>
        <v>#VALUE!</v>
      </c>
      <c r="B44" s="68" t="e">
        <f aca="false">VLOOKUP(#REF!,'[1]Listas Desplegables'!$H$3:$J$7,3,FALSE())</f>
        <v>#VALUE!</v>
      </c>
      <c r="C44" s="92" t="n">
        <v>39</v>
      </c>
      <c r="D44" s="94"/>
      <c r="E44" s="94"/>
      <c r="F44" s="109"/>
      <c r="G44" s="109"/>
      <c r="H44" s="109"/>
      <c r="I44" s="94"/>
      <c r="J44" s="87"/>
      <c r="K44" s="88"/>
      <c r="L44" s="89"/>
      <c r="M44" s="89"/>
      <c r="N44" s="88"/>
      <c r="O44" s="91"/>
    </row>
    <row r="45" customFormat="false" ht="15" hidden="false" customHeight="false" outlineLevel="0" collapsed="false">
      <c r="A45" s="68" t="e">
        <f aca="false">VLOOKUP(#REF!,'[1]Listas Desplegables'!$H$3:$J$7,2,FALSE())</f>
        <v>#VALUE!</v>
      </c>
      <c r="B45" s="68" t="e">
        <f aca="false">VLOOKUP(#REF!,'[1]Listas Desplegables'!$H$3:$J$7,3,FALSE())</f>
        <v>#VALUE!</v>
      </c>
      <c r="C45" s="93" t="n">
        <v>40</v>
      </c>
      <c r="D45" s="94"/>
      <c r="E45" s="94"/>
      <c r="F45" s="109"/>
      <c r="G45" s="109"/>
      <c r="H45" s="109"/>
      <c r="I45" s="94"/>
      <c r="J45" s="87"/>
      <c r="K45" s="88"/>
      <c r="L45" s="89"/>
      <c r="M45" s="89"/>
      <c r="N45" s="88"/>
      <c r="O45" s="91"/>
    </row>
    <row r="46" customFormat="false" ht="15" hidden="false" customHeight="false" outlineLevel="0" collapsed="false">
      <c r="A46" s="68" t="e">
        <f aca="false">VLOOKUP(#REF!,'[1]Listas Desplegables'!$H$3:$J$7,2,FALSE())</f>
        <v>#VALUE!</v>
      </c>
      <c r="B46" s="68" t="e">
        <f aca="false">VLOOKUP(#REF!,'[1]Listas Desplegables'!$H$3:$J$7,3,FALSE())</f>
        <v>#VALUE!</v>
      </c>
      <c r="C46" s="92" t="n">
        <v>41</v>
      </c>
      <c r="D46" s="94"/>
      <c r="E46" s="94"/>
      <c r="F46" s="109"/>
      <c r="G46" s="109"/>
      <c r="H46" s="109"/>
      <c r="I46" s="94"/>
      <c r="J46" s="87"/>
      <c r="K46" s="88"/>
      <c r="L46" s="89"/>
      <c r="M46" s="89"/>
      <c r="N46" s="88"/>
      <c r="O46" s="91"/>
    </row>
    <row r="47" customFormat="false" ht="15" hidden="false" customHeight="false" outlineLevel="0" collapsed="false">
      <c r="A47" s="68" t="e">
        <f aca="false">VLOOKUP(#REF!,'[1]Listas Desplegables'!$H$3:$J$7,2,FALSE())</f>
        <v>#VALUE!</v>
      </c>
      <c r="B47" s="68" t="e">
        <f aca="false">VLOOKUP(#REF!,'[1]Listas Desplegables'!$H$3:$J$7,3,FALSE())</f>
        <v>#VALUE!</v>
      </c>
      <c r="C47" s="85" t="n">
        <v>42</v>
      </c>
      <c r="D47" s="94"/>
      <c r="E47" s="94"/>
      <c r="F47" s="109"/>
      <c r="G47" s="109"/>
      <c r="H47" s="109"/>
      <c r="I47" s="94"/>
      <c r="J47" s="87"/>
      <c r="K47" s="88"/>
      <c r="L47" s="89"/>
      <c r="M47" s="89"/>
      <c r="N47" s="88"/>
      <c r="O47" s="91"/>
    </row>
    <row r="48" customFormat="false" ht="15" hidden="false" customHeight="false" outlineLevel="0" collapsed="false">
      <c r="A48" s="68" t="e">
        <f aca="false">VLOOKUP(#REF!,'[1]Listas Desplegables'!$H$3:$J$7,2,FALSE())</f>
        <v>#VALUE!</v>
      </c>
      <c r="B48" s="68" t="e">
        <f aca="false">VLOOKUP(#REF!,'[1]Listas Desplegables'!$H$3:$J$7,3,FALSE())</f>
        <v>#VALUE!</v>
      </c>
      <c r="C48" s="85" t="n">
        <v>43</v>
      </c>
      <c r="D48" s="94"/>
      <c r="E48" s="94"/>
      <c r="F48" s="109"/>
      <c r="G48" s="109"/>
      <c r="H48" s="109"/>
      <c r="I48" s="94"/>
      <c r="J48" s="87"/>
      <c r="K48" s="88"/>
      <c r="L48" s="89"/>
      <c r="M48" s="89"/>
      <c r="N48" s="88"/>
      <c r="O48" s="91"/>
    </row>
    <row r="49" customFormat="false" ht="15" hidden="false" customHeight="false" outlineLevel="0" collapsed="false">
      <c r="A49" s="68" t="e">
        <f aca="false">VLOOKUP(#REF!,'[1]Listas Desplegables'!$H$3:$J$7,2,FALSE())</f>
        <v>#VALUE!</v>
      </c>
      <c r="B49" s="68" t="e">
        <f aca="false">VLOOKUP(#REF!,'[1]Listas Desplegables'!$H$3:$J$7,3,FALSE())</f>
        <v>#VALUE!</v>
      </c>
      <c r="C49" s="85" t="n">
        <v>44</v>
      </c>
      <c r="D49" s="94"/>
      <c r="E49" s="94"/>
      <c r="F49" s="109"/>
      <c r="G49" s="109"/>
      <c r="H49" s="109"/>
      <c r="I49" s="94"/>
      <c r="J49" s="87"/>
      <c r="K49" s="88"/>
      <c r="L49" s="89"/>
      <c r="M49" s="89"/>
      <c r="N49" s="88"/>
      <c r="O49" s="91"/>
    </row>
    <row r="50" customFormat="false" ht="15" hidden="false" customHeight="false" outlineLevel="0" collapsed="false">
      <c r="A50" s="68" t="e">
        <f aca="false">VLOOKUP(#REF!,'[1]Listas Desplegables'!$H$3:$J$7,2,FALSE())</f>
        <v>#VALUE!</v>
      </c>
      <c r="B50" s="68" t="e">
        <f aca="false">VLOOKUP(#REF!,'[1]Listas Desplegables'!$H$3:$J$7,3,FALSE())</f>
        <v>#VALUE!</v>
      </c>
      <c r="C50" s="85" t="n">
        <v>45</v>
      </c>
      <c r="D50" s="94"/>
      <c r="E50" s="94"/>
      <c r="F50" s="109"/>
      <c r="G50" s="109"/>
      <c r="H50" s="109"/>
      <c r="I50" s="94"/>
      <c r="J50" s="87"/>
      <c r="K50" s="88"/>
      <c r="L50" s="89"/>
      <c r="M50" s="89"/>
      <c r="N50" s="88"/>
      <c r="O50" s="91"/>
    </row>
    <row r="51" customFormat="false" ht="15" hidden="false" customHeight="false" outlineLevel="0" collapsed="false">
      <c r="A51" s="68" t="e">
        <f aca="false">VLOOKUP(#REF!,'[1]Listas Desplegables'!$H$3:$J$7,2,FALSE())</f>
        <v>#VALUE!</v>
      </c>
      <c r="B51" s="68" t="e">
        <f aca="false">VLOOKUP(#REF!,'[1]Listas Desplegables'!$H$3:$J$7,3,FALSE())</f>
        <v>#VALUE!</v>
      </c>
      <c r="C51" s="85" t="n">
        <v>46</v>
      </c>
      <c r="D51" s="94"/>
      <c r="E51" s="94"/>
      <c r="F51" s="109"/>
      <c r="G51" s="109"/>
      <c r="H51" s="109"/>
      <c r="I51" s="94"/>
      <c r="J51" s="87"/>
      <c r="K51" s="88"/>
      <c r="L51" s="89"/>
      <c r="M51" s="89"/>
      <c r="N51" s="88"/>
      <c r="O51" s="91"/>
    </row>
    <row r="52" customFormat="false" ht="15" hidden="false" customHeight="false" outlineLevel="0" collapsed="false">
      <c r="A52" s="68" t="e">
        <f aca="false">VLOOKUP(#REF!,'[1]Listas Desplegables'!$H$3:$J$7,2,FALSE())</f>
        <v>#VALUE!</v>
      </c>
      <c r="B52" s="68" t="e">
        <f aca="false">VLOOKUP(#REF!,'[1]Listas Desplegables'!$H$3:$J$7,3,FALSE())</f>
        <v>#VALUE!</v>
      </c>
      <c r="C52" s="85" t="n">
        <v>47</v>
      </c>
      <c r="D52" s="94"/>
      <c r="E52" s="94"/>
      <c r="F52" s="109"/>
      <c r="G52" s="109"/>
      <c r="H52" s="109"/>
      <c r="I52" s="94"/>
      <c r="J52" s="87"/>
      <c r="K52" s="88"/>
      <c r="L52" s="89"/>
      <c r="M52" s="89"/>
      <c r="N52" s="88"/>
      <c r="O52" s="91"/>
    </row>
    <row r="53" customFormat="false" ht="15" hidden="false" customHeight="false" outlineLevel="0" collapsed="false">
      <c r="A53" s="68" t="e">
        <f aca="false">VLOOKUP(#REF!,'[1]Listas Desplegables'!$H$3:$J$7,2,FALSE())</f>
        <v>#VALUE!</v>
      </c>
      <c r="B53" s="68" t="e">
        <f aca="false">VLOOKUP(#REF!,'[1]Listas Desplegables'!$H$3:$J$7,3,FALSE())</f>
        <v>#VALUE!</v>
      </c>
      <c r="C53" s="85" t="n">
        <v>48</v>
      </c>
      <c r="D53" s="94"/>
      <c r="E53" s="94"/>
      <c r="F53" s="109"/>
      <c r="G53" s="109"/>
      <c r="H53" s="109"/>
      <c r="I53" s="94"/>
      <c r="J53" s="87"/>
      <c r="K53" s="88"/>
      <c r="L53" s="89"/>
      <c r="M53" s="89"/>
      <c r="N53" s="88"/>
      <c r="O53" s="91"/>
    </row>
    <row r="54" customFormat="false" ht="15" hidden="false" customHeight="false" outlineLevel="0" collapsed="false">
      <c r="A54" s="68" t="e">
        <f aca="false">VLOOKUP(#REF!,'[1]Listas Desplegables'!$H$3:$J$7,2,FALSE())</f>
        <v>#VALUE!</v>
      </c>
      <c r="B54" s="68" t="e">
        <f aca="false">VLOOKUP(#REF!,'[1]Listas Desplegables'!$H$3:$J$7,3,FALSE())</f>
        <v>#VALUE!</v>
      </c>
      <c r="C54" s="85" t="n">
        <v>49</v>
      </c>
      <c r="D54" s="94"/>
      <c r="E54" s="94"/>
      <c r="F54" s="109"/>
      <c r="G54" s="109"/>
      <c r="H54" s="109"/>
      <c r="I54" s="94"/>
      <c r="J54" s="87"/>
      <c r="K54" s="88"/>
      <c r="L54" s="89"/>
      <c r="M54" s="89"/>
      <c r="N54" s="88"/>
      <c r="O54" s="91"/>
    </row>
    <row r="55" customFormat="false" ht="15" hidden="false" customHeight="false" outlineLevel="0" collapsed="false">
      <c r="A55" s="68" t="e">
        <f aca="false">VLOOKUP(#REF!,'[1]Listas Desplegables'!$H$3:$J$7,2,FALSE())</f>
        <v>#VALUE!</v>
      </c>
      <c r="B55" s="68" t="e">
        <f aca="false">VLOOKUP(#REF!,'[1]Listas Desplegables'!$H$3:$J$7,3,FALSE())</f>
        <v>#VALUE!</v>
      </c>
      <c r="C55" s="92" t="n">
        <v>50</v>
      </c>
      <c r="D55" s="94"/>
      <c r="E55" s="94"/>
      <c r="F55" s="109"/>
      <c r="G55" s="109"/>
      <c r="H55" s="109"/>
      <c r="I55" s="94"/>
      <c r="J55" s="87"/>
      <c r="K55" s="88"/>
      <c r="L55" s="89"/>
      <c r="M55" s="89"/>
      <c r="N55" s="88"/>
      <c r="O55" s="91"/>
    </row>
    <row r="56" customFormat="false" ht="15" hidden="false" customHeight="false" outlineLevel="0" collapsed="false">
      <c r="A56" s="68" t="e">
        <f aca="false">VLOOKUP(#REF!,'[1]Listas Desplegables'!$H$3:$J$7,2,FALSE())</f>
        <v>#VALUE!</v>
      </c>
      <c r="B56" s="68" t="e">
        <f aca="false">VLOOKUP(#REF!,'[1]Listas Desplegables'!$H$3:$J$7,3,FALSE())</f>
        <v>#VALUE!</v>
      </c>
      <c r="C56" s="85" t="n">
        <v>51</v>
      </c>
      <c r="D56" s="94"/>
      <c r="E56" s="94"/>
      <c r="F56" s="109"/>
      <c r="G56" s="109"/>
      <c r="H56" s="109"/>
      <c r="I56" s="94"/>
      <c r="J56" s="87"/>
      <c r="K56" s="88"/>
      <c r="L56" s="89"/>
      <c r="M56" s="89"/>
      <c r="N56" s="88"/>
      <c r="O56" s="91"/>
    </row>
    <row r="57" customFormat="false" ht="15.75" hidden="false" customHeight="false" outlineLevel="0" collapsed="false">
      <c r="A57" s="68" t="e">
        <f aca="false">VLOOKUP(#REF!,'[1]Listas Desplegables'!$H$3:$J$7,2,FALSE())</f>
        <v>#VALUE!</v>
      </c>
      <c r="B57" s="68" t="e">
        <f aca="false">VLOOKUP(#REF!,'[1]Listas Desplegables'!$H$3:$J$7,3,FALSE())</f>
        <v>#VALUE!</v>
      </c>
      <c r="C57" s="97" t="s">
        <v>452</v>
      </c>
      <c r="D57" s="98"/>
      <c r="E57" s="98"/>
      <c r="F57" s="98"/>
      <c r="G57" s="98"/>
      <c r="H57" s="98"/>
      <c r="I57" s="98"/>
      <c r="J57" s="98"/>
      <c r="K57" s="99"/>
      <c r="L57" s="99"/>
      <c r="M57" s="99"/>
      <c r="N57" s="99"/>
      <c r="O57" s="101"/>
    </row>
  </sheetData>
  <mergeCells count="14">
    <mergeCell ref="C3:O3"/>
    <mergeCell ref="C4:C5"/>
    <mergeCell ref="D4:D5"/>
    <mergeCell ref="E4:E5"/>
    <mergeCell ref="F4:F5"/>
    <mergeCell ref="G4:G5"/>
    <mergeCell ref="H4:H5"/>
    <mergeCell ref="I4:I5"/>
    <mergeCell ref="J4:J5"/>
    <mergeCell ref="K4:K5"/>
    <mergeCell ref="L4:L5"/>
    <mergeCell ref="M4:M5"/>
    <mergeCell ref="N4:N5"/>
    <mergeCell ref="O4:O5"/>
  </mergeCells>
  <dataValidations count="6">
    <dataValidation allowBlank="true" errorStyle="stop" operator="greaterThan" showDropDown="false" showErrorMessage="true" showInputMessage="true" sqref="H6:H1057" type="date">
      <formula1>36526</formula1>
      <formula2>0</formula2>
    </dataValidation>
    <dataValidation allowBlank="true" errorStyle="stop" operator="between" showDropDown="false" showErrorMessage="true" showInputMessage="true" sqref="J6:K1057" type="decimal">
      <formula1>-1000000000</formula1>
      <formula2>10000000000000</formula2>
    </dataValidation>
    <dataValidation allowBlank="true" errorStyle="stop" operator="between" showDropDown="false" showErrorMessage="true" showInputMessage="true" sqref="F6:F1057" type="decimal">
      <formula1>-10000000</formula1>
      <formula2>1000000000</formula2>
    </dataValidation>
    <dataValidation allowBlank="true" errorStyle="stop" operator="between" showDropDown="false" showErrorMessage="true" showInputMessage="true" sqref="I58:I1057" type="list">
      <formula1>'c:\users\aacosta\downloads\[circular_002_anexo.xlsx]listas desplegables'!#ref!</formula1>
      <formula2>0</formula2>
    </dataValidation>
    <dataValidation allowBlank="true" errorStyle="stop" operator="between" showDropDown="false" showErrorMessage="true" showInputMessage="true" sqref="G6:G1057" type="list">
      <formula1>'Listas Desplegables'!$B$86:$B$87</formula1>
      <formula2>0</formula2>
    </dataValidation>
    <dataValidation allowBlank="true" errorStyle="stop" operator="between" showDropDown="false" showErrorMessage="true" showInputMessage="true" sqref="N6:N57" type="list">
      <formula1>'Listas Desplegables'!$B$90:$B$93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9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J36" activeCellId="0" sqref="J36"/>
    </sheetView>
  </sheetViews>
  <sheetFormatPr defaultColWidth="11.57421875" defaultRowHeight="15" zeroHeight="false" outlineLevelRow="0" outlineLevelCol="0"/>
  <cols>
    <col collapsed="false" customWidth="true" hidden="false" outlineLevel="0" max="1" min="1" style="0" width="3.72"/>
    <col collapsed="false" customWidth="true" hidden="false" outlineLevel="0" max="2" min="2" style="0" width="49.14"/>
    <col collapsed="false" customWidth="true" hidden="false" outlineLevel="0" max="3" min="3" style="0" width="4.86"/>
    <col collapsed="false" customWidth="true" hidden="false" outlineLevel="0" max="5" min="5" style="68" width="20.29"/>
    <col collapsed="false" customWidth="true" hidden="false" outlineLevel="0" max="7" min="6" style="68" width="11.43"/>
    <col collapsed="false" customWidth="true" hidden="false" outlineLevel="0" max="8" min="8" style="68" width="32.57"/>
    <col collapsed="false" customWidth="true" hidden="false" outlineLevel="0" max="9" min="9" style="68" width="12.43"/>
    <col collapsed="false" customWidth="true" hidden="false" outlineLevel="0" max="10" min="10" style="68" width="22.14"/>
    <col collapsed="false" customWidth="true" hidden="false" outlineLevel="0" max="19" min="11" style="68" width="11.43"/>
  </cols>
  <sheetData>
    <row r="2" customFormat="false" ht="15" hidden="false" customHeight="false" outlineLevel="0" collapsed="false">
      <c r="B2" s="131" t="s">
        <v>917</v>
      </c>
    </row>
    <row r="3" customFormat="false" ht="15" hidden="false" customHeight="false" outlineLevel="0" collapsed="false">
      <c r="B3" s="132" t="s">
        <v>918</v>
      </c>
      <c r="E3" s="133" t="s">
        <v>919</v>
      </c>
      <c r="F3" s="68" t="n">
        <v>0</v>
      </c>
      <c r="G3" s="68" t="n">
        <v>100</v>
      </c>
    </row>
    <row r="4" customFormat="false" ht="15" hidden="false" customHeight="false" outlineLevel="0" collapsed="false">
      <c r="B4" s="134" t="s">
        <v>526</v>
      </c>
      <c r="E4" s="68" t="s">
        <v>920</v>
      </c>
      <c r="F4" s="68" t="n">
        <v>0</v>
      </c>
      <c r="G4" s="68" t="n">
        <v>1000</v>
      </c>
    </row>
    <row r="5" customFormat="false" ht="15" hidden="false" customHeight="false" outlineLevel="0" collapsed="false">
      <c r="B5" s="135" t="s">
        <v>219</v>
      </c>
      <c r="E5" s="68" t="s">
        <v>921</v>
      </c>
      <c r="F5" s="68" t="n">
        <v>0</v>
      </c>
      <c r="G5" s="68" t="n">
        <v>1000</v>
      </c>
    </row>
    <row r="6" s="68" customFormat="true" ht="15" hidden="false" customHeight="false" outlineLevel="0" collapsed="false">
      <c r="B6" s="135" t="s">
        <v>290</v>
      </c>
    </row>
    <row r="7" s="68" customFormat="true" ht="15" hidden="false" customHeight="false" outlineLevel="0" collapsed="false">
      <c r="B7" s="136" t="s">
        <v>922</v>
      </c>
      <c r="E7" s="68" t="s">
        <v>923</v>
      </c>
    </row>
    <row r="8" s="68" customFormat="true" ht="15" hidden="false" customHeight="false" outlineLevel="0" collapsed="false">
      <c r="B8" s="137" t="s">
        <v>220</v>
      </c>
      <c r="E8" s="68" t="s">
        <v>924</v>
      </c>
      <c r="F8" s="68" t="s">
        <v>925</v>
      </c>
      <c r="G8" s="68" t="s">
        <v>926</v>
      </c>
      <c r="H8" s="68" t="s">
        <v>927</v>
      </c>
      <c r="I8" s="68" t="s">
        <v>928</v>
      </c>
      <c r="J8" s="68" t="s">
        <v>929</v>
      </c>
    </row>
    <row r="9" s="68" customFormat="true" ht="15" hidden="false" customHeight="false" outlineLevel="0" collapsed="false">
      <c r="B9" s="137" t="s">
        <v>241</v>
      </c>
      <c r="E9" s="68" t="s">
        <v>930</v>
      </c>
      <c r="F9" s="68" t="s">
        <v>931</v>
      </c>
      <c r="G9" s="68" t="s">
        <v>932</v>
      </c>
      <c r="H9" s="68" t="s">
        <v>933</v>
      </c>
      <c r="I9" s="68" t="s">
        <v>934</v>
      </c>
      <c r="J9" s="68" t="s">
        <v>935</v>
      </c>
    </row>
    <row r="10" s="68" customFormat="true" ht="15" hidden="false" customHeight="false" outlineLevel="0" collapsed="false">
      <c r="B10" s="136" t="s">
        <v>42</v>
      </c>
      <c r="H10" s="68" t="s">
        <v>936</v>
      </c>
    </row>
    <row r="11" s="68" customFormat="true" ht="15" hidden="false" customHeight="false" outlineLevel="0" collapsed="false">
      <c r="B11" s="137" t="s">
        <v>221</v>
      </c>
    </row>
    <row r="12" s="68" customFormat="true" ht="15" hidden="false" customHeight="false" outlineLevel="0" collapsed="false">
      <c r="B12" s="137" t="s">
        <v>395</v>
      </c>
    </row>
    <row r="13" s="68" customFormat="true" ht="15" hidden="false" customHeight="false" outlineLevel="0" collapsed="false"/>
    <row r="14" customFormat="false" ht="15" hidden="false" customHeight="false" outlineLevel="0" collapsed="false">
      <c r="B14" s="131" t="s">
        <v>937</v>
      </c>
    </row>
    <row r="15" customFormat="false" ht="15" hidden="false" customHeight="false" outlineLevel="0" collapsed="false">
      <c r="B15" s="132" t="s">
        <v>42</v>
      </c>
    </row>
    <row r="16" customFormat="false" ht="15" hidden="false" customHeight="false" outlineLevel="0" collapsed="false">
      <c r="B16" s="137" t="s">
        <v>221</v>
      </c>
    </row>
    <row r="17" customFormat="false" ht="15" hidden="false" customHeight="false" outlineLevel="0" collapsed="false">
      <c r="B17" s="137" t="s">
        <v>395</v>
      </c>
    </row>
    <row r="18" customFormat="false" ht="15" hidden="false" customHeight="false" outlineLevel="0" collapsed="false">
      <c r="B18" s="132" t="s">
        <v>938</v>
      </c>
    </row>
    <row r="19" customFormat="false" ht="15" hidden="false" customHeight="false" outlineLevel="0" collapsed="false">
      <c r="B19" s="137" t="s">
        <v>526</v>
      </c>
    </row>
    <row r="20" customFormat="false" ht="15" hidden="false" customHeight="false" outlineLevel="0" collapsed="false">
      <c r="B20" s="137" t="s">
        <v>219</v>
      </c>
    </row>
    <row r="21" customFormat="false" ht="15" hidden="false" customHeight="false" outlineLevel="0" collapsed="false">
      <c r="B21" s="137" t="s">
        <v>290</v>
      </c>
    </row>
    <row r="23" customFormat="false" ht="15" hidden="false" customHeight="false" outlineLevel="0" collapsed="false">
      <c r="B23" s="131" t="s">
        <v>939</v>
      </c>
    </row>
    <row r="24" customFormat="false" ht="15" hidden="false" customHeight="false" outlineLevel="0" collapsed="false">
      <c r="B24" s="132" t="s">
        <v>42</v>
      </c>
    </row>
    <row r="25" customFormat="false" ht="15" hidden="false" customHeight="false" outlineLevel="0" collapsed="false">
      <c r="B25" s="137" t="s">
        <v>221</v>
      </c>
    </row>
    <row r="26" customFormat="false" ht="15" hidden="false" customHeight="false" outlineLevel="0" collapsed="false">
      <c r="B26" s="137" t="s">
        <v>395</v>
      </c>
    </row>
    <row r="27" customFormat="false" ht="15" hidden="false" customHeight="false" outlineLevel="0" collapsed="false">
      <c r="B27" s="132" t="s">
        <v>938</v>
      </c>
    </row>
    <row r="28" customFormat="false" ht="15" hidden="false" customHeight="false" outlineLevel="0" collapsed="false">
      <c r="B28" s="137" t="s">
        <v>526</v>
      </c>
    </row>
    <row r="29" customFormat="false" ht="15" hidden="false" customHeight="false" outlineLevel="0" collapsed="false">
      <c r="B29" s="137" t="s">
        <v>219</v>
      </c>
    </row>
    <row r="30" customFormat="false" ht="15" hidden="false" customHeight="false" outlineLevel="0" collapsed="false">
      <c r="B30" s="137" t="s">
        <v>290</v>
      </c>
    </row>
    <row r="32" customFormat="false" ht="15" hidden="false" customHeight="false" outlineLevel="0" collapsed="false">
      <c r="B32" s="131" t="s">
        <v>940</v>
      </c>
    </row>
    <row r="33" customFormat="false" ht="15" hidden="false" customHeight="false" outlineLevel="0" collapsed="false">
      <c r="B33" s="132" t="s">
        <v>131</v>
      </c>
    </row>
    <row r="34" customFormat="false" ht="15" hidden="false" customHeight="false" outlineLevel="0" collapsed="false">
      <c r="B34" s="137" t="s">
        <v>720</v>
      </c>
    </row>
    <row r="35" customFormat="false" ht="15" hidden="false" customHeight="false" outlineLevel="0" collapsed="false">
      <c r="B35" s="137" t="s">
        <v>941</v>
      </c>
    </row>
    <row r="36" customFormat="false" ht="15" hidden="false" customHeight="false" outlineLevel="0" collapsed="false">
      <c r="B36" s="137" t="s">
        <v>733</v>
      </c>
    </row>
    <row r="37" customFormat="false" ht="15" hidden="false" customHeight="false" outlineLevel="0" collapsed="false">
      <c r="B37" s="137" t="s">
        <v>751</v>
      </c>
    </row>
    <row r="38" customFormat="false" ht="15" hidden="false" customHeight="false" outlineLevel="0" collapsed="false">
      <c r="B38" s="137" t="s">
        <v>942</v>
      </c>
    </row>
    <row r="39" customFormat="false" ht="15" hidden="false" customHeight="false" outlineLevel="0" collapsed="false">
      <c r="B39" s="137" t="s">
        <v>943</v>
      </c>
    </row>
    <row r="40" customFormat="false" ht="15" hidden="false" customHeight="false" outlineLevel="0" collapsed="false">
      <c r="B40" s="137" t="s">
        <v>726</v>
      </c>
    </row>
    <row r="41" customFormat="false" ht="15" hidden="false" customHeight="false" outlineLevel="0" collapsed="false">
      <c r="B41" s="137" t="s">
        <v>749</v>
      </c>
    </row>
    <row r="42" customFormat="false" ht="15" hidden="false" customHeight="false" outlineLevel="0" collapsed="false">
      <c r="B42" s="137" t="s">
        <v>944</v>
      </c>
    </row>
    <row r="43" customFormat="false" ht="15" hidden="false" customHeight="false" outlineLevel="0" collapsed="false">
      <c r="B43" s="132" t="s">
        <v>40</v>
      </c>
    </row>
    <row r="44" customFormat="false" ht="15" hidden="false" customHeight="false" outlineLevel="0" collapsed="false">
      <c r="B44" s="137" t="s">
        <v>721</v>
      </c>
    </row>
    <row r="45" customFormat="false" ht="15" hidden="false" customHeight="false" outlineLevel="0" collapsed="false">
      <c r="B45" s="137" t="s">
        <v>723</v>
      </c>
    </row>
    <row r="46" customFormat="false" ht="15" hidden="false" customHeight="false" outlineLevel="0" collapsed="false">
      <c r="B46" s="137" t="s">
        <v>752</v>
      </c>
    </row>
    <row r="47" customFormat="false" ht="15" hidden="false" customHeight="false" outlineLevel="0" collapsed="false">
      <c r="B47" s="132" t="s">
        <v>42</v>
      </c>
    </row>
    <row r="48" customFormat="false" ht="15" hidden="false" customHeight="false" outlineLevel="0" collapsed="false">
      <c r="B48" s="137" t="s">
        <v>221</v>
      </c>
    </row>
    <row r="49" customFormat="false" ht="15" hidden="false" customHeight="false" outlineLevel="0" collapsed="false">
      <c r="B49" s="137" t="s">
        <v>395</v>
      </c>
    </row>
    <row r="51" customFormat="false" ht="15" hidden="false" customHeight="false" outlineLevel="0" collapsed="false">
      <c r="B51" s="131" t="s">
        <v>945</v>
      </c>
    </row>
    <row r="52" customFormat="false" ht="15" hidden="false" customHeight="false" outlineLevel="0" collapsed="false">
      <c r="B52" s="132" t="s">
        <v>40</v>
      </c>
    </row>
    <row r="53" customFormat="false" ht="15" hidden="false" customHeight="false" outlineLevel="0" collapsed="false">
      <c r="B53" s="137" t="s">
        <v>801</v>
      </c>
    </row>
    <row r="54" customFormat="false" ht="15" hidden="false" customHeight="false" outlineLevel="0" collapsed="false">
      <c r="B54" s="137" t="s">
        <v>946</v>
      </c>
    </row>
    <row r="55" customFormat="false" ht="15" hidden="false" customHeight="false" outlineLevel="0" collapsed="false">
      <c r="B55" s="137" t="s">
        <v>762</v>
      </c>
    </row>
    <row r="56" customFormat="false" ht="15" hidden="false" customHeight="false" outlineLevel="0" collapsed="false">
      <c r="B56" s="137" t="s">
        <v>947</v>
      </c>
    </row>
    <row r="57" customFormat="false" ht="15" hidden="false" customHeight="false" outlineLevel="0" collapsed="false">
      <c r="B57" s="132" t="s">
        <v>42</v>
      </c>
    </row>
    <row r="58" customFormat="false" ht="15" hidden="false" customHeight="false" outlineLevel="0" collapsed="false">
      <c r="B58" s="137" t="s">
        <v>221</v>
      </c>
    </row>
    <row r="59" customFormat="false" ht="15" hidden="false" customHeight="false" outlineLevel="0" collapsed="false">
      <c r="B59" s="137" t="s">
        <v>395</v>
      </c>
    </row>
    <row r="61" customFormat="false" ht="15" hidden="false" customHeight="false" outlineLevel="0" collapsed="false">
      <c r="B61" s="131" t="s">
        <v>948</v>
      </c>
    </row>
    <row r="62" customFormat="false" ht="15" hidden="false" customHeight="false" outlineLevel="0" collapsed="false">
      <c r="B62" s="132" t="s">
        <v>949</v>
      </c>
    </row>
    <row r="63" customFormat="false" ht="15" hidden="false" customHeight="false" outlineLevel="0" collapsed="false">
      <c r="B63" s="137" t="s">
        <v>950</v>
      </c>
    </row>
    <row r="64" customFormat="false" ht="15" hidden="false" customHeight="false" outlineLevel="0" collapsed="false">
      <c r="B64" s="137" t="s">
        <v>913</v>
      </c>
    </row>
    <row r="65" customFormat="false" ht="15" hidden="false" customHeight="false" outlineLevel="0" collapsed="false">
      <c r="B65" s="132" t="s">
        <v>169</v>
      </c>
    </row>
    <row r="66" customFormat="false" ht="15" hidden="false" customHeight="false" outlineLevel="0" collapsed="false">
      <c r="B66" s="137" t="s">
        <v>914</v>
      </c>
    </row>
    <row r="67" customFormat="false" ht="15" hidden="false" customHeight="false" outlineLevel="0" collapsed="false">
      <c r="B67" s="137" t="s">
        <v>951</v>
      </c>
    </row>
    <row r="68" customFormat="false" ht="15" hidden="false" customHeight="false" outlineLevel="0" collapsed="false">
      <c r="B68" s="132" t="s">
        <v>952</v>
      </c>
    </row>
    <row r="69" customFormat="false" ht="15" hidden="false" customHeight="false" outlineLevel="0" collapsed="false">
      <c r="B69" s="137" t="s">
        <v>221</v>
      </c>
    </row>
    <row r="70" customFormat="false" ht="15" hidden="false" customHeight="false" outlineLevel="0" collapsed="false">
      <c r="B70" s="137" t="s">
        <v>395</v>
      </c>
    </row>
    <row r="71" customFormat="false" ht="15" hidden="false" customHeight="false" outlineLevel="0" collapsed="false">
      <c r="B71" s="132" t="s">
        <v>163</v>
      </c>
    </row>
    <row r="72" customFormat="false" ht="15" hidden="false" customHeight="false" outlineLevel="0" collapsed="false">
      <c r="B72" s="137" t="s">
        <v>912</v>
      </c>
    </row>
    <row r="73" customFormat="false" ht="15" hidden="false" customHeight="false" outlineLevel="0" collapsed="false">
      <c r="B73" s="137" t="s">
        <v>953</v>
      </c>
    </row>
    <row r="75" customFormat="false" ht="15" hidden="false" customHeight="false" outlineLevel="0" collapsed="false">
      <c r="B75" s="131" t="s">
        <v>954</v>
      </c>
    </row>
    <row r="76" customFormat="false" ht="15" hidden="false" customHeight="false" outlineLevel="0" collapsed="false">
      <c r="B76" s="132" t="s">
        <v>174</v>
      </c>
    </row>
    <row r="77" customFormat="false" ht="15" hidden="false" customHeight="false" outlineLevel="0" collapsed="false">
      <c r="B77" s="137" t="s">
        <v>955</v>
      </c>
    </row>
    <row r="78" customFormat="false" ht="15" hidden="false" customHeight="false" outlineLevel="0" collapsed="false">
      <c r="B78" s="137" t="s">
        <v>956</v>
      </c>
    </row>
    <row r="79" customFormat="false" ht="15" hidden="false" customHeight="false" outlineLevel="0" collapsed="false">
      <c r="B79" s="137" t="s">
        <v>957</v>
      </c>
    </row>
    <row r="80" customFormat="false" ht="15" hidden="false" customHeight="false" outlineLevel="0" collapsed="false">
      <c r="B80" s="132" t="s">
        <v>952</v>
      </c>
    </row>
    <row r="81" customFormat="false" ht="15" hidden="false" customHeight="false" outlineLevel="0" collapsed="false">
      <c r="B81" s="137" t="s">
        <v>221</v>
      </c>
    </row>
    <row r="82" customFormat="false" ht="15" hidden="false" customHeight="false" outlineLevel="0" collapsed="false">
      <c r="B82" s="137" t="s">
        <v>395</v>
      </c>
    </row>
    <row r="84" customFormat="false" ht="15" hidden="false" customHeight="false" outlineLevel="0" collapsed="false">
      <c r="B84" s="131" t="s">
        <v>958</v>
      </c>
    </row>
    <row r="85" customFormat="false" ht="15" hidden="false" customHeight="false" outlineLevel="0" collapsed="false">
      <c r="B85" s="132" t="s">
        <v>952</v>
      </c>
    </row>
    <row r="86" customFormat="false" ht="15" hidden="false" customHeight="false" outlineLevel="0" collapsed="false">
      <c r="B86" s="137" t="s">
        <v>959</v>
      </c>
    </row>
    <row r="87" customFormat="false" ht="15" hidden="false" customHeight="false" outlineLevel="0" collapsed="false">
      <c r="B87" s="137" t="s">
        <v>395</v>
      </c>
    </row>
    <row r="89" customFormat="false" ht="15" hidden="false" customHeight="false" outlineLevel="0" collapsed="false">
      <c r="B89" s="131" t="s">
        <v>60</v>
      </c>
    </row>
    <row r="90" customFormat="false" ht="15" hidden="false" customHeight="false" outlineLevel="0" collapsed="false">
      <c r="B90" s="137" t="s">
        <v>44</v>
      </c>
    </row>
    <row r="91" customFormat="false" ht="15" hidden="false" customHeight="false" outlineLevel="0" collapsed="false">
      <c r="B91" s="137" t="s">
        <v>47</v>
      </c>
    </row>
    <row r="92" customFormat="false" ht="15" hidden="false" customHeight="false" outlineLevel="0" collapsed="false">
      <c r="B92" s="137" t="s">
        <v>50</v>
      </c>
    </row>
    <row r="93" customFormat="false" ht="15" hidden="false" customHeight="false" outlineLevel="0" collapsed="false">
      <c r="B93" s="137" t="s">
        <v>53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1338</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2021-11-10T19:20:41Z</dcterms:created>
  <dc:creator>Carlos Andrés Torres</dc:creator>
  <dc:description/>
  <dc:language>en-GB</dc:language>
  <cp:lastModifiedBy/>
  <dcterms:modified xsi:type="dcterms:W3CDTF">2026-04-28T12:26:02Z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