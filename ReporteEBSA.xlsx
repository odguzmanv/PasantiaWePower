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pemartinez\Desktop\Creg 101_094\"/>
    </mc:Choice>
  </mc:AlternateContent>
  <xr:revisionPtr revIDLastSave="0" documentId="8_{3B4C1C34-E51C-4112-8200-8DD861C73CB4}" xr6:coauthVersionLast="47" xr6:coauthVersionMax="47" xr10:uidLastSave="{00000000-0000-0000-0000-000000000000}"/>
  <bookViews>
    <workbookView xWindow="28680" yWindow="-120" windowWidth="29040" windowHeight="15720" tabRatio="718" xr2:uid="{00000000-000D-0000-FFFF-FFFF00000000}"/>
  </bookViews>
  <sheets>
    <sheet name="Manual de Uso" sheetId="5" r:id="rId1"/>
    <sheet name="1. Líneas" sheetId="4" r:id="rId2"/>
    <sheet name="2. Tr3" sheetId="6" r:id="rId3"/>
    <sheet name="3. Tr2" sheetId="7" r:id="rId4"/>
    <sheet name="4. Subestaciones" sheetId="9" r:id="rId5"/>
    <sheet name="5. Demanda" sheetId="12" r:id="rId6"/>
    <sheet name="6. Compensacion" sheetId="8" r:id="rId7"/>
    <sheet name="7. Compensacion dinamica" sheetId="10" r:id="rId8"/>
    <sheet name="8. DFACTS" sheetId="11" r:id="rId9"/>
    <sheet name="Listas Desplegables" sheetId="13" r:id="rId10"/>
  </sheets>
  <externalReferences>
    <externalReference r:id="rId11"/>
  </externalReferences>
  <definedNames>
    <definedName name="Agua">'Listas Desplegables'!#REF!</definedName>
    <definedName name="Biomasa">'Listas Desplegables'!$H$9:$H$10</definedName>
    <definedName name="Carbón">'Listas Desplegables'!#REF!</definedName>
    <definedName name="Crudo_Pesado">'Listas Desplegables'!#REF!</definedName>
    <definedName name="Cultivo_Energético">'Listas Desplegables'!#REF!</definedName>
    <definedName name="Eólica">'Listas Desplegables'!$F$9:$F$9</definedName>
    <definedName name="Fuil_Oil">'Listas Desplegables'!#REF!</definedName>
    <definedName name="Gas">'Listas Desplegables'!#REF!</definedName>
    <definedName name="Geotérmica">'Listas Desplegables'!$I$9:$I$9</definedName>
    <definedName name="Hidráulico">'Listas Desplegables'!$G$9:$G$9</definedName>
    <definedName name="Otro">'Listas Desplegables'!#REF!</definedName>
    <definedName name="Recurso">'Listas Desplegables'!$B$11:$B$12</definedName>
    <definedName name="Residuos_Agrícolas_Cultivo">'Listas Desplegables'!#REF!</definedName>
    <definedName name="Residuos_Agrícolas_Industriales">'Listas Desplegables'!#REF!</definedName>
    <definedName name="Residuos_Pecuarios">'Listas Desplegables'!#REF!</definedName>
    <definedName name="Residuos_Solidos_Urbanos">'Listas Desplegables'!#REF!</definedName>
    <definedName name="Sol">'Listas Desplegables'!#REF!</definedName>
    <definedName name="Solar">'Listas Desplegables'!$E$9:$E$9</definedName>
    <definedName name="Tecnologia">'Listas Desplegables'!#REF!</definedName>
    <definedName name="Térmica">'Listas Desplegables'!$J$9:$J$9</definedName>
    <definedName name="TGenerador" localSheetId="9">'Listas Desplegables'!$B$4:$B$6</definedName>
    <definedName name="TGenerador">'[1]Listas Desplegables'!$B$3:$B$7</definedName>
    <definedName name="TProyecto">'Listas Desplegables'!$B$8:$B$9</definedName>
    <definedName name="Vapor">'Listas Desplegables'!#REF!</definedName>
    <definedName name="Viento">'Listas Desplegables'!#REF!</definedName>
    <definedName name="zona">'Listas Desplegables'!#REF!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8" i="7" l="1"/>
  <c r="B58" i="7"/>
  <c r="A59" i="7"/>
  <c r="B59" i="7"/>
  <c r="A60" i="7"/>
  <c r="B60" i="7"/>
  <c r="A61" i="7"/>
  <c r="B61" i="7"/>
  <c r="A62" i="7"/>
  <c r="B62" i="7"/>
  <c r="A63" i="7"/>
  <c r="B63" i="7"/>
  <c r="A64" i="7"/>
  <c r="B64" i="7"/>
  <c r="A65" i="7"/>
  <c r="B65" i="7"/>
  <c r="A66" i="7"/>
  <c r="B66" i="7"/>
  <c r="A67" i="7"/>
  <c r="B67" i="7"/>
  <c r="A68" i="7"/>
  <c r="B68" i="7"/>
  <c r="A69" i="7"/>
  <c r="B69" i="7"/>
  <c r="A70" i="7"/>
  <c r="B70" i="7"/>
  <c r="A71" i="7"/>
  <c r="B71" i="7"/>
  <c r="A72" i="7"/>
  <c r="B72" i="7"/>
  <c r="A73" i="7"/>
  <c r="B73" i="7"/>
  <c r="A74" i="7"/>
  <c r="B74" i="7"/>
  <c r="A75" i="7"/>
  <c r="B75" i="7"/>
  <c r="A76" i="7"/>
  <c r="B76" i="7"/>
  <c r="A77" i="7"/>
  <c r="B77" i="7"/>
  <c r="A78" i="7"/>
  <c r="B78" i="7"/>
  <c r="A79" i="7"/>
  <c r="B79" i="7"/>
  <c r="A80" i="7"/>
  <c r="B80" i="7"/>
  <c r="A81" i="7"/>
  <c r="B81" i="7"/>
  <c r="A82" i="7"/>
  <c r="B82" i="7"/>
  <c r="A83" i="7"/>
  <c r="B83" i="7"/>
  <c r="A84" i="7"/>
  <c r="B84" i="7"/>
  <c r="A85" i="7"/>
  <c r="B85" i="7"/>
  <c r="A86" i="7"/>
  <c r="B86" i="7"/>
  <c r="A87" i="7"/>
  <c r="B87" i="7"/>
  <c r="A88" i="7"/>
  <c r="B88" i="7"/>
  <c r="A89" i="7"/>
  <c r="B89" i="7"/>
  <c r="A90" i="7"/>
  <c r="B90" i="7"/>
  <c r="A91" i="7"/>
  <c r="B91" i="7"/>
  <c r="A92" i="7"/>
  <c r="B92" i="7"/>
  <c r="A93" i="7"/>
  <c r="B93" i="7"/>
  <c r="A94" i="7"/>
  <c r="B94" i="7"/>
  <c r="A95" i="7"/>
  <c r="B95" i="7"/>
  <c r="A96" i="7"/>
  <c r="B96" i="7"/>
  <c r="A97" i="7"/>
  <c r="B97" i="7"/>
  <c r="A98" i="7"/>
  <c r="B98" i="7"/>
  <c r="A99" i="7"/>
  <c r="B99" i="7"/>
  <c r="A100" i="7"/>
  <c r="B100" i="7"/>
  <c r="A101" i="7"/>
  <c r="B101" i="7"/>
  <c r="A102" i="7"/>
  <c r="B102" i="7"/>
  <c r="A103" i="7"/>
  <c r="B103" i="7"/>
  <c r="A104" i="7"/>
  <c r="B104" i="7"/>
  <c r="A105" i="7"/>
  <c r="B105" i="7"/>
  <c r="A106" i="7"/>
  <c r="B106" i="7"/>
  <c r="I19" i="6"/>
  <c r="A58" i="4"/>
  <c r="B58" i="4"/>
  <c r="A59" i="4"/>
  <c r="B59" i="4"/>
  <c r="A60" i="4"/>
  <c r="B60" i="4"/>
  <c r="A61" i="4"/>
  <c r="B61" i="4"/>
  <c r="A62" i="4"/>
  <c r="B62" i="4"/>
  <c r="A63" i="4"/>
  <c r="B63" i="4"/>
  <c r="A64" i="4"/>
  <c r="B64" i="4"/>
  <c r="A65" i="4"/>
  <c r="B65" i="4"/>
  <c r="A66" i="4"/>
  <c r="B66" i="4"/>
  <c r="A67" i="4"/>
  <c r="B67" i="4"/>
  <c r="A68" i="4"/>
  <c r="B68" i="4"/>
  <c r="A69" i="4"/>
  <c r="B69" i="4"/>
  <c r="A70" i="4"/>
  <c r="B70" i="4"/>
  <c r="A71" i="4"/>
  <c r="B71" i="4"/>
  <c r="A72" i="4"/>
  <c r="B72" i="4"/>
  <c r="A73" i="4"/>
  <c r="B73" i="4"/>
  <c r="A74" i="4"/>
  <c r="B74" i="4"/>
  <c r="A75" i="4"/>
  <c r="B75" i="4"/>
  <c r="A76" i="4"/>
  <c r="B76" i="4"/>
  <c r="A77" i="4"/>
  <c r="B77" i="4"/>
  <c r="A78" i="4"/>
  <c r="B78" i="4"/>
  <c r="A79" i="4"/>
  <c r="B79" i="4"/>
  <c r="A80" i="4"/>
  <c r="B80" i="4"/>
  <c r="A81" i="4"/>
  <c r="B81" i="4"/>
  <c r="A82" i="4"/>
  <c r="B82" i="4"/>
  <c r="A83" i="4"/>
  <c r="B83" i="4"/>
  <c r="A84" i="4"/>
  <c r="B84" i="4"/>
  <c r="A85" i="4"/>
  <c r="B85" i="4"/>
  <c r="A86" i="4"/>
  <c r="B86" i="4"/>
  <c r="A87" i="4"/>
  <c r="B87" i="4"/>
  <c r="A88" i="4"/>
  <c r="B88" i="4"/>
  <c r="A89" i="4"/>
  <c r="B89" i="4"/>
  <c r="A90" i="4"/>
  <c r="B90" i="4"/>
  <c r="A91" i="4"/>
  <c r="B91" i="4"/>
  <c r="A92" i="4"/>
  <c r="B92" i="4"/>
  <c r="A93" i="4"/>
  <c r="B93" i="4"/>
  <c r="A94" i="4"/>
  <c r="B94" i="4"/>
  <c r="A95" i="4"/>
  <c r="B95" i="4"/>
  <c r="A96" i="4"/>
  <c r="B96" i="4"/>
  <c r="A97" i="4"/>
  <c r="B97" i="4"/>
  <c r="A98" i="4"/>
  <c r="B98" i="4"/>
  <c r="A99" i="4"/>
  <c r="B99" i="4"/>
  <c r="A100" i="4"/>
  <c r="B100" i="4"/>
  <c r="A101" i="4"/>
  <c r="B101" i="4"/>
  <c r="A102" i="4"/>
  <c r="B102" i="4"/>
  <c r="A103" i="4"/>
  <c r="B103" i="4"/>
  <c r="A104" i="4"/>
  <c r="B104" i="4"/>
  <c r="A105" i="4"/>
  <c r="B105" i="4"/>
  <c r="A106" i="4"/>
  <c r="B106" i="4"/>
  <c r="A107" i="4"/>
  <c r="B107" i="4"/>
  <c r="A108" i="4"/>
  <c r="B108" i="4"/>
  <c r="A109" i="4"/>
  <c r="B109" i="4"/>
  <c r="A110" i="4"/>
  <c r="B110" i="4"/>
  <c r="A111" i="4"/>
  <c r="B111" i="4"/>
  <c r="A112" i="4"/>
  <c r="B112" i="4"/>
  <c r="A113" i="4"/>
  <c r="B113" i="4"/>
  <c r="A114" i="4"/>
  <c r="B114" i="4"/>
  <c r="A115" i="4"/>
  <c r="B115" i="4"/>
  <c r="A116" i="4"/>
  <c r="B116" i="4"/>
  <c r="A117" i="4"/>
  <c r="B117" i="4"/>
  <c r="A118" i="4"/>
  <c r="B118" i="4"/>
  <c r="A119" i="4"/>
  <c r="B119" i="4"/>
  <c r="A120" i="4"/>
  <c r="B120" i="4"/>
  <c r="A121" i="4"/>
  <c r="B121" i="4"/>
  <c r="A122" i="4"/>
  <c r="B122" i="4"/>
  <c r="A123" i="4"/>
  <c r="B123" i="4"/>
  <c r="A124" i="4"/>
  <c r="B124" i="4"/>
  <c r="A125" i="4"/>
  <c r="B125" i="4"/>
  <c r="A126" i="4"/>
  <c r="B126" i="4"/>
  <c r="A127" i="4"/>
  <c r="B127" i="4"/>
  <c r="A128" i="4"/>
  <c r="B128" i="4"/>
  <c r="A129" i="4"/>
  <c r="B129" i="4"/>
  <c r="A130" i="4"/>
  <c r="B130" i="4"/>
  <c r="A131" i="4"/>
  <c r="B131" i="4"/>
  <c r="A132" i="4"/>
  <c r="B132" i="4"/>
  <c r="A133" i="4"/>
  <c r="B133" i="4"/>
  <c r="A134" i="4"/>
  <c r="B134" i="4"/>
  <c r="A135" i="4"/>
  <c r="B135" i="4"/>
  <c r="A136" i="4"/>
  <c r="B136" i="4"/>
  <c r="A137" i="4"/>
  <c r="B137" i="4"/>
  <c r="A138" i="4"/>
  <c r="B138" i="4"/>
  <c r="A139" i="4"/>
  <c r="B139" i="4"/>
  <c r="A140" i="4"/>
  <c r="B140" i="4"/>
  <c r="A141" i="4"/>
  <c r="B141" i="4"/>
  <c r="A142" i="4"/>
  <c r="B142" i="4"/>
  <c r="A143" i="4"/>
  <c r="B143" i="4"/>
  <c r="A144" i="4"/>
  <c r="B144" i="4"/>
  <c r="A145" i="4"/>
  <c r="B145" i="4"/>
  <c r="A146" i="4"/>
  <c r="B146" i="4"/>
  <c r="A147" i="4"/>
  <c r="B147" i="4"/>
  <c r="A148" i="4"/>
  <c r="B148" i="4"/>
  <c r="A149" i="4"/>
  <c r="B149" i="4"/>
  <c r="A150" i="4"/>
  <c r="B150" i="4"/>
  <c r="A151" i="4"/>
  <c r="B151" i="4"/>
  <c r="A152" i="4"/>
  <c r="B152" i="4"/>
  <c r="A153" i="4"/>
  <c r="B153" i="4"/>
  <c r="A154" i="4"/>
  <c r="B154" i="4"/>
  <c r="A155" i="4"/>
  <c r="B155" i="4"/>
  <c r="A156" i="4"/>
  <c r="B156" i="4"/>
  <c r="A157" i="4"/>
  <c r="B157" i="4"/>
  <c r="A158" i="4"/>
  <c r="B158" i="4"/>
  <c r="A159" i="4"/>
  <c r="B159" i="4"/>
  <c r="A160" i="4"/>
  <c r="B160" i="4"/>
  <c r="A161" i="4"/>
  <c r="B161" i="4"/>
  <c r="A162" i="4"/>
  <c r="B162" i="4"/>
  <c r="A163" i="4"/>
  <c r="B163" i="4"/>
  <c r="A164" i="4"/>
  <c r="B164" i="4"/>
  <c r="A165" i="4"/>
  <c r="B165" i="4"/>
  <c r="A166" i="4"/>
  <c r="B166" i="4"/>
  <c r="A167" i="4"/>
  <c r="B167" i="4"/>
  <c r="A168" i="4"/>
  <c r="B168" i="4"/>
  <c r="A169" i="4"/>
  <c r="B169" i="4"/>
  <c r="A170" i="4"/>
  <c r="B170" i="4"/>
  <c r="A171" i="4"/>
  <c r="B171" i="4"/>
  <c r="A172" i="4"/>
  <c r="B172" i="4"/>
  <c r="A173" i="4"/>
  <c r="B173" i="4"/>
  <c r="A174" i="4"/>
  <c r="B174" i="4"/>
  <c r="A175" i="4"/>
  <c r="B175" i="4"/>
  <c r="A176" i="4"/>
  <c r="B176" i="4"/>
  <c r="A177" i="4"/>
  <c r="B177" i="4"/>
  <c r="A178" i="4"/>
  <c r="B178" i="4"/>
  <c r="A179" i="4"/>
  <c r="B179" i="4"/>
  <c r="A180" i="4"/>
  <c r="B180" i="4"/>
  <c r="A181" i="4"/>
  <c r="B181" i="4"/>
  <c r="A182" i="4"/>
  <c r="B182" i="4"/>
  <c r="A183" i="4"/>
  <c r="B183" i="4"/>
  <c r="A184" i="4"/>
  <c r="B184" i="4"/>
  <c r="A185" i="4"/>
  <c r="B185" i="4"/>
  <c r="A186" i="4"/>
  <c r="B186" i="4"/>
  <c r="N4" i="11" l="1"/>
  <c r="M4" i="11"/>
  <c r="M4" i="10"/>
  <c r="L4" i="10"/>
  <c r="O4" i="8"/>
  <c r="N4" i="8"/>
  <c r="R5" i="12"/>
  <c r="S5" i="12"/>
  <c r="Q5" i="12"/>
  <c r="H4" i="9"/>
  <c r="P4" i="9"/>
  <c r="O4" i="9"/>
  <c r="Z4" i="7"/>
  <c r="Y4" i="7"/>
  <c r="AI4" i="6"/>
  <c r="AH4" i="6"/>
  <c r="AB4" i="4"/>
  <c r="AA4" i="4"/>
  <c r="AA4" i="7" l="1"/>
  <c r="X4" i="7"/>
  <c r="W4" i="7"/>
  <c r="V4" i="7"/>
  <c r="U4" i="7"/>
  <c r="AG4" i="6"/>
  <c r="AF4" i="6"/>
  <c r="AE4" i="6"/>
  <c r="AD4" i="6"/>
  <c r="AC4" i="6"/>
  <c r="AB4" i="6"/>
  <c r="AA4" i="6"/>
  <c r="Z4" i="6"/>
  <c r="AC4" i="4"/>
  <c r="Z4" i="4"/>
  <c r="Y4" i="4"/>
  <c r="X4" i="4"/>
  <c r="W4" i="4"/>
  <c r="V4" i="4"/>
  <c r="AJ4" i="6"/>
  <c r="T4" i="7" l="1"/>
  <c r="S4" i="7"/>
  <c r="O4" i="11"/>
  <c r="L4" i="11"/>
  <c r="K4" i="11"/>
  <c r="J4" i="11"/>
  <c r="I4" i="11"/>
  <c r="H4" i="11"/>
  <c r="G4" i="11"/>
  <c r="F4" i="11"/>
  <c r="E4" i="11"/>
  <c r="D4" i="11"/>
  <c r="N4" i="10"/>
  <c r="K4" i="10"/>
  <c r="J4" i="10"/>
  <c r="I4" i="10"/>
  <c r="H4" i="10"/>
  <c r="G4" i="10"/>
  <c r="F4" i="10"/>
  <c r="E4" i="10"/>
  <c r="D4" i="10"/>
  <c r="P4" i="8"/>
  <c r="M4" i="8"/>
  <c r="L4" i="8"/>
  <c r="K4" i="8"/>
  <c r="J4" i="8"/>
  <c r="I4" i="8"/>
  <c r="G4" i="8"/>
  <c r="F4" i="8"/>
  <c r="E4" i="8"/>
  <c r="D4" i="8"/>
  <c r="Z4" i="12"/>
  <c r="O4" i="12"/>
  <c r="M4" i="12"/>
  <c r="K4" i="12"/>
  <c r="J4" i="12"/>
  <c r="I4" i="12"/>
  <c r="H4" i="12"/>
  <c r="G4" i="12"/>
  <c r="F4" i="12"/>
  <c r="E4" i="12"/>
  <c r="D4" i="12"/>
  <c r="Q4" i="9"/>
  <c r="N4" i="9"/>
  <c r="M4" i="9"/>
  <c r="L4" i="9"/>
  <c r="K4" i="9"/>
  <c r="J4" i="9"/>
  <c r="I4" i="9"/>
  <c r="G4" i="9"/>
  <c r="F4" i="9"/>
  <c r="E4" i="9"/>
  <c r="D4" i="9"/>
  <c r="R4" i="7"/>
  <c r="P4" i="7"/>
  <c r="O4" i="7"/>
  <c r="N4" i="7"/>
  <c r="M4" i="7"/>
  <c r="L4" i="7"/>
  <c r="K4" i="7"/>
  <c r="J4" i="7"/>
  <c r="I4" i="7"/>
  <c r="H4" i="7"/>
  <c r="G4" i="7"/>
  <c r="F4" i="7"/>
  <c r="E4" i="7"/>
  <c r="D4" i="7"/>
  <c r="Y4" i="6"/>
  <c r="W4" i="6"/>
  <c r="V4" i="6"/>
  <c r="U4" i="6"/>
  <c r="T4" i="6"/>
  <c r="S4" i="6"/>
  <c r="R4" i="6"/>
  <c r="Q4" i="6"/>
  <c r="P4" i="6"/>
  <c r="O4" i="6"/>
  <c r="N4" i="6"/>
  <c r="M4" i="6"/>
  <c r="L4" i="6"/>
  <c r="K4" i="6"/>
  <c r="J4" i="6"/>
  <c r="I4" i="6"/>
  <c r="H4" i="6"/>
  <c r="G4" i="6"/>
  <c r="F4" i="6"/>
  <c r="E4" i="6"/>
  <c r="D4" i="6"/>
  <c r="U4" i="4"/>
  <c r="T4" i="4"/>
  <c r="S4" i="4"/>
  <c r="R4" i="4"/>
  <c r="Q4" i="4"/>
  <c r="P4" i="4"/>
  <c r="O4" i="4"/>
  <c r="N4" i="4"/>
  <c r="M4" i="4"/>
  <c r="L4" i="4"/>
  <c r="K4" i="4"/>
  <c r="J4" i="4"/>
  <c r="I4" i="4"/>
  <c r="H4" i="4"/>
  <c r="G4" i="4"/>
  <c r="F4" i="4"/>
  <c r="E4" i="4"/>
  <c r="D4" i="4"/>
  <c r="B57" i="12" l="1"/>
  <c r="A57" i="12"/>
  <c r="B56" i="12"/>
  <c r="A56" i="12"/>
  <c r="B55" i="12"/>
  <c r="A55" i="12"/>
  <c r="B54" i="12"/>
  <c r="A54" i="12"/>
  <c r="B53" i="12"/>
  <c r="A53" i="12"/>
  <c r="B52" i="12"/>
  <c r="A52" i="12"/>
  <c r="B51" i="12"/>
  <c r="A51" i="12"/>
  <c r="B50" i="12"/>
  <c r="A50" i="12"/>
  <c r="B49" i="12"/>
  <c r="A49" i="12"/>
  <c r="B48" i="12"/>
  <c r="A48" i="12"/>
  <c r="B47" i="12"/>
  <c r="A47" i="12"/>
  <c r="B46" i="12"/>
  <c r="A46" i="12"/>
  <c r="B45" i="12"/>
  <c r="A45" i="12"/>
  <c r="B44" i="12"/>
  <c r="A44" i="12"/>
  <c r="B43" i="12"/>
  <c r="A43" i="12"/>
  <c r="B42" i="12"/>
  <c r="A42" i="12"/>
  <c r="B41" i="12"/>
  <c r="A41" i="12"/>
  <c r="B40" i="12"/>
  <c r="A40" i="12"/>
  <c r="B39" i="12"/>
  <c r="A39" i="12"/>
  <c r="B38" i="12"/>
  <c r="A38" i="12"/>
  <c r="B37" i="12"/>
  <c r="A37" i="12"/>
  <c r="B36" i="12"/>
  <c r="A36" i="12"/>
  <c r="B35" i="12"/>
  <c r="A35" i="12"/>
  <c r="B34" i="12"/>
  <c r="A34" i="12"/>
  <c r="B33" i="12"/>
  <c r="A33" i="12"/>
  <c r="B32" i="12"/>
  <c r="A32" i="12"/>
  <c r="B31" i="12"/>
  <c r="A31" i="12"/>
  <c r="B30" i="12"/>
  <c r="A30" i="12"/>
  <c r="B29" i="12"/>
  <c r="A29" i="12"/>
  <c r="B28" i="12"/>
  <c r="A28" i="12"/>
  <c r="B27" i="12"/>
  <c r="A27" i="12"/>
  <c r="B26" i="12"/>
  <c r="A26" i="12"/>
  <c r="B25" i="12"/>
  <c r="A25" i="12"/>
  <c r="B24" i="12"/>
  <c r="A24" i="12"/>
  <c r="B23" i="12"/>
  <c r="A23" i="12"/>
  <c r="B22" i="12"/>
  <c r="A22" i="12"/>
  <c r="B21" i="12"/>
  <c r="A21" i="12"/>
  <c r="B20" i="12"/>
  <c r="A20" i="12"/>
  <c r="B19" i="12"/>
  <c r="A19" i="12"/>
  <c r="B18" i="12"/>
  <c r="A18" i="12"/>
  <c r="B17" i="12"/>
  <c r="A17" i="12"/>
  <c r="B16" i="12"/>
  <c r="A16" i="12"/>
  <c r="B15" i="12"/>
  <c r="A15" i="12"/>
  <c r="B14" i="12"/>
  <c r="A14" i="12"/>
  <c r="B13" i="12"/>
  <c r="A13" i="12"/>
  <c r="B12" i="12"/>
  <c r="A12" i="12"/>
  <c r="B11" i="12"/>
  <c r="A11" i="12"/>
  <c r="B10" i="12"/>
  <c r="A10" i="12"/>
  <c r="B9" i="12"/>
  <c r="A9" i="12"/>
  <c r="B8" i="12"/>
  <c r="A8" i="12"/>
  <c r="B7" i="12"/>
  <c r="A7" i="12"/>
  <c r="B6" i="12"/>
  <c r="A6" i="12"/>
  <c r="B57" i="11"/>
  <c r="A57" i="11"/>
  <c r="B56" i="11"/>
  <c r="A56" i="11"/>
  <c r="B55" i="11"/>
  <c r="A55" i="11"/>
  <c r="B54" i="11"/>
  <c r="A54" i="11"/>
  <c r="B53" i="11"/>
  <c r="A53" i="11"/>
  <c r="B52" i="11"/>
  <c r="A52" i="11"/>
  <c r="B51" i="11"/>
  <c r="A51" i="11"/>
  <c r="B50" i="11"/>
  <c r="A50" i="11"/>
  <c r="B49" i="11"/>
  <c r="A49" i="11"/>
  <c r="B48" i="11"/>
  <c r="A48" i="11"/>
  <c r="B47" i="11"/>
  <c r="A47" i="11"/>
  <c r="B46" i="11"/>
  <c r="A46" i="11"/>
  <c r="B45" i="11"/>
  <c r="A45" i="11"/>
  <c r="B44" i="11"/>
  <c r="A44" i="11"/>
  <c r="B43" i="11"/>
  <c r="A43" i="11"/>
  <c r="B42" i="11"/>
  <c r="A42" i="11"/>
  <c r="B41" i="11"/>
  <c r="A41" i="11"/>
  <c r="B40" i="11"/>
  <c r="A40" i="11"/>
  <c r="B39" i="11"/>
  <c r="A39" i="11"/>
  <c r="B38" i="11"/>
  <c r="A38" i="11"/>
  <c r="B37" i="11"/>
  <c r="A37" i="11"/>
  <c r="B36" i="11"/>
  <c r="A36" i="11"/>
  <c r="B35" i="11"/>
  <c r="A35" i="11"/>
  <c r="B34" i="11"/>
  <c r="A34" i="11"/>
  <c r="B33" i="11"/>
  <c r="A33" i="11"/>
  <c r="B32" i="11"/>
  <c r="A32" i="11"/>
  <c r="B31" i="11"/>
  <c r="A31" i="11"/>
  <c r="B30" i="11"/>
  <c r="A30" i="11"/>
  <c r="B29" i="11"/>
  <c r="A29" i="11"/>
  <c r="B28" i="11"/>
  <c r="A28" i="11"/>
  <c r="B27" i="11"/>
  <c r="A27" i="11"/>
  <c r="B26" i="11"/>
  <c r="A26" i="11"/>
  <c r="B25" i="11"/>
  <c r="A25" i="11"/>
  <c r="B24" i="11"/>
  <c r="A24" i="11"/>
  <c r="B23" i="11"/>
  <c r="A23" i="11"/>
  <c r="B22" i="11"/>
  <c r="A22" i="11"/>
  <c r="B21" i="11"/>
  <c r="A21" i="11"/>
  <c r="B20" i="11"/>
  <c r="A20" i="11"/>
  <c r="B19" i="11"/>
  <c r="A19" i="11"/>
  <c r="B18" i="11"/>
  <c r="A18" i="11"/>
  <c r="B17" i="11"/>
  <c r="A17" i="11"/>
  <c r="B16" i="11"/>
  <c r="A16" i="11"/>
  <c r="B15" i="11"/>
  <c r="A15" i="11"/>
  <c r="B14" i="11"/>
  <c r="A14" i="11"/>
  <c r="B13" i="11"/>
  <c r="A13" i="11"/>
  <c r="B12" i="11"/>
  <c r="A12" i="11"/>
  <c r="B11" i="11"/>
  <c r="A11" i="11"/>
  <c r="B10" i="11"/>
  <c r="A10" i="11"/>
  <c r="B9" i="11"/>
  <c r="A9" i="11"/>
  <c r="B8" i="11"/>
  <c r="A8" i="11"/>
  <c r="B7" i="11"/>
  <c r="A7" i="11"/>
  <c r="B6" i="11"/>
  <c r="A6" i="11"/>
  <c r="B57" i="10"/>
  <c r="A57" i="10"/>
  <c r="B56" i="10"/>
  <c r="A56" i="10"/>
  <c r="B55" i="10"/>
  <c r="A55" i="10"/>
  <c r="B54" i="10"/>
  <c r="A54" i="10"/>
  <c r="B53" i="10"/>
  <c r="A53" i="10"/>
  <c r="B52" i="10"/>
  <c r="A52" i="10"/>
  <c r="B51" i="10"/>
  <c r="A51" i="10"/>
  <c r="B50" i="10"/>
  <c r="A50" i="10"/>
  <c r="B49" i="10"/>
  <c r="A49" i="10"/>
  <c r="B48" i="10"/>
  <c r="A48" i="10"/>
  <c r="B47" i="10"/>
  <c r="A47" i="10"/>
  <c r="B46" i="10"/>
  <c r="A46" i="10"/>
  <c r="B45" i="10"/>
  <c r="A45" i="10"/>
  <c r="B44" i="10"/>
  <c r="A44" i="10"/>
  <c r="B43" i="10"/>
  <c r="A43" i="10"/>
  <c r="B42" i="10"/>
  <c r="A42" i="10"/>
  <c r="B41" i="10"/>
  <c r="A41" i="10"/>
  <c r="B40" i="10"/>
  <c r="A40" i="10"/>
  <c r="B39" i="10"/>
  <c r="A39" i="10"/>
  <c r="B38" i="10"/>
  <c r="A38" i="10"/>
  <c r="B37" i="10"/>
  <c r="A37" i="10"/>
  <c r="B36" i="10"/>
  <c r="A36" i="10"/>
  <c r="B35" i="10"/>
  <c r="A35" i="10"/>
  <c r="B34" i="10"/>
  <c r="A34" i="10"/>
  <c r="B33" i="10"/>
  <c r="A33" i="10"/>
  <c r="B32" i="10"/>
  <c r="A32" i="10"/>
  <c r="B31" i="10"/>
  <c r="A31" i="10"/>
  <c r="B30" i="10"/>
  <c r="A30" i="10"/>
  <c r="B29" i="10"/>
  <c r="A29" i="10"/>
  <c r="B28" i="10"/>
  <c r="A28" i="10"/>
  <c r="B27" i="10"/>
  <c r="A27" i="10"/>
  <c r="B26" i="10"/>
  <c r="A26" i="10"/>
  <c r="B25" i="10"/>
  <c r="A25" i="10"/>
  <c r="B24" i="10"/>
  <c r="A24" i="10"/>
  <c r="B23" i="10"/>
  <c r="A23" i="10"/>
  <c r="B22" i="10"/>
  <c r="A22" i="10"/>
  <c r="B21" i="10"/>
  <c r="A21" i="10"/>
  <c r="B20" i="10"/>
  <c r="A20" i="10"/>
  <c r="B19" i="10"/>
  <c r="A19" i="10"/>
  <c r="B18" i="10"/>
  <c r="A18" i="10"/>
  <c r="B17" i="10"/>
  <c r="A17" i="10"/>
  <c r="B16" i="10"/>
  <c r="A16" i="10"/>
  <c r="B15" i="10"/>
  <c r="A15" i="10"/>
  <c r="B14" i="10"/>
  <c r="A14" i="10"/>
  <c r="B13" i="10"/>
  <c r="A13" i="10"/>
  <c r="B12" i="10"/>
  <c r="A12" i="10"/>
  <c r="B11" i="10"/>
  <c r="A11" i="10"/>
  <c r="B10" i="10"/>
  <c r="A10" i="10"/>
  <c r="B9" i="10"/>
  <c r="A9" i="10"/>
  <c r="B8" i="10"/>
  <c r="A8" i="10"/>
  <c r="B7" i="10"/>
  <c r="A7" i="10"/>
  <c r="B6" i="10"/>
  <c r="A6" i="10"/>
  <c r="B57" i="9"/>
  <c r="A57" i="9"/>
  <c r="B56" i="9"/>
  <c r="A56" i="9"/>
  <c r="B55" i="9"/>
  <c r="A55" i="9"/>
  <c r="B54" i="9"/>
  <c r="A54" i="9"/>
  <c r="B53" i="9"/>
  <c r="A53" i="9"/>
  <c r="B52" i="9"/>
  <c r="A52" i="9"/>
  <c r="B51" i="9"/>
  <c r="A51" i="9"/>
  <c r="B50" i="9"/>
  <c r="A50" i="9"/>
  <c r="B49" i="9"/>
  <c r="A49" i="9"/>
  <c r="B48" i="9"/>
  <c r="A48" i="9"/>
  <c r="B47" i="9"/>
  <c r="A47" i="9"/>
  <c r="B46" i="9"/>
  <c r="A46" i="9"/>
  <c r="B45" i="9"/>
  <c r="A45" i="9"/>
  <c r="B44" i="9"/>
  <c r="A44" i="9"/>
  <c r="B43" i="9"/>
  <c r="A43" i="9"/>
  <c r="B42" i="9"/>
  <c r="A42" i="9"/>
  <c r="B41" i="9"/>
  <c r="A41" i="9"/>
  <c r="B40" i="9"/>
  <c r="A40" i="9"/>
  <c r="B39" i="9"/>
  <c r="A39" i="9"/>
  <c r="B38" i="9"/>
  <c r="A38" i="9"/>
  <c r="B37" i="9"/>
  <c r="A37" i="9"/>
  <c r="B36" i="9"/>
  <c r="A36" i="9"/>
  <c r="B35" i="9"/>
  <c r="A35" i="9"/>
  <c r="B34" i="9"/>
  <c r="A34" i="9"/>
  <c r="B33" i="9"/>
  <c r="A33" i="9"/>
  <c r="B32" i="9"/>
  <c r="A32" i="9"/>
  <c r="B31" i="9"/>
  <c r="A31" i="9"/>
  <c r="B30" i="9"/>
  <c r="A30" i="9"/>
  <c r="B29" i="9"/>
  <c r="A29" i="9"/>
  <c r="B28" i="9"/>
  <c r="A28" i="9"/>
  <c r="B27" i="9"/>
  <c r="A27" i="9"/>
  <c r="B26" i="9"/>
  <c r="A26" i="9"/>
  <c r="B25" i="9"/>
  <c r="A25" i="9"/>
  <c r="B24" i="9"/>
  <c r="A24" i="9"/>
  <c r="B23" i="9"/>
  <c r="A23" i="9"/>
  <c r="B22" i="9"/>
  <c r="A22" i="9"/>
  <c r="B21" i="9"/>
  <c r="A21" i="9"/>
  <c r="B20" i="9"/>
  <c r="A20" i="9"/>
  <c r="B19" i="9"/>
  <c r="A19" i="9"/>
  <c r="B18" i="9"/>
  <c r="A18" i="9"/>
  <c r="B17" i="9"/>
  <c r="A17" i="9"/>
  <c r="B16" i="9"/>
  <c r="A16" i="9"/>
  <c r="B15" i="9"/>
  <c r="A15" i="9"/>
  <c r="B14" i="9"/>
  <c r="A14" i="9"/>
  <c r="B13" i="9"/>
  <c r="A13" i="9"/>
  <c r="B12" i="9"/>
  <c r="A12" i="9"/>
  <c r="B11" i="9"/>
  <c r="A11" i="9"/>
  <c r="B10" i="9"/>
  <c r="A10" i="9"/>
  <c r="B9" i="9"/>
  <c r="A9" i="9"/>
  <c r="B8" i="9"/>
  <c r="A8" i="9"/>
  <c r="B7" i="9"/>
  <c r="A7" i="9"/>
  <c r="B6" i="9"/>
  <c r="A6" i="9"/>
  <c r="B57" i="8"/>
  <c r="A57" i="8"/>
  <c r="B56" i="8"/>
  <c r="A56" i="8"/>
  <c r="B55" i="8"/>
  <c r="A55" i="8"/>
  <c r="B54" i="8"/>
  <c r="A54" i="8"/>
  <c r="B53" i="8"/>
  <c r="A53" i="8"/>
  <c r="B52" i="8"/>
  <c r="A52" i="8"/>
  <c r="B51" i="8"/>
  <c r="A51" i="8"/>
  <c r="B50" i="8"/>
  <c r="A50" i="8"/>
  <c r="B49" i="8"/>
  <c r="A49" i="8"/>
  <c r="B48" i="8"/>
  <c r="A48" i="8"/>
  <c r="B47" i="8"/>
  <c r="A47" i="8"/>
  <c r="B46" i="8"/>
  <c r="A46" i="8"/>
  <c r="B45" i="8"/>
  <c r="A45" i="8"/>
  <c r="B44" i="8"/>
  <c r="A44" i="8"/>
  <c r="B43" i="8"/>
  <c r="A43" i="8"/>
  <c r="B42" i="8"/>
  <c r="A42" i="8"/>
  <c r="B41" i="8"/>
  <c r="A41" i="8"/>
  <c r="B40" i="8"/>
  <c r="A40" i="8"/>
  <c r="B39" i="8"/>
  <c r="A39" i="8"/>
  <c r="B38" i="8"/>
  <c r="A38" i="8"/>
  <c r="B37" i="8"/>
  <c r="A37" i="8"/>
  <c r="B36" i="8"/>
  <c r="A36" i="8"/>
  <c r="B35" i="8"/>
  <c r="A35" i="8"/>
  <c r="B34" i="8"/>
  <c r="A34" i="8"/>
  <c r="B33" i="8"/>
  <c r="A33" i="8"/>
  <c r="B32" i="8"/>
  <c r="A32" i="8"/>
  <c r="B31" i="8"/>
  <c r="A31" i="8"/>
  <c r="B30" i="8"/>
  <c r="A30" i="8"/>
  <c r="B29" i="8"/>
  <c r="A29" i="8"/>
  <c r="B28" i="8"/>
  <c r="A28" i="8"/>
  <c r="B27" i="8"/>
  <c r="A27" i="8"/>
  <c r="B26" i="8"/>
  <c r="A26" i="8"/>
  <c r="B25" i="8"/>
  <c r="A25" i="8"/>
  <c r="B24" i="8"/>
  <c r="A24" i="8"/>
  <c r="B23" i="8"/>
  <c r="A23" i="8"/>
  <c r="B22" i="8"/>
  <c r="A22" i="8"/>
  <c r="B21" i="8"/>
  <c r="A21" i="8"/>
  <c r="B20" i="8"/>
  <c r="A20" i="8"/>
  <c r="B19" i="8"/>
  <c r="A19" i="8"/>
  <c r="B18" i="8"/>
  <c r="A18" i="8"/>
  <c r="B17" i="8"/>
  <c r="A17" i="8"/>
  <c r="B16" i="8"/>
  <c r="A16" i="8"/>
  <c r="B15" i="8"/>
  <c r="A15" i="8"/>
  <c r="B14" i="8"/>
  <c r="A14" i="8"/>
  <c r="B13" i="8"/>
  <c r="A13" i="8"/>
  <c r="B12" i="8"/>
  <c r="A12" i="8"/>
  <c r="B11" i="8"/>
  <c r="A11" i="8"/>
  <c r="B10" i="8"/>
  <c r="A10" i="8"/>
  <c r="B9" i="8"/>
  <c r="A9" i="8"/>
  <c r="B8" i="8"/>
  <c r="A8" i="8"/>
  <c r="B7" i="8"/>
  <c r="A7" i="8"/>
  <c r="B6" i="8"/>
  <c r="A6" i="8"/>
  <c r="B57" i="7"/>
  <c r="A57" i="7"/>
  <c r="B56" i="7"/>
  <c r="A56" i="7"/>
  <c r="B55" i="7"/>
  <c r="A55" i="7"/>
  <c r="B54" i="7"/>
  <c r="A54" i="7"/>
  <c r="B53" i="7"/>
  <c r="A53" i="7"/>
  <c r="B52" i="7"/>
  <c r="A52" i="7"/>
  <c r="B51" i="7"/>
  <c r="A51" i="7"/>
  <c r="B50" i="7"/>
  <c r="A50" i="7"/>
  <c r="B49" i="7"/>
  <c r="A49" i="7"/>
  <c r="B48" i="7"/>
  <c r="A48" i="7"/>
  <c r="B47" i="7"/>
  <c r="A47" i="7"/>
  <c r="B46" i="7"/>
  <c r="A46" i="7"/>
  <c r="B45" i="7"/>
  <c r="A45" i="7"/>
  <c r="B44" i="7"/>
  <c r="A44" i="7"/>
  <c r="B43" i="7"/>
  <c r="A43" i="7"/>
  <c r="B42" i="7"/>
  <c r="A42" i="7"/>
  <c r="B41" i="7"/>
  <c r="A41" i="7"/>
  <c r="B40" i="7"/>
  <c r="A40" i="7"/>
  <c r="B39" i="7"/>
  <c r="A39" i="7"/>
  <c r="B38" i="7"/>
  <c r="A38" i="7"/>
  <c r="B37" i="7"/>
  <c r="A37" i="7"/>
  <c r="B36" i="7"/>
  <c r="A36" i="7"/>
  <c r="B35" i="7"/>
  <c r="A35" i="7"/>
  <c r="B34" i="7"/>
  <c r="A34" i="7"/>
  <c r="B33" i="7"/>
  <c r="A33" i="7"/>
  <c r="B32" i="7"/>
  <c r="A32" i="7"/>
  <c r="B31" i="7"/>
  <c r="A31" i="7"/>
  <c r="B30" i="7"/>
  <c r="A30" i="7"/>
  <c r="B29" i="7"/>
  <c r="A29" i="7"/>
  <c r="B28" i="7"/>
  <c r="A28" i="7"/>
  <c r="B27" i="7"/>
  <c r="A27" i="7"/>
  <c r="B26" i="7"/>
  <c r="A26" i="7"/>
  <c r="B25" i="7"/>
  <c r="A25" i="7"/>
  <c r="B24" i="7"/>
  <c r="A24" i="7"/>
  <c r="B23" i="7"/>
  <c r="A23" i="7"/>
  <c r="B22" i="7"/>
  <c r="A22" i="7"/>
  <c r="B21" i="7"/>
  <c r="A21" i="7"/>
  <c r="B20" i="7"/>
  <c r="A20" i="7"/>
  <c r="B19" i="7"/>
  <c r="A19" i="7"/>
  <c r="B18" i="7"/>
  <c r="A18" i="7"/>
  <c r="B17" i="7"/>
  <c r="A17" i="7"/>
  <c r="B16" i="7"/>
  <c r="A16" i="7"/>
  <c r="B15" i="7"/>
  <c r="A15" i="7"/>
  <c r="B14" i="7"/>
  <c r="A14" i="7"/>
  <c r="B13" i="7"/>
  <c r="A13" i="7"/>
  <c r="B12" i="7"/>
  <c r="A12" i="7"/>
  <c r="B11" i="7"/>
  <c r="A11" i="7"/>
  <c r="B10" i="7"/>
  <c r="A10" i="7"/>
  <c r="B9" i="7"/>
  <c r="A9" i="7"/>
  <c r="B8" i="7"/>
  <c r="A8" i="7"/>
  <c r="B7" i="7"/>
  <c r="A7" i="7"/>
  <c r="B6" i="7"/>
  <c r="A6" i="7"/>
  <c r="B57" i="6"/>
  <c r="A57" i="6"/>
  <c r="B56" i="6"/>
  <c r="A56" i="6"/>
  <c r="B55" i="6"/>
  <c r="A55" i="6"/>
  <c r="B54" i="6"/>
  <c r="A54" i="6"/>
  <c r="B53" i="6"/>
  <c r="A53" i="6"/>
  <c r="B52" i="6"/>
  <c r="A52" i="6"/>
  <c r="B51" i="6"/>
  <c r="A51" i="6"/>
  <c r="B50" i="6"/>
  <c r="A50" i="6"/>
  <c r="B49" i="6"/>
  <c r="A49" i="6"/>
  <c r="B48" i="6"/>
  <c r="A48" i="6"/>
  <c r="B47" i="6"/>
  <c r="A47" i="6"/>
  <c r="B46" i="6"/>
  <c r="A46" i="6"/>
  <c r="B45" i="6"/>
  <c r="A45" i="6"/>
  <c r="B44" i="6"/>
  <c r="A44" i="6"/>
  <c r="B43" i="6"/>
  <c r="A43" i="6"/>
  <c r="B42" i="6"/>
  <c r="A42" i="6"/>
  <c r="B41" i="6"/>
  <c r="A41" i="6"/>
  <c r="B40" i="6"/>
  <c r="A40" i="6"/>
  <c r="B39" i="6"/>
  <c r="A39" i="6"/>
  <c r="B38" i="6"/>
  <c r="A38" i="6"/>
  <c r="B37" i="6"/>
  <c r="A37" i="6"/>
  <c r="B36" i="6"/>
  <c r="A36" i="6"/>
  <c r="B35" i="6"/>
  <c r="A35" i="6"/>
  <c r="B34" i="6"/>
  <c r="A34" i="6"/>
  <c r="B33" i="6"/>
  <c r="A33" i="6"/>
  <c r="B32" i="6"/>
  <c r="A32" i="6"/>
  <c r="B31" i="6"/>
  <c r="A31" i="6"/>
  <c r="B30" i="6"/>
  <c r="A30" i="6"/>
  <c r="B29" i="6"/>
  <c r="A29" i="6"/>
  <c r="B28" i="6"/>
  <c r="A28" i="6"/>
  <c r="B27" i="6"/>
  <c r="A27" i="6"/>
  <c r="B26" i="6"/>
  <c r="A26" i="6"/>
  <c r="B25" i="6"/>
  <c r="A25" i="6"/>
  <c r="B24" i="6"/>
  <c r="A24" i="6"/>
  <c r="B23" i="6"/>
  <c r="A23" i="6"/>
  <c r="B22" i="6"/>
  <c r="A22" i="6"/>
  <c r="B21" i="6"/>
  <c r="A21" i="6"/>
  <c r="B20" i="6"/>
  <c r="A20" i="6"/>
  <c r="B19" i="6"/>
  <c r="A19" i="6"/>
  <c r="B18" i="6"/>
  <c r="A18" i="6"/>
  <c r="B17" i="6"/>
  <c r="A17" i="6"/>
  <c r="B16" i="6"/>
  <c r="A16" i="6"/>
  <c r="B15" i="6"/>
  <c r="A15" i="6"/>
  <c r="B14" i="6"/>
  <c r="A14" i="6"/>
  <c r="B13" i="6"/>
  <c r="A13" i="6"/>
  <c r="B12" i="6"/>
  <c r="A12" i="6"/>
  <c r="B11" i="6"/>
  <c r="A11" i="6"/>
  <c r="B10" i="6"/>
  <c r="A10" i="6"/>
  <c r="B9" i="6"/>
  <c r="A9" i="6"/>
  <c r="B8" i="6"/>
  <c r="A8" i="6"/>
  <c r="B7" i="6"/>
  <c r="A7" i="6"/>
  <c r="B6" i="6"/>
  <c r="A6" i="6"/>
  <c r="B57" i="4"/>
  <c r="A57" i="4"/>
  <c r="B56" i="4"/>
  <c r="A56" i="4"/>
  <c r="B55" i="4"/>
  <c r="A55" i="4"/>
  <c r="B54" i="4"/>
  <c r="A54" i="4"/>
  <c r="B53" i="4"/>
  <c r="A53" i="4"/>
  <c r="B52" i="4"/>
  <c r="A52" i="4"/>
  <c r="B51" i="4"/>
  <c r="A51" i="4"/>
  <c r="B50" i="4"/>
  <c r="A50" i="4"/>
  <c r="B49" i="4"/>
  <c r="A49" i="4"/>
  <c r="B48" i="4"/>
  <c r="A48" i="4"/>
  <c r="B47" i="4"/>
  <c r="A47" i="4"/>
  <c r="B46" i="4"/>
  <c r="A46" i="4"/>
  <c r="B45" i="4"/>
  <c r="A45" i="4"/>
  <c r="B44" i="4"/>
  <c r="A44" i="4"/>
  <c r="B43" i="4"/>
  <c r="A43" i="4"/>
  <c r="B42" i="4"/>
  <c r="A42" i="4"/>
  <c r="B41" i="4"/>
  <c r="A41" i="4"/>
  <c r="B40" i="4"/>
  <c r="A40" i="4"/>
  <c r="B39" i="4"/>
  <c r="A39" i="4"/>
  <c r="B38" i="4"/>
  <c r="A38" i="4"/>
  <c r="B37" i="4"/>
  <c r="A37" i="4"/>
  <c r="B36" i="4"/>
  <c r="A36" i="4"/>
  <c r="B35" i="4"/>
  <c r="A35" i="4"/>
  <c r="B34" i="4"/>
  <c r="A34" i="4"/>
  <c r="B33" i="4"/>
  <c r="A33" i="4"/>
  <c r="B32" i="4"/>
  <c r="A32" i="4"/>
  <c r="B31" i="4"/>
  <c r="A31" i="4"/>
  <c r="B30" i="4"/>
  <c r="A30" i="4"/>
  <c r="B29" i="4"/>
  <c r="A29" i="4"/>
  <c r="B28" i="4"/>
  <c r="A28" i="4"/>
  <c r="B27" i="4"/>
  <c r="A27" i="4"/>
  <c r="B26" i="4"/>
  <c r="A26" i="4"/>
  <c r="B25" i="4"/>
  <c r="A25" i="4"/>
  <c r="B24" i="4"/>
  <c r="A24" i="4"/>
  <c r="B23" i="4"/>
  <c r="A23" i="4"/>
  <c r="B22" i="4"/>
  <c r="A22" i="4"/>
  <c r="B21" i="4"/>
  <c r="A21" i="4"/>
  <c r="B20" i="4"/>
  <c r="A20" i="4"/>
  <c r="B19" i="4"/>
  <c r="A19" i="4"/>
  <c r="B18" i="4"/>
  <c r="A18" i="4"/>
  <c r="B17" i="4"/>
  <c r="A17" i="4"/>
  <c r="B16" i="4"/>
  <c r="A16" i="4"/>
  <c r="B15" i="4"/>
  <c r="A15" i="4"/>
  <c r="B14" i="4"/>
  <c r="A14" i="4"/>
  <c r="B13" i="4"/>
  <c r="A13" i="4"/>
  <c r="B12" i="4"/>
  <c r="A12" i="4"/>
  <c r="B11" i="4"/>
  <c r="A11" i="4"/>
  <c r="B10" i="4"/>
  <c r="A10" i="4"/>
  <c r="B9" i="4"/>
  <c r="A9" i="4"/>
  <c r="B8" i="4"/>
  <c r="A8" i="4"/>
  <c r="B7" i="4"/>
  <c r="A7" i="4"/>
  <c r="B6" i="4"/>
  <c r="A6" i="4"/>
</calcChain>
</file>

<file path=xl/sharedStrings.xml><?xml version="1.0" encoding="utf-8"?>
<sst xmlns="http://schemas.openxmlformats.org/spreadsheetml/2006/main" count="5181" uniqueCount="891">
  <si>
    <t>Industrial</t>
  </si>
  <si>
    <t>Nombre</t>
  </si>
  <si>
    <t>Subestación</t>
  </si>
  <si>
    <t>No.</t>
  </si>
  <si>
    <t>…</t>
  </si>
  <si>
    <t>CONTENIDO</t>
  </si>
  <si>
    <t>Información General de Subestaciones</t>
  </si>
  <si>
    <t>Subestación 1</t>
  </si>
  <si>
    <t>Subestación 2</t>
  </si>
  <si>
    <t>Nivel de tensión [kV]</t>
  </si>
  <si>
    <t>Información General de Líneas</t>
  </si>
  <si>
    <t>Longitud [km]</t>
  </si>
  <si>
    <t>Capacidad transporte nominal [A]</t>
  </si>
  <si>
    <t>Capacidad transporte térmico [A]</t>
  </si>
  <si>
    <t>Capacidad transporte emergencia [A]</t>
  </si>
  <si>
    <t>Causa límite de capacidad</t>
  </si>
  <si>
    <t>R1 [Ohm/km]</t>
  </si>
  <si>
    <t>X1 [Ohm/km]</t>
  </si>
  <si>
    <t>B1 [uS/km]</t>
  </si>
  <si>
    <t>R0 [Ohm/km]</t>
  </si>
  <si>
    <t>X0 [Ohm/km]</t>
  </si>
  <si>
    <t>B0 [uS/km]</t>
  </si>
  <si>
    <t>En Operación</t>
  </si>
  <si>
    <t>FPO</t>
  </si>
  <si>
    <t>Observaciones transportador</t>
  </si>
  <si>
    <t>Nivel de tensión LV [kV]</t>
  </si>
  <si>
    <t>Nivel de tensión MV [kV]</t>
  </si>
  <si>
    <t>Nivel de tensión HV [kV]</t>
  </si>
  <si>
    <t>Capacidad HV [MVA]</t>
  </si>
  <si>
    <t>Capacidad MV [MVA]</t>
  </si>
  <si>
    <t>Capacidad LV [MVA]</t>
  </si>
  <si>
    <t>Grupo de conexión</t>
  </si>
  <si>
    <t>Impedancia HV-MV Secuencia +[%]</t>
  </si>
  <si>
    <t>Información General de Transformadores Tridevanados</t>
  </si>
  <si>
    <t>Impedancia HV-LV Secuencia +[%]</t>
  </si>
  <si>
    <t>Impedancia MV-LV Secuencia +[%]</t>
  </si>
  <si>
    <t>Impedancia HV-MV Secuencia 0[%]</t>
  </si>
  <si>
    <t>Impedancia HV-LV Secuencia 0[%]</t>
  </si>
  <si>
    <t>Impedancia MV-LV Secuencia 0[%]</t>
  </si>
  <si>
    <t>Posición Neutral Tap</t>
  </si>
  <si>
    <t>Posición Máxima Tap</t>
  </si>
  <si>
    <t>Posición Mínima Tap</t>
  </si>
  <si>
    <t>Delta Tap [%]</t>
  </si>
  <si>
    <t>Sobrecarga en emergencia</t>
  </si>
  <si>
    <t>Magnitud [%]</t>
  </si>
  <si>
    <t>Tiempo [minutos]</t>
  </si>
  <si>
    <t>Pérdidas Cu [kW]</t>
  </si>
  <si>
    <t>Capacidad [MVA]</t>
  </si>
  <si>
    <t>Impedancia Secuencia +[%]</t>
  </si>
  <si>
    <t>Impedancia Secuencia 0[%]</t>
  </si>
  <si>
    <t>Capacidad [MVAr]</t>
  </si>
  <si>
    <t>Número de pasos</t>
  </si>
  <si>
    <t>Información General de Transformadores Bidevanados</t>
  </si>
  <si>
    <t>Información General de Compensaciones</t>
  </si>
  <si>
    <t>Capacidad de interrupción [kA]</t>
  </si>
  <si>
    <t>Configuración</t>
  </si>
  <si>
    <t>Tipo</t>
  </si>
  <si>
    <t>Departamento</t>
  </si>
  <si>
    <t>Municipio</t>
  </si>
  <si>
    <t>Qmin [MVAr]</t>
  </si>
  <si>
    <t>Conectado al lado de</t>
  </si>
  <si>
    <t>Tensión máxima aporte [V]</t>
  </si>
  <si>
    <t>Modelo (si disponible)</t>
  </si>
  <si>
    <t>Corriente máxima aporte [A]</t>
  </si>
  <si>
    <t>Información General de Compensaciones dinámicas</t>
  </si>
  <si>
    <t>P [MW]</t>
  </si>
  <si>
    <t>Q [MVAr]</t>
  </si>
  <si>
    <t>Información General de Demandas</t>
  </si>
  <si>
    <t>MANUAL DE USO</t>
  </si>
  <si>
    <t>Dentro de cada sección se solicita que el Transportador compile información característica de cada uno de los tipos de activo. A continuación, se presenta la información y una descripción de lo requerido:</t>
  </si>
  <si>
    <t>Nombre de línea de transmisión o distribución.</t>
  </si>
  <si>
    <t>Subestación o punto de la red a la cual se conecta uno de los extremos de la línea</t>
  </si>
  <si>
    <t>Subestación o punto de la red a la cual se conecta el otro extremo de la línea</t>
  </si>
  <si>
    <t>Nivel de tensión nominal en kilovoltios al cual opera la línea</t>
  </si>
  <si>
    <t>Longitud en kilometros de la línea</t>
  </si>
  <si>
    <t>Capacidad de transporte de corriente nominal de la línea de transmisión en estado estable en amperios</t>
  </si>
  <si>
    <t>Capacidad nominal de transporte de corriente del conductor de menor capacidad utilizado en la línea de transmisión en amperios</t>
  </si>
  <si>
    <t>Capacidad de corriente máxima que puede soportar la línea ante condiciones de emergencia en amperios</t>
  </si>
  <si>
    <t>Resistencia de secuencia positiva por unidad de longitud en ohmios por kilometro</t>
  </si>
  <si>
    <t>Reactancia de secuencia positiva por unidad de longitud en ohmios por kilometro</t>
  </si>
  <si>
    <t>Susceptancia de secuancia positiva por unidad de longitud en microsiemens por kilometro</t>
  </si>
  <si>
    <t>Resistencia de secuencia cero por unidad de longitud en ohmios por kilometro</t>
  </si>
  <si>
    <t>Reactancia de secuencia cero por unidad de longitud en ohmios por kilometro</t>
  </si>
  <si>
    <t>Susceptancia de secuancia cero por unidad de longitud en microsiemens por kilometro</t>
  </si>
  <si>
    <t xml:space="preserve">Sistema al cual pertenece la línea. Se debe escoger en la lista desplegable entre: STN, STR y SDL. </t>
  </si>
  <si>
    <t>Tipo de línea. Se debe escoger en la lista desplegable entre: Áerea o Subterranea</t>
  </si>
  <si>
    <t>GD</t>
  </si>
  <si>
    <t>AGPE con excedentes</t>
  </si>
  <si>
    <t>No</t>
  </si>
  <si>
    <t>AGPE sin excedentes</t>
  </si>
  <si>
    <t>Recurso</t>
  </si>
  <si>
    <t>Solar</t>
  </si>
  <si>
    <t>Eólica</t>
  </si>
  <si>
    <t>Hidráulico</t>
  </si>
  <si>
    <t>Biomasa</t>
  </si>
  <si>
    <t>Geotérmica</t>
  </si>
  <si>
    <t>Térmica</t>
  </si>
  <si>
    <t>Sol</t>
  </si>
  <si>
    <t>Viento</t>
  </si>
  <si>
    <t>Agua</t>
  </si>
  <si>
    <t>Cultivo Energético</t>
  </si>
  <si>
    <t>Vapor</t>
  </si>
  <si>
    <t>Carbón</t>
  </si>
  <si>
    <t>Otro</t>
  </si>
  <si>
    <t>STN</t>
  </si>
  <si>
    <t>STR</t>
  </si>
  <si>
    <t>SDL</t>
  </si>
  <si>
    <t>Clase</t>
  </si>
  <si>
    <t>Áerea</t>
  </si>
  <si>
    <t>Subterránea</t>
  </si>
  <si>
    <t>Se debe escoger en la lista desplegable entre: Sí, cuando el activo se encuentre en operación al momento de realizar la entrega de la información, o No, si el activo tiene una fecha de puesta en operación futura</t>
  </si>
  <si>
    <t>Si el activo no se encuentra en operación, se debe especificar la Fecha de Puesta en Operación planteada en formato dd/mm/aaaa.</t>
  </si>
  <si>
    <t>Sección de libre diligenciamiento, donde el transportador debe indicar explicítamente cualquier condición operativa o de planeación que no este incluida en las demás variables. Ejemplo: La línea opera normalmente abierta al lado de la subestación A o se tiene planeado una repotenciación de la línea hasta una capacidad de X Amperios, la cual entrará en operación desde dd/mm/aaaa.</t>
  </si>
  <si>
    <t>Sí</t>
  </si>
  <si>
    <t>Sección de libre diligenciamiento, donde el transportador debe indicar explicítamente cualquier condición operativa o de planeación que no este incluida en las demás variables.</t>
  </si>
  <si>
    <t>Atendida Subestación Nivel IV</t>
  </si>
  <si>
    <t>1. LÍNEAS</t>
  </si>
  <si>
    <t>Tipo de Línea</t>
  </si>
  <si>
    <t>2. Tr3</t>
  </si>
  <si>
    <t>Uso</t>
  </si>
  <si>
    <t>3. Tr2</t>
  </si>
  <si>
    <t>4. Subestaciones</t>
  </si>
  <si>
    <t>Convencional</t>
  </si>
  <si>
    <t>Encapsulado</t>
  </si>
  <si>
    <t>Mixto</t>
  </si>
  <si>
    <t>Barra Principal y Barra de Transferencia</t>
  </si>
  <si>
    <t>Barra sencilla</t>
  </si>
  <si>
    <t>Doble barra</t>
  </si>
  <si>
    <t>Doble barra más seccionador de transferencia</t>
  </si>
  <si>
    <t>Doble barra más seccionador de By-pass o paso directo</t>
  </si>
  <si>
    <t>Doble barra más barra de transferencia</t>
  </si>
  <si>
    <t>Anillo</t>
  </si>
  <si>
    <t>Interruptor y medio</t>
  </si>
  <si>
    <t>Doble barra con doble interruptor</t>
  </si>
  <si>
    <t>5. Demanda</t>
  </si>
  <si>
    <t>Comercial</t>
  </si>
  <si>
    <t>6. Compensación</t>
  </si>
  <si>
    <t>Tipo de conexión</t>
  </si>
  <si>
    <t>Serie</t>
  </si>
  <si>
    <t>Paralelo</t>
  </si>
  <si>
    <t>Tipo conexión</t>
  </si>
  <si>
    <t>Operabilidad</t>
  </si>
  <si>
    <t>Fijo</t>
  </si>
  <si>
    <t>Maniobrable</t>
  </si>
  <si>
    <t>En operación</t>
  </si>
  <si>
    <t>7. Compesación dinámica</t>
  </si>
  <si>
    <t>SVC</t>
  </si>
  <si>
    <t>STATCOM</t>
  </si>
  <si>
    <t>Tecnología</t>
  </si>
  <si>
    <t>8. FACTS</t>
  </si>
  <si>
    <t xml:space="preserve">Sí </t>
  </si>
  <si>
    <t>Nombre del transformador tridevanado. Se sugiere sea nombre de la subestación seguido de los niveles de tensión del transformador</t>
  </si>
  <si>
    <t>Subestación en la cual se encuentra ubicado el transformador</t>
  </si>
  <si>
    <t>Nivel de tensión nominal de diseño de los bornes de alta tensión del transformador en kilovoltios</t>
  </si>
  <si>
    <t>Nivel de tensión nominal de diseño de los bornes de media tensión del transformador en kilovoltios</t>
  </si>
  <si>
    <t>Nivel de tensión nominal de diseño de los bornes de baja tensión del transformador en kilovoltios</t>
  </si>
  <si>
    <t>Capacidad nominal en el devanado de alta tensión del transformador en MVA</t>
  </si>
  <si>
    <t>Capacidad nominal en el devanado de media tensión del transformador en MVA</t>
  </si>
  <si>
    <t>Capacidad nominal en el devanado de baja tensión del transformador en MVA</t>
  </si>
  <si>
    <t xml:space="preserve">Convención utilizada para describir las configuraciones de los distintos devanados del transformador y el desfase en los angulos de fase según norma IEC 60076-1 2011. Ejemplo: YNyn0d5 </t>
  </si>
  <si>
    <t>Impedancia de corto circuito entre los devanados de alta y media tensión en secuencia positiva como porcentaje de la impedancia de referencia</t>
  </si>
  <si>
    <t>Impedancia de corto circuito entre los devanados de alta y baja tensión en secuencia positiva como porcentaje de la impedancia de referencia</t>
  </si>
  <si>
    <t>Impedancia de corto circuito entre los devanados de media y baja tensión en secuencia positiva como porcentaje de la impedancia de referencia</t>
  </si>
  <si>
    <t>Impedancia de corto circuito entre los devanados de alta y media tensión en secuencia cero como porcentaje de la impedancia de referencia</t>
  </si>
  <si>
    <t>Impedancia de corto circuito entre los devanados de alta y baja tensión en secuencia cero como porcentaje de la impedancia de referencia</t>
  </si>
  <si>
    <t>Impedancia de corto circuito entre los devanados de media y baja tensión en secuencia cero como porcentaje de la impedancia de referencia</t>
  </si>
  <si>
    <t>Valor del cambiador de tomas como número entero que permite alcanzar los valores nominales de tensión en el transformador</t>
  </si>
  <si>
    <t>Máximo valor posible del cambiador de tomas como número entero</t>
  </si>
  <si>
    <t>Mínimo valor posible del cambiador de tomas como número entero</t>
  </si>
  <si>
    <t>La diferencia entre dos pasos adyacentes del cambiador de tomas expresada como un porcentaje.</t>
  </si>
  <si>
    <t>Valor de sobrecarga aceptable en el transformador ante condiciones de emergencia expresado como porcentaje respecto a la capacidad del transformador y en la cantidad de tiempo en minutos en que el transformador puede soportar dicha condición</t>
  </si>
  <si>
    <t>Capacidad nominal del transformador en MVA</t>
  </si>
  <si>
    <t xml:space="preserve">Convención utilizada para describir las configuraciones de los distintos devanados del transformador y el desfase en los angulos de fase según norma IEC 60076-1 2011. Ejemplo: Dyn11 </t>
  </si>
  <si>
    <t>Impedancia de corto circuito en secuencia positiva como porcentaje de la impedancia de referencia</t>
  </si>
  <si>
    <t>Impedancia de corto circuito en secuencia cero como porcentaje de la impedancia de referencia</t>
  </si>
  <si>
    <t>Nombre de la subestación</t>
  </si>
  <si>
    <t>Agente Administrador</t>
  </si>
  <si>
    <t>Razón social del transportador con el mayor porcentaje de propiedad de los activos de la subestación</t>
  </si>
  <si>
    <t>Nivel de tensión nominal de la(s) barra(s) de la subestación en kilovoltios</t>
  </si>
  <si>
    <t>Configuración de barras de la subestación. Se debe escoger en la lista desplegable entre: barra sencilla, barra principal y transferencia, barra sencilla seccionada, barra seccionada con barra de transferencia, doble barra, doble barra con transferencia, doble barra con doble interruptor, interruptor y medio o anillo.</t>
  </si>
  <si>
    <t>Nombre del departamento en que se ubica o ubicará la subestación</t>
  </si>
  <si>
    <t>Nombre del municipio en que se ubica o ubicará la subestación</t>
  </si>
  <si>
    <t>Nombre de la demanda</t>
  </si>
  <si>
    <t>Subestación en la que se encuentra conectada la demanda. Para demandas conectadas a niveles de tensión inferiores a 11.4 kV se debe referir a nivel de tensión superior.</t>
  </si>
  <si>
    <t>Nivel de tensión en kilovoltios al que se conecta o refiere la demanda.</t>
  </si>
  <si>
    <t>Subestación de nivel de tensión IV o superior que atiende a la demanda.</t>
  </si>
  <si>
    <t>Demanda Mínima</t>
  </si>
  <si>
    <t>Demanda Media</t>
  </si>
  <si>
    <t>Demanda Máxima</t>
  </si>
  <si>
    <t>Nombre de la compensación. Se sugiere usar el nombre de la subestación a la que se conecta.</t>
  </si>
  <si>
    <t>Nombre de la subestación a la que se conecta la compensación.</t>
  </si>
  <si>
    <t>Nivel de tensión de la subestación en kilovoltios</t>
  </si>
  <si>
    <t>Capacidad de la compensación en MVAr</t>
  </si>
  <si>
    <t>Número de pasos posibles para alcanzar la capacidad de la compensación</t>
  </si>
  <si>
    <t>Nombre de la compensación dinámica. Se sugiere usar el nombre de la subestación a la que se conecta.</t>
  </si>
  <si>
    <t>Nombre de la subestación a la que se conecta la compensación dinámica.</t>
  </si>
  <si>
    <r>
      <t>Se debe escoger en la lista desplegable entre: STATCOM (</t>
    </r>
    <r>
      <rPr>
        <i/>
        <sz val="11"/>
        <rFont val="Calibri"/>
        <family val="2"/>
        <scheme val="minor"/>
      </rPr>
      <t>Synchronous Static Compensator</t>
    </r>
    <r>
      <rPr>
        <sz val="11"/>
        <rFont val="Calibri"/>
        <family val="2"/>
        <scheme val="minor"/>
      </rPr>
      <t>), SVC (</t>
    </r>
    <r>
      <rPr>
        <i/>
        <sz val="11"/>
        <rFont val="Calibri"/>
        <family val="2"/>
        <scheme val="minor"/>
      </rPr>
      <t>Static Var compensation</t>
    </r>
    <r>
      <rPr>
        <sz val="11"/>
        <rFont val="Calibri"/>
        <family val="2"/>
        <scheme val="minor"/>
      </rPr>
      <t>) o SC (</t>
    </r>
    <r>
      <rPr>
        <i/>
        <sz val="11"/>
        <rFont val="Calibri"/>
        <family val="2"/>
        <scheme val="minor"/>
      </rPr>
      <t>Synchronous condensers</t>
    </r>
    <r>
      <rPr>
        <sz val="11"/>
        <rFont val="Calibri"/>
        <family val="2"/>
        <scheme val="minor"/>
      </rPr>
      <t>)</t>
    </r>
  </si>
  <si>
    <t>Capacidad máxima de absorción de potencia reactiva en MVAr</t>
  </si>
  <si>
    <t>Qmax [MVAr]</t>
  </si>
  <si>
    <t>Capacidad máxima de aporte de potencia reactiva en MVAr</t>
  </si>
  <si>
    <t>Nombre del dispositivo FACTS. Se sugiere que contenga el nombre de la línea a intervenir</t>
  </si>
  <si>
    <t>Línea Intervenida</t>
  </si>
  <si>
    <t>Nombre de la línea de transmisión o distribución que se interviene para la conexión del dispositivo FACTS</t>
  </si>
  <si>
    <t>Nivel de tensión de la línea intervenida en kilovoltios</t>
  </si>
  <si>
    <t>Referencia o modelo del dispositivo instalado o adquirido.</t>
  </si>
  <si>
    <t>Se debe escoger de la lista despelegable entre: Convencional, Encapsulada y Mixta.</t>
  </si>
  <si>
    <t>Se debe escoger en la lista desplegable entre: Serie y Paralelo</t>
  </si>
  <si>
    <t>Se debe escoger en la lista desplegable entre: Fijo y Maniobrable</t>
  </si>
  <si>
    <t>Se debe escoger en la lista desplegable entre: Industrial, Comercial, Residencial y Oficial. En caso de que la demanda incluya varios tipos se debe seleccionar el tipo de mayor magnitud.</t>
  </si>
  <si>
    <t>Residencial</t>
  </si>
  <si>
    <t>Oficial</t>
  </si>
  <si>
    <t>SC</t>
  </si>
  <si>
    <t>Tensión máxima que puede inyectar cada dispositivo FACTS en voltios</t>
  </si>
  <si>
    <t>Corriente máxima que puede inyectar cada dispositivo FACTS en amperios</t>
  </si>
  <si>
    <t>Lado de la línea de transmisión en la que se conectan los dispositivos FACTS</t>
  </si>
  <si>
    <t>Tipo activo</t>
  </si>
  <si>
    <t>Se debe escoger en la lista desplegable entre: Capcitor o reactor</t>
  </si>
  <si>
    <t>Capacitor</t>
  </si>
  <si>
    <t>Reactor</t>
  </si>
  <si>
    <t>El Formato se encuentra dividido en 9 secciones según el tipo de activo a reportar: 
1. Información de líneas de transmisión y distribución
2. Información de transformadores tridevanados
3. Información de transformadores bidevanados
4. Información de subestaciones
5. Información de demandas
6. Información de compensaciones
7. Información de compensaciones dinámicas
8. Información de dispositivos DFACTS
9. Información de disponibilidad de espacio físico</t>
  </si>
  <si>
    <t>Conductor</t>
  </si>
  <si>
    <t>Se debe indicar el calibre y material del conductor predominante en la línea de transmisión o distribución</t>
  </si>
  <si>
    <t>Sistema al cual pertenece el transformador. Se debe escoger en la lista desplegable entre: STN, STR y SDL</t>
  </si>
  <si>
    <t>Sistema</t>
  </si>
  <si>
    <t>Información General de dispositivos DFACTS</t>
  </si>
  <si>
    <t>Pérdidas Cu HV-MV [kW]</t>
  </si>
  <si>
    <t>Pérdidas Cu HV-LV [kW]</t>
  </si>
  <si>
    <t>Pérdidas Cu MV-LV [kW]</t>
  </si>
  <si>
    <t>Pérdidas de potencia activa en kW de los devanados del transformador bidevanado</t>
  </si>
  <si>
    <t>Pérdidas de potencia activa en kW de los devanados de alta tensión y media tensión del transformador bidevanado</t>
  </si>
  <si>
    <t>Pérdidas de potencia activa en kW de los devanados de alta tensión y baja tensión del transformador bidevanado</t>
  </si>
  <si>
    <t>Pérdidas de potencia activa en kW de los devanados de media tensión y baja tensión del transformador bidevanado</t>
  </si>
  <si>
    <t>Líneas de transmisión y distribución</t>
  </si>
  <si>
    <t>Compensación estática</t>
  </si>
  <si>
    <t>Compensación dinámica</t>
  </si>
  <si>
    <t>DFACTS
NOTA. En el campo de observaciones del transportador se debe señalar si se consideran múltiples dispositivos FACTS en serie.</t>
  </si>
  <si>
    <t>Demandas</t>
  </si>
  <si>
    <t>Transformadores tridevanados</t>
  </si>
  <si>
    <t>Tranformadores bidevanados</t>
  </si>
  <si>
    <t>Eventos anuales de indisponibilidad</t>
  </si>
  <si>
    <t>Tiempo de medio en horas que puede durar cada evento de indisponibilidad del activo</t>
  </si>
  <si>
    <t>Tiempo anual de indisponibilidad del activo en horas</t>
  </si>
  <si>
    <t>Número de eventos de indisponibilidad del activo</t>
  </si>
  <si>
    <t>Tiempo medio de reparación por evento [h]</t>
  </si>
  <si>
    <t>Horas anuales de indisponibilidad [h]</t>
  </si>
  <si>
    <t>Subestaciones
NOTA. En caso de que una subestación tenga en su predio patios de distintos niveles de tensión, se debe realizar un reporte por cada nivel de tensión.</t>
  </si>
  <si>
    <t>INTRODUCCIÓN</t>
  </si>
  <si>
    <t>El presente formato se establece en cumplimiento de lo establecido en el articulo 7 de la Resolución CREG 075 de 2021, para facilitar el reporte uniforme de la información que los transportadores deben entregar para la realización de los estudios de conexión y disponibilidad de espacio físico. 
El uso del presente formato es transitorio, y se requerirá hasta que entre en funcionamiento el sistema de información de la ventanilla única de la UPME, a través del cual se reportará y actualizará la información requerida para estudios de conexión.</t>
  </si>
  <si>
    <t>MANUAL DE USO PARA EL REPORTE DE INFORMACIÓN REQUERIDA DE LOS TRANSPORTADORES</t>
  </si>
  <si>
    <t>Declarar cuál es el elemento que impone el límite operativo, es decir el que restringe la máxima corriente.  Entre los elementos están: línea de transmisión (Cable), bajantes de conexión con los pararrayos y los transformadores de potencial, trampas de onda, transformadores de corriente, interruptores, seccionadores</t>
  </si>
  <si>
    <t>Operador</t>
  </si>
  <si>
    <t>Compañía que opera la línea de transmisión ante el CND</t>
  </si>
  <si>
    <r>
      <rPr>
        <b/>
        <sz val="11"/>
        <color theme="1"/>
        <rFont val="Calibri"/>
        <family val="2"/>
      </rPr>
      <t>Activos de uso de STN</t>
    </r>
    <r>
      <rPr>
        <sz val="11"/>
        <color theme="1"/>
        <rFont val="Calibri"/>
        <family val="2"/>
      </rPr>
      <t xml:space="preserve">: son aquellos activos de transporte de electricidad que operan a tensiones iguales o superiores a 220 kV, son remunerados mediante Cargos por Uso del STN y pueden estar constituidos por una o varias UC.  (Resolución CREG 011 de 2009. 
</t>
    </r>
    <r>
      <rPr>
        <b/>
        <sz val="11"/>
        <color theme="1"/>
        <rFont val="Calibri"/>
        <family val="2"/>
      </rPr>
      <t>Activos de uso de STR y SDL:</t>
    </r>
    <r>
      <rPr>
        <sz val="11"/>
        <color theme="1"/>
        <rFont val="Calibri"/>
        <family val="2"/>
      </rPr>
      <t xml:space="preserve"> son aquellos activos de transporte de electricidad que operan a tensiones inferiores a 220 kV que son utilizados por más de un usuario y son remunerados mediante cargos por uso de STR o SDL. (Resolución CREG 015 de 2018)
Nota: Los activos que sean remunerados mediante cargos por uso del STN o STR y que están constituidos por una o varias unidades constructivas y que pertenezcan a nivel inferior a 220 kV se deberán clasificar como Activos de Uso del STN o STR de acuerdo a como sean remunerados
</t>
    </r>
    <r>
      <rPr>
        <b/>
        <sz val="11"/>
        <color theme="1"/>
        <rFont val="Calibri"/>
        <family val="2"/>
      </rPr>
      <t>Activos de conexión del OR al STN</t>
    </r>
    <r>
      <rPr>
        <sz val="11"/>
        <color theme="1"/>
        <rFont val="Calibri"/>
        <family val="2"/>
      </rPr>
      <t xml:space="preserve">: son los bienes que se requieren para que un operador de red se conecte físicamente al Sistema de Transmisión Nacional, STN.
</t>
    </r>
    <r>
      <rPr>
        <b/>
        <sz val="11"/>
        <color theme="1"/>
        <rFont val="Calibri"/>
        <family val="2"/>
      </rPr>
      <t>Activos de conexión a un STR o a un SDL</t>
    </r>
    <r>
      <rPr>
        <sz val="11"/>
        <color theme="1"/>
        <rFont val="Calibri"/>
        <family val="2"/>
      </rPr>
      <t>: son los bienes que se requieren para que un OR se conecte físicamente a un Sistema de Transmisión Regional, STR, o a un Sistema de Distribución Local, SDL, de otro OR (Operador de Red). También son activos de conexión los utilizados exclusivamente por un usuario final para conectarse a los niveles de tensión 4, 3, 2 o 1. Un usuario está conectado al nivel de tensión en el que está instalado su equipo de medida individual (Resolución CREG 015 de 2018))</t>
    </r>
  </si>
  <si>
    <t>Tipo activo Uso/Conexión</t>
  </si>
  <si>
    <t>Elemento limitante</t>
  </si>
  <si>
    <t>Valor mínimo de demanda de potencia activa en MW y reactiva en MVAr esperado para la demanda en el año inmediatamente anterior, registrado a la hora 03:00, el cual debe ser actualizado de manera anual.</t>
  </si>
  <si>
    <t>Valor medio de de demanda de potencia activa en MW y reactiva en MVAr esperado para la demanda en el año inmediatamente anterior, registrado a la hora 12:00, el cual debe ser actualizado de manera anual.</t>
  </si>
  <si>
    <t>Valor máximo de de demanda de potencia activa en MW y reactiva en MVAr esperado para la demanda en el año inmediatamente anterior, registrado a la hora 19:00, el cual debe ser actualizado de manera anual.</t>
  </si>
  <si>
    <t>Traslados de carga Año</t>
  </si>
  <si>
    <t>Porcentaje</t>
  </si>
  <si>
    <t>Subestación destino traslado</t>
  </si>
  <si>
    <t>Declarar el elemento que impone el límite operativo de la subestación, entendido como aquel equipo o componente que restringe la máxima corriente de cortocircuito admisible. 
Entre los posibles elementos limitantes se incluyen, sin limitarse a: interruptores de potencia, seccionadores, barras, transformadores de corriente (TC), transformadores de potencial (TP) y la malla de puesta a tierra.</t>
  </si>
  <si>
    <t>Capacidad máxima de interrupción de cortocircuito de la subestación, expresada en kiloamperios (kA), determinada por el elemento que impone el límite operativo.
El valor reportado deberá corresponder a la menor capacidad de interrupción o soporte al cortocircuito entre los equipos y componentes relevantes de la subestación, lo cual deberá ser coherente con el elemento limitante declarado.</t>
  </si>
  <si>
    <t>Año en el cual se materializa el traslado de carga.
Si existen traslados en más de un año, se deberá diligenciar una columna por cada año.</t>
  </si>
  <si>
    <t>Porcentaje de la carga que se traslada desde la subestación de origen indicada en la fila correspondiente, para el año señalado.
El porcentaje deberá asociarse exclusivamente al traslado reportado en la misma columna de año y subestación destino.
En caso de múltiples traslados, se deberá diligenciar una columna por cada porcentaje correspondiente.</t>
  </si>
  <si>
    <t>Subestación hacia la cual se traslada la carga, ya sea perteneciente al STR o al SDL.
Cuando exista más de una subestación destino, se deberá diligenciar una columna independiente por cada una, asociada a su respectivo año y porcentaje.</t>
  </si>
  <si>
    <t>Traslados 1</t>
  </si>
  <si>
    <t>Traslados 2</t>
  </si>
  <si>
    <t>Traslados 3</t>
  </si>
  <si>
    <t>Activos de uso de STN</t>
  </si>
  <si>
    <t>Activos de uso de STR y SDL</t>
  </si>
  <si>
    <t>Activos de conexión del OR al STN</t>
  </si>
  <si>
    <t>Activos de conexión a un STR o a un SDL</t>
  </si>
  <si>
    <t>ALTO RICAURTE - CHIQUINQUIRA 1 115 kV</t>
  </si>
  <si>
    <t xml:space="preserve">ALTO RICAURTE </t>
  </si>
  <si>
    <t xml:space="preserve"> CHIQUINQUIRA 1 115 kV</t>
  </si>
  <si>
    <t>Capacidad del conductor</t>
  </si>
  <si>
    <t>350 ACAR</t>
  </si>
  <si>
    <t>ALTO RICAURTE - CHIQUINQUIRA 2 115 kV</t>
  </si>
  <si>
    <t xml:space="preserve"> CHIQUINQUIRA 2 115 kV</t>
  </si>
  <si>
    <t xml:space="preserve">500 ACAR </t>
  </si>
  <si>
    <t>ALTO RICAURTE - MUISCAS 1 115 kV</t>
  </si>
  <si>
    <t xml:space="preserve"> MUISCAS 1 115 kV</t>
  </si>
  <si>
    <t>ALTO RICAURTE - MUISCAS 2 115 kV</t>
  </si>
  <si>
    <t xml:space="preserve"> MUISCAS 2 115 kV</t>
  </si>
  <si>
    <t/>
  </si>
  <si>
    <t>ARGOS SOGAMOSO - SAN ANTONIO (BOYACA) 1 115 kV</t>
  </si>
  <si>
    <t xml:space="preserve">ARGOS SOGAMOSO </t>
  </si>
  <si>
    <t xml:space="preserve"> SAN ANTONIO (BOYACA) 1 115 kV</t>
  </si>
  <si>
    <t>336 ACSR</t>
  </si>
  <si>
    <t>BARBOSA (SANTANDER) - CHIQUINQUIRA 1 115 kV</t>
  </si>
  <si>
    <t xml:space="preserve">BARBOSA (SANTANDER) </t>
  </si>
  <si>
    <t>300 ACSR</t>
  </si>
  <si>
    <t>BOAVITA - EL HUCHE 1 115 kV</t>
  </si>
  <si>
    <t xml:space="preserve">BOAVITA </t>
  </si>
  <si>
    <t xml:space="preserve"> EL HUCHE 1 115 kV</t>
  </si>
  <si>
    <t>300 ACAR</t>
  </si>
  <si>
    <t>BOAVITA - EL HUCHE 2 115 kV</t>
  </si>
  <si>
    <t xml:space="preserve"> EL HUCHE 2 115 kV</t>
  </si>
  <si>
    <t>CHIVOR - TUNJITA 1 115 kV</t>
  </si>
  <si>
    <t xml:space="preserve">CHIVOR </t>
  </si>
  <si>
    <t xml:space="preserve"> TUNJITA 1 115 kV</t>
  </si>
  <si>
    <t>CHIQUINQUIRA - SAN PABLO 1 115 kV</t>
  </si>
  <si>
    <t>CHIQUINQUIRA</t>
  </si>
  <si>
    <t>SAN PABLO</t>
  </si>
  <si>
    <t>COCORNA - PUERTO BOYACA 1 115 kV</t>
  </si>
  <si>
    <t xml:space="preserve">COCORNA </t>
  </si>
  <si>
    <t xml:space="preserve"> PUERTO BOYACA 1 115 kV</t>
  </si>
  <si>
    <t>DUITAMA (HIGUERAS) - SOCHAGOTA 1 115 kV</t>
  </si>
  <si>
    <t xml:space="preserve">DUITAMA (HIGUERAS) </t>
  </si>
  <si>
    <t xml:space="preserve"> SOCHAGOTA 1 115 kV</t>
  </si>
  <si>
    <t>DUITAMA (HIGUERAS) - SANTA TERESA 1 115 kV</t>
  </si>
  <si>
    <t xml:space="preserve"> SANTA TERESA</t>
  </si>
  <si>
    <t>SANTA TERESA- SUAMOX 1 115 kV</t>
  </si>
  <si>
    <t>SANTA TERESA</t>
  </si>
  <si>
    <t xml:space="preserve"> SUAMOX 1 115 kV</t>
  </si>
  <si>
    <t>EL HUCHE - SAN ANTONIO (BOYACA) 1 115 kV</t>
  </si>
  <si>
    <t xml:space="preserve">EL HUCHE </t>
  </si>
  <si>
    <t>EL HUCHE - SAN ANTONIO (BOYACA) 2 115 kV</t>
  </si>
  <si>
    <t xml:space="preserve"> SAN ANTONIO (BOYACA) 2 115 kV</t>
  </si>
  <si>
    <t>450 ACAR</t>
  </si>
  <si>
    <t>GUATEQUE - JENESANO 1 115 KV</t>
  </si>
  <si>
    <t xml:space="preserve">GUATEQUE </t>
  </si>
  <si>
    <t xml:space="preserve"> JENESANO 1 115 KV</t>
  </si>
  <si>
    <t>400 ACAR</t>
  </si>
  <si>
    <t>GUATEQUE - SESQUILE 1 115 kV</t>
  </si>
  <si>
    <t xml:space="preserve"> SESQUILE 1 115 kV</t>
  </si>
  <si>
    <t>4/0 ACSR</t>
  </si>
  <si>
    <t>GUATEQUE - TUNJITA 1 115 kV</t>
  </si>
  <si>
    <t>HOLCIM - SUAMOX 1 115 kV</t>
  </si>
  <si>
    <t xml:space="preserve">HOLCIM </t>
  </si>
  <si>
    <t>HOLCIM - TBAVARIA 1 115 kV</t>
  </si>
  <si>
    <t xml:space="preserve"> BAVARIA 1 115 kV</t>
  </si>
  <si>
    <t>JENESANO - MUISCAS 1 115 KV</t>
  </si>
  <si>
    <t xml:space="preserve">JENESANO </t>
  </si>
  <si>
    <t xml:space="preserve"> MUISCAS 1 115 KV</t>
  </si>
  <si>
    <t>LA RAMADA - SIDENAL 1 115 kV</t>
  </si>
  <si>
    <t xml:space="preserve">LA RAMADA </t>
  </si>
  <si>
    <t xml:space="preserve"> SIDENAL 1 115 kV</t>
  </si>
  <si>
    <t>MUISCAS - PAIPA 1 115 kV</t>
  </si>
  <si>
    <t xml:space="preserve">MUISCAS </t>
  </si>
  <si>
    <t xml:space="preserve"> PAIPA 1 115 kV</t>
  </si>
  <si>
    <t>MUISCAS - TUNJA (DONATO) 1 115 kV</t>
  </si>
  <si>
    <t xml:space="preserve"> TUNJA (DONATO) 1 115 kV</t>
  </si>
  <si>
    <t>MUISCAS - TUNJA (DONATO) 2 115 kV</t>
  </si>
  <si>
    <t xml:space="preserve"> TUNJA (DONATO) 2 115 kV</t>
  </si>
  <si>
    <t>PAIPA - DIACO (BOYACA) 1 115 kV</t>
  </si>
  <si>
    <t xml:space="preserve">PAIPA </t>
  </si>
  <si>
    <t xml:space="preserve"> DIACO (BOYACA) 1 115 kV</t>
  </si>
  <si>
    <t>PAIPA - SOCHAGOTA 1 115 kV</t>
  </si>
  <si>
    <t>PAIPA - SOCHAGOTA 2 115 kV</t>
  </si>
  <si>
    <t xml:space="preserve"> SOCHAGOTA 2 115 kV</t>
  </si>
  <si>
    <t>PAIPA - TBAVARIA (BOYACA) 1 115 kV</t>
  </si>
  <si>
    <t xml:space="preserve"> BAVARIA (BOYACA) 1 115 kV</t>
  </si>
  <si>
    <t>PAIPA - TDIACO (BOYACA) 1 115 kV</t>
  </si>
  <si>
    <t xml:space="preserve"> TDIACO (BOYACA) 1 115 kV</t>
  </si>
  <si>
    <t>BARBOSA (SANTANDER) - PAIPA 2 115 kV</t>
  </si>
  <si>
    <t>BARBOSA II</t>
  </si>
  <si>
    <t>650 ACAR</t>
  </si>
  <si>
    <t>---</t>
  </si>
  <si>
    <t>PUERTO BOYACA - VASCONIA 1 115 kV</t>
  </si>
  <si>
    <t xml:space="preserve">PUERTO BOYACA </t>
  </si>
  <si>
    <t xml:space="preserve"> VASCONIA 1 115 kV</t>
  </si>
  <si>
    <t>SAN ANTONIO (BOYACA) - LA RAMADA 1 115 kV</t>
  </si>
  <si>
    <t xml:space="preserve">SAN ANTONIO (BOYACA) </t>
  </si>
  <si>
    <t xml:space="preserve"> LA RAMADA 1 115 kV</t>
  </si>
  <si>
    <t>SAN ANTONIO (BOYACA) - SIDENAL 1 115 kV</t>
  </si>
  <si>
    <t>SAN ANTONIO (BOYACA) - SOCHAGOTA 1 115 kV</t>
  </si>
  <si>
    <t>SAN ANTONIO (BOYACA) - SUAMOX 1 115 kV</t>
  </si>
  <si>
    <t>SAN ANTONIO (BOYACA) - TOQUILLA 1 115 kV</t>
  </si>
  <si>
    <t xml:space="preserve"> TOQUILLA 1 115 kV</t>
  </si>
  <si>
    <t>600 ACAR</t>
  </si>
  <si>
    <t>SANTA MARIA - TUNJITA 1 115 kV</t>
  </si>
  <si>
    <t xml:space="preserve">SANTA MARIA </t>
  </si>
  <si>
    <t>SUAMOX - BELENCITO 1 115 kV</t>
  </si>
  <si>
    <t xml:space="preserve">SUAMOX </t>
  </si>
  <si>
    <t xml:space="preserve"> TBELENCITO (SAN ANTONIO) 2 115 kV</t>
  </si>
  <si>
    <t>BELENCITO - SAN ANTONIO (BOYACA) 1 115 kV</t>
  </si>
  <si>
    <t xml:space="preserve">TBELENCITO </t>
  </si>
  <si>
    <t>TDIACO - TUNJA (DONATO) 1 115 kV</t>
  </si>
  <si>
    <t xml:space="preserve">TDIACO </t>
  </si>
  <si>
    <t>HORNILLAS- EL MUELLE</t>
  </si>
  <si>
    <t>HORNILLAS</t>
  </si>
  <si>
    <t>EL MUELLE</t>
  </si>
  <si>
    <t>SOCOTA - BOAVITA MINERO</t>
  </si>
  <si>
    <t>SOCOTA</t>
  </si>
  <si>
    <t>SOCOTA SECTOR MINERO</t>
  </si>
  <si>
    <t>2/0 ACSR</t>
  </si>
  <si>
    <t>CIUDADELA SECCIONAMIENTO 61811- SECCIONAMIENTO 51825</t>
  </si>
  <si>
    <t>SECC 61812</t>
  </si>
  <si>
    <t>SECC 51825</t>
  </si>
  <si>
    <t>ALMEIDA - MACANAL</t>
  </si>
  <si>
    <t>ALMEIDA</t>
  </si>
  <si>
    <t>MACANAL</t>
  </si>
  <si>
    <t>ALTO RICAURTE - SACHICA</t>
  </si>
  <si>
    <t>ALTO RICAURTE</t>
  </si>
  <si>
    <t>SACHICA</t>
  </si>
  <si>
    <t>ALTO RICAURTE - VILLA DE LEYVA</t>
  </si>
  <si>
    <t>VILLA DE LEYVA</t>
  </si>
  <si>
    <t>ALTO RICAURTE - LOMA REDONDA</t>
  </si>
  <si>
    <t>LOMA REDONDA</t>
  </si>
  <si>
    <t>BORBUR - SAN MARTÍN</t>
  </si>
  <si>
    <t>BORBUR</t>
  </si>
  <si>
    <t>SAN MARTÍN</t>
  </si>
  <si>
    <t xml:space="preserve"> GUANARES-BORBUR</t>
  </si>
  <si>
    <t xml:space="preserve">GUANARES </t>
  </si>
  <si>
    <t>TASCO - BELEN</t>
  </si>
  <si>
    <t>TASCO</t>
  </si>
  <si>
    <t xml:space="preserve">BELEN </t>
  </si>
  <si>
    <t>BOAVITA - GUACAMAYAS</t>
  </si>
  <si>
    <t>BOAVITA</t>
  </si>
  <si>
    <t>GUACAMAYAS</t>
  </si>
  <si>
    <t>SOATA - TIPACOQUE</t>
  </si>
  <si>
    <t>SOATA</t>
  </si>
  <si>
    <t>TIPACOQUE</t>
  </si>
  <si>
    <t xml:space="preserve">NARINO-BUENAVISTA </t>
  </si>
  <si>
    <t>NARIÑO</t>
  </si>
  <si>
    <t>BUENAVISTA</t>
  </si>
  <si>
    <t>BUENAVISTA-CANTINO</t>
  </si>
  <si>
    <t>CANTINO</t>
  </si>
  <si>
    <t>BOYACA - PUENTE CAMACHO</t>
  </si>
  <si>
    <t>BOYACA</t>
  </si>
  <si>
    <t>PTE, CAMACHO</t>
  </si>
  <si>
    <t>CHIQUINQUIRA - NARINO</t>
  </si>
  <si>
    <t>NARINO</t>
  </si>
  <si>
    <t>CHIQUINQUIRA - SEC 53836 PTO CALDAS</t>
  </si>
  <si>
    <t>SEC PTO CALDAS</t>
  </si>
  <si>
    <t>SEC 53836 PTO CALDAS - PIEDRA GORDA</t>
  </si>
  <si>
    <t>PIEDRA GORDA</t>
  </si>
  <si>
    <t>CHIQUINQUIRA - SABOYA</t>
  </si>
  <si>
    <t>SABOYA</t>
  </si>
  <si>
    <t>CHINAVITA - PUENTE SIZA</t>
  </si>
  <si>
    <t>CHINAVITA</t>
  </si>
  <si>
    <t>PUENTE SIZA</t>
  </si>
  <si>
    <t>GARAVITO - PTE, SAN GUILLERMO</t>
  </si>
  <si>
    <t>GARAVITO</t>
  </si>
  <si>
    <t>PTE, SAN GUILLERMO</t>
  </si>
  <si>
    <t>PAUNITA - MUZO</t>
  </si>
  <si>
    <t>PAUNITA</t>
  </si>
  <si>
    <t>MUZO</t>
  </si>
  <si>
    <t>1/0 ACSR</t>
  </si>
  <si>
    <t>PAUNA - GUANARES</t>
  </si>
  <si>
    <t>PAUNA</t>
  </si>
  <si>
    <t>GUANARES</t>
  </si>
  <si>
    <t>PIEDRA GORDA-PAUNA</t>
  </si>
  <si>
    <t xml:space="preserve"> CANTINO-PAUNITA</t>
  </si>
  <si>
    <t>GUATEQUE - SEC 54811</t>
  </si>
  <si>
    <t>GUATEQUE</t>
  </si>
  <si>
    <t>SEC 54811</t>
  </si>
  <si>
    <t>ALMEIDA - SEC 54812</t>
  </si>
  <si>
    <t>SEC 54812</t>
  </si>
  <si>
    <t>GARAGOA - SEC 54810</t>
  </si>
  <si>
    <t>GARAGOA</t>
  </si>
  <si>
    <t>SEC 54810</t>
  </si>
  <si>
    <t>CHIVOR - SEC 54813</t>
  </si>
  <si>
    <t>CHIVOR</t>
  </si>
  <si>
    <t>COMBITA - ARCABUCO</t>
  </si>
  <si>
    <t>COMBITA</t>
  </si>
  <si>
    <t>ARCABUCO</t>
  </si>
  <si>
    <t xml:space="preserve"> BOAVITA - CUSAGUI</t>
  </si>
  <si>
    <t>CUSAGUI</t>
  </si>
  <si>
    <t>BOAVITA - SOATA</t>
  </si>
  <si>
    <t>CUSAGUI - LA PLAYA</t>
  </si>
  <si>
    <t>LA PLAYA</t>
  </si>
  <si>
    <t>DIQUE RIO BAMBA - PTO, SERVIEZ</t>
  </si>
  <si>
    <t>DIQUE RIO BAMBA</t>
  </si>
  <si>
    <t>PTO, SERVIEZ</t>
  </si>
  <si>
    <t>DONATO - COMBITA</t>
  </si>
  <si>
    <t>DONATO</t>
  </si>
  <si>
    <t>DONATO 2 - SAMACA NEW 2</t>
  </si>
  <si>
    <t>SAMACA NEW</t>
  </si>
  <si>
    <t>DONATO 1 - SAMACA NEW 1</t>
  </si>
  <si>
    <t>DONATO - PTE, CAMACHO</t>
  </si>
  <si>
    <t>DONATO - PATRIOTAS</t>
  </si>
  <si>
    <t>PATRIOTAS</t>
  </si>
  <si>
    <t>EL BARNE - COMBITA</t>
  </si>
  <si>
    <t>EL BARNE</t>
  </si>
  <si>
    <t>VILLA DE LEYVA- SUTAMARCHAN</t>
  </si>
  <si>
    <t>SUTAMARCHAN</t>
  </si>
  <si>
    <t>ESCUELA LA CARRERA - FIRAVITOBA</t>
  </si>
  <si>
    <t>ESCUELA LA CARRERA</t>
  </si>
  <si>
    <t>FIRAVITOBA</t>
  </si>
  <si>
    <t>FINCAS PTO, BOYACA - PTO, SERVIEZ</t>
  </si>
  <si>
    <t>FINCAS PTO, BOYACA</t>
  </si>
  <si>
    <t>GACHANTIVA - HORNILLAS</t>
  </si>
  <si>
    <t>GACHANTIVA</t>
  </si>
  <si>
    <t>PIEDRA GORDA - BRICENO</t>
  </si>
  <si>
    <t>BRICENO</t>
  </si>
  <si>
    <t>GUATEQUE - GARAGOA</t>
  </si>
  <si>
    <t>HIGUERAS - CIUDADELA</t>
  </si>
  <si>
    <t>HIGUERAS</t>
  </si>
  <si>
    <t>CIUDADELA</t>
  </si>
  <si>
    <t>HIGUERAS - MARANTA</t>
  </si>
  <si>
    <t>MARANTA</t>
  </si>
  <si>
    <t>HORNILLAS - SANTA SOFIA</t>
  </si>
  <si>
    <t>SANTA SOFIA</t>
  </si>
  <si>
    <t>HUNZA - PATRIOTAS</t>
  </si>
  <si>
    <t>HUNZA</t>
  </si>
  <si>
    <t xml:space="preserve"> TAPIAS-JERICO</t>
  </si>
  <si>
    <t>TAPIAS</t>
  </si>
  <si>
    <t>JERICO</t>
  </si>
  <si>
    <t>CHINAVITA - LA FRONTERA</t>
  </si>
  <si>
    <t>LA FRONTERA</t>
  </si>
  <si>
    <t>LA FRONTERA - GARAGOA</t>
  </si>
  <si>
    <t>LA LAJITA - SAMACA ANTIGUA</t>
  </si>
  <si>
    <t>LA LAJITA</t>
  </si>
  <si>
    <t>SAMACA ANTIGUA</t>
  </si>
  <si>
    <t>LA LAJITA - PTE, BOYACA</t>
  </si>
  <si>
    <t>PTE, BOYACA</t>
  </si>
  <si>
    <t>LA LAJITA - BOYACA</t>
  </si>
  <si>
    <t>LA PLAYA - JERICO</t>
  </si>
  <si>
    <t>LA PLAYA - CHITA</t>
  </si>
  <si>
    <t>CHITA</t>
  </si>
  <si>
    <t>LA RAMADA 2 - RIO CHIQUITO</t>
  </si>
  <si>
    <t>LA RAMADA</t>
  </si>
  <si>
    <t>RIO CHIQUITO</t>
  </si>
  <si>
    <t>LA RAMADA 1 - RIO CHIQUITO</t>
  </si>
  <si>
    <t>RIO CHIQUITO - IRAKA</t>
  </si>
  <si>
    <t>RIO CHIQUITO-SIRATA</t>
  </si>
  <si>
    <t>LA RAMADA - SAN ANTONIO</t>
  </si>
  <si>
    <t>SAN ANTONIO</t>
  </si>
  <si>
    <t>FIRAVITOBA - LLANO DE ALARCON</t>
  </si>
  <si>
    <t>LLANO DE ALARCON</t>
  </si>
  <si>
    <t xml:space="preserve">MARANTA - BELEN </t>
  </si>
  <si>
    <t>SABOYA - GARAVITO</t>
  </si>
  <si>
    <t>MIRAFLOREZ - PAEZ</t>
  </si>
  <si>
    <t xml:space="preserve">PAEZ </t>
  </si>
  <si>
    <t>MIRAFLOREZ</t>
  </si>
  <si>
    <t>SAN MARTÍN - SANTA BARBARA</t>
  </si>
  <si>
    <t>SANTA BARBARA</t>
  </si>
  <si>
    <t>SANTA BARBARA - OTANCHE</t>
  </si>
  <si>
    <t>OTANCHE</t>
  </si>
  <si>
    <t>SAN PABLO-OTANCHE</t>
  </si>
  <si>
    <t>PAZ DE RIO - SEC 58103</t>
  </si>
  <si>
    <t>PAZ DE RIO</t>
  </si>
  <si>
    <t>HUCHE</t>
  </si>
  <si>
    <t>SANTA BARBARA - LAPITA (Sector Minero 34,5kV)</t>
  </si>
  <si>
    <t>LAPITA (Sector Minero 34,5kV)</t>
  </si>
  <si>
    <t>PUENTE BOYACA - VENTAQUEMADA</t>
  </si>
  <si>
    <t>PUENTE BOYACA</t>
  </si>
  <si>
    <t>VENTAQUEMADA</t>
  </si>
  <si>
    <t>PUENTE CAMACHO - JENESANO OLD</t>
  </si>
  <si>
    <t>PUENTE CAMACHO</t>
  </si>
  <si>
    <t>JENESANO OLD</t>
  </si>
  <si>
    <t>PUENTE OSPINA - CAMBULOS</t>
  </si>
  <si>
    <t>PUENTE OSPINA</t>
  </si>
  <si>
    <t>CAMBULOS</t>
  </si>
  <si>
    <t>GARAGOA - TENZA</t>
  </si>
  <si>
    <t>CAMBULOS 2</t>
  </si>
  <si>
    <t>PUERTO BOYACA - LA PERLA</t>
  </si>
  <si>
    <t>PUERTO BOYACA</t>
  </si>
  <si>
    <t>LA PERLA</t>
  </si>
  <si>
    <t>PUERTO BOYACA - VELAZQUEZ</t>
  </si>
  <si>
    <t>VELAZQUEZ</t>
  </si>
  <si>
    <t>PUERTO BOYACA - DIQUERIOBAMBA</t>
  </si>
  <si>
    <t>JENESANO OLD - JENESANO NEW</t>
  </si>
  <si>
    <t>JENESANO NEW</t>
  </si>
  <si>
    <t xml:space="preserve"> JENESANO NEW - TIBANA</t>
  </si>
  <si>
    <t>TIBANA</t>
  </si>
  <si>
    <t>TIBANA - SEC 50873</t>
  </si>
  <si>
    <t xml:space="preserve">SEC 50873 (APOSENTOS) </t>
  </si>
  <si>
    <t>SEC 50873 (APOSENTOS) - SEC 50876 (UMBITA)</t>
  </si>
  <si>
    <t xml:space="preserve"> SEC 50876 (UMBITA)</t>
  </si>
  <si>
    <t>SEC 50876 (UMBITA) - UMBITA</t>
  </si>
  <si>
    <t>UMBITA</t>
  </si>
  <si>
    <t>SEC 50876 (UMBITA)  - PUENTE SIZA</t>
  </si>
  <si>
    <t>PUENTE SIZA - CHINAVITA</t>
  </si>
  <si>
    <t>PUENTE CAMACHO - RAMIRIQUI</t>
  </si>
  <si>
    <t>RAMIRIQUI</t>
  </si>
  <si>
    <t>RAMIRIQUI - RANCHO GRANDE</t>
  </si>
  <si>
    <t>RANCHO GRANDE</t>
  </si>
  <si>
    <t>RANCHO GRANDE - ZETAQUIRA</t>
  </si>
  <si>
    <t>ZETAQUIRA</t>
  </si>
  <si>
    <t>RIOPIEDRAS - EL BARNE</t>
  </si>
  <si>
    <t>RIOPIEDRAS</t>
  </si>
  <si>
    <t>RIOPIEDRAS - PAIPA</t>
  </si>
  <si>
    <t>PAIPA34,5</t>
  </si>
  <si>
    <t>Sector Minero - Muzo</t>
  </si>
  <si>
    <t>Sector Minero</t>
  </si>
  <si>
    <t>Muzo</t>
  </si>
  <si>
    <t>SACHICA - VILLA DE LEYVA</t>
  </si>
  <si>
    <t>SACHICA - SAMACA NEW</t>
  </si>
  <si>
    <t>SAMACA NEW - SAMACA ANTIGUA (INDUSTRIAL)</t>
  </si>
  <si>
    <t>SAMACA OLD</t>
  </si>
  <si>
    <t>SAMACA NEW - SAMACA ANTIGUA (PUENTE BOYACA)</t>
  </si>
  <si>
    <t>SAN ANTONIO - CORRALES</t>
  </si>
  <si>
    <t>CORRALES</t>
  </si>
  <si>
    <t>CORRALES - TASCO</t>
  </si>
  <si>
    <t>SAN ANTONIO - TOPAGA</t>
  </si>
  <si>
    <t>TOPAGA</t>
  </si>
  <si>
    <t>TOQUILLA - AQUITANIA</t>
  </si>
  <si>
    <t>TOQUILLA</t>
  </si>
  <si>
    <t>AQUITANIA</t>
  </si>
  <si>
    <t>MONIQUIRA-ARCABUCO</t>
  </si>
  <si>
    <t>MONIQUIRA</t>
  </si>
  <si>
    <t>MONIQUIRA-BARBOSA</t>
  </si>
  <si>
    <t>BARBOSA</t>
  </si>
  <si>
    <t>CARBONERA - SANTANA</t>
  </si>
  <si>
    <t>CARBONERA</t>
  </si>
  <si>
    <t>SANTANA</t>
  </si>
  <si>
    <t>CHITARAQUE - CARBONERA</t>
  </si>
  <si>
    <t>CHITARAQUE</t>
  </si>
  <si>
    <t>TOGUI-CHITARAQUE</t>
  </si>
  <si>
    <t>TOGUI</t>
  </si>
  <si>
    <t>SANTAMARIA - SAN LUIS DE GACENO</t>
  </si>
  <si>
    <t>SANTAMARIA</t>
  </si>
  <si>
    <t>SAN LUIS DE GACENO</t>
  </si>
  <si>
    <t>BARBOSA - SAN JOSE DE PARE</t>
  </si>
  <si>
    <t>SAN JOSE DE PARE</t>
  </si>
  <si>
    <t>SANTANA - SAN JOSE DE PARE</t>
  </si>
  <si>
    <t>RIOCHIQUITO - ESCUELA LA CARRERA - SIRATA</t>
  </si>
  <si>
    <t>SIRATA</t>
  </si>
  <si>
    <t>ESCUELA LA CARRERA/RIOCHIQUITO</t>
  </si>
  <si>
    <t>EL HUCHE - SOCHA</t>
  </si>
  <si>
    <t>EL HUCHE</t>
  </si>
  <si>
    <t>SOCHA</t>
  </si>
  <si>
    <t>SOCHA - SOCOTA</t>
  </si>
  <si>
    <t>SUTAMARCHAN - CHIQUINQUIRA</t>
  </si>
  <si>
    <t>GUATEQUE  - SUTATENZA</t>
  </si>
  <si>
    <t>SUTATENZA</t>
  </si>
  <si>
    <t>SOCOTA - TAPIAS</t>
  </si>
  <si>
    <t>TASCO - EL HUCHE</t>
  </si>
  <si>
    <t>SUTATENZA - TENZA</t>
  </si>
  <si>
    <t>TENZA</t>
  </si>
  <si>
    <t>SEC 50873 - APOSENTOS</t>
  </si>
  <si>
    <t>SEC 50873</t>
  </si>
  <si>
    <t>APOSENTOS</t>
  </si>
  <si>
    <t>MONIQUIRA-TOGUI</t>
  </si>
  <si>
    <t>VILLA DE LEYVA - ELMUELLE</t>
  </si>
  <si>
    <t>ELMUELLE</t>
  </si>
  <si>
    <t>ZETAQUIRA - MIRAFLOREZ</t>
  </si>
  <si>
    <t>MIRAFLOREZ - GARAGOA</t>
  </si>
  <si>
    <t>LABRANZAGRANDE - EL MORRO</t>
  </si>
  <si>
    <t>LABRANZAGRANDE</t>
  </si>
  <si>
    <t>EL MORRO</t>
  </si>
  <si>
    <t>HIGUERAS - IRACA</t>
  </si>
  <si>
    <t>IRACA</t>
  </si>
  <si>
    <t>IRACA - RIO CHIQUITO</t>
  </si>
  <si>
    <t>PAIPA  - ARENAL</t>
  </si>
  <si>
    <t>ARENAL</t>
  </si>
  <si>
    <t>CIUDADELA - TUNDAMA</t>
  </si>
  <si>
    <t>TUNDAMA</t>
  </si>
  <si>
    <t>TUNDAMA - MARANTA</t>
  </si>
  <si>
    <t>CIUDADELA - ARENAL</t>
  </si>
  <si>
    <t>DONATO - SAN LAZARO</t>
  </si>
  <si>
    <t>SAN LAZARO</t>
  </si>
  <si>
    <t>SAN LAZARO - HUNZA</t>
  </si>
  <si>
    <t>DONATO - MUISCAS</t>
  </si>
  <si>
    <t>MUISCAS</t>
  </si>
  <si>
    <t>MUISCAS  - COMBITA</t>
  </si>
  <si>
    <t>MONIQUIRA-HORNILLAS</t>
  </si>
  <si>
    <t>VELAZQUES -OKAL</t>
  </si>
  <si>
    <t>VELAZQUES</t>
  </si>
  <si>
    <t>OKAL</t>
  </si>
  <si>
    <t>TOQUILLA-CORINTO</t>
  </si>
  <si>
    <t>CORINTO</t>
  </si>
  <si>
    <t>TOQUILLA-AQUITANIA</t>
  </si>
  <si>
    <t>EL HUCHE- LA CHAPA</t>
  </si>
  <si>
    <t>LA CHAPA</t>
  </si>
  <si>
    <t>TOQUILLA-PAJARITO</t>
  </si>
  <si>
    <t>PAJARITO</t>
  </si>
  <si>
    <t>MUISCAS-PATRIOTAS</t>
  </si>
  <si>
    <t>El tramo existente entre las subestaciones Higueras y Suamox fue intervenido mediante una intersección en la línea actual, a partir de la cual se construyó un nuevo tramo de entrada-salida hacia la subestación Higueras–Santa Teresa, con una longitud aproximada de 0,38 km.</t>
  </si>
  <si>
    <t>El tramo existente entre las subestaciones Higueras y Suamox fue intervenido mediante una intersección en la línea actual, a partir de la cual se construyó un nuevo tramo de entrada-salida hacia la subestación Santa Teresa–Suamox, con una longitud aproximada de 0,38 km.</t>
  </si>
  <si>
    <t>EBSA</t>
  </si>
  <si>
    <t>BOAVITA 15 MVA 115/34.5/13.8 kV</t>
  </si>
  <si>
    <t>YNyn0d1</t>
  </si>
  <si>
    <t>8,25</t>
  </si>
  <si>
    <t>4</t>
  </si>
  <si>
    <t>60,2</t>
  </si>
  <si>
    <t>CHIQUINQUIRA 25 MVA 115/34.5/13.8 kV</t>
  </si>
  <si>
    <t>YNd11yn0</t>
  </si>
  <si>
    <t>7,93</t>
  </si>
  <si>
    <t>2,89</t>
  </si>
  <si>
    <t>133,24</t>
  </si>
  <si>
    <t>DUITAMA (HIGUERAS) 40 MVA 115/34.5/13.8 kV</t>
  </si>
  <si>
    <t>YNyn0</t>
  </si>
  <si>
    <t>11,87</t>
  </si>
  <si>
    <t>0,59</t>
  </si>
  <si>
    <t>243,28</t>
  </si>
  <si>
    <t>GUATEQUE 25 MVA 115/34.5/13.8 kV</t>
  </si>
  <si>
    <t>7,65</t>
  </si>
  <si>
    <t>3,25</t>
  </si>
  <si>
    <t>139,53</t>
  </si>
  <si>
    <t>LA RAMADA 1 40 MVA 115/34.5/13.8 kV</t>
  </si>
  <si>
    <t>12,21</t>
  </si>
  <si>
    <t>0,64</t>
  </si>
  <si>
    <t>253,49</t>
  </si>
  <si>
    <t>PAIPA 1 180 MVA 230/115/13.8 kV</t>
  </si>
  <si>
    <t>PAIPA I</t>
  </si>
  <si>
    <t>YNa0d1</t>
  </si>
  <si>
    <t>9,55</t>
  </si>
  <si>
    <t>6,71</t>
  </si>
  <si>
    <t>631,4</t>
  </si>
  <si>
    <t>PAIPA 2 90 MVA 230/115/13.8 kV</t>
  </si>
  <si>
    <t>PAIPA II</t>
  </si>
  <si>
    <t>9,73</t>
  </si>
  <si>
    <t>6,24</t>
  </si>
  <si>
    <t>104,83</t>
  </si>
  <si>
    <t>PAIPA 3 90 MVA 230/115/13.8 kV</t>
  </si>
  <si>
    <t>PAIPA III</t>
  </si>
  <si>
    <t>YN0yn0d0</t>
  </si>
  <si>
    <t>115,07</t>
  </si>
  <si>
    <t>PAIPA 30 MVA 115/34.5/13.8 kV</t>
  </si>
  <si>
    <t>PAIPA TRIDEVANADO</t>
  </si>
  <si>
    <t>34.5</t>
  </si>
  <si>
    <t>13.8</t>
  </si>
  <si>
    <t>YNyn0yn0(d)</t>
  </si>
  <si>
    <t>10,15</t>
  </si>
  <si>
    <t>3,06</t>
  </si>
  <si>
    <t>248,34</t>
  </si>
  <si>
    <t>PUERTO BOYACA 20 MVA 115/34.5/13.8 kV</t>
  </si>
  <si>
    <t>PUERTO BOYACÁ</t>
  </si>
  <si>
    <t>YNyn0yn0(d1)</t>
  </si>
  <si>
    <t>10,17</t>
  </si>
  <si>
    <t>5,6</t>
  </si>
  <si>
    <t>74,14</t>
  </si>
  <si>
    <t>SAN ANTONIO (BOYACA) 1 40 MVA 115/34.5/13.8 kV</t>
  </si>
  <si>
    <t>1,023</t>
  </si>
  <si>
    <t>0,931</t>
  </si>
  <si>
    <t>12,823</t>
  </si>
  <si>
    <t>SAN PABLO 1 25 MVA 115/34.5/(13.8) kV</t>
  </si>
  <si>
    <t>YNyn0yn0+d11</t>
  </si>
  <si>
    <t>4,3</t>
  </si>
  <si>
    <t>9,92</t>
  </si>
  <si>
    <t>43,657</t>
  </si>
  <si>
    <t>SANTA MARIA 15 MVA 115/34.5/13.8 kV</t>
  </si>
  <si>
    <t>SANTA MARIA</t>
  </si>
  <si>
    <t>9</t>
  </si>
  <si>
    <t>12,8</t>
  </si>
  <si>
    <t>26,13</t>
  </si>
  <si>
    <t>SOCHAGOTA 1 180 MVA 230/115/13.8 kV</t>
  </si>
  <si>
    <t>SOCHAGOTA</t>
  </si>
  <si>
    <t>9,42</t>
  </si>
  <si>
    <t>0,3</t>
  </si>
  <si>
    <t>-</t>
  </si>
  <si>
    <t>SUAMOX 1 150 MVA 230/115/13.8 kV</t>
  </si>
  <si>
    <t>SUAMOX AUTO I</t>
  </si>
  <si>
    <t>15,92</t>
  </si>
  <si>
    <t>0,05</t>
  </si>
  <si>
    <t>SUAMOX 2 150 MVA 230/115/13.8 kV</t>
  </si>
  <si>
    <t>SUAMOX AUTO II</t>
  </si>
  <si>
    <t>15,85</t>
  </si>
  <si>
    <t>TOQUILLA 1 15 MVA 115/34.5/13.2 kV</t>
  </si>
  <si>
    <t>8,94</t>
  </si>
  <si>
    <t>0,36</t>
  </si>
  <si>
    <t>91,36</t>
  </si>
  <si>
    <t>Tener en cuenta que son 3 transformadores monofasicos</t>
  </si>
  <si>
    <t>TR_DONATO4</t>
  </si>
  <si>
    <t>YNyn0(d)</t>
  </si>
  <si>
    <t>227,45</t>
  </si>
  <si>
    <t>TR_DONATO2</t>
  </si>
  <si>
    <t>Dyn5</t>
  </si>
  <si>
    <t>TR_DONATO1</t>
  </si>
  <si>
    <t>Dyn11</t>
  </si>
  <si>
    <t>TR_MUISCAS</t>
  </si>
  <si>
    <t>YNyn0+d</t>
  </si>
  <si>
    <t>148</t>
  </si>
  <si>
    <t>TR_ALTORICAURTE</t>
  </si>
  <si>
    <t>YNyn0(d11)</t>
  </si>
  <si>
    <t>TR_HUCHE</t>
  </si>
  <si>
    <t>TR_JENESANO</t>
  </si>
  <si>
    <t>JENESANO</t>
  </si>
  <si>
    <t>96,09</t>
  </si>
  <si>
    <t>TR_SANTA TERESA</t>
  </si>
  <si>
    <t>BELEN</t>
  </si>
  <si>
    <t>BRICEÑO</t>
  </si>
  <si>
    <t>CIUDADELA ARTESANAL</t>
  </si>
  <si>
    <t>IRAKA</t>
  </si>
  <si>
    <t>Dy5</t>
  </si>
  <si>
    <t>LABRANZA GRANDE</t>
  </si>
  <si>
    <t>MIRAFLORES</t>
  </si>
  <si>
    <t>PAEZ</t>
  </si>
  <si>
    <t>PAYA</t>
  </si>
  <si>
    <t>PISBA</t>
  </si>
  <si>
    <t>PUERTO SERVIEZ</t>
  </si>
  <si>
    <t>SAMACA</t>
  </si>
  <si>
    <t>SAN MARTIN</t>
  </si>
  <si>
    <t>SAN ANTONIO_15 MVA</t>
  </si>
  <si>
    <t>RIO DE PIEDRAS</t>
  </si>
  <si>
    <t>PUENTE DE BOYACA</t>
  </si>
  <si>
    <t>N/A</t>
  </si>
  <si>
    <t>EL CASTILLO</t>
  </si>
  <si>
    <t>EL ARENAL</t>
  </si>
  <si>
    <t xml:space="preserve">BOYACA </t>
  </si>
  <si>
    <r>
      <t>BELENCITO (</t>
    </r>
    <r>
      <rPr>
        <b/>
        <sz val="11"/>
        <color theme="1"/>
        <rFont val="Calibri"/>
        <family val="2"/>
        <scheme val="minor"/>
      </rPr>
      <t>NORMALIZACION APDR)</t>
    </r>
  </si>
  <si>
    <t>NOBSA</t>
  </si>
  <si>
    <t>TUNJA</t>
  </si>
  <si>
    <t>EL TECAL</t>
  </si>
  <si>
    <t>DUITAMA</t>
  </si>
  <si>
    <t>SOGAMOSO</t>
  </si>
  <si>
    <t>NORMALIZACION BAVARIA</t>
  </si>
  <si>
    <t>NORMALIZACION GSR (SIDENAL)</t>
  </si>
  <si>
    <t>NORMALIZACION HOLCIM</t>
  </si>
  <si>
    <t>NUEVA JENESANO 115 KV</t>
  </si>
  <si>
    <t>SAN PABLO 115 KV</t>
  </si>
  <si>
    <t>TUNJITA</t>
  </si>
  <si>
    <t xml:space="preserve">TOQUILLA </t>
  </si>
  <si>
    <t>Toquilla</t>
  </si>
  <si>
    <t>PAIPA</t>
  </si>
  <si>
    <t>GIS CHIVOR</t>
  </si>
  <si>
    <t>SUAMOX</t>
  </si>
  <si>
    <t>TIBASOSA</t>
  </si>
  <si>
    <t>Puerto Boyacá</t>
  </si>
  <si>
    <t>Duitama</t>
  </si>
  <si>
    <t>Jerico</t>
  </si>
  <si>
    <t>Sogamoso</t>
  </si>
  <si>
    <t>Tunja</t>
  </si>
  <si>
    <t>Samaca</t>
  </si>
  <si>
    <t>EL OKAL</t>
  </si>
  <si>
    <t>Peurto Boyaca</t>
  </si>
  <si>
    <t>Paipa</t>
  </si>
  <si>
    <t>La Uvita</t>
  </si>
  <si>
    <t>La capacidad de cortocircuito reportada corresponde al SPT de la Subestación, que es el elemento limitante, no obstante los interruptores son de 40 kA</t>
  </si>
  <si>
    <t>La Subestacion el Tecal 115 kV con FPO a diciembre de 2027</t>
  </si>
  <si>
    <t>La capacidad de cortocircuito reportada es de los interuptores de potencia y el SPT de la SE</t>
  </si>
  <si>
    <t>La capacidad de cortocircuito reportada corresponde al SPT de la Subestación, que es el elemento limitante, no obstante los interruptores son de 30 kA</t>
  </si>
  <si>
    <t>La capacidad de cortocircuito reportada es de los interuptores de potencia</t>
  </si>
  <si>
    <t>ARGOS</t>
  </si>
  <si>
    <t>BAVARIA</t>
  </si>
  <si>
    <t>DIACO</t>
  </si>
  <si>
    <t>HOLCIM</t>
  </si>
  <si>
    <t>SIDENAL</t>
  </si>
  <si>
    <t>ACERÍASPAZDELRÍO</t>
  </si>
  <si>
    <t>CAMPO JAZMIN</t>
  </si>
  <si>
    <t>PALAGUA</t>
  </si>
  <si>
    <t>VASCONIA</t>
  </si>
  <si>
    <t>SERVIEZ</t>
  </si>
  <si>
    <t>TECAL</t>
  </si>
  <si>
    <t>JENESANOOLD</t>
  </si>
  <si>
    <t>RANCHOGRANDE</t>
  </si>
  <si>
    <t>ECOPETROL1.5MVA(15063)</t>
  </si>
  <si>
    <t>ECOPETROL0.8MVA(15063)</t>
  </si>
  <si>
    <t>ECOGAS112.5A(15063)</t>
  </si>
  <si>
    <t>NUEVA JENESANO</t>
  </si>
  <si>
    <t>DONATOTR1</t>
  </si>
  <si>
    <t>DONATOTR2</t>
  </si>
  <si>
    <t>GLASSEC1MVA(15041)HUNZA</t>
  </si>
  <si>
    <t>SERAQA0.8MVA(15041)HUNZA</t>
  </si>
  <si>
    <t>CENTRONORTE0.63MVA(14517)DONATO</t>
  </si>
  <si>
    <t>CHORRITO1MVA(14711)</t>
  </si>
  <si>
    <t>AYALAS1.25MVA(14791)</t>
  </si>
  <si>
    <t>HOLANDA1MVA(14791)</t>
  </si>
  <si>
    <t>DRPANTANODEVARGAS1.25MVA(14791)</t>
  </si>
  <si>
    <t>SIKA0.5MVA(14791)</t>
  </si>
  <si>
    <t>POLLOSELDORADO1MVA(14791)</t>
  </si>
  <si>
    <t>LAMINADOSANDINO6.5MVA(14791)</t>
  </si>
  <si>
    <t>ACEROSBOYACA4MVA(15601)</t>
  </si>
  <si>
    <t>SOCOFAM5MVA(14819)</t>
  </si>
  <si>
    <t>PAIPA_IND</t>
  </si>
  <si>
    <t>DRCUCHE1MVA(14102)IRAKA</t>
  </si>
  <si>
    <t>DRVUELTAS0.8MVA(14102)IRAKA</t>
  </si>
  <si>
    <t>DRUSOCHICAMOCHAESTACION1MVA(14102)IRAKA</t>
  </si>
  <si>
    <t>MINISTERIO1MVA(14102)IRAKA</t>
  </si>
  <si>
    <t>MONQUIRA0.8MVA(14102)IRAKA</t>
  </si>
  <si>
    <t>MINASPAZDELRIOS.A</t>
  </si>
  <si>
    <t>LONDONMININ1.25MVA(15398)</t>
  </si>
  <si>
    <t>ANDINADECOQUESYCARBONESLTDA1.6MVA(15398)</t>
  </si>
  <si>
    <t>MINAELUVO2.5MVA(15398)</t>
  </si>
  <si>
    <t>GRAPASYP.ELCABALLO(14822)</t>
  </si>
  <si>
    <t>CEMENTOSDELORIENTE(14822)</t>
  </si>
  <si>
    <t>SUDAMINSA(14822)</t>
  </si>
  <si>
    <t>INDUMIL(14822)</t>
  </si>
  <si>
    <t>CEMENTOSNACIONALES(14822)</t>
  </si>
  <si>
    <t>CEMENTOSSAS(14822)</t>
  </si>
  <si>
    <t>CHIQUINQUIRA 13,2</t>
  </si>
  <si>
    <t>TELECOMCERROBOCA45A(14908)</t>
  </si>
  <si>
    <t>TRITURADORA500A(14908)</t>
  </si>
  <si>
    <t>CHIQUINQUIRÁ</t>
  </si>
  <si>
    <t>ESPAÑOLES1MVA(14907)</t>
  </si>
  <si>
    <t>MINACUNASDEESMERALDASSANTAROSALTDA(14907)</t>
  </si>
  <si>
    <t>MINERALTEXASDECOLOMBIA4.4MVA(14907)</t>
  </si>
  <si>
    <t>FURALAPAZ(14907)</t>
  </si>
  <si>
    <t>TELECOMLAMESA30A(14908)</t>
  </si>
  <si>
    <t>SANMARTIN</t>
  </si>
  <si>
    <t>CONFABOY</t>
  </si>
  <si>
    <t>TIBIRITA</t>
  </si>
  <si>
    <t>PTEOSPINA</t>
  </si>
  <si>
    <t>ESTACIONDERECIBODEDIESEL400A(15300)</t>
  </si>
  <si>
    <t>BATALLONBARBULA1MVA(15300)</t>
  </si>
  <si>
    <t>TRANSPORTADORADEGASINTERNACIONAL45A(15300)</t>
  </si>
  <si>
    <t>ESTACIONCITYGATESECTORVASCONIA25A(15300)</t>
  </si>
  <si>
    <t>UNIWELL150A(15300)</t>
  </si>
  <si>
    <t>KAIMAIL25A(15300)</t>
  </si>
  <si>
    <t>VILLALUCIA25A(15331)</t>
  </si>
  <si>
    <t>HACIENDABONANZA25A(15331)</t>
  </si>
  <si>
    <t>OMINEXMANZARROVAR6.5A(15331)</t>
  </si>
  <si>
    <t>NUEVASSUBESTACIÓNOKAL(2020)</t>
  </si>
  <si>
    <t>NUEVASUBESTACIÓNAQUITANIA(2021)</t>
  </si>
  <si>
    <t>NUEVASUBESTACIÓNCORINTO(2022)</t>
  </si>
  <si>
    <t>NO APLICA PARA EBSA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</si>
</sst>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_(* \(#,##0.00\);_(* &quot;-&quot;??_);_(@_)"/>
    <numFmt numFmtId="165" formatCode="0.000"/>
    <numFmt numFmtId="166" formatCode="0.0000"/>
    <numFmt numFmtId="167" formatCode="0.0"/>
  </numFmts>
  <fonts count="3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000000"/>
      <name val="Calibri"/>
      <family val="2"/>
      <scheme val="minor"/>
    </font>
    <font>
      <sz val="11"/>
      <color rgb="FF9C6500"/>
      <name val="Calibri"/>
      <family val="2"/>
      <scheme val="minor"/>
    </font>
    <font>
      <sz val="10"/>
      <name val="Arial"/>
      <family val="2"/>
    </font>
    <font>
      <b/>
      <sz val="18"/>
      <color theme="3"/>
      <name val="Calibri Light"/>
      <family val="2"/>
      <scheme val="major"/>
    </font>
    <font>
      <b/>
      <sz val="9"/>
      <color theme="0"/>
      <name val="Calibri"/>
      <family val="2"/>
      <scheme val="minor"/>
    </font>
    <font>
      <b/>
      <sz val="9"/>
      <color theme="1"/>
      <name val="Calibri"/>
      <family val="2"/>
      <scheme val="minor"/>
    </font>
    <font>
      <b/>
      <sz val="14"/>
      <color theme="1"/>
      <name val="Calibri"/>
      <family val="2"/>
      <scheme val="minor"/>
    </font>
    <font>
      <sz val="10"/>
      <color theme="1"/>
      <name val="Calibri"/>
      <family val="2"/>
      <scheme val="minor"/>
    </font>
    <font>
      <sz val="11"/>
      <name val="Calibri"/>
      <family val="2"/>
      <scheme val="minor"/>
    </font>
    <font>
      <i/>
      <sz val="11"/>
      <color theme="1"/>
      <name val="Calibri"/>
      <family val="2"/>
      <scheme val="minor"/>
    </font>
    <font>
      <i/>
      <sz val="11"/>
      <name val="Calibri"/>
      <family val="2"/>
      <scheme val="minor"/>
    </font>
    <font>
      <sz val="11"/>
      <color theme="1"/>
      <name val="Calibri"/>
      <family val="2"/>
    </font>
    <font>
      <b/>
      <sz val="11"/>
      <color theme="1"/>
      <name val="Calibri"/>
      <family val="2"/>
    </font>
    <font>
      <sz val="9"/>
      <color theme="1"/>
      <name val="Calibri"/>
      <family val="2"/>
      <scheme val="minor"/>
    </font>
  </fonts>
  <fills count="4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0"/>
        <bgColor indexed="64"/>
      </patternFill>
    </fill>
    <fill>
      <patternFill patternType="solid">
        <fgColor rgb="FFFFFF00"/>
        <bgColor indexed="64"/>
      </patternFill>
    </fill>
    <fill>
      <patternFill patternType="solid">
        <fgColor rgb="FFFF0000"/>
        <bgColor indexed="64"/>
      </patternFill>
    </fill>
  </fills>
  <borders count="5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bottom/>
      <diagonal/>
    </border>
    <border>
      <left style="thin">
        <color indexed="64"/>
      </left>
      <right style="thin">
        <color indexed="64"/>
      </right>
      <top style="thin">
        <color indexed="64"/>
      </top>
      <bottom/>
      <diagonal/>
    </border>
    <border>
      <left/>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top/>
      <bottom/>
      <diagonal/>
    </border>
    <border>
      <left/>
      <right style="medium">
        <color indexed="64"/>
      </right>
      <top/>
      <bottom/>
      <diagonal/>
    </border>
    <border>
      <left/>
      <right style="medium">
        <color indexed="64"/>
      </right>
      <top/>
      <bottom style="medium">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medium">
        <color indexed="64"/>
      </left>
      <right style="medium">
        <color indexed="64"/>
      </right>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right style="thin">
        <color indexed="64"/>
      </right>
      <top style="thin">
        <color indexed="64"/>
      </top>
      <bottom style="medium">
        <color indexed="64"/>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style="thin">
        <color indexed="64"/>
      </left>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s>
  <cellStyleXfs count="47">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5" borderId="4" applyNumberFormat="0" applyAlignment="0" applyProtection="0"/>
    <xf numFmtId="0" fontId="9" fillId="6" borderId="5" applyNumberFormat="0" applyAlignment="0" applyProtection="0"/>
    <xf numFmtId="0" fontId="10" fillId="6" borderId="4" applyNumberFormat="0" applyAlignment="0" applyProtection="0"/>
    <xf numFmtId="0" fontId="11" fillId="0" borderId="6" applyNumberFormat="0" applyFill="0" applyAlignment="0" applyProtection="0"/>
    <xf numFmtId="0" fontId="12" fillId="7" borderId="7" applyNumberFormat="0" applyAlignment="0" applyProtection="0"/>
    <xf numFmtId="0" fontId="13" fillId="0" borderId="0" applyNumberFormat="0" applyFill="0" applyBorder="0" applyAlignment="0" applyProtection="0"/>
    <xf numFmtId="0" fontId="1" fillId="8" borderId="8" applyNumberFormat="0" applyFont="0" applyAlignment="0" applyProtection="0"/>
    <xf numFmtId="0" fontId="14" fillId="0" borderId="0" applyNumberFormat="0" applyFill="0" applyBorder="0" applyAlignment="0" applyProtection="0"/>
    <xf numFmtId="0" fontId="15" fillId="0" borderId="9" applyNumberFormat="0" applyFill="0" applyAlignment="0" applyProtection="0"/>
    <xf numFmtId="0" fontId="16"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6"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6"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6"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6"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6"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0" borderId="0"/>
    <xf numFmtId="0" fontId="18" fillId="4" borderId="0" applyNumberFormat="0" applyBorder="0" applyAlignment="0" applyProtection="0"/>
    <xf numFmtId="0" fontId="16" fillId="12" borderId="0" applyNumberFormat="0" applyBorder="0" applyAlignment="0" applyProtection="0"/>
    <xf numFmtId="0" fontId="16" fillId="16" borderId="0" applyNumberFormat="0" applyBorder="0" applyAlignment="0" applyProtection="0"/>
    <xf numFmtId="0" fontId="16" fillId="20" borderId="0" applyNumberFormat="0" applyBorder="0" applyAlignment="0" applyProtection="0"/>
    <xf numFmtId="0" fontId="16" fillId="24" borderId="0" applyNumberFormat="0" applyBorder="0" applyAlignment="0" applyProtection="0"/>
    <xf numFmtId="0" fontId="16" fillId="28" borderId="0" applyNumberFormat="0" applyBorder="0" applyAlignment="0" applyProtection="0"/>
    <xf numFmtId="0" fontId="16" fillId="32" borderId="0" applyNumberFormat="0" applyBorder="0" applyAlignment="0" applyProtection="0"/>
    <xf numFmtId="0" fontId="20" fillId="0" borderId="0" applyNumberFormat="0" applyFill="0" applyBorder="0" applyAlignment="0" applyProtection="0"/>
    <xf numFmtId="0" fontId="19" fillId="0" borderId="0"/>
    <xf numFmtId="164" fontId="1" fillId="0" borderId="0" applyFont="0" applyFill="0" applyBorder="0" applyAlignment="0" applyProtection="0"/>
    <xf numFmtId="0" fontId="19" fillId="0" borderId="0"/>
  </cellStyleXfs>
  <cellXfs count="188">
    <xf numFmtId="0" fontId="0" fillId="0" borderId="0" xfId="0"/>
    <xf numFmtId="0" fontId="0" fillId="0" borderId="0" xfId="0" applyAlignment="1">
      <alignment horizontal="center" vertical="center"/>
    </xf>
    <xf numFmtId="0" fontId="0" fillId="0" borderId="0" xfId="0" applyAlignment="1">
      <alignment horizontal="center"/>
    </xf>
    <xf numFmtId="0" fontId="16" fillId="0" borderId="0" xfId="0" applyFont="1"/>
    <xf numFmtId="0" fontId="16" fillId="0" borderId="0" xfId="0" applyFont="1" applyAlignment="1">
      <alignment horizontal="center" vertical="center"/>
    </xf>
    <xf numFmtId="0" fontId="21" fillId="0" borderId="0" xfId="0" applyFont="1" applyAlignment="1">
      <alignment horizontal="center" vertical="center"/>
    </xf>
    <xf numFmtId="0" fontId="22" fillId="0" borderId="0" xfId="0" applyFont="1" applyAlignment="1">
      <alignment horizontal="center" vertical="center"/>
    </xf>
    <xf numFmtId="0" fontId="0" fillId="34" borderId="21" xfId="0" applyFill="1" applyBorder="1" applyAlignment="1">
      <alignment horizontal="center"/>
    </xf>
    <xf numFmtId="0" fontId="0" fillId="34" borderId="22" xfId="0" applyFill="1" applyBorder="1" applyAlignment="1">
      <alignment horizontal="center"/>
    </xf>
    <xf numFmtId="0" fontId="0" fillId="35" borderId="10" xfId="0" applyFill="1" applyBorder="1"/>
    <xf numFmtId="0" fontId="0" fillId="35" borderId="23" xfId="0" applyFill="1" applyBorder="1"/>
    <xf numFmtId="0" fontId="0" fillId="34" borderId="24" xfId="0" applyFill="1" applyBorder="1" applyAlignment="1">
      <alignment horizontal="center"/>
    </xf>
    <xf numFmtId="0" fontId="0" fillId="35" borderId="25" xfId="0" applyFill="1" applyBorder="1"/>
    <xf numFmtId="0" fontId="0" fillId="34" borderId="27" xfId="0" applyFill="1" applyBorder="1" applyAlignment="1">
      <alignment horizontal="center"/>
    </xf>
    <xf numFmtId="0" fontId="0" fillId="35" borderId="28" xfId="0" applyFill="1" applyBorder="1"/>
    <xf numFmtId="0" fontId="0" fillId="35" borderId="29" xfId="0" applyFill="1" applyBorder="1"/>
    <xf numFmtId="0" fontId="0" fillId="0" borderId="0" xfId="0" applyAlignment="1">
      <alignment vertical="center"/>
    </xf>
    <xf numFmtId="0" fontId="0" fillId="0" borderId="0" xfId="0" applyAlignment="1">
      <alignment vertical="center" wrapText="1"/>
    </xf>
    <xf numFmtId="0" fontId="23" fillId="0" borderId="0" xfId="0" applyFont="1" applyAlignment="1">
      <alignment horizontal="center" vertical="center" wrapText="1"/>
    </xf>
    <xf numFmtId="0" fontId="23" fillId="0" borderId="26" xfId="0" applyFont="1" applyBorder="1" applyAlignment="1">
      <alignment horizontal="center" vertical="center" wrapText="1"/>
    </xf>
    <xf numFmtId="0" fontId="24" fillId="0" borderId="0" xfId="0" applyFont="1" applyAlignment="1">
      <alignment horizontal="left" vertical="center" wrapText="1"/>
    </xf>
    <xf numFmtId="0" fontId="0" fillId="34" borderId="34" xfId="0" applyFill="1" applyBorder="1" applyAlignment="1">
      <alignment horizontal="center"/>
    </xf>
    <xf numFmtId="0" fontId="0" fillId="35" borderId="35" xfId="0" applyFill="1" applyBorder="1"/>
    <xf numFmtId="0" fontId="0" fillId="35" borderId="36" xfId="0" applyFill="1" applyBorder="1"/>
    <xf numFmtId="0" fontId="0" fillId="35" borderId="37" xfId="0" applyFill="1" applyBorder="1"/>
    <xf numFmtId="0" fontId="0" fillId="35" borderId="38" xfId="0" applyFill="1" applyBorder="1"/>
    <xf numFmtId="0" fontId="0" fillId="35" borderId="39" xfId="0" applyFill="1" applyBorder="1"/>
    <xf numFmtId="0" fontId="22" fillId="35" borderId="11" xfId="0" applyFont="1" applyFill="1" applyBorder="1" applyAlignment="1">
      <alignment horizontal="center" vertical="center" wrapText="1"/>
    </xf>
    <xf numFmtId="0" fontId="0" fillId="0" borderId="40" xfId="0" applyBorder="1" applyAlignment="1">
      <alignment horizontal="left" vertical="center" wrapText="1"/>
    </xf>
    <xf numFmtId="0" fontId="0" fillId="0" borderId="37" xfId="0" applyBorder="1" applyAlignment="1">
      <alignment horizontal="left" vertical="center" wrapText="1"/>
    </xf>
    <xf numFmtId="0" fontId="25" fillId="0" borderId="42" xfId="0" applyFont="1" applyBorder="1" applyAlignment="1">
      <alignment vertical="center" wrapText="1"/>
    </xf>
    <xf numFmtId="0" fontId="25" fillId="0" borderId="38" xfId="0" applyFont="1" applyBorder="1" applyAlignment="1">
      <alignment vertical="center" wrapText="1"/>
    </xf>
    <xf numFmtId="0" fontId="25" fillId="0" borderId="34" xfId="0" applyFont="1" applyBorder="1" applyAlignment="1">
      <alignment horizontal="left" vertical="center" wrapText="1"/>
    </xf>
    <xf numFmtId="0" fontId="25" fillId="0" borderId="22" xfId="0" applyFont="1" applyBorder="1" applyAlignment="1">
      <alignment horizontal="left" vertical="center" wrapText="1"/>
    </xf>
    <xf numFmtId="0" fontId="25" fillId="0" borderId="38" xfId="0" applyFont="1" applyBorder="1" applyAlignment="1">
      <alignment horizontal="left" vertical="center" wrapText="1"/>
    </xf>
    <xf numFmtId="0" fontId="25" fillId="0" borderId="43" xfId="0" applyFont="1" applyBorder="1" applyAlignment="1">
      <alignment horizontal="left" vertical="center" wrapText="1"/>
    </xf>
    <xf numFmtId="0" fontId="25" fillId="0" borderId="44" xfId="0" applyFont="1" applyBorder="1" applyAlignment="1">
      <alignment vertical="center" wrapText="1"/>
    </xf>
    <xf numFmtId="0" fontId="25" fillId="0" borderId="42" xfId="0" applyFont="1" applyBorder="1" applyAlignment="1">
      <alignment horizontal="left" vertical="center" wrapText="1"/>
    </xf>
    <xf numFmtId="0" fontId="25" fillId="0" borderId="45" xfId="0" applyFont="1" applyBorder="1" applyAlignment="1">
      <alignment horizontal="left" vertical="center" wrapText="1"/>
    </xf>
    <xf numFmtId="0" fontId="25" fillId="0" borderId="46" xfId="0" applyFont="1" applyBorder="1" applyAlignment="1">
      <alignment horizontal="left" vertical="center" wrapText="1"/>
    </xf>
    <xf numFmtId="0" fontId="25" fillId="0" borderId="40" xfId="0" applyFont="1" applyBorder="1" applyAlignment="1">
      <alignment vertical="center"/>
    </xf>
    <xf numFmtId="0" fontId="25" fillId="0" borderId="37" xfId="0" applyFont="1" applyBorder="1" applyAlignment="1">
      <alignment vertical="center" wrapText="1"/>
    </xf>
    <xf numFmtId="0" fontId="25" fillId="0" borderId="42" xfId="0" applyFont="1" applyBorder="1" applyAlignment="1">
      <alignment vertical="center"/>
    </xf>
    <xf numFmtId="0" fontId="25" fillId="0" borderId="37" xfId="0" applyFont="1" applyBorder="1" applyAlignment="1">
      <alignment horizontal="left" vertical="center" wrapText="1"/>
    </xf>
    <xf numFmtId="0" fontId="25" fillId="0" borderId="27" xfId="0" applyFont="1" applyBorder="1" applyAlignment="1">
      <alignment vertical="center" wrapText="1"/>
    </xf>
    <xf numFmtId="0" fontId="25" fillId="0" borderId="46" xfId="0" applyFont="1" applyBorder="1" applyAlignment="1">
      <alignment vertical="center" wrapText="1"/>
    </xf>
    <xf numFmtId="0" fontId="16" fillId="0" borderId="0" xfId="0" applyFont="1" applyAlignment="1">
      <alignment wrapText="1"/>
    </xf>
    <xf numFmtId="0" fontId="25" fillId="0" borderId="47" xfId="0" applyFont="1" applyBorder="1" applyAlignment="1">
      <alignment horizontal="left" vertical="center" wrapText="1"/>
    </xf>
    <xf numFmtId="0" fontId="0" fillId="0" borderId="10" xfId="0" applyBorder="1" applyAlignment="1">
      <alignment horizontal="center" vertical="center"/>
    </xf>
    <xf numFmtId="0" fontId="0" fillId="0" borderId="10" xfId="0" applyBorder="1" applyAlignment="1">
      <alignment horizontal="center"/>
    </xf>
    <xf numFmtId="0" fontId="0" fillId="0" borderId="10" xfId="0" applyBorder="1" applyAlignment="1">
      <alignment horizontal="center" wrapText="1"/>
    </xf>
    <xf numFmtId="0" fontId="15" fillId="33" borderId="10" xfId="0" applyFont="1" applyFill="1" applyBorder="1" applyAlignment="1">
      <alignment horizontal="center"/>
    </xf>
    <xf numFmtId="0" fontId="26" fillId="36" borderId="10" xfId="0" applyFont="1" applyFill="1" applyBorder="1" applyAlignment="1">
      <alignment horizontal="center"/>
    </xf>
    <xf numFmtId="0" fontId="26" fillId="36" borderId="10" xfId="0" applyFont="1" applyFill="1" applyBorder="1" applyAlignment="1">
      <alignment horizontal="center" vertical="center"/>
    </xf>
    <xf numFmtId="14" fontId="0" fillId="35" borderId="36" xfId="0" applyNumberFormat="1" applyFill="1" applyBorder="1"/>
    <xf numFmtId="14" fontId="0" fillId="0" borderId="0" xfId="0" applyNumberFormat="1"/>
    <xf numFmtId="14" fontId="0" fillId="35" borderId="23" xfId="0" applyNumberFormat="1" applyFill="1" applyBorder="1"/>
    <xf numFmtId="14" fontId="0" fillId="35" borderId="29" xfId="0" applyNumberFormat="1" applyFill="1" applyBorder="1"/>
    <xf numFmtId="14" fontId="0" fillId="35" borderId="35" xfId="0" applyNumberFormat="1" applyFill="1" applyBorder="1"/>
    <xf numFmtId="14" fontId="0" fillId="35" borderId="10" xfId="0" applyNumberFormat="1" applyFill="1" applyBorder="1"/>
    <xf numFmtId="14" fontId="0" fillId="35" borderId="25" xfId="0" applyNumberFormat="1" applyFill="1" applyBorder="1"/>
    <xf numFmtId="0" fontId="25" fillId="0" borderId="43" xfId="0" applyFont="1" applyBorder="1" applyAlignment="1">
      <alignment vertical="center"/>
    </xf>
    <xf numFmtId="0" fontId="25" fillId="0" borderId="44" xfId="0" applyFont="1" applyBorder="1" applyAlignment="1">
      <alignment horizontal="left" vertical="center" wrapText="1"/>
    </xf>
    <xf numFmtId="0" fontId="25" fillId="0" borderId="22" xfId="0" applyFont="1" applyBorder="1" applyAlignment="1">
      <alignment vertical="center"/>
    </xf>
    <xf numFmtId="0" fontId="25" fillId="0" borderId="48" xfId="0" applyFont="1" applyBorder="1" applyAlignment="1">
      <alignment vertical="center" wrapText="1"/>
    </xf>
    <xf numFmtId="0" fontId="25" fillId="0" borderId="39" xfId="0" applyFont="1" applyBorder="1" applyAlignment="1">
      <alignment vertical="center" wrapText="1"/>
    </xf>
    <xf numFmtId="0" fontId="25" fillId="0" borderId="21" xfId="0" applyFont="1" applyBorder="1" applyAlignment="1">
      <alignment vertical="center" wrapText="1"/>
    </xf>
    <xf numFmtId="0" fontId="25" fillId="0" borderId="22" xfId="0" applyFont="1" applyBorder="1" applyAlignment="1">
      <alignment vertical="center" wrapText="1"/>
    </xf>
    <xf numFmtId="0" fontId="25" fillId="0" borderId="47" xfId="0" applyFont="1" applyBorder="1" applyAlignment="1">
      <alignment vertical="center" wrapText="1"/>
    </xf>
    <xf numFmtId="0" fontId="22" fillId="35" borderId="19" xfId="0" applyFont="1" applyFill="1" applyBorder="1" applyAlignment="1">
      <alignment horizontal="center" vertical="center" wrapText="1"/>
    </xf>
    <xf numFmtId="0" fontId="25" fillId="37" borderId="21" xfId="0" applyFont="1" applyFill="1" applyBorder="1" applyAlignment="1">
      <alignment vertical="center" wrapText="1"/>
    </xf>
    <xf numFmtId="0" fontId="25" fillId="37" borderId="44" xfId="0" applyFont="1" applyFill="1" applyBorder="1" applyAlignment="1">
      <alignment vertical="center" wrapText="1"/>
    </xf>
    <xf numFmtId="0" fontId="25" fillId="0" borderId="45" xfId="0" applyFont="1" applyBorder="1" applyAlignment="1">
      <alignment vertical="center" wrapText="1"/>
    </xf>
    <xf numFmtId="14" fontId="22" fillId="35" borderId="19" xfId="0" applyNumberFormat="1" applyFont="1" applyFill="1" applyBorder="1" applyAlignment="1">
      <alignment horizontal="center" vertical="center" wrapText="1"/>
    </xf>
    <xf numFmtId="0" fontId="25" fillId="38" borderId="42" xfId="0" applyFont="1" applyFill="1" applyBorder="1" applyAlignment="1">
      <alignment vertical="center" wrapText="1"/>
    </xf>
    <xf numFmtId="0" fontId="25" fillId="38" borderId="38" xfId="0" applyFont="1" applyFill="1" applyBorder="1" applyAlignment="1">
      <alignment vertical="center" wrapText="1"/>
    </xf>
    <xf numFmtId="0" fontId="28" fillId="38" borderId="49" xfId="0" applyFont="1" applyFill="1" applyBorder="1" applyAlignment="1">
      <alignment vertical="center" wrapText="1"/>
    </xf>
    <xf numFmtId="0" fontId="25" fillId="39" borderId="38" xfId="0" applyFont="1" applyFill="1" applyBorder="1" applyAlignment="1">
      <alignment vertical="center" wrapText="1"/>
    </xf>
    <xf numFmtId="0" fontId="28" fillId="38" borderId="50" xfId="0" applyFont="1" applyFill="1" applyBorder="1" applyAlignment="1">
      <alignment vertical="center"/>
    </xf>
    <xf numFmtId="0" fontId="28" fillId="39" borderId="51" xfId="0" applyFont="1" applyFill="1" applyBorder="1" applyAlignment="1">
      <alignment vertical="center"/>
    </xf>
    <xf numFmtId="0" fontId="25" fillId="39" borderId="44" xfId="0" applyFont="1" applyFill="1" applyBorder="1" applyAlignment="1">
      <alignment vertical="center" wrapText="1"/>
    </xf>
    <xf numFmtId="0" fontId="0" fillId="35" borderId="52" xfId="0" applyFill="1" applyBorder="1"/>
    <xf numFmtId="14" fontId="22" fillId="35" borderId="19" xfId="0" applyNumberFormat="1" applyFont="1" applyFill="1" applyBorder="1" applyAlignment="1">
      <alignment vertical="center" wrapText="1"/>
    </xf>
    <xf numFmtId="14" fontId="22" fillId="35" borderId="15" xfId="0" applyNumberFormat="1" applyFont="1" applyFill="1" applyBorder="1" applyAlignment="1">
      <alignment horizontal="center" vertical="center" wrapText="1"/>
    </xf>
    <xf numFmtId="14" fontId="22" fillId="35" borderId="19" xfId="0" applyNumberFormat="1" applyFont="1" applyFill="1" applyBorder="1" applyAlignment="1">
      <alignment horizontal="center" vertical="center" wrapText="1"/>
    </xf>
    <xf numFmtId="0" fontId="22" fillId="35" borderId="15" xfId="0" applyFont="1" applyFill="1" applyBorder="1" applyAlignment="1">
      <alignment horizontal="center" vertical="center" wrapText="1"/>
    </xf>
    <xf numFmtId="0" fontId="22" fillId="35" borderId="19" xfId="0" applyFont="1" applyFill="1" applyBorder="1" applyAlignment="1">
      <alignment horizontal="center" vertical="center" wrapText="1"/>
    </xf>
    <xf numFmtId="0" fontId="15" fillId="34" borderId="12" xfId="0" applyFont="1" applyFill="1" applyBorder="1" applyAlignment="1">
      <alignment horizontal="center" vertical="center"/>
    </xf>
    <xf numFmtId="0" fontId="15" fillId="34" borderId="13" xfId="0" applyFont="1" applyFill="1" applyBorder="1" applyAlignment="1">
      <alignment horizontal="center" vertical="center"/>
    </xf>
    <xf numFmtId="0" fontId="15" fillId="34" borderId="14" xfId="0" applyFont="1" applyFill="1" applyBorder="1" applyAlignment="1">
      <alignment horizontal="center" vertical="center"/>
    </xf>
    <xf numFmtId="0" fontId="22" fillId="34" borderId="15" xfId="0" applyFont="1" applyFill="1" applyBorder="1" applyAlignment="1">
      <alignment horizontal="center" vertical="center"/>
    </xf>
    <xf numFmtId="0" fontId="22" fillId="34" borderId="19" xfId="0" applyFont="1" applyFill="1" applyBorder="1" applyAlignment="1">
      <alignment horizontal="center" vertical="center"/>
    </xf>
    <xf numFmtId="0" fontId="23" fillId="0" borderId="16" xfId="0" applyFont="1" applyBorder="1" applyAlignment="1">
      <alignment horizontal="center" vertical="center" wrapText="1"/>
    </xf>
    <xf numFmtId="0" fontId="23" fillId="0" borderId="17" xfId="0" applyFont="1" applyBorder="1" applyAlignment="1">
      <alignment horizontal="center" vertical="center" wrapText="1"/>
    </xf>
    <xf numFmtId="0" fontId="23" fillId="0" borderId="18" xfId="0" applyFont="1" applyBorder="1" applyAlignment="1">
      <alignment horizontal="center" vertical="center" wrapText="1"/>
    </xf>
    <xf numFmtId="0" fontId="23" fillId="0" borderId="30" xfId="0" applyFont="1" applyBorder="1" applyAlignment="1">
      <alignment horizontal="center" vertical="center" wrapText="1"/>
    </xf>
    <xf numFmtId="0" fontId="23" fillId="0" borderId="0" xfId="0" applyFont="1" applyAlignment="1">
      <alignment horizontal="center" vertical="center" wrapText="1"/>
    </xf>
    <xf numFmtId="0" fontId="23" fillId="0" borderId="31" xfId="0" applyFont="1" applyBorder="1" applyAlignment="1">
      <alignment horizontal="center" vertical="center" wrapText="1"/>
    </xf>
    <xf numFmtId="0" fontId="23" fillId="0" borderId="20" xfId="0" applyFont="1" applyBorder="1" applyAlignment="1">
      <alignment horizontal="center" vertical="center" wrapText="1"/>
    </xf>
    <xf numFmtId="0" fontId="23" fillId="0" borderId="33" xfId="0" applyFont="1" applyBorder="1" applyAlignment="1">
      <alignment horizontal="center" vertical="center" wrapText="1"/>
    </xf>
    <xf numFmtId="0" fontId="23" fillId="0" borderId="32" xfId="0" applyFont="1" applyBorder="1" applyAlignment="1">
      <alignment horizontal="center" vertical="center" wrapText="1"/>
    </xf>
    <xf numFmtId="0" fontId="0" fillId="0" borderId="15" xfId="0" applyBorder="1" applyAlignment="1">
      <alignment horizontal="center" vertical="center" wrapText="1"/>
    </xf>
    <xf numFmtId="0" fontId="0" fillId="0" borderId="41" xfId="0" applyBorder="1" applyAlignment="1">
      <alignment horizontal="center" vertical="center" wrapText="1"/>
    </xf>
    <xf numFmtId="0" fontId="0" fillId="0" borderId="19" xfId="0" applyBorder="1" applyAlignment="1">
      <alignment horizontal="center" vertical="center" wrapText="1"/>
    </xf>
    <xf numFmtId="0" fontId="0" fillId="0" borderId="41" xfId="0" applyBorder="1" applyAlignment="1">
      <alignment horizontal="center" vertical="center"/>
    </xf>
    <xf numFmtId="0" fontId="15" fillId="33" borderId="12" xfId="0" applyFont="1" applyFill="1" applyBorder="1" applyAlignment="1">
      <alignment horizontal="center" vertical="center" wrapText="1"/>
    </xf>
    <xf numFmtId="0" fontId="15" fillId="33" borderId="13" xfId="0" applyFont="1" applyFill="1" applyBorder="1" applyAlignment="1">
      <alignment horizontal="center" vertical="center" wrapText="1"/>
    </xf>
    <xf numFmtId="0" fontId="15" fillId="33" borderId="14" xfId="0" applyFont="1" applyFill="1" applyBorder="1" applyAlignment="1">
      <alignment horizontal="center" vertical="center" wrapText="1"/>
    </xf>
    <xf numFmtId="0" fontId="0" fillId="0" borderId="16" xfId="0" quotePrefix="1" applyBorder="1" applyAlignment="1">
      <alignment horizontal="left" vertical="center" wrapText="1"/>
    </xf>
    <xf numFmtId="0" fontId="0" fillId="0" borderId="17" xfId="0" quotePrefix="1" applyBorder="1" applyAlignment="1">
      <alignment horizontal="left" vertical="center" wrapText="1"/>
    </xf>
    <xf numFmtId="0" fontId="0" fillId="0" borderId="18" xfId="0" quotePrefix="1" applyBorder="1" applyAlignment="1">
      <alignment horizontal="left" vertical="center" wrapText="1"/>
    </xf>
    <xf numFmtId="0" fontId="0" fillId="0" borderId="30" xfId="0" quotePrefix="1" applyBorder="1" applyAlignment="1">
      <alignment horizontal="left" vertical="center" wrapText="1"/>
    </xf>
    <xf numFmtId="0" fontId="0" fillId="0" borderId="0" xfId="0" quotePrefix="1" applyAlignment="1">
      <alignment horizontal="left" vertical="center" wrapText="1"/>
    </xf>
    <xf numFmtId="0" fontId="0" fillId="0" borderId="31" xfId="0" quotePrefix="1" applyBorder="1" applyAlignment="1">
      <alignment horizontal="left" vertical="center" wrapText="1"/>
    </xf>
    <xf numFmtId="0" fontId="0" fillId="0" borderId="20" xfId="0" quotePrefix="1" applyBorder="1" applyAlignment="1">
      <alignment horizontal="left" vertical="center" wrapText="1"/>
    </xf>
    <xf numFmtId="0" fontId="0" fillId="0" borderId="33" xfId="0" quotePrefix="1" applyBorder="1" applyAlignment="1">
      <alignment horizontal="left" vertical="center" wrapText="1"/>
    </xf>
    <xf numFmtId="0" fontId="0" fillId="0" borderId="32" xfId="0" quotePrefix="1" applyBorder="1" applyAlignment="1">
      <alignment horizontal="left" vertical="center" wrapText="1"/>
    </xf>
    <xf numFmtId="0" fontId="0" fillId="0" borderId="16" xfId="0" applyBorder="1" applyAlignment="1">
      <alignment horizontal="left" vertical="center" wrapText="1"/>
    </xf>
    <xf numFmtId="0" fontId="0" fillId="0" borderId="17" xfId="0" applyBorder="1" applyAlignment="1">
      <alignment horizontal="left" vertical="center" wrapText="1"/>
    </xf>
    <xf numFmtId="0" fontId="0" fillId="0" borderId="18" xfId="0" applyBorder="1" applyAlignment="1">
      <alignment horizontal="left" vertical="center" wrapText="1"/>
    </xf>
    <xf numFmtId="0" fontId="0" fillId="0" borderId="30" xfId="0" applyBorder="1" applyAlignment="1">
      <alignment horizontal="left" vertical="center" wrapText="1"/>
    </xf>
    <xf numFmtId="0" fontId="0" fillId="0" borderId="0" xfId="0" applyAlignment="1">
      <alignment horizontal="left" vertical="center" wrapText="1"/>
    </xf>
    <xf numFmtId="0" fontId="0" fillId="0" borderId="31" xfId="0" applyBorder="1" applyAlignment="1">
      <alignment horizontal="left" vertical="center" wrapText="1"/>
    </xf>
    <xf numFmtId="0" fontId="0" fillId="0" borderId="20" xfId="0" applyBorder="1" applyAlignment="1">
      <alignment horizontal="left" vertical="center" wrapText="1"/>
    </xf>
    <xf numFmtId="0" fontId="0" fillId="0" borderId="33" xfId="0" applyBorder="1" applyAlignment="1">
      <alignment horizontal="left" vertical="center" wrapText="1"/>
    </xf>
    <xf numFmtId="0" fontId="0" fillId="0" borderId="32" xfId="0" applyBorder="1" applyAlignment="1">
      <alignment horizontal="left" vertical="center" wrapText="1"/>
    </xf>
    <xf numFmtId="0" fontId="0" fillId="0" borderId="16" xfId="0" applyBorder="1" applyAlignment="1">
      <alignment horizontal="center" vertical="center" wrapText="1"/>
    </xf>
    <xf numFmtId="0" fontId="0" fillId="0" borderId="30" xfId="0" applyBorder="1" applyAlignment="1">
      <alignment horizontal="center" vertical="center" wrapText="1"/>
    </xf>
    <xf numFmtId="0" fontId="0" fillId="0" borderId="20" xfId="0" applyBorder="1" applyAlignment="1">
      <alignment horizontal="center" vertical="center" wrapText="1"/>
    </xf>
    <xf numFmtId="0" fontId="22" fillId="35" borderId="16" xfId="0" applyFont="1" applyFill="1" applyBorder="1" applyAlignment="1">
      <alignment horizontal="center" vertical="center" wrapText="1"/>
    </xf>
    <xf numFmtId="0" fontId="22" fillId="35" borderId="18" xfId="0" applyFont="1" applyFill="1" applyBorder="1" applyAlignment="1">
      <alignment horizontal="center" vertical="center" wrapText="1"/>
    </xf>
    <xf numFmtId="14" fontId="22" fillId="35" borderId="12" xfId="0" applyNumberFormat="1" applyFont="1" applyFill="1" applyBorder="1" applyAlignment="1">
      <alignment horizontal="center" vertical="center" wrapText="1"/>
    </xf>
    <xf numFmtId="14" fontId="22" fillId="35" borderId="13" xfId="0" applyNumberFormat="1" applyFont="1" applyFill="1" applyBorder="1" applyAlignment="1">
      <alignment horizontal="center" vertical="center" wrapText="1"/>
    </xf>
    <xf numFmtId="14" fontId="22" fillId="35" borderId="14" xfId="0" applyNumberFormat="1" applyFont="1" applyFill="1" applyBorder="1" applyAlignment="1">
      <alignment horizontal="center" vertical="center" wrapText="1"/>
    </xf>
    <xf numFmtId="0" fontId="22" fillId="35" borderId="12" xfId="0" applyFont="1" applyFill="1" applyBorder="1" applyAlignment="1">
      <alignment horizontal="center" vertical="center" wrapText="1"/>
    </xf>
    <xf numFmtId="0" fontId="22" fillId="35" borderId="14" xfId="0" applyFont="1" applyFill="1" applyBorder="1" applyAlignment="1">
      <alignment horizontal="center" vertical="center" wrapText="1"/>
    </xf>
    <xf numFmtId="0" fontId="30" fillId="35" borderId="10" xfId="0" applyFont="1" applyFill="1" applyBorder="1" applyAlignment="1">
      <alignment horizontal="center" vertical="center" wrapText="1"/>
    </xf>
    <xf numFmtId="2" fontId="30" fillId="35" borderId="10" xfId="0" applyNumberFormat="1" applyFont="1" applyFill="1" applyBorder="1" applyAlignment="1">
      <alignment horizontal="center" vertical="center" wrapText="1"/>
    </xf>
    <xf numFmtId="0" fontId="30" fillId="35" borderId="10" xfId="0" applyFont="1" applyFill="1" applyBorder="1" applyAlignment="1">
      <alignment vertical="center"/>
    </xf>
    <xf numFmtId="0" fontId="30" fillId="35" borderId="10" xfId="0" applyFont="1" applyFill="1" applyBorder="1" applyAlignment="1">
      <alignment vertical="center" wrapText="1"/>
    </xf>
    <xf numFmtId="0" fontId="30" fillId="35" borderId="53" xfId="0" applyFont="1" applyFill="1" applyBorder="1" applyAlignment="1">
      <alignment horizontal="center" vertical="center" wrapText="1"/>
    </xf>
    <xf numFmtId="3" fontId="30" fillId="35" borderId="53" xfId="0" applyNumberFormat="1" applyFont="1" applyFill="1" applyBorder="1" applyAlignment="1">
      <alignment horizontal="center" vertical="center" wrapText="1"/>
    </xf>
    <xf numFmtId="165" fontId="30" fillId="35" borderId="10" xfId="0" applyNumberFormat="1" applyFont="1" applyFill="1" applyBorder="1" applyAlignment="1">
      <alignment horizontal="center" vertical="center" wrapText="1"/>
    </xf>
    <xf numFmtId="166" fontId="30" fillId="35" borderId="10" xfId="0" applyNumberFormat="1" applyFont="1" applyFill="1" applyBorder="1" applyAlignment="1">
      <alignment horizontal="center" vertical="center" wrapText="1"/>
    </xf>
    <xf numFmtId="0" fontId="0" fillId="35" borderId="36" xfId="0" applyFill="1" applyBorder="1" applyAlignment="1">
      <alignment vertical="center"/>
    </xf>
    <xf numFmtId="0" fontId="0" fillId="35" borderId="36" xfId="0" applyFill="1" applyBorder="1" applyAlignment="1">
      <alignment horizontal="center" vertical="center"/>
    </xf>
    <xf numFmtId="0" fontId="0" fillId="35" borderId="10" xfId="0" applyFill="1" applyBorder="1" applyAlignment="1">
      <alignment horizontal="center" vertical="center"/>
    </xf>
    <xf numFmtId="0" fontId="0" fillId="35" borderId="54" xfId="0" applyFill="1" applyBorder="1" applyAlignment="1">
      <alignment horizontal="center" vertical="center"/>
    </xf>
    <xf numFmtId="0" fontId="0" fillId="35" borderId="25" xfId="0" applyFill="1" applyBorder="1" applyAlignment="1">
      <alignment horizontal="center" vertical="center"/>
    </xf>
    <xf numFmtId="2" fontId="0" fillId="35" borderId="10" xfId="0" applyNumberFormat="1" applyFill="1" applyBorder="1" applyAlignment="1">
      <alignment horizontal="center" vertical="center" wrapText="1"/>
    </xf>
    <xf numFmtId="0" fontId="0" fillId="35" borderId="23" xfId="0" applyFill="1" applyBorder="1" applyAlignment="1">
      <alignment horizontal="center" vertical="center"/>
    </xf>
    <xf numFmtId="0" fontId="0" fillId="35" borderId="23" xfId="0" applyFill="1" applyBorder="1" applyAlignment="1">
      <alignment horizontal="center"/>
    </xf>
    <xf numFmtId="2" fontId="15" fillId="35" borderId="10" xfId="0" applyNumberFormat="1" applyFont="1" applyFill="1" applyBorder="1" applyAlignment="1">
      <alignment horizontal="center" vertical="center" wrapText="1"/>
    </xf>
    <xf numFmtId="2" fontId="0" fillId="35" borderId="25" xfId="0" applyNumberFormat="1" applyFill="1" applyBorder="1" applyAlignment="1">
      <alignment horizontal="center" vertical="center" wrapText="1"/>
    </xf>
    <xf numFmtId="0" fontId="0" fillId="35" borderId="52" xfId="0" applyFill="1" applyBorder="1" applyAlignment="1">
      <alignment horizontal="center" vertical="center"/>
    </xf>
    <xf numFmtId="0" fontId="0" fillId="35" borderId="52" xfId="0" applyFill="1" applyBorder="1" applyAlignment="1">
      <alignment horizontal="center"/>
    </xf>
    <xf numFmtId="0" fontId="0" fillId="35" borderId="10" xfId="0" applyFill="1" applyBorder="1" applyAlignment="1">
      <alignment horizontal="center"/>
    </xf>
    <xf numFmtId="0" fontId="0" fillId="35" borderId="38" xfId="0" applyFill="1" applyBorder="1" applyAlignment="1">
      <alignment horizontal="center"/>
    </xf>
    <xf numFmtId="0" fontId="0" fillId="35" borderId="38" xfId="0" applyFill="1" applyBorder="1" applyAlignment="1">
      <alignment horizontal="center" vertical="center"/>
    </xf>
    <xf numFmtId="0" fontId="0" fillId="35" borderId="46" xfId="0" applyFill="1" applyBorder="1" applyAlignment="1">
      <alignment horizontal="center" vertical="center"/>
    </xf>
    <xf numFmtId="0" fontId="0" fillId="35" borderId="38" xfId="0" applyFill="1" applyBorder="1" applyAlignment="1">
      <alignment horizontal="left" vertical="center"/>
    </xf>
    <xf numFmtId="0" fontId="0" fillId="35" borderId="54" xfId="0" applyFill="1" applyBorder="1"/>
    <xf numFmtId="0" fontId="0" fillId="35" borderId="10" xfId="0" applyFill="1" applyBorder="1" applyAlignment="1">
      <alignment vertical="center"/>
    </xf>
    <xf numFmtId="0" fontId="0" fillId="35" borderId="35" xfId="0" applyFill="1" applyBorder="1" applyAlignment="1">
      <alignment vertical="center"/>
    </xf>
    <xf numFmtId="0" fontId="0" fillId="35" borderId="23" xfId="0" applyFill="1" applyBorder="1" applyAlignment="1">
      <alignment vertical="center"/>
    </xf>
    <xf numFmtId="0" fontId="0" fillId="35" borderId="23" xfId="0" applyFill="1" applyBorder="1" applyAlignment="1">
      <alignment horizontal="right" vertical="center"/>
    </xf>
    <xf numFmtId="14" fontId="0" fillId="35" borderId="36" xfId="0" applyNumberFormat="1" applyFill="1" applyBorder="1" applyAlignment="1">
      <alignment vertical="center"/>
    </xf>
    <xf numFmtId="2" fontId="0" fillId="35" borderId="36" xfId="0" applyNumberFormat="1" applyFill="1" applyBorder="1" applyAlignment="1">
      <alignment vertical="center"/>
    </xf>
    <xf numFmtId="14" fontId="0" fillId="35" borderId="23" xfId="0" applyNumberFormat="1" applyFill="1" applyBorder="1" applyAlignment="1">
      <alignment vertical="center"/>
    </xf>
    <xf numFmtId="167" fontId="0" fillId="35" borderId="23" xfId="0" applyNumberFormat="1" applyFill="1" applyBorder="1" applyAlignment="1">
      <alignment vertical="center"/>
    </xf>
    <xf numFmtId="2" fontId="0" fillId="35" borderId="23" xfId="0" applyNumberFormat="1" applyFill="1" applyBorder="1" applyAlignment="1">
      <alignment horizontal="center" vertical="center" wrapText="1"/>
    </xf>
    <xf numFmtId="2" fontId="0" fillId="35" borderId="23" xfId="0" applyNumberFormat="1" applyFill="1" applyBorder="1" applyAlignment="1">
      <alignment vertical="center"/>
    </xf>
    <xf numFmtId="0" fontId="0" fillId="35" borderId="25" xfId="0" applyFill="1" applyBorder="1" applyAlignment="1">
      <alignment vertical="center"/>
    </xf>
    <xf numFmtId="0" fontId="0" fillId="35" borderId="52" xfId="0" applyFill="1" applyBorder="1" applyAlignment="1">
      <alignment vertical="center"/>
    </xf>
    <xf numFmtId="14" fontId="0" fillId="35" borderId="52" xfId="0" applyNumberFormat="1" applyFill="1" applyBorder="1" applyAlignment="1">
      <alignment vertical="center"/>
    </xf>
    <xf numFmtId="2" fontId="0" fillId="35" borderId="52" xfId="0" applyNumberFormat="1" applyFill="1" applyBorder="1" applyAlignment="1">
      <alignment vertical="center"/>
    </xf>
    <xf numFmtId="0" fontId="0" fillId="35" borderId="40" xfId="0" applyFill="1" applyBorder="1" applyAlignment="1">
      <alignment vertical="center"/>
    </xf>
    <xf numFmtId="2" fontId="0" fillId="35" borderId="35" xfId="0" applyNumberFormat="1" applyFill="1" applyBorder="1" applyAlignment="1">
      <alignment horizontal="center" vertical="center" wrapText="1"/>
    </xf>
    <xf numFmtId="0" fontId="0" fillId="35" borderId="36" xfId="0" applyFill="1" applyBorder="1" applyAlignment="1">
      <alignment horizontal="right" vertical="center"/>
    </xf>
    <xf numFmtId="0" fontId="0" fillId="35" borderId="28" xfId="0" applyFill="1" applyBorder="1" applyAlignment="1">
      <alignment vertical="center"/>
    </xf>
    <xf numFmtId="0" fontId="0" fillId="35" borderId="28" xfId="0" applyFill="1" applyBorder="1" applyAlignment="1">
      <alignment horizontal="center" vertical="center"/>
    </xf>
    <xf numFmtId="2" fontId="0" fillId="35" borderId="28" xfId="0" applyNumberFormat="1" applyFill="1" applyBorder="1" applyAlignment="1">
      <alignment vertical="center"/>
    </xf>
    <xf numFmtId="2" fontId="0" fillId="35" borderId="35" xfId="0" applyNumberFormat="1" applyFill="1" applyBorder="1"/>
    <xf numFmtId="2" fontId="0" fillId="35" borderId="10" xfId="0" applyNumberFormat="1" applyFill="1" applyBorder="1"/>
    <xf numFmtId="166" fontId="0" fillId="35" borderId="25" xfId="0" applyNumberFormat="1" applyFill="1" applyBorder="1"/>
    <xf numFmtId="165" fontId="0" fillId="35" borderId="25" xfId="0" applyNumberFormat="1" applyFill="1" applyBorder="1"/>
    <xf numFmtId="2" fontId="0" fillId="35" borderId="25" xfId="0" applyNumberFormat="1" applyFill="1" applyBorder="1"/>
    <xf numFmtId="0" fontId="0" fillId="38" borderId="0" xfId="0" applyFill="1"/>
  </cellXfs>
  <cellStyles count="47">
    <cellStyle name="20% - Énfasis1" xfId="18" builtinId="30" customBuiltin="1"/>
    <cellStyle name="20% - Énfasis2" xfId="21" builtinId="34" customBuiltin="1"/>
    <cellStyle name="20% - Énfasis3" xfId="24" builtinId="38" customBuiltin="1"/>
    <cellStyle name="20% - Énfasis4" xfId="27" builtinId="42" customBuiltin="1"/>
    <cellStyle name="20% - Énfasis5" xfId="30" builtinId="46" customBuiltin="1"/>
    <cellStyle name="20% - Énfasis6" xfId="33" builtinId="50" customBuiltin="1"/>
    <cellStyle name="40% - Énfasis1" xfId="19" builtinId="31" customBuiltin="1"/>
    <cellStyle name="40% - Énfasis2" xfId="22" builtinId="35" customBuiltin="1"/>
    <cellStyle name="40% - Énfasis3" xfId="25" builtinId="39" customBuiltin="1"/>
    <cellStyle name="40% - Énfasis4" xfId="28" builtinId="43" customBuiltin="1"/>
    <cellStyle name="40% - Énfasis5" xfId="31" builtinId="47" customBuiltin="1"/>
    <cellStyle name="40% - Énfasis6" xfId="34" builtinId="51" customBuiltin="1"/>
    <cellStyle name="60% - Accent1 2" xfId="37" xr:uid="{00000000-0005-0000-0000-00000C000000}"/>
    <cellStyle name="60% - Accent2 2" xfId="38" xr:uid="{00000000-0005-0000-0000-00000D000000}"/>
    <cellStyle name="60% - Accent3 2" xfId="39" xr:uid="{00000000-0005-0000-0000-00000E000000}"/>
    <cellStyle name="60% - Accent4 2" xfId="40" xr:uid="{00000000-0005-0000-0000-00000F000000}"/>
    <cellStyle name="60% - Accent5 2" xfId="41" xr:uid="{00000000-0005-0000-0000-000010000000}"/>
    <cellStyle name="60% - Accent6 2" xfId="42" xr:uid="{00000000-0005-0000-0000-000011000000}"/>
    <cellStyle name="Bueno" xfId="6" builtinId="26" customBuiltin="1"/>
    <cellStyle name="Cálculo" xfId="10" builtinId="22" customBuiltin="1"/>
    <cellStyle name="Celda de comprobación" xfId="12" builtinId="23" customBuiltin="1"/>
    <cellStyle name="Celda vinculada" xfId="11" builtinId="24" customBuiltin="1"/>
    <cellStyle name="Encabezado 1" xfId="2" builtinId="16" customBuiltin="1"/>
    <cellStyle name="Encabezado 4" xfId="5" builtinId="19" customBuiltin="1"/>
    <cellStyle name="Énfasis1" xfId="17" builtinId="29" customBuiltin="1"/>
    <cellStyle name="Énfasis2" xfId="20" builtinId="33" customBuiltin="1"/>
    <cellStyle name="Énfasis3" xfId="23" builtinId="37" customBuiltin="1"/>
    <cellStyle name="Énfasis4" xfId="26" builtinId="41" customBuiltin="1"/>
    <cellStyle name="Énfasis5" xfId="29" builtinId="45" customBuiltin="1"/>
    <cellStyle name="Énfasis6" xfId="32" builtinId="49" customBuiltin="1"/>
    <cellStyle name="Entrada" xfId="8" builtinId="20" customBuiltin="1"/>
    <cellStyle name="Incorrecto" xfId="7" builtinId="27" customBuiltin="1"/>
    <cellStyle name="Millares 2" xfId="45" xr:uid="{00000000-0005-0000-0000-000020000000}"/>
    <cellStyle name="Neutral 2" xfId="36" xr:uid="{00000000-0005-0000-0000-000021000000}"/>
    <cellStyle name="Normal" xfId="0" builtinId="0"/>
    <cellStyle name="Normal 2" xfId="35" xr:uid="{00000000-0005-0000-0000-000023000000}"/>
    <cellStyle name="Normal 2 2" xfId="46" xr:uid="{00000000-0005-0000-0000-000024000000}"/>
    <cellStyle name="Normal 3" xfId="44" xr:uid="{00000000-0005-0000-0000-000025000000}"/>
    <cellStyle name="Notas" xfId="14" builtinId="10" customBuiltin="1"/>
    <cellStyle name="Salida" xfId="9" builtinId="21" customBuiltin="1"/>
    <cellStyle name="Texto de advertencia" xfId="13" builtinId="11" customBuiltin="1"/>
    <cellStyle name="Texto explicativo" xfId="15" builtinId="53" customBuiltin="1"/>
    <cellStyle name="Title 2" xfId="43" xr:uid="{00000000-0005-0000-0000-00002A000000}"/>
    <cellStyle name="Título" xfId="1" builtinId="15" customBuiltin="1"/>
    <cellStyle name="Título 2" xfId="3" builtinId="17" customBuiltin="1"/>
    <cellStyle name="Título 3" xfId="4" builtinId="18" customBuiltin="1"/>
    <cellStyle name="Total" xfId="16" builtinId="25" customBuiltin="1"/>
  </cellStyles>
  <dxfs count="1">
    <dxf>
      <font>
        <color rgb="FF9C5700"/>
      </font>
      <fill>
        <patternFill patternType="solid">
          <fgColor rgb="FFFFEB9C"/>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aacosta/Downloads/Circular_002_Anexo.xlsx" TargetMode="External"/><Relationship Id="rId1" Type="http://schemas.openxmlformats.org/officeDocument/2006/relationships/externalLinkPath" Target="/Users/aacosta/Downloads/Circular_002_Anex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anual de Uso"/>
      <sheetName val="Generalidades"/>
      <sheetName val="Solicitudes"/>
      <sheetName val="Listas Desplegables"/>
    </sheetNames>
    <sheetDataSet>
      <sheetData sheetId="0" refreshError="1"/>
      <sheetData sheetId="1" refreshError="1"/>
      <sheetData sheetId="2" refreshError="1"/>
      <sheetData sheetId="3" refreshError="1">
        <row r="3">
          <cell r="B3" t="str">
            <v>GD</v>
          </cell>
          <cell r="H3" t="str">
            <v>GD</v>
          </cell>
          <cell r="I3">
            <v>0</v>
          </cell>
          <cell r="J3">
            <v>100</v>
          </cell>
        </row>
        <row r="4">
          <cell r="B4" t="str">
            <v>AGPE con excedentes</v>
          </cell>
          <cell r="H4" t="str">
            <v>AGPE con excedentes</v>
          </cell>
          <cell r="I4">
            <v>0</v>
          </cell>
          <cell r="J4">
            <v>1000</v>
          </cell>
        </row>
        <row r="5">
          <cell r="B5" t="str">
            <v>AGPE sin excedentes</v>
          </cell>
          <cell r="H5" t="str">
            <v>AGPE sin excedentes</v>
          </cell>
          <cell r="I5">
            <v>0</v>
          </cell>
          <cell r="J5">
            <v>1000</v>
          </cell>
        </row>
        <row r="6">
          <cell r="B6" t="str">
            <v>AGGE con excedentes</v>
          </cell>
          <cell r="H6" t="str">
            <v>AGGE con excedentes</v>
          </cell>
          <cell r="I6">
            <v>1000.00001</v>
          </cell>
          <cell r="J6">
            <v>1E+40</v>
          </cell>
        </row>
        <row r="7">
          <cell r="B7" t="str">
            <v>AGGE sin excedentes</v>
          </cell>
          <cell r="H7" t="str">
            <v>AGGE sin excedentes</v>
          </cell>
          <cell r="I7">
            <v>1000.00001</v>
          </cell>
          <cell r="J7">
            <v>1E+40</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173"/>
  <sheetViews>
    <sheetView showGridLines="0" tabSelected="1" zoomScale="130" zoomScaleNormal="130" workbookViewId="0">
      <selection activeCell="D126" sqref="D126"/>
    </sheetView>
  </sheetViews>
  <sheetFormatPr baseColWidth="10" defaultColWidth="9.109375" defaultRowHeight="14.4" x14ac:dyDescent="0.3"/>
  <cols>
    <col min="1" max="1" width="3.6640625" customWidth="1"/>
    <col min="2" max="2" width="43.6640625" customWidth="1"/>
    <col min="3" max="3" width="48.109375" style="16" customWidth="1"/>
    <col min="4" max="4" width="80.33203125" style="17" customWidth="1"/>
  </cols>
  <sheetData>
    <row r="1" spans="2:4" ht="15" thickBot="1" x14ac:dyDescent="0.35"/>
    <row r="2" spans="2:4" ht="15" customHeight="1" x14ac:dyDescent="0.3">
      <c r="B2" s="92" t="s">
        <v>248</v>
      </c>
      <c r="C2" s="93"/>
      <c r="D2" s="94"/>
    </row>
    <row r="3" spans="2:4" ht="15" customHeight="1" x14ac:dyDescent="0.3">
      <c r="B3" s="95"/>
      <c r="C3" s="96"/>
      <c r="D3" s="97"/>
    </row>
    <row r="4" spans="2:4" ht="15" customHeight="1" x14ac:dyDescent="0.3">
      <c r="B4" s="95"/>
      <c r="C4" s="96"/>
      <c r="D4" s="97"/>
    </row>
    <row r="5" spans="2:4" ht="15.75" customHeight="1" thickBot="1" x14ac:dyDescent="0.35">
      <c r="B5" s="98"/>
      <c r="C5" s="99"/>
      <c r="D5" s="100"/>
    </row>
    <row r="6" spans="2:4" ht="15.75" customHeight="1" thickBot="1" x14ac:dyDescent="0.35">
      <c r="B6" s="18"/>
      <c r="C6" s="18"/>
      <c r="D6" s="19"/>
    </row>
    <row r="7" spans="2:4" ht="15.75" customHeight="1" thickBot="1" x14ac:dyDescent="0.35">
      <c r="B7" s="105" t="s">
        <v>246</v>
      </c>
      <c r="C7" s="106"/>
      <c r="D7" s="107"/>
    </row>
    <row r="8" spans="2:4" ht="15.75" customHeight="1" x14ac:dyDescent="0.3">
      <c r="B8" s="108" t="s">
        <v>247</v>
      </c>
      <c r="C8" s="109"/>
      <c r="D8" s="110"/>
    </row>
    <row r="9" spans="2:4" ht="15.75" customHeight="1" x14ac:dyDescent="0.3">
      <c r="B9" s="111"/>
      <c r="C9" s="112"/>
      <c r="D9" s="113"/>
    </row>
    <row r="10" spans="2:4" ht="15.75" customHeight="1" x14ac:dyDescent="0.3">
      <c r="B10" s="111"/>
      <c r="C10" s="112"/>
      <c r="D10" s="113"/>
    </row>
    <row r="11" spans="2:4" ht="15.75" customHeight="1" x14ac:dyDescent="0.3">
      <c r="B11" s="111"/>
      <c r="C11" s="112"/>
      <c r="D11" s="113"/>
    </row>
    <row r="12" spans="2:4" ht="15.75" customHeight="1" thickBot="1" x14ac:dyDescent="0.35">
      <c r="B12" s="114"/>
      <c r="C12" s="115"/>
      <c r="D12" s="116"/>
    </row>
    <row r="13" spans="2:4" ht="15.75" customHeight="1" thickBot="1" x14ac:dyDescent="0.35">
      <c r="B13" s="20"/>
      <c r="C13" s="20"/>
      <c r="D13" s="20"/>
    </row>
    <row r="14" spans="2:4" ht="15.75" customHeight="1" thickBot="1" x14ac:dyDescent="0.35">
      <c r="B14" s="105" t="s">
        <v>5</v>
      </c>
      <c r="C14" s="106"/>
      <c r="D14" s="107"/>
    </row>
    <row r="15" spans="2:4" ht="15.75" customHeight="1" x14ac:dyDescent="0.3">
      <c r="B15" s="117" t="s">
        <v>219</v>
      </c>
      <c r="C15" s="118"/>
      <c r="D15" s="119"/>
    </row>
    <row r="16" spans="2:4" ht="15.75" customHeight="1" x14ac:dyDescent="0.3">
      <c r="B16" s="120"/>
      <c r="C16" s="121"/>
      <c r="D16" s="122"/>
    </row>
    <row r="17" spans="2:4" ht="15.75" customHeight="1" x14ac:dyDescent="0.3">
      <c r="B17" s="120"/>
      <c r="C17" s="121"/>
      <c r="D17" s="122"/>
    </row>
    <row r="18" spans="2:4" ht="15.75" customHeight="1" x14ac:dyDescent="0.3">
      <c r="B18" s="120"/>
      <c r="C18" s="121"/>
      <c r="D18" s="122"/>
    </row>
    <row r="19" spans="2:4" ht="15.75" customHeight="1" x14ac:dyDescent="0.3">
      <c r="B19" s="120"/>
      <c r="C19" s="121"/>
      <c r="D19" s="122"/>
    </row>
    <row r="20" spans="2:4" ht="15.75" customHeight="1" x14ac:dyDescent="0.3">
      <c r="B20" s="120"/>
      <c r="C20" s="121"/>
      <c r="D20" s="122"/>
    </row>
    <row r="21" spans="2:4" ht="15.75" customHeight="1" x14ac:dyDescent="0.3">
      <c r="B21" s="120"/>
      <c r="C21" s="121"/>
      <c r="D21" s="122"/>
    </row>
    <row r="22" spans="2:4" ht="15.75" customHeight="1" x14ac:dyDescent="0.3">
      <c r="B22" s="120"/>
      <c r="C22" s="121"/>
      <c r="D22" s="122"/>
    </row>
    <row r="23" spans="2:4" ht="15.75" customHeight="1" x14ac:dyDescent="0.3">
      <c r="B23" s="120"/>
      <c r="C23" s="121"/>
      <c r="D23" s="122"/>
    </row>
    <row r="24" spans="2:4" ht="15.75" customHeight="1" thickBot="1" x14ac:dyDescent="0.35">
      <c r="B24" s="123"/>
      <c r="C24" s="124"/>
      <c r="D24" s="125"/>
    </row>
    <row r="25" spans="2:4" ht="15.75" customHeight="1" thickBot="1" x14ac:dyDescent="0.35"/>
    <row r="26" spans="2:4" ht="15.75" customHeight="1" thickBot="1" x14ac:dyDescent="0.35">
      <c r="B26" s="105" t="s">
        <v>68</v>
      </c>
      <c r="C26" s="106"/>
      <c r="D26" s="107"/>
    </row>
    <row r="27" spans="2:4" ht="15.75" customHeight="1" x14ac:dyDescent="0.3">
      <c r="B27" s="117" t="s">
        <v>69</v>
      </c>
      <c r="C27" s="118"/>
      <c r="D27" s="119"/>
    </row>
    <row r="28" spans="2:4" ht="15.75" customHeight="1" thickBot="1" x14ac:dyDescent="0.35">
      <c r="B28" s="123"/>
      <c r="C28" s="124"/>
      <c r="D28" s="125"/>
    </row>
    <row r="29" spans="2:4" ht="15.75" customHeight="1" x14ac:dyDescent="0.3">
      <c r="B29" s="101" t="s">
        <v>232</v>
      </c>
      <c r="C29" s="28" t="s">
        <v>1</v>
      </c>
      <c r="D29" s="29" t="s">
        <v>70</v>
      </c>
    </row>
    <row r="30" spans="2:4" ht="15" customHeight="1" x14ac:dyDescent="0.3">
      <c r="B30" s="102"/>
      <c r="C30" s="30" t="s">
        <v>7</v>
      </c>
      <c r="D30" s="31" t="s">
        <v>71</v>
      </c>
    </row>
    <row r="31" spans="2:4" x14ac:dyDescent="0.3">
      <c r="B31" s="102"/>
      <c r="C31" s="30" t="s">
        <v>8</v>
      </c>
      <c r="D31" s="31" t="s">
        <v>72</v>
      </c>
    </row>
    <row r="32" spans="2:4" x14ac:dyDescent="0.3">
      <c r="B32" s="102"/>
      <c r="C32" s="30" t="s">
        <v>9</v>
      </c>
      <c r="D32" s="31" t="s">
        <v>73</v>
      </c>
    </row>
    <row r="33" spans="2:9" x14ac:dyDescent="0.3">
      <c r="B33" s="102"/>
      <c r="C33" s="30" t="s">
        <v>11</v>
      </c>
      <c r="D33" s="31" t="s">
        <v>74</v>
      </c>
    </row>
    <row r="34" spans="2:9" ht="28.8" x14ac:dyDescent="0.3">
      <c r="B34" s="102"/>
      <c r="C34" s="30" t="s">
        <v>12</v>
      </c>
      <c r="D34" s="31" t="s">
        <v>75</v>
      </c>
    </row>
    <row r="35" spans="2:9" ht="28.8" x14ac:dyDescent="0.3">
      <c r="B35" s="102"/>
      <c r="C35" s="30" t="s">
        <v>13</v>
      </c>
      <c r="D35" s="31" t="s">
        <v>76</v>
      </c>
    </row>
    <row r="36" spans="2:9" ht="28.8" x14ac:dyDescent="0.3">
      <c r="B36" s="102"/>
      <c r="C36" s="30" t="s">
        <v>14</v>
      </c>
      <c r="D36" s="31" t="s">
        <v>77</v>
      </c>
    </row>
    <row r="37" spans="2:9" ht="57.6" x14ac:dyDescent="0.3">
      <c r="B37" s="102"/>
      <c r="C37" s="74" t="s">
        <v>15</v>
      </c>
      <c r="D37" s="75" t="s">
        <v>249</v>
      </c>
    </row>
    <row r="38" spans="2:9" x14ac:dyDescent="0.3">
      <c r="B38" s="102"/>
      <c r="C38" s="30" t="s">
        <v>16</v>
      </c>
      <c r="D38" s="31" t="s">
        <v>78</v>
      </c>
    </row>
    <row r="39" spans="2:9" x14ac:dyDescent="0.3">
      <c r="B39" s="102"/>
      <c r="C39" s="30" t="s">
        <v>17</v>
      </c>
      <c r="D39" s="31" t="s">
        <v>79</v>
      </c>
    </row>
    <row r="40" spans="2:9" x14ac:dyDescent="0.3">
      <c r="B40" s="102"/>
      <c r="C40" s="30" t="s">
        <v>18</v>
      </c>
      <c r="D40" s="31" t="s">
        <v>80</v>
      </c>
    </row>
    <row r="41" spans="2:9" x14ac:dyDescent="0.3">
      <c r="B41" s="102"/>
      <c r="C41" s="30" t="s">
        <v>19</v>
      </c>
      <c r="D41" s="31" t="s">
        <v>81</v>
      </c>
    </row>
    <row r="42" spans="2:9" x14ac:dyDescent="0.3">
      <c r="B42" s="102"/>
      <c r="C42" s="30" t="s">
        <v>20</v>
      </c>
      <c r="D42" s="31" t="s">
        <v>82</v>
      </c>
    </row>
    <row r="43" spans="2:9" x14ac:dyDescent="0.3">
      <c r="B43" s="102"/>
      <c r="C43" s="30" t="s">
        <v>21</v>
      </c>
      <c r="D43" s="31" t="s">
        <v>83</v>
      </c>
    </row>
    <row r="44" spans="2:9" ht="28.8" x14ac:dyDescent="0.3">
      <c r="B44" s="102"/>
      <c r="C44" s="30" t="s">
        <v>223</v>
      </c>
      <c r="D44" s="31" t="s">
        <v>84</v>
      </c>
    </row>
    <row r="45" spans="2:9" x14ac:dyDescent="0.3">
      <c r="B45" s="102"/>
      <c r="C45" s="30" t="s">
        <v>56</v>
      </c>
      <c r="D45" s="31" t="s">
        <v>85</v>
      </c>
    </row>
    <row r="46" spans="2:9" ht="43.2" x14ac:dyDescent="0.3">
      <c r="B46" s="102"/>
      <c r="C46" s="30" t="s">
        <v>22</v>
      </c>
      <c r="D46" s="31" t="s">
        <v>110</v>
      </c>
      <c r="I46" t="s">
        <v>269</v>
      </c>
    </row>
    <row r="47" spans="2:9" ht="28.8" x14ac:dyDescent="0.3">
      <c r="B47" s="102"/>
      <c r="C47" s="30" t="s">
        <v>23</v>
      </c>
      <c r="D47" s="31" t="s">
        <v>111</v>
      </c>
      <c r="I47" t="s">
        <v>270</v>
      </c>
    </row>
    <row r="48" spans="2:9" ht="28.8" x14ac:dyDescent="0.3">
      <c r="B48" s="102"/>
      <c r="C48" s="30" t="s">
        <v>220</v>
      </c>
      <c r="D48" s="31" t="s">
        <v>221</v>
      </c>
      <c r="I48" t="s">
        <v>271</v>
      </c>
    </row>
    <row r="49" spans="2:9" x14ac:dyDescent="0.3">
      <c r="B49" s="102"/>
      <c r="C49" s="30" t="s">
        <v>243</v>
      </c>
      <c r="D49" s="31" t="s">
        <v>240</v>
      </c>
      <c r="I49" t="s">
        <v>272</v>
      </c>
    </row>
    <row r="50" spans="2:9" x14ac:dyDescent="0.3">
      <c r="B50" s="102"/>
      <c r="C50" s="30" t="s">
        <v>244</v>
      </c>
      <c r="D50" s="31" t="s">
        <v>241</v>
      </c>
    </row>
    <row r="51" spans="2:9" x14ac:dyDescent="0.3">
      <c r="B51" s="102"/>
      <c r="C51" s="30" t="s">
        <v>239</v>
      </c>
      <c r="D51" s="31" t="s">
        <v>242</v>
      </c>
    </row>
    <row r="52" spans="2:9" x14ac:dyDescent="0.3">
      <c r="B52" s="102"/>
      <c r="C52" s="76" t="s">
        <v>250</v>
      </c>
      <c r="D52" s="75" t="s">
        <v>251</v>
      </c>
    </row>
    <row r="53" spans="2:9" ht="244.8" x14ac:dyDescent="0.3">
      <c r="B53" s="102"/>
      <c r="C53" s="76" t="s">
        <v>253</v>
      </c>
      <c r="D53" s="75" t="s">
        <v>252</v>
      </c>
    </row>
    <row r="54" spans="2:9" ht="72.599999999999994" thickBot="1" x14ac:dyDescent="0.35">
      <c r="B54" s="102"/>
      <c r="C54" s="30" t="s">
        <v>24</v>
      </c>
      <c r="D54" s="31" t="s">
        <v>112</v>
      </c>
    </row>
    <row r="55" spans="2:9" ht="28.8" x14ac:dyDescent="0.3">
      <c r="B55" s="101" t="s">
        <v>237</v>
      </c>
      <c r="C55" s="32" t="s">
        <v>1</v>
      </c>
      <c r="D55" s="43" t="s">
        <v>151</v>
      </c>
    </row>
    <row r="56" spans="2:9" x14ac:dyDescent="0.3">
      <c r="B56" s="102"/>
      <c r="C56" s="33" t="s">
        <v>2</v>
      </c>
      <c r="D56" s="34" t="s">
        <v>152</v>
      </c>
    </row>
    <row r="57" spans="2:9" ht="28.8" x14ac:dyDescent="0.3">
      <c r="B57" s="102"/>
      <c r="C57" s="33" t="s">
        <v>27</v>
      </c>
      <c r="D57" s="34" t="s">
        <v>153</v>
      </c>
    </row>
    <row r="58" spans="2:9" ht="28.8" x14ac:dyDescent="0.3">
      <c r="B58" s="102"/>
      <c r="C58" s="33" t="s">
        <v>26</v>
      </c>
      <c r="D58" s="34" t="s">
        <v>154</v>
      </c>
    </row>
    <row r="59" spans="2:9" ht="28.8" x14ac:dyDescent="0.3">
      <c r="B59" s="102"/>
      <c r="C59" s="33" t="s">
        <v>25</v>
      </c>
      <c r="D59" s="34" t="s">
        <v>155</v>
      </c>
    </row>
    <row r="60" spans="2:9" x14ac:dyDescent="0.3">
      <c r="B60" s="102"/>
      <c r="C60" s="33" t="s">
        <v>28</v>
      </c>
      <c r="D60" s="34" t="s">
        <v>156</v>
      </c>
    </row>
    <row r="61" spans="2:9" x14ac:dyDescent="0.3">
      <c r="B61" s="102"/>
      <c r="C61" s="33" t="s">
        <v>29</v>
      </c>
      <c r="D61" s="34" t="s">
        <v>157</v>
      </c>
    </row>
    <row r="62" spans="2:9" x14ac:dyDescent="0.3">
      <c r="B62" s="102"/>
      <c r="C62" s="33" t="s">
        <v>30</v>
      </c>
      <c r="D62" s="34" t="s">
        <v>158</v>
      </c>
    </row>
    <row r="63" spans="2:9" ht="43.2" x14ac:dyDescent="0.3">
      <c r="B63" s="102"/>
      <c r="C63" s="33" t="s">
        <v>31</v>
      </c>
      <c r="D63" s="34" t="s">
        <v>159</v>
      </c>
    </row>
    <row r="64" spans="2:9" ht="28.8" x14ac:dyDescent="0.3">
      <c r="B64" s="102"/>
      <c r="C64" s="33" t="s">
        <v>32</v>
      </c>
      <c r="D64" s="34" t="s">
        <v>160</v>
      </c>
    </row>
    <row r="65" spans="2:4" ht="28.8" x14ac:dyDescent="0.3">
      <c r="B65" s="102"/>
      <c r="C65" s="33" t="s">
        <v>34</v>
      </c>
      <c r="D65" s="34" t="s">
        <v>161</v>
      </c>
    </row>
    <row r="66" spans="2:4" ht="28.8" x14ac:dyDescent="0.3">
      <c r="B66" s="102"/>
      <c r="C66" s="33" t="s">
        <v>35</v>
      </c>
      <c r="D66" s="34" t="s">
        <v>162</v>
      </c>
    </row>
    <row r="67" spans="2:4" ht="28.8" x14ac:dyDescent="0.3">
      <c r="B67" s="102"/>
      <c r="C67" s="33" t="s">
        <v>36</v>
      </c>
      <c r="D67" s="34" t="s">
        <v>163</v>
      </c>
    </row>
    <row r="68" spans="2:4" ht="28.8" x14ac:dyDescent="0.3">
      <c r="B68" s="102"/>
      <c r="C68" s="33" t="s">
        <v>37</v>
      </c>
      <c r="D68" s="34" t="s">
        <v>164</v>
      </c>
    </row>
    <row r="69" spans="2:4" ht="28.8" x14ac:dyDescent="0.3">
      <c r="B69" s="102"/>
      <c r="C69" s="33" t="s">
        <v>38</v>
      </c>
      <c r="D69" s="34" t="s">
        <v>165</v>
      </c>
    </row>
    <row r="70" spans="2:4" ht="28.8" x14ac:dyDescent="0.3">
      <c r="B70" s="102"/>
      <c r="C70" s="33" t="s">
        <v>39</v>
      </c>
      <c r="D70" s="34" t="s">
        <v>166</v>
      </c>
    </row>
    <row r="71" spans="2:4" x14ac:dyDescent="0.3">
      <c r="B71" s="102"/>
      <c r="C71" s="33" t="s">
        <v>40</v>
      </c>
      <c r="D71" s="34" t="s">
        <v>167</v>
      </c>
    </row>
    <row r="72" spans="2:4" x14ac:dyDescent="0.3">
      <c r="B72" s="102"/>
      <c r="C72" s="33" t="s">
        <v>41</v>
      </c>
      <c r="D72" s="34" t="s">
        <v>168</v>
      </c>
    </row>
    <row r="73" spans="2:4" ht="28.8" x14ac:dyDescent="0.3">
      <c r="B73" s="102"/>
      <c r="C73" s="47" t="s">
        <v>42</v>
      </c>
      <c r="D73" s="39" t="s">
        <v>169</v>
      </c>
    </row>
    <row r="74" spans="2:4" ht="43.2" x14ac:dyDescent="0.3">
      <c r="B74" s="102"/>
      <c r="C74" s="47" t="s">
        <v>43</v>
      </c>
      <c r="D74" s="39" t="s">
        <v>170</v>
      </c>
    </row>
    <row r="75" spans="2:4" ht="43.2" x14ac:dyDescent="0.3">
      <c r="B75" s="102"/>
      <c r="C75" s="30" t="s">
        <v>22</v>
      </c>
      <c r="D75" s="31" t="s">
        <v>110</v>
      </c>
    </row>
    <row r="76" spans="2:4" ht="28.8" x14ac:dyDescent="0.3">
      <c r="B76" s="102"/>
      <c r="C76" s="30" t="s">
        <v>23</v>
      </c>
      <c r="D76" s="31" t="s">
        <v>111</v>
      </c>
    </row>
    <row r="77" spans="2:4" ht="28.8" x14ac:dyDescent="0.3">
      <c r="B77" s="102"/>
      <c r="C77" s="30" t="s">
        <v>223</v>
      </c>
      <c r="D77" s="31" t="s">
        <v>222</v>
      </c>
    </row>
    <row r="78" spans="2:4" ht="28.8" x14ac:dyDescent="0.3">
      <c r="B78" s="102"/>
      <c r="C78" s="72" t="s">
        <v>225</v>
      </c>
      <c r="D78" s="45" t="s">
        <v>229</v>
      </c>
    </row>
    <row r="79" spans="2:4" ht="28.8" x14ac:dyDescent="0.3">
      <c r="B79" s="102"/>
      <c r="C79" s="72" t="s">
        <v>226</v>
      </c>
      <c r="D79" s="45" t="s">
        <v>230</v>
      </c>
    </row>
    <row r="80" spans="2:4" ht="28.8" x14ac:dyDescent="0.3">
      <c r="B80" s="102"/>
      <c r="C80" s="72" t="s">
        <v>227</v>
      </c>
      <c r="D80" s="45" t="s">
        <v>231</v>
      </c>
    </row>
    <row r="81" spans="2:4" x14ac:dyDescent="0.3">
      <c r="B81" s="102"/>
      <c r="C81" s="30" t="s">
        <v>243</v>
      </c>
      <c r="D81" s="31" t="s">
        <v>240</v>
      </c>
    </row>
    <row r="82" spans="2:4" x14ac:dyDescent="0.3">
      <c r="B82" s="102"/>
      <c r="C82" s="30" t="s">
        <v>244</v>
      </c>
      <c r="D82" s="31" t="s">
        <v>241</v>
      </c>
    </row>
    <row r="83" spans="2:4" x14ac:dyDescent="0.3">
      <c r="B83" s="102"/>
      <c r="C83" s="30" t="s">
        <v>239</v>
      </c>
      <c r="D83" s="31" t="s">
        <v>242</v>
      </c>
    </row>
    <row r="84" spans="2:4" x14ac:dyDescent="0.3">
      <c r="B84" s="102"/>
      <c r="C84" s="76" t="s">
        <v>250</v>
      </c>
      <c r="D84" s="75" t="s">
        <v>251</v>
      </c>
    </row>
    <row r="85" spans="2:4" ht="244.8" x14ac:dyDescent="0.3">
      <c r="B85" s="102"/>
      <c r="C85" s="76" t="s">
        <v>253</v>
      </c>
      <c r="D85" s="75" t="s">
        <v>252</v>
      </c>
    </row>
    <row r="86" spans="2:4" ht="29.4" thickBot="1" x14ac:dyDescent="0.35">
      <c r="B86" s="103"/>
      <c r="C86" s="30" t="s">
        <v>24</v>
      </c>
      <c r="D86" s="31" t="s">
        <v>114</v>
      </c>
    </row>
    <row r="87" spans="2:4" ht="28.8" x14ac:dyDescent="0.3">
      <c r="B87" s="101" t="s">
        <v>238</v>
      </c>
      <c r="C87" s="32" t="s">
        <v>1</v>
      </c>
      <c r="D87" s="43" t="s">
        <v>151</v>
      </c>
    </row>
    <row r="88" spans="2:4" x14ac:dyDescent="0.3">
      <c r="B88" s="102"/>
      <c r="C88" s="33" t="s">
        <v>2</v>
      </c>
      <c r="D88" s="34" t="s">
        <v>152</v>
      </c>
    </row>
    <row r="89" spans="2:4" ht="28.8" x14ac:dyDescent="0.3">
      <c r="B89" s="102"/>
      <c r="C89" s="33" t="s">
        <v>27</v>
      </c>
      <c r="D89" s="34" t="s">
        <v>153</v>
      </c>
    </row>
    <row r="90" spans="2:4" ht="28.8" x14ac:dyDescent="0.3">
      <c r="B90" s="102"/>
      <c r="C90" s="33" t="s">
        <v>25</v>
      </c>
      <c r="D90" s="34" t="s">
        <v>155</v>
      </c>
    </row>
    <row r="91" spans="2:4" x14ac:dyDescent="0.3">
      <c r="B91" s="102"/>
      <c r="C91" s="35" t="s">
        <v>47</v>
      </c>
      <c r="D91" s="34" t="s">
        <v>171</v>
      </c>
    </row>
    <row r="92" spans="2:4" ht="43.2" x14ac:dyDescent="0.3">
      <c r="B92" s="102"/>
      <c r="C92" s="35" t="s">
        <v>31</v>
      </c>
      <c r="D92" s="34" t="s">
        <v>172</v>
      </c>
    </row>
    <row r="93" spans="2:4" ht="28.8" x14ac:dyDescent="0.3">
      <c r="B93" s="102"/>
      <c r="C93" s="35" t="s">
        <v>48</v>
      </c>
      <c r="D93" s="34" t="s">
        <v>173</v>
      </c>
    </row>
    <row r="94" spans="2:4" ht="28.8" x14ac:dyDescent="0.3">
      <c r="B94" s="102"/>
      <c r="C94" s="37" t="s">
        <v>49</v>
      </c>
      <c r="D94" s="34" t="s">
        <v>174</v>
      </c>
    </row>
    <row r="95" spans="2:4" ht="28.8" x14ac:dyDescent="0.3">
      <c r="B95" s="102"/>
      <c r="C95" s="37" t="s">
        <v>39</v>
      </c>
      <c r="D95" s="34" t="s">
        <v>166</v>
      </c>
    </row>
    <row r="96" spans="2:4" x14ac:dyDescent="0.3">
      <c r="B96" s="102"/>
      <c r="C96" s="37" t="s">
        <v>40</v>
      </c>
      <c r="D96" s="34" t="s">
        <v>167</v>
      </c>
    </row>
    <row r="97" spans="2:4" x14ac:dyDescent="0.3">
      <c r="B97" s="102"/>
      <c r="C97" s="37" t="s">
        <v>41</v>
      </c>
      <c r="D97" s="34" t="s">
        <v>168</v>
      </c>
    </row>
    <row r="98" spans="2:4" ht="28.8" x14ac:dyDescent="0.3">
      <c r="B98" s="102"/>
      <c r="C98" s="38" t="s">
        <v>42</v>
      </c>
      <c r="D98" s="39" t="s">
        <v>169</v>
      </c>
    </row>
    <row r="99" spans="2:4" ht="43.2" x14ac:dyDescent="0.3">
      <c r="B99" s="102"/>
      <c r="C99" s="47" t="s">
        <v>43</v>
      </c>
      <c r="D99" s="39" t="s">
        <v>170</v>
      </c>
    </row>
    <row r="100" spans="2:4" ht="43.2" x14ac:dyDescent="0.3">
      <c r="B100" s="102"/>
      <c r="C100" s="30" t="s">
        <v>22</v>
      </c>
      <c r="D100" s="31" t="s">
        <v>110</v>
      </c>
    </row>
    <row r="101" spans="2:4" ht="28.8" x14ac:dyDescent="0.3">
      <c r="B101" s="102"/>
      <c r="C101" s="30" t="s">
        <v>23</v>
      </c>
      <c r="D101" s="31" t="s">
        <v>111</v>
      </c>
    </row>
    <row r="102" spans="2:4" ht="28.8" x14ac:dyDescent="0.3">
      <c r="B102" s="102"/>
      <c r="C102" s="30" t="s">
        <v>223</v>
      </c>
      <c r="D102" s="31" t="s">
        <v>222</v>
      </c>
    </row>
    <row r="103" spans="2:4" x14ac:dyDescent="0.3">
      <c r="B103" s="102"/>
      <c r="C103" s="30" t="s">
        <v>46</v>
      </c>
      <c r="D103" s="39" t="s">
        <v>228</v>
      </c>
    </row>
    <row r="104" spans="2:4" x14ac:dyDescent="0.3">
      <c r="B104" s="102"/>
      <c r="C104" s="30" t="s">
        <v>243</v>
      </c>
      <c r="D104" s="31" t="s">
        <v>240</v>
      </c>
    </row>
    <row r="105" spans="2:4" x14ac:dyDescent="0.3">
      <c r="B105" s="102"/>
      <c r="C105" s="30" t="s">
        <v>244</v>
      </c>
      <c r="D105" s="31" t="s">
        <v>241</v>
      </c>
    </row>
    <row r="106" spans="2:4" x14ac:dyDescent="0.3">
      <c r="B106" s="102"/>
      <c r="C106" s="30" t="s">
        <v>239</v>
      </c>
      <c r="D106" s="31" t="s">
        <v>242</v>
      </c>
    </row>
    <row r="107" spans="2:4" x14ac:dyDescent="0.3">
      <c r="B107" s="102"/>
      <c r="C107" s="76" t="s">
        <v>250</v>
      </c>
      <c r="D107" s="75" t="s">
        <v>251</v>
      </c>
    </row>
    <row r="108" spans="2:4" ht="244.8" x14ac:dyDescent="0.3">
      <c r="B108" s="102"/>
      <c r="C108" s="76" t="s">
        <v>253</v>
      </c>
      <c r="D108" s="75" t="s">
        <v>252</v>
      </c>
    </row>
    <row r="109" spans="2:4" ht="29.4" thickBot="1" x14ac:dyDescent="0.35">
      <c r="B109" s="103"/>
      <c r="C109" s="30" t="s">
        <v>24</v>
      </c>
      <c r="D109" s="31" t="s">
        <v>114</v>
      </c>
    </row>
    <row r="110" spans="2:4" x14ac:dyDescent="0.3">
      <c r="B110" s="101" t="s">
        <v>245</v>
      </c>
      <c r="C110" s="40" t="s">
        <v>1</v>
      </c>
      <c r="D110" s="41" t="s">
        <v>175</v>
      </c>
    </row>
    <row r="111" spans="2:4" ht="28.8" x14ac:dyDescent="0.3">
      <c r="B111" s="104"/>
      <c r="C111" s="61" t="s">
        <v>176</v>
      </c>
      <c r="D111" s="36" t="s">
        <v>177</v>
      </c>
    </row>
    <row r="112" spans="2:4" x14ac:dyDescent="0.3">
      <c r="B112" s="104"/>
      <c r="C112" s="61" t="s">
        <v>9</v>
      </c>
      <c r="D112" s="36" t="s">
        <v>178</v>
      </c>
    </row>
    <row r="113" spans="2:4" ht="72" x14ac:dyDescent="0.3">
      <c r="B113" s="104"/>
      <c r="C113" s="61" t="s">
        <v>54</v>
      </c>
      <c r="D113" s="80" t="s">
        <v>262</v>
      </c>
    </row>
    <row r="114" spans="2:4" ht="72" x14ac:dyDescent="0.3">
      <c r="B114" s="104"/>
      <c r="C114" s="42" t="s">
        <v>254</v>
      </c>
      <c r="D114" s="77" t="s">
        <v>261</v>
      </c>
    </row>
    <row r="115" spans="2:4" ht="57.6" x14ac:dyDescent="0.3">
      <c r="B115" s="104"/>
      <c r="C115" s="42" t="s">
        <v>55</v>
      </c>
      <c r="D115" s="31" t="s">
        <v>179</v>
      </c>
    </row>
    <row r="116" spans="2:4" x14ac:dyDescent="0.3">
      <c r="B116" s="104"/>
      <c r="C116" s="42" t="s">
        <v>56</v>
      </c>
      <c r="D116" s="31" t="s">
        <v>205</v>
      </c>
    </row>
    <row r="117" spans="2:4" ht="43.2" x14ac:dyDescent="0.3">
      <c r="B117" s="104"/>
      <c r="C117" s="30" t="s">
        <v>22</v>
      </c>
      <c r="D117" s="31" t="s">
        <v>110</v>
      </c>
    </row>
    <row r="118" spans="2:4" ht="28.8" x14ac:dyDescent="0.3">
      <c r="B118" s="104"/>
      <c r="C118" s="30" t="s">
        <v>23</v>
      </c>
      <c r="D118" s="31" t="s">
        <v>111</v>
      </c>
    </row>
    <row r="119" spans="2:4" x14ac:dyDescent="0.3">
      <c r="B119" s="104"/>
      <c r="C119" s="42" t="s">
        <v>57</v>
      </c>
      <c r="D119" s="31" t="s">
        <v>180</v>
      </c>
    </row>
    <row r="120" spans="2:4" x14ac:dyDescent="0.3">
      <c r="B120" s="104"/>
      <c r="C120" s="42" t="s">
        <v>58</v>
      </c>
      <c r="D120" s="31" t="s">
        <v>181</v>
      </c>
    </row>
    <row r="121" spans="2:4" x14ac:dyDescent="0.3">
      <c r="B121" s="104"/>
      <c r="C121" s="76" t="s">
        <v>250</v>
      </c>
      <c r="D121" s="75" t="s">
        <v>251</v>
      </c>
    </row>
    <row r="122" spans="2:4" ht="244.8" x14ac:dyDescent="0.3">
      <c r="B122" s="104"/>
      <c r="C122" s="76" t="s">
        <v>253</v>
      </c>
      <c r="D122" s="75" t="s">
        <v>252</v>
      </c>
    </row>
    <row r="123" spans="2:4" ht="29.4" thickBot="1" x14ac:dyDescent="0.35">
      <c r="B123" s="104"/>
      <c r="C123" s="30" t="s">
        <v>24</v>
      </c>
      <c r="D123" s="31" t="s">
        <v>114</v>
      </c>
    </row>
    <row r="124" spans="2:4" x14ac:dyDescent="0.3">
      <c r="B124" s="101" t="s">
        <v>236</v>
      </c>
      <c r="C124" s="40" t="s">
        <v>1</v>
      </c>
      <c r="D124" s="43" t="s">
        <v>182</v>
      </c>
    </row>
    <row r="125" spans="2:4" ht="28.8" x14ac:dyDescent="0.3">
      <c r="B125" s="102"/>
      <c r="C125" s="61" t="s">
        <v>2</v>
      </c>
      <c r="D125" s="62" t="s">
        <v>183</v>
      </c>
    </row>
    <row r="126" spans="2:4" x14ac:dyDescent="0.3">
      <c r="B126" s="102"/>
      <c r="C126" s="61" t="s">
        <v>9</v>
      </c>
      <c r="D126" s="62" t="s">
        <v>184</v>
      </c>
    </row>
    <row r="127" spans="2:4" ht="28.8" x14ac:dyDescent="0.3">
      <c r="B127" s="102"/>
      <c r="C127" s="42" t="s">
        <v>56</v>
      </c>
      <c r="D127" s="31" t="s">
        <v>208</v>
      </c>
    </row>
    <row r="128" spans="2:4" x14ac:dyDescent="0.3">
      <c r="B128" s="102"/>
      <c r="C128" s="63" t="s">
        <v>115</v>
      </c>
      <c r="D128" s="34" t="s">
        <v>185</v>
      </c>
    </row>
    <row r="129" spans="2:4" ht="43.2" x14ac:dyDescent="0.3">
      <c r="B129" s="102"/>
      <c r="C129" s="30" t="s">
        <v>22</v>
      </c>
      <c r="D129" s="31" t="s">
        <v>110</v>
      </c>
    </row>
    <row r="130" spans="2:4" ht="28.8" x14ac:dyDescent="0.3">
      <c r="B130" s="102"/>
      <c r="C130" s="30" t="s">
        <v>23</v>
      </c>
      <c r="D130" s="31" t="s">
        <v>111</v>
      </c>
    </row>
    <row r="131" spans="2:4" ht="43.2" x14ac:dyDescent="0.3">
      <c r="B131" s="102"/>
      <c r="C131" s="76" t="s">
        <v>186</v>
      </c>
      <c r="D131" s="75" t="s">
        <v>255</v>
      </c>
    </row>
    <row r="132" spans="2:4" ht="43.2" x14ac:dyDescent="0.3">
      <c r="B132" s="102"/>
      <c r="C132" s="76" t="s">
        <v>187</v>
      </c>
      <c r="D132" s="75" t="s">
        <v>256</v>
      </c>
    </row>
    <row r="133" spans="2:4" ht="43.2" x14ac:dyDescent="0.3">
      <c r="B133" s="102"/>
      <c r="C133" s="78" t="s">
        <v>188</v>
      </c>
      <c r="D133" s="75" t="s">
        <v>257</v>
      </c>
    </row>
    <row r="134" spans="2:4" ht="28.8" x14ac:dyDescent="0.3">
      <c r="B134" s="102"/>
      <c r="C134" s="79" t="s">
        <v>258</v>
      </c>
      <c r="D134" s="77" t="s">
        <v>263</v>
      </c>
    </row>
    <row r="135" spans="2:4" ht="86.4" x14ac:dyDescent="0.3">
      <c r="B135" s="102"/>
      <c r="C135" s="79" t="s">
        <v>259</v>
      </c>
      <c r="D135" s="77" t="s">
        <v>264</v>
      </c>
    </row>
    <row r="136" spans="2:4" ht="43.2" x14ac:dyDescent="0.3">
      <c r="B136" s="102"/>
      <c r="C136" s="79" t="s">
        <v>260</v>
      </c>
      <c r="D136" s="77" t="s">
        <v>265</v>
      </c>
    </row>
    <row r="137" spans="2:4" ht="29.4" thickBot="1" x14ac:dyDescent="0.35">
      <c r="B137" s="103"/>
      <c r="C137" s="64" t="s">
        <v>24</v>
      </c>
      <c r="D137" s="65" t="s">
        <v>114</v>
      </c>
    </row>
    <row r="138" spans="2:4" x14ac:dyDescent="0.3">
      <c r="B138" s="102" t="s">
        <v>233</v>
      </c>
      <c r="C138" s="32" t="s">
        <v>1</v>
      </c>
      <c r="D138" s="41" t="s">
        <v>189</v>
      </c>
    </row>
    <row r="139" spans="2:4" x14ac:dyDescent="0.3">
      <c r="B139" s="102"/>
      <c r="C139" s="33" t="s">
        <v>2</v>
      </c>
      <c r="D139" s="36" t="s">
        <v>190</v>
      </c>
    </row>
    <row r="140" spans="2:4" x14ac:dyDescent="0.3">
      <c r="B140" s="102"/>
      <c r="C140" s="33" t="s">
        <v>9</v>
      </c>
      <c r="D140" s="36" t="s">
        <v>191</v>
      </c>
    </row>
    <row r="141" spans="2:4" x14ac:dyDescent="0.3">
      <c r="B141" s="102"/>
      <c r="C141" s="35" t="s">
        <v>50</v>
      </c>
      <c r="D141" s="31" t="s">
        <v>192</v>
      </c>
    </row>
    <row r="142" spans="2:4" x14ac:dyDescent="0.3">
      <c r="B142" s="102"/>
      <c r="C142" s="35" t="s">
        <v>215</v>
      </c>
      <c r="D142" s="31" t="s">
        <v>216</v>
      </c>
    </row>
    <row r="143" spans="2:4" x14ac:dyDescent="0.3">
      <c r="B143" s="102"/>
      <c r="C143" s="30" t="s">
        <v>51</v>
      </c>
      <c r="D143" s="31" t="s">
        <v>193</v>
      </c>
    </row>
    <row r="144" spans="2:4" x14ac:dyDescent="0.3">
      <c r="B144" s="102"/>
      <c r="C144" s="30" t="s">
        <v>140</v>
      </c>
      <c r="D144" s="31" t="s">
        <v>206</v>
      </c>
    </row>
    <row r="145" spans="2:4" x14ac:dyDescent="0.3">
      <c r="B145" s="102"/>
      <c r="C145" s="30" t="s">
        <v>141</v>
      </c>
      <c r="D145" s="31" t="s">
        <v>207</v>
      </c>
    </row>
    <row r="146" spans="2:4" ht="43.2" x14ac:dyDescent="0.3">
      <c r="B146" s="102"/>
      <c r="C146" s="30" t="s">
        <v>22</v>
      </c>
      <c r="D146" s="31" t="s">
        <v>110</v>
      </c>
    </row>
    <row r="147" spans="2:4" ht="28.8" x14ac:dyDescent="0.3">
      <c r="B147" s="102"/>
      <c r="C147" s="30" t="s">
        <v>23</v>
      </c>
      <c r="D147" s="31" t="s">
        <v>111</v>
      </c>
    </row>
    <row r="148" spans="2:4" x14ac:dyDescent="0.3">
      <c r="B148" s="102"/>
      <c r="C148" s="76" t="s">
        <v>250</v>
      </c>
      <c r="D148" s="75" t="s">
        <v>251</v>
      </c>
    </row>
    <row r="149" spans="2:4" ht="244.8" x14ac:dyDescent="0.3">
      <c r="B149" s="102"/>
      <c r="C149" s="76" t="s">
        <v>253</v>
      </c>
      <c r="D149" s="75" t="s">
        <v>252</v>
      </c>
    </row>
    <row r="150" spans="2:4" ht="29.4" thickBot="1" x14ac:dyDescent="0.35">
      <c r="B150" s="103"/>
      <c r="C150" s="64" t="s">
        <v>24</v>
      </c>
      <c r="D150" s="65" t="s">
        <v>114</v>
      </c>
    </row>
    <row r="151" spans="2:4" ht="28.8" x14ac:dyDescent="0.3">
      <c r="B151" s="126" t="s">
        <v>234</v>
      </c>
      <c r="C151" s="32" t="s">
        <v>1</v>
      </c>
      <c r="D151" s="41" t="s">
        <v>194</v>
      </c>
    </row>
    <row r="152" spans="2:4" x14ac:dyDescent="0.3">
      <c r="B152" s="127"/>
      <c r="C152" s="33" t="s">
        <v>2</v>
      </c>
      <c r="D152" s="36" t="s">
        <v>195</v>
      </c>
    </row>
    <row r="153" spans="2:4" x14ac:dyDescent="0.3">
      <c r="B153" s="127"/>
      <c r="C153" s="33" t="s">
        <v>9</v>
      </c>
      <c r="D153" s="36" t="s">
        <v>191</v>
      </c>
    </row>
    <row r="154" spans="2:4" ht="28.8" x14ac:dyDescent="0.3">
      <c r="B154" s="127"/>
      <c r="C154" s="66" t="s">
        <v>148</v>
      </c>
      <c r="D154" s="31" t="s">
        <v>196</v>
      </c>
    </row>
    <row r="155" spans="2:4" ht="43.2" x14ac:dyDescent="0.3">
      <c r="B155" s="127"/>
      <c r="C155" s="67" t="s">
        <v>22</v>
      </c>
      <c r="D155" s="31" t="s">
        <v>110</v>
      </c>
    </row>
    <row r="156" spans="2:4" ht="28.8" x14ac:dyDescent="0.3">
      <c r="B156" s="127"/>
      <c r="C156" s="67" t="s">
        <v>23</v>
      </c>
      <c r="D156" s="31" t="s">
        <v>111</v>
      </c>
    </row>
    <row r="157" spans="2:4" x14ac:dyDescent="0.3">
      <c r="B157" s="127"/>
      <c r="C157" s="67" t="s">
        <v>59</v>
      </c>
      <c r="D157" s="31" t="s">
        <v>197</v>
      </c>
    </row>
    <row r="158" spans="2:4" x14ac:dyDescent="0.3">
      <c r="B158" s="127"/>
      <c r="C158" s="67" t="s">
        <v>198</v>
      </c>
      <c r="D158" s="31" t="s">
        <v>199</v>
      </c>
    </row>
    <row r="159" spans="2:4" x14ac:dyDescent="0.3">
      <c r="B159" s="127"/>
      <c r="C159" s="76" t="s">
        <v>250</v>
      </c>
      <c r="D159" s="75" t="s">
        <v>251</v>
      </c>
    </row>
    <row r="160" spans="2:4" ht="244.8" x14ac:dyDescent="0.3">
      <c r="B160" s="127"/>
      <c r="C160" s="76" t="s">
        <v>253</v>
      </c>
      <c r="D160" s="75" t="s">
        <v>252</v>
      </c>
    </row>
    <row r="161" spans="2:4" ht="29.4" thickBot="1" x14ac:dyDescent="0.35">
      <c r="B161" s="128"/>
      <c r="C161" s="44" t="s">
        <v>24</v>
      </c>
      <c r="D161" s="65" t="s">
        <v>114</v>
      </c>
    </row>
    <row r="162" spans="2:4" x14ac:dyDescent="0.3">
      <c r="B162" s="126" t="s">
        <v>235</v>
      </c>
      <c r="C162" s="32" t="s">
        <v>1</v>
      </c>
      <c r="D162" s="41" t="s">
        <v>200</v>
      </c>
    </row>
    <row r="163" spans="2:4" ht="28.8" x14ac:dyDescent="0.3">
      <c r="B163" s="127"/>
      <c r="C163" s="33" t="s">
        <v>201</v>
      </c>
      <c r="D163" s="36" t="s">
        <v>202</v>
      </c>
    </row>
    <row r="164" spans="2:4" x14ac:dyDescent="0.3">
      <c r="B164" s="127"/>
      <c r="C164" s="33" t="s">
        <v>9</v>
      </c>
      <c r="D164" s="36" t="s">
        <v>203</v>
      </c>
    </row>
    <row r="165" spans="2:4" ht="43.2" x14ac:dyDescent="0.3">
      <c r="B165" s="127"/>
      <c r="C165" s="67" t="s">
        <v>22</v>
      </c>
      <c r="D165" s="31" t="s">
        <v>110</v>
      </c>
    </row>
    <row r="166" spans="2:4" ht="28.8" x14ac:dyDescent="0.3">
      <c r="B166" s="127"/>
      <c r="C166" s="67" t="s">
        <v>23</v>
      </c>
      <c r="D166" s="31" t="s">
        <v>111</v>
      </c>
    </row>
    <row r="167" spans="2:4" x14ac:dyDescent="0.3">
      <c r="B167" s="127"/>
      <c r="C167" s="70" t="s">
        <v>60</v>
      </c>
      <c r="D167" s="71" t="s">
        <v>214</v>
      </c>
    </row>
    <row r="168" spans="2:4" x14ac:dyDescent="0.3">
      <c r="B168" s="127"/>
      <c r="C168" s="67" t="s">
        <v>61</v>
      </c>
      <c r="D168" s="31" t="s">
        <v>212</v>
      </c>
    </row>
    <row r="169" spans="2:4" x14ac:dyDescent="0.3">
      <c r="B169" s="127"/>
      <c r="C169" s="67" t="s">
        <v>63</v>
      </c>
      <c r="D169" s="31" t="s">
        <v>213</v>
      </c>
    </row>
    <row r="170" spans="2:4" x14ac:dyDescent="0.3">
      <c r="B170" s="127"/>
      <c r="C170" s="68" t="s">
        <v>62</v>
      </c>
      <c r="D170" s="45" t="s">
        <v>204</v>
      </c>
    </row>
    <row r="171" spans="2:4" x14ac:dyDescent="0.3">
      <c r="B171" s="127"/>
      <c r="C171" s="76" t="s">
        <v>250</v>
      </c>
      <c r="D171" s="75" t="s">
        <v>251</v>
      </c>
    </row>
    <row r="172" spans="2:4" ht="244.8" x14ac:dyDescent="0.3">
      <c r="B172" s="127"/>
      <c r="C172" s="76" t="s">
        <v>253</v>
      </c>
      <c r="D172" s="75" t="s">
        <v>252</v>
      </c>
    </row>
    <row r="173" spans="2:4" ht="29.4" thickBot="1" x14ac:dyDescent="0.35">
      <c r="B173" s="128"/>
      <c r="C173" s="44" t="s">
        <v>24</v>
      </c>
      <c r="D173" s="65" t="s">
        <v>114</v>
      </c>
    </row>
  </sheetData>
  <mergeCells count="15">
    <mergeCell ref="B124:B137"/>
    <mergeCell ref="B138:B150"/>
    <mergeCell ref="B151:B161"/>
    <mergeCell ref="B162:B173"/>
    <mergeCell ref="B2:D5"/>
    <mergeCell ref="B55:B86"/>
    <mergeCell ref="B87:B109"/>
    <mergeCell ref="B110:B123"/>
    <mergeCell ref="B7:D7"/>
    <mergeCell ref="B8:D12"/>
    <mergeCell ref="B14:D14"/>
    <mergeCell ref="B15:D24"/>
    <mergeCell ref="B26:D26"/>
    <mergeCell ref="B27:D28"/>
    <mergeCell ref="B29:B54"/>
  </mergeCells>
  <conditionalFormatting sqref="E134:E136">
    <cfRule type="cellIs" dxfId="0" priority="1" operator="equal">
      <formula>"Sin coincidencia"</formula>
    </cfRule>
  </conditionalFormatting>
  <pageMargins left="0.7" right="0.7" top="0.75" bottom="0.75" header="0.3" footer="0.3"/>
  <pageSetup scale="6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sheetPr>
  <dimension ref="A2:AC186"/>
  <sheetViews>
    <sheetView showGridLines="0" topLeftCell="J118" zoomScale="85" zoomScaleNormal="85" workbookViewId="0">
      <selection activeCell="AC191" sqref="AC191"/>
    </sheetView>
  </sheetViews>
  <sheetFormatPr baseColWidth="10" defaultColWidth="11.5546875" defaultRowHeight="14.4" x14ac:dyDescent="0.3"/>
  <cols>
    <col min="1" max="2" width="3" style="3" customWidth="1"/>
    <col min="3" max="3" width="6.6640625" style="2" customWidth="1"/>
    <col min="4" max="4" width="33" customWidth="1"/>
    <col min="5" max="5" width="14.5546875" customWidth="1"/>
    <col min="6" max="6" width="17.109375" customWidth="1"/>
    <col min="11" max="11" width="13.33203125" customWidth="1"/>
    <col min="19" max="19" width="12.44140625" customWidth="1"/>
    <col min="22" max="22" width="11.5546875" style="55"/>
    <col min="23" max="23" width="11.5546875" customWidth="1"/>
    <col min="24" max="27" width="16.5546875" customWidth="1"/>
    <col min="28" max="28" width="25.21875" customWidth="1"/>
    <col min="29" max="29" width="41.33203125" customWidth="1"/>
  </cols>
  <sheetData>
    <row r="2" spans="1:29" ht="15" thickBot="1" x14ac:dyDescent="0.35"/>
    <row r="3" spans="1:29" s="1" customFormat="1" ht="15" thickBot="1" x14ac:dyDescent="0.35">
      <c r="A3" s="4"/>
      <c r="B3" s="4"/>
      <c r="C3" s="87" t="s">
        <v>10</v>
      </c>
      <c r="D3" s="88"/>
      <c r="E3" s="88"/>
      <c r="F3" s="88"/>
      <c r="G3" s="88"/>
      <c r="H3" s="88"/>
      <c r="I3" s="88"/>
      <c r="J3" s="88"/>
      <c r="K3" s="88"/>
      <c r="L3" s="88"/>
      <c r="M3" s="88"/>
      <c r="N3" s="88"/>
      <c r="O3" s="88"/>
      <c r="P3" s="88"/>
      <c r="Q3" s="88"/>
      <c r="R3" s="88"/>
      <c r="S3" s="88"/>
      <c r="T3" s="88"/>
      <c r="U3" s="88"/>
      <c r="V3" s="88"/>
      <c r="W3" s="88"/>
      <c r="X3" s="88"/>
      <c r="Y3" s="88"/>
      <c r="Z3" s="88"/>
      <c r="AA3" s="88"/>
      <c r="AB3" s="88"/>
      <c r="AC3" s="89"/>
    </row>
    <row r="4" spans="1:29" s="6" customFormat="1" ht="12" customHeight="1" x14ac:dyDescent="0.3">
      <c r="A4" s="5"/>
      <c r="B4" s="5"/>
      <c r="C4" s="90" t="s">
        <v>3</v>
      </c>
      <c r="D4" s="85" t="str">
        <f>'Manual de Uso'!C29</f>
        <v>Nombre</v>
      </c>
      <c r="E4" s="85" t="str">
        <f>'Manual de Uso'!C30</f>
        <v>Subestación 1</v>
      </c>
      <c r="F4" s="85" t="str">
        <f>'Manual de Uso'!C31</f>
        <v>Subestación 2</v>
      </c>
      <c r="G4" s="85" t="str">
        <f>'Manual de Uso'!C32</f>
        <v>Nivel de tensión [kV]</v>
      </c>
      <c r="H4" s="85" t="str">
        <f>'Manual de Uso'!C33</f>
        <v>Longitud [km]</v>
      </c>
      <c r="I4" s="85" t="str">
        <f>'Manual de Uso'!C34</f>
        <v>Capacidad transporte nominal [A]</v>
      </c>
      <c r="J4" s="85" t="str">
        <f>'Manual de Uso'!C35</f>
        <v>Capacidad transporte térmico [A]</v>
      </c>
      <c r="K4" s="85" t="str">
        <f>'Manual de Uso'!C36</f>
        <v>Capacidad transporte emergencia [A]</v>
      </c>
      <c r="L4" s="85" t="str">
        <f>'Manual de Uso'!C37</f>
        <v>Causa límite de capacidad</v>
      </c>
      <c r="M4" s="85" t="str">
        <f>'Manual de Uso'!C38</f>
        <v>R1 [Ohm/km]</v>
      </c>
      <c r="N4" s="85" t="str">
        <f>'Manual de Uso'!C39</f>
        <v>X1 [Ohm/km]</v>
      </c>
      <c r="O4" s="85" t="str">
        <f>'Manual de Uso'!C40</f>
        <v>B1 [uS/km]</v>
      </c>
      <c r="P4" s="85" t="str">
        <f>'Manual de Uso'!C41</f>
        <v>R0 [Ohm/km]</v>
      </c>
      <c r="Q4" s="85" t="str">
        <f>'Manual de Uso'!C42</f>
        <v>X0 [Ohm/km]</v>
      </c>
      <c r="R4" s="85" t="str">
        <f>'Manual de Uso'!C43</f>
        <v>B0 [uS/km]</v>
      </c>
      <c r="S4" s="85" t="str">
        <f>'Manual de Uso'!C44</f>
        <v>Sistema</v>
      </c>
      <c r="T4" s="85" t="str">
        <f>'Manual de Uso'!C45</f>
        <v>Tipo</v>
      </c>
      <c r="U4" s="85" t="str">
        <f>'Manual de Uso'!C46</f>
        <v>En Operación</v>
      </c>
      <c r="V4" s="85" t="str">
        <f>'Manual de Uso'!C47</f>
        <v>FPO</v>
      </c>
      <c r="W4" s="85" t="str">
        <f>'Manual de Uso'!C48</f>
        <v>Conductor</v>
      </c>
      <c r="X4" s="85" t="str">
        <f>'Manual de Uso'!C49</f>
        <v>Tiempo medio de reparación por evento [h]</v>
      </c>
      <c r="Y4" s="85" t="str">
        <f>'Manual de Uso'!C50</f>
        <v>Horas anuales de indisponibilidad [h]</v>
      </c>
      <c r="Z4" s="85" t="str">
        <f>'Manual de Uso'!C51</f>
        <v>Eventos anuales de indisponibilidad</v>
      </c>
      <c r="AA4" s="85" t="str">
        <f>'Manual de Uso'!C52</f>
        <v>Operador</v>
      </c>
      <c r="AB4" s="85" t="str">
        <f>'Manual de Uso'!C53</f>
        <v>Tipo activo Uso/Conexión</v>
      </c>
      <c r="AC4" s="85" t="str">
        <f>'Manual de Uso'!C54</f>
        <v>Observaciones transportador</v>
      </c>
    </row>
    <row r="5" spans="1:29" s="6" customFormat="1" ht="24" customHeight="1" thickBot="1" x14ac:dyDescent="0.35">
      <c r="A5" s="5"/>
      <c r="B5" s="5"/>
      <c r="C5" s="91"/>
      <c r="D5" s="86"/>
      <c r="E5" s="86"/>
      <c r="F5" s="86"/>
      <c r="G5" s="86"/>
      <c r="H5" s="86"/>
      <c r="I5" s="86"/>
      <c r="J5" s="86"/>
      <c r="K5" s="86"/>
      <c r="L5" s="86"/>
      <c r="M5" s="86"/>
      <c r="N5" s="86"/>
      <c r="O5" s="86"/>
      <c r="P5" s="86"/>
      <c r="Q5" s="86"/>
      <c r="R5" s="86"/>
      <c r="S5" s="86"/>
      <c r="T5" s="86"/>
      <c r="U5" s="86"/>
      <c r="V5" s="86"/>
      <c r="W5" s="86"/>
      <c r="X5" s="86"/>
      <c r="Y5" s="86"/>
      <c r="Z5" s="86"/>
      <c r="AA5" s="86"/>
      <c r="AB5" s="86"/>
      <c r="AC5" s="86"/>
    </row>
    <row r="6" spans="1:29" ht="24" x14ac:dyDescent="0.3">
      <c r="A6" s="3" t="e">
        <f>VLOOKUP(E6,'[1]Listas Desplegables'!$H$3:$J$7,2,FALSE)</f>
        <v>#N/A</v>
      </c>
      <c r="B6" s="3" t="e">
        <f>VLOOKUP(E6,'[1]Listas Desplegables'!$H$3:$J$7,3,FALSE)</f>
        <v>#N/A</v>
      </c>
      <c r="C6" s="21">
        <v>1</v>
      </c>
      <c r="D6" s="136" t="s">
        <v>273</v>
      </c>
      <c r="E6" s="136" t="s">
        <v>274</v>
      </c>
      <c r="F6" s="136" t="s">
        <v>275</v>
      </c>
      <c r="G6" s="136">
        <v>115</v>
      </c>
      <c r="H6" s="136">
        <v>29</v>
      </c>
      <c r="I6" s="136">
        <v>480</v>
      </c>
      <c r="J6" s="136">
        <v>480</v>
      </c>
      <c r="K6" s="136">
        <v>480</v>
      </c>
      <c r="L6" s="136" t="s">
        <v>276</v>
      </c>
      <c r="M6" s="136">
        <v>0.16639999999999999</v>
      </c>
      <c r="N6" s="136">
        <v>0.50609999999999999</v>
      </c>
      <c r="O6" s="136">
        <v>3.2961999999999998</v>
      </c>
      <c r="P6" s="136">
        <v>0.47370000000000001</v>
      </c>
      <c r="Q6" s="136">
        <v>1.4836</v>
      </c>
      <c r="R6" s="136">
        <v>1.8562000000000001</v>
      </c>
      <c r="S6" s="136" t="s">
        <v>105</v>
      </c>
      <c r="T6" s="136" t="s">
        <v>108</v>
      </c>
      <c r="U6" s="136" t="s">
        <v>113</v>
      </c>
      <c r="V6" s="136"/>
      <c r="W6" s="136" t="s">
        <v>277</v>
      </c>
      <c r="X6" s="137">
        <v>0.05</v>
      </c>
      <c r="Y6" s="137">
        <v>0.1</v>
      </c>
      <c r="Z6" s="137">
        <v>2</v>
      </c>
      <c r="AA6" s="147" t="s">
        <v>664</v>
      </c>
      <c r="AB6" s="23" t="s">
        <v>270</v>
      </c>
      <c r="AC6" s="138"/>
    </row>
    <row r="7" spans="1:29" ht="24" x14ac:dyDescent="0.3">
      <c r="A7" s="3" t="e">
        <f>VLOOKUP(E7,'[1]Listas Desplegables'!$H$3:$J$7,2,FALSE)</f>
        <v>#N/A</v>
      </c>
      <c r="B7" s="3" t="e">
        <f>VLOOKUP(E7,'[1]Listas Desplegables'!$H$3:$J$7,3,FALSE)</f>
        <v>#N/A</v>
      </c>
      <c r="C7" s="8">
        <v>2</v>
      </c>
      <c r="D7" s="136" t="s">
        <v>278</v>
      </c>
      <c r="E7" s="136" t="s">
        <v>274</v>
      </c>
      <c r="F7" s="136" t="s">
        <v>279</v>
      </c>
      <c r="G7" s="136">
        <v>115</v>
      </c>
      <c r="H7" s="136">
        <v>30.57</v>
      </c>
      <c r="I7" s="136">
        <v>400</v>
      </c>
      <c r="J7" s="136">
        <v>515</v>
      </c>
      <c r="K7" s="136">
        <v>480</v>
      </c>
      <c r="L7" s="136" t="s">
        <v>276</v>
      </c>
      <c r="M7" s="136">
        <v>0.123</v>
      </c>
      <c r="N7" s="136">
        <v>0.503</v>
      </c>
      <c r="O7" s="136">
        <v>3.2730000000000001</v>
      </c>
      <c r="P7" s="136">
        <v>0.33500000000000002</v>
      </c>
      <c r="Q7" s="136">
        <v>1.47</v>
      </c>
      <c r="R7" s="136">
        <v>1.71</v>
      </c>
      <c r="S7" s="136" t="s">
        <v>105</v>
      </c>
      <c r="T7" s="136" t="s">
        <v>108</v>
      </c>
      <c r="U7" s="136" t="s">
        <v>113</v>
      </c>
      <c r="V7" s="136"/>
      <c r="W7" s="136" t="s">
        <v>280</v>
      </c>
      <c r="X7" s="137">
        <v>0.87</v>
      </c>
      <c r="Y7" s="137">
        <v>1.74</v>
      </c>
      <c r="Z7" s="137">
        <v>2</v>
      </c>
      <c r="AA7" s="146" t="s">
        <v>664</v>
      </c>
      <c r="AB7" s="10" t="s">
        <v>270</v>
      </c>
      <c r="AC7" s="138"/>
    </row>
    <row r="8" spans="1:29" ht="24" x14ac:dyDescent="0.3">
      <c r="A8" s="3" t="e">
        <f>VLOOKUP(E8,'[1]Listas Desplegables'!$H$3:$J$7,2,FALSE)</f>
        <v>#N/A</v>
      </c>
      <c r="B8" s="3" t="e">
        <f>VLOOKUP(E8,'[1]Listas Desplegables'!$H$3:$J$7,3,FALSE)</f>
        <v>#N/A</v>
      </c>
      <c r="C8" s="8">
        <v>3</v>
      </c>
      <c r="D8" s="136" t="s">
        <v>281</v>
      </c>
      <c r="E8" s="136" t="s">
        <v>274</v>
      </c>
      <c r="F8" s="136" t="s">
        <v>282</v>
      </c>
      <c r="G8" s="136">
        <v>115</v>
      </c>
      <c r="H8" s="136">
        <v>45.37</v>
      </c>
      <c r="I8" s="136">
        <v>400</v>
      </c>
      <c r="J8" s="136">
        <v>515</v>
      </c>
      <c r="K8" s="136">
        <v>480</v>
      </c>
      <c r="L8" s="136" t="s">
        <v>276</v>
      </c>
      <c r="M8" s="136">
        <v>0.17399999999999999</v>
      </c>
      <c r="N8" s="136">
        <v>0.505</v>
      </c>
      <c r="O8" s="136">
        <v>3.2549999999999999</v>
      </c>
      <c r="P8" s="136">
        <v>0.39700000000000002</v>
      </c>
      <c r="Q8" s="136">
        <v>1.494</v>
      </c>
      <c r="R8" s="136">
        <v>1.762</v>
      </c>
      <c r="S8" s="136" t="s">
        <v>105</v>
      </c>
      <c r="T8" s="136" t="s">
        <v>108</v>
      </c>
      <c r="U8" s="136" t="s">
        <v>113</v>
      </c>
      <c r="V8" s="136"/>
      <c r="W8" s="136" t="s">
        <v>277</v>
      </c>
      <c r="X8" s="137">
        <v>3.2533333333333334</v>
      </c>
      <c r="Y8" s="137">
        <v>9.76</v>
      </c>
      <c r="Z8" s="137">
        <v>3</v>
      </c>
      <c r="AA8" s="146" t="s">
        <v>664</v>
      </c>
      <c r="AB8" s="10" t="s">
        <v>270</v>
      </c>
      <c r="AC8" s="138"/>
    </row>
    <row r="9" spans="1:29" ht="24" x14ac:dyDescent="0.3">
      <c r="A9" s="3" t="e">
        <f>VLOOKUP(E9,'[1]Listas Desplegables'!$H$3:$J$7,2,FALSE)</f>
        <v>#N/A</v>
      </c>
      <c r="B9" s="3" t="e">
        <f>VLOOKUP(E9,'[1]Listas Desplegables'!$H$3:$J$7,3,FALSE)</f>
        <v>#N/A</v>
      </c>
      <c r="C9" s="8">
        <v>4</v>
      </c>
      <c r="D9" s="136" t="s">
        <v>283</v>
      </c>
      <c r="E9" s="136" t="s">
        <v>274</v>
      </c>
      <c r="F9" s="136" t="s">
        <v>284</v>
      </c>
      <c r="G9" s="136">
        <v>115</v>
      </c>
      <c r="H9" s="136">
        <v>41.03</v>
      </c>
      <c r="I9" s="136">
        <v>400</v>
      </c>
      <c r="J9" s="136">
        <v>515</v>
      </c>
      <c r="K9" s="136">
        <v>480</v>
      </c>
      <c r="L9" s="136" t="s">
        <v>276</v>
      </c>
      <c r="M9" s="136">
        <v>0.123</v>
      </c>
      <c r="N9" s="136">
        <v>0.48899999999999999</v>
      </c>
      <c r="O9" s="136">
        <v>3.3730000000000002</v>
      </c>
      <c r="P9" s="136">
        <v>0.34100000000000003</v>
      </c>
      <c r="Q9" s="136">
        <v>1.4890000000000001</v>
      </c>
      <c r="R9" s="136">
        <v>1.744</v>
      </c>
      <c r="S9" s="136" t="s">
        <v>105</v>
      </c>
      <c r="T9" s="136" t="s">
        <v>108</v>
      </c>
      <c r="U9" s="136" t="s">
        <v>113</v>
      </c>
      <c r="V9" s="136"/>
      <c r="W9" s="136" t="s">
        <v>277</v>
      </c>
      <c r="X9" s="137" t="s">
        <v>285</v>
      </c>
      <c r="Y9" s="137">
        <v>0</v>
      </c>
      <c r="Z9" s="137">
        <v>0</v>
      </c>
      <c r="AA9" s="146" t="s">
        <v>664</v>
      </c>
      <c r="AB9" s="10" t="s">
        <v>270</v>
      </c>
      <c r="AC9" s="138"/>
    </row>
    <row r="10" spans="1:29" ht="24" x14ac:dyDescent="0.3">
      <c r="A10" s="3" t="e">
        <f>VLOOKUP(E10,'[1]Listas Desplegables'!$H$3:$J$7,2,FALSE)</f>
        <v>#N/A</v>
      </c>
      <c r="B10" s="3" t="e">
        <f>VLOOKUP(E10,'[1]Listas Desplegables'!$H$3:$J$7,3,FALSE)</f>
        <v>#N/A</v>
      </c>
      <c r="C10" s="8">
        <v>5</v>
      </c>
      <c r="D10" s="136" t="s">
        <v>286</v>
      </c>
      <c r="E10" s="136" t="s">
        <v>287</v>
      </c>
      <c r="F10" s="136" t="s">
        <v>288</v>
      </c>
      <c r="G10" s="136">
        <v>115</v>
      </c>
      <c r="H10" s="136">
        <v>3.6</v>
      </c>
      <c r="I10" s="136">
        <v>529</v>
      </c>
      <c r="J10" s="136">
        <v>528</v>
      </c>
      <c r="K10" s="136">
        <v>529</v>
      </c>
      <c r="L10" s="136" t="s">
        <v>276</v>
      </c>
      <c r="M10" s="136">
        <v>0.28399999999999997</v>
      </c>
      <c r="N10" s="136">
        <v>0.67700000000000005</v>
      </c>
      <c r="O10" s="136">
        <v>3.2989999999999999</v>
      </c>
      <c r="P10" s="136">
        <v>0.56399999999999995</v>
      </c>
      <c r="Q10" s="136">
        <v>2.234</v>
      </c>
      <c r="R10" s="136">
        <v>1.8740000000000001</v>
      </c>
      <c r="S10" s="136" t="s">
        <v>105</v>
      </c>
      <c r="T10" s="136" t="s">
        <v>108</v>
      </c>
      <c r="U10" s="136" t="s">
        <v>113</v>
      </c>
      <c r="V10" s="136"/>
      <c r="W10" s="136" t="s">
        <v>289</v>
      </c>
      <c r="X10" s="137">
        <v>10.28</v>
      </c>
      <c r="Y10" s="137">
        <v>14.67</v>
      </c>
      <c r="Z10" s="137">
        <v>2</v>
      </c>
      <c r="AA10" s="146" t="s">
        <v>664</v>
      </c>
      <c r="AB10" s="10" t="s">
        <v>270</v>
      </c>
      <c r="AC10" s="138"/>
    </row>
    <row r="11" spans="1:29" ht="24" x14ac:dyDescent="0.3">
      <c r="A11" s="3" t="e">
        <f>VLOOKUP(E11,'[1]Listas Desplegables'!$H$3:$J$7,2,FALSE)</f>
        <v>#N/A</v>
      </c>
      <c r="B11" s="3" t="e">
        <f>VLOOKUP(E11,'[1]Listas Desplegables'!$H$3:$J$7,3,FALSE)</f>
        <v>#N/A</v>
      </c>
      <c r="C11" s="8">
        <v>6</v>
      </c>
      <c r="D11" s="136" t="s">
        <v>290</v>
      </c>
      <c r="E11" s="136" t="s">
        <v>291</v>
      </c>
      <c r="F11" s="136" t="s">
        <v>275</v>
      </c>
      <c r="G11" s="136">
        <v>115</v>
      </c>
      <c r="H11" s="136">
        <v>45</v>
      </c>
      <c r="I11" s="136">
        <v>400</v>
      </c>
      <c r="J11" s="136">
        <v>493</v>
      </c>
      <c r="K11" s="136">
        <v>457</v>
      </c>
      <c r="L11" s="136" t="s">
        <v>276</v>
      </c>
      <c r="M11" s="136">
        <v>0.1958</v>
      </c>
      <c r="N11" s="136">
        <v>0.50170000000000003</v>
      </c>
      <c r="O11" s="136">
        <v>3.2719999999999998</v>
      </c>
      <c r="P11" s="136">
        <v>0.50139999999999996</v>
      </c>
      <c r="Q11" s="136">
        <v>1.5144</v>
      </c>
      <c r="R11" s="136">
        <v>1.8360000000000001</v>
      </c>
      <c r="S11" s="136" t="s">
        <v>105</v>
      </c>
      <c r="T11" s="136" t="s">
        <v>108</v>
      </c>
      <c r="U11" s="136" t="s">
        <v>113</v>
      </c>
      <c r="V11" s="136"/>
      <c r="W11" s="136" t="s">
        <v>292</v>
      </c>
      <c r="X11" s="137">
        <v>5.2149999999999999</v>
      </c>
      <c r="Y11" s="137">
        <v>20.86</v>
      </c>
      <c r="Z11" s="137">
        <v>4</v>
      </c>
      <c r="AA11" s="146" t="s">
        <v>664</v>
      </c>
      <c r="AB11" s="10" t="s">
        <v>270</v>
      </c>
      <c r="AC11" s="138"/>
    </row>
    <row r="12" spans="1:29" ht="24" x14ac:dyDescent="0.3">
      <c r="A12" s="3" t="e">
        <f>VLOOKUP(E12,'[1]Listas Desplegables'!$H$3:$J$7,2,FALSE)</f>
        <v>#N/A</v>
      </c>
      <c r="B12" s="3" t="e">
        <f>VLOOKUP(E12,'[1]Listas Desplegables'!$H$3:$J$7,3,FALSE)</f>
        <v>#N/A</v>
      </c>
      <c r="C12" s="8">
        <v>7</v>
      </c>
      <c r="D12" s="136" t="s">
        <v>293</v>
      </c>
      <c r="E12" s="136" t="s">
        <v>294</v>
      </c>
      <c r="F12" s="136" t="s">
        <v>295</v>
      </c>
      <c r="G12" s="136">
        <v>115</v>
      </c>
      <c r="H12" s="136">
        <v>48</v>
      </c>
      <c r="I12" s="136">
        <v>100</v>
      </c>
      <c r="J12" s="136">
        <v>120</v>
      </c>
      <c r="K12" s="136">
        <v>120</v>
      </c>
      <c r="L12" s="136" t="s">
        <v>276</v>
      </c>
      <c r="M12" s="136">
        <v>0.19520000000000001</v>
      </c>
      <c r="N12" s="136">
        <v>0.49580000000000002</v>
      </c>
      <c r="O12" s="136">
        <v>3.32</v>
      </c>
      <c r="P12" s="136">
        <v>0.58450000000000002</v>
      </c>
      <c r="Q12" s="136">
        <v>1.3722000000000001</v>
      </c>
      <c r="R12" s="136">
        <v>2.1206</v>
      </c>
      <c r="S12" s="136" t="s">
        <v>105</v>
      </c>
      <c r="T12" s="136" t="s">
        <v>108</v>
      </c>
      <c r="U12" s="136" t="s">
        <v>113</v>
      </c>
      <c r="V12" s="136"/>
      <c r="W12" s="136" t="s">
        <v>296</v>
      </c>
      <c r="X12" s="137" t="s">
        <v>285</v>
      </c>
      <c r="Y12" s="137">
        <v>0</v>
      </c>
      <c r="Z12" s="137">
        <v>0</v>
      </c>
      <c r="AA12" s="146" t="s">
        <v>664</v>
      </c>
      <c r="AB12" s="10" t="s">
        <v>270</v>
      </c>
      <c r="AC12" s="138"/>
    </row>
    <row r="13" spans="1:29" ht="24" x14ac:dyDescent="0.3">
      <c r="A13" s="3" t="e">
        <f>VLOOKUP(E13,'[1]Listas Desplegables'!$H$3:$J$7,2,FALSE)</f>
        <v>#N/A</v>
      </c>
      <c r="B13" s="3" t="e">
        <f>VLOOKUP(E13,'[1]Listas Desplegables'!$H$3:$J$7,3,FALSE)</f>
        <v>#N/A</v>
      </c>
      <c r="C13" s="8">
        <v>8</v>
      </c>
      <c r="D13" s="136" t="s">
        <v>297</v>
      </c>
      <c r="E13" s="136" t="s">
        <v>294</v>
      </c>
      <c r="F13" s="136" t="s">
        <v>298</v>
      </c>
      <c r="G13" s="136">
        <v>115</v>
      </c>
      <c r="H13" s="136">
        <v>43</v>
      </c>
      <c r="I13" s="136">
        <v>600</v>
      </c>
      <c r="J13" s="136">
        <v>720</v>
      </c>
      <c r="K13" s="136">
        <v>720</v>
      </c>
      <c r="L13" s="136" t="s">
        <v>276</v>
      </c>
      <c r="M13" s="136">
        <v>9.1399999999999995E-2</v>
      </c>
      <c r="N13" s="136">
        <v>0.47989999999999999</v>
      </c>
      <c r="O13" s="136">
        <v>3.4613999999999998</v>
      </c>
      <c r="P13" s="136">
        <v>0.3891</v>
      </c>
      <c r="Q13" s="136">
        <v>1.5126999999999999</v>
      </c>
      <c r="R13" s="136">
        <v>1.748</v>
      </c>
      <c r="S13" s="136" t="s">
        <v>105</v>
      </c>
      <c r="T13" s="136" t="s">
        <v>108</v>
      </c>
      <c r="U13" s="136" t="s">
        <v>113</v>
      </c>
      <c r="V13" s="136"/>
      <c r="W13" s="136" t="s">
        <v>296</v>
      </c>
      <c r="X13" s="137" t="s">
        <v>285</v>
      </c>
      <c r="Y13" s="137">
        <v>0</v>
      </c>
      <c r="Z13" s="137">
        <v>0</v>
      </c>
      <c r="AA13" s="146" t="s">
        <v>664</v>
      </c>
      <c r="AB13" s="10" t="s">
        <v>270</v>
      </c>
      <c r="AC13" s="138"/>
    </row>
    <row r="14" spans="1:29" ht="24" x14ac:dyDescent="0.3">
      <c r="A14" s="3" t="e">
        <f>VLOOKUP(E14,'[1]Listas Desplegables'!$H$3:$J$7,2,FALSE)</f>
        <v>#N/A</v>
      </c>
      <c r="B14" s="3" t="e">
        <f>VLOOKUP(E14,'[1]Listas Desplegables'!$H$3:$J$7,3,FALSE)</f>
        <v>#N/A</v>
      </c>
      <c r="C14" s="8">
        <v>9</v>
      </c>
      <c r="D14" s="136" t="s">
        <v>299</v>
      </c>
      <c r="E14" s="136" t="s">
        <v>300</v>
      </c>
      <c r="F14" s="136" t="s">
        <v>301</v>
      </c>
      <c r="G14" s="136">
        <v>115</v>
      </c>
      <c r="H14" s="136">
        <v>26.5</v>
      </c>
      <c r="I14" s="136">
        <v>529</v>
      </c>
      <c r="J14" s="136">
        <v>720</v>
      </c>
      <c r="K14" s="136">
        <v>720</v>
      </c>
      <c r="L14" s="136" t="s">
        <v>276</v>
      </c>
      <c r="M14" s="136">
        <v>0.17460000000000001</v>
      </c>
      <c r="N14" s="136">
        <v>0.48409999999999997</v>
      </c>
      <c r="O14" s="136">
        <v>3.67</v>
      </c>
      <c r="P14" s="136">
        <v>0.4763</v>
      </c>
      <c r="Q14" s="136">
        <v>1.5057</v>
      </c>
      <c r="R14" s="136">
        <v>1.8488</v>
      </c>
      <c r="S14" s="136" t="s">
        <v>105</v>
      </c>
      <c r="T14" s="136" t="s">
        <v>108</v>
      </c>
      <c r="U14" s="136" t="s">
        <v>113</v>
      </c>
      <c r="V14" s="136"/>
      <c r="W14" s="136" t="s">
        <v>289</v>
      </c>
      <c r="X14" s="137">
        <v>9.5</v>
      </c>
      <c r="Y14" s="137">
        <v>9.5</v>
      </c>
      <c r="Z14" s="137">
        <v>1</v>
      </c>
      <c r="AA14" s="146" t="s">
        <v>664</v>
      </c>
      <c r="AB14" s="10" t="s">
        <v>270</v>
      </c>
      <c r="AC14" s="138"/>
    </row>
    <row r="15" spans="1:29" ht="24" x14ac:dyDescent="0.3">
      <c r="A15" s="3" t="e">
        <f>VLOOKUP(E15,'[1]Listas Desplegables'!$H$3:$J$7,2,FALSE)</f>
        <v>#N/A</v>
      </c>
      <c r="B15" s="3" t="e">
        <f>VLOOKUP(E15,'[1]Listas Desplegables'!$H$3:$J$7,3,FALSE)</f>
        <v>#N/A</v>
      </c>
      <c r="C15" s="7">
        <v>10</v>
      </c>
      <c r="D15" s="136" t="s">
        <v>302</v>
      </c>
      <c r="E15" s="136" t="s">
        <v>303</v>
      </c>
      <c r="F15" s="136" t="s">
        <v>304</v>
      </c>
      <c r="G15" s="136">
        <v>115</v>
      </c>
      <c r="H15" s="136">
        <v>50</v>
      </c>
      <c r="I15" s="136">
        <v>640</v>
      </c>
      <c r="J15" s="136">
        <v>640</v>
      </c>
      <c r="K15" s="136">
        <v>640</v>
      </c>
      <c r="L15" s="136" t="s">
        <v>276</v>
      </c>
      <c r="M15" s="136">
        <v>0.14879999999999999</v>
      </c>
      <c r="N15" s="136">
        <v>0.40039999999999998</v>
      </c>
      <c r="O15" s="136">
        <v>2.8902000000000001</v>
      </c>
      <c r="P15" s="136">
        <v>0.52890000000000004</v>
      </c>
      <c r="Q15" s="136">
        <v>1.1556</v>
      </c>
      <c r="R15" s="136">
        <v>1.7278</v>
      </c>
      <c r="S15" s="136" t="s">
        <v>105</v>
      </c>
      <c r="T15" s="136" t="s">
        <v>108</v>
      </c>
      <c r="U15" s="136" t="s">
        <v>113</v>
      </c>
      <c r="V15" s="136"/>
      <c r="W15" s="136" t="s">
        <v>280</v>
      </c>
      <c r="X15" s="137"/>
      <c r="Y15" s="137"/>
      <c r="Z15" s="137"/>
      <c r="AA15" s="146" t="s">
        <v>664</v>
      </c>
      <c r="AB15" s="10" t="s">
        <v>270</v>
      </c>
      <c r="AC15" s="138"/>
    </row>
    <row r="16" spans="1:29" ht="24" x14ac:dyDescent="0.3">
      <c r="A16" s="3" t="e">
        <f>VLOOKUP(E16,'[1]Listas Desplegables'!$H$3:$J$7,2,FALSE)</f>
        <v>#N/A</v>
      </c>
      <c r="B16" s="3" t="e">
        <f>VLOOKUP(E16,'[1]Listas Desplegables'!$H$3:$J$7,3,FALSE)</f>
        <v>#N/A</v>
      </c>
      <c r="C16" s="8">
        <v>11</v>
      </c>
      <c r="D16" s="136" t="s">
        <v>305</v>
      </c>
      <c r="E16" s="136" t="s">
        <v>306</v>
      </c>
      <c r="F16" s="136" t="s">
        <v>307</v>
      </c>
      <c r="G16" s="136">
        <v>115</v>
      </c>
      <c r="H16" s="136">
        <v>6.15</v>
      </c>
      <c r="I16" s="136">
        <v>400</v>
      </c>
      <c r="J16" s="136">
        <v>493</v>
      </c>
      <c r="K16" s="136">
        <v>480</v>
      </c>
      <c r="L16" s="136" t="s">
        <v>276</v>
      </c>
      <c r="M16" s="136">
        <v>0.1958</v>
      </c>
      <c r="N16" s="136">
        <v>0.49590000000000001</v>
      </c>
      <c r="O16" s="136">
        <v>3.3279999999999998</v>
      </c>
      <c r="P16" s="136">
        <v>0.61919999999999997</v>
      </c>
      <c r="Q16" s="136">
        <v>1.4725999999999999</v>
      </c>
      <c r="R16" s="136">
        <v>2.0539999999999998</v>
      </c>
      <c r="S16" s="136" t="s">
        <v>105</v>
      </c>
      <c r="T16" s="136" t="s">
        <v>108</v>
      </c>
      <c r="U16" s="136" t="s">
        <v>113</v>
      </c>
      <c r="V16" s="136"/>
      <c r="W16" s="136" t="s">
        <v>292</v>
      </c>
      <c r="X16" s="137">
        <v>0.04</v>
      </c>
      <c r="Y16" s="137">
        <v>0.04</v>
      </c>
      <c r="Z16" s="137">
        <v>1</v>
      </c>
      <c r="AA16" s="146" t="s">
        <v>664</v>
      </c>
      <c r="AB16" s="10" t="s">
        <v>270</v>
      </c>
      <c r="AC16" s="138"/>
    </row>
    <row r="17" spans="1:29" ht="24" x14ac:dyDescent="0.3">
      <c r="A17" s="3" t="e">
        <f>VLOOKUP(E17,'[1]Listas Desplegables'!$H$3:$J$7,2,FALSE)</f>
        <v>#N/A</v>
      </c>
      <c r="B17" s="3" t="e">
        <f>VLOOKUP(E17,'[1]Listas Desplegables'!$H$3:$J$7,3,FALSE)</f>
        <v>#N/A</v>
      </c>
      <c r="C17" s="8">
        <v>12</v>
      </c>
      <c r="D17" s="136" t="s">
        <v>308</v>
      </c>
      <c r="E17" s="136" t="s">
        <v>309</v>
      </c>
      <c r="F17" s="136" t="s">
        <v>310</v>
      </c>
      <c r="G17" s="136">
        <v>115</v>
      </c>
      <c r="H17" s="136">
        <v>17.93</v>
      </c>
      <c r="I17" s="136">
        <v>522</v>
      </c>
      <c r="J17" s="136">
        <v>522</v>
      </c>
      <c r="K17" s="136">
        <v>522</v>
      </c>
      <c r="L17" s="136" t="s">
        <v>276</v>
      </c>
      <c r="M17" s="136">
        <v>0.17469999999999999</v>
      </c>
      <c r="N17" s="136">
        <v>0.48409999999999997</v>
      </c>
      <c r="O17" s="136">
        <v>3.431</v>
      </c>
      <c r="P17" s="136">
        <v>0.47899999999999998</v>
      </c>
      <c r="Q17" s="136">
        <v>1.5347999999999999</v>
      </c>
      <c r="R17" s="136">
        <v>1.879</v>
      </c>
      <c r="S17" s="136" t="s">
        <v>105</v>
      </c>
      <c r="T17" s="136" t="s">
        <v>108</v>
      </c>
      <c r="U17" s="136" t="s">
        <v>113</v>
      </c>
      <c r="V17" s="136">
        <v>2017</v>
      </c>
      <c r="W17" s="136" t="s">
        <v>289</v>
      </c>
      <c r="X17" s="137">
        <v>7.65</v>
      </c>
      <c r="Y17" s="137">
        <v>15.3</v>
      </c>
      <c r="Z17" s="137">
        <v>2</v>
      </c>
      <c r="AA17" s="146" t="s">
        <v>664</v>
      </c>
      <c r="AB17" s="10" t="s">
        <v>270</v>
      </c>
      <c r="AC17" s="138"/>
    </row>
    <row r="18" spans="1:29" ht="72" x14ac:dyDescent="0.3">
      <c r="A18" s="3" t="e">
        <f>VLOOKUP(E18,'[1]Listas Desplegables'!$H$3:$J$7,2,FALSE)</f>
        <v>#N/A</v>
      </c>
      <c r="B18" s="3" t="e">
        <f>VLOOKUP(E18,'[1]Listas Desplegables'!$H$3:$J$7,3,FALSE)</f>
        <v>#N/A</v>
      </c>
      <c r="C18" s="8">
        <v>13</v>
      </c>
      <c r="D18" s="136" t="s">
        <v>311</v>
      </c>
      <c r="E18" s="136" t="s">
        <v>309</v>
      </c>
      <c r="F18" s="136" t="s">
        <v>312</v>
      </c>
      <c r="G18" s="136">
        <v>115</v>
      </c>
      <c r="H18" s="136">
        <v>11.55</v>
      </c>
      <c r="I18" s="136">
        <v>522</v>
      </c>
      <c r="J18" s="136">
        <v>522</v>
      </c>
      <c r="K18" s="136">
        <v>522</v>
      </c>
      <c r="L18" s="136" t="s">
        <v>276</v>
      </c>
      <c r="M18" s="136">
        <v>0.17480000000000001</v>
      </c>
      <c r="N18" s="136">
        <v>0.48409999999999997</v>
      </c>
      <c r="O18" s="136">
        <v>3.4312</v>
      </c>
      <c r="P18" s="136">
        <v>0.47970000000000002</v>
      </c>
      <c r="Q18" s="136">
        <v>1.5347999999999999</v>
      </c>
      <c r="R18" s="136">
        <v>1.8789</v>
      </c>
      <c r="S18" s="136" t="s">
        <v>105</v>
      </c>
      <c r="T18" s="136" t="s">
        <v>108</v>
      </c>
      <c r="U18" s="136" t="s">
        <v>113</v>
      </c>
      <c r="V18" s="136">
        <v>2025</v>
      </c>
      <c r="W18" s="136" t="s">
        <v>289</v>
      </c>
      <c r="X18" s="137">
        <v>14.5</v>
      </c>
      <c r="Y18" s="137">
        <v>14.5</v>
      </c>
      <c r="Z18" s="137">
        <v>1</v>
      </c>
      <c r="AA18" s="146" t="s">
        <v>664</v>
      </c>
      <c r="AB18" s="10" t="s">
        <v>270</v>
      </c>
      <c r="AC18" s="139" t="s">
        <v>662</v>
      </c>
    </row>
    <row r="19" spans="1:29" ht="60" x14ac:dyDescent="0.3">
      <c r="A19" s="3" t="e">
        <f>VLOOKUP(E19,'[1]Listas Desplegables'!$H$3:$J$7,2,FALSE)</f>
        <v>#N/A</v>
      </c>
      <c r="B19" s="3" t="e">
        <f>VLOOKUP(E19,'[1]Listas Desplegables'!$H$3:$J$7,3,FALSE)</f>
        <v>#N/A</v>
      </c>
      <c r="C19" s="8">
        <v>14</v>
      </c>
      <c r="D19" s="136" t="s">
        <v>313</v>
      </c>
      <c r="E19" s="136" t="s">
        <v>314</v>
      </c>
      <c r="F19" s="136" t="s">
        <v>315</v>
      </c>
      <c r="G19" s="136">
        <v>115</v>
      </c>
      <c r="H19" s="136">
        <v>7.12</v>
      </c>
      <c r="I19" s="136">
        <v>522</v>
      </c>
      <c r="J19" s="136">
        <v>522</v>
      </c>
      <c r="K19" s="136">
        <v>522</v>
      </c>
      <c r="L19" s="136" t="s">
        <v>276</v>
      </c>
      <c r="M19" s="136">
        <v>0.17480000000000001</v>
      </c>
      <c r="N19" s="136">
        <v>0.48409999999999997</v>
      </c>
      <c r="O19" s="136">
        <v>3.4312</v>
      </c>
      <c r="P19" s="136">
        <v>0.47970000000000002</v>
      </c>
      <c r="Q19" s="136">
        <v>1.5347999999999999</v>
      </c>
      <c r="R19" s="136">
        <v>1.8789</v>
      </c>
      <c r="S19" s="136" t="s">
        <v>105</v>
      </c>
      <c r="T19" s="136" t="s">
        <v>108</v>
      </c>
      <c r="U19" s="136" t="s">
        <v>113</v>
      </c>
      <c r="V19" s="136">
        <v>2025</v>
      </c>
      <c r="W19" s="136" t="s">
        <v>289</v>
      </c>
      <c r="X19" s="137">
        <v>14.5</v>
      </c>
      <c r="Y19" s="137">
        <v>14.5</v>
      </c>
      <c r="Z19" s="137">
        <v>1</v>
      </c>
      <c r="AA19" s="146" t="s">
        <v>664</v>
      </c>
      <c r="AB19" s="10" t="s">
        <v>270</v>
      </c>
      <c r="AC19" s="139" t="s">
        <v>663</v>
      </c>
    </row>
    <row r="20" spans="1:29" ht="24" x14ac:dyDescent="0.3">
      <c r="A20" s="3" t="e">
        <f>VLOOKUP(E20,'[1]Listas Desplegables'!$H$3:$J$7,2,FALSE)</f>
        <v>#N/A</v>
      </c>
      <c r="B20" s="3" t="e">
        <f>VLOOKUP(E20,'[1]Listas Desplegables'!$H$3:$J$7,3,FALSE)</f>
        <v>#N/A</v>
      </c>
      <c r="C20" s="8">
        <v>15</v>
      </c>
      <c r="D20" s="136" t="s">
        <v>316</v>
      </c>
      <c r="E20" s="136" t="s">
        <v>317</v>
      </c>
      <c r="F20" s="136" t="s">
        <v>288</v>
      </c>
      <c r="G20" s="136">
        <v>115</v>
      </c>
      <c r="H20" s="136">
        <v>32</v>
      </c>
      <c r="I20" s="136">
        <v>493</v>
      </c>
      <c r="J20" s="136">
        <v>493</v>
      </c>
      <c r="K20" s="136">
        <v>493</v>
      </c>
      <c r="L20" s="136" t="s">
        <v>276</v>
      </c>
      <c r="M20" s="136">
        <v>0.19520000000000001</v>
      </c>
      <c r="N20" s="136">
        <v>0.49580000000000002</v>
      </c>
      <c r="O20" s="136">
        <v>33200</v>
      </c>
      <c r="P20" s="136">
        <v>0.58450000000000002</v>
      </c>
      <c r="Q20" s="136">
        <v>1.3722000000000001</v>
      </c>
      <c r="R20" s="136">
        <v>2.1206</v>
      </c>
      <c r="S20" s="136" t="s">
        <v>105</v>
      </c>
      <c r="T20" s="136" t="s">
        <v>108</v>
      </c>
      <c r="U20" s="136" t="s">
        <v>113</v>
      </c>
      <c r="V20" s="136"/>
      <c r="W20" s="136" t="s">
        <v>292</v>
      </c>
      <c r="X20" s="137">
        <v>9.92</v>
      </c>
      <c r="Y20" s="137">
        <v>49.6</v>
      </c>
      <c r="Z20" s="137">
        <v>5</v>
      </c>
      <c r="AA20" s="146" t="s">
        <v>664</v>
      </c>
      <c r="AB20" s="10" t="s">
        <v>270</v>
      </c>
      <c r="AC20" s="138"/>
    </row>
    <row r="21" spans="1:29" ht="24" x14ac:dyDescent="0.3">
      <c r="A21" s="3" t="e">
        <f>VLOOKUP(E21,'[1]Listas Desplegables'!$H$3:$J$7,2,FALSE)</f>
        <v>#N/A</v>
      </c>
      <c r="B21" s="3" t="e">
        <f>VLOOKUP(E21,'[1]Listas Desplegables'!$H$3:$J$7,3,FALSE)</f>
        <v>#N/A</v>
      </c>
      <c r="C21" s="8">
        <v>16</v>
      </c>
      <c r="D21" s="136" t="s">
        <v>318</v>
      </c>
      <c r="E21" s="136" t="s">
        <v>317</v>
      </c>
      <c r="F21" s="136" t="s">
        <v>319</v>
      </c>
      <c r="G21" s="136">
        <v>115</v>
      </c>
      <c r="H21" s="136">
        <v>36</v>
      </c>
      <c r="I21" s="136">
        <v>600</v>
      </c>
      <c r="J21" s="136">
        <v>720</v>
      </c>
      <c r="K21" s="136">
        <v>720</v>
      </c>
      <c r="L21" s="136" t="s">
        <v>276</v>
      </c>
      <c r="M21" s="136">
        <v>8.5099999999999995E-2</v>
      </c>
      <c r="N21" s="136">
        <v>0.44450000000000001</v>
      </c>
      <c r="O21" s="136">
        <v>34418</v>
      </c>
      <c r="P21" s="136">
        <v>0.38059999999999999</v>
      </c>
      <c r="Q21" s="136">
        <v>1.4794</v>
      </c>
      <c r="R21" s="136">
        <v>1.8123</v>
      </c>
      <c r="S21" s="136" t="s">
        <v>105</v>
      </c>
      <c r="T21" s="136" t="s">
        <v>108</v>
      </c>
      <c r="U21" s="136" t="s">
        <v>113</v>
      </c>
      <c r="V21" s="136"/>
      <c r="W21" s="136" t="s">
        <v>320</v>
      </c>
      <c r="X21" s="137">
        <v>2.5000000000000001E-2</v>
      </c>
      <c r="Y21" s="137">
        <v>0.1</v>
      </c>
      <c r="Z21" s="137">
        <v>4</v>
      </c>
      <c r="AA21" s="146" t="s">
        <v>664</v>
      </c>
      <c r="AB21" s="10" t="s">
        <v>270</v>
      </c>
      <c r="AC21" s="138"/>
    </row>
    <row r="22" spans="1:29" ht="24" x14ac:dyDescent="0.3">
      <c r="A22" s="3" t="e">
        <f>VLOOKUP(E22,'[1]Listas Desplegables'!$H$3:$J$7,2,FALSE)</f>
        <v>#N/A</v>
      </c>
      <c r="B22" s="3" t="e">
        <f>VLOOKUP(E22,'[1]Listas Desplegables'!$H$3:$J$7,3,FALSE)</f>
        <v>#N/A</v>
      </c>
      <c r="C22" s="8">
        <v>17</v>
      </c>
      <c r="D22" s="136" t="s">
        <v>321</v>
      </c>
      <c r="E22" s="136" t="s">
        <v>322</v>
      </c>
      <c r="F22" s="136" t="s">
        <v>323</v>
      </c>
      <c r="G22" s="136">
        <v>115</v>
      </c>
      <c r="H22" s="136">
        <v>44.23</v>
      </c>
      <c r="I22" s="136">
        <v>563</v>
      </c>
      <c r="J22" s="136">
        <v>563</v>
      </c>
      <c r="K22" s="136">
        <v>563</v>
      </c>
      <c r="L22" s="136" t="s">
        <v>276</v>
      </c>
      <c r="M22" s="136">
        <v>0.1166</v>
      </c>
      <c r="N22" s="136">
        <v>0.48620000000000002</v>
      </c>
      <c r="O22" s="136">
        <v>34970</v>
      </c>
      <c r="P22" s="136">
        <v>0.42399999999999999</v>
      </c>
      <c r="Q22" s="136">
        <v>1.4635</v>
      </c>
      <c r="R22" s="136">
        <v>1.9619</v>
      </c>
      <c r="S22" s="136" t="s">
        <v>105</v>
      </c>
      <c r="T22" s="136" t="s">
        <v>108</v>
      </c>
      <c r="U22" s="136" t="s">
        <v>113</v>
      </c>
      <c r="V22" s="136"/>
      <c r="W22" s="136" t="s">
        <v>324</v>
      </c>
      <c r="X22" s="137" t="s">
        <v>285</v>
      </c>
      <c r="Y22" s="137">
        <v>0</v>
      </c>
      <c r="Z22" s="137">
        <v>0</v>
      </c>
      <c r="AA22" s="146" t="s">
        <v>664</v>
      </c>
      <c r="AB22" s="9" t="s">
        <v>270</v>
      </c>
      <c r="AC22" s="138"/>
    </row>
    <row r="23" spans="1:29" ht="24" x14ac:dyDescent="0.3">
      <c r="A23" s="3" t="e">
        <f>VLOOKUP(E23,'[1]Listas Desplegables'!$H$3:$J$7,2,FALSE)</f>
        <v>#N/A</v>
      </c>
      <c r="B23" s="3" t="e">
        <f>VLOOKUP(E23,'[1]Listas Desplegables'!$H$3:$J$7,3,FALSE)</f>
        <v>#N/A</v>
      </c>
      <c r="C23" s="8">
        <v>18</v>
      </c>
      <c r="D23" s="136" t="s">
        <v>325</v>
      </c>
      <c r="E23" s="136" t="s">
        <v>322</v>
      </c>
      <c r="F23" s="136" t="s">
        <v>326</v>
      </c>
      <c r="G23" s="136">
        <v>115</v>
      </c>
      <c r="H23" s="136">
        <v>43</v>
      </c>
      <c r="I23" s="136">
        <v>355</v>
      </c>
      <c r="J23" s="136">
        <v>355</v>
      </c>
      <c r="K23" s="136">
        <v>390</v>
      </c>
      <c r="L23" s="136" t="s">
        <v>276</v>
      </c>
      <c r="M23" s="136">
        <v>0.26</v>
      </c>
      <c r="N23" s="136">
        <v>0.39600000000000002</v>
      </c>
      <c r="O23" s="136">
        <v>1.7645800655924713</v>
      </c>
      <c r="P23" s="136">
        <v>0.78</v>
      </c>
      <c r="Q23" s="136">
        <v>1.1880000000000002</v>
      </c>
      <c r="R23" s="136">
        <v>0.58819335519749039</v>
      </c>
      <c r="S23" s="136" t="s">
        <v>105</v>
      </c>
      <c r="T23" s="136" t="s">
        <v>108</v>
      </c>
      <c r="U23" s="136" t="s">
        <v>113</v>
      </c>
      <c r="V23" s="136"/>
      <c r="W23" s="136" t="s">
        <v>327</v>
      </c>
      <c r="X23" s="137">
        <v>8.2414285714285711</v>
      </c>
      <c r="Y23" s="137">
        <v>57.69</v>
      </c>
      <c r="Z23" s="137">
        <v>7</v>
      </c>
      <c r="AA23" s="146" t="s">
        <v>664</v>
      </c>
      <c r="AB23" s="9" t="s">
        <v>270</v>
      </c>
      <c r="AC23" s="138"/>
    </row>
    <row r="24" spans="1:29" ht="24" x14ac:dyDescent="0.3">
      <c r="A24" s="3" t="e">
        <f>VLOOKUP(E24,'[1]Listas Desplegables'!$H$3:$J$7,2,FALSE)</f>
        <v>#N/A</v>
      </c>
      <c r="B24" s="3" t="e">
        <f>VLOOKUP(E24,'[1]Listas Desplegables'!$H$3:$J$7,3,FALSE)</f>
        <v>#N/A</v>
      </c>
      <c r="C24" s="7">
        <v>19</v>
      </c>
      <c r="D24" s="136" t="s">
        <v>328</v>
      </c>
      <c r="E24" s="136" t="s">
        <v>322</v>
      </c>
      <c r="F24" s="136" t="s">
        <v>301</v>
      </c>
      <c r="G24" s="136">
        <v>115</v>
      </c>
      <c r="H24" s="136">
        <v>13.61</v>
      </c>
      <c r="I24" s="136">
        <v>355</v>
      </c>
      <c r="J24" s="136">
        <v>355</v>
      </c>
      <c r="K24" s="136">
        <v>390</v>
      </c>
      <c r="L24" s="136" t="s">
        <v>276</v>
      </c>
      <c r="M24" s="136">
        <v>0.26</v>
      </c>
      <c r="N24" s="136">
        <v>0.39600000000000002</v>
      </c>
      <c r="O24" s="136">
        <v>1.7645800655924713</v>
      </c>
      <c r="P24" s="136">
        <v>0.78</v>
      </c>
      <c r="Q24" s="136">
        <v>1.1880000000000002</v>
      </c>
      <c r="R24" s="136">
        <v>0.58819335519749039</v>
      </c>
      <c r="S24" s="136" t="s">
        <v>105</v>
      </c>
      <c r="T24" s="136" t="s">
        <v>108</v>
      </c>
      <c r="U24" s="136" t="s">
        <v>113</v>
      </c>
      <c r="V24" s="136"/>
      <c r="W24" s="136" t="s">
        <v>327</v>
      </c>
      <c r="X24" s="137">
        <v>11.166666666666666</v>
      </c>
      <c r="Y24" s="137">
        <v>33.5</v>
      </c>
      <c r="Z24" s="137">
        <v>3</v>
      </c>
      <c r="AA24" s="146" t="s">
        <v>664</v>
      </c>
      <c r="AB24" s="9" t="s">
        <v>270</v>
      </c>
      <c r="AC24" s="138"/>
    </row>
    <row r="25" spans="1:29" ht="24" x14ac:dyDescent="0.3">
      <c r="A25" s="3" t="e">
        <f>VLOOKUP(E25,'[1]Listas Desplegables'!$H$3:$J$7,2,FALSE)</f>
        <v>#N/A</v>
      </c>
      <c r="B25" s="3" t="e">
        <f>VLOOKUP(E25,'[1]Listas Desplegables'!$H$3:$J$7,3,FALSE)</f>
        <v>#N/A</v>
      </c>
      <c r="C25" s="11">
        <v>20</v>
      </c>
      <c r="D25" s="136" t="s">
        <v>329</v>
      </c>
      <c r="E25" s="136" t="s">
        <v>330</v>
      </c>
      <c r="F25" s="136" t="s">
        <v>315</v>
      </c>
      <c r="G25" s="136">
        <v>115</v>
      </c>
      <c r="H25" s="136">
        <v>2.68</v>
      </c>
      <c r="I25" s="136">
        <v>522</v>
      </c>
      <c r="J25" s="136">
        <v>522</v>
      </c>
      <c r="K25" s="136">
        <v>522</v>
      </c>
      <c r="L25" s="136" t="s">
        <v>276</v>
      </c>
      <c r="M25" s="136">
        <v>0.17460000000000001</v>
      </c>
      <c r="N25" s="136">
        <v>0.48409999999999997</v>
      </c>
      <c r="O25" s="136">
        <v>3.423</v>
      </c>
      <c r="P25" s="136">
        <v>0.4763</v>
      </c>
      <c r="Q25" s="136">
        <v>1.1506000000000001</v>
      </c>
      <c r="R25" s="136">
        <v>1.849</v>
      </c>
      <c r="S25" s="136" t="s">
        <v>105</v>
      </c>
      <c r="T25" s="136" t="s">
        <v>108</v>
      </c>
      <c r="U25" s="136" t="s">
        <v>113</v>
      </c>
      <c r="V25" s="136"/>
      <c r="W25" s="136" t="s">
        <v>289</v>
      </c>
      <c r="X25" s="137" t="s">
        <v>285</v>
      </c>
      <c r="Y25" s="137" t="s">
        <v>285</v>
      </c>
      <c r="Z25" s="137" t="s">
        <v>285</v>
      </c>
      <c r="AA25" s="146" t="s">
        <v>664</v>
      </c>
      <c r="AB25" s="9" t="s">
        <v>270</v>
      </c>
      <c r="AC25" s="138"/>
    </row>
    <row r="26" spans="1:29" ht="24" x14ac:dyDescent="0.3">
      <c r="A26" s="3" t="e">
        <f>VLOOKUP(E26,'[1]Listas Desplegables'!$H$3:$J$7,2,FALSE)</f>
        <v>#N/A</v>
      </c>
      <c r="B26" s="3" t="e">
        <f>VLOOKUP(E26,'[1]Listas Desplegables'!$H$3:$J$7,3,FALSE)</f>
        <v>#N/A</v>
      </c>
      <c r="C26" s="7">
        <v>21</v>
      </c>
      <c r="D26" s="136" t="s">
        <v>331</v>
      </c>
      <c r="E26" s="136" t="s">
        <v>330</v>
      </c>
      <c r="F26" s="136" t="s">
        <v>332</v>
      </c>
      <c r="G26" s="136">
        <v>115</v>
      </c>
      <c r="H26" s="136">
        <v>10.029999999999999</v>
      </c>
      <c r="I26" s="136">
        <v>522</v>
      </c>
      <c r="J26" s="136">
        <v>522</v>
      </c>
      <c r="K26" s="136">
        <v>522</v>
      </c>
      <c r="L26" s="136" t="s">
        <v>276</v>
      </c>
      <c r="M26" s="136">
        <v>0.17460000000000001</v>
      </c>
      <c r="N26" s="136">
        <v>0.48409999999999997</v>
      </c>
      <c r="O26" s="136">
        <v>3.423</v>
      </c>
      <c r="P26" s="136">
        <v>0.4763</v>
      </c>
      <c r="Q26" s="136">
        <v>1.5056</v>
      </c>
      <c r="R26" s="136">
        <v>1.849</v>
      </c>
      <c r="S26" s="136" t="s">
        <v>105</v>
      </c>
      <c r="T26" s="136" t="s">
        <v>108</v>
      </c>
      <c r="U26" s="136" t="s">
        <v>113</v>
      </c>
      <c r="V26" s="136"/>
      <c r="W26" s="136" t="s">
        <v>289</v>
      </c>
      <c r="X26" s="137" t="s">
        <v>285</v>
      </c>
      <c r="Y26" s="137" t="s">
        <v>285</v>
      </c>
      <c r="Z26" s="137" t="s">
        <v>285</v>
      </c>
      <c r="AA26" s="146" t="s">
        <v>664</v>
      </c>
      <c r="AB26" s="9" t="s">
        <v>270</v>
      </c>
      <c r="AC26" s="138"/>
    </row>
    <row r="27" spans="1:29" ht="24" x14ac:dyDescent="0.3">
      <c r="A27" s="3" t="e">
        <f>VLOOKUP(E27,'[1]Listas Desplegables'!$H$3:$J$7,2,FALSE)</f>
        <v>#N/A</v>
      </c>
      <c r="B27" s="3" t="e">
        <f>VLOOKUP(E27,'[1]Listas Desplegables'!$H$3:$J$7,3,FALSE)</f>
        <v>#N/A</v>
      </c>
      <c r="C27" s="8">
        <v>22</v>
      </c>
      <c r="D27" s="136" t="s">
        <v>333</v>
      </c>
      <c r="E27" s="136" t="s">
        <v>334</v>
      </c>
      <c r="F27" s="136" t="s">
        <v>335</v>
      </c>
      <c r="G27" s="136">
        <v>115</v>
      </c>
      <c r="H27" s="136">
        <v>29.71</v>
      </c>
      <c r="I27" s="136">
        <v>563</v>
      </c>
      <c r="J27" s="136">
        <v>563</v>
      </c>
      <c r="K27" s="136">
        <v>563</v>
      </c>
      <c r="L27" s="136" t="s">
        <v>276</v>
      </c>
      <c r="M27" s="136">
        <v>9.1899999999999996E-2</v>
      </c>
      <c r="N27" s="136">
        <v>0.37490000000000001</v>
      </c>
      <c r="O27" s="136">
        <v>5.1790000000000003</v>
      </c>
      <c r="P27" s="136">
        <v>0.39410000000000001</v>
      </c>
      <c r="Q27" s="136">
        <v>1.3854</v>
      </c>
      <c r="R27" s="136">
        <v>2.0628000000000002</v>
      </c>
      <c r="S27" s="136" t="s">
        <v>105</v>
      </c>
      <c r="T27" s="136" t="s">
        <v>108</v>
      </c>
      <c r="U27" s="136" t="s">
        <v>113</v>
      </c>
      <c r="V27" s="136"/>
      <c r="W27" s="136" t="s">
        <v>324</v>
      </c>
      <c r="X27" s="137" t="s">
        <v>285</v>
      </c>
      <c r="Y27" s="137">
        <v>0</v>
      </c>
      <c r="Z27" s="137">
        <v>0</v>
      </c>
      <c r="AA27" s="146" t="s">
        <v>664</v>
      </c>
      <c r="AB27" s="9" t="s">
        <v>270</v>
      </c>
      <c r="AC27" s="138"/>
    </row>
    <row r="28" spans="1:29" ht="24" x14ac:dyDescent="0.3">
      <c r="A28" s="3" t="e">
        <f>VLOOKUP(E28,'[1]Listas Desplegables'!$H$3:$J$7,2,FALSE)</f>
        <v>#N/A</v>
      </c>
      <c r="B28" s="3" t="e">
        <f>VLOOKUP(E28,'[1]Listas Desplegables'!$H$3:$J$7,3,FALSE)</f>
        <v>#N/A</v>
      </c>
      <c r="C28" s="8">
        <v>23</v>
      </c>
      <c r="D28" s="136" t="s">
        <v>336</v>
      </c>
      <c r="E28" s="136" t="s">
        <v>337</v>
      </c>
      <c r="F28" s="136" t="s">
        <v>338</v>
      </c>
      <c r="G28" s="136">
        <v>115</v>
      </c>
      <c r="H28" s="136">
        <v>1.37</v>
      </c>
      <c r="I28" s="136">
        <v>516</v>
      </c>
      <c r="J28" s="136">
        <v>516</v>
      </c>
      <c r="K28" s="136">
        <v>516</v>
      </c>
      <c r="L28" s="136" t="s">
        <v>276</v>
      </c>
      <c r="M28" s="136">
        <v>0.19009999999999999</v>
      </c>
      <c r="N28" s="136">
        <v>0.47399999999999998</v>
      </c>
      <c r="O28" s="136">
        <v>3.302</v>
      </c>
      <c r="P28" s="136">
        <v>0.48620000000000002</v>
      </c>
      <c r="Q28" s="136">
        <v>1.4947999999999999</v>
      </c>
      <c r="R28" s="136">
        <v>1.8160000000000001</v>
      </c>
      <c r="S28" s="136" t="s">
        <v>105</v>
      </c>
      <c r="T28" s="136" t="s">
        <v>108</v>
      </c>
      <c r="U28" s="136" t="s">
        <v>113</v>
      </c>
      <c r="V28" s="136"/>
      <c r="W28" s="136" t="s">
        <v>289</v>
      </c>
      <c r="X28" s="137">
        <v>5.8433333333333337</v>
      </c>
      <c r="Y28" s="137">
        <v>17.53</v>
      </c>
      <c r="Z28" s="137">
        <v>3</v>
      </c>
      <c r="AA28" s="146" t="s">
        <v>664</v>
      </c>
      <c r="AB28" s="9" t="s">
        <v>270</v>
      </c>
      <c r="AC28" s="138"/>
    </row>
    <row r="29" spans="1:29" ht="24" x14ac:dyDescent="0.3">
      <c r="A29" s="3" t="e">
        <f>VLOOKUP(E29,'[1]Listas Desplegables'!$H$3:$J$7,2,FALSE)</f>
        <v>#N/A</v>
      </c>
      <c r="B29" s="3" t="e">
        <f>VLOOKUP(E29,'[1]Listas Desplegables'!$H$3:$J$7,3,FALSE)</f>
        <v>#N/A</v>
      </c>
      <c r="C29" s="8">
        <v>24</v>
      </c>
      <c r="D29" s="136" t="s">
        <v>339</v>
      </c>
      <c r="E29" s="136" t="s">
        <v>340</v>
      </c>
      <c r="F29" s="136" t="s">
        <v>341</v>
      </c>
      <c r="G29" s="136">
        <v>115</v>
      </c>
      <c r="H29" s="136">
        <v>30.89</v>
      </c>
      <c r="I29" s="136">
        <v>400</v>
      </c>
      <c r="J29" s="136">
        <v>685</v>
      </c>
      <c r="K29" s="136">
        <v>480</v>
      </c>
      <c r="L29" s="136" t="s">
        <v>276</v>
      </c>
      <c r="M29" s="136">
        <v>0.48699999999999999</v>
      </c>
      <c r="N29" s="136">
        <v>0.48699999999999999</v>
      </c>
      <c r="O29" s="136">
        <v>3.395</v>
      </c>
      <c r="P29" s="136">
        <v>0.33</v>
      </c>
      <c r="Q29" s="136">
        <v>1.4830000000000001</v>
      </c>
      <c r="R29" s="136">
        <v>1.9239999999999999</v>
      </c>
      <c r="S29" s="136" t="s">
        <v>105</v>
      </c>
      <c r="T29" s="136" t="s">
        <v>108</v>
      </c>
      <c r="U29" s="136" t="s">
        <v>113</v>
      </c>
      <c r="V29" s="136"/>
      <c r="W29" s="136" t="s">
        <v>289</v>
      </c>
      <c r="X29" s="137">
        <v>1.6600000000000001</v>
      </c>
      <c r="Y29" s="137">
        <v>3.3200000000000003</v>
      </c>
      <c r="Z29" s="137">
        <v>2</v>
      </c>
      <c r="AA29" s="146" t="s">
        <v>664</v>
      </c>
      <c r="AB29" s="9" t="s">
        <v>270</v>
      </c>
      <c r="AC29" s="138"/>
    </row>
    <row r="30" spans="1:29" ht="24" x14ac:dyDescent="0.3">
      <c r="A30" s="3" t="e">
        <f>VLOOKUP(E30,'[1]Listas Desplegables'!$H$3:$J$7,2,FALSE)</f>
        <v>#N/A</v>
      </c>
      <c r="B30" s="3" t="e">
        <f>VLOOKUP(E30,'[1]Listas Desplegables'!$H$3:$J$7,3,FALSE)</f>
        <v>#N/A</v>
      </c>
      <c r="C30" s="8">
        <v>25</v>
      </c>
      <c r="D30" s="136" t="s">
        <v>342</v>
      </c>
      <c r="E30" s="136" t="s">
        <v>340</v>
      </c>
      <c r="F30" s="136" t="s">
        <v>343</v>
      </c>
      <c r="G30" s="136">
        <v>115</v>
      </c>
      <c r="H30" s="136">
        <v>3.29</v>
      </c>
      <c r="I30" s="136">
        <v>400</v>
      </c>
      <c r="J30" s="136">
        <v>515</v>
      </c>
      <c r="K30" s="136">
        <v>480</v>
      </c>
      <c r="L30" s="136" t="s">
        <v>276</v>
      </c>
      <c r="M30" s="136">
        <v>0.17499999999999999</v>
      </c>
      <c r="N30" s="136">
        <v>0.48399999999999999</v>
      </c>
      <c r="O30" s="136">
        <v>3.4380000000000002</v>
      </c>
      <c r="P30" s="136">
        <v>0.41299999999999998</v>
      </c>
      <c r="Q30" s="136">
        <v>1.5229999999999999</v>
      </c>
      <c r="R30" s="136">
        <v>1.835</v>
      </c>
      <c r="S30" s="136" t="s">
        <v>105</v>
      </c>
      <c r="T30" s="136" t="s">
        <v>108</v>
      </c>
      <c r="U30" s="136" t="s">
        <v>113</v>
      </c>
      <c r="V30" s="136"/>
      <c r="W30" s="136" t="s">
        <v>289</v>
      </c>
      <c r="X30" s="137">
        <v>0.06</v>
      </c>
      <c r="Y30" s="137">
        <v>0.18</v>
      </c>
      <c r="Z30" s="137">
        <v>3</v>
      </c>
      <c r="AA30" s="146" t="s">
        <v>664</v>
      </c>
      <c r="AB30" s="9" t="s">
        <v>270</v>
      </c>
      <c r="AC30" s="138"/>
    </row>
    <row r="31" spans="1:29" ht="24" x14ac:dyDescent="0.3">
      <c r="A31" s="3" t="e">
        <f>VLOOKUP(E31,'[1]Listas Desplegables'!$H$3:$J$7,2,FALSE)</f>
        <v>#N/A</v>
      </c>
      <c r="B31" s="3" t="e">
        <f>VLOOKUP(E31,'[1]Listas Desplegables'!$H$3:$J$7,3,FALSE)</f>
        <v>#N/A</v>
      </c>
      <c r="C31" s="8">
        <v>26</v>
      </c>
      <c r="D31" s="136" t="s">
        <v>344</v>
      </c>
      <c r="E31" s="136" t="s">
        <v>340</v>
      </c>
      <c r="F31" s="136" t="s">
        <v>345</v>
      </c>
      <c r="G31" s="136">
        <v>115</v>
      </c>
      <c r="H31" s="136">
        <v>3.49</v>
      </c>
      <c r="I31" s="136">
        <v>400</v>
      </c>
      <c r="J31" s="136">
        <v>515</v>
      </c>
      <c r="K31" s="136">
        <v>480</v>
      </c>
      <c r="L31" s="136" t="s">
        <v>276</v>
      </c>
      <c r="M31" s="136">
        <v>0.115</v>
      </c>
      <c r="N31" s="136">
        <v>0.46600000000000003</v>
      </c>
      <c r="O31" s="136">
        <v>3.581</v>
      </c>
      <c r="P31" s="136">
        <v>0.435</v>
      </c>
      <c r="Q31" s="136">
        <v>1.512</v>
      </c>
      <c r="R31" s="136">
        <v>1.8440000000000001</v>
      </c>
      <c r="S31" s="136" t="s">
        <v>105</v>
      </c>
      <c r="T31" s="136" t="s">
        <v>108</v>
      </c>
      <c r="U31" s="136" t="s">
        <v>113</v>
      </c>
      <c r="V31" s="136"/>
      <c r="W31" s="136" t="s">
        <v>289</v>
      </c>
      <c r="X31" s="137">
        <v>7</v>
      </c>
      <c r="Y31" s="137">
        <v>14</v>
      </c>
      <c r="Z31" s="137">
        <v>2</v>
      </c>
      <c r="AA31" s="146" t="s">
        <v>664</v>
      </c>
      <c r="AB31" s="9" t="s">
        <v>270</v>
      </c>
      <c r="AC31" s="138"/>
    </row>
    <row r="32" spans="1:29" ht="24" x14ac:dyDescent="0.3">
      <c r="A32" s="3" t="e">
        <f>VLOOKUP(E32,'[1]Listas Desplegables'!$H$3:$J$7,2,FALSE)</f>
        <v>#N/A</v>
      </c>
      <c r="B32" s="3" t="e">
        <f>VLOOKUP(E32,'[1]Listas Desplegables'!$H$3:$J$7,3,FALSE)</f>
        <v>#N/A</v>
      </c>
      <c r="C32" s="8">
        <v>27</v>
      </c>
      <c r="D32" s="136" t="s">
        <v>346</v>
      </c>
      <c r="E32" s="136" t="s">
        <v>347</v>
      </c>
      <c r="F32" s="136" t="s">
        <v>348</v>
      </c>
      <c r="G32" s="136">
        <v>115</v>
      </c>
      <c r="H32" s="136">
        <v>10.199999999999999</v>
      </c>
      <c r="I32" s="136">
        <v>400</v>
      </c>
      <c r="J32" s="136">
        <v>522</v>
      </c>
      <c r="K32" s="136">
        <v>480</v>
      </c>
      <c r="L32" s="136" t="s">
        <v>276</v>
      </c>
      <c r="M32" s="136">
        <v>0.20300000000000001</v>
      </c>
      <c r="N32" s="136">
        <v>0.497</v>
      </c>
      <c r="O32" s="136">
        <v>3.3</v>
      </c>
      <c r="P32" s="136">
        <v>0.47899999999999998</v>
      </c>
      <c r="Q32" s="136">
        <v>1.571</v>
      </c>
      <c r="R32" s="136">
        <v>1.8</v>
      </c>
      <c r="S32" s="136" t="s">
        <v>105</v>
      </c>
      <c r="T32" s="136" t="s">
        <v>108</v>
      </c>
      <c r="U32" s="136" t="s">
        <v>113</v>
      </c>
      <c r="V32" s="136"/>
      <c r="W32" s="136" t="s">
        <v>289</v>
      </c>
      <c r="X32" s="137">
        <v>0.19</v>
      </c>
      <c r="Y32" s="137">
        <v>0.38</v>
      </c>
      <c r="Z32" s="137">
        <v>2</v>
      </c>
      <c r="AA32" s="146" t="s">
        <v>664</v>
      </c>
      <c r="AB32" s="9" t="s">
        <v>270</v>
      </c>
      <c r="AC32" s="138"/>
    </row>
    <row r="33" spans="1:29" ht="24" x14ac:dyDescent="0.3">
      <c r="A33" s="3" t="e">
        <f>VLOOKUP(E33,'[1]Listas Desplegables'!$H$3:$J$7,2,FALSE)</f>
        <v>#N/A</v>
      </c>
      <c r="B33" s="3" t="e">
        <f>VLOOKUP(E33,'[1]Listas Desplegables'!$H$3:$J$7,3,FALSE)</f>
        <v>#N/A</v>
      </c>
      <c r="C33" s="8">
        <v>28</v>
      </c>
      <c r="D33" s="136" t="s">
        <v>349</v>
      </c>
      <c r="E33" s="136" t="s">
        <v>347</v>
      </c>
      <c r="F33" s="136" t="s">
        <v>310</v>
      </c>
      <c r="G33" s="136">
        <v>115</v>
      </c>
      <c r="H33" s="136">
        <v>5.58</v>
      </c>
      <c r="I33" s="136">
        <v>522</v>
      </c>
      <c r="J33" s="136">
        <v>522</v>
      </c>
      <c r="K33" s="136">
        <v>522</v>
      </c>
      <c r="L33" s="136" t="s">
        <v>276</v>
      </c>
      <c r="M33" s="136">
        <v>0.17469999999999999</v>
      </c>
      <c r="N33" s="136">
        <v>0.48409999999999997</v>
      </c>
      <c r="O33" s="136">
        <v>3.431</v>
      </c>
      <c r="P33" s="136">
        <v>0.47899999999999998</v>
      </c>
      <c r="Q33" s="136">
        <v>1.5347999999999999</v>
      </c>
      <c r="R33" s="136">
        <v>1.879</v>
      </c>
      <c r="S33" s="136" t="s">
        <v>105</v>
      </c>
      <c r="T33" s="136" t="s">
        <v>108</v>
      </c>
      <c r="U33" s="136" t="s">
        <v>113</v>
      </c>
      <c r="V33" s="136"/>
      <c r="W33" s="136" t="s">
        <v>289</v>
      </c>
      <c r="X33" s="136">
        <v>5.0449999999999999</v>
      </c>
      <c r="Y33" s="136">
        <v>10.09</v>
      </c>
      <c r="Z33" s="136">
        <v>2</v>
      </c>
      <c r="AA33" s="146" t="s">
        <v>664</v>
      </c>
      <c r="AB33" s="9" t="s">
        <v>270</v>
      </c>
      <c r="AC33" s="136"/>
    </row>
    <row r="34" spans="1:29" ht="24" x14ac:dyDescent="0.3">
      <c r="A34" s="3" t="e">
        <f>VLOOKUP(E34,'[1]Listas Desplegables'!$H$3:$J$7,2,FALSE)</f>
        <v>#N/A</v>
      </c>
      <c r="B34" s="3" t="e">
        <f>VLOOKUP(E34,'[1]Listas Desplegables'!$H$3:$J$7,3,FALSE)</f>
        <v>#N/A</v>
      </c>
      <c r="C34" s="8">
        <v>29</v>
      </c>
      <c r="D34" s="136" t="s">
        <v>350</v>
      </c>
      <c r="E34" s="136" t="s">
        <v>347</v>
      </c>
      <c r="F34" s="136" t="s">
        <v>351</v>
      </c>
      <c r="G34" s="136">
        <v>115</v>
      </c>
      <c r="H34" s="136">
        <v>7.12</v>
      </c>
      <c r="I34" s="136">
        <v>600</v>
      </c>
      <c r="J34" s="136">
        <v>760</v>
      </c>
      <c r="K34" s="136">
        <v>720</v>
      </c>
      <c r="L34" s="136" t="s">
        <v>276</v>
      </c>
      <c r="M34" s="136">
        <v>9.35E-2</v>
      </c>
      <c r="N34" s="136">
        <v>0.47</v>
      </c>
      <c r="O34" s="136">
        <v>3.5800999999999998</v>
      </c>
      <c r="P34" s="136">
        <v>0.39839999999999998</v>
      </c>
      <c r="Q34" s="136">
        <v>1.5206999999999999</v>
      </c>
      <c r="R34" s="136">
        <v>1.9227000000000001</v>
      </c>
      <c r="S34" s="136" t="s">
        <v>105</v>
      </c>
      <c r="T34" s="136" t="s">
        <v>108</v>
      </c>
      <c r="U34" s="136" t="s">
        <v>113</v>
      </c>
      <c r="V34" s="136"/>
      <c r="W34" s="136" t="s">
        <v>320</v>
      </c>
      <c r="X34" s="136">
        <v>2.5599999999999996</v>
      </c>
      <c r="Y34" s="136">
        <v>10.239999999999998</v>
      </c>
      <c r="Z34" s="136">
        <v>4</v>
      </c>
      <c r="AA34" s="146" t="s">
        <v>664</v>
      </c>
      <c r="AB34" s="9" t="s">
        <v>270</v>
      </c>
      <c r="AC34" s="136"/>
    </row>
    <row r="35" spans="1:29" ht="24" x14ac:dyDescent="0.3">
      <c r="A35" s="3" t="e">
        <f>VLOOKUP(E35,'[1]Listas Desplegables'!$H$3:$J$7,2,FALSE)</f>
        <v>#N/A</v>
      </c>
      <c r="B35" s="3" t="e">
        <f>VLOOKUP(E35,'[1]Listas Desplegables'!$H$3:$J$7,3,FALSE)</f>
        <v>#N/A</v>
      </c>
      <c r="C35" s="7">
        <v>30</v>
      </c>
      <c r="D35" s="136" t="s">
        <v>352</v>
      </c>
      <c r="E35" s="136" t="s">
        <v>347</v>
      </c>
      <c r="F35" s="136" t="s">
        <v>353</v>
      </c>
      <c r="G35" s="136">
        <v>115</v>
      </c>
      <c r="H35" s="136">
        <v>19.16</v>
      </c>
      <c r="I35" s="136">
        <v>522</v>
      </c>
      <c r="J35" s="136">
        <v>522</v>
      </c>
      <c r="K35" s="136">
        <v>522</v>
      </c>
      <c r="L35" s="136" t="s">
        <v>276</v>
      </c>
      <c r="M35" s="136">
        <v>0.17460000000000001</v>
      </c>
      <c r="N35" s="136">
        <v>0.48359999999999997</v>
      </c>
      <c r="O35" s="136">
        <v>3.423</v>
      </c>
      <c r="P35" s="136">
        <v>0.4763</v>
      </c>
      <c r="Q35" s="136">
        <v>1.5056</v>
      </c>
      <c r="R35" s="136">
        <v>1.849</v>
      </c>
      <c r="S35" s="136" t="s">
        <v>105</v>
      </c>
      <c r="T35" s="136" t="s">
        <v>108</v>
      </c>
      <c r="U35" s="136" t="s">
        <v>113</v>
      </c>
      <c r="V35" s="136"/>
      <c r="W35" s="136" t="s">
        <v>289</v>
      </c>
      <c r="X35" s="136">
        <v>0.36</v>
      </c>
      <c r="Y35" s="136">
        <v>0.36</v>
      </c>
      <c r="Z35" s="136">
        <v>1</v>
      </c>
      <c r="AA35" s="146" t="s">
        <v>664</v>
      </c>
      <c r="AB35" s="9" t="s">
        <v>270</v>
      </c>
      <c r="AC35" s="136"/>
    </row>
    <row r="36" spans="1:29" ht="24" x14ac:dyDescent="0.3">
      <c r="A36" s="3" t="e">
        <f>VLOOKUP(E36,'[1]Listas Desplegables'!$H$3:$J$7,2,FALSE)</f>
        <v>#N/A</v>
      </c>
      <c r="B36" s="3" t="e">
        <f>VLOOKUP(E36,'[1]Listas Desplegables'!$H$3:$J$7,3,FALSE)</f>
        <v>#N/A</v>
      </c>
      <c r="C36" s="8">
        <v>31</v>
      </c>
      <c r="D36" s="136" t="s">
        <v>354</v>
      </c>
      <c r="E36" s="136" t="s">
        <v>347</v>
      </c>
      <c r="F36" s="136" t="s">
        <v>355</v>
      </c>
      <c r="G36" s="136">
        <v>115</v>
      </c>
      <c r="H36" s="136">
        <v>7.98</v>
      </c>
      <c r="I36" s="136">
        <v>400</v>
      </c>
      <c r="J36" s="136">
        <v>522</v>
      </c>
      <c r="K36" s="136">
        <v>480</v>
      </c>
      <c r="L36" s="136" t="s">
        <v>276</v>
      </c>
      <c r="M36" s="136">
        <v>0.17460000000000001</v>
      </c>
      <c r="N36" s="136">
        <v>0.48399999999999999</v>
      </c>
      <c r="O36" s="136">
        <v>3.4</v>
      </c>
      <c r="P36" s="136">
        <v>0.4763</v>
      </c>
      <c r="Q36" s="136">
        <v>1.5049999999999999</v>
      </c>
      <c r="R36" s="136">
        <v>1.849</v>
      </c>
      <c r="S36" s="136" t="s">
        <v>105</v>
      </c>
      <c r="T36" s="136" t="s">
        <v>108</v>
      </c>
      <c r="U36" s="136" t="s">
        <v>113</v>
      </c>
      <c r="V36" s="136"/>
      <c r="W36" s="136" t="s">
        <v>289</v>
      </c>
      <c r="X36" s="136">
        <v>0.19</v>
      </c>
      <c r="Y36" s="136">
        <v>0.38</v>
      </c>
      <c r="Z36" s="136">
        <v>2</v>
      </c>
      <c r="AA36" s="146" t="s">
        <v>664</v>
      </c>
      <c r="AB36" s="9" t="s">
        <v>270</v>
      </c>
      <c r="AC36" s="136"/>
    </row>
    <row r="37" spans="1:29" ht="24" x14ac:dyDescent="0.3">
      <c r="A37" s="3" t="e">
        <f>VLOOKUP(E37,'[1]Listas Desplegables'!$H$3:$J$7,2,FALSE)</f>
        <v>#N/A</v>
      </c>
      <c r="B37" s="3" t="e">
        <f>VLOOKUP(E37,'[1]Listas Desplegables'!$H$3:$J$7,3,FALSE)</f>
        <v>#N/A</v>
      </c>
      <c r="C37" s="8">
        <v>32</v>
      </c>
      <c r="D37" s="136" t="s">
        <v>356</v>
      </c>
      <c r="E37" s="136" t="s">
        <v>347</v>
      </c>
      <c r="F37" s="136" t="s">
        <v>357</v>
      </c>
      <c r="G37" s="136">
        <v>115</v>
      </c>
      <c r="H37" s="136">
        <v>81.38</v>
      </c>
      <c r="I37" s="136">
        <v>770</v>
      </c>
      <c r="J37" s="136">
        <v>981</v>
      </c>
      <c r="K37" s="136">
        <v>981</v>
      </c>
      <c r="L37" s="136" t="s">
        <v>276</v>
      </c>
      <c r="M37" s="136">
        <v>0.115</v>
      </c>
      <c r="N37" s="136">
        <v>0.39400000000000002</v>
      </c>
      <c r="O37" s="136">
        <v>3.653</v>
      </c>
      <c r="P37" s="136">
        <v>0.54600000000000004</v>
      </c>
      <c r="Q37" s="136">
        <v>1.204</v>
      </c>
      <c r="R37" s="136">
        <v>2.1760000000000002</v>
      </c>
      <c r="S37" s="136" t="s">
        <v>105</v>
      </c>
      <c r="T37" s="136" t="s">
        <v>108</v>
      </c>
      <c r="U37" s="136" t="s">
        <v>113</v>
      </c>
      <c r="V37" s="136">
        <v>45291</v>
      </c>
      <c r="W37" s="136" t="s">
        <v>358</v>
      </c>
      <c r="X37" s="136" t="s">
        <v>359</v>
      </c>
      <c r="Y37" s="136" t="s">
        <v>359</v>
      </c>
      <c r="Z37" s="136" t="s">
        <v>359</v>
      </c>
      <c r="AA37" s="146" t="s">
        <v>664</v>
      </c>
      <c r="AB37" s="9" t="s">
        <v>270</v>
      </c>
      <c r="AC37" s="136"/>
    </row>
    <row r="38" spans="1:29" ht="24" x14ac:dyDescent="0.3">
      <c r="A38" s="3" t="e">
        <f>VLOOKUP(E38,'[1]Listas Desplegables'!$H$3:$J$7,2,FALSE)</f>
        <v>#N/A</v>
      </c>
      <c r="B38" s="3" t="e">
        <f>VLOOKUP(E38,'[1]Listas Desplegables'!$H$3:$J$7,3,FALSE)</f>
        <v>#N/A</v>
      </c>
      <c r="C38" s="8">
        <v>33</v>
      </c>
      <c r="D38" s="136" t="s">
        <v>360</v>
      </c>
      <c r="E38" s="136" t="s">
        <v>361</v>
      </c>
      <c r="F38" s="136" t="s">
        <v>362</v>
      </c>
      <c r="G38" s="136">
        <v>115</v>
      </c>
      <c r="H38" s="136">
        <v>11.47</v>
      </c>
      <c r="I38" s="136">
        <v>400</v>
      </c>
      <c r="J38" s="136">
        <v>493</v>
      </c>
      <c r="K38" s="136">
        <v>240</v>
      </c>
      <c r="L38" s="136" t="s">
        <v>276</v>
      </c>
      <c r="M38" s="136">
        <v>0.1958</v>
      </c>
      <c r="N38" s="136">
        <v>0.49590000000000001</v>
      </c>
      <c r="O38" s="136">
        <v>3.3279999999999998</v>
      </c>
      <c r="P38" s="136">
        <v>0.61919999999999997</v>
      </c>
      <c r="Q38" s="136">
        <v>1.4725999999999999</v>
      </c>
      <c r="R38" s="136">
        <v>2.0539999999999998</v>
      </c>
      <c r="S38" s="136" t="s">
        <v>105</v>
      </c>
      <c r="T38" s="136" t="s">
        <v>108</v>
      </c>
      <c r="U38" s="136" t="s">
        <v>113</v>
      </c>
      <c r="V38" s="136"/>
      <c r="W38" s="136" t="s">
        <v>292</v>
      </c>
      <c r="X38" s="137">
        <v>4.3</v>
      </c>
      <c r="Y38" s="137">
        <v>17.2</v>
      </c>
      <c r="Z38" s="137">
        <v>4</v>
      </c>
      <c r="AA38" s="146" t="s">
        <v>664</v>
      </c>
      <c r="AB38" s="9" t="s">
        <v>270</v>
      </c>
      <c r="AC38" s="138"/>
    </row>
    <row r="39" spans="1:29" ht="24" x14ac:dyDescent="0.3">
      <c r="A39" s="3" t="e">
        <f>VLOOKUP(E39,'[1]Listas Desplegables'!$H$3:$J$7,2,FALSE)</f>
        <v>#N/A</v>
      </c>
      <c r="B39" s="3" t="e">
        <f>VLOOKUP(E39,'[1]Listas Desplegables'!$H$3:$J$7,3,FALSE)</f>
        <v>#N/A</v>
      </c>
      <c r="C39" s="8">
        <v>34</v>
      </c>
      <c r="D39" s="136" t="s">
        <v>363</v>
      </c>
      <c r="E39" s="136" t="s">
        <v>364</v>
      </c>
      <c r="F39" s="136" t="s">
        <v>365</v>
      </c>
      <c r="G39" s="136">
        <v>115</v>
      </c>
      <c r="H39" s="136">
        <v>3.5</v>
      </c>
      <c r="I39" s="136">
        <v>522</v>
      </c>
      <c r="J39" s="136">
        <v>522</v>
      </c>
      <c r="K39" s="136">
        <v>522</v>
      </c>
      <c r="L39" s="136" t="s">
        <v>276</v>
      </c>
      <c r="M39" s="136">
        <v>0.1903</v>
      </c>
      <c r="N39" s="136">
        <v>0.52280000000000004</v>
      </c>
      <c r="O39" s="136">
        <v>1.9127000000000001</v>
      </c>
      <c r="P39" s="136">
        <v>0.44900000000000001</v>
      </c>
      <c r="Q39" s="136">
        <v>1.7237</v>
      </c>
      <c r="R39" s="136">
        <v>0.58020000000000005</v>
      </c>
      <c r="S39" s="136" t="s">
        <v>105</v>
      </c>
      <c r="T39" s="136" t="s">
        <v>108</v>
      </c>
      <c r="U39" s="136" t="s">
        <v>113</v>
      </c>
      <c r="V39" s="136"/>
      <c r="W39" s="136" t="s">
        <v>289</v>
      </c>
      <c r="X39" s="137">
        <v>49.991250000000001</v>
      </c>
      <c r="Y39" s="137">
        <v>399.93</v>
      </c>
      <c r="Z39" s="137">
        <v>8</v>
      </c>
      <c r="AA39" s="146" t="s">
        <v>664</v>
      </c>
      <c r="AB39" s="9" t="s">
        <v>270</v>
      </c>
      <c r="AC39" s="138"/>
    </row>
    <row r="40" spans="1:29" ht="24" x14ac:dyDescent="0.3">
      <c r="A40" s="3" t="e">
        <f>VLOOKUP(E40,'[1]Listas Desplegables'!$H$3:$J$7,2,FALSE)</f>
        <v>#N/A</v>
      </c>
      <c r="B40" s="3" t="e">
        <f>VLOOKUP(E40,'[1]Listas Desplegables'!$H$3:$J$7,3,FALSE)</f>
        <v>#N/A</v>
      </c>
      <c r="C40" s="8">
        <v>35</v>
      </c>
      <c r="D40" s="136" t="s">
        <v>366</v>
      </c>
      <c r="E40" s="136" t="s">
        <v>364</v>
      </c>
      <c r="F40" s="136" t="s">
        <v>338</v>
      </c>
      <c r="G40" s="136">
        <v>115</v>
      </c>
      <c r="H40" s="136">
        <v>1.94</v>
      </c>
      <c r="I40" s="136">
        <v>516</v>
      </c>
      <c r="J40" s="136">
        <v>516</v>
      </c>
      <c r="K40" s="136">
        <v>516</v>
      </c>
      <c r="L40" s="136" t="s">
        <v>276</v>
      </c>
      <c r="M40" s="136">
        <v>0.19009999999999999</v>
      </c>
      <c r="N40" s="136">
        <v>0.47399999999999998</v>
      </c>
      <c r="O40" s="136">
        <v>3.302</v>
      </c>
      <c r="P40" s="136">
        <v>0.48620000000000002</v>
      </c>
      <c r="Q40" s="136">
        <v>1.4947999999999999</v>
      </c>
      <c r="R40" s="136">
        <v>1.8160000000000001</v>
      </c>
      <c r="S40" s="136" t="s">
        <v>105</v>
      </c>
      <c r="T40" s="136" t="s">
        <v>108</v>
      </c>
      <c r="U40" s="136" t="s">
        <v>113</v>
      </c>
      <c r="V40" s="136"/>
      <c r="W40" s="136" t="s">
        <v>292</v>
      </c>
      <c r="X40" s="137">
        <v>90.416666666666671</v>
      </c>
      <c r="Y40" s="137">
        <v>271.25</v>
      </c>
      <c r="Z40" s="137">
        <v>3</v>
      </c>
      <c r="AA40" s="146" t="s">
        <v>664</v>
      </c>
      <c r="AB40" s="9" t="s">
        <v>270</v>
      </c>
      <c r="AC40" s="138"/>
    </row>
    <row r="41" spans="1:29" ht="24" x14ac:dyDescent="0.3">
      <c r="A41" s="3" t="e">
        <f>VLOOKUP(E41,'[1]Listas Desplegables'!$H$3:$J$7,2,FALSE)</f>
        <v>#N/A</v>
      </c>
      <c r="B41" s="3" t="e">
        <f>VLOOKUP(E41,'[1]Listas Desplegables'!$H$3:$J$7,3,FALSE)</f>
        <v>#N/A</v>
      </c>
      <c r="C41" s="8">
        <v>36</v>
      </c>
      <c r="D41" s="136" t="s">
        <v>367</v>
      </c>
      <c r="E41" s="136" t="s">
        <v>364</v>
      </c>
      <c r="F41" s="136" t="s">
        <v>310</v>
      </c>
      <c r="G41" s="136">
        <v>115</v>
      </c>
      <c r="H41" s="136">
        <v>28.77</v>
      </c>
      <c r="I41" s="136">
        <v>600</v>
      </c>
      <c r="J41" s="136">
        <v>600</v>
      </c>
      <c r="K41" s="136">
        <v>600</v>
      </c>
      <c r="L41" s="136" t="s">
        <v>276</v>
      </c>
      <c r="M41" s="136">
        <v>9.35E-2</v>
      </c>
      <c r="N41" s="136">
        <v>0.47</v>
      </c>
      <c r="O41" s="136">
        <v>3.5800999999999998</v>
      </c>
      <c r="P41" s="136">
        <v>0.39839999999999998</v>
      </c>
      <c r="Q41" s="136">
        <v>1.5206999999999999</v>
      </c>
      <c r="R41" s="136">
        <v>1.9227000000000001</v>
      </c>
      <c r="S41" s="136" t="s">
        <v>105</v>
      </c>
      <c r="T41" s="136" t="s">
        <v>108</v>
      </c>
      <c r="U41" s="136" t="s">
        <v>113</v>
      </c>
      <c r="V41" s="136"/>
      <c r="W41" s="136" t="s">
        <v>358</v>
      </c>
      <c r="X41" s="137">
        <v>3.6049999999999995</v>
      </c>
      <c r="Y41" s="137">
        <v>14.419999999999998</v>
      </c>
      <c r="Z41" s="137">
        <v>4</v>
      </c>
      <c r="AA41" s="146" t="s">
        <v>664</v>
      </c>
      <c r="AB41" s="9" t="s">
        <v>270</v>
      </c>
      <c r="AC41" s="138"/>
    </row>
    <row r="42" spans="1:29" ht="24" x14ac:dyDescent="0.3">
      <c r="A42" s="3" t="e">
        <f>VLOOKUP(E42,'[1]Listas Desplegables'!$H$3:$J$7,2,FALSE)</f>
        <v>#N/A</v>
      </c>
      <c r="B42" s="3" t="e">
        <f>VLOOKUP(E42,'[1]Listas Desplegables'!$H$3:$J$7,3,FALSE)</f>
        <v>#N/A</v>
      </c>
      <c r="C42" s="8">
        <v>37</v>
      </c>
      <c r="D42" s="136" t="s">
        <v>368</v>
      </c>
      <c r="E42" s="136" t="s">
        <v>364</v>
      </c>
      <c r="F42" s="136" t="s">
        <v>315</v>
      </c>
      <c r="G42" s="136">
        <v>115</v>
      </c>
      <c r="H42" s="136">
        <v>0.85</v>
      </c>
      <c r="I42" s="136">
        <v>522</v>
      </c>
      <c r="J42" s="136">
        <v>522</v>
      </c>
      <c r="K42" s="136">
        <v>522</v>
      </c>
      <c r="L42" s="136" t="s">
        <v>276</v>
      </c>
      <c r="M42" s="136">
        <v>0.17469999999999999</v>
      </c>
      <c r="N42" s="136">
        <v>0.48409999999999997</v>
      </c>
      <c r="O42" s="136">
        <v>3.4312</v>
      </c>
      <c r="P42" s="136">
        <v>0.47960000000000003</v>
      </c>
      <c r="Q42" s="136">
        <v>15348</v>
      </c>
      <c r="R42" s="136">
        <v>1.8789</v>
      </c>
      <c r="S42" s="136" t="s">
        <v>105</v>
      </c>
      <c r="T42" s="136" t="s">
        <v>108</v>
      </c>
      <c r="U42" s="136" t="s">
        <v>113</v>
      </c>
      <c r="V42" s="136"/>
      <c r="W42" s="136" t="s">
        <v>289</v>
      </c>
      <c r="X42" s="137">
        <v>7.1550000000000002</v>
      </c>
      <c r="Y42" s="137">
        <v>14.31</v>
      </c>
      <c r="Z42" s="137">
        <v>2</v>
      </c>
      <c r="AA42" s="146" t="s">
        <v>664</v>
      </c>
      <c r="AB42" s="9" t="s">
        <v>270</v>
      </c>
      <c r="AC42" s="138"/>
    </row>
    <row r="43" spans="1:29" ht="24" x14ac:dyDescent="0.3">
      <c r="A43" s="3" t="e">
        <f>VLOOKUP(E43,'[1]Listas Desplegables'!$H$3:$J$7,2,FALSE)</f>
        <v>#N/A</v>
      </c>
      <c r="B43" s="3" t="e">
        <f>VLOOKUP(E43,'[1]Listas Desplegables'!$H$3:$J$7,3,FALSE)</f>
        <v>#N/A</v>
      </c>
      <c r="C43" s="8">
        <v>38</v>
      </c>
      <c r="D43" s="136" t="s">
        <v>369</v>
      </c>
      <c r="E43" s="136" t="s">
        <v>364</v>
      </c>
      <c r="F43" s="136" t="s">
        <v>370</v>
      </c>
      <c r="G43" s="136">
        <v>115</v>
      </c>
      <c r="H43" s="136">
        <v>29.5</v>
      </c>
      <c r="I43" s="136">
        <v>720</v>
      </c>
      <c r="J43" s="136">
        <v>720</v>
      </c>
      <c r="K43" s="136">
        <v>800</v>
      </c>
      <c r="L43" s="136" t="s">
        <v>276</v>
      </c>
      <c r="M43" s="136">
        <v>0.10630000000000001</v>
      </c>
      <c r="N43" s="136">
        <v>0.4667</v>
      </c>
      <c r="O43" s="136">
        <v>3.5714999999999999</v>
      </c>
      <c r="P43" s="136">
        <v>0.41120000000000001</v>
      </c>
      <c r="Q43" s="136">
        <v>1.5174000000000001</v>
      </c>
      <c r="R43" s="136">
        <v>1.9201999999999999</v>
      </c>
      <c r="S43" s="136" t="s">
        <v>105</v>
      </c>
      <c r="T43" s="136" t="s">
        <v>108</v>
      </c>
      <c r="U43" s="136" t="s">
        <v>113</v>
      </c>
      <c r="V43" s="136"/>
      <c r="W43" s="136" t="s">
        <v>371</v>
      </c>
      <c r="X43" s="137" t="s">
        <v>285</v>
      </c>
      <c r="Y43" s="137" t="s">
        <v>285</v>
      </c>
      <c r="Z43" s="137" t="s">
        <v>285</v>
      </c>
      <c r="AA43" s="146" t="s">
        <v>664</v>
      </c>
      <c r="AB43" s="9" t="s">
        <v>270</v>
      </c>
      <c r="AC43" s="138"/>
    </row>
    <row r="44" spans="1:29" ht="24" x14ac:dyDescent="0.3">
      <c r="A44" s="3" t="e">
        <f>VLOOKUP(E44,'[1]Listas Desplegables'!$H$3:$J$7,2,FALSE)</f>
        <v>#N/A</v>
      </c>
      <c r="B44" s="3" t="e">
        <f>VLOOKUP(E44,'[1]Listas Desplegables'!$H$3:$J$7,3,FALSE)</f>
        <v>#N/A</v>
      </c>
      <c r="C44" s="7">
        <v>39</v>
      </c>
      <c r="D44" s="136" t="s">
        <v>372</v>
      </c>
      <c r="E44" s="136" t="s">
        <v>373</v>
      </c>
      <c r="F44" s="136" t="s">
        <v>301</v>
      </c>
      <c r="G44" s="136">
        <v>115</v>
      </c>
      <c r="H44" s="136">
        <v>19.190000000000001</v>
      </c>
      <c r="I44" s="136">
        <v>355</v>
      </c>
      <c r="J44" s="136">
        <v>355</v>
      </c>
      <c r="K44" s="136">
        <v>390</v>
      </c>
      <c r="L44" s="136" t="s">
        <v>276</v>
      </c>
      <c r="M44" s="136">
        <v>0.23799999999999999</v>
      </c>
      <c r="N44" s="136">
        <v>0.56899999999999995</v>
      </c>
      <c r="O44" s="136">
        <v>3.1810999999999998</v>
      </c>
      <c r="P44" s="136">
        <v>0.55200000000000005</v>
      </c>
      <c r="Q44" s="136">
        <v>1.59</v>
      </c>
      <c r="R44" s="136">
        <v>1.8920999999999999</v>
      </c>
      <c r="S44" s="136" t="s">
        <v>105</v>
      </c>
      <c r="T44" s="136" t="s">
        <v>108</v>
      </c>
      <c r="U44" s="136" t="s">
        <v>113</v>
      </c>
      <c r="V44" s="136"/>
      <c r="W44" s="136" t="s">
        <v>327</v>
      </c>
      <c r="X44" s="137">
        <v>17.984999999999999</v>
      </c>
      <c r="Y44" s="137">
        <v>71.94</v>
      </c>
      <c r="Z44" s="137">
        <v>4</v>
      </c>
      <c r="AA44" s="146" t="s">
        <v>664</v>
      </c>
      <c r="AB44" s="9" t="s">
        <v>270</v>
      </c>
      <c r="AC44" s="138"/>
    </row>
    <row r="45" spans="1:29" ht="24" x14ac:dyDescent="0.3">
      <c r="A45" s="3" t="e">
        <f>VLOOKUP(E45,'[1]Listas Desplegables'!$H$3:$J$7,2,FALSE)</f>
        <v>#N/A</v>
      </c>
      <c r="B45" s="3" t="e">
        <f>VLOOKUP(E45,'[1]Listas Desplegables'!$H$3:$J$7,3,FALSE)</f>
        <v>#N/A</v>
      </c>
      <c r="C45" s="11">
        <v>40</v>
      </c>
      <c r="D45" s="136" t="s">
        <v>374</v>
      </c>
      <c r="E45" s="136" t="s">
        <v>375</v>
      </c>
      <c r="F45" s="136" t="s">
        <v>376</v>
      </c>
      <c r="G45" s="136">
        <v>115</v>
      </c>
      <c r="H45" s="136">
        <v>1.91</v>
      </c>
      <c r="I45" s="136">
        <v>522</v>
      </c>
      <c r="J45" s="136">
        <v>522</v>
      </c>
      <c r="K45" s="136">
        <v>522</v>
      </c>
      <c r="L45" s="136" t="s">
        <v>276</v>
      </c>
      <c r="M45" s="140">
        <v>0.20319999999999999</v>
      </c>
      <c r="N45" s="140">
        <v>0.49070000000000003</v>
      </c>
      <c r="O45" s="140">
        <v>3.3929</v>
      </c>
      <c r="P45" s="140">
        <v>0.60360000000000003</v>
      </c>
      <c r="Q45" s="140">
        <v>1.3499000000000001</v>
      </c>
      <c r="R45" s="140">
        <v>1.8849</v>
      </c>
      <c r="S45" s="136" t="s">
        <v>105</v>
      </c>
      <c r="T45" s="136" t="s">
        <v>108</v>
      </c>
      <c r="U45" s="136" t="s">
        <v>113</v>
      </c>
      <c r="V45" s="136"/>
      <c r="W45" s="136" t="s">
        <v>289</v>
      </c>
      <c r="X45" s="137" t="s">
        <v>285</v>
      </c>
      <c r="Y45" s="137" t="s">
        <v>285</v>
      </c>
      <c r="Z45" s="137" t="s">
        <v>285</v>
      </c>
      <c r="AA45" s="146" t="s">
        <v>664</v>
      </c>
      <c r="AB45" s="9" t="s">
        <v>270</v>
      </c>
      <c r="AC45" s="138"/>
    </row>
    <row r="46" spans="1:29" ht="24" x14ac:dyDescent="0.3">
      <c r="A46" s="3" t="e">
        <f>VLOOKUP(E46,'[1]Listas Desplegables'!$H$3:$J$7,2,FALSE)</f>
        <v>#N/A</v>
      </c>
      <c r="B46" s="3" t="e">
        <f>VLOOKUP(E46,'[1]Listas Desplegables'!$H$3:$J$7,3,FALSE)</f>
        <v>#N/A</v>
      </c>
      <c r="C46" s="7">
        <v>41</v>
      </c>
      <c r="D46" s="136" t="s">
        <v>377</v>
      </c>
      <c r="E46" s="136" t="s">
        <v>378</v>
      </c>
      <c r="F46" s="136" t="s">
        <v>288</v>
      </c>
      <c r="G46" s="136">
        <v>115</v>
      </c>
      <c r="H46" s="136">
        <v>2.19</v>
      </c>
      <c r="I46" s="136">
        <v>522</v>
      </c>
      <c r="J46" s="136">
        <v>522</v>
      </c>
      <c r="K46" s="136">
        <v>522</v>
      </c>
      <c r="L46" s="136" t="s">
        <v>276</v>
      </c>
      <c r="M46" s="140">
        <v>0.20319999999999999</v>
      </c>
      <c r="N46" s="140">
        <v>0.49070000000000003</v>
      </c>
      <c r="O46" s="140">
        <v>3.3929</v>
      </c>
      <c r="P46" s="140">
        <v>0.60360000000000003</v>
      </c>
      <c r="Q46" s="140">
        <v>1.3499000000000001</v>
      </c>
      <c r="R46" s="141">
        <v>18849</v>
      </c>
      <c r="S46" s="136" t="s">
        <v>105</v>
      </c>
      <c r="T46" s="136" t="s">
        <v>108</v>
      </c>
      <c r="U46" s="136" t="s">
        <v>113</v>
      </c>
      <c r="V46" s="136"/>
      <c r="W46" s="136" t="s">
        <v>289</v>
      </c>
      <c r="X46" s="137">
        <v>3.4766666666666666</v>
      </c>
      <c r="Y46" s="137">
        <v>10.43</v>
      </c>
      <c r="Z46" s="137">
        <v>3</v>
      </c>
      <c r="AA46" s="146" t="s">
        <v>664</v>
      </c>
      <c r="AB46" s="9" t="s">
        <v>270</v>
      </c>
      <c r="AC46" s="138"/>
    </row>
    <row r="47" spans="1:29" ht="24" x14ac:dyDescent="0.3">
      <c r="A47" s="3" t="e">
        <f>VLOOKUP(E47,'[1]Listas Desplegables'!$H$3:$J$7,2,FALSE)</f>
        <v>#N/A</v>
      </c>
      <c r="B47" s="3" t="e">
        <f>VLOOKUP(E47,'[1]Listas Desplegables'!$H$3:$J$7,3,FALSE)</f>
        <v>#N/A</v>
      </c>
      <c r="C47" s="8">
        <v>42</v>
      </c>
      <c r="D47" s="136" t="s">
        <v>379</v>
      </c>
      <c r="E47" s="136" t="s">
        <v>380</v>
      </c>
      <c r="F47" s="136" t="s">
        <v>343</v>
      </c>
      <c r="G47" s="136">
        <v>115</v>
      </c>
      <c r="H47" s="136">
        <v>22.69</v>
      </c>
      <c r="I47" s="136">
        <v>400</v>
      </c>
      <c r="J47" s="136">
        <v>522</v>
      </c>
      <c r="K47" s="136">
        <v>480</v>
      </c>
      <c r="L47" s="136" t="s">
        <v>276</v>
      </c>
      <c r="M47" s="136">
        <v>0.20300000000000001</v>
      </c>
      <c r="N47" s="136">
        <v>0.497</v>
      </c>
      <c r="O47" s="136">
        <v>3.3</v>
      </c>
      <c r="P47" s="136">
        <v>0.47899999999999998</v>
      </c>
      <c r="Q47" s="136">
        <v>1.571</v>
      </c>
      <c r="R47" s="136">
        <v>1.8</v>
      </c>
      <c r="S47" s="136" t="s">
        <v>105</v>
      </c>
      <c r="T47" s="136" t="s">
        <v>108</v>
      </c>
      <c r="U47" s="136" t="s">
        <v>113</v>
      </c>
      <c r="V47" s="136"/>
      <c r="W47" s="136" t="s">
        <v>289</v>
      </c>
      <c r="X47" s="137">
        <v>5.085</v>
      </c>
      <c r="Y47" s="137">
        <v>30.51</v>
      </c>
      <c r="Z47" s="137">
        <v>6</v>
      </c>
      <c r="AA47" s="146" t="s">
        <v>664</v>
      </c>
      <c r="AB47" s="9" t="s">
        <v>270</v>
      </c>
      <c r="AC47" s="138"/>
    </row>
    <row r="48" spans="1:29" ht="24" x14ac:dyDescent="0.3">
      <c r="A48" s="3" t="e">
        <f>VLOOKUP(E48,'[1]Listas Desplegables'!$H$3:$J$7,2,FALSE)</f>
        <v>#N/A</v>
      </c>
      <c r="B48" s="3" t="e">
        <f>VLOOKUP(E48,'[1]Listas Desplegables'!$H$3:$J$7,3,FALSE)</f>
        <v>#N/A</v>
      </c>
      <c r="C48" s="8">
        <v>43</v>
      </c>
      <c r="D48" s="136" t="s">
        <v>381</v>
      </c>
      <c r="E48" s="136" t="s">
        <v>382</v>
      </c>
      <c r="F48" s="136" t="s">
        <v>383</v>
      </c>
      <c r="G48" s="136">
        <v>34.5</v>
      </c>
      <c r="H48" s="136">
        <v>10.7</v>
      </c>
      <c r="I48" s="136">
        <v>355</v>
      </c>
      <c r="J48" s="136">
        <v>355</v>
      </c>
      <c r="K48" s="136">
        <v>355</v>
      </c>
      <c r="L48" s="136" t="s">
        <v>276</v>
      </c>
      <c r="M48" s="136">
        <v>0.26</v>
      </c>
      <c r="N48" s="136">
        <v>0.39600000000000002</v>
      </c>
      <c r="O48" s="142">
        <v>1.7645800655924713</v>
      </c>
      <c r="P48" s="136">
        <v>0.78</v>
      </c>
      <c r="Q48" s="136">
        <v>1.1880000000000002</v>
      </c>
      <c r="R48" s="142">
        <v>0.58819335519749039</v>
      </c>
      <c r="S48" s="136" t="s">
        <v>106</v>
      </c>
      <c r="T48" s="136" t="s">
        <v>108</v>
      </c>
      <c r="U48" s="136" t="s">
        <v>113</v>
      </c>
      <c r="V48" s="136"/>
      <c r="W48" s="136" t="s">
        <v>327</v>
      </c>
      <c r="X48" s="137">
        <v>4.7741706161137439E-2</v>
      </c>
      <c r="Y48" s="137">
        <v>10.073499999999999</v>
      </c>
      <c r="Z48" s="137">
        <v>211</v>
      </c>
      <c r="AA48" s="146" t="s">
        <v>664</v>
      </c>
      <c r="AB48" s="9" t="s">
        <v>270</v>
      </c>
      <c r="AC48" s="138"/>
    </row>
    <row r="49" spans="1:29" ht="24" x14ac:dyDescent="0.3">
      <c r="A49" s="3" t="e">
        <f>VLOOKUP(E49,'[1]Listas Desplegables'!$H$3:$J$7,2,FALSE)</f>
        <v>#N/A</v>
      </c>
      <c r="B49" s="3" t="e">
        <f>VLOOKUP(E49,'[1]Listas Desplegables'!$H$3:$J$7,3,FALSE)</f>
        <v>#N/A</v>
      </c>
      <c r="C49" s="8">
        <v>44</v>
      </c>
      <c r="D49" s="136" t="s">
        <v>384</v>
      </c>
      <c r="E49" s="136" t="s">
        <v>385</v>
      </c>
      <c r="F49" s="136" t="s">
        <v>386</v>
      </c>
      <c r="G49" s="136">
        <v>34.5</v>
      </c>
      <c r="H49" s="136">
        <v>41</v>
      </c>
      <c r="I49" s="136">
        <v>275</v>
      </c>
      <c r="J49" s="136">
        <v>275</v>
      </c>
      <c r="K49" s="136">
        <v>275</v>
      </c>
      <c r="L49" s="136" t="s">
        <v>276</v>
      </c>
      <c r="M49" s="143">
        <v>0.41399999999999998</v>
      </c>
      <c r="N49" s="143">
        <v>0.58399999999999996</v>
      </c>
      <c r="O49" s="143">
        <v>1.1396189301632154</v>
      </c>
      <c r="P49" s="143">
        <v>1.242</v>
      </c>
      <c r="Q49" s="143">
        <v>1.7519999999999998</v>
      </c>
      <c r="R49" s="143">
        <v>0.37987297672107179</v>
      </c>
      <c r="S49" s="136" t="s">
        <v>106</v>
      </c>
      <c r="T49" s="136" t="s">
        <v>108</v>
      </c>
      <c r="U49" s="136" t="s">
        <v>113</v>
      </c>
      <c r="V49" s="136"/>
      <c r="W49" s="136" t="s">
        <v>387</v>
      </c>
      <c r="X49" s="137">
        <v>0.10828908934707902</v>
      </c>
      <c r="Y49" s="137">
        <v>21.008083333333332</v>
      </c>
      <c r="Z49" s="137">
        <v>194</v>
      </c>
      <c r="AA49" s="146" t="s">
        <v>664</v>
      </c>
      <c r="AB49" s="9" t="s">
        <v>270</v>
      </c>
      <c r="AC49" s="138"/>
    </row>
    <row r="50" spans="1:29" ht="24" x14ac:dyDescent="0.3">
      <c r="A50" s="3" t="e">
        <f>VLOOKUP(E50,'[1]Listas Desplegables'!$H$3:$J$7,2,FALSE)</f>
        <v>#N/A</v>
      </c>
      <c r="B50" s="3" t="e">
        <f>VLOOKUP(E50,'[1]Listas Desplegables'!$H$3:$J$7,3,FALSE)</f>
        <v>#N/A</v>
      </c>
      <c r="C50" s="8">
        <v>45</v>
      </c>
      <c r="D50" s="136" t="s">
        <v>388</v>
      </c>
      <c r="E50" s="136" t="s">
        <v>389</v>
      </c>
      <c r="F50" s="136" t="s">
        <v>390</v>
      </c>
      <c r="G50" s="136">
        <v>34.5</v>
      </c>
      <c r="H50" s="136">
        <v>1.2</v>
      </c>
      <c r="I50" s="136">
        <v>275</v>
      </c>
      <c r="J50" s="136">
        <v>275</v>
      </c>
      <c r="K50" s="136">
        <v>275</v>
      </c>
      <c r="L50" s="136" t="s">
        <v>276</v>
      </c>
      <c r="M50" s="143">
        <v>0.41399999999999998</v>
      </c>
      <c r="N50" s="143">
        <v>0.58399999999999996</v>
      </c>
      <c r="O50" s="143">
        <v>1.1396189301632154</v>
      </c>
      <c r="P50" s="143">
        <v>1.242</v>
      </c>
      <c r="Q50" s="143">
        <v>1.7519999999999998</v>
      </c>
      <c r="R50" s="143">
        <v>0.37987297672107179</v>
      </c>
      <c r="S50" s="136" t="s">
        <v>106</v>
      </c>
      <c r="T50" s="136" t="s">
        <v>108</v>
      </c>
      <c r="U50" s="136" t="s">
        <v>113</v>
      </c>
      <c r="V50" s="136"/>
      <c r="W50" s="136" t="s">
        <v>387</v>
      </c>
      <c r="X50" s="137">
        <v>0.10828908934707902</v>
      </c>
      <c r="Y50" s="137">
        <v>21.008083333333332</v>
      </c>
      <c r="Z50" s="137">
        <v>194</v>
      </c>
      <c r="AA50" s="146" t="s">
        <v>664</v>
      </c>
      <c r="AB50" s="9" t="s">
        <v>270</v>
      </c>
      <c r="AC50" s="138"/>
    </row>
    <row r="51" spans="1:29" ht="24" x14ac:dyDescent="0.3">
      <c r="A51" s="3" t="e">
        <f>VLOOKUP(E51,'[1]Listas Desplegables'!$H$3:$J$7,2,FALSE)</f>
        <v>#N/A</v>
      </c>
      <c r="B51" s="3" t="e">
        <f>VLOOKUP(E51,'[1]Listas Desplegables'!$H$3:$J$7,3,FALSE)</f>
        <v>#N/A</v>
      </c>
      <c r="C51" s="8">
        <v>46</v>
      </c>
      <c r="D51" s="136" t="s">
        <v>391</v>
      </c>
      <c r="E51" s="136" t="s">
        <v>392</v>
      </c>
      <c r="F51" s="136" t="s">
        <v>393</v>
      </c>
      <c r="G51" s="136">
        <v>34.5</v>
      </c>
      <c r="H51" s="136">
        <v>8.3000000000000007</v>
      </c>
      <c r="I51" s="136">
        <v>275</v>
      </c>
      <c r="J51" s="136">
        <v>275</v>
      </c>
      <c r="K51" s="136">
        <v>275</v>
      </c>
      <c r="L51" s="136" t="s">
        <v>276</v>
      </c>
      <c r="M51" s="143">
        <v>0.41399999999999998</v>
      </c>
      <c r="N51" s="143">
        <v>0.58399999999999996</v>
      </c>
      <c r="O51" s="143">
        <v>1.1396189301632154</v>
      </c>
      <c r="P51" s="143">
        <v>1.242</v>
      </c>
      <c r="Q51" s="143">
        <v>1.7519999999999998</v>
      </c>
      <c r="R51" s="143">
        <v>0.37987297672107179</v>
      </c>
      <c r="S51" s="136" t="s">
        <v>106</v>
      </c>
      <c r="T51" s="136" t="s">
        <v>108</v>
      </c>
      <c r="U51" s="136" t="s">
        <v>113</v>
      </c>
      <c r="V51" s="136"/>
      <c r="W51" s="136" t="s">
        <v>387</v>
      </c>
      <c r="X51" s="137">
        <v>4.7741706161137439E-2</v>
      </c>
      <c r="Y51" s="137">
        <v>10.073499999999999</v>
      </c>
      <c r="Z51" s="137">
        <v>211</v>
      </c>
      <c r="AA51" s="146" t="s">
        <v>664</v>
      </c>
      <c r="AB51" s="9" t="s">
        <v>270</v>
      </c>
      <c r="AC51" s="138"/>
    </row>
    <row r="52" spans="1:29" ht="24" x14ac:dyDescent="0.3">
      <c r="A52" s="3" t="e">
        <f>VLOOKUP(E52,'[1]Listas Desplegables'!$H$3:$J$7,2,FALSE)</f>
        <v>#N/A</v>
      </c>
      <c r="B52" s="3" t="e">
        <f>VLOOKUP(E52,'[1]Listas Desplegables'!$H$3:$J$7,3,FALSE)</f>
        <v>#N/A</v>
      </c>
      <c r="C52" s="8">
        <v>47</v>
      </c>
      <c r="D52" s="136" t="s">
        <v>394</v>
      </c>
      <c r="E52" s="136" t="s">
        <v>395</v>
      </c>
      <c r="F52" s="136" t="s">
        <v>396</v>
      </c>
      <c r="G52" s="136">
        <v>34.5</v>
      </c>
      <c r="H52" s="136">
        <v>4.7</v>
      </c>
      <c r="I52" s="136">
        <v>275</v>
      </c>
      <c r="J52" s="136">
        <v>275</v>
      </c>
      <c r="K52" s="136">
        <v>275</v>
      </c>
      <c r="L52" s="136" t="s">
        <v>276</v>
      </c>
      <c r="M52" s="143">
        <v>0.41399999999999998</v>
      </c>
      <c r="N52" s="143">
        <v>0.58399999999999996</v>
      </c>
      <c r="O52" s="143">
        <v>1.1396189301632154</v>
      </c>
      <c r="P52" s="143">
        <v>1.242</v>
      </c>
      <c r="Q52" s="143">
        <v>1.7519999999999998</v>
      </c>
      <c r="R52" s="143">
        <v>0.37987297672107179</v>
      </c>
      <c r="S52" s="136" t="s">
        <v>106</v>
      </c>
      <c r="T52" s="136" t="s">
        <v>108</v>
      </c>
      <c r="U52" s="136" t="s">
        <v>113</v>
      </c>
      <c r="V52" s="136"/>
      <c r="W52" s="136" t="s">
        <v>387</v>
      </c>
      <c r="X52" s="137">
        <v>0.10828908934707902</v>
      </c>
      <c r="Y52" s="137">
        <v>21.008083333333332</v>
      </c>
      <c r="Z52" s="137">
        <v>194</v>
      </c>
      <c r="AA52" s="146" t="s">
        <v>664</v>
      </c>
      <c r="AB52" s="9" t="s">
        <v>270</v>
      </c>
      <c r="AC52" s="138"/>
    </row>
    <row r="53" spans="1:29" ht="24" x14ac:dyDescent="0.3">
      <c r="A53" s="3" t="e">
        <f>VLOOKUP(E53,'[1]Listas Desplegables'!$H$3:$J$7,2,FALSE)</f>
        <v>#N/A</v>
      </c>
      <c r="B53" s="3" t="e">
        <f>VLOOKUP(E53,'[1]Listas Desplegables'!$H$3:$J$7,3,FALSE)</f>
        <v>#N/A</v>
      </c>
      <c r="C53" s="8">
        <v>48</v>
      </c>
      <c r="D53" s="136" t="s">
        <v>397</v>
      </c>
      <c r="E53" s="136" t="s">
        <v>395</v>
      </c>
      <c r="F53" s="136" t="s">
        <v>398</v>
      </c>
      <c r="G53" s="136">
        <v>34.5</v>
      </c>
      <c r="H53" s="136">
        <v>10.4</v>
      </c>
      <c r="I53" s="136">
        <v>355</v>
      </c>
      <c r="J53" s="136">
        <v>355</v>
      </c>
      <c r="K53" s="136">
        <v>355</v>
      </c>
      <c r="L53" s="136" t="s">
        <v>276</v>
      </c>
      <c r="M53" s="136">
        <v>0.26</v>
      </c>
      <c r="N53" s="136">
        <v>0.39600000000000002</v>
      </c>
      <c r="O53" s="142">
        <v>1.7645800655924713</v>
      </c>
      <c r="P53" s="136">
        <v>0.78</v>
      </c>
      <c r="Q53" s="136">
        <v>1.1880000000000002</v>
      </c>
      <c r="R53" s="142">
        <v>0.58819335519749039</v>
      </c>
      <c r="S53" s="136" t="s">
        <v>106</v>
      </c>
      <c r="T53" s="136" t="s">
        <v>108</v>
      </c>
      <c r="U53" s="136" t="s">
        <v>113</v>
      </c>
      <c r="V53" s="136"/>
      <c r="W53" s="136" t="s">
        <v>327</v>
      </c>
      <c r="X53" s="137">
        <v>0.14616666666666667</v>
      </c>
      <c r="Y53" s="137">
        <v>0.73083333333333333</v>
      </c>
      <c r="Z53" s="137">
        <v>5</v>
      </c>
      <c r="AA53" s="146" t="s">
        <v>664</v>
      </c>
      <c r="AB53" s="9" t="s">
        <v>270</v>
      </c>
      <c r="AC53" s="138"/>
    </row>
    <row r="54" spans="1:29" ht="24" x14ac:dyDescent="0.3">
      <c r="A54" s="3" t="e">
        <f>VLOOKUP(E54,'[1]Listas Desplegables'!$H$3:$J$7,2,FALSE)</f>
        <v>#N/A</v>
      </c>
      <c r="B54" s="3" t="e">
        <f>VLOOKUP(E54,'[1]Listas Desplegables'!$H$3:$J$7,3,FALSE)</f>
        <v>#N/A</v>
      </c>
      <c r="C54" s="8">
        <v>49</v>
      </c>
      <c r="D54" s="136" t="s">
        <v>399</v>
      </c>
      <c r="E54" s="136" t="s">
        <v>395</v>
      </c>
      <c r="F54" s="136" t="s">
        <v>400</v>
      </c>
      <c r="G54" s="136">
        <v>34.5</v>
      </c>
      <c r="H54" s="136">
        <v>34.4</v>
      </c>
      <c r="I54" s="136">
        <v>355</v>
      </c>
      <c r="J54" s="136">
        <v>355</v>
      </c>
      <c r="K54" s="136">
        <v>355</v>
      </c>
      <c r="L54" s="136" t="s">
        <v>276</v>
      </c>
      <c r="M54" s="136">
        <v>0.26</v>
      </c>
      <c r="N54" s="136">
        <v>0.39600000000000002</v>
      </c>
      <c r="O54" s="142">
        <v>1.7645800655924713</v>
      </c>
      <c r="P54" s="136">
        <v>0.78</v>
      </c>
      <c r="Q54" s="136">
        <v>1.1880000000000002</v>
      </c>
      <c r="R54" s="142">
        <v>0.58819335519749039</v>
      </c>
      <c r="S54" s="136" t="s">
        <v>106</v>
      </c>
      <c r="T54" s="136" t="s">
        <v>108</v>
      </c>
      <c r="U54" s="136" t="s">
        <v>113</v>
      </c>
      <c r="V54" s="136"/>
      <c r="W54" s="136" t="s">
        <v>327</v>
      </c>
      <c r="X54" s="137">
        <v>0.14616666666666667</v>
      </c>
      <c r="Y54" s="137">
        <v>0.73083333333333333</v>
      </c>
      <c r="Z54" s="137">
        <v>5</v>
      </c>
      <c r="AA54" s="146" t="s">
        <v>664</v>
      </c>
      <c r="AB54" s="9" t="s">
        <v>270</v>
      </c>
      <c r="AC54" s="138"/>
    </row>
    <row r="55" spans="1:29" ht="24" x14ac:dyDescent="0.3">
      <c r="A55" s="3" t="e">
        <f>VLOOKUP(E55,'[1]Listas Desplegables'!$H$3:$J$7,2,FALSE)</f>
        <v>#N/A</v>
      </c>
      <c r="B55" s="3" t="e">
        <f>VLOOKUP(E55,'[1]Listas Desplegables'!$H$3:$J$7,3,FALSE)</f>
        <v>#N/A</v>
      </c>
      <c r="C55" s="7">
        <v>50</v>
      </c>
      <c r="D55" s="136" t="s">
        <v>401</v>
      </c>
      <c r="E55" s="136" t="s">
        <v>402</v>
      </c>
      <c r="F55" s="136" t="s">
        <v>403</v>
      </c>
      <c r="G55" s="136">
        <v>34.5</v>
      </c>
      <c r="H55" s="136">
        <v>9.2100000000000009</v>
      </c>
      <c r="I55" s="136">
        <v>355</v>
      </c>
      <c r="J55" s="136">
        <v>355</v>
      </c>
      <c r="K55" s="136">
        <v>355</v>
      </c>
      <c r="L55" s="136" t="s">
        <v>276</v>
      </c>
      <c r="M55" s="136">
        <v>0.26</v>
      </c>
      <c r="N55" s="136">
        <v>0.39600000000000002</v>
      </c>
      <c r="O55" s="142">
        <v>1.7645800655924713</v>
      </c>
      <c r="P55" s="136">
        <v>0.78</v>
      </c>
      <c r="Q55" s="136">
        <v>1.1880000000000002</v>
      </c>
      <c r="R55" s="142">
        <v>0.58819335519749039</v>
      </c>
      <c r="S55" s="136" t="s">
        <v>106</v>
      </c>
      <c r="T55" s="136" t="s">
        <v>108</v>
      </c>
      <c r="U55" s="136" t="s">
        <v>113</v>
      </c>
      <c r="V55" s="136"/>
      <c r="W55" s="136" t="s">
        <v>327</v>
      </c>
      <c r="X55" s="137">
        <v>0.10828908934707902</v>
      </c>
      <c r="Y55" s="137">
        <v>21.008083333333332</v>
      </c>
      <c r="Z55" s="137">
        <v>194</v>
      </c>
      <c r="AA55" s="146" t="s">
        <v>664</v>
      </c>
      <c r="AB55" s="9" t="s">
        <v>270</v>
      </c>
      <c r="AC55" s="138"/>
    </row>
    <row r="56" spans="1:29" ht="24" x14ac:dyDescent="0.3">
      <c r="A56" s="3" t="e">
        <f>VLOOKUP(E56,'[1]Listas Desplegables'!$H$3:$J$7,2,FALSE)</f>
        <v>#N/A</v>
      </c>
      <c r="B56" s="3" t="e">
        <f>VLOOKUP(E56,'[1]Listas Desplegables'!$H$3:$J$7,3,FALSE)</f>
        <v>#N/A</v>
      </c>
      <c r="C56" s="8">
        <v>51</v>
      </c>
      <c r="D56" s="136" t="s">
        <v>404</v>
      </c>
      <c r="E56" s="136" t="s">
        <v>405</v>
      </c>
      <c r="F56" s="136" t="s">
        <v>402</v>
      </c>
      <c r="G56" s="136">
        <v>34.5</v>
      </c>
      <c r="H56" s="136">
        <v>4.7</v>
      </c>
      <c r="I56" s="136">
        <v>275</v>
      </c>
      <c r="J56" s="136">
        <v>275</v>
      </c>
      <c r="K56" s="136">
        <v>275</v>
      </c>
      <c r="L56" s="136" t="s">
        <v>276</v>
      </c>
      <c r="M56" s="143">
        <v>0.41399999999999998</v>
      </c>
      <c r="N56" s="143">
        <v>0.58399999999999996</v>
      </c>
      <c r="O56" s="143">
        <v>1.1396189301632154</v>
      </c>
      <c r="P56" s="143">
        <v>1.242</v>
      </c>
      <c r="Q56" s="143">
        <v>1.7519999999999998</v>
      </c>
      <c r="R56" s="143">
        <v>0.37987297672107179</v>
      </c>
      <c r="S56" s="136" t="s">
        <v>106</v>
      </c>
      <c r="T56" s="136" t="s">
        <v>108</v>
      </c>
      <c r="U56" s="136" t="s">
        <v>113</v>
      </c>
      <c r="V56" s="136"/>
      <c r="W56" s="136" t="s">
        <v>387</v>
      </c>
      <c r="X56" s="137">
        <v>0.10828908934707902</v>
      </c>
      <c r="Y56" s="137">
        <v>21.008083333333332</v>
      </c>
      <c r="Z56" s="137">
        <v>194</v>
      </c>
      <c r="AA56" s="146" t="s">
        <v>664</v>
      </c>
      <c r="AB56" s="9" t="s">
        <v>270</v>
      </c>
      <c r="AC56" s="138"/>
    </row>
    <row r="57" spans="1:29" ht="24" x14ac:dyDescent="0.3">
      <c r="A57" s="3" t="e">
        <f>VLOOKUP(E57,'[1]Listas Desplegables'!$H$3:$J$7,2,FALSE)</f>
        <v>#N/A</v>
      </c>
      <c r="B57" s="3" t="e">
        <f>VLOOKUP(E57,'[1]Listas Desplegables'!$H$3:$J$7,3,FALSE)</f>
        <v>#N/A</v>
      </c>
      <c r="C57" s="8">
        <v>52</v>
      </c>
      <c r="D57" s="136" t="s">
        <v>406</v>
      </c>
      <c r="E57" s="136" t="s">
        <v>407</v>
      </c>
      <c r="F57" s="136" t="s">
        <v>408</v>
      </c>
      <c r="G57" s="136">
        <v>34.5</v>
      </c>
      <c r="H57" s="136">
        <v>21.1</v>
      </c>
      <c r="I57" s="136">
        <v>275</v>
      </c>
      <c r="J57" s="136">
        <v>275</v>
      </c>
      <c r="K57" s="136">
        <v>275</v>
      </c>
      <c r="L57" s="136" t="s">
        <v>276</v>
      </c>
      <c r="M57" s="143">
        <v>0.41399999999999998</v>
      </c>
      <c r="N57" s="143">
        <v>0.58399999999999996</v>
      </c>
      <c r="O57" s="143">
        <v>1.1396189301632154</v>
      </c>
      <c r="P57" s="143">
        <v>1.242</v>
      </c>
      <c r="Q57" s="143">
        <v>1.7519999999999998</v>
      </c>
      <c r="R57" s="143">
        <v>0.37987297672107179</v>
      </c>
      <c r="S57" s="136" t="s">
        <v>106</v>
      </c>
      <c r="T57" s="136" t="s">
        <v>108</v>
      </c>
      <c r="U57" s="136" t="s">
        <v>113</v>
      </c>
      <c r="V57" s="136"/>
      <c r="W57" s="136" t="s">
        <v>387</v>
      </c>
      <c r="X57" s="137"/>
      <c r="Y57" s="137"/>
      <c r="Z57" s="137"/>
      <c r="AA57" s="146" t="s">
        <v>664</v>
      </c>
      <c r="AB57" s="9" t="s">
        <v>270</v>
      </c>
      <c r="AC57" s="138"/>
    </row>
    <row r="58" spans="1:29" ht="24" x14ac:dyDescent="0.3">
      <c r="A58" s="3" t="e">
        <f>VLOOKUP(E58,'[1]Listas Desplegables'!$H$3:$J$7,2,FALSE)</f>
        <v>#N/A</v>
      </c>
      <c r="B58" s="3" t="e">
        <f>VLOOKUP(E58,'[1]Listas Desplegables'!$H$3:$J$7,3,FALSE)</f>
        <v>#N/A</v>
      </c>
      <c r="C58" s="8">
        <v>53</v>
      </c>
      <c r="D58" s="136" t="s">
        <v>409</v>
      </c>
      <c r="E58" s="136" t="s">
        <v>410</v>
      </c>
      <c r="F58" s="136" t="s">
        <v>411</v>
      </c>
      <c r="G58" s="136">
        <v>34.5</v>
      </c>
      <c r="H58" s="136">
        <v>20.74</v>
      </c>
      <c r="I58" s="136">
        <v>275</v>
      </c>
      <c r="J58" s="136">
        <v>275</v>
      </c>
      <c r="K58" s="136">
        <v>275</v>
      </c>
      <c r="L58" s="136" t="s">
        <v>276</v>
      </c>
      <c r="M58" s="143">
        <v>0.41399999999999998</v>
      </c>
      <c r="N58" s="143">
        <v>0.58399999999999996</v>
      </c>
      <c r="O58" s="143">
        <v>1.1396189301632154</v>
      </c>
      <c r="P58" s="143">
        <v>1.242</v>
      </c>
      <c r="Q58" s="143">
        <v>1.7519999999999998</v>
      </c>
      <c r="R58" s="143">
        <v>0.37987297672107179</v>
      </c>
      <c r="S58" s="136" t="s">
        <v>106</v>
      </c>
      <c r="T58" s="136" t="s">
        <v>108</v>
      </c>
      <c r="U58" s="136" t="s">
        <v>113</v>
      </c>
      <c r="V58" s="136"/>
      <c r="W58" s="136" t="s">
        <v>387</v>
      </c>
      <c r="X58" s="137">
        <v>6.2811805555555558E-2</v>
      </c>
      <c r="Y58" s="137">
        <v>1.5074833333333333</v>
      </c>
      <c r="Z58" s="137">
        <v>24</v>
      </c>
      <c r="AA58" s="146" t="s">
        <v>664</v>
      </c>
      <c r="AB58" s="9" t="s">
        <v>270</v>
      </c>
      <c r="AC58" s="138"/>
    </row>
    <row r="59" spans="1:29" ht="24" x14ac:dyDescent="0.3">
      <c r="A59" s="3" t="e">
        <f>VLOOKUP(E59,'[1]Listas Desplegables'!$H$3:$J$7,2,FALSE)</f>
        <v>#N/A</v>
      </c>
      <c r="B59" s="3" t="e">
        <f>VLOOKUP(E59,'[1]Listas Desplegables'!$H$3:$J$7,3,FALSE)</f>
        <v>#N/A</v>
      </c>
      <c r="C59" s="7">
        <v>54</v>
      </c>
      <c r="D59" s="136" t="s">
        <v>412</v>
      </c>
      <c r="E59" s="136" t="s">
        <v>413</v>
      </c>
      <c r="F59" s="136" t="s">
        <v>414</v>
      </c>
      <c r="G59" s="136">
        <v>34.5</v>
      </c>
      <c r="H59" s="136">
        <v>9</v>
      </c>
      <c r="I59" s="136">
        <v>355</v>
      </c>
      <c r="J59" s="136">
        <v>355</v>
      </c>
      <c r="K59" s="136">
        <v>355</v>
      </c>
      <c r="L59" s="136" t="s">
        <v>276</v>
      </c>
      <c r="M59" s="136">
        <v>0.26</v>
      </c>
      <c r="N59" s="136">
        <v>0.39600000000000002</v>
      </c>
      <c r="O59" s="142">
        <v>1.7645800655924713</v>
      </c>
      <c r="P59" s="136">
        <v>0.78</v>
      </c>
      <c r="Q59" s="136">
        <v>1.1880000000000002</v>
      </c>
      <c r="R59" s="142">
        <v>0.58819335519749039</v>
      </c>
      <c r="S59" s="136" t="s">
        <v>106</v>
      </c>
      <c r="T59" s="136" t="s">
        <v>108</v>
      </c>
      <c r="U59" s="136" t="s">
        <v>113</v>
      </c>
      <c r="V59" s="136"/>
      <c r="W59" s="136" t="s">
        <v>327</v>
      </c>
      <c r="X59" s="137">
        <v>6.2811805555555558E-2</v>
      </c>
      <c r="Y59" s="137">
        <v>1.5074833333333333</v>
      </c>
      <c r="Z59" s="137">
        <v>24</v>
      </c>
      <c r="AA59" s="146" t="s">
        <v>664</v>
      </c>
      <c r="AB59" s="9" t="s">
        <v>270</v>
      </c>
      <c r="AC59" s="138"/>
    </row>
    <row r="60" spans="1:29" ht="24" x14ac:dyDescent="0.3">
      <c r="A60" s="3" t="e">
        <f>VLOOKUP(E60,'[1]Listas Desplegables'!$H$3:$J$7,2,FALSE)</f>
        <v>#N/A</v>
      </c>
      <c r="B60" s="3" t="e">
        <f>VLOOKUP(E60,'[1]Listas Desplegables'!$H$3:$J$7,3,FALSE)</f>
        <v>#N/A</v>
      </c>
      <c r="C60" s="8">
        <v>55</v>
      </c>
      <c r="D60" s="136" t="s">
        <v>415</v>
      </c>
      <c r="E60" s="136" t="s">
        <v>416</v>
      </c>
      <c r="F60" s="136" t="s">
        <v>417</v>
      </c>
      <c r="G60" s="136">
        <v>34.5</v>
      </c>
      <c r="H60" s="136">
        <v>18.8</v>
      </c>
      <c r="I60" s="136">
        <v>355</v>
      </c>
      <c r="J60" s="136">
        <v>355</v>
      </c>
      <c r="K60" s="136">
        <v>355</v>
      </c>
      <c r="L60" s="136" t="s">
        <v>276</v>
      </c>
      <c r="M60" s="136">
        <v>0.26</v>
      </c>
      <c r="N60" s="136">
        <v>0.39600000000000002</v>
      </c>
      <c r="O60" s="142">
        <v>1.7645800655924713</v>
      </c>
      <c r="P60" s="136">
        <v>0.78</v>
      </c>
      <c r="Q60" s="136">
        <v>1.1880000000000002</v>
      </c>
      <c r="R60" s="142">
        <v>0.58819335519749039</v>
      </c>
      <c r="S60" s="136" t="s">
        <v>106</v>
      </c>
      <c r="T60" s="136" t="s">
        <v>108</v>
      </c>
      <c r="U60" s="136" t="s">
        <v>113</v>
      </c>
      <c r="V60" s="136"/>
      <c r="W60" s="136" t="s">
        <v>327</v>
      </c>
      <c r="X60" s="137">
        <v>0.14616666666666667</v>
      </c>
      <c r="Y60" s="137">
        <v>0.73083333333333333</v>
      </c>
      <c r="Z60" s="137">
        <v>5</v>
      </c>
      <c r="AA60" s="146" t="s">
        <v>664</v>
      </c>
      <c r="AB60" s="9" t="s">
        <v>270</v>
      </c>
      <c r="AC60" s="138"/>
    </row>
    <row r="61" spans="1:29" ht="24" x14ac:dyDescent="0.3">
      <c r="A61" s="3" t="e">
        <f>VLOOKUP(E61,'[1]Listas Desplegables'!$H$3:$J$7,2,FALSE)</f>
        <v>#N/A</v>
      </c>
      <c r="B61" s="3" t="e">
        <f>VLOOKUP(E61,'[1]Listas Desplegables'!$H$3:$J$7,3,FALSE)</f>
        <v>#N/A</v>
      </c>
      <c r="C61" s="8">
        <v>56</v>
      </c>
      <c r="D61" s="136" t="s">
        <v>418</v>
      </c>
      <c r="E61" s="136" t="s">
        <v>417</v>
      </c>
      <c r="F61" s="136" t="s">
        <v>419</v>
      </c>
      <c r="G61" s="136">
        <v>34.5</v>
      </c>
      <c r="H61" s="136">
        <v>10.199999999999999</v>
      </c>
      <c r="I61" s="136">
        <v>275</v>
      </c>
      <c r="J61" s="136">
        <v>275</v>
      </c>
      <c r="K61" s="136">
        <v>275</v>
      </c>
      <c r="L61" s="136" t="s">
        <v>276</v>
      </c>
      <c r="M61" s="143">
        <v>0.41399999999999998</v>
      </c>
      <c r="N61" s="143">
        <v>0.58399999999999996</v>
      </c>
      <c r="O61" s="143">
        <v>1.1396189301632154</v>
      </c>
      <c r="P61" s="143">
        <v>1.242</v>
      </c>
      <c r="Q61" s="143">
        <v>1.7519999999999998</v>
      </c>
      <c r="R61" s="143">
        <v>0.37987297672107179</v>
      </c>
      <c r="S61" s="136" t="s">
        <v>106</v>
      </c>
      <c r="T61" s="136" t="s">
        <v>108</v>
      </c>
      <c r="U61" s="136" t="s">
        <v>113</v>
      </c>
      <c r="V61" s="136"/>
      <c r="W61" s="136" t="s">
        <v>387</v>
      </c>
      <c r="X61" s="137">
        <v>8.3035555555555571E-2</v>
      </c>
      <c r="Y61" s="137">
        <v>1.2455333333333336</v>
      </c>
      <c r="Z61" s="137">
        <v>15</v>
      </c>
      <c r="AA61" s="146" t="s">
        <v>664</v>
      </c>
      <c r="AB61" s="9" t="s">
        <v>270</v>
      </c>
      <c r="AC61" s="138"/>
    </row>
    <row r="62" spans="1:29" ht="24" x14ac:dyDescent="0.3">
      <c r="A62" s="3" t="e">
        <f>VLOOKUP(E62,'[1]Listas Desplegables'!$H$3:$J$7,2,FALSE)</f>
        <v>#N/A</v>
      </c>
      <c r="B62" s="3" t="e">
        <f>VLOOKUP(E62,'[1]Listas Desplegables'!$H$3:$J$7,3,FALSE)</f>
        <v>#N/A</v>
      </c>
      <c r="C62" s="8">
        <v>57</v>
      </c>
      <c r="D62" s="136" t="s">
        <v>420</v>
      </c>
      <c r="E62" s="136" t="s">
        <v>421</v>
      </c>
      <c r="F62" s="136" t="s">
        <v>422</v>
      </c>
      <c r="G62" s="136">
        <v>34.5</v>
      </c>
      <c r="H62" s="136">
        <v>8.4</v>
      </c>
      <c r="I62" s="136">
        <v>275</v>
      </c>
      <c r="J62" s="136">
        <v>275</v>
      </c>
      <c r="K62" s="136">
        <v>275</v>
      </c>
      <c r="L62" s="136" t="s">
        <v>276</v>
      </c>
      <c r="M62" s="143">
        <v>0.41399999999999998</v>
      </c>
      <c r="N62" s="143">
        <v>0.58399999999999996</v>
      </c>
      <c r="O62" s="143">
        <v>1.1396189301632154</v>
      </c>
      <c r="P62" s="143">
        <v>1.242</v>
      </c>
      <c r="Q62" s="143">
        <v>1.7519999999999998</v>
      </c>
      <c r="R62" s="143">
        <v>0.37987297672107179</v>
      </c>
      <c r="S62" s="136" t="s">
        <v>106</v>
      </c>
      <c r="T62" s="136" t="s">
        <v>108</v>
      </c>
      <c r="U62" s="136" t="s">
        <v>113</v>
      </c>
      <c r="V62" s="136"/>
      <c r="W62" s="136" t="s">
        <v>387</v>
      </c>
      <c r="X62" s="137"/>
      <c r="Y62" s="137"/>
      <c r="Z62" s="137"/>
      <c r="AA62" s="146" t="s">
        <v>664</v>
      </c>
      <c r="AB62" s="9" t="s">
        <v>270</v>
      </c>
      <c r="AC62" s="138"/>
    </row>
    <row r="63" spans="1:29" ht="24" x14ac:dyDescent="0.3">
      <c r="A63" s="3" t="e">
        <f>VLOOKUP(E63,'[1]Listas Desplegables'!$H$3:$J$7,2,FALSE)</f>
        <v>#N/A</v>
      </c>
      <c r="B63" s="3" t="e">
        <f>VLOOKUP(E63,'[1]Listas Desplegables'!$H$3:$J$7,3,FALSE)</f>
        <v>#N/A</v>
      </c>
      <c r="C63" s="7">
        <v>58</v>
      </c>
      <c r="D63" s="136" t="s">
        <v>423</v>
      </c>
      <c r="E63" s="136" t="s">
        <v>303</v>
      </c>
      <c r="F63" s="136" t="s">
        <v>424</v>
      </c>
      <c r="G63" s="136">
        <v>34.5</v>
      </c>
      <c r="H63" s="136">
        <v>9.02</v>
      </c>
      <c r="I63" s="136">
        <v>275</v>
      </c>
      <c r="J63" s="136">
        <v>275</v>
      </c>
      <c r="K63" s="136">
        <v>275</v>
      </c>
      <c r="L63" s="136" t="s">
        <v>276</v>
      </c>
      <c r="M63" s="143">
        <v>0.41399999999999998</v>
      </c>
      <c r="N63" s="143">
        <v>0.58399999999999996</v>
      </c>
      <c r="O63" s="143">
        <v>1.1396189301632154</v>
      </c>
      <c r="P63" s="143">
        <v>1.242</v>
      </c>
      <c r="Q63" s="143">
        <v>1.7519999999999998</v>
      </c>
      <c r="R63" s="143">
        <v>0.37987297672107179</v>
      </c>
      <c r="S63" s="136" t="s">
        <v>106</v>
      </c>
      <c r="T63" s="136" t="s">
        <v>108</v>
      </c>
      <c r="U63" s="136" t="s">
        <v>113</v>
      </c>
      <c r="V63" s="136"/>
      <c r="W63" s="136" t="s">
        <v>387</v>
      </c>
      <c r="X63" s="137"/>
      <c r="Y63" s="137"/>
      <c r="Z63" s="137"/>
      <c r="AA63" s="146" t="s">
        <v>664</v>
      </c>
      <c r="AB63" s="9" t="s">
        <v>270</v>
      </c>
      <c r="AC63" s="138"/>
    </row>
    <row r="64" spans="1:29" ht="24" x14ac:dyDescent="0.3">
      <c r="A64" s="3" t="e">
        <f>VLOOKUP(E64,'[1]Listas Desplegables'!$H$3:$J$7,2,FALSE)</f>
        <v>#N/A</v>
      </c>
      <c r="B64" s="3" t="e">
        <f>VLOOKUP(E64,'[1]Listas Desplegables'!$H$3:$J$7,3,FALSE)</f>
        <v>#N/A</v>
      </c>
      <c r="C64" s="8">
        <v>59</v>
      </c>
      <c r="D64" s="136" t="s">
        <v>425</v>
      </c>
      <c r="E64" s="136" t="s">
        <v>303</v>
      </c>
      <c r="F64" s="136" t="s">
        <v>426</v>
      </c>
      <c r="G64" s="136">
        <v>34.5</v>
      </c>
      <c r="H64" s="136">
        <v>21.2</v>
      </c>
      <c r="I64" s="136">
        <v>355</v>
      </c>
      <c r="J64" s="136">
        <v>355</v>
      </c>
      <c r="K64" s="136">
        <v>355</v>
      </c>
      <c r="L64" s="136" t="s">
        <v>276</v>
      </c>
      <c r="M64" s="136">
        <v>0.26</v>
      </c>
      <c r="N64" s="136">
        <v>0.39600000000000002</v>
      </c>
      <c r="O64" s="142">
        <v>1.7645800655924713</v>
      </c>
      <c r="P64" s="136">
        <v>0.78</v>
      </c>
      <c r="Q64" s="136">
        <v>1.1880000000000002</v>
      </c>
      <c r="R64" s="142">
        <v>0.58819335519749039</v>
      </c>
      <c r="S64" s="136" t="s">
        <v>106</v>
      </c>
      <c r="T64" s="136" t="s">
        <v>108</v>
      </c>
      <c r="U64" s="136" t="s">
        <v>113</v>
      </c>
      <c r="V64" s="136"/>
      <c r="W64" s="136" t="s">
        <v>327</v>
      </c>
      <c r="X64" s="137">
        <v>8.3035555555555571E-2</v>
      </c>
      <c r="Y64" s="137">
        <v>1.2455333333333336</v>
      </c>
      <c r="Z64" s="137">
        <v>15</v>
      </c>
      <c r="AA64" s="146" t="s">
        <v>664</v>
      </c>
      <c r="AB64" s="9" t="s">
        <v>270</v>
      </c>
      <c r="AC64" s="138"/>
    </row>
    <row r="65" spans="1:29" ht="24" x14ac:dyDescent="0.3">
      <c r="A65" s="3" t="e">
        <f>VLOOKUP(E65,'[1]Listas Desplegables'!$H$3:$J$7,2,FALSE)</f>
        <v>#N/A</v>
      </c>
      <c r="B65" s="3" t="e">
        <f>VLOOKUP(E65,'[1]Listas Desplegables'!$H$3:$J$7,3,FALSE)</f>
        <v>#N/A</v>
      </c>
      <c r="C65" s="8">
        <v>60</v>
      </c>
      <c r="D65" s="136" t="s">
        <v>427</v>
      </c>
      <c r="E65" s="136" t="s">
        <v>426</v>
      </c>
      <c r="F65" s="136" t="s">
        <v>428</v>
      </c>
      <c r="G65" s="136">
        <v>34.5</v>
      </c>
      <c r="H65" s="136">
        <v>8.3000000000000007</v>
      </c>
      <c r="I65" s="136">
        <v>275</v>
      </c>
      <c r="J65" s="136">
        <v>275</v>
      </c>
      <c r="K65" s="136">
        <v>275</v>
      </c>
      <c r="L65" s="136" t="s">
        <v>276</v>
      </c>
      <c r="M65" s="143">
        <v>0.41399999999999998</v>
      </c>
      <c r="N65" s="143">
        <v>0.58399999999999996</v>
      </c>
      <c r="O65" s="143">
        <v>1.1396189301632154</v>
      </c>
      <c r="P65" s="143">
        <v>1.242</v>
      </c>
      <c r="Q65" s="143">
        <v>1.7519999999999998</v>
      </c>
      <c r="R65" s="143">
        <v>0.37987297672107179</v>
      </c>
      <c r="S65" s="136" t="s">
        <v>106</v>
      </c>
      <c r="T65" s="136" t="s">
        <v>108</v>
      </c>
      <c r="U65" s="136" t="s">
        <v>113</v>
      </c>
      <c r="V65" s="136"/>
      <c r="W65" s="136" t="s">
        <v>387</v>
      </c>
      <c r="X65" s="137">
        <v>8.3035555555555571E-2</v>
      </c>
      <c r="Y65" s="137">
        <v>1.2455333333333336</v>
      </c>
      <c r="Z65" s="137">
        <v>15</v>
      </c>
      <c r="AA65" s="146" t="s">
        <v>664</v>
      </c>
      <c r="AB65" s="9" t="s">
        <v>270</v>
      </c>
      <c r="AC65" s="138"/>
    </row>
    <row r="66" spans="1:29" ht="24" x14ac:dyDescent="0.3">
      <c r="A66" s="3" t="e">
        <f>VLOOKUP(E66,'[1]Listas Desplegables'!$H$3:$J$7,2,FALSE)</f>
        <v>#N/A</v>
      </c>
      <c r="B66" s="3" t="e">
        <f>VLOOKUP(E66,'[1]Listas Desplegables'!$H$3:$J$7,3,FALSE)</f>
        <v>#N/A</v>
      </c>
      <c r="C66" s="8">
        <v>61</v>
      </c>
      <c r="D66" s="136" t="s">
        <v>429</v>
      </c>
      <c r="E66" s="136" t="s">
        <v>303</v>
      </c>
      <c r="F66" s="136" t="s">
        <v>430</v>
      </c>
      <c r="G66" s="136">
        <v>34.5</v>
      </c>
      <c r="H66" s="136">
        <v>9.6</v>
      </c>
      <c r="I66" s="136">
        <v>275</v>
      </c>
      <c r="J66" s="136">
        <v>275</v>
      </c>
      <c r="K66" s="136">
        <v>275</v>
      </c>
      <c r="L66" s="136" t="s">
        <v>276</v>
      </c>
      <c r="M66" s="143">
        <v>0.41399999999999998</v>
      </c>
      <c r="N66" s="143">
        <v>0.58399999999999996</v>
      </c>
      <c r="O66" s="143">
        <v>1.1396189301632154</v>
      </c>
      <c r="P66" s="143">
        <v>1.242</v>
      </c>
      <c r="Q66" s="143">
        <v>1.7519999999999998</v>
      </c>
      <c r="R66" s="143">
        <v>0.37987297672107179</v>
      </c>
      <c r="S66" s="136" t="s">
        <v>106</v>
      </c>
      <c r="T66" s="136" t="s">
        <v>108</v>
      </c>
      <c r="U66" s="136" t="s">
        <v>113</v>
      </c>
      <c r="V66" s="136"/>
      <c r="W66" s="136" t="s">
        <v>387</v>
      </c>
      <c r="X66" s="137">
        <v>2.0068333333333341E-2</v>
      </c>
      <c r="Y66" s="137">
        <v>0.40136666666666682</v>
      </c>
      <c r="Z66" s="137">
        <v>20</v>
      </c>
      <c r="AA66" s="146" t="s">
        <v>664</v>
      </c>
      <c r="AB66" s="9" t="s">
        <v>270</v>
      </c>
      <c r="AC66" s="138"/>
    </row>
    <row r="67" spans="1:29" ht="24" x14ac:dyDescent="0.3">
      <c r="A67" s="3" t="e">
        <f>VLOOKUP(E67,'[1]Listas Desplegables'!$H$3:$J$7,2,FALSE)</f>
        <v>#N/A</v>
      </c>
      <c r="B67" s="3" t="e">
        <f>VLOOKUP(E67,'[1]Listas Desplegables'!$H$3:$J$7,3,FALSE)</f>
        <v>#N/A</v>
      </c>
      <c r="C67" s="7">
        <v>62</v>
      </c>
      <c r="D67" s="136" t="s">
        <v>431</v>
      </c>
      <c r="E67" s="136" t="s">
        <v>432</v>
      </c>
      <c r="F67" s="136" t="s">
        <v>433</v>
      </c>
      <c r="G67" s="136">
        <v>34.5</v>
      </c>
      <c r="H67" s="136">
        <v>8.2799999999999994</v>
      </c>
      <c r="I67" s="136">
        <v>275</v>
      </c>
      <c r="J67" s="136">
        <v>275</v>
      </c>
      <c r="K67" s="136">
        <v>275</v>
      </c>
      <c r="L67" s="136" t="s">
        <v>276</v>
      </c>
      <c r="M67" s="143">
        <v>0.41399999999999998</v>
      </c>
      <c r="N67" s="143">
        <v>0.58399999999999996</v>
      </c>
      <c r="O67" s="143">
        <v>1.1396189301632154</v>
      </c>
      <c r="P67" s="143">
        <v>1.242</v>
      </c>
      <c r="Q67" s="143">
        <v>1.7519999999999998</v>
      </c>
      <c r="R67" s="143">
        <v>0.37987297672107179</v>
      </c>
      <c r="S67" s="136" t="s">
        <v>106</v>
      </c>
      <c r="T67" s="136" t="s">
        <v>108</v>
      </c>
      <c r="U67" s="136" t="s">
        <v>113</v>
      </c>
      <c r="V67" s="136"/>
      <c r="W67" s="136" t="s">
        <v>387</v>
      </c>
      <c r="X67" s="137">
        <v>0.20344666666666669</v>
      </c>
      <c r="Y67" s="137">
        <v>2.0344666666666669</v>
      </c>
      <c r="Z67" s="137">
        <v>10</v>
      </c>
      <c r="AA67" s="146" t="s">
        <v>664</v>
      </c>
      <c r="AB67" s="9" t="s">
        <v>270</v>
      </c>
      <c r="AC67" s="138"/>
    </row>
    <row r="68" spans="1:29" ht="24" x14ac:dyDescent="0.3">
      <c r="A68" s="3" t="e">
        <f>VLOOKUP(E68,'[1]Listas Desplegables'!$H$3:$J$7,2,FALSE)</f>
        <v>#N/A</v>
      </c>
      <c r="B68" s="3" t="e">
        <f>VLOOKUP(E68,'[1]Listas Desplegables'!$H$3:$J$7,3,FALSE)</f>
        <v>#N/A</v>
      </c>
      <c r="C68" s="8">
        <v>63</v>
      </c>
      <c r="D68" s="136" t="s">
        <v>434</v>
      </c>
      <c r="E68" s="136" t="s">
        <v>435</v>
      </c>
      <c r="F68" s="136" t="s">
        <v>436</v>
      </c>
      <c r="G68" s="136">
        <v>34.5</v>
      </c>
      <c r="H68" s="136">
        <v>6.74</v>
      </c>
      <c r="I68" s="136">
        <v>355</v>
      </c>
      <c r="J68" s="136">
        <v>355</v>
      </c>
      <c r="K68" s="136">
        <v>355</v>
      </c>
      <c r="L68" s="136" t="s">
        <v>276</v>
      </c>
      <c r="M68" s="136">
        <v>0.26</v>
      </c>
      <c r="N68" s="136">
        <v>0.39600000000000002</v>
      </c>
      <c r="O68" s="142">
        <v>1.7645800655924713</v>
      </c>
      <c r="P68" s="136">
        <v>0.78</v>
      </c>
      <c r="Q68" s="136">
        <v>1.1880000000000002</v>
      </c>
      <c r="R68" s="142">
        <v>0.58819335519749039</v>
      </c>
      <c r="S68" s="136" t="s">
        <v>106</v>
      </c>
      <c r="T68" s="136" t="s">
        <v>108</v>
      </c>
      <c r="U68" s="136" t="s">
        <v>113</v>
      </c>
      <c r="V68" s="136"/>
      <c r="W68" s="136" t="s">
        <v>327</v>
      </c>
      <c r="X68" s="137">
        <v>0.20344666666666669</v>
      </c>
      <c r="Y68" s="137">
        <v>2.0344666666666669</v>
      </c>
      <c r="Z68" s="137">
        <v>10</v>
      </c>
      <c r="AA68" s="146" t="s">
        <v>664</v>
      </c>
      <c r="AB68" s="9" t="s">
        <v>270</v>
      </c>
      <c r="AC68" s="138"/>
    </row>
    <row r="69" spans="1:29" ht="24" x14ac:dyDescent="0.3">
      <c r="A69" s="3" t="e">
        <f>VLOOKUP(E69,'[1]Listas Desplegables'!$H$3:$J$7,2,FALSE)</f>
        <v>#N/A</v>
      </c>
      <c r="B69" s="3" t="e">
        <f>VLOOKUP(E69,'[1]Listas Desplegables'!$H$3:$J$7,3,FALSE)</f>
        <v>#N/A</v>
      </c>
      <c r="C69" s="8">
        <v>64</v>
      </c>
      <c r="D69" s="136" t="s">
        <v>437</v>
      </c>
      <c r="E69" s="136" t="s">
        <v>438</v>
      </c>
      <c r="F69" s="136" t="s">
        <v>439</v>
      </c>
      <c r="G69" s="136">
        <v>34.5</v>
      </c>
      <c r="H69" s="136">
        <v>3.9</v>
      </c>
      <c r="I69" s="136">
        <v>241</v>
      </c>
      <c r="J69" s="136">
        <v>241</v>
      </c>
      <c r="K69" s="136">
        <v>241</v>
      </c>
      <c r="L69" s="136" t="s">
        <v>276</v>
      </c>
      <c r="M69" s="136">
        <v>0.52200000000000002</v>
      </c>
      <c r="N69" s="136">
        <v>0.71699999999999997</v>
      </c>
      <c r="O69" s="143">
        <v>0.91154921412252898</v>
      </c>
      <c r="P69" s="143">
        <v>1.5660000000000001</v>
      </c>
      <c r="Q69" s="143">
        <v>2.1509999999999998</v>
      </c>
      <c r="R69" s="143">
        <v>0.30384973804084298</v>
      </c>
      <c r="S69" s="136" t="s">
        <v>106</v>
      </c>
      <c r="T69" s="136" t="s">
        <v>108</v>
      </c>
      <c r="U69" s="136" t="s">
        <v>113</v>
      </c>
      <c r="V69" s="136"/>
      <c r="W69" s="136" t="s">
        <v>440</v>
      </c>
      <c r="X69" s="137">
        <v>0.21044666666666667</v>
      </c>
      <c r="Y69" s="137">
        <v>2.1044666666666667</v>
      </c>
      <c r="Z69" s="137">
        <v>10</v>
      </c>
      <c r="AA69" s="146" t="s">
        <v>664</v>
      </c>
      <c r="AB69" s="9" t="s">
        <v>270</v>
      </c>
      <c r="AC69" s="138"/>
    </row>
    <row r="70" spans="1:29" ht="24" x14ac:dyDescent="0.3">
      <c r="A70" s="3" t="e">
        <f>VLOOKUP(E70,'[1]Listas Desplegables'!$H$3:$J$7,2,FALSE)</f>
        <v>#N/A</v>
      </c>
      <c r="B70" s="3" t="e">
        <f>VLOOKUP(E70,'[1]Listas Desplegables'!$H$3:$J$7,3,FALSE)</f>
        <v>#N/A</v>
      </c>
      <c r="C70" s="8">
        <v>65</v>
      </c>
      <c r="D70" s="136" t="s">
        <v>441</v>
      </c>
      <c r="E70" s="136" t="s">
        <v>442</v>
      </c>
      <c r="F70" s="136" t="s">
        <v>443</v>
      </c>
      <c r="G70" s="136">
        <v>34.5</v>
      </c>
      <c r="H70" s="136">
        <v>5.69</v>
      </c>
      <c r="I70" s="136">
        <v>241</v>
      </c>
      <c r="J70" s="136">
        <v>241</v>
      </c>
      <c r="K70" s="136">
        <v>241</v>
      </c>
      <c r="L70" s="136" t="s">
        <v>276</v>
      </c>
      <c r="M70" s="136">
        <v>0.52200000000000002</v>
      </c>
      <c r="N70" s="136">
        <v>0.71699999999999997</v>
      </c>
      <c r="O70" s="143">
        <v>0.91154921412252898</v>
      </c>
      <c r="P70" s="143">
        <v>1.5660000000000001</v>
      </c>
      <c r="Q70" s="143">
        <v>2.1509999999999998</v>
      </c>
      <c r="R70" s="143">
        <v>0.30384973804084298</v>
      </c>
      <c r="S70" s="136" t="s">
        <v>106</v>
      </c>
      <c r="T70" s="136" t="s">
        <v>108</v>
      </c>
      <c r="U70" s="136" t="s">
        <v>113</v>
      </c>
      <c r="V70" s="136"/>
      <c r="W70" s="136" t="s">
        <v>440</v>
      </c>
      <c r="X70" s="137">
        <v>0.21044666666666667</v>
      </c>
      <c r="Y70" s="137">
        <v>2.1044666666666667</v>
      </c>
      <c r="Z70" s="137">
        <v>10</v>
      </c>
      <c r="AA70" s="146" t="s">
        <v>664</v>
      </c>
      <c r="AB70" s="9" t="s">
        <v>270</v>
      </c>
      <c r="AC70" s="138"/>
    </row>
    <row r="71" spans="1:29" ht="24" x14ac:dyDescent="0.3">
      <c r="A71" s="3" t="e">
        <f>VLOOKUP(E71,'[1]Listas Desplegables'!$H$3:$J$7,2,FALSE)</f>
        <v>#N/A</v>
      </c>
      <c r="B71" s="3" t="e">
        <f>VLOOKUP(E71,'[1]Listas Desplegables'!$H$3:$J$7,3,FALSE)</f>
        <v>#N/A</v>
      </c>
      <c r="C71" s="7">
        <v>66</v>
      </c>
      <c r="D71" s="136" t="s">
        <v>444</v>
      </c>
      <c r="E71" s="136" t="s">
        <v>428</v>
      </c>
      <c r="F71" s="136" t="s">
        <v>442</v>
      </c>
      <c r="G71" s="136">
        <v>34.5</v>
      </c>
      <c r="H71" s="136">
        <v>2.68</v>
      </c>
      <c r="I71" s="136">
        <v>241</v>
      </c>
      <c r="J71" s="136">
        <v>241</v>
      </c>
      <c r="K71" s="136">
        <v>241</v>
      </c>
      <c r="L71" s="136" t="s">
        <v>276</v>
      </c>
      <c r="M71" s="136">
        <v>0.52200000000000002</v>
      </c>
      <c r="N71" s="136">
        <v>0.71699999999999997</v>
      </c>
      <c r="O71" s="143">
        <v>0.91154921412252898</v>
      </c>
      <c r="P71" s="143">
        <v>1.5660000000000001</v>
      </c>
      <c r="Q71" s="143">
        <v>2.1509999999999998</v>
      </c>
      <c r="R71" s="143">
        <v>0.30384973804084298</v>
      </c>
      <c r="S71" s="136" t="s">
        <v>106</v>
      </c>
      <c r="T71" s="136" t="s">
        <v>108</v>
      </c>
      <c r="U71" s="136" t="s">
        <v>113</v>
      </c>
      <c r="V71" s="136"/>
      <c r="W71" s="136" t="s">
        <v>440</v>
      </c>
      <c r="X71" s="137"/>
      <c r="Y71" s="137"/>
      <c r="Z71" s="137"/>
      <c r="AA71" s="146" t="s">
        <v>664</v>
      </c>
      <c r="AB71" s="9" t="s">
        <v>270</v>
      </c>
      <c r="AC71" s="138"/>
    </row>
    <row r="72" spans="1:29" ht="24" x14ac:dyDescent="0.3">
      <c r="A72" s="3" t="e">
        <f>VLOOKUP(E72,'[1]Listas Desplegables'!$H$3:$J$7,2,FALSE)</f>
        <v>#N/A</v>
      </c>
      <c r="B72" s="3" t="e">
        <f>VLOOKUP(E72,'[1]Listas Desplegables'!$H$3:$J$7,3,FALSE)</f>
        <v>#N/A</v>
      </c>
      <c r="C72" s="8">
        <v>67</v>
      </c>
      <c r="D72" s="136" t="s">
        <v>445</v>
      </c>
      <c r="E72" s="136" t="s">
        <v>419</v>
      </c>
      <c r="F72" s="136" t="s">
        <v>438</v>
      </c>
      <c r="G72" s="136">
        <v>34.5</v>
      </c>
      <c r="H72" s="136">
        <v>6.4</v>
      </c>
      <c r="I72" s="136">
        <v>275</v>
      </c>
      <c r="J72" s="136">
        <v>275</v>
      </c>
      <c r="K72" s="136">
        <v>275</v>
      </c>
      <c r="L72" s="136" t="s">
        <v>276</v>
      </c>
      <c r="M72" s="143">
        <v>0.41399999999999998</v>
      </c>
      <c r="N72" s="143">
        <v>0.58399999999999996</v>
      </c>
      <c r="O72" s="143">
        <v>1.1396189301632154</v>
      </c>
      <c r="P72" s="143">
        <v>1.242</v>
      </c>
      <c r="Q72" s="143">
        <v>1.7519999999999998</v>
      </c>
      <c r="R72" s="143">
        <v>0.37987297672107179</v>
      </c>
      <c r="S72" s="136" t="s">
        <v>106</v>
      </c>
      <c r="T72" s="136" t="s">
        <v>108</v>
      </c>
      <c r="U72" s="136" t="s">
        <v>113</v>
      </c>
      <c r="V72" s="136"/>
      <c r="W72" s="136" t="s">
        <v>387</v>
      </c>
      <c r="X72" s="137"/>
      <c r="Y72" s="137"/>
      <c r="Z72" s="137"/>
      <c r="AA72" s="146" t="s">
        <v>664</v>
      </c>
      <c r="AB72" s="9" t="s">
        <v>270</v>
      </c>
      <c r="AC72" s="138"/>
    </row>
    <row r="73" spans="1:29" ht="24" x14ac:dyDescent="0.3">
      <c r="A73" s="3" t="e">
        <f>VLOOKUP(E73,'[1]Listas Desplegables'!$H$3:$J$7,2,FALSE)</f>
        <v>#N/A</v>
      </c>
      <c r="B73" s="3" t="e">
        <f>VLOOKUP(E73,'[1]Listas Desplegables'!$H$3:$J$7,3,FALSE)</f>
        <v>#N/A</v>
      </c>
      <c r="C73" s="8">
        <v>68</v>
      </c>
      <c r="D73" s="136" t="s">
        <v>446</v>
      </c>
      <c r="E73" s="136" t="s">
        <v>447</v>
      </c>
      <c r="F73" s="136" t="s">
        <v>448</v>
      </c>
      <c r="G73" s="136">
        <v>34.5</v>
      </c>
      <c r="H73" s="136">
        <v>11.5</v>
      </c>
      <c r="I73" s="136">
        <v>275</v>
      </c>
      <c r="J73" s="136">
        <v>275</v>
      </c>
      <c r="K73" s="136">
        <v>275</v>
      </c>
      <c r="L73" s="136" t="s">
        <v>276</v>
      </c>
      <c r="M73" s="143">
        <v>0.41399999999999998</v>
      </c>
      <c r="N73" s="143">
        <v>0.58399999999999996</v>
      </c>
      <c r="O73" s="143">
        <v>1.1396189301632154</v>
      </c>
      <c r="P73" s="143">
        <v>1.242</v>
      </c>
      <c r="Q73" s="143">
        <v>1.7519999999999998</v>
      </c>
      <c r="R73" s="143">
        <v>0.37987297672107179</v>
      </c>
      <c r="S73" s="136" t="s">
        <v>106</v>
      </c>
      <c r="T73" s="136" t="s">
        <v>108</v>
      </c>
      <c r="U73" s="136" t="s">
        <v>113</v>
      </c>
      <c r="V73" s="136"/>
      <c r="W73" s="136" t="s">
        <v>387</v>
      </c>
      <c r="X73" s="137"/>
      <c r="Y73" s="137"/>
      <c r="Z73" s="137"/>
      <c r="AA73" s="146" t="s">
        <v>664</v>
      </c>
      <c r="AB73" s="9" t="s">
        <v>270</v>
      </c>
      <c r="AC73" s="138"/>
    </row>
    <row r="74" spans="1:29" ht="24" x14ac:dyDescent="0.3">
      <c r="A74" s="3" t="e">
        <f>VLOOKUP(E74,'[1]Listas Desplegables'!$H$3:$J$7,2,FALSE)</f>
        <v>#N/A</v>
      </c>
      <c r="B74" s="3" t="e">
        <f>VLOOKUP(E74,'[1]Listas Desplegables'!$H$3:$J$7,3,FALSE)</f>
        <v>#N/A</v>
      </c>
      <c r="C74" s="8">
        <v>69</v>
      </c>
      <c r="D74" s="136" t="s">
        <v>449</v>
      </c>
      <c r="E74" s="136" t="s">
        <v>392</v>
      </c>
      <c r="F74" s="136" t="s">
        <v>450</v>
      </c>
      <c r="G74" s="136">
        <v>34.5</v>
      </c>
      <c r="H74" s="136">
        <v>0.25</v>
      </c>
      <c r="I74" s="136">
        <v>275</v>
      </c>
      <c r="J74" s="136">
        <v>275</v>
      </c>
      <c r="K74" s="136">
        <v>275</v>
      </c>
      <c r="L74" s="136" t="s">
        <v>276</v>
      </c>
      <c r="M74" s="143">
        <v>0.41399999999999998</v>
      </c>
      <c r="N74" s="143">
        <v>0.58399999999999996</v>
      </c>
      <c r="O74" s="143">
        <v>1.1396189301632154</v>
      </c>
      <c r="P74" s="143">
        <v>1.242</v>
      </c>
      <c r="Q74" s="143">
        <v>1.7519999999999998</v>
      </c>
      <c r="R74" s="143">
        <v>0.37987297672107179</v>
      </c>
      <c r="S74" s="136" t="s">
        <v>106</v>
      </c>
      <c r="T74" s="136" t="s">
        <v>108</v>
      </c>
      <c r="U74" s="136" t="s">
        <v>113</v>
      </c>
      <c r="V74" s="136"/>
      <c r="W74" s="136" t="s">
        <v>387</v>
      </c>
      <c r="X74" s="137">
        <v>6.8334523809523803E-2</v>
      </c>
      <c r="Y74" s="137">
        <v>1.9133666666666667</v>
      </c>
      <c r="Z74" s="137">
        <v>28</v>
      </c>
      <c r="AA74" s="146" t="s">
        <v>664</v>
      </c>
      <c r="AB74" s="9" t="s">
        <v>270</v>
      </c>
      <c r="AC74" s="138"/>
    </row>
    <row r="75" spans="1:29" ht="24" x14ac:dyDescent="0.3">
      <c r="A75" s="3" t="e">
        <f>VLOOKUP(E75,'[1]Listas Desplegables'!$H$3:$J$7,2,FALSE)</f>
        <v>#N/A</v>
      </c>
      <c r="B75" s="3" t="e">
        <f>VLOOKUP(E75,'[1]Listas Desplegables'!$H$3:$J$7,3,FALSE)</f>
        <v>#N/A</v>
      </c>
      <c r="C75" s="7">
        <v>70</v>
      </c>
      <c r="D75" s="136" t="s">
        <v>451</v>
      </c>
      <c r="E75" s="136" t="s">
        <v>452</v>
      </c>
      <c r="F75" s="136" t="s">
        <v>453</v>
      </c>
      <c r="G75" s="136">
        <v>34.5</v>
      </c>
      <c r="H75" s="136">
        <v>12</v>
      </c>
      <c r="I75" s="136">
        <v>275</v>
      </c>
      <c r="J75" s="136">
        <v>275</v>
      </c>
      <c r="K75" s="136">
        <v>275</v>
      </c>
      <c r="L75" s="136" t="s">
        <v>276</v>
      </c>
      <c r="M75" s="143">
        <v>0.41399999999999998</v>
      </c>
      <c r="N75" s="143">
        <v>0.58399999999999996</v>
      </c>
      <c r="O75" s="143">
        <v>1.1396189301632154</v>
      </c>
      <c r="P75" s="143">
        <v>1.242</v>
      </c>
      <c r="Q75" s="143">
        <v>1.7519999999999998</v>
      </c>
      <c r="R75" s="143">
        <v>0.37987297672107179</v>
      </c>
      <c r="S75" s="136" t="s">
        <v>106</v>
      </c>
      <c r="T75" s="136" t="s">
        <v>108</v>
      </c>
      <c r="U75" s="136" t="s">
        <v>113</v>
      </c>
      <c r="V75" s="136"/>
      <c r="W75" s="136" t="s">
        <v>387</v>
      </c>
      <c r="X75" s="137">
        <v>0.15924749999999999</v>
      </c>
      <c r="Y75" s="137">
        <v>3.1849499999999997</v>
      </c>
      <c r="Z75" s="137">
        <v>20</v>
      </c>
      <c r="AA75" s="146" t="s">
        <v>664</v>
      </c>
      <c r="AB75" s="9" t="s">
        <v>270</v>
      </c>
      <c r="AC75" s="138"/>
    </row>
    <row r="76" spans="1:29" ht="24" x14ac:dyDescent="0.3">
      <c r="A76" s="3" t="e">
        <f>VLOOKUP(E76,'[1]Listas Desplegables'!$H$3:$J$7,2,FALSE)</f>
        <v>#N/A</v>
      </c>
      <c r="B76" s="3" t="e">
        <f>VLOOKUP(E76,'[1]Listas Desplegables'!$H$3:$J$7,3,FALSE)</f>
        <v>#N/A</v>
      </c>
      <c r="C76" s="8">
        <v>71</v>
      </c>
      <c r="D76" s="136" t="s">
        <v>454</v>
      </c>
      <c r="E76" s="136" t="s">
        <v>455</v>
      </c>
      <c r="F76" s="136" t="s">
        <v>392</v>
      </c>
      <c r="G76" s="136">
        <v>34.5</v>
      </c>
      <c r="H76" s="136">
        <v>11.8</v>
      </c>
      <c r="I76" s="136">
        <v>275</v>
      </c>
      <c r="J76" s="136">
        <v>275</v>
      </c>
      <c r="K76" s="136">
        <v>275</v>
      </c>
      <c r="L76" s="136" t="s">
        <v>276</v>
      </c>
      <c r="M76" s="143">
        <v>0.41399999999999998</v>
      </c>
      <c r="N76" s="143">
        <v>0.58399999999999996</v>
      </c>
      <c r="O76" s="143">
        <v>1.1396189301632154</v>
      </c>
      <c r="P76" s="143">
        <v>1.242</v>
      </c>
      <c r="Q76" s="143">
        <v>1.7519999999999998</v>
      </c>
      <c r="R76" s="143">
        <v>0.37987297672107179</v>
      </c>
      <c r="S76" s="136" t="s">
        <v>106</v>
      </c>
      <c r="T76" s="136" t="s">
        <v>108</v>
      </c>
      <c r="U76" s="136" t="s">
        <v>113</v>
      </c>
      <c r="V76" s="136"/>
      <c r="W76" s="136" t="s">
        <v>387</v>
      </c>
      <c r="X76" s="137">
        <v>0.15924749999999999</v>
      </c>
      <c r="Y76" s="137">
        <v>3.1849499999999997</v>
      </c>
      <c r="Z76" s="137">
        <v>20</v>
      </c>
      <c r="AA76" s="146" t="s">
        <v>664</v>
      </c>
      <c r="AB76" s="9" t="s">
        <v>270</v>
      </c>
      <c r="AC76" s="138"/>
    </row>
    <row r="77" spans="1:29" ht="24" x14ac:dyDescent="0.3">
      <c r="A77" s="3" t="e">
        <f>VLOOKUP(E77,'[1]Listas Desplegables'!$H$3:$J$7,2,FALSE)</f>
        <v>#N/A</v>
      </c>
      <c r="B77" s="3" t="e">
        <f>VLOOKUP(E77,'[1]Listas Desplegables'!$H$3:$J$7,3,FALSE)</f>
        <v>#N/A</v>
      </c>
      <c r="C77" s="8">
        <v>72</v>
      </c>
      <c r="D77" s="136" t="s">
        <v>456</v>
      </c>
      <c r="E77" s="136" t="s">
        <v>457</v>
      </c>
      <c r="F77" s="136" t="s">
        <v>458</v>
      </c>
      <c r="G77" s="136">
        <v>34.5</v>
      </c>
      <c r="H77" s="136">
        <v>23.19</v>
      </c>
      <c r="I77" s="136">
        <v>275</v>
      </c>
      <c r="J77" s="136">
        <v>275</v>
      </c>
      <c r="K77" s="136">
        <v>275</v>
      </c>
      <c r="L77" s="136" t="s">
        <v>276</v>
      </c>
      <c r="M77" s="143">
        <v>0.41399999999999998</v>
      </c>
      <c r="N77" s="143">
        <v>0.58399999999999996</v>
      </c>
      <c r="O77" s="143">
        <v>1.1396189301632154</v>
      </c>
      <c r="P77" s="143">
        <v>1.242</v>
      </c>
      <c r="Q77" s="143">
        <v>1.7519999999999998</v>
      </c>
      <c r="R77" s="143">
        <v>0.37987297672107179</v>
      </c>
      <c r="S77" s="136" t="s">
        <v>106</v>
      </c>
      <c r="T77" s="136" t="s">
        <v>108</v>
      </c>
      <c r="U77" s="136" t="s">
        <v>113</v>
      </c>
      <c r="V77" s="136"/>
      <c r="W77" s="136" t="s">
        <v>387</v>
      </c>
      <c r="X77" s="137">
        <v>0.10828908934707902</v>
      </c>
      <c r="Y77" s="137">
        <v>21.008083333333332</v>
      </c>
      <c r="Z77" s="137">
        <v>194</v>
      </c>
      <c r="AA77" s="146" t="s">
        <v>664</v>
      </c>
      <c r="AB77" s="9" t="s">
        <v>270</v>
      </c>
      <c r="AC77" s="138"/>
    </row>
    <row r="78" spans="1:29" ht="24" x14ac:dyDescent="0.3">
      <c r="A78" s="3" t="e">
        <f>VLOOKUP(E78,'[1]Listas Desplegables'!$H$3:$J$7,2,FALSE)</f>
        <v>#N/A</v>
      </c>
      <c r="B78" s="3" t="e">
        <f>VLOOKUP(E78,'[1]Listas Desplegables'!$H$3:$J$7,3,FALSE)</f>
        <v>#N/A</v>
      </c>
      <c r="C78" s="8">
        <v>73</v>
      </c>
      <c r="D78" s="136" t="s">
        <v>459</v>
      </c>
      <c r="E78" s="136" t="s">
        <v>410</v>
      </c>
      <c r="F78" s="136" t="s">
        <v>460</v>
      </c>
      <c r="G78" s="136">
        <v>34.5</v>
      </c>
      <c r="H78" s="136">
        <v>11.7</v>
      </c>
      <c r="I78" s="136">
        <v>241</v>
      </c>
      <c r="J78" s="136">
        <v>241</v>
      </c>
      <c r="K78" s="136">
        <v>241</v>
      </c>
      <c r="L78" s="136" t="s">
        <v>276</v>
      </c>
      <c r="M78" s="136">
        <v>0.52200000000000002</v>
      </c>
      <c r="N78" s="136">
        <v>0.71699999999999997</v>
      </c>
      <c r="O78" s="143">
        <v>0.91154921412252898</v>
      </c>
      <c r="P78" s="143">
        <v>1.5660000000000001</v>
      </c>
      <c r="Q78" s="143">
        <v>2.1509999999999998</v>
      </c>
      <c r="R78" s="143">
        <v>0.30384973804084298</v>
      </c>
      <c r="S78" s="136" t="s">
        <v>106</v>
      </c>
      <c r="T78" s="136" t="s">
        <v>108</v>
      </c>
      <c r="U78" s="136" t="s">
        <v>113</v>
      </c>
      <c r="V78" s="136"/>
      <c r="W78" s="136" t="s">
        <v>440</v>
      </c>
      <c r="X78" s="137">
        <v>0.15924749999999999</v>
      </c>
      <c r="Y78" s="137">
        <v>3.1849499999999997</v>
      </c>
      <c r="Z78" s="137">
        <v>20</v>
      </c>
      <c r="AA78" s="146" t="s">
        <v>664</v>
      </c>
      <c r="AB78" s="9" t="s">
        <v>270</v>
      </c>
      <c r="AC78" s="138"/>
    </row>
    <row r="79" spans="1:29" ht="24" x14ac:dyDescent="0.3">
      <c r="A79" s="3" t="e">
        <f>VLOOKUP(E79,'[1]Listas Desplegables'!$H$3:$J$7,2,FALSE)</f>
        <v>#N/A</v>
      </c>
      <c r="B79" s="3" t="e">
        <f>VLOOKUP(E79,'[1]Listas Desplegables'!$H$3:$J$7,3,FALSE)</f>
        <v>#N/A</v>
      </c>
      <c r="C79" s="7">
        <v>74</v>
      </c>
      <c r="D79" s="136" t="s">
        <v>461</v>
      </c>
      <c r="E79" s="136" t="s">
        <v>410</v>
      </c>
      <c r="F79" s="136" t="s">
        <v>413</v>
      </c>
      <c r="G79" s="136">
        <v>34.5</v>
      </c>
      <c r="H79" s="136">
        <v>11</v>
      </c>
      <c r="I79" s="136">
        <v>275</v>
      </c>
      <c r="J79" s="136">
        <v>275</v>
      </c>
      <c r="K79" s="136">
        <v>275</v>
      </c>
      <c r="L79" s="136" t="s">
        <v>276</v>
      </c>
      <c r="M79" s="143">
        <v>0.41399999999999998</v>
      </c>
      <c r="N79" s="143">
        <v>0.58399999999999996</v>
      </c>
      <c r="O79" s="143">
        <v>1.1396189301632154</v>
      </c>
      <c r="P79" s="143">
        <v>1.242</v>
      </c>
      <c r="Q79" s="143">
        <v>1.7519999999999998</v>
      </c>
      <c r="R79" s="143">
        <v>0.37987297672107179</v>
      </c>
      <c r="S79" s="136" t="s">
        <v>106</v>
      </c>
      <c r="T79" s="136" t="s">
        <v>108</v>
      </c>
      <c r="U79" s="136" t="s">
        <v>113</v>
      </c>
      <c r="V79" s="136"/>
      <c r="W79" s="136" t="s">
        <v>387</v>
      </c>
      <c r="X79" s="137">
        <v>0.15924749999999999</v>
      </c>
      <c r="Y79" s="137">
        <v>3.1849499999999997</v>
      </c>
      <c r="Z79" s="137">
        <v>20</v>
      </c>
      <c r="AA79" s="146" t="s">
        <v>664</v>
      </c>
      <c r="AB79" s="9" t="s">
        <v>270</v>
      </c>
      <c r="AC79" s="138"/>
    </row>
    <row r="80" spans="1:29" ht="24" x14ac:dyDescent="0.3">
      <c r="A80" s="3" t="e">
        <f>VLOOKUP(E80,'[1]Listas Desplegables'!$H$3:$J$7,2,FALSE)</f>
        <v>#N/A</v>
      </c>
      <c r="B80" s="3" t="e">
        <f>VLOOKUP(E80,'[1]Listas Desplegables'!$H$3:$J$7,3,FALSE)</f>
        <v>#N/A</v>
      </c>
      <c r="C80" s="8">
        <v>75</v>
      </c>
      <c r="D80" s="136" t="s">
        <v>462</v>
      </c>
      <c r="E80" s="136" t="s">
        <v>460</v>
      </c>
      <c r="F80" s="136" t="s">
        <v>463</v>
      </c>
      <c r="G80" s="136">
        <v>34.5</v>
      </c>
      <c r="H80" s="136">
        <v>7.6</v>
      </c>
      <c r="I80" s="136">
        <v>241</v>
      </c>
      <c r="J80" s="136">
        <v>241</v>
      </c>
      <c r="K80" s="136">
        <v>241</v>
      </c>
      <c r="L80" s="136" t="s">
        <v>276</v>
      </c>
      <c r="M80" s="136">
        <v>0.52200000000000002</v>
      </c>
      <c r="N80" s="136">
        <v>0.71699999999999997</v>
      </c>
      <c r="O80" s="143">
        <v>0.91154921412252898</v>
      </c>
      <c r="P80" s="143">
        <v>1.5660000000000001</v>
      </c>
      <c r="Q80" s="143">
        <v>2.1509999999999998</v>
      </c>
      <c r="R80" s="143">
        <v>0.30384973804084298</v>
      </c>
      <c r="S80" s="136" t="s">
        <v>106</v>
      </c>
      <c r="T80" s="136" t="s">
        <v>108</v>
      </c>
      <c r="U80" s="136" t="s">
        <v>113</v>
      </c>
      <c r="V80" s="136"/>
      <c r="W80" s="136" t="s">
        <v>440</v>
      </c>
      <c r="X80" s="137">
        <v>4.5731250000000001E-2</v>
      </c>
      <c r="Y80" s="137">
        <v>2.1951000000000001</v>
      </c>
      <c r="Z80" s="137">
        <v>48</v>
      </c>
      <c r="AA80" s="146" t="s">
        <v>664</v>
      </c>
      <c r="AB80" s="9" t="s">
        <v>270</v>
      </c>
      <c r="AC80" s="138"/>
    </row>
    <row r="81" spans="1:29" ht="24" x14ac:dyDescent="0.3">
      <c r="A81" s="3" t="e">
        <f>VLOOKUP(E81,'[1]Listas Desplegables'!$H$3:$J$7,2,FALSE)</f>
        <v>#N/A</v>
      </c>
      <c r="B81" s="3" t="e">
        <f>VLOOKUP(E81,'[1]Listas Desplegables'!$H$3:$J$7,3,FALSE)</f>
        <v>#N/A</v>
      </c>
      <c r="C81" s="8">
        <v>76</v>
      </c>
      <c r="D81" s="136" t="s">
        <v>464</v>
      </c>
      <c r="E81" s="136" t="s">
        <v>465</v>
      </c>
      <c r="F81" s="136" t="s">
        <v>466</v>
      </c>
      <c r="G81" s="136">
        <v>34.5</v>
      </c>
      <c r="H81" s="136">
        <v>10.3</v>
      </c>
      <c r="I81" s="136">
        <v>275</v>
      </c>
      <c r="J81" s="136">
        <v>275</v>
      </c>
      <c r="K81" s="136">
        <v>275</v>
      </c>
      <c r="L81" s="136" t="s">
        <v>276</v>
      </c>
      <c r="M81" s="143">
        <v>0.41399999999999998</v>
      </c>
      <c r="N81" s="143">
        <v>0.58399999999999996</v>
      </c>
      <c r="O81" s="143">
        <v>1.1396189301632154</v>
      </c>
      <c r="P81" s="143">
        <v>1.242</v>
      </c>
      <c r="Q81" s="143">
        <v>1.7519999999999998</v>
      </c>
      <c r="R81" s="143">
        <v>0.37987297672107179</v>
      </c>
      <c r="S81" s="136" t="s">
        <v>106</v>
      </c>
      <c r="T81" s="136" t="s">
        <v>108</v>
      </c>
      <c r="U81" s="136" t="s">
        <v>113</v>
      </c>
      <c r="V81" s="136"/>
      <c r="W81" s="136" t="s">
        <v>387</v>
      </c>
      <c r="X81" s="137">
        <v>8.083333333333333E-3</v>
      </c>
      <c r="Y81" s="137">
        <v>1.6166666666666666E-2</v>
      </c>
      <c r="Z81" s="137">
        <v>2</v>
      </c>
      <c r="AA81" s="146" t="s">
        <v>664</v>
      </c>
      <c r="AB81" s="9" t="s">
        <v>270</v>
      </c>
      <c r="AC81" s="138"/>
    </row>
    <row r="82" spans="1:29" ht="24" x14ac:dyDescent="0.3">
      <c r="A82" s="3" t="e">
        <f>VLOOKUP(E82,'[1]Listas Desplegables'!$H$3:$J$7,2,FALSE)</f>
        <v>#N/A</v>
      </c>
      <c r="B82" s="3" t="e">
        <f>VLOOKUP(E82,'[1]Listas Desplegables'!$H$3:$J$7,3,FALSE)</f>
        <v>#N/A</v>
      </c>
      <c r="C82" s="8">
        <v>77</v>
      </c>
      <c r="D82" s="136" t="s">
        <v>467</v>
      </c>
      <c r="E82" s="136" t="s">
        <v>468</v>
      </c>
      <c r="F82" s="136" t="s">
        <v>457</v>
      </c>
      <c r="G82" s="136">
        <v>34.5</v>
      </c>
      <c r="H82" s="136">
        <v>10.18</v>
      </c>
      <c r="I82" s="136">
        <v>355</v>
      </c>
      <c r="J82" s="136">
        <v>355</v>
      </c>
      <c r="K82" s="136">
        <v>355</v>
      </c>
      <c r="L82" s="136" t="s">
        <v>276</v>
      </c>
      <c r="M82" s="136">
        <v>0.26</v>
      </c>
      <c r="N82" s="136">
        <v>0.39600000000000002</v>
      </c>
      <c r="O82" s="142">
        <v>1.7645800655924713</v>
      </c>
      <c r="P82" s="136">
        <v>0.78</v>
      </c>
      <c r="Q82" s="136">
        <v>1.1880000000000002</v>
      </c>
      <c r="R82" s="142">
        <v>0.58819335519749039</v>
      </c>
      <c r="S82" s="136" t="s">
        <v>106</v>
      </c>
      <c r="T82" s="136" t="s">
        <v>108</v>
      </c>
      <c r="U82" s="136" t="s">
        <v>113</v>
      </c>
      <c r="V82" s="136"/>
      <c r="W82" s="136" t="s">
        <v>327</v>
      </c>
      <c r="X82" s="137">
        <v>8.9850833333333324E-2</v>
      </c>
      <c r="Y82" s="137">
        <v>1.7970166666666665</v>
      </c>
      <c r="Z82" s="137">
        <v>20</v>
      </c>
      <c r="AA82" s="146" t="s">
        <v>664</v>
      </c>
      <c r="AB82" s="9" t="s">
        <v>270</v>
      </c>
      <c r="AC82" s="138"/>
    </row>
    <row r="83" spans="1:29" ht="24" x14ac:dyDescent="0.3">
      <c r="A83" s="3" t="e">
        <f>VLOOKUP(E83,'[1]Listas Desplegables'!$H$3:$J$7,2,FALSE)</f>
        <v>#N/A</v>
      </c>
      <c r="B83" s="3" t="e">
        <f>VLOOKUP(E83,'[1]Listas Desplegables'!$H$3:$J$7,3,FALSE)</f>
        <v>#N/A</v>
      </c>
      <c r="C83" s="7">
        <v>78</v>
      </c>
      <c r="D83" s="136" t="s">
        <v>469</v>
      </c>
      <c r="E83" s="136" t="s">
        <v>468</v>
      </c>
      <c r="F83" s="136" t="s">
        <v>470</v>
      </c>
      <c r="G83" s="136">
        <v>34.5</v>
      </c>
      <c r="H83" s="136">
        <v>26.25</v>
      </c>
      <c r="I83" s="136">
        <v>275</v>
      </c>
      <c r="J83" s="136">
        <v>275</v>
      </c>
      <c r="K83" s="136">
        <v>275</v>
      </c>
      <c r="L83" s="136" t="s">
        <v>276</v>
      </c>
      <c r="M83" s="143">
        <v>0.41399999999999998</v>
      </c>
      <c r="N83" s="143">
        <v>0.58399999999999996</v>
      </c>
      <c r="O83" s="143">
        <v>1.1396189301632154</v>
      </c>
      <c r="P83" s="143">
        <v>1.242</v>
      </c>
      <c r="Q83" s="143">
        <v>1.7519999999999998</v>
      </c>
      <c r="R83" s="143">
        <v>0.37987297672107179</v>
      </c>
      <c r="S83" s="136" t="s">
        <v>106</v>
      </c>
      <c r="T83" s="136" t="s">
        <v>108</v>
      </c>
      <c r="U83" s="136" t="s">
        <v>113</v>
      </c>
      <c r="V83" s="136"/>
      <c r="W83" s="136" t="s">
        <v>387</v>
      </c>
      <c r="X83" s="137">
        <v>0</v>
      </c>
      <c r="Y83" s="137" t="s">
        <v>285</v>
      </c>
      <c r="Z83" s="137">
        <v>0</v>
      </c>
      <c r="AA83" s="146" t="s">
        <v>664</v>
      </c>
      <c r="AB83" s="9" t="s">
        <v>270</v>
      </c>
      <c r="AC83" s="138"/>
    </row>
    <row r="84" spans="1:29" ht="24" x14ac:dyDescent="0.3">
      <c r="A84" s="3" t="e">
        <f>VLOOKUP(E84,'[1]Listas Desplegables'!$H$3:$J$7,2,FALSE)</f>
        <v>#N/A</v>
      </c>
      <c r="B84" s="3" t="e">
        <f>VLOOKUP(E84,'[1]Listas Desplegables'!$H$3:$J$7,3,FALSE)</f>
        <v>#N/A</v>
      </c>
      <c r="C84" s="8">
        <v>79</v>
      </c>
      <c r="D84" s="136" t="s">
        <v>471</v>
      </c>
      <c r="E84" s="136" t="s">
        <v>468</v>
      </c>
      <c r="F84" s="136" t="s">
        <v>470</v>
      </c>
      <c r="G84" s="136">
        <v>34.5</v>
      </c>
      <c r="H84" s="136">
        <v>26.25</v>
      </c>
      <c r="I84" s="136">
        <v>275</v>
      </c>
      <c r="J84" s="136">
        <v>275</v>
      </c>
      <c r="K84" s="136">
        <v>275</v>
      </c>
      <c r="L84" s="136" t="s">
        <v>276</v>
      </c>
      <c r="M84" s="143">
        <v>0.41399999999999998</v>
      </c>
      <c r="N84" s="143">
        <v>0.58399999999999996</v>
      </c>
      <c r="O84" s="143">
        <v>1.1396189301632154</v>
      </c>
      <c r="P84" s="143">
        <v>1.242</v>
      </c>
      <c r="Q84" s="143">
        <v>1.7519999999999998</v>
      </c>
      <c r="R84" s="143">
        <v>0.37987297672107179</v>
      </c>
      <c r="S84" s="136" t="s">
        <v>106</v>
      </c>
      <c r="T84" s="136" t="s">
        <v>108</v>
      </c>
      <c r="U84" s="136" t="s">
        <v>113</v>
      </c>
      <c r="V84" s="136"/>
      <c r="W84" s="136" t="s">
        <v>387</v>
      </c>
      <c r="X84" s="137">
        <v>6.116666666666667E-3</v>
      </c>
      <c r="Y84" s="137">
        <v>1.2233333333333334E-2</v>
      </c>
      <c r="Z84" s="137">
        <v>2</v>
      </c>
      <c r="AA84" s="146" t="s">
        <v>664</v>
      </c>
      <c r="AB84" s="9" t="s">
        <v>270</v>
      </c>
      <c r="AC84" s="138"/>
    </row>
    <row r="85" spans="1:29" ht="24" x14ac:dyDescent="0.3">
      <c r="A85" s="3" t="e">
        <f>VLOOKUP(E85,'[1]Listas Desplegables'!$H$3:$J$7,2,FALSE)</f>
        <v>#N/A</v>
      </c>
      <c r="B85" s="3" t="e">
        <f>VLOOKUP(E85,'[1]Listas Desplegables'!$H$3:$J$7,3,FALSE)</f>
        <v>#N/A</v>
      </c>
      <c r="C85" s="8">
        <v>80</v>
      </c>
      <c r="D85" s="136" t="s">
        <v>472</v>
      </c>
      <c r="E85" s="136" t="s">
        <v>468</v>
      </c>
      <c r="F85" s="136" t="s">
        <v>422</v>
      </c>
      <c r="G85" s="136">
        <v>34.5</v>
      </c>
      <c r="H85" s="136">
        <v>17</v>
      </c>
      <c r="I85" s="136">
        <v>275</v>
      </c>
      <c r="J85" s="136">
        <v>275</v>
      </c>
      <c r="K85" s="136">
        <v>275</v>
      </c>
      <c r="L85" s="136" t="s">
        <v>276</v>
      </c>
      <c r="M85" s="143">
        <v>0.41399999999999998</v>
      </c>
      <c r="N85" s="143">
        <v>0.58399999999999996</v>
      </c>
      <c r="O85" s="143">
        <v>1.1396189301632154</v>
      </c>
      <c r="P85" s="143">
        <v>1.242</v>
      </c>
      <c r="Q85" s="143">
        <v>1.7519999999999998</v>
      </c>
      <c r="R85" s="143">
        <v>0.37987297672107179</v>
      </c>
      <c r="S85" s="136" t="s">
        <v>106</v>
      </c>
      <c r="T85" s="136" t="s">
        <v>108</v>
      </c>
      <c r="U85" s="136" t="s">
        <v>113</v>
      </c>
      <c r="V85" s="136"/>
      <c r="W85" s="136" t="s">
        <v>387</v>
      </c>
      <c r="X85" s="137">
        <v>0</v>
      </c>
      <c r="Y85" s="137" t="s">
        <v>285</v>
      </c>
      <c r="Z85" s="137">
        <v>0</v>
      </c>
      <c r="AA85" s="146" t="s">
        <v>664</v>
      </c>
      <c r="AB85" s="9" t="s">
        <v>270</v>
      </c>
      <c r="AC85" s="138"/>
    </row>
    <row r="86" spans="1:29" ht="24" x14ac:dyDescent="0.3">
      <c r="A86" s="3" t="e">
        <f>VLOOKUP(E86,'[1]Listas Desplegables'!$H$3:$J$7,2,FALSE)</f>
        <v>#N/A</v>
      </c>
      <c r="B86" s="3" t="e">
        <f>VLOOKUP(E86,'[1]Listas Desplegables'!$H$3:$J$7,3,FALSE)</f>
        <v>#N/A</v>
      </c>
      <c r="C86" s="8">
        <v>81</v>
      </c>
      <c r="D86" s="136" t="s">
        <v>473</v>
      </c>
      <c r="E86" s="136" t="s">
        <v>468</v>
      </c>
      <c r="F86" s="136" t="s">
        <v>474</v>
      </c>
      <c r="G86" s="136">
        <v>34.5</v>
      </c>
      <c r="H86" s="136">
        <v>5.5</v>
      </c>
      <c r="I86" s="136">
        <v>275</v>
      </c>
      <c r="J86" s="136">
        <v>275</v>
      </c>
      <c r="K86" s="136">
        <v>275</v>
      </c>
      <c r="L86" s="136" t="s">
        <v>276</v>
      </c>
      <c r="M86" s="143">
        <v>0.41399999999999998</v>
      </c>
      <c r="N86" s="143">
        <v>0.58399999999999996</v>
      </c>
      <c r="O86" s="143">
        <v>1.1396189301632154</v>
      </c>
      <c r="P86" s="143">
        <v>1.242</v>
      </c>
      <c r="Q86" s="143">
        <v>1.7519999999999998</v>
      </c>
      <c r="R86" s="143">
        <v>0.37987297672107179</v>
      </c>
      <c r="S86" s="136" t="s">
        <v>106</v>
      </c>
      <c r="T86" s="136" t="s">
        <v>108</v>
      </c>
      <c r="U86" s="136" t="s">
        <v>113</v>
      </c>
      <c r="V86" s="136"/>
      <c r="W86" s="136" t="s">
        <v>387</v>
      </c>
      <c r="X86" s="137">
        <v>0.30731393442622951</v>
      </c>
      <c r="Y86" s="137">
        <v>18.74615</v>
      </c>
      <c r="Z86" s="137">
        <v>61</v>
      </c>
      <c r="AA86" s="146" t="s">
        <v>664</v>
      </c>
      <c r="AB86" s="9" t="s">
        <v>270</v>
      </c>
      <c r="AC86" s="138"/>
    </row>
    <row r="87" spans="1:29" ht="24" x14ac:dyDescent="0.3">
      <c r="A87" s="3" t="e">
        <f>VLOOKUP(E87,'[1]Listas Desplegables'!$H$3:$J$7,2,FALSE)</f>
        <v>#N/A</v>
      </c>
      <c r="B87" s="3" t="e">
        <f>VLOOKUP(E87,'[1]Listas Desplegables'!$H$3:$J$7,3,FALSE)</f>
        <v>#N/A</v>
      </c>
      <c r="C87" s="7">
        <v>82</v>
      </c>
      <c r="D87" s="136" t="s">
        <v>475</v>
      </c>
      <c r="E87" s="136" t="s">
        <v>476</v>
      </c>
      <c r="F87" s="136" t="s">
        <v>457</v>
      </c>
      <c r="G87" s="136">
        <v>34.5</v>
      </c>
      <c r="H87" s="136">
        <v>6.63</v>
      </c>
      <c r="I87" s="136">
        <v>275</v>
      </c>
      <c r="J87" s="136">
        <v>275</v>
      </c>
      <c r="K87" s="136">
        <v>275</v>
      </c>
      <c r="L87" s="136" t="s">
        <v>276</v>
      </c>
      <c r="M87" s="143">
        <v>0.41399999999999998</v>
      </c>
      <c r="N87" s="143">
        <v>0.58399999999999996</v>
      </c>
      <c r="O87" s="143">
        <v>1.1396189301632154</v>
      </c>
      <c r="P87" s="143">
        <v>1.242</v>
      </c>
      <c r="Q87" s="143">
        <v>1.7519999999999998</v>
      </c>
      <c r="R87" s="143">
        <v>0.37987297672107179</v>
      </c>
      <c r="S87" s="136" t="s">
        <v>106</v>
      </c>
      <c r="T87" s="136" t="s">
        <v>108</v>
      </c>
      <c r="U87" s="136" t="s">
        <v>113</v>
      </c>
      <c r="V87" s="136"/>
      <c r="W87" s="136" t="s">
        <v>387</v>
      </c>
      <c r="X87" s="137">
        <v>2.0068333333333341E-2</v>
      </c>
      <c r="Y87" s="137">
        <v>0.40136666666666682</v>
      </c>
      <c r="Z87" s="137">
        <v>20</v>
      </c>
      <c r="AA87" s="146" t="s">
        <v>664</v>
      </c>
      <c r="AB87" s="9" t="s">
        <v>270</v>
      </c>
      <c r="AC87" s="138"/>
    </row>
    <row r="88" spans="1:29" ht="24" x14ac:dyDescent="0.3">
      <c r="A88" s="3" t="e">
        <f>VLOOKUP(E88,'[1]Listas Desplegables'!$H$3:$J$7,2,FALSE)</f>
        <v>#N/A</v>
      </c>
      <c r="B88" s="3" t="e">
        <f>VLOOKUP(E88,'[1]Listas Desplegables'!$H$3:$J$7,3,FALSE)</f>
        <v>#N/A</v>
      </c>
      <c r="C88" s="8">
        <v>83</v>
      </c>
      <c r="D88" s="136" t="s">
        <v>477</v>
      </c>
      <c r="E88" s="136" t="s">
        <v>398</v>
      </c>
      <c r="F88" s="136" t="s">
        <v>478</v>
      </c>
      <c r="G88" s="136">
        <v>34.5</v>
      </c>
      <c r="H88" s="136">
        <v>13.4</v>
      </c>
      <c r="I88" s="136">
        <v>275</v>
      </c>
      <c r="J88" s="136">
        <v>275</v>
      </c>
      <c r="K88" s="136">
        <v>275</v>
      </c>
      <c r="L88" s="136" t="s">
        <v>276</v>
      </c>
      <c r="M88" s="143">
        <v>0.41399999999999998</v>
      </c>
      <c r="N88" s="143">
        <v>0.58399999999999996</v>
      </c>
      <c r="O88" s="143">
        <v>1.1396189301632154</v>
      </c>
      <c r="P88" s="143">
        <v>1.242</v>
      </c>
      <c r="Q88" s="143">
        <v>1.7519999999999998</v>
      </c>
      <c r="R88" s="143">
        <v>0.37987297672107179</v>
      </c>
      <c r="S88" s="136" t="s">
        <v>106</v>
      </c>
      <c r="T88" s="136" t="s">
        <v>108</v>
      </c>
      <c r="U88" s="136" t="s">
        <v>113</v>
      </c>
      <c r="V88" s="136"/>
      <c r="W88" s="136" t="s">
        <v>387</v>
      </c>
      <c r="X88" s="137">
        <v>2.0068333333333341E-2</v>
      </c>
      <c r="Y88" s="137">
        <v>0.40136666666666682</v>
      </c>
      <c r="Z88" s="137">
        <v>20</v>
      </c>
      <c r="AA88" s="146" t="s">
        <v>664</v>
      </c>
      <c r="AB88" s="9" t="s">
        <v>270</v>
      </c>
      <c r="AC88" s="138"/>
    </row>
    <row r="89" spans="1:29" ht="24" x14ac:dyDescent="0.3">
      <c r="A89" s="3" t="e">
        <f>VLOOKUP(E89,'[1]Listas Desplegables'!$H$3:$J$7,2,FALSE)</f>
        <v>#N/A</v>
      </c>
      <c r="B89" s="3" t="e">
        <f>VLOOKUP(E89,'[1]Listas Desplegables'!$H$3:$J$7,3,FALSE)</f>
        <v>#N/A</v>
      </c>
      <c r="C89" s="8">
        <v>84</v>
      </c>
      <c r="D89" s="136" t="s">
        <v>479</v>
      </c>
      <c r="E89" s="136" t="s">
        <v>480</v>
      </c>
      <c r="F89" s="136" t="s">
        <v>481</v>
      </c>
      <c r="G89" s="136">
        <v>34.5</v>
      </c>
      <c r="H89" s="136">
        <v>11.2</v>
      </c>
      <c r="I89" s="136">
        <v>275</v>
      </c>
      <c r="J89" s="136">
        <v>275</v>
      </c>
      <c r="K89" s="136">
        <v>275</v>
      </c>
      <c r="L89" s="136" t="s">
        <v>276</v>
      </c>
      <c r="M89" s="143">
        <v>0.41399999999999998</v>
      </c>
      <c r="N89" s="143">
        <v>0.58399999999999996</v>
      </c>
      <c r="O89" s="143">
        <v>1.1396189301632154</v>
      </c>
      <c r="P89" s="143">
        <v>1.242</v>
      </c>
      <c r="Q89" s="143">
        <v>1.7519999999999998</v>
      </c>
      <c r="R89" s="143">
        <v>0.37987297672107179</v>
      </c>
      <c r="S89" s="136" t="s">
        <v>106</v>
      </c>
      <c r="T89" s="136" t="s">
        <v>108</v>
      </c>
      <c r="U89" s="136" t="s">
        <v>113</v>
      </c>
      <c r="V89" s="136"/>
      <c r="W89" s="136" t="s">
        <v>387</v>
      </c>
      <c r="X89" s="137">
        <v>2.0068333333333341E-2</v>
      </c>
      <c r="Y89" s="137">
        <v>0.40136666666666682</v>
      </c>
      <c r="Z89" s="137">
        <v>20</v>
      </c>
      <c r="AA89" s="146" t="s">
        <v>664</v>
      </c>
      <c r="AB89" s="9" t="s">
        <v>270</v>
      </c>
      <c r="AC89" s="138"/>
    </row>
    <row r="90" spans="1:29" ht="24" x14ac:dyDescent="0.3">
      <c r="A90" s="3" t="e">
        <f>VLOOKUP(E90,'[1]Listas Desplegables'!$H$3:$J$7,2,FALSE)</f>
        <v>#N/A</v>
      </c>
      <c r="B90" s="3" t="e">
        <f>VLOOKUP(E90,'[1]Listas Desplegables'!$H$3:$J$7,3,FALSE)</f>
        <v>#N/A</v>
      </c>
      <c r="C90" s="8">
        <v>85</v>
      </c>
      <c r="D90" s="136" t="s">
        <v>482</v>
      </c>
      <c r="E90" s="136" t="s">
        <v>483</v>
      </c>
      <c r="F90" s="136" t="s">
        <v>466</v>
      </c>
      <c r="G90" s="136">
        <v>34.5</v>
      </c>
      <c r="H90" s="136">
        <v>4.3</v>
      </c>
      <c r="I90" s="136">
        <v>275</v>
      </c>
      <c r="J90" s="136">
        <v>275</v>
      </c>
      <c r="K90" s="136">
        <v>275</v>
      </c>
      <c r="L90" s="136" t="s">
        <v>276</v>
      </c>
      <c r="M90" s="143">
        <v>0.41399999999999998</v>
      </c>
      <c r="N90" s="143">
        <v>0.58399999999999996</v>
      </c>
      <c r="O90" s="143">
        <v>1.1396189301632154</v>
      </c>
      <c r="P90" s="143">
        <v>1.242</v>
      </c>
      <c r="Q90" s="143">
        <v>1.7519999999999998</v>
      </c>
      <c r="R90" s="143">
        <v>0.37987297672107179</v>
      </c>
      <c r="S90" s="136" t="s">
        <v>106</v>
      </c>
      <c r="T90" s="136" t="s">
        <v>108</v>
      </c>
      <c r="U90" s="136" t="s">
        <v>113</v>
      </c>
      <c r="V90" s="136"/>
      <c r="W90" s="136" t="s">
        <v>387</v>
      </c>
      <c r="X90" s="137">
        <v>0</v>
      </c>
      <c r="Y90" s="137">
        <v>0</v>
      </c>
      <c r="Z90" s="137">
        <v>0</v>
      </c>
      <c r="AA90" s="146" t="s">
        <v>664</v>
      </c>
      <c r="AB90" s="9" t="s">
        <v>270</v>
      </c>
      <c r="AC90" s="138"/>
    </row>
    <row r="91" spans="1:29" ht="24" x14ac:dyDescent="0.3">
      <c r="A91" s="3" t="e">
        <f>VLOOKUP(E91,'[1]Listas Desplegables'!$H$3:$J$7,2,FALSE)</f>
        <v>#N/A</v>
      </c>
      <c r="B91" s="3" t="e">
        <f>VLOOKUP(E91,'[1]Listas Desplegables'!$H$3:$J$7,3,FALSE)</f>
        <v>#N/A</v>
      </c>
      <c r="C91" s="7">
        <v>86</v>
      </c>
      <c r="D91" s="136" t="s">
        <v>484</v>
      </c>
      <c r="E91" s="136" t="s">
        <v>485</v>
      </c>
      <c r="F91" s="136" t="s">
        <v>382</v>
      </c>
      <c r="G91" s="136">
        <v>34.5</v>
      </c>
      <c r="H91" s="136">
        <v>6.8</v>
      </c>
      <c r="I91" s="136">
        <v>241</v>
      </c>
      <c r="J91" s="136">
        <v>241</v>
      </c>
      <c r="K91" s="136">
        <v>241</v>
      </c>
      <c r="L91" s="136" t="s">
        <v>276</v>
      </c>
      <c r="M91" s="136">
        <v>0.52200000000000002</v>
      </c>
      <c r="N91" s="136">
        <v>0.71699999999999997</v>
      </c>
      <c r="O91" s="143">
        <v>0.91154921412252898</v>
      </c>
      <c r="P91" s="143">
        <v>1.5660000000000001</v>
      </c>
      <c r="Q91" s="143">
        <v>2.1509999999999998</v>
      </c>
      <c r="R91" s="143">
        <v>0.30384973804084298</v>
      </c>
      <c r="S91" s="136" t="s">
        <v>106</v>
      </c>
      <c r="T91" s="136" t="s">
        <v>108</v>
      </c>
      <c r="U91" s="136" t="s">
        <v>113</v>
      </c>
      <c r="V91" s="136"/>
      <c r="W91" s="136" t="s">
        <v>440</v>
      </c>
      <c r="X91" s="137">
        <v>0.24745072463768114</v>
      </c>
      <c r="Y91" s="137">
        <v>5.6913666666666662</v>
      </c>
      <c r="Z91" s="137">
        <v>23</v>
      </c>
      <c r="AA91" s="146" t="s">
        <v>664</v>
      </c>
      <c r="AB91" s="9" t="s">
        <v>270</v>
      </c>
      <c r="AC91" s="138"/>
    </row>
    <row r="92" spans="1:29" ht="24" x14ac:dyDescent="0.3">
      <c r="A92" s="3" t="e">
        <f>VLOOKUP(E92,'[1]Listas Desplegables'!$H$3:$J$7,2,FALSE)</f>
        <v>#N/A</v>
      </c>
      <c r="B92" s="3" t="e">
        <f>VLOOKUP(E92,'[1]Listas Desplegables'!$H$3:$J$7,3,FALSE)</f>
        <v>#N/A</v>
      </c>
      <c r="C92" s="8">
        <v>87</v>
      </c>
      <c r="D92" s="136" t="s">
        <v>486</v>
      </c>
      <c r="E92" s="136" t="s">
        <v>428</v>
      </c>
      <c r="F92" s="136" t="s">
        <v>487</v>
      </c>
      <c r="G92" s="136">
        <v>34.5</v>
      </c>
      <c r="H92" s="136">
        <v>5.21</v>
      </c>
      <c r="I92" s="136">
        <v>275</v>
      </c>
      <c r="J92" s="136">
        <v>275</v>
      </c>
      <c r="K92" s="136">
        <v>275</v>
      </c>
      <c r="L92" s="136" t="s">
        <v>276</v>
      </c>
      <c r="M92" s="143">
        <v>0.41399999999999998</v>
      </c>
      <c r="N92" s="143">
        <v>0.58399999999999996</v>
      </c>
      <c r="O92" s="143">
        <v>1.1396189301632154</v>
      </c>
      <c r="P92" s="143">
        <v>1.242</v>
      </c>
      <c r="Q92" s="143">
        <v>1.7519999999999998</v>
      </c>
      <c r="R92" s="143">
        <v>0.37987297672107179</v>
      </c>
      <c r="S92" s="136" t="s">
        <v>106</v>
      </c>
      <c r="T92" s="136" t="s">
        <v>108</v>
      </c>
      <c r="U92" s="136" t="s">
        <v>113</v>
      </c>
      <c r="V92" s="136"/>
      <c r="W92" s="136" t="s">
        <v>387</v>
      </c>
      <c r="X92" s="137">
        <v>0.26046388888888888</v>
      </c>
      <c r="Y92" s="137">
        <v>1.5627833333333332</v>
      </c>
      <c r="Z92" s="137">
        <v>6</v>
      </c>
      <c r="AA92" s="146" t="s">
        <v>664</v>
      </c>
      <c r="AB92" s="9" t="s">
        <v>270</v>
      </c>
      <c r="AC92" s="138"/>
    </row>
    <row r="93" spans="1:29" ht="24" x14ac:dyDescent="0.3">
      <c r="A93" s="3" t="e">
        <f>VLOOKUP(E93,'[1]Listas Desplegables'!$H$3:$J$7,2,FALSE)</f>
        <v>#N/A</v>
      </c>
      <c r="B93" s="3" t="e">
        <f>VLOOKUP(E93,'[1]Listas Desplegables'!$H$3:$J$7,3,FALSE)</f>
        <v>#N/A</v>
      </c>
      <c r="C93" s="8">
        <v>88</v>
      </c>
      <c r="D93" s="136" t="s">
        <v>488</v>
      </c>
      <c r="E93" s="136" t="s">
        <v>447</v>
      </c>
      <c r="F93" s="136" t="s">
        <v>452</v>
      </c>
      <c r="G93" s="136">
        <v>34.5</v>
      </c>
      <c r="H93" s="136">
        <v>14.5</v>
      </c>
      <c r="I93" s="136">
        <v>275</v>
      </c>
      <c r="J93" s="136">
        <v>275</v>
      </c>
      <c r="K93" s="136">
        <v>275</v>
      </c>
      <c r="L93" s="136" t="s">
        <v>276</v>
      </c>
      <c r="M93" s="143">
        <v>0.41399999999999998</v>
      </c>
      <c r="N93" s="143">
        <v>0.58399999999999996</v>
      </c>
      <c r="O93" s="143">
        <v>1.1396189301632154</v>
      </c>
      <c r="P93" s="143">
        <v>1.242</v>
      </c>
      <c r="Q93" s="143">
        <v>1.7519999999999998</v>
      </c>
      <c r="R93" s="143">
        <v>0.37987297672107179</v>
      </c>
      <c r="S93" s="136" t="s">
        <v>106</v>
      </c>
      <c r="T93" s="136" t="s">
        <v>108</v>
      </c>
      <c r="U93" s="136" t="s">
        <v>113</v>
      </c>
      <c r="V93" s="136"/>
      <c r="W93" s="136" t="s">
        <v>387</v>
      </c>
      <c r="X93" s="137">
        <v>0.24745072463768114</v>
      </c>
      <c r="Y93" s="137">
        <v>5.6913666666666662</v>
      </c>
      <c r="Z93" s="137">
        <v>23</v>
      </c>
      <c r="AA93" s="146" t="s">
        <v>664</v>
      </c>
      <c r="AB93" s="9" t="s">
        <v>270</v>
      </c>
      <c r="AC93" s="138"/>
    </row>
    <row r="94" spans="1:29" ht="24" x14ac:dyDescent="0.3">
      <c r="A94" s="3" t="e">
        <f>VLOOKUP(E94,'[1]Listas Desplegables'!$H$3:$J$7,2,FALSE)</f>
        <v>#N/A</v>
      </c>
      <c r="B94" s="3" t="e">
        <f>VLOOKUP(E94,'[1]Listas Desplegables'!$H$3:$J$7,3,FALSE)</f>
        <v>#N/A</v>
      </c>
      <c r="C94" s="8">
        <v>89</v>
      </c>
      <c r="D94" s="136" t="s">
        <v>489</v>
      </c>
      <c r="E94" s="136" t="s">
        <v>490</v>
      </c>
      <c r="F94" s="136" t="s">
        <v>491</v>
      </c>
      <c r="G94" s="136">
        <v>34.5</v>
      </c>
      <c r="H94" s="136">
        <v>6.8</v>
      </c>
      <c r="I94" s="136">
        <v>493</v>
      </c>
      <c r="J94" s="136">
        <v>493</v>
      </c>
      <c r="K94" s="136">
        <v>493</v>
      </c>
      <c r="L94" s="136" t="s">
        <v>276</v>
      </c>
      <c r="M94" s="136">
        <v>0.42743999999999999</v>
      </c>
      <c r="N94" s="136">
        <v>0.54996</v>
      </c>
      <c r="O94" s="136">
        <v>3.0898099999999999</v>
      </c>
      <c r="P94" s="136">
        <v>0.73482999999999998</v>
      </c>
      <c r="Q94" s="136">
        <v>1.5275000000000001</v>
      </c>
      <c r="R94" s="136">
        <v>1.7887500000000001</v>
      </c>
      <c r="S94" s="136" t="s">
        <v>106</v>
      </c>
      <c r="T94" s="136" t="s">
        <v>108</v>
      </c>
      <c r="U94" s="136" t="s">
        <v>113</v>
      </c>
      <c r="V94" s="136"/>
      <c r="W94" s="136" t="s">
        <v>292</v>
      </c>
      <c r="X94" s="137">
        <v>4.2397916666666667E-2</v>
      </c>
      <c r="Y94" s="137">
        <v>0.33918333333333334</v>
      </c>
      <c r="Z94" s="137">
        <v>8</v>
      </c>
      <c r="AA94" s="146" t="s">
        <v>664</v>
      </c>
      <c r="AB94" s="9" t="s">
        <v>270</v>
      </c>
      <c r="AC94" s="138"/>
    </row>
    <row r="95" spans="1:29" ht="24" x14ac:dyDescent="0.3">
      <c r="A95" s="3" t="e">
        <f>VLOOKUP(E95,'[1]Listas Desplegables'!$H$3:$J$7,2,FALSE)</f>
        <v>#N/A</v>
      </c>
      <c r="B95" s="3" t="e">
        <f>VLOOKUP(E95,'[1]Listas Desplegables'!$H$3:$J$7,3,FALSE)</f>
        <v>#N/A</v>
      </c>
      <c r="C95" s="7">
        <v>90</v>
      </c>
      <c r="D95" s="136" t="s">
        <v>492</v>
      </c>
      <c r="E95" s="136" t="s">
        <v>490</v>
      </c>
      <c r="F95" s="136" t="s">
        <v>493</v>
      </c>
      <c r="G95" s="136">
        <v>34.5</v>
      </c>
      <c r="H95" s="136">
        <v>4.8</v>
      </c>
      <c r="I95" s="136">
        <v>241</v>
      </c>
      <c r="J95" s="136">
        <v>241</v>
      </c>
      <c r="K95" s="136">
        <v>241</v>
      </c>
      <c r="L95" s="136" t="s">
        <v>276</v>
      </c>
      <c r="M95" s="136">
        <v>0.52200000000000002</v>
      </c>
      <c r="N95" s="136">
        <v>0.71699999999999997</v>
      </c>
      <c r="O95" s="143">
        <v>0.91154921412252898</v>
      </c>
      <c r="P95" s="143">
        <v>1.5660000000000001</v>
      </c>
      <c r="Q95" s="143">
        <v>2.1509999999999998</v>
      </c>
      <c r="R95" s="143">
        <v>0.30384973804084298</v>
      </c>
      <c r="S95" s="136" t="s">
        <v>106</v>
      </c>
      <c r="T95" s="136" t="s">
        <v>108</v>
      </c>
      <c r="U95" s="136" t="s">
        <v>113</v>
      </c>
      <c r="V95" s="136"/>
      <c r="W95" s="136" t="s">
        <v>440</v>
      </c>
      <c r="X95" s="137">
        <v>2.0068333333333341E-2</v>
      </c>
      <c r="Y95" s="137">
        <v>0.40136666666666682</v>
      </c>
      <c r="Z95" s="137">
        <v>20</v>
      </c>
      <c r="AA95" s="146" t="s">
        <v>664</v>
      </c>
      <c r="AB95" s="9" t="s">
        <v>270</v>
      </c>
      <c r="AC95" s="138"/>
    </row>
    <row r="96" spans="1:29" ht="24" x14ac:dyDescent="0.3">
      <c r="A96" s="3" t="e">
        <f>VLOOKUP(E96,'[1]Listas Desplegables'!$H$3:$J$7,2,FALSE)</f>
        <v>#N/A</v>
      </c>
      <c r="B96" s="3" t="e">
        <f>VLOOKUP(E96,'[1]Listas Desplegables'!$H$3:$J$7,3,FALSE)</f>
        <v>#N/A</v>
      </c>
      <c r="C96" s="8">
        <v>91</v>
      </c>
      <c r="D96" s="136" t="s">
        <v>494</v>
      </c>
      <c r="E96" s="136" t="s">
        <v>382</v>
      </c>
      <c r="F96" s="136" t="s">
        <v>495</v>
      </c>
      <c r="G96" s="136">
        <v>34.5</v>
      </c>
      <c r="H96" s="136">
        <v>1</v>
      </c>
      <c r="I96" s="136">
        <v>275</v>
      </c>
      <c r="J96" s="136">
        <v>275</v>
      </c>
      <c r="K96" s="136">
        <v>275</v>
      </c>
      <c r="L96" s="136" t="s">
        <v>276</v>
      </c>
      <c r="M96" s="143">
        <v>0.41399999999999998</v>
      </c>
      <c r="N96" s="143">
        <v>0.58399999999999996</v>
      </c>
      <c r="O96" s="143">
        <v>1.1396189301632154</v>
      </c>
      <c r="P96" s="143">
        <v>1.242</v>
      </c>
      <c r="Q96" s="143">
        <v>1.7519999999999998</v>
      </c>
      <c r="R96" s="143">
        <v>0.37987297672107179</v>
      </c>
      <c r="S96" s="136" t="s">
        <v>106</v>
      </c>
      <c r="T96" s="136" t="s">
        <v>108</v>
      </c>
      <c r="U96" s="136" t="s">
        <v>113</v>
      </c>
      <c r="V96" s="136"/>
      <c r="W96" s="136" t="s">
        <v>387</v>
      </c>
      <c r="X96" s="137">
        <v>2.0068333333333341E-2</v>
      </c>
      <c r="Y96" s="137">
        <v>0.40136666666666682</v>
      </c>
      <c r="Z96" s="137">
        <v>20</v>
      </c>
      <c r="AA96" s="146" t="s">
        <v>664</v>
      </c>
      <c r="AB96" s="9" t="s">
        <v>270</v>
      </c>
      <c r="AC96" s="138"/>
    </row>
    <row r="97" spans="1:29" ht="24" x14ac:dyDescent="0.3">
      <c r="A97" s="3" t="e">
        <f>VLOOKUP(E97,'[1]Listas Desplegables'!$H$3:$J$7,2,FALSE)</f>
        <v>#N/A</v>
      </c>
      <c r="B97" s="3" t="e">
        <f>VLOOKUP(E97,'[1]Listas Desplegables'!$H$3:$J$7,3,FALSE)</f>
        <v>#N/A</v>
      </c>
      <c r="C97" s="8">
        <v>92</v>
      </c>
      <c r="D97" s="136" t="s">
        <v>496</v>
      </c>
      <c r="E97" s="136" t="s">
        <v>497</v>
      </c>
      <c r="F97" s="136" t="s">
        <v>474</v>
      </c>
      <c r="G97" s="136">
        <v>34.5</v>
      </c>
      <c r="H97" s="136">
        <v>4.7</v>
      </c>
      <c r="I97" s="136">
        <v>275</v>
      </c>
      <c r="J97" s="136">
        <v>275</v>
      </c>
      <c r="K97" s="136">
        <v>275</v>
      </c>
      <c r="L97" s="136" t="s">
        <v>276</v>
      </c>
      <c r="M97" s="143">
        <v>0.41399999999999998</v>
      </c>
      <c r="N97" s="143">
        <v>0.58399999999999996</v>
      </c>
      <c r="O97" s="143">
        <v>1.1396189301632154</v>
      </c>
      <c r="P97" s="143">
        <v>1.242</v>
      </c>
      <c r="Q97" s="143">
        <v>1.7519999999999998</v>
      </c>
      <c r="R97" s="143">
        <v>0.37987297672107179</v>
      </c>
      <c r="S97" s="136" t="s">
        <v>106</v>
      </c>
      <c r="T97" s="136" t="s">
        <v>108</v>
      </c>
      <c r="U97" s="136" t="s">
        <v>113</v>
      </c>
      <c r="V97" s="136"/>
      <c r="W97" s="136" t="s">
        <v>387</v>
      </c>
      <c r="X97" s="137">
        <v>0</v>
      </c>
      <c r="Y97" s="137" t="s">
        <v>285</v>
      </c>
      <c r="Z97" s="137">
        <v>0</v>
      </c>
      <c r="AA97" s="146" t="s">
        <v>664</v>
      </c>
      <c r="AB97" s="9" t="s">
        <v>270</v>
      </c>
      <c r="AC97" s="138"/>
    </row>
    <row r="98" spans="1:29" ht="24" x14ac:dyDescent="0.3">
      <c r="A98" s="3" t="e">
        <f>VLOOKUP(E98,'[1]Listas Desplegables'!$H$3:$J$7,2,FALSE)</f>
        <v>#N/A</v>
      </c>
      <c r="B98" s="3" t="e">
        <f>VLOOKUP(E98,'[1]Listas Desplegables'!$H$3:$J$7,3,FALSE)</f>
        <v>#N/A</v>
      </c>
      <c r="C98" s="8">
        <v>93</v>
      </c>
      <c r="D98" s="136" t="s">
        <v>498</v>
      </c>
      <c r="E98" s="136" t="s">
        <v>499</v>
      </c>
      <c r="F98" s="136" t="s">
        <v>500</v>
      </c>
      <c r="G98" s="136">
        <v>34.5</v>
      </c>
      <c r="H98" s="136">
        <v>2.98</v>
      </c>
      <c r="I98" s="136">
        <v>275</v>
      </c>
      <c r="J98" s="136">
        <v>275</v>
      </c>
      <c r="K98" s="136">
        <v>275</v>
      </c>
      <c r="L98" s="136" t="s">
        <v>276</v>
      </c>
      <c r="M98" s="143">
        <v>0.41399999999999998</v>
      </c>
      <c r="N98" s="143">
        <v>0.58399999999999996</v>
      </c>
      <c r="O98" s="143">
        <v>1.1396189301632154</v>
      </c>
      <c r="P98" s="143">
        <v>1.242</v>
      </c>
      <c r="Q98" s="143">
        <v>1.7519999999999998</v>
      </c>
      <c r="R98" s="143">
        <v>0.37987297672107179</v>
      </c>
      <c r="S98" s="136" t="s">
        <v>106</v>
      </c>
      <c r="T98" s="136" t="s">
        <v>108</v>
      </c>
      <c r="U98" s="136" t="s">
        <v>113</v>
      </c>
      <c r="V98" s="136"/>
      <c r="W98" s="136" t="s">
        <v>387</v>
      </c>
      <c r="X98" s="137">
        <v>0</v>
      </c>
      <c r="Y98" s="137" t="s">
        <v>285</v>
      </c>
      <c r="Z98" s="137">
        <v>0</v>
      </c>
      <c r="AA98" s="146" t="s">
        <v>664</v>
      </c>
      <c r="AB98" s="9" t="s">
        <v>270</v>
      </c>
      <c r="AC98" s="138"/>
    </row>
    <row r="99" spans="1:29" ht="24" x14ac:dyDescent="0.3">
      <c r="A99" s="3" t="e">
        <f>VLOOKUP(E99,'[1]Listas Desplegables'!$H$3:$J$7,2,FALSE)</f>
        <v>#N/A</v>
      </c>
      <c r="B99" s="3" t="e">
        <f>VLOOKUP(E99,'[1]Listas Desplegables'!$H$3:$J$7,3,FALSE)</f>
        <v>#N/A</v>
      </c>
      <c r="C99" s="7">
        <v>94</v>
      </c>
      <c r="D99" s="136" t="s">
        <v>501</v>
      </c>
      <c r="E99" s="136" t="s">
        <v>432</v>
      </c>
      <c r="F99" s="136" t="s">
        <v>502</v>
      </c>
      <c r="G99" s="136">
        <v>34.5</v>
      </c>
      <c r="H99" s="136">
        <v>15.25</v>
      </c>
      <c r="I99" s="136">
        <v>275</v>
      </c>
      <c r="J99" s="136">
        <v>275</v>
      </c>
      <c r="K99" s="136">
        <v>275</v>
      </c>
      <c r="L99" s="136" t="s">
        <v>276</v>
      </c>
      <c r="M99" s="143">
        <v>0.41399999999999998</v>
      </c>
      <c r="N99" s="143">
        <v>0.58399999999999996</v>
      </c>
      <c r="O99" s="143">
        <v>1.1396189301632154</v>
      </c>
      <c r="P99" s="143">
        <v>1.242</v>
      </c>
      <c r="Q99" s="143">
        <v>1.7519999999999998</v>
      </c>
      <c r="R99" s="143">
        <v>0.37987297672107179</v>
      </c>
      <c r="S99" s="136" t="s">
        <v>106</v>
      </c>
      <c r="T99" s="136" t="s">
        <v>108</v>
      </c>
      <c r="U99" s="136" t="s">
        <v>113</v>
      </c>
      <c r="V99" s="136"/>
      <c r="W99" s="136" t="s">
        <v>387</v>
      </c>
      <c r="X99" s="137">
        <v>0</v>
      </c>
      <c r="Y99" s="137" t="s">
        <v>285</v>
      </c>
      <c r="Z99" s="137">
        <v>0</v>
      </c>
      <c r="AA99" s="146" t="s">
        <v>664</v>
      </c>
      <c r="AB99" s="9" t="s">
        <v>270</v>
      </c>
      <c r="AC99" s="138"/>
    </row>
    <row r="100" spans="1:29" ht="24" x14ac:dyDescent="0.3">
      <c r="A100" s="3" t="e">
        <f>VLOOKUP(E100,'[1]Listas Desplegables'!$H$3:$J$7,2,FALSE)</f>
        <v>#N/A</v>
      </c>
      <c r="B100" s="3" t="e">
        <f>VLOOKUP(E100,'[1]Listas Desplegables'!$H$3:$J$7,3,FALSE)</f>
        <v>#N/A</v>
      </c>
      <c r="C100" s="8">
        <v>95</v>
      </c>
      <c r="D100" s="136" t="s">
        <v>503</v>
      </c>
      <c r="E100" s="136" t="s">
        <v>452</v>
      </c>
      <c r="F100" s="136" t="s">
        <v>502</v>
      </c>
      <c r="G100" s="136">
        <v>34.5</v>
      </c>
      <c r="H100" s="136">
        <v>15.25</v>
      </c>
      <c r="I100" s="136">
        <v>275</v>
      </c>
      <c r="J100" s="136">
        <v>275</v>
      </c>
      <c r="K100" s="136">
        <v>275</v>
      </c>
      <c r="L100" s="136" t="s">
        <v>276</v>
      </c>
      <c r="M100" s="143">
        <v>0.41399999999999998</v>
      </c>
      <c r="N100" s="143">
        <v>0.58399999999999996</v>
      </c>
      <c r="O100" s="143">
        <v>1.1396189301632154</v>
      </c>
      <c r="P100" s="143">
        <v>1.242</v>
      </c>
      <c r="Q100" s="143">
        <v>1.7519999999999998</v>
      </c>
      <c r="R100" s="143">
        <v>0.37987297672107179</v>
      </c>
      <c r="S100" s="136" t="s">
        <v>106</v>
      </c>
      <c r="T100" s="136" t="s">
        <v>108</v>
      </c>
      <c r="U100" s="136" t="s">
        <v>113</v>
      </c>
      <c r="V100" s="136"/>
      <c r="W100" s="136" t="s">
        <v>387</v>
      </c>
      <c r="X100" s="137">
        <v>2.9372916666666665E-2</v>
      </c>
      <c r="Y100" s="137">
        <v>0.23498333333333332</v>
      </c>
      <c r="Z100" s="137">
        <v>8</v>
      </c>
      <c r="AA100" s="146" t="s">
        <v>664</v>
      </c>
      <c r="AB100" s="9" t="s">
        <v>270</v>
      </c>
      <c r="AC100" s="138"/>
    </row>
    <row r="101" spans="1:29" ht="24" x14ac:dyDescent="0.3">
      <c r="A101" s="3" t="e">
        <f>VLOOKUP(E101,'[1]Listas Desplegables'!$H$3:$J$7,2,FALSE)</f>
        <v>#N/A</v>
      </c>
      <c r="B101" s="3" t="e">
        <f>VLOOKUP(E101,'[1]Listas Desplegables'!$H$3:$J$7,3,FALSE)</f>
        <v>#N/A</v>
      </c>
      <c r="C101" s="8">
        <v>96</v>
      </c>
      <c r="D101" s="136" t="s">
        <v>504</v>
      </c>
      <c r="E101" s="136" t="s">
        <v>505</v>
      </c>
      <c r="F101" s="136" t="s">
        <v>506</v>
      </c>
      <c r="G101" s="136">
        <v>34.5</v>
      </c>
      <c r="H101" s="136">
        <v>14</v>
      </c>
      <c r="I101" s="136">
        <v>275</v>
      </c>
      <c r="J101" s="136">
        <v>275</v>
      </c>
      <c r="K101" s="136">
        <v>275</v>
      </c>
      <c r="L101" s="136" t="s">
        <v>276</v>
      </c>
      <c r="M101" s="143">
        <v>0.41399999999999998</v>
      </c>
      <c r="N101" s="143">
        <v>0.58399999999999996</v>
      </c>
      <c r="O101" s="143">
        <v>1.1396189301632154</v>
      </c>
      <c r="P101" s="143">
        <v>1.242</v>
      </c>
      <c r="Q101" s="143">
        <v>1.7519999999999998</v>
      </c>
      <c r="R101" s="143">
        <v>0.37987297672107179</v>
      </c>
      <c r="S101" s="136" t="s">
        <v>106</v>
      </c>
      <c r="T101" s="136" t="s">
        <v>108</v>
      </c>
      <c r="U101" s="136" t="s">
        <v>113</v>
      </c>
      <c r="V101" s="136"/>
      <c r="W101" s="136" t="s">
        <v>387</v>
      </c>
      <c r="X101" s="137">
        <v>3.3105555555555555E-2</v>
      </c>
      <c r="Y101" s="137">
        <v>0.19863333333333333</v>
      </c>
      <c r="Z101" s="137">
        <v>6</v>
      </c>
      <c r="AA101" s="146" t="s">
        <v>664</v>
      </c>
      <c r="AB101" s="9" t="s">
        <v>270</v>
      </c>
      <c r="AC101" s="138"/>
    </row>
    <row r="102" spans="1:29" ht="24" x14ac:dyDescent="0.3">
      <c r="A102" s="3" t="e">
        <f>VLOOKUP(E102,'[1]Listas Desplegables'!$H$3:$J$7,2,FALSE)</f>
        <v>#N/A</v>
      </c>
      <c r="B102" s="3" t="e">
        <f>VLOOKUP(E102,'[1]Listas Desplegables'!$H$3:$J$7,3,FALSE)</f>
        <v>#N/A</v>
      </c>
      <c r="C102" s="8">
        <v>97</v>
      </c>
      <c r="D102" s="136" t="s">
        <v>507</v>
      </c>
      <c r="E102" s="136" t="s">
        <v>505</v>
      </c>
      <c r="F102" s="136" t="s">
        <v>508</v>
      </c>
      <c r="G102" s="136">
        <v>34.5</v>
      </c>
      <c r="H102" s="136">
        <v>1.6</v>
      </c>
      <c r="I102" s="136">
        <v>275</v>
      </c>
      <c r="J102" s="136">
        <v>275</v>
      </c>
      <c r="K102" s="136">
        <v>275</v>
      </c>
      <c r="L102" s="136" t="s">
        <v>276</v>
      </c>
      <c r="M102" s="143">
        <v>0.41399999999999998</v>
      </c>
      <c r="N102" s="143">
        <v>0.58399999999999996</v>
      </c>
      <c r="O102" s="143">
        <v>1.1396189301632154</v>
      </c>
      <c r="P102" s="143">
        <v>1.242</v>
      </c>
      <c r="Q102" s="143">
        <v>1.7519999999999998</v>
      </c>
      <c r="R102" s="143">
        <v>0.37987297672107179</v>
      </c>
      <c r="S102" s="136" t="s">
        <v>106</v>
      </c>
      <c r="T102" s="136" t="s">
        <v>108</v>
      </c>
      <c r="U102" s="136" t="s">
        <v>113</v>
      </c>
      <c r="V102" s="136"/>
      <c r="W102" s="136" t="s">
        <v>387</v>
      </c>
      <c r="X102" s="137">
        <v>0</v>
      </c>
      <c r="Y102" s="137">
        <v>0</v>
      </c>
      <c r="Z102" s="137">
        <v>0</v>
      </c>
      <c r="AA102" s="146" t="s">
        <v>664</v>
      </c>
      <c r="AB102" s="9" t="s">
        <v>270</v>
      </c>
      <c r="AC102" s="138"/>
    </row>
    <row r="103" spans="1:29" ht="24" x14ac:dyDescent="0.3">
      <c r="A103" s="3" t="e">
        <f>VLOOKUP(E103,'[1]Listas Desplegables'!$H$3:$J$7,2,FALSE)</f>
        <v>#N/A</v>
      </c>
      <c r="B103" s="3" t="e">
        <f>VLOOKUP(E103,'[1]Listas Desplegables'!$H$3:$J$7,3,FALSE)</f>
        <v>#N/A</v>
      </c>
      <c r="C103" s="7">
        <v>98</v>
      </c>
      <c r="D103" s="136" t="s">
        <v>509</v>
      </c>
      <c r="E103" s="136" t="s">
        <v>505</v>
      </c>
      <c r="F103" s="136" t="s">
        <v>421</v>
      </c>
      <c r="G103" s="136">
        <v>34.5</v>
      </c>
      <c r="H103" s="136">
        <v>3.4</v>
      </c>
      <c r="I103" s="136">
        <v>275</v>
      </c>
      <c r="J103" s="136">
        <v>275</v>
      </c>
      <c r="K103" s="136">
        <v>275</v>
      </c>
      <c r="L103" s="136" t="s">
        <v>276</v>
      </c>
      <c r="M103" s="143">
        <v>0.41399999999999998</v>
      </c>
      <c r="N103" s="143">
        <v>0.58399999999999996</v>
      </c>
      <c r="O103" s="143">
        <v>1.1396189301632154</v>
      </c>
      <c r="P103" s="143">
        <v>1.242</v>
      </c>
      <c r="Q103" s="143">
        <v>1.7519999999999998</v>
      </c>
      <c r="R103" s="143">
        <v>0.37987297672107179</v>
      </c>
      <c r="S103" s="136" t="s">
        <v>106</v>
      </c>
      <c r="T103" s="136" t="s">
        <v>108</v>
      </c>
      <c r="U103" s="136" t="s">
        <v>113</v>
      </c>
      <c r="V103" s="136"/>
      <c r="W103" s="136" t="s">
        <v>387</v>
      </c>
      <c r="X103" s="137">
        <v>0</v>
      </c>
      <c r="Y103" s="137">
        <v>0</v>
      </c>
      <c r="Z103" s="137">
        <v>0</v>
      </c>
      <c r="AA103" s="146" t="s">
        <v>664</v>
      </c>
      <c r="AB103" s="9" t="s">
        <v>270</v>
      </c>
      <c r="AC103" s="138"/>
    </row>
    <row r="104" spans="1:29" ht="24" x14ac:dyDescent="0.3">
      <c r="A104" s="3" t="e">
        <f>VLOOKUP(E104,'[1]Listas Desplegables'!$H$3:$J$7,2,FALSE)</f>
        <v>#N/A</v>
      </c>
      <c r="B104" s="3" t="e">
        <f>VLOOKUP(E104,'[1]Listas Desplegables'!$H$3:$J$7,3,FALSE)</f>
        <v>#N/A</v>
      </c>
      <c r="C104" s="8">
        <v>99</v>
      </c>
      <c r="D104" s="136" t="s">
        <v>510</v>
      </c>
      <c r="E104" s="136" t="s">
        <v>463</v>
      </c>
      <c r="F104" s="136" t="s">
        <v>500</v>
      </c>
      <c r="G104" s="136">
        <v>34.5</v>
      </c>
      <c r="H104" s="136">
        <v>8.73</v>
      </c>
      <c r="I104" s="136">
        <v>275</v>
      </c>
      <c r="J104" s="136">
        <v>275</v>
      </c>
      <c r="K104" s="136">
        <v>275</v>
      </c>
      <c r="L104" s="136" t="s">
        <v>276</v>
      </c>
      <c r="M104" s="143">
        <v>0.41399999999999998</v>
      </c>
      <c r="N104" s="143">
        <v>0.58399999999999996</v>
      </c>
      <c r="O104" s="143">
        <v>1.1396189301632154</v>
      </c>
      <c r="P104" s="143">
        <v>1.242</v>
      </c>
      <c r="Q104" s="143">
        <v>1.7519999999999998</v>
      </c>
      <c r="R104" s="143">
        <v>0.37987297672107179</v>
      </c>
      <c r="S104" s="136" t="s">
        <v>106</v>
      </c>
      <c r="T104" s="136" t="s">
        <v>108</v>
      </c>
      <c r="U104" s="136" t="s">
        <v>113</v>
      </c>
      <c r="V104" s="136"/>
      <c r="W104" s="136" t="s">
        <v>387</v>
      </c>
      <c r="X104" s="137">
        <v>0</v>
      </c>
      <c r="Y104" s="137">
        <v>0</v>
      </c>
      <c r="Z104" s="137">
        <v>0</v>
      </c>
      <c r="AA104" s="146" t="s">
        <v>664</v>
      </c>
      <c r="AB104" s="9" t="s">
        <v>270</v>
      </c>
      <c r="AC104" s="138"/>
    </row>
    <row r="105" spans="1:29" ht="24" x14ac:dyDescent="0.3">
      <c r="A105" s="3" t="e">
        <f>VLOOKUP(E105,'[1]Listas Desplegables'!$H$3:$J$7,2,FALSE)</f>
        <v>#N/A</v>
      </c>
      <c r="B105" s="3" t="e">
        <f>VLOOKUP(E105,'[1]Listas Desplegables'!$H$3:$J$7,3,FALSE)</f>
        <v>#N/A</v>
      </c>
      <c r="C105" s="8">
        <v>100</v>
      </c>
      <c r="D105" s="136" t="s">
        <v>511</v>
      </c>
      <c r="E105" s="136" t="s">
        <v>463</v>
      </c>
      <c r="F105" s="136" t="s">
        <v>512</v>
      </c>
      <c r="G105" s="136">
        <v>34.5</v>
      </c>
      <c r="H105" s="136">
        <v>4.6500000000000004</v>
      </c>
      <c r="I105" s="136">
        <v>275</v>
      </c>
      <c r="J105" s="136">
        <v>275</v>
      </c>
      <c r="K105" s="136">
        <v>275</v>
      </c>
      <c r="L105" s="136" t="s">
        <v>276</v>
      </c>
      <c r="M105" s="143">
        <v>0.41399999999999998</v>
      </c>
      <c r="N105" s="143">
        <v>0.58399999999999996</v>
      </c>
      <c r="O105" s="143">
        <v>1.1396189301632154</v>
      </c>
      <c r="P105" s="143">
        <v>1.242</v>
      </c>
      <c r="Q105" s="143">
        <v>1.7519999999999998</v>
      </c>
      <c r="R105" s="143">
        <v>0.37987297672107179</v>
      </c>
      <c r="S105" s="136" t="s">
        <v>106</v>
      </c>
      <c r="T105" s="136" t="s">
        <v>108</v>
      </c>
      <c r="U105" s="136" t="s">
        <v>113</v>
      </c>
      <c r="V105" s="136"/>
      <c r="W105" s="136" t="s">
        <v>387</v>
      </c>
      <c r="X105" s="137">
        <v>3.644583333333333E-2</v>
      </c>
      <c r="Y105" s="137">
        <v>0.14578333333333332</v>
      </c>
      <c r="Z105" s="137">
        <v>4</v>
      </c>
      <c r="AA105" s="146" t="s">
        <v>664</v>
      </c>
      <c r="AB105" s="9" t="s">
        <v>270</v>
      </c>
      <c r="AC105" s="138"/>
    </row>
    <row r="106" spans="1:29" ht="24" x14ac:dyDescent="0.3">
      <c r="A106" s="3" t="e">
        <f>VLOOKUP(E106,'[1]Listas Desplegables'!$H$3:$J$7,2,FALSE)</f>
        <v>#N/A</v>
      </c>
      <c r="B106" s="3" t="e">
        <f>VLOOKUP(E106,'[1]Listas Desplegables'!$H$3:$J$7,3,FALSE)</f>
        <v>#N/A</v>
      </c>
      <c r="C106" s="8">
        <v>101</v>
      </c>
      <c r="D106" s="136" t="s">
        <v>513</v>
      </c>
      <c r="E106" s="136" t="s">
        <v>514</v>
      </c>
      <c r="F106" s="136" t="s">
        <v>515</v>
      </c>
      <c r="G106" s="136">
        <v>34.5</v>
      </c>
      <c r="H106" s="136">
        <v>5.0999999999999996</v>
      </c>
      <c r="I106" s="136">
        <v>275</v>
      </c>
      <c r="J106" s="136">
        <v>275</v>
      </c>
      <c r="K106" s="136">
        <v>275</v>
      </c>
      <c r="L106" s="136" t="s">
        <v>276</v>
      </c>
      <c r="M106" s="143">
        <v>0.41399999999999998</v>
      </c>
      <c r="N106" s="143">
        <v>0.58399999999999996</v>
      </c>
      <c r="O106" s="143">
        <v>1.1396189301632154</v>
      </c>
      <c r="P106" s="143">
        <v>1.242</v>
      </c>
      <c r="Q106" s="143">
        <v>1.7519999999999998</v>
      </c>
      <c r="R106" s="143">
        <v>0.37987297672107179</v>
      </c>
      <c r="S106" s="136" t="s">
        <v>106</v>
      </c>
      <c r="T106" s="136" t="s">
        <v>108</v>
      </c>
      <c r="U106" s="136" t="s">
        <v>113</v>
      </c>
      <c r="V106" s="136"/>
      <c r="W106" s="136" t="s">
        <v>387</v>
      </c>
      <c r="X106" s="137">
        <v>3.644583333333333E-2</v>
      </c>
      <c r="Y106" s="137">
        <v>0.14578333333333332</v>
      </c>
      <c r="Z106" s="137">
        <v>4</v>
      </c>
      <c r="AA106" s="146" t="s">
        <v>664</v>
      </c>
      <c r="AB106" s="9" t="s">
        <v>270</v>
      </c>
      <c r="AC106" s="138"/>
    </row>
    <row r="107" spans="1:29" ht="24" x14ac:dyDescent="0.3">
      <c r="A107" s="3" t="e">
        <f>VLOOKUP(E107,'[1]Listas Desplegables'!$H$3:$J$7,2,FALSE)</f>
        <v>#N/A</v>
      </c>
      <c r="B107" s="3" t="e">
        <f>VLOOKUP(E107,'[1]Listas Desplegables'!$H$3:$J$7,3,FALSE)</f>
        <v>#N/A</v>
      </c>
      <c r="C107" s="7">
        <v>102</v>
      </c>
      <c r="D107" s="136" t="s">
        <v>516</v>
      </c>
      <c r="E107" s="136" t="s">
        <v>514</v>
      </c>
      <c r="F107" s="136" t="s">
        <v>515</v>
      </c>
      <c r="G107" s="136">
        <v>34.5</v>
      </c>
      <c r="H107" s="136">
        <v>5.0999999999999996</v>
      </c>
      <c r="I107" s="136">
        <v>275</v>
      </c>
      <c r="J107" s="136">
        <v>275</v>
      </c>
      <c r="K107" s="136">
        <v>275</v>
      </c>
      <c r="L107" s="136" t="s">
        <v>276</v>
      </c>
      <c r="M107" s="143">
        <v>0.41399999999999998</v>
      </c>
      <c r="N107" s="143">
        <v>0.58399999999999996</v>
      </c>
      <c r="O107" s="143">
        <v>1.1396189301632154</v>
      </c>
      <c r="P107" s="143">
        <v>1.242</v>
      </c>
      <c r="Q107" s="143">
        <v>1.7519999999999998</v>
      </c>
      <c r="R107" s="143">
        <v>0.37987297672107179</v>
      </c>
      <c r="S107" s="136" t="s">
        <v>106</v>
      </c>
      <c r="T107" s="136" t="s">
        <v>108</v>
      </c>
      <c r="U107" s="136" t="s">
        <v>113</v>
      </c>
      <c r="V107" s="136"/>
      <c r="W107" s="136" t="s">
        <v>387</v>
      </c>
      <c r="X107" s="137">
        <v>3.644583333333333E-2</v>
      </c>
      <c r="Y107" s="137">
        <v>0.14578333333333332</v>
      </c>
      <c r="Z107" s="137">
        <v>4</v>
      </c>
      <c r="AA107" s="146" t="s">
        <v>664</v>
      </c>
      <c r="AB107" s="9" t="s">
        <v>270</v>
      </c>
      <c r="AC107" s="138"/>
    </row>
    <row r="108" spans="1:29" ht="24" x14ac:dyDescent="0.3">
      <c r="A108" s="3" t="e">
        <f>VLOOKUP(E108,'[1]Listas Desplegables'!$H$3:$J$7,2,FALSE)</f>
        <v>#N/A</v>
      </c>
      <c r="B108" s="3" t="e">
        <f>VLOOKUP(E108,'[1]Listas Desplegables'!$H$3:$J$7,3,FALSE)</f>
        <v>#N/A</v>
      </c>
      <c r="C108" s="8">
        <v>103</v>
      </c>
      <c r="D108" s="136" t="s">
        <v>517</v>
      </c>
      <c r="E108" s="136" t="s">
        <v>514</v>
      </c>
      <c r="F108" s="136" t="s">
        <v>515</v>
      </c>
      <c r="G108" s="136">
        <v>34.5</v>
      </c>
      <c r="H108" s="136">
        <v>12.2</v>
      </c>
      <c r="I108" s="136">
        <v>275</v>
      </c>
      <c r="J108" s="136">
        <v>275</v>
      </c>
      <c r="K108" s="136">
        <v>275</v>
      </c>
      <c r="L108" s="136" t="s">
        <v>276</v>
      </c>
      <c r="M108" s="143">
        <v>0.41399999999999998</v>
      </c>
      <c r="N108" s="143">
        <v>0.58399999999999996</v>
      </c>
      <c r="O108" s="143">
        <v>1.1396189301632154</v>
      </c>
      <c r="P108" s="143">
        <v>1.242</v>
      </c>
      <c r="Q108" s="143">
        <v>1.7519999999999998</v>
      </c>
      <c r="R108" s="143">
        <v>0.37987297672107179</v>
      </c>
      <c r="S108" s="136" t="s">
        <v>106</v>
      </c>
      <c r="T108" s="136" t="s">
        <v>108</v>
      </c>
      <c r="U108" s="136" t="s">
        <v>113</v>
      </c>
      <c r="V108" s="136"/>
      <c r="W108" s="136" t="s">
        <v>387</v>
      </c>
      <c r="X108" s="137"/>
      <c r="Y108" s="137"/>
      <c r="Z108" s="137"/>
      <c r="AA108" s="146" t="s">
        <v>664</v>
      </c>
      <c r="AB108" s="9" t="s">
        <v>270</v>
      </c>
      <c r="AC108" s="138"/>
    </row>
    <row r="109" spans="1:29" ht="24" x14ac:dyDescent="0.3">
      <c r="A109" s="3" t="e">
        <f>VLOOKUP(E109,'[1]Listas Desplegables'!$H$3:$J$7,2,FALSE)</f>
        <v>#N/A</v>
      </c>
      <c r="B109" s="3" t="e">
        <f>VLOOKUP(E109,'[1]Listas Desplegables'!$H$3:$J$7,3,FALSE)</f>
        <v>#N/A</v>
      </c>
      <c r="C109" s="8">
        <v>104</v>
      </c>
      <c r="D109" s="136" t="s">
        <v>518</v>
      </c>
      <c r="E109" s="136" t="s">
        <v>514</v>
      </c>
      <c r="F109" s="136" t="s">
        <v>515</v>
      </c>
      <c r="G109" s="136">
        <v>34.5</v>
      </c>
      <c r="H109" s="136">
        <v>4.2</v>
      </c>
      <c r="I109" s="136">
        <v>530</v>
      </c>
      <c r="J109" s="136">
        <v>530</v>
      </c>
      <c r="K109" s="136">
        <v>530</v>
      </c>
      <c r="L109" s="136" t="s">
        <v>276</v>
      </c>
      <c r="M109" s="136">
        <v>0.42743999999999999</v>
      </c>
      <c r="N109" s="136">
        <v>0.54996</v>
      </c>
      <c r="O109" s="136">
        <v>3.0898099999999999</v>
      </c>
      <c r="P109" s="136">
        <v>0.73482999999999998</v>
      </c>
      <c r="Q109" s="136">
        <v>1.5275000000000001</v>
      </c>
      <c r="R109" s="136">
        <v>1.7887500000000001</v>
      </c>
      <c r="S109" s="136" t="s">
        <v>106</v>
      </c>
      <c r="T109" s="136" t="s">
        <v>108</v>
      </c>
      <c r="U109" s="136" t="s">
        <v>113</v>
      </c>
      <c r="V109" s="136"/>
      <c r="W109" s="136" t="s">
        <v>289</v>
      </c>
      <c r="X109" s="137">
        <v>0.20344666666666669</v>
      </c>
      <c r="Y109" s="137">
        <v>2.0344666666666669</v>
      </c>
      <c r="Z109" s="137">
        <v>10</v>
      </c>
      <c r="AA109" s="146" t="s">
        <v>664</v>
      </c>
      <c r="AB109" s="9" t="s">
        <v>270</v>
      </c>
      <c r="AC109" s="138"/>
    </row>
    <row r="110" spans="1:29" ht="24" x14ac:dyDescent="0.3">
      <c r="A110" s="3" t="e">
        <f>VLOOKUP(E110,'[1]Listas Desplegables'!$H$3:$J$7,2,FALSE)</f>
        <v>#N/A</v>
      </c>
      <c r="B110" s="3" t="e">
        <f>VLOOKUP(E110,'[1]Listas Desplegables'!$H$3:$J$7,3,FALSE)</f>
        <v>#N/A</v>
      </c>
      <c r="C110" s="8">
        <v>105</v>
      </c>
      <c r="D110" s="136" t="s">
        <v>519</v>
      </c>
      <c r="E110" s="136" t="s">
        <v>514</v>
      </c>
      <c r="F110" s="136" t="s">
        <v>520</v>
      </c>
      <c r="G110" s="136">
        <v>34.5</v>
      </c>
      <c r="H110" s="136">
        <v>3.8</v>
      </c>
      <c r="I110" s="136">
        <v>275</v>
      </c>
      <c r="J110" s="136">
        <v>275</v>
      </c>
      <c r="K110" s="136">
        <v>275</v>
      </c>
      <c r="L110" s="136" t="s">
        <v>276</v>
      </c>
      <c r="M110" s="143">
        <v>0.41399999999999998</v>
      </c>
      <c r="N110" s="143">
        <v>0.58399999999999996</v>
      </c>
      <c r="O110" s="143">
        <v>1.1396189301632154</v>
      </c>
      <c r="P110" s="143">
        <v>1.242</v>
      </c>
      <c r="Q110" s="143">
        <v>1.7519999999999998</v>
      </c>
      <c r="R110" s="143">
        <v>0.37987297672107179</v>
      </c>
      <c r="S110" s="136" t="s">
        <v>106</v>
      </c>
      <c r="T110" s="136" t="s">
        <v>108</v>
      </c>
      <c r="U110" s="136" t="s">
        <v>113</v>
      </c>
      <c r="V110" s="136"/>
      <c r="W110" s="136" t="s">
        <v>387</v>
      </c>
      <c r="X110" s="137">
        <v>0.20344666666666669</v>
      </c>
      <c r="Y110" s="137">
        <v>2.0344666666666669</v>
      </c>
      <c r="Z110" s="137">
        <v>10</v>
      </c>
      <c r="AA110" s="146" t="s">
        <v>664</v>
      </c>
      <c r="AB110" s="9" t="s">
        <v>270</v>
      </c>
      <c r="AC110" s="138"/>
    </row>
    <row r="111" spans="1:29" ht="24" x14ac:dyDescent="0.3">
      <c r="A111" s="3" t="e">
        <f>VLOOKUP(E111,'[1]Listas Desplegables'!$H$3:$J$7,2,FALSE)</f>
        <v>#N/A</v>
      </c>
      <c r="B111" s="3" t="e">
        <f>VLOOKUP(E111,'[1]Listas Desplegables'!$H$3:$J$7,3,FALSE)</f>
        <v>#N/A</v>
      </c>
      <c r="C111" s="7">
        <v>106</v>
      </c>
      <c r="D111" s="136" t="s">
        <v>521</v>
      </c>
      <c r="E111" s="136" t="s">
        <v>481</v>
      </c>
      <c r="F111" s="136" t="s">
        <v>522</v>
      </c>
      <c r="G111" s="136">
        <v>34.5</v>
      </c>
      <c r="H111" s="136">
        <v>15.78</v>
      </c>
      <c r="I111" s="136">
        <v>275</v>
      </c>
      <c r="J111" s="136">
        <v>275</v>
      </c>
      <c r="K111" s="136">
        <v>275</v>
      </c>
      <c r="L111" s="136" t="s">
        <v>276</v>
      </c>
      <c r="M111" s="143">
        <v>0.41399999999999998</v>
      </c>
      <c r="N111" s="143">
        <v>0.58399999999999996</v>
      </c>
      <c r="O111" s="143">
        <v>1.1396189301632154</v>
      </c>
      <c r="P111" s="143">
        <v>1.242</v>
      </c>
      <c r="Q111" s="143">
        <v>1.7519999999999998</v>
      </c>
      <c r="R111" s="143">
        <v>0.37987297672107179</v>
      </c>
      <c r="S111" s="136" t="s">
        <v>106</v>
      </c>
      <c r="T111" s="136" t="s">
        <v>108</v>
      </c>
      <c r="U111" s="136" t="s">
        <v>113</v>
      </c>
      <c r="V111" s="136"/>
      <c r="W111" s="136" t="s">
        <v>387</v>
      </c>
      <c r="X111" s="137">
        <v>4.4309313725490185E-2</v>
      </c>
      <c r="Y111" s="137">
        <v>1.5065166666666663</v>
      </c>
      <c r="Z111" s="137">
        <v>34</v>
      </c>
      <c r="AA111" s="146" t="s">
        <v>664</v>
      </c>
      <c r="AB111" s="9" t="s">
        <v>270</v>
      </c>
      <c r="AC111" s="138"/>
    </row>
    <row r="112" spans="1:29" ht="24" x14ac:dyDescent="0.3">
      <c r="A112" s="3" t="e">
        <f>VLOOKUP(E112,'[1]Listas Desplegables'!$H$3:$J$7,2,FALSE)</f>
        <v>#N/A</v>
      </c>
      <c r="B112" s="3" t="e">
        <f>VLOOKUP(E112,'[1]Listas Desplegables'!$H$3:$J$7,3,FALSE)</f>
        <v>#N/A</v>
      </c>
      <c r="C112" s="8">
        <v>107</v>
      </c>
      <c r="D112" s="136" t="s">
        <v>523</v>
      </c>
      <c r="E112" s="136" t="s">
        <v>493</v>
      </c>
      <c r="F112" s="136" t="s">
        <v>408</v>
      </c>
      <c r="G112" s="136">
        <v>34.5</v>
      </c>
      <c r="H112" s="136">
        <v>22</v>
      </c>
      <c r="I112" s="136">
        <v>275</v>
      </c>
      <c r="J112" s="136">
        <v>275</v>
      </c>
      <c r="K112" s="136">
        <v>275</v>
      </c>
      <c r="L112" s="136" t="s">
        <v>276</v>
      </c>
      <c r="M112" s="143">
        <v>0.41399999999999998</v>
      </c>
      <c r="N112" s="143">
        <v>0.58399999999999996</v>
      </c>
      <c r="O112" s="143">
        <v>1.1396189301632154</v>
      </c>
      <c r="P112" s="143">
        <v>1.242</v>
      </c>
      <c r="Q112" s="143">
        <v>1.7519999999999998</v>
      </c>
      <c r="R112" s="143">
        <v>0.37987297672107179</v>
      </c>
      <c r="S112" s="136" t="s">
        <v>106</v>
      </c>
      <c r="T112" s="136" t="s">
        <v>108</v>
      </c>
      <c r="U112" s="136" t="s">
        <v>113</v>
      </c>
      <c r="V112" s="136"/>
      <c r="W112" s="136" t="s">
        <v>387</v>
      </c>
      <c r="X112" s="137">
        <v>0.20344666666666669</v>
      </c>
      <c r="Y112" s="137">
        <v>2.0344666666666669</v>
      </c>
      <c r="Z112" s="137">
        <v>10</v>
      </c>
      <c r="AA112" s="146" t="s">
        <v>664</v>
      </c>
      <c r="AB112" s="9" t="s">
        <v>270</v>
      </c>
      <c r="AC112" s="138"/>
    </row>
    <row r="113" spans="1:29" ht="24" x14ac:dyDescent="0.3">
      <c r="A113" s="3" t="e">
        <f>VLOOKUP(E113,'[1]Listas Desplegables'!$H$3:$J$7,2,FALSE)</f>
        <v>#N/A</v>
      </c>
      <c r="B113" s="3" t="e">
        <f>VLOOKUP(E113,'[1]Listas Desplegables'!$H$3:$J$7,3,FALSE)</f>
        <v>#N/A</v>
      </c>
      <c r="C113" s="8">
        <v>108</v>
      </c>
      <c r="D113" s="136" t="s">
        <v>524</v>
      </c>
      <c r="E113" s="136" t="s">
        <v>430</v>
      </c>
      <c r="F113" s="136" t="s">
        <v>435</v>
      </c>
      <c r="G113" s="136">
        <v>34.5</v>
      </c>
      <c r="H113" s="136">
        <v>8.19</v>
      </c>
      <c r="I113" s="136">
        <v>275</v>
      </c>
      <c r="J113" s="136">
        <v>275</v>
      </c>
      <c r="K113" s="136">
        <v>275</v>
      </c>
      <c r="L113" s="136" t="s">
        <v>276</v>
      </c>
      <c r="M113" s="143">
        <v>0.41399999999999998</v>
      </c>
      <c r="N113" s="143">
        <v>0.58399999999999996</v>
      </c>
      <c r="O113" s="143">
        <v>1.1396189301632154</v>
      </c>
      <c r="P113" s="143">
        <v>1.242</v>
      </c>
      <c r="Q113" s="143">
        <v>1.7519999999999998</v>
      </c>
      <c r="R113" s="143">
        <v>0.37987297672107179</v>
      </c>
      <c r="S113" s="136" t="s">
        <v>106</v>
      </c>
      <c r="T113" s="136" t="s">
        <v>108</v>
      </c>
      <c r="U113" s="136" t="s">
        <v>113</v>
      </c>
      <c r="V113" s="136"/>
      <c r="W113" s="136" t="s">
        <v>387</v>
      </c>
      <c r="X113" s="137">
        <v>1.6250000000000001E-2</v>
      </c>
      <c r="Y113" s="137">
        <v>3.2500000000000001E-2</v>
      </c>
      <c r="Z113" s="137">
        <v>2</v>
      </c>
      <c r="AA113" s="146" t="s">
        <v>664</v>
      </c>
      <c r="AB113" s="9" t="s">
        <v>270</v>
      </c>
      <c r="AC113" s="138"/>
    </row>
    <row r="114" spans="1:29" ht="24" x14ac:dyDescent="0.3">
      <c r="A114" s="3" t="e">
        <f>VLOOKUP(E114,'[1]Listas Desplegables'!$H$3:$J$7,2,FALSE)</f>
        <v>#N/A</v>
      </c>
      <c r="B114" s="3" t="e">
        <f>VLOOKUP(E114,'[1]Listas Desplegables'!$H$3:$J$7,3,FALSE)</f>
        <v>#N/A</v>
      </c>
      <c r="C114" s="8">
        <v>109</v>
      </c>
      <c r="D114" s="136" t="s">
        <v>525</v>
      </c>
      <c r="E114" s="136" t="s">
        <v>526</v>
      </c>
      <c r="F114" s="136" t="s">
        <v>527</v>
      </c>
      <c r="G114" s="136">
        <v>34.5</v>
      </c>
      <c r="H114" s="136">
        <v>16</v>
      </c>
      <c r="I114" s="136">
        <v>241</v>
      </c>
      <c r="J114" s="136">
        <v>241</v>
      </c>
      <c r="K114" s="136">
        <v>241</v>
      </c>
      <c r="L114" s="136" t="s">
        <v>276</v>
      </c>
      <c r="M114" s="136">
        <v>0.52200000000000002</v>
      </c>
      <c r="N114" s="136">
        <v>0.71699999999999997</v>
      </c>
      <c r="O114" s="143">
        <v>0.91154921412252898</v>
      </c>
      <c r="P114" s="143">
        <v>1.5660000000000001</v>
      </c>
      <c r="Q114" s="143">
        <v>2.1509999999999998</v>
      </c>
      <c r="R114" s="143">
        <v>0.30384973804084298</v>
      </c>
      <c r="S114" s="136" t="s">
        <v>106</v>
      </c>
      <c r="T114" s="136" t="s">
        <v>108</v>
      </c>
      <c r="U114" s="136" t="s">
        <v>113</v>
      </c>
      <c r="V114" s="136"/>
      <c r="W114" s="136" t="s">
        <v>440</v>
      </c>
      <c r="X114" s="137">
        <v>0.31811315789473688</v>
      </c>
      <c r="Y114" s="137">
        <v>6.0441500000000001</v>
      </c>
      <c r="Z114" s="137">
        <v>19</v>
      </c>
      <c r="AA114" s="146" t="s">
        <v>664</v>
      </c>
      <c r="AB114" s="9" t="s">
        <v>270</v>
      </c>
      <c r="AC114" s="138"/>
    </row>
    <row r="115" spans="1:29" ht="24" x14ac:dyDescent="0.3">
      <c r="A115" s="3" t="e">
        <f>VLOOKUP(E115,'[1]Listas Desplegables'!$H$3:$J$7,2,FALSE)</f>
        <v>#N/A</v>
      </c>
      <c r="B115" s="3" t="e">
        <f>VLOOKUP(E115,'[1]Listas Desplegables'!$H$3:$J$7,3,FALSE)</f>
        <v>#N/A</v>
      </c>
      <c r="C115" s="7">
        <v>110</v>
      </c>
      <c r="D115" s="136" t="s">
        <v>528</v>
      </c>
      <c r="E115" s="136" t="s">
        <v>403</v>
      </c>
      <c r="F115" s="136" t="s">
        <v>529</v>
      </c>
      <c r="G115" s="136">
        <v>34.5</v>
      </c>
      <c r="H115" s="136">
        <v>3.96</v>
      </c>
      <c r="I115" s="136">
        <v>241</v>
      </c>
      <c r="J115" s="136">
        <v>241</v>
      </c>
      <c r="K115" s="136">
        <v>241</v>
      </c>
      <c r="L115" s="136" t="s">
        <v>276</v>
      </c>
      <c r="M115" s="136">
        <v>0.52200000000000002</v>
      </c>
      <c r="N115" s="136">
        <v>0.71699999999999997</v>
      </c>
      <c r="O115" s="143">
        <v>0.91154921412252898</v>
      </c>
      <c r="P115" s="143">
        <v>1.5660000000000001</v>
      </c>
      <c r="Q115" s="143">
        <v>2.1509999999999998</v>
      </c>
      <c r="R115" s="143">
        <v>0.30384973804084298</v>
      </c>
      <c r="S115" s="136" t="s">
        <v>106</v>
      </c>
      <c r="T115" s="136" t="s">
        <v>108</v>
      </c>
      <c r="U115" s="136" t="s">
        <v>113</v>
      </c>
      <c r="V115" s="136"/>
      <c r="W115" s="136" t="s">
        <v>440</v>
      </c>
      <c r="X115" s="137"/>
      <c r="Y115" s="137"/>
      <c r="Z115" s="137"/>
      <c r="AA115" s="146" t="s">
        <v>664</v>
      </c>
      <c r="AB115" s="9" t="s">
        <v>270</v>
      </c>
      <c r="AC115" s="138"/>
    </row>
    <row r="116" spans="1:29" ht="24" x14ac:dyDescent="0.3">
      <c r="A116" s="3" t="e">
        <f>VLOOKUP(E116,'[1]Listas Desplegables'!$H$3:$J$7,2,FALSE)</f>
        <v>#N/A</v>
      </c>
      <c r="B116" s="3" t="e">
        <f>VLOOKUP(E116,'[1]Listas Desplegables'!$H$3:$J$7,3,FALSE)</f>
        <v>#N/A</v>
      </c>
      <c r="C116" s="8">
        <v>111</v>
      </c>
      <c r="D116" s="136" t="s">
        <v>530</v>
      </c>
      <c r="E116" s="136" t="s">
        <v>529</v>
      </c>
      <c r="F116" s="136" t="s">
        <v>531</v>
      </c>
      <c r="G116" s="136">
        <v>34.5</v>
      </c>
      <c r="H116" s="136">
        <v>2.52</v>
      </c>
      <c r="I116" s="136">
        <v>275</v>
      </c>
      <c r="J116" s="136">
        <v>275</v>
      </c>
      <c r="K116" s="136">
        <v>275</v>
      </c>
      <c r="L116" s="136" t="s">
        <v>276</v>
      </c>
      <c r="M116" s="143">
        <v>0.41399999999999998</v>
      </c>
      <c r="N116" s="143">
        <v>0.58399999999999996</v>
      </c>
      <c r="O116" s="143">
        <v>1.1396189301632154</v>
      </c>
      <c r="P116" s="143">
        <v>1.242</v>
      </c>
      <c r="Q116" s="143">
        <v>1.7519999999999998</v>
      </c>
      <c r="R116" s="143">
        <v>0.37987297672107179</v>
      </c>
      <c r="S116" s="136" t="s">
        <v>106</v>
      </c>
      <c r="T116" s="136" t="s">
        <v>108</v>
      </c>
      <c r="U116" s="136" t="s">
        <v>113</v>
      </c>
      <c r="V116" s="136"/>
      <c r="W116" s="136" t="s">
        <v>387</v>
      </c>
      <c r="X116" s="137">
        <v>0.21044666666666667</v>
      </c>
      <c r="Y116" s="137">
        <v>2.1044666666666667</v>
      </c>
      <c r="Z116" s="137">
        <v>10</v>
      </c>
      <c r="AA116" s="146" t="s">
        <v>664</v>
      </c>
      <c r="AB116" s="9" t="s">
        <v>270</v>
      </c>
      <c r="AC116" s="138"/>
    </row>
    <row r="117" spans="1:29" ht="24" x14ac:dyDescent="0.3">
      <c r="A117" s="3" t="e">
        <f>VLOOKUP(E117,'[1]Listas Desplegables'!$H$3:$J$7,2,FALSE)</f>
        <v>#N/A</v>
      </c>
      <c r="B117" s="3" t="e">
        <f>VLOOKUP(E117,'[1]Listas Desplegables'!$H$3:$J$7,3,FALSE)</f>
        <v>#N/A</v>
      </c>
      <c r="C117" s="8">
        <v>112</v>
      </c>
      <c r="D117" s="136" t="s">
        <v>532</v>
      </c>
      <c r="E117" s="136" t="s">
        <v>304</v>
      </c>
      <c r="F117" s="136" t="s">
        <v>531</v>
      </c>
      <c r="G117" s="136">
        <v>34.5</v>
      </c>
      <c r="H117" s="136">
        <v>1.23</v>
      </c>
      <c r="I117" s="136">
        <v>275</v>
      </c>
      <c r="J117" s="136">
        <v>275</v>
      </c>
      <c r="K117" s="136">
        <v>275</v>
      </c>
      <c r="L117" s="136" t="s">
        <v>276</v>
      </c>
      <c r="M117" s="143">
        <v>0.41399999999999998</v>
      </c>
      <c r="N117" s="143">
        <v>0.58399999999999996</v>
      </c>
      <c r="O117" s="143">
        <v>1.1396189301632154</v>
      </c>
      <c r="P117" s="143">
        <v>1.242</v>
      </c>
      <c r="Q117" s="143">
        <v>1.7519999999999998</v>
      </c>
      <c r="R117" s="143">
        <v>0.37987297672107179</v>
      </c>
      <c r="S117" s="136" t="s">
        <v>106</v>
      </c>
      <c r="T117" s="136" t="s">
        <v>108</v>
      </c>
      <c r="U117" s="136" t="s">
        <v>113</v>
      </c>
      <c r="V117" s="136"/>
      <c r="W117" s="136" t="s">
        <v>387</v>
      </c>
      <c r="X117" s="137">
        <v>1.6341666666666664E-2</v>
      </c>
      <c r="Y117" s="137">
        <v>0.29414999999999997</v>
      </c>
      <c r="Z117" s="137">
        <v>18</v>
      </c>
      <c r="AA117" s="146" t="s">
        <v>664</v>
      </c>
      <c r="AB117" s="9" t="s">
        <v>270</v>
      </c>
      <c r="AC117" s="138"/>
    </row>
    <row r="118" spans="1:29" ht="24" x14ac:dyDescent="0.3">
      <c r="A118" s="3" t="e">
        <f>VLOOKUP(E118,'[1]Listas Desplegables'!$H$3:$J$7,2,FALSE)</f>
        <v>#N/A</v>
      </c>
      <c r="B118" s="3" t="e">
        <f>VLOOKUP(E118,'[1]Listas Desplegables'!$H$3:$J$7,3,FALSE)</f>
        <v>#N/A</v>
      </c>
      <c r="C118" s="8">
        <v>113</v>
      </c>
      <c r="D118" s="136" t="s">
        <v>533</v>
      </c>
      <c r="E118" s="136" t="s">
        <v>534</v>
      </c>
      <c r="F118" s="136" t="s">
        <v>535</v>
      </c>
      <c r="G118" s="136">
        <v>34.5</v>
      </c>
      <c r="H118" s="136">
        <v>0.6</v>
      </c>
      <c r="I118" s="136">
        <v>275</v>
      </c>
      <c r="J118" s="136">
        <v>275</v>
      </c>
      <c r="K118" s="136">
        <v>275</v>
      </c>
      <c r="L118" s="136" t="s">
        <v>276</v>
      </c>
      <c r="M118" s="143">
        <v>0.41399999999999998</v>
      </c>
      <c r="N118" s="143">
        <v>0.58399999999999996</v>
      </c>
      <c r="O118" s="143">
        <v>1.1396189301632154</v>
      </c>
      <c r="P118" s="143">
        <v>1.242</v>
      </c>
      <c r="Q118" s="143">
        <v>1.7519999999999998</v>
      </c>
      <c r="R118" s="143">
        <v>0.37987297672107179</v>
      </c>
      <c r="S118" s="136" t="s">
        <v>106</v>
      </c>
      <c r="T118" s="136" t="s">
        <v>108</v>
      </c>
      <c r="U118" s="136" t="s">
        <v>113</v>
      </c>
      <c r="V118" s="136"/>
      <c r="W118" s="136" t="s">
        <v>387</v>
      </c>
      <c r="X118" s="137">
        <v>0.20166666666666666</v>
      </c>
      <c r="Y118" s="137">
        <v>0.60499999999999998</v>
      </c>
      <c r="Z118" s="137">
        <v>3</v>
      </c>
      <c r="AA118" s="146" t="s">
        <v>664</v>
      </c>
      <c r="AB118" s="9" t="s">
        <v>270</v>
      </c>
      <c r="AC118" s="138"/>
    </row>
    <row r="119" spans="1:29" ht="24" x14ac:dyDescent="0.3">
      <c r="A119" s="3" t="e">
        <f>VLOOKUP(E119,'[1]Listas Desplegables'!$H$3:$J$7,2,FALSE)</f>
        <v>#N/A</v>
      </c>
      <c r="B119" s="3" t="e">
        <f>VLOOKUP(E119,'[1]Listas Desplegables'!$H$3:$J$7,3,FALSE)</f>
        <v>#N/A</v>
      </c>
      <c r="C119" s="7">
        <v>114</v>
      </c>
      <c r="D119" s="136" t="s">
        <v>536</v>
      </c>
      <c r="E119" s="136" t="s">
        <v>529</v>
      </c>
      <c r="F119" s="136" t="s">
        <v>537</v>
      </c>
      <c r="G119" s="136">
        <v>34.5</v>
      </c>
      <c r="H119" s="136">
        <v>12.21</v>
      </c>
      <c r="I119" s="136">
        <v>275</v>
      </c>
      <c r="J119" s="136">
        <v>275</v>
      </c>
      <c r="K119" s="136">
        <v>275</v>
      </c>
      <c r="L119" s="136" t="s">
        <v>276</v>
      </c>
      <c r="M119" s="143">
        <v>0.41399999999999998</v>
      </c>
      <c r="N119" s="143">
        <v>0.58399999999999996</v>
      </c>
      <c r="O119" s="143">
        <v>1.1396189301632154</v>
      </c>
      <c r="P119" s="143">
        <v>1.242</v>
      </c>
      <c r="Q119" s="143">
        <v>1.7519999999999998</v>
      </c>
      <c r="R119" s="143">
        <v>0.37987297672107179</v>
      </c>
      <c r="S119" s="136" t="s">
        <v>106</v>
      </c>
      <c r="T119" s="136" t="s">
        <v>108</v>
      </c>
      <c r="U119" s="136" t="s">
        <v>113</v>
      </c>
      <c r="V119" s="136"/>
      <c r="W119" s="136" t="s">
        <v>387</v>
      </c>
      <c r="X119" s="137">
        <v>0</v>
      </c>
      <c r="Y119" s="137" t="s">
        <v>285</v>
      </c>
      <c r="Z119" s="137">
        <v>0</v>
      </c>
      <c r="AA119" s="146" t="s">
        <v>664</v>
      </c>
      <c r="AB119" s="9" t="s">
        <v>270</v>
      </c>
      <c r="AC119" s="138"/>
    </row>
    <row r="120" spans="1:29" ht="24" x14ac:dyDescent="0.3">
      <c r="A120" s="3" t="e">
        <f>VLOOKUP(E120,'[1]Listas Desplegables'!$H$3:$J$7,2,FALSE)</f>
        <v>#N/A</v>
      </c>
      <c r="B120" s="3" t="e">
        <f>VLOOKUP(E120,'[1]Listas Desplegables'!$H$3:$J$7,3,FALSE)</f>
        <v>#N/A</v>
      </c>
      <c r="C120" s="8">
        <v>115</v>
      </c>
      <c r="D120" s="136" t="s">
        <v>538</v>
      </c>
      <c r="E120" s="136" t="s">
        <v>539</v>
      </c>
      <c r="F120" s="136" t="s">
        <v>540</v>
      </c>
      <c r="G120" s="136">
        <v>34.5</v>
      </c>
      <c r="H120" s="136">
        <v>14</v>
      </c>
      <c r="I120" s="136">
        <v>241</v>
      </c>
      <c r="J120" s="136">
        <v>241</v>
      </c>
      <c r="K120" s="136">
        <v>241</v>
      </c>
      <c r="L120" s="136" t="s">
        <v>276</v>
      </c>
      <c r="M120" s="136">
        <v>0.52200000000000002</v>
      </c>
      <c r="N120" s="136">
        <v>0.71699999999999997</v>
      </c>
      <c r="O120" s="143">
        <v>0.91154921412252898</v>
      </c>
      <c r="P120" s="143">
        <v>1.5660000000000001</v>
      </c>
      <c r="Q120" s="143">
        <v>2.1509999999999998</v>
      </c>
      <c r="R120" s="143">
        <v>0.30384973804084298</v>
      </c>
      <c r="S120" s="136" t="s">
        <v>106</v>
      </c>
      <c r="T120" s="136" t="s">
        <v>108</v>
      </c>
      <c r="U120" s="136" t="s">
        <v>113</v>
      </c>
      <c r="V120" s="136"/>
      <c r="W120" s="136" t="s">
        <v>440</v>
      </c>
      <c r="X120" s="137">
        <v>5.6519444444444449E-2</v>
      </c>
      <c r="Y120" s="137">
        <v>0.33911666666666668</v>
      </c>
      <c r="Z120" s="137">
        <v>6</v>
      </c>
      <c r="AA120" s="146" t="s">
        <v>664</v>
      </c>
      <c r="AB120" s="9" t="s">
        <v>270</v>
      </c>
      <c r="AC120" s="138"/>
    </row>
    <row r="121" spans="1:29" ht="24" x14ac:dyDescent="0.3">
      <c r="A121" s="3" t="e">
        <f>VLOOKUP(E121,'[1]Listas Desplegables'!$H$3:$J$7,2,FALSE)</f>
        <v>#N/A</v>
      </c>
      <c r="B121" s="3" t="e">
        <f>VLOOKUP(E121,'[1]Listas Desplegables'!$H$3:$J$7,3,FALSE)</f>
        <v>#N/A</v>
      </c>
      <c r="C121" s="8">
        <v>116</v>
      </c>
      <c r="D121" s="136" t="s">
        <v>541</v>
      </c>
      <c r="E121" s="136" t="s">
        <v>542</v>
      </c>
      <c r="F121" s="136" t="s">
        <v>543</v>
      </c>
      <c r="G121" s="136">
        <v>34.5</v>
      </c>
      <c r="H121" s="136">
        <v>4.8</v>
      </c>
      <c r="I121" s="136">
        <v>275</v>
      </c>
      <c r="J121" s="136">
        <v>275</v>
      </c>
      <c r="K121" s="136">
        <v>275</v>
      </c>
      <c r="L121" s="136" t="s">
        <v>276</v>
      </c>
      <c r="M121" s="143">
        <v>0.41399999999999998</v>
      </c>
      <c r="N121" s="143">
        <v>0.58399999999999996</v>
      </c>
      <c r="O121" s="143">
        <v>1.1396189301632154</v>
      </c>
      <c r="P121" s="143">
        <v>1.242</v>
      </c>
      <c r="Q121" s="143">
        <v>1.7519999999999998</v>
      </c>
      <c r="R121" s="143">
        <v>0.37987297672107179</v>
      </c>
      <c r="S121" s="136" t="s">
        <v>106</v>
      </c>
      <c r="T121" s="136" t="s">
        <v>108</v>
      </c>
      <c r="U121" s="136" t="s">
        <v>113</v>
      </c>
      <c r="V121" s="136"/>
      <c r="W121" s="136" t="s">
        <v>387</v>
      </c>
      <c r="X121" s="137">
        <v>3.5833333333333328E-2</v>
      </c>
      <c r="Y121" s="137">
        <v>7.1666666666666656E-2</v>
      </c>
      <c r="Z121" s="137">
        <v>2</v>
      </c>
      <c r="AA121" s="146" t="s">
        <v>664</v>
      </c>
      <c r="AB121" s="9" t="s">
        <v>270</v>
      </c>
      <c r="AC121" s="138"/>
    </row>
    <row r="122" spans="1:29" ht="24" x14ac:dyDescent="0.3">
      <c r="A122" s="3" t="e">
        <f>VLOOKUP(E122,'[1]Listas Desplegables'!$H$3:$J$7,2,FALSE)</f>
        <v>#N/A</v>
      </c>
      <c r="B122" s="3" t="e">
        <f>VLOOKUP(E122,'[1]Listas Desplegables'!$H$3:$J$7,3,FALSE)</f>
        <v>#N/A</v>
      </c>
      <c r="C122" s="8">
        <v>117</v>
      </c>
      <c r="D122" s="136" t="s">
        <v>544</v>
      </c>
      <c r="E122" s="136" t="s">
        <v>545</v>
      </c>
      <c r="F122" s="136" t="s">
        <v>546</v>
      </c>
      <c r="G122" s="136">
        <v>34.5</v>
      </c>
      <c r="H122" s="136">
        <v>2.2400000000000002</v>
      </c>
      <c r="I122" s="136">
        <v>275</v>
      </c>
      <c r="J122" s="136">
        <v>275</v>
      </c>
      <c r="K122" s="136">
        <v>275</v>
      </c>
      <c r="L122" s="136" t="s">
        <v>276</v>
      </c>
      <c r="M122" s="143">
        <v>0.41399999999999998</v>
      </c>
      <c r="N122" s="143">
        <v>0.58399999999999996</v>
      </c>
      <c r="O122" s="143">
        <v>1.1396189301632154</v>
      </c>
      <c r="P122" s="143">
        <v>1.242</v>
      </c>
      <c r="Q122" s="143">
        <v>1.7519999999999998</v>
      </c>
      <c r="R122" s="143">
        <v>0.37987297672107179</v>
      </c>
      <c r="S122" s="136" t="s">
        <v>106</v>
      </c>
      <c r="T122" s="136" t="s">
        <v>108</v>
      </c>
      <c r="U122" s="136" t="s">
        <v>113</v>
      </c>
      <c r="V122" s="136"/>
      <c r="W122" s="136" t="s">
        <v>387</v>
      </c>
      <c r="X122" s="137">
        <v>4.4309313725490185E-2</v>
      </c>
      <c r="Y122" s="137">
        <v>1.5065166666666663</v>
      </c>
      <c r="Z122" s="137">
        <v>34</v>
      </c>
      <c r="AA122" s="146" t="s">
        <v>664</v>
      </c>
      <c r="AB122" s="9" t="s">
        <v>270</v>
      </c>
      <c r="AC122" s="138"/>
    </row>
    <row r="123" spans="1:29" ht="24" x14ac:dyDescent="0.3">
      <c r="A123" s="3" t="e">
        <f>VLOOKUP(E123,'[1]Listas Desplegables'!$H$3:$J$7,2,FALSE)</f>
        <v>#N/A</v>
      </c>
      <c r="B123" s="3" t="e">
        <f>VLOOKUP(E123,'[1]Listas Desplegables'!$H$3:$J$7,3,FALSE)</f>
        <v>#N/A</v>
      </c>
      <c r="C123" s="7">
        <v>118</v>
      </c>
      <c r="D123" s="136" t="s">
        <v>547</v>
      </c>
      <c r="E123" s="136" t="s">
        <v>452</v>
      </c>
      <c r="F123" s="136" t="s">
        <v>548</v>
      </c>
      <c r="G123" s="136">
        <v>34.5</v>
      </c>
      <c r="H123" s="136">
        <v>6</v>
      </c>
      <c r="I123" s="136">
        <v>275</v>
      </c>
      <c r="J123" s="136">
        <v>275</v>
      </c>
      <c r="K123" s="136">
        <v>275</v>
      </c>
      <c r="L123" s="136" t="s">
        <v>276</v>
      </c>
      <c r="M123" s="143">
        <v>0.41399999999999998</v>
      </c>
      <c r="N123" s="143">
        <v>0.58399999999999996</v>
      </c>
      <c r="O123" s="143">
        <v>1.1396189301632154</v>
      </c>
      <c r="P123" s="143">
        <v>1.242</v>
      </c>
      <c r="Q123" s="143">
        <v>1.7519999999999998</v>
      </c>
      <c r="R123" s="143">
        <v>0.37987297672107179</v>
      </c>
      <c r="S123" s="136" t="s">
        <v>106</v>
      </c>
      <c r="T123" s="136" t="s">
        <v>108</v>
      </c>
      <c r="U123" s="136" t="s">
        <v>113</v>
      </c>
      <c r="V123" s="136"/>
      <c r="W123" s="136" t="s">
        <v>387</v>
      </c>
      <c r="X123" s="137"/>
      <c r="Y123" s="137"/>
      <c r="Z123" s="137"/>
      <c r="AA123" s="146" t="s">
        <v>664</v>
      </c>
      <c r="AB123" s="9" t="s">
        <v>270</v>
      </c>
      <c r="AC123" s="138"/>
    </row>
    <row r="124" spans="1:29" ht="24" x14ac:dyDescent="0.3">
      <c r="A124" s="3" t="e">
        <f>VLOOKUP(E124,'[1]Listas Desplegables'!$H$3:$J$7,2,FALSE)</f>
        <v>#N/A</v>
      </c>
      <c r="B124" s="3" t="e">
        <f>VLOOKUP(E124,'[1]Listas Desplegables'!$H$3:$J$7,3,FALSE)</f>
        <v>#N/A</v>
      </c>
      <c r="C124" s="8">
        <v>119</v>
      </c>
      <c r="D124" s="136" t="s">
        <v>549</v>
      </c>
      <c r="E124" s="136" t="s">
        <v>550</v>
      </c>
      <c r="F124" s="136" t="s">
        <v>551</v>
      </c>
      <c r="G124" s="136">
        <v>34.5</v>
      </c>
      <c r="H124" s="136">
        <v>14</v>
      </c>
      <c r="I124" s="136">
        <v>275</v>
      </c>
      <c r="J124" s="136">
        <v>275</v>
      </c>
      <c r="K124" s="136">
        <v>275</v>
      </c>
      <c r="L124" s="136" t="s">
        <v>276</v>
      </c>
      <c r="M124" s="143">
        <v>0.41399999999999998</v>
      </c>
      <c r="N124" s="143">
        <v>0.58399999999999996</v>
      </c>
      <c r="O124" s="143">
        <v>1.1396189301632154</v>
      </c>
      <c r="P124" s="143">
        <v>1.242</v>
      </c>
      <c r="Q124" s="143">
        <v>1.7519999999999998</v>
      </c>
      <c r="R124" s="143">
        <v>0.37987297672107179</v>
      </c>
      <c r="S124" s="136" t="s">
        <v>106</v>
      </c>
      <c r="T124" s="136" t="s">
        <v>108</v>
      </c>
      <c r="U124" s="136" t="s">
        <v>113</v>
      </c>
      <c r="V124" s="136"/>
      <c r="W124" s="136" t="s">
        <v>387</v>
      </c>
      <c r="X124" s="137">
        <v>4.4309313725490185E-2</v>
      </c>
      <c r="Y124" s="137">
        <v>1.5065166666666663</v>
      </c>
      <c r="Z124" s="137">
        <v>34</v>
      </c>
      <c r="AA124" s="146" t="s">
        <v>664</v>
      </c>
      <c r="AB124" s="9" t="s">
        <v>270</v>
      </c>
      <c r="AC124" s="138"/>
    </row>
    <row r="125" spans="1:29" ht="24" x14ac:dyDescent="0.3">
      <c r="A125" s="3" t="e">
        <f>VLOOKUP(E125,'[1]Listas Desplegables'!$H$3:$J$7,2,FALSE)</f>
        <v>#N/A</v>
      </c>
      <c r="B125" s="3" t="e">
        <f>VLOOKUP(E125,'[1]Listas Desplegables'!$H$3:$J$7,3,FALSE)</f>
        <v>#N/A</v>
      </c>
      <c r="C125" s="8">
        <v>120</v>
      </c>
      <c r="D125" s="136" t="s">
        <v>552</v>
      </c>
      <c r="E125" s="136" t="s">
        <v>550</v>
      </c>
      <c r="F125" s="136" t="s">
        <v>553</v>
      </c>
      <c r="G125" s="136">
        <v>34.5</v>
      </c>
      <c r="H125" s="136">
        <v>14</v>
      </c>
      <c r="I125" s="136">
        <v>241</v>
      </c>
      <c r="J125" s="136">
        <v>241</v>
      </c>
      <c r="K125" s="136">
        <v>241</v>
      </c>
      <c r="L125" s="136" t="s">
        <v>276</v>
      </c>
      <c r="M125" s="136">
        <v>0.52200000000000002</v>
      </c>
      <c r="N125" s="136">
        <v>0.71699999999999997</v>
      </c>
      <c r="O125" s="143">
        <v>0.91154921412252898</v>
      </c>
      <c r="P125" s="143">
        <v>1.5660000000000001</v>
      </c>
      <c r="Q125" s="143">
        <v>2.1509999999999998</v>
      </c>
      <c r="R125" s="143">
        <v>0.30384973804084298</v>
      </c>
      <c r="S125" s="136" t="s">
        <v>106</v>
      </c>
      <c r="T125" s="136" t="s">
        <v>108</v>
      </c>
      <c r="U125" s="136" t="s">
        <v>113</v>
      </c>
      <c r="V125" s="136"/>
      <c r="W125" s="136" t="s">
        <v>440</v>
      </c>
      <c r="X125" s="137">
        <v>0</v>
      </c>
      <c r="Y125" s="137" t="s">
        <v>285</v>
      </c>
      <c r="Z125" s="137">
        <v>0</v>
      </c>
      <c r="AA125" s="146" t="s">
        <v>664</v>
      </c>
      <c r="AB125" s="9" t="s">
        <v>270</v>
      </c>
      <c r="AC125" s="138"/>
    </row>
    <row r="126" spans="1:29" ht="24" x14ac:dyDescent="0.3">
      <c r="A126" s="3" t="e">
        <f>VLOOKUP(E126,'[1]Listas Desplegables'!$H$3:$J$7,2,FALSE)</f>
        <v>#N/A</v>
      </c>
      <c r="B126" s="3" t="e">
        <f>VLOOKUP(E126,'[1]Listas Desplegables'!$H$3:$J$7,3,FALSE)</f>
        <v>#N/A</v>
      </c>
      <c r="C126" s="8">
        <v>121</v>
      </c>
      <c r="D126" s="136" t="s">
        <v>554</v>
      </c>
      <c r="E126" s="136" t="s">
        <v>550</v>
      </c>
      <c r="F126" s="136" t="s">
        <v>465</v>
      </c>
      <c r="G126" s="136">
        <v>34.5</v>
      </c>
      <c r="H126" s="136">
        <v>25.5</v>
      </c>
      <c r="I126" s="136">
        <v>241</v>
      </c>
      <c r="J126" s="136">
        <v>241</v>
      </c>
      <c r="K126" s="136">
        <v>241</v>
      </c>
      <c r="L126" s="136" t="s">
        <v>276</v>
      </c>
      <c r="M126" s="136">
        <v>0.52200000000000002</v>
      </c>
      <c r="N126" s="136">
        <v>0.71699999999999997</v>
      </c>
      <c r="O126" s="143">
        <v>0.91154921412252898</v>
      </c>
      <c r="P126" s="143">
        <v>1.5660000000000001</v>
      </c>
      <c r="Q126" s="143">
        <v>2.1509999999999998</v>
      </c>
      <c r="R126" s="143">
        <v>0.30384973804084298</v>
      </c>
      <c r="S126" s="136" t="s">
        <v>106</v>
      </c>
      <c r="T126" s="136" t="s">
        <v>108</v>
      </c>
      <c r="U126" s="136" t="s">
        <v>113</v>
      </c>
      <c r="V126" s="136"/>
      <c r="W126" s="136" t="s">
        <v>440</v>
      </c>
      <c r="X126" s="137">
        <v>0</v>
      </c>
      <c r="Y126" s="137" t="s">
        <v>285</v>
      </c>
      <c r="Z126" s="137">
        <v>0</v>
      </c>
      <c r="AA126" s="146" t="s">
        <v>664</v>
      </c>
      <c r="AB126" s="9" t="s">
        <v>270</v>
      </c>
      <c r="AC126" s="138"/>
    </row>
    <row r="127" spans="1:29" ht="24" x14ac:dyDescent="0.3">
      <c r="A127" s="3" t="e">
        <f>VLOOKUP(E127,'[1]Listas Desplegables'!$H$3:$J$7,2,FALSE)</f>
        <v>#N/A</v>
      </c>
      <c r="B127" s="3" t="e">
        <f>VLOOKUP(E127,'[1]Listas Desplegables'!$H$3:$J$7,3,FALSE)</f>
        <v>#N/A</v>
      </c>
      <c r="C127" s="7">
        <v>122</v>
      </c>
      <c r="D127" s="136" t="s">
        <v>555</v>
      </c>
      <c r="E127" s="136" t="s">
        <v>543</v>
      </c>
      <c r="F127" s="136" t="s">
        <v>556</v>
      </c>
      <c r="G127" s="136">
        <v>34.5</v>
      </c>
      <c r="H127" s="136">
        <v>3.5</v>
      </c>
      <c r="I127" s="136">
        <v>275</v>
      </c>
      <c r="J127" s="136">
        <v>275</v>
      </c>
      <c r="K127" s="136">
        <v>275</v>
      </c>
      <c r="L127" s="136" t="s">
        <v>276</v>
      </c>
      <c r="M127" s="143">
        <v>0.41399999999999998</v>
      </c>
      <c r="N127" s="143">
        <v>0.58399999999999996</v>
      </c>
      <c r="O127" s="143">
        <v>1.1396189301632154</v>
      </c>
      <c r="P127" s="143">
        <v>1.242</v>
      </c>
      <c r="Q127" s="143">
        <v>1.7519999999999998</v>
      </c>
      <c r="R127" s="143">
        <v>0.37987297672107179</v>
      </c>
      <c r="S127" s="136" t="s">
        <v>106</v>
      </c>
      <c r="T127" s="136" t="s">
        <v>108</v>
      </c>
      <c r="U127" s="136" t="s">
        <v>113</v>
      </c>
      <c r="V127" s="136"/>
      <c r="W127" s="136" t="s">
        <v>387</v>
      </c>
      <c r="X127" s="137">
        <v>0</v>
      </c>
      <c r="Y127" s="137" t="s">
        <v>285</v>
      </c>
      <c r="Z127" s="137">
        <v>0</v>
      </c>
      <c r="AA127" s="146" t="s">
        <v>664</v>
      </c>
      <c r="AB127" s="9" t="s">
        <v>270</v>
      </c>
      <c r="AC127" s="138"/>
    </row>
    <row r="128" spans="1:29" ht="24" x14ac:dyDescent="0.3">
      <c r="A128" s="3" t="e">
        <f>VLOOKUP(E128,'[1]Listas Desplegables'!$H$3:$J$7,2,FALSE)</f>
        <v>#N/A</v>
      </c>
      <c r="B128" s="3" t="e">
        <f>VLOOKUP(E128,'[1]Listas Desplegables'!$H$3:$J$7,3,FALSE)</f>
        <v>#N/A</v>
      </c>
      <c r="C128" s="8">
        <v>123</v>
      </c>
      <c r="D128" s="136" t="s">
        <v>557</v>
      </c>
      <c r="E128" s="136" t="s">
        <v>556</v>
      </c>
      <c r="F128" s="136" t="s">
        <v>558</v>
      </c>
      <c r="G128" s="136">
        <v>34.5</v>
      </c>
      <c r="H128" s="136">
        <v>6</v>
      </c>
      <c r="I128" s="136">
        <v>241</v>
      </c>
      <c r="J128" s="136">
        <v>241</v>
      </c>
      <c r="K128" s="136">
        <v>241</v>
      </c>
      <c r="L128" s="136" t="s">
        <v>276</v>
      </c>
      <c r="M128" s="136">
        <v>0.52200000000000002</v>
      </c>
      <c r="N128" s="136">
        <v>0.71699999999999997</v>
      </c>
      <c r="O128" s="143">
        <v>0.91154921412252898</v>
      </c>
      <c r="P128" s="143">
        <v>1.5660000000000001</v>
      </c>
      <c r="Q128" s="143">
        <v>2.1509999999999998</v>
      </c>
      <c r="R128" s="143">
        <v>0.30384973804084298</v>
      </c>
      <c r="S128" s="136" t="s">
        <v>106</v>
      </c>
      <c r="T128" s="136" t="s">
        <v>108</v>
      </c>
      <c r="U128" s="136" t="s">
        <v>113</v>
      </c>
      <c r="V128" s="136"/>
      <c r="W128" s="136" t="s">
        <v>440</v>
      </c>
      <c r="X128" s="137"/>
      <c r="Y128" s="137"/>
      <c r="Z128" s="137"/>
      <c r="AA128" s="146" t="s">
        <v>664</v>
      </c>
      <c r="AB128" s="9" t="s">
        <v>270</v>
      </c>
      <c r="AC128" s="138"/>
    </row>
    <row r="129" spans="1:29" ht="24" x14ac:dyDescent="0.3">
      <c r="A129" s="3" t="e">
        <f>VLOOKUP(E129,'[1]Listas Desplegables'!$H$3:$J$7,2,FALSE)</f>
        <v>#N/A</v>
      </c>
      <c r="B129" s="3" t="e">
        <f>VLOOKUP(E129,'[1]Listas Desplegables'!$H$3:$J$7,3,FALSE)</f>
        <v>#N/A</v>
      </c>
      <c r="C129" s="8">
        <v>124</v>
      </c>
      <c r="D129" s="136" t="s">
        <v>559</v>
      </c>
      <c r="E129" s="136" t="s">
        <v>558</v>
      </c>
      <c r="F129" s="136" t="s">
        <v>560</v>
      </c>
      <c r="G129" s="136">
        <v>34.5</v>
      </c>
      <c r="H129" s="136">
        <v>1.5</v>
      </c>
      <c r="I129" s="136">
        <v>275</v>
      </c>
      <c r="J129" s="136">
        <v>275</v>
      </c>
      <c r="K129" s="136">
        <v>275</v>
      </c>
      <c r="L129" s="136" t="s">
        <v>276</v>
      </c>
      <c r="M129" s="143">
        <v>0.41399999999999998</v>
      </c>
      <c r="N129" s="143">
        <v>0.58399999999999996</v>
      </c>
      <c r="O129" s="143">
        <v>1.1396189301632154</v>
      </c>
      <c r="P129" s="143">
        <v>1.242</v>
      </c>
      <c r="Q129" s="143">
        <v>1.7519999999999998</v>
      </c>
      <c r="R129" s="143">
        <v>0.37987297672107179</v>
      </c>
      <c r="S129" s="136" t="s">
        <v>106</v>
      </c>
      <c r="T129" s="136" t="s">
        <v>108</v>
      </c>
      <c r="U129" s="136" t="s">
        <v>113</v>
      </c>
      <c r="V129" s="136"/>
      <c r="W129" s="136" t="s">
        <v>387</v>
      </c>
      <c r="X129" s="137"/>
      <c r="Y129" s="137"/>
      <c r="Z129" s="137"/>
      <c r="AA129" s="146" t="s">
        <v>664</v>
      </c>
      <c r="AB129" s="9" t="s">
        <v>270</v>
      </c>
      <c r="AC129" s="138"/>
    </row>
    <row r="130" spans="1:29" ht="24" x14ac:dyDescent="0.3">
      <c r="A130" s="3" t="e">
        <f>VLOOKUP(E130,'[1]Listas Desplegables'!$H$3:$J$7,2,FALSE)</f>
        <v>#N/A</v>
      </c>
      <c r="B130" s="3" t="e">
        <f>VLOOKUP(E130,'[1]Listas Desplegables'!$H$3:$J$7,3,FALSE)</f>
        <v>#N/A</v>
      </c>
      <c r="C130" s="8">
        <v>125</v>
      </c>
      <c r="D130" s="136" t="s">
        <v>561</v>
      </c>
      <c r="E130" s="136" t="s">
        <v>560</v>
      </c>
      <c r="F130" s="136" t="s">
        <v>562</v>
      </c>
      <c r="G130" s="136">
        <v>34.5</v>
      </c>
      <c r="H130" s="136">
        <v>8</v>
      </c>
      <c r="I130" s="136">
        <v>275</v>
      </c>
      <c r="J130" s="136">
        <v>275</v>
      </c>
      <c r="K130" s="136">
        <v>275</v>
      </c>
      <c r="L130" s="136" t="s">
        <v>276</v>
      </c>
      <c r="M130" s="143">
        <v>0.41399999999999998</v>
      </c>
      <c r="N130" s="143">
        <v>0.58399999999999996</v>
      </c>
      <c r="O130" s="143">
        <v>1.1396189301632154</v>
      </c>
      <c r="P130" s="143">
        <v>1.242</v>
      </c>
      <c r="Q130" s="143">
        <v>1.7519999999999998</v>
      </c>
      <c r="R130" s="143">
        <v>0.37987297672107179</v>
      </c>
      <c r="S130" s="136" t="s">
        <v>106</v>
      </c>
      <c r="T130" s="136" t="s">
        <v>108</v>
      </c>
      <c r="U130" s="136" t="s">
        <v>113</v>
      </c>
      <c r="V130" s="136"/>
      <c r="W130" s="136" t="s">
        <v>387</v>
      </c>
      <c r="X130" s="137">
        <v>4.4309313725490185E-2</v>
      </c>
      <c r="Y130" s="137">
        <v>1.5065166666666663</v>
      </c>
      <c r="Z130" s="137">
        <v>34</v>
      </c>
      <c r="AA130" s="146" t="s">
        <v>664</v>
      </c>
      <c r="AB130" s="9" t="s">
        <v>270</v>
      </c>
      <c r="AC130" s="138"/>
    </row>
    <row r="131" spans="1:29" ht="24" x14ac:dyDescent="0.3">
      <c r="A131" s="3" t="e">
        <f>VLOOKUP(E131,'[1]Listas Desplegables'!$H$3:$J$7,2,FALSE)</f>
        <v>#N/A</v>
      </c>
      <c r="B131" s="3" t="e">
        <f>VLOOKUP(E131,'[1]Listas Desplegables'!$H$3:$J$7,3,FALSE)</f>
        <v>#N/A</v>
      </c>
      <c r="C131" s="7">
        <v>126</v>
      </c>
      <c r="D131" s="136" t="s">
        <v>563</v>
      </c>
      <c r="E131" s="136" t="s">
        <v>562</v>
      </c>
      <c r="F131" s="136" t="s">
        <v>564</v>
      </c>
      <c r="G131" s="136">
        <v>34.5</v>
      </c>
      <c r="H131" s="136">
        <v>6</v>
      </c>
      <c r="I131" s="136">
        <v>275</v>
      </c>
      <c r="J131" s="136">
        <v>275</v>
      </c>
      <c r="K131" s="136">
        <v>275</v>
      </c>
      <c r="L131" s="136" t="s">
        <v>276</v>
      </c>
      <c r="M131" s="143">
        <v>0.41399999999999998</v>
      </c>
      <c r="N131" s="143">
        <v>0.58399999999999996</v>
      </c>
      <c r="O131" s="143">
        <v>1.1396189301632154</v>
      </c>
      <c r="P131" s="143">
        <v>1.242</v>
      </c>
      <c r="Q131" s="143">
        <v>1.7519999999999998</v>
      </c>
      <c r="R131" s="143">
        <v>0.37987297672107179</v>
      </c>
      <c r="S131" s="136" t="s">
        <v>106</v>
      </c>
      <c r="T131" s="136" t="s">
        <v>108</v>
      </c>
      <c r="U131" s="136" t="s">
        <v>113</v>
      </c>
      <c r="V131" s="136"/>
      <c r="W131" s="136" t="s">
        <v>387</v>
      </c>
      <c r="X131" s="137"/>
      <c r="Y131" s="137"/>
      <c r="Z131" s="137"/>
      <c r="AA131" s="146" t="s">
        <v>664</v>
      </c>
      <c r="AB131" s="9" t="s">
        <v>270</v>
      </c>
      <c r="AC131" s="138"/>
    </row>
    <row r="132" spans="1:29" ht="24" x14ac:dyDescent="0.3">
      <c r="A132" s="3" t="e">
        <f>VLOOKUP(E132,'[1]Listas Desplegables'!$H$3:$J$7,2,FALSE)</f>
        <v>#N/A</v>
      </c>
      <c r="B132" s="3" t="e">
        <f>VLOOKUP(E132,'[1]Listas Desplegables'!$H$3:$J$7,3,FALSE)</f>
        <v>#N/A</v>
      </c>
      <c r="C132" s="8">
        <v>127</v>
      </c>
      <c r="D132" s="136" t="s">
        <v>565</v>
      </c>
      <c r="E132" s="136" t="s">
        <v>433</v>
      </c>
      <c r="F132" s="136" t="s">
        <v>564</v>
      </c>
      <c r="G132" s="136">
        <v>34.5</v>
      </c>
      <c r="H132" s="136">
        <v>9</v>
      </c>
      <c r="I132" s="136">
        <v>275</v>
      </c>
      <c r="J132" s="136">
        <v>275</v>
      </c>
      <c r="K132" s="136">
        <v>275</v>
      </c>
      <c r="L132" s="136" t="s">
        <v>276</v>
      </c>
      <c r="M132" s="143">
        <v>0.41399999999999998</v>
      </c>
      <c r="N132" s="143">
        <v>0.58399999999999996</v>
      </c>
      <c r="O132" s="143">
        <v>1.1396189301632154</v>
      </c>
      <c r="P132" s="143">
        <v>1.242</v>
      </c>
      <c r="Q132" s="143">
        <v>1.7519999999999998</v>
      </c>
      <c r="R132" s="143">
        <v>0.37987297672107179</v>
      </c>
      <c r="S132" s="136" t="s">
        <v>106</v>
      </c>
      <c r="T132" s="136" t="s">
        <v>108</v>
      </c>
      <c r="U132" s="136" t="s">
        <v>113</v>
      </c>
      <c r="V132" s="136"/>
      <c r="W132" s="136" t="s">
        <v>387</v>
      </c>
      <c r="X132" s="137">
        <v>4.4309313725490185E-2</v>
      </c>
      <c r="Y132" s="137">
        <v>1.5065166666666663</v>
      </c>
      <c r="Z132" s="137">
        <v>34</v>
      </c>
      <c r="AA132" s="146" t="s">
        <v>664</v>
      </c>
      <c r="AB132" s="9" t="s">
        <v>270</v>
      </c>
      <c r="AC132" s="138"/>
    </row>
    <row r="133" spans="1:29" ht="24" x14ac:dyDescent="0.3">
      <c r="A133" s="3" t="e">
        <f>VLOOKUP(E133,'[1]Listas Desplegables'!$H$3:$J$7,2,FALSE)</f>
        <v>#N/A</v>
      </c>
      <c r="B133" s="3" t="e">
        <f>VLOOKUP(E133,'[1]Listas Desplegables'!$H$3:$J$7,3,FALSE)</f>
        <v>#N/A</v>
      </c>
      <c r="C133" s="8">
        <v>128</v>
      </c>
      <c r="D133" s="136" t="s">
        <v>566</v>
      </c>
      <c r="E133" s="136" t="s">
        <v>558</v>
      </c>
      <c r="F133" s="136" t="s">
        <v>433</v>
      </c>
      <c r="G133" s="136">
        <v>34.5</v>
      </c>
      <c r="H133" s="136">
        <v>8.1999999999999993</v>
      </c>
      <c r="I133" s="136">
        <v>275</v>
      </c>
      <c r="J133" s="136">
        <v>275</v>
      </c>
      <c r="K133" s="136">
        <v>275</v>
      </c>
      <c r="L133" s="136" t="s">
        <v>276</v>
      </c>
      <c r="M133" s="143">
        <v>0.41399999999999998</v>
      </c>
      <c r="N133" s="143">
        <v>0.58399999999999996</v>
      </c>
      <c r="O133" s="143">
        <v>1.1396189301632154</v>
      </c>
      <c r="P133" s="143">
        <v>1.242</v>
      </c>
      <c r="Q133" s="143">
        <v>1.7519999999999998</v>
      </c>
      <c r="R133" s="143">
        <v>0.37987297672107179</v>
      </c>
      <c r="S133" s="136" t="s">
        <v>106</v>
      </c>
      <c r="T133" s="136" t="s">
        <v>108</v>
      </c>
      <c r="U133" s="136" t="s">
        <v>113</v>
      </c>
      <c r="V133" s="136"/>
      <c r="W133" s="136" t="s">
        <v>387</v>
      </c>
      <c r="X133" s="137">
        <v>0.18434166666666668</v>
      </c>
      <c r="Y133" s="137">
        <v>2.5807833333333337</v>
      </c>
      <c r="Z133" s="137">
        <v>14</v>
      </c>
      <c r="AA133" s="146" t="s">
        <v>664</v>
      </c>
      <c r="AB133" s="9" t="s">
        <v>270</v>
      </c>
      <c r="AC133" s="138"/>
    </row>
    <row r="134" spans="1:29" ht="24" x14ac:dyDescent="0.3">
      <c r="A134" s="3" t="e">
        <f>VLOOKUP(E134,'[1]Listas Desplegables'!$H$3:$J$7,2,FALSE)</f>
        <v>#N/A</v>
      </c>
      <c r="B134" s="3" t="e">
        <f>VLOOKUP(E134,'[1]Listas Desplegables'!$H$3:$J$7,3,FALSE)</f>
        <v>#N/A</v>
      </c>
      <c r="C134" s="8">
        <v>129</v>
      </c>
      <c r="D134" s="136" t="s">
        <v>567</v>
      </c>
      <c r="E134" s="136" t="s">
        <v>542</v>
      </c>
      <c r="F134" s="136" t="s">
        <v>568</v>
      </c>
      <c r="G134" s="136">
        <v>34.5</v>
      </c>
      <c r="H134" s="136">
        <v>2.67</v>
      </c>
      <c r="I134" s="136">
        <v>275</v>
      </c>
      <c r="J134" s="136">
        <v>275</v>
      </c>
      <c r="K134" s="136">
        <v>275</v>
      </c>
      <c r="L134" s="136" t="s">
        <v>276</v>
      </c>
      <c r="M134" s="143">
        <v>0.41399999999999998</v>
      </c>
      <c r="N134" s="143">
        <v>0.58399999999999996</v>
      </c>
      <c r="O134" s="143">
        <v>1.1396189301632154</v>
      </c>
      <c r="P134" s="143">
        <v>1.242</v>
      </c>
      <c r="Q134" s="143">
        <v>1.7519999999999998</v>
      </c>
      <c r="R134" s="143">
        <v>0.37987297672107179</v>
      </c>
      <c r="S134" s="136" t="s">
        <v>106</v>
      </c>
      <c r="T134" s="136" t="s">
        <v>108</v>
      </c>
      <c r="U134" s="136" t="s">
        <v>113</v>
      </c>
      <c r="V134" s="136"/>
      <c r="W134" s="136" t="s">
        <v>387</v>
      </c>
      <c r="X134" s="137">
        <v>0.18434166666666668</v>
      </c>
      <c r="Y134" s="137">
        <v>2.5807833333333337</v>
      </c>
      <c r="Z134" s="137">
        <v>14</v>
      </c>
      <c r="AA134" s="146" t="s">
        <v>664</v>
      </c>
      <c r="AB134" s="9" t="s">
        <v>270</v>
      </c>
      <c r="AC134" s="138"/>
    </row>
    <row r="135" spans="1:29" ht="24" x14ac:dyDescent="0.3">
      <c r="A135" s="3" t="e">
        <f>VLOOKUP(E135,'[1]Listas Desplegables'!$H$3:$J$7,2,FALSE)</f>
        <v>#N/A</v>
      </c>
      <c r="B135" s="3" t="e">
        <f>VLOOKUP(E135,'[1]Listas Desplegables'!$H$3:$J$7,3,FALSE)</f>
        <v>#N/A</v>
      </c>
      <c r="C135" s="7">
        <v>130</v>
      </c>
      <c r="D135" s="136" t="s">
        <v>569</v>
      </c>
      <c r="E135" s="136" t="s">
        <v>568</v>
      </c>
      <c r="F135" s="136" t="s">
        <v>570</v>
      </c>
      <c r="G135" s="136">
        <v>34.5</v>
      </c>
      <c r="H135" s="136">
        <v>16</v>
      </c>
      <c r="I135" s="136">
        <v>275</v>
      </c>
      <c r="J135" s="136">
        <v>275</v>
      </c>
      <c r="K135" s="136">
        <v>275</v>
      </c>
      <c r="L135" s="136" t="s">
        <v>276</v>
      </c>
      <c r="M135" s="143">
        <v>0.41399999999999998</v>
      </c>
      <c r="N135" s="143">
        <v>0.58399999999999996</v>
      </c>
      <c r="O135" s="143">
        <v>1.1396189301632154</v>
      </c>
      <c r="P135" s="143">
        <v>1.242</v>
      </c>
      <c r="Q135" s="143">
        <v>1.7519999999999998</v>
      </c>
      <c r="R135" s="143">
        <v>0.37987297672107179</v>
      </c>
      <c r="S135" s="136" t="s">
        <v>106</v>
      </c>
      <c r="T135" s="136" t="s">
        <v>108</v>
      </c>
      <c r="U135" s="136" t="s">
        <v>113</v>
      </c>
      <c r="V135" s="136"/>
      <c r="W135" s="136" t="s">
        <v>387</v>
      </c>
      <c r="X135" s="137">
        <v>4.4309313725490185E-2</v>
      </c>
      <c r="Y135" s="137">
        <v>1.5065166666666663</v>
      </c>
      <c r="Z135" s="137">
        <v>34</v>
      </c>
      <c r="AA135" s="146" t="s">
        <v>664</v>
      </c>
      <c r="AB135" s="9" t="s">
        <v>270</v>
      </c>
      <c r="AC135" s="138"/>
    </row>
    <row r="136" spans="1:29" ht="24" x14ac:dyDescent="0.3">
      <c r="A136" s="3" t="e">
        <f>VLOOKUP(E136,'[1]Listas Desplegables'!$H$3:$J$7,2,FALSE)</f>
        <v>#N/A</v>
      </c>
      <c r="B136" s="3" t="e">
        <f>VLOOKUP(E136,'[1]Listas Desplegables'!$H$3:$J$7,3,FALSE)</f>
        <v>#N/A</v>
      </c>
      <c r="C136" s="8">
        <v>131</v>
      </c>
      <c r="D136" s="136" t="s">
        <v>571</v>
      </c>
      <c r="E136" s="136" t="s">
        <v>570</v>
      </c>
      <c r="F136" s="136" t="s">
        <v>572</v>
      </c>
      <c r="G136" s="136">
        <v>34.5</v>
      </c>
      <c r="H136" s="136">
        <v>5</v>
      </c>
      <c r="I136" s="136">
        <v>275</v>
      </c>
      <c r="J136" s="136">
        <v>275</v>
      </c>
      <c r="K136" s="136">
        <v>275</v>
      </c>
      <c r="L136" s="136" t="s">
        <v>276</v>
      </c>
      <c r="M136" s="143">
        <v>0.41399999999999998</v>
      </c>
      <c r="N136" s="143">
        <v>0.58399999999999996</v>
      </c>
      <c r="O136" s="143">
        <v>1.1396189301632154</v>
      </c>
      <c r="P136" s="143">
        <v>1.242</v>
      </c>
      <c r="Q136" s="143">
        <v>1.7519999999999998</v>
      </c>
      <c r="R136" s="143">
        <v>0.37987297672107179</v>
      </c>
      <c r="S136" s="136" t="s">
        <v>106</v>
      </c>
      <c r="T136" s="136" t="s">
        <v>108</v>
      </c>
      <c r="U136" s="136" t="s">
        <v>113</v>
      </c>
      <c r="V136" s="136"/>
      <c r="W136" s="136" t="s">
        <v>387</v>
      </c>
      <c r="X136" s="137">
        <v>4.4309313725490185E-2</v>
      </c>
      <c r="Y136" s="137">
        <v>1.5065166666666663</v>
      </c>
      <c r="Z136" s="137">
        <v>34</v>
      </c>
      <c r="AA136" s="146" t="s">
        <v>664</v>
      </c>
      <c r="AB136" s="9" t="s">
        <v>270</v>
      </c>
      <c r="AC136" s="138"/>
    </row>
    <row r="137" spans="1:29" ht="24" x14ac:dyDescent="0.3">
      <c r="A137" s="3" t="e">
        <f>VLOOKUP(E137,'[1]Listas Desplegables'!$H$3:$J$7,2,FALSE)</f>
        <v>#N/A</v>
      </c>
      <c r="B137" s="3" t="e">
        <f>VLOOKUP(E137,'[1]Listas Desplegables'!$H$3:$J$7,3,FALSE)</f>
        <v>#N/A</v>
      </c>
      <c r="C137" s="8">
        <v>132</v>
      </c>
      <c r="D137" s="136" t="s">
        <v>573</v>
      </c>
      <c r="E137" s="136" t="s">
        <v>574</v>
      </c>
      <c r="F137" s="136" t="s">
        <v>476</v>
      </c>
      <c r="G137" s="136">
        <v>34.5</v>
      </c>
      <c r="H137" s="136">
        <v>3.33</v>
      </c>
      <c r="I137" s="136">
        <v>275</v>
      </c>
      <c r="J137" s="136">
        <v>275</v>
      </c>
      <c r="K137" s="136">
        <v>275</v>
      </c>
      <c r="L137" s="136" t="s">
        <v>276</v>
      </c>
      <c r="M137" s="143">
        <v>0.41399999999999998</v>
      </c>
      <c r="N137" s="143">
        <v>0.58399999999999996</v>
      </c>
      <c r="O137" s="143">
        <v>1.1396189301632154</v>
      </c>
      <c r="P137" s="143">
        <v>1.242</v>
      </c>
      <c r="Q137" s="143">
        <v>1.7519999999999998</v>
      </c>
      <c r="R137" s="143">
        <v>0.37987297672107179</v>
      </c>
      <c r="S137" s="136" t="s">
        <v>106</v>
      </c>
      <c r="T137" s="136" t="s">
        <v>108</v>
      </c>
      <c r="U137" s="136" t="s">
        <v>113</v>
      </c>
      <c r="V137" s="136"/>
      <c r="W137" s="136" t="s">
        <v>387</v>
      </c>
      <c r="X137" s="137">
        <v>4.2397916666666667E-2</v>
      </c>
      <c r="Y137" s="137">
        <v>0.33918333333333334</v>
      </c>
      <c r="Z137" s="137">
        <v>8</v>
      </c>
      <c r="AA137" s="146" t="s">
        <v>664</v>
      </c>
      <c r="AB137" s="9" t="s">
        <v>270</v>
      </c>
      <c r="AC137" s="138"/>
    </row>
    <row r="138" spans="1:29" ht="24" x14ac:dyDescent="0.3">
      <c r="A138" s="3" t="e">
        <f>VLOOKUP(E138,'[1]Listas Desplegables'!$H$3:$J$7,2,FALSE)</f>
        <v>#N/A</v>
      </c>
      <c r="B138" s="3" t="e">
        <f>VLOOKUP(E138,'[1]Listas Desplegables'!$H$3:$J$7,3,FALSE)</f>
        <v>#N/A</v>
      </c>
      <c r="C138" s="8">
        <v>133</v>
      </c>
      <c r="D138" s="136" t="s">
        <v>575</v>
      </c>
      <c r="E138" s="136" t="s">
        <v>574</v>
      </c>
      <c r="F138" s="136" t="s">
        <v>576</v>
      </c>
      <c r="G138" s="136">
        <v>34.5</v>
      </c>
      <c r="H138" s="136">
        <v>16.14</v>
      </c>
      <c r="I138" s="136">
        <v>275</v>
      </c>
      <c r="J138" s="136">
        <v>275</v>
      </c>
      <c r="K138" s="136">
        <v>275</v>
      </c>
      <c r="L138" s="136" t="s">
        <v>276</v>
      </c>
      <c r="M138" s="143">
        <v>0.41399999999999998</v>
      </c>
      <c r="N138" s="143">
        <v>0.58399999999999996</v>
      </c>
      <c r="O138" s="143">
        <v>1.1396189301632154</v>
      </c>
      <c r="P138" s="143">
        <v>1.242</v>
      </c>
      <c r="Q138" s="143">
        <v>1.7519999999999998</v>
      </c>
      <c r="R138" s="143">
        <v>0.37987297672107179</v>
      </c>
      <c r="S138" s="136" t="s">
        <v>106</v>
      </c>
      <c r="T138" s="136" t="s">
        <v>108</v>
      </c>
      <c r="U138" s="136" t="s">
        <v>113</v>
      </c>
      <c r="V138" s="136"/>
      <c r="W138" s="136" t="s">
        <v>387</v>
      </c>
      <c r="X138" s="137">
        <v>4.4309313725490185E-2</v>
      </c>
      <c r="Y138" s="137">
        <v>1.5065166666666663</v>
      </c>
      <c r="Z138" s="137">
        <v>34</v>
      </c>
      <c r="AA138" s="146" t="s">
        <v>664</v>
      </c>
      <c r="AB138" s="9" t="s">
        <v>270</v>
      </c>
      <c r="AC138" s="138"/>
    </row>
    <row r="139" spans="1:29" ht="24" x14ac:dyDescent="0.3">
      <c r="A139" s="3" t="e">
        <f>VLOOKUP(E139,'[1]Listas Desplegables'!$H$3:$J$7,2,FALSE)</f>
        <v>#N/A</v>
      </c>
      <c r="B139" s="3" t="e">
        <f>VLOOKUP(E139,'[1]Listas Desplegables'!$H$3:$J$7,3,FALSE)</f>
        <v>#N/A</v>
      </c>
      <c r="C139" s="7">
        <v>134</v>
      </c>
      <c r="D139" s="136" t="s">
        <v>577</v>
      </c>
      <c r="E139" s="136" t="s">
        <v>578</v>
      </c>
      <c r="F139" s="136" t="s">
        <v>579</v>
      </c>
      <c r="G139" s="136">
        <v>34.5</v>
      </c>
      <c r="H139" s="136">
        <v>9</v>
      </c>
      <c r="I139" s="136">
        <v>275</v>
      </c>
      <c r="J139" s="136">
        <v>275</v>
      </c>
      <c r="K139" s="136">
        <v>275</v>
      </c>
      <c r="L139" s="136" t="s">
        <v>276</v>
      </c>
      <c r="M139" s="143">
        <v>0.41399999999999998</v>
      </c>
      <c r="N139" s="143">
        <v>0.58399999999999996</v>
      </c>
      <c r="O139" s="143">
        <v>1.1396189301632154</v>
      </c>
      <c r="P139" s="143">
        <v>1.242</v>
      </c>
      <c r="Q139" s="143">
        <v>1.7519999999999998</v>
      </c>
      <c r="R139" s="143">
        <v>0.37987297672107179</v>
      </c>
      <c r="S139" s="136" t="s">
        <v>106</v>
      </c>
      <c r="T139" s="136" t="s">
        <v>108</v>
      </c>
      <c r="U139" s="136" t="s">
        <v>113</v>
      </c>
      <c r="V139" s="136"/>
      <c r="W139" s="136" t="s">
        <v>387</v>
      </c>
      <c r="X139" s="137">
        <v>0.18434166666666668</v>
      </c>
      <c r="Y139" s="137">
        <v>2.5807833333333337</v>
      </c>
      <c r="Z139" s="137">
        <v>14</v>
      </c>
      <c r="AA139" s="146" t="s">
        <v>664</v>
      </c>
      <c r="AB139" s="9" t="s">
        <v>270</v>
      </c>
      <c r="AC139" s="138"/>
    </row>
    <row r="140" spans="1:29" ht="24" x14ac:dyDescent="0.3">
      <c r="A140" s="3" t="e">
        <f>VLOOKUP(E140,'[1]Listas Desplegables'!$H$3:$J$7,2,FALSE)</f>
        <v>#N/A</v>
      </c>
      <c r="B140" s="3" t="e">
        <f>VLOOKUP(E140,'[1]Listas Desplegables'!$H$3:$J$7,3,FALSE)</f>
        <v>#N/A</v>
      </c>
      <c r="C140" s="8">
        <v>135</v>
      </c>
      <c r="D140" s="136" t="s">
        <v>580</v>
      </c>
      <c r="E140" s="136" t="s">
        <v>396</v>
      </c>
      <c r="F140" s="136" t="s">
        <v>398</v>
      </c>
      <c r="G140" s="136">
        <v>34.5</v>
      </c>
      <c r="H140" s="136">
        <v>5.42</v>
      </c>
      <c r="I140" s="136">
        <v>275</v>
      </c>
      <c r="J140" s="136">
        <v>275</v>
      </c>
      <c r="K140" s="136">
        <v>275</v>
      </c>
      <c r="L140" s="136" t="s">
        <v>276</v>
      </c>
      <c r="M140" s="143">
        <v>0.41399999999999998</v>
      </c>
      <c r="N140" s="143">
        <v>0.58399999999999996</v>
      </c>
      <c r="O140" s="143">
        <v>1.1396189301632154</v>
      </c>
      <c r="P140" s="143">
        <v>1.242</v>
      </c>
      <c r="Q140" s="143">
        <v>1.7519999999999998</v>
      </c>
      <c r="R140" s="143">
        <v>0.37987297672107179</v>
      </c>
      <c r="S140" s="136" t="s">
        <v>106</v>
      </c>
      <c r="T140" s="136" t="s">
        <v>108</v>
      </c>
      <c r="U140" s="136" t="s">
        <v>113</v>
      </c>
      <c r="V140" s="136"/>
      <c r="W140" s="136" t="s">
        <v>387</v>
      </c>
      <c r="X140" s="137"/>
      <c r="Y140" s="137"/>
      <c r="Z140" s="137"/>
      <c r="AA140" s="146" t="s">
        <v>664</v>
      </c>
      <c r="AB140" s="9" t="s">
        <v>270</v>
      </c>
      <c r="AC140" s="138"/>
    </row>
    <row r="141" spans="1:29" ht="24" x14ac:dyDescent="0.3">
      <c r="A141" s="3" t="e">
        <f>VLOOKUP(E141,'[1]Listas Desplegables'!$H$3:$J$7,2,FALSE)</f>
        <v>#N/A</v>
      </c>
      <c r="B141" s="3" t="e">
        <f>VLOOKUP(E141,'[1]Listas Desplegables'!$H$3:$J$7,3,FALSE)</f>
        <v>#N/A</v>
      </c>
      <c r="C141" s="8">
        <v>136</v>
      </c>
      <c r="D141" s="136" t="s">
        <v>581</v>
      </c>
      <c r="E141" s="136" t="s">
        <v>396</v>
      </c>
      <c r="F141" s="136" t="s">
        <v>470</v>
      </c>
      <c r="G141" s="136">
        <v>34.5</v>
      </c>
      <c r="H141" s="136">
        <v>15</v>
      </c>
      <c r="I141" s="136">
        <v>275</v>
      </c>
      <c r="J141" s="136">
        <v>275</v>
      </c>
      <c r="K141" s="136">
        <v>275</v>
      </c>
      <c r="L141" s="136" t="s">
        <v>276</v>
      </c>
      <c r="M141" s="143">
        <v>0.41399999999999998</v>
      </c>
      <c r="N141" s="143">
        <v>0.58399999999999996</v>
      </c>
      <c r="O141" s="143">
        <v>1.1396189301632154</v>
      </c>
      <c r="P141" s="143">
        <v>1.242</v>
      </c>
      <c r="Q141" s="143">
        <v>1.7519999999999998</v>
      </c>
      <c r="R141" s="143">
        <v>0.37987297672107179</v>
      </c>
      <c r="S141" s="136" t="s">
        <v>106</v>
      </c>
      <c r="T141" s="136" t="s">
        <v>108</v>
      </c>
      <c r="U141" s="136" t="s">
        <v>113</v>
      </c>
      <c r="V141" s="136"/>
      <c r="W141" s="136" t="s">
        <v>387</v>
      </c>
      <c r="X141" s="137">
        <v>8.1928571428571434E-2</v>
      </c>
      <c r="Y141" s="137">
        <v>2.294</v>
      </c>
      <c r="Z141" s="137">
        <v>28</v>
      </c>
      <c r="AA141" s="146" t="s">
        <v>664</v>
      </c>
      <c r="AB141" s="9" t="s">
        <v>270</v>
      </c>
      <c r="AC141" s="138"/>
    </row>
    <row r="142" spans="1:29" ht="24" x14ac:dyDescent="0.3">
      <c r="A142" s="3" t="e">
        <f>VLOOKUP(E142,'[1]Listas Desplegables'!$H$3:$J$7,2,FALSE)</f>
        <v>#N/A</v>
      </c>
      <c r="B142" s="3" t="e">
        <f>VLOOKUP(E142,'[1]Listas Desplegables'!$H$3:$J$7,3,FALSE)</f>
        <v>#N/A</v>
      </c>
      <c r="C142" s="8">
        <v>137</v>
      </c>
      <c r="D142" s="136" t="s">
        <v>582</v>
      </c>
      <c r="E142" s="136" t="s">
        <v>470</v>
      </c>
      <c r="F142" s="136" t="s">
        <v>583</v>
      </c>
      <c r="G142" s="136">
        <v>34.5</v>
      </c>
      <c r="H142" s="136">
        <v>5.5</v>
      </c>
      <c r="I142" s="136">
        <v>241</v>
      </c>
      <c r="J142" s="136">
        <v>241</v>
      </c>
      <c r="K142" s="136">
        <v>241</v>
      </c>
      <c r="L142" s="136" t="s">
        <v>276</v>
      </c>
      <c r="M142" s="136">
        <v>0.52200000000000002</v>
      </c>
      <c r="N142" s="136">
        <v>0.71699999999999997</v>
      </c>
      <c r="O142" s="143">
        <v>0.91154921412252898</v>
      </c>
      <c r="P142" s="143">
        <v>1.5660000000000001</v>
      </c>
      <c r="Q142" s="143">
        <v>2.1509999999999998</v>
      </c>
      <c r="R142" s="143">
        <v>0.30384973804084298</v>
      </c>
      <c r="S142" s="136" t="s">
        <v>106</v>
      </c>
      <c r="T142" s="136" t="s">
        <v>108</v>
      </c>
      <c r="U142" s="136" t="s">
        <v>113</v>
      </c>
      <c r="V142" s="136"/>
      <c r="W142" s="136" t="s">
        <v>440</v>
      </c>
      <c r="X142" s="137">
        <v>0.25276923076923075</v>
      </c>
      <c r="Y142" s="137">
        <v>3.286</v>
      </c>
      <c r="Z142" s="137">
        <v>13</v>
      </c>
      <c r="AA142" s="146" t="s">
        <v>664</v>
      </c>
      <c r="AB142" s="9" t="s">
        <v>270</v>
      </c>
      <c r="AC142" s="138"/>
    </row>
    <row r="143" spans="1:29" ht="24" x14ac:dyDescent="0.3">
      <c r="A143" s="3" t="e">
        <f>VLOOKUP(E143,'[1]Listas Desplegables'!$H$3:$J$7,2,FALSE)</f>
        <v>#N/A</v>
      </c>
      <c r="B143" s="3" t="e">
        <f>VLOOKUP(E143,'[1]Listas Desplegables'!$H$3:$J$7,3,FALSE)</f>
        <v>#N/A</v>
      </c>
      <c r="C143" s="7">
        <v>138</v>
      </c>
      <c r="D143" s="136" t="s">
        <v>584</v>
      </c>
      <c r="E143" s="136" t="s">
        <v>470</v>
      </c>
      <c r="F143" s="136" t="s">
        <v>506</v>
      </c>
      <c r="G143" s="136">
        <v>34.5</v>
      </c>
      <c r="H143" s="136">
        <v>3.7</v>
      </c>
      <c r="I143" s="136">
        <v>275</v>
      </c>
      <c r="J143" s="136">
        <v>275</v>
      </c>
      <c r="K143" s="136">
        <v>275</v>
      </c>
      <c r="L143" s="136" t="s">
        <v>276</v>
      </c>
      <c r="M143" s="143">
        <v>0.41399999999999998</v>
      </c>
      <c r="N143" s="143">
        <v>0.58399999999999996</v>
      </c>
      <c r="O143" s="143">
        <v>1.1396189301632154</v>
      </c>
      <c r="P143" s="143">
        <v>1.242</v>
      </c>
      <c r="Q143" s="143">
        <v>1.7519999999999998</v>
      </c>
      <c r="R143" s="143">
        <v>0.37987297672107179</v>
      </c>
      <c r="S143" s="136" t="s">
        <v>106</v>
      </c>
      <c r="T143" s="136" t="s">
        <v>108</v>
      </c>
      <c r="U143" s="136" t="s">
        <v>113</v>
      </c>
      <c r="V143" s="136"/>
      <c r="W143" s="136" t="s">
        <v>387</v>
      </c>
      <c r="X143" s="137">
        <v>3.3370454545454536E-2</v>
      </c>
      <c r="Y143" s="137">
        <v>0.73414999999999986</v>
      </c>
      <c r="Z143" s="137">
        <v>22</v>
      </c>
      <c r="AA143" s="146" t="s">
        <v>664</v>
      </c>
      <c r="AB143" s="9" t="s">
        <v>270</v>
      </c>
      <c r="AC143" s="138"/>
    </row>
    <row r="144" spans="1:29" ht="24" x14ac:dyDescent="0.3">
      <c r="A144" s="3" t="e">
        <f>VLOOKUP(E144,'[1]Listas Desplegables'!$H$3:$J$7,2,FALSE)</f>
        <v>#N/A</v>
      </c>
      <c r="B144" s="3" t="e">
        <f>VLOOKUP(E144,'[1]Listas Desplegables'!$H$3:$J$7,3,FALSE)</f>
        <v>#N/A</v>
      </c>
      <c r="C144" s="8">
        <v>139</v>
      </c>
      <c r="D144" s="136" t="s">
        <v>585</v>
      </c>
      <c r="E144" s="136" t="s">
        <v>520</v>
      </c>
      <c r="F144" s="136" t="s">
        <v>586</v>
      </c>
      <c r="G144" s="136">
        <v>34.5</v>
      </c>
      <c r="H144" s="136">
        <v>12.5</v>
      </c>
      <c r="I144" s="136">
        <v>275</v>
      </c>
      <c r="J144" s="136">
        <v>275</v>
      </c>
      <c r="K144" s="136">
        <v>275</v>
      </c>
      <c r="L144" s="136" t="s">
        <v>276</v>
      </c>
      <c r="M144" s="143">
        <v>0.41399999999999998</v>
      </c>
      <c r="N144" s="143">
        <v>0.58399999999999996</v>
      </c>
      <c r="O144" s="143">
        <v>1.1396189301632154</v>
      </c>
      <c r="P144" s="143">
        <v>1.242</v>
      </c>
      <c r="Q144" s="143">
        <v>1.7519999999999998</v>
      </c>
      <c r="R144" s="143">
        <v>0.37987297672107179</v>
      </c>
      <c r="S144" s="136" t="s">
        <v>106</v>
      </c>
      <c r="T144" s="136" t="s">
        <v>108</v>
      </c>
      <c r="U144" s="136" t="s">
        <v>113</v>
      </c>
      <c r="V144" s="136"/>
      <c r="W144" s="136" t="s">
        <v>387</v>
      </c>
      <c r="X144" s="137"/>
      <c r="Y144" s="137"/>
      <c r="Z144" s="137"/>
      <c r="AA144" s="146" t="s">
        <v>664</v>
      </c>
      <c r="AB144" s="9" t="s">
        <v>270</v>
      </c>
      <c r="AC144" s="138"/>
    </row>
    <row r="145" spans="1:29" ht="24" x14ac:dyDescent="0.3">
      <c r="A145" s="3" t="e">
        <f>VLOOKUP(E145,'[1]Listas Desplegables'!$H$3:$J$7,2,FALSE)</f>
        <v>#N/A</v>
      </c>
      <c r="B145" s="3" t="e">
        <f>VLOOKUP(E145,'[1]Listas Desplegables'!$H$3:$J$7,3,FALSE)</f>
        <v>#N/A</v>
      </c>
      <c r="C145" s="8">
        <v>140</v>
      </c>
      <c r="D145" s="136" t="s">
        <v>587</v>
      </c>
      <c r="E145" s="136" t="s">
        <v>586</v>
      </c>
      <c r="F145" s="136" t="s">
        <v>407</v>
      </c>
      <c r="G145" s="136">
        <v>34.5</v>
      </c>
      <c r="H145" s="136">
        <v>12.3</v>
      </c>
      <c r="I145" s="136">
        <v>275</v>
      </c>
      <c r="J145" s="136">
        <v>275</v>
      </c>
      <c r="K145" s="136">
        <v>275</v>
      </c>
      <c r="L145" s="136" t="s">
        <v>276</v>
      </c>
      <c r="M145" s="136">
        <v>0.42743999999999999</v>
      </c>
      <c r="N145" s="136">
        <v>0.54996</v>
      </c>
      <c r="O145" s="136">
        <v>3.0898099999999999</v>
      </c>
      <c r="P145" s="136">
        <v>0.73482999999999998</v>
      </c>
      <c r="Q145" s="136">
        <v>1.5275000000000001</v>
      </c>
      <c r="R145" s="136">
        <v>1.7887500000000001</v>
      </c>
      <c r="S145" s="136" t="s">
        <v>106</v>
      </c>
      <c r="T145" s="136" t="s">
        <v>108</v>
      </c>
      <c r="U145" s="136" t="s">
        <v>113</v>
      </c>
      <c r="V145" s="136"/>
      <c r="W145" s="136"/>
      <c r="X145" s="137"/>
      <c r="Y145" s="137"/>
      <c r="Z145" s="137"/>
      <c r="AA145" s="146" t="s">
        <v>664</v>
      </c>
      <c r="AB145" s="9" t="s">
        <v>270</v>
      </c>
      <c r="AC145" s="138"/>
    </row>
    <row r="146" spans="1:29" ht="24" x14ac:dyDescent="0.3">
      <c r="A146" s="3" t="e">
        <f>VLOOKUP(E146,'[1]Listas Desplegables'!$H$3:$J$7,2,FALSE)</f>
        <v>#N/A</v>
      </c>
      <c r="B146" s="3" t="e">
        <f>VLOOKUP(E146,'[1]Listas Desplegables'!$H$3:$J$7,3,FALSE)</f>
        <v>#N/A</v>
      </c>
      <c r="C146" s="8">
        <v>141</v>
      </c>
      <c r="D146" s="136" t="s">
        <v>588</v>
      </c>
      <c r="E146" s="136" t="s">
        <v>520</v>
      </c>
      <c r="F146" s="136" t="s">
        <v>589</v>
      </c>
      <c r="G146" s="136">
        <v>34.5</v>
      </c>
      <c r="H146" s="136">
        <v>8.1999999999999993</v>
      </c>
      <c r="I146" s="136">
        <v>355</v>
      </c>
      <c r="J146" s="136">
        <v>355</v>
      </c>
      <c r="K146" s="136">
        <v>355</v>
      </c>
      <c r="L146" s="136" t="s">
        <v>276</v>
      </c>
      <c r="M146" s="136">
        <v>0.26</v>
      </c>
      <c r="N146" s="136">
        <v>0.39600000000000002</v>
      </c>
      <c r="O146" s="142">
        <v>1.7645800655924713</v>
      </c>
      <c r="P146" s="136">
        <v>0.78</v>
      </c>
      <c r="Q146" s="136">
        <v>1.1880000000000002</v>
      </c>
      <c r="R146" s="142">
        <v>0.58819335519749039</v>
      </c>
      <c r="S146" s="136" t="s">
        <v>106</v>
      </c>
      <c r="T146" s="136" t="s">
        <v>108</v>
      </c>
      <c r="U146" s="136" t="s">
        <v>113</v>
      </c>
      <c r="V146" s="136"/>
      <c r="W146" s="136" t="s">
        <v>327</v>
      </c>
      <c r="X146" s="137">
        <v>0.10828908934707902</v>
      </c>
      <c r="Y146" s="137">
        <v>21.008083333333332</v>
      </c>
      <c r="Z146" s="137">
        <v>194</v>
      </c>
      <c r="AA146" s="146" t="s">
        <v>664</v>
      </c>
      <c r="AB146" s="9" t="s">
        <v>270</v>
      </c>
      <c r="AC146" s="138"/>
    </row>
    <row r="147" spans="1:29" ht="24" x14ac:dyDescent="0.3">
      <c r="A147" s="3" t="e">
        <f>VLOOKUP(E147,'[1]Listas Desplegables'!$H$3:$J$7,2,FALSE)</f>
        <v>#N/A</v>
      </c>
      <c r="B147" s="3" t="e">
        <f>VLOOKUP(E147,'[1]Listas Desplegables'!$H$3:$J$7,3,FALSE)</f>
        <v>#N/A</v>
      </c>
      <c r="C147" s="7">
        <v>142</v>
      </c>
      <c r="D147" s="136" t="s">
        <v>590</v>
      </c>
      <c r="E147" s="136" t="s">
        <v>591</v>
      </c>
      <c r="F147" s="136" t="s">
        <v>592</v>
      </c>
      <c r="G147" s="136">
        <v>34.5</v>
      </c>
      <c r="H147" s="136">
        <v>9.8000000000000007</v>
      </c>
      <c r="I147" s="136">
        <v>275</v>
      </c>
      <c r="J147" s="136">
        <v>275</v>
      </c>
      <c r="K147" s="136">
        <v>275</v>
      </c>
      <c r="L147" s="136" t="s">
        <v>276</v>
      </c>
      <c r="M147" s="143">
        <v>0.41399999999999998</v>
      </c>
      <c r="N147" s="143">
        <v>0.58399999999999996</v>
      </c>
      <c r="O147" s="143">
        <v>1.1396189301632154</v>
      </c>
      <c r="P147" s="143">
        <v>1.242</v>
      </c>
      <c r="Q147" s="143">
        <v>1.7519999999999998</v>
      </c>
      <c r="R147" s="143">
        <v>0.37987297672107179</v>
      </c>
      <c r="S147" s="136" t="s">
        <v>106</v>
      </c>
      <c r="T147" s="136" t="s">
        <v>108</v>
      </c>
      <c r="U147" s="136" t="s">
        <v>113</v>
      </c>
      <c r="V147" s="136"/>
      <c r="W147" s="136" t="s">
        <v>387</v>
      </c>
      <c r="X147" s="137">
        <v>0.10828908934707902</v>
      </c>
      <c r="Y147" s="137">
        <v>21.008083333333332</v>
      </c>
      <c r="Z147" s="137">
        <v>194</v>
      </c>
      <c r="AA147" s="146" t="s">
        <v>664</v>
      </c>
      <c r="AB147" s="9" t="s">
        <v>270</v>
      </c>
      <c r="AC147" s="138"/>
    </row>
    <row r="148" spans="1:29" ht="24" x14ac:dyDescent="0.3">
      <c r="A148" s="3" t="e">
        <f>VLOOKUP(E148,'[1]Listas Desplegables'!$H$3:$J$7,2,FALSE)</f>
        <v>#N/A</v>
      </c>
      <c r="B148" s="3" t="e">
        <f>VLOOKUP(E148,'[1]Listas Desplegables'!$H$3:$J$7,3,FALSE)</f>
        <v>#N/A</v>
      </c>
      <c r="C148" s="8">
        <v>143</v>
      </c>
      <c r="D148" s="136" t="s">
        <v>593</v>
      </c>
      <c r="E148" s="136" t="s">
        <v>594</v>
      </c>
      <c r="F148" s="136" t="s">
        <v>458</v>
      </c>
      <c r="G148" s="136">
        <v>34.5</v>
      </c>
      <c r="H148" s="136">
        <v>19.684999999999999</v>
      </c>
      <c r="I148" s="136">
        <v>241</v>
      </c>
      <c r="J148" s="136">
        <v>241</v>
      </c>
      <c r="K148" s="136">
        <v>241</v>
      </c>
      <c r="L148" s="136" t="s">
        <v>276</v>
      </c>
      <c r="M148" s="136">
        <v>0.52200000000000002</v>
      </c>
      <c r="N148" s="136">
        <v>0.71699999999999997</v>
      </c>
      <c r="O148" s="143">
        <v>0.91154921412252898</v>
      </c>
      <c r="P148" s="143">
        <v>1.5660000000000001</v>
      </c>
      <c r="Q148" s="143">
        <v>2.1509999999999998</v>
      </c>
      <c r="R148" s="143">
        <v>0.30384973804084298</v>
      </c>
      <c r="S148" s="136" t="s">
        <v>106</v>
      </c>
      <c r="T148" s="136" t="s">
        <v>108</v>
      </c>
      <c r="U148" s="136" t="s">
        <v>113</v>
      </c>
      <c r="V148" s="136"/>
      <c r="W148" s="136" t="s">
        <v>440</v>
      </c>
      <c r="X148" s="137">
        <v>6.2811805555555558E-2</v>
      </c>
      <c r="Y148" s="137">
        <v>1.5074833333333333</v>
      </c>
      <c r="Z148" s="137">
        <v>24</v>
      </c>
      <c r="AA148" s="146" t="s">
        <v>664</v>
      </c>
      <c r="AB148" s="9" t="s">
        <v>270</v>
      </c>
      <c r="AC148" s="138"/>
    </row>
    <row r="149" spans="1:29" ht="24" x14ac:dyDescent="0.3">
      <c r="A149" s="3" t="e">
        <f>VLOOKUP(E149,'[1]Listas Desplegables'!$H$3:$J$7,2,FALSE)</f>
        <v>#N/A</v>
      </c>
      <c r="B149" s="3" t="e">
        <f>VLOOKUP(E149,'[1]Listas Desplegables'!$H$3:$J$7,3,FALSE)</f>
        <v>#N/A</v>
      </c>
      <c r="C149" s="8">
        <v>144</v>
      </c>
      <c r="D149" s="136" t="s">
        <v>595</v>
      </c>
      <c r="E149" s="136" t="s">
        <v>594</v>
      </c>
      <c r="F149" s="136" t="s">
        <v>596</v>
      </c>
      <c r="G149" s="136">
        <v>34.5</v>
      </c>
      <c r="H149" s="136">
        <v>10.835000000000001</v>
      </c>
      <c r="I149" s="136">
        <v>275</v>
      </c>
      <c r="J149" s="136">
        <v>275</v>
      </c>
      <c r="K149" s="136">
        <v>275</v>
      </c>
      <c r="L149" s="136" t="s">
        <v>276</v>
      </c>
      <c r="M149" s="143">
        <v>0.41399999999999998</v>
      </c>
      <c r="N149" s="143">
        <v>0.58399999999999996</v>
      </c>
      <c r="O149" s="143">
        <v>1.1396189301632154</v>
      </c>
      <c r="P149" s="143">
        <v>1.242</v>
      </c>
      <c r="Q149" s="143">
        <v>1.7519999999999998</v>
      </c>
      <c r="R149" s="143">
        <v>0.37987297672107179</v>
      </c>
      <c r="S149" s="136" t="s">
        <v>106</v>
      </c>
      <c r="T149" s="136" t="s">
        <v>108</v>
      </c>
      <c r="U149" s="136" t="s">
        <v>113</v>
      </c>
      <c r="V149" s="136"/>
      <c r="W149" s="136" t="s">
        <v>387</v>
      </c>
      <c r="X149" s="137">
        <v>8.3035555555555571E-2</v>
      </c>
      <c r="Y149" s="137">
        <v>1.2455333333333336</v>
      </c>
      <c r="Z149" s="137">
        <v>15</v>
      </c>
      <c r="AA149" s="146" t="s">
        <v>664</v>
      </c>
      <c r="AB149" s="9" t="s">
        <v>270</v>
      </c>
      <c r="AC149" s="138"/>
    </row>
    <row r="150" spans="1:29" ht="24" x14ac:dyDescent="0.3">
      <c r="A150" s="3" t="e">
        <f>VLOOKUP(E150,'[1]Listas Desplegables'!$H$3:$J$7,2,FALSE)</f>
        <v>#N/A</v>
      </c>
      <c r="B150" s="3" t="e">
        <f>VLOOKUP(E150,'[1]Listas Desplegables'!$H$3:$J$7,3,FALSE)</f>
        <v>#N/A</v>
      </c>
      <c r="C150" s="8">
        <v>145</v>
      </c>
      <c r="D150" s="136" t="s">
        <v>597</v>
      </c>
      <c r="E150" s="136" t="s">
        <v>598</v>
      </c>
      <c r="F150" s="136" t="s">
        <v>599</v>
      </c>
      <c r="G150" s="136">
        <v>34.5</v>
      </c>
      <c r="H150" s="136">
        <v>3.738</v>
      </c>
      <c r="I150" s="136">
        <v>275</v>
      </c>
      <c r="J150" s="136">
        <v>275</v>
      </c>
      <c r="K150" s="136">
        <v>275</v>
      </c>
      <c r="L150" s="136" t="s">
        <v>276</v>
      </c>
      <c r="M150" s="143">
        <v>0.41399999999999998</v>
      </c>
      <c r="N150" s="143">
        <v>0.58399999999999996</v>
      </c>
      <c r="O150" s="143">
        <v>1.1396189301632154</v>
      </c>
      <c r="P150" s="143">
        <v>1.242</v>
      </c>
      <c r="Q150" s="143">
        <v>1.7519999999999998</v>
      </c>
      <c r="R150" s="143">
        <v>0.37987297672107179</v>
      </c>
      <c r="S150" s="136" t="s">
        <v>106</v>
      </c>
      <c r="T150" s="136" t="s">
        <v>108</v>
      </c>
      <c r="U150" s="136" t="s">
        <v>113</v>
      </c>
      <c r="V150" s="136"/>
      <c r="W150" s="136" t="s">
        <v>387</v>
      </c>
      <c r="X150" s="137">
        <v>0.25592291666666672</v>
      </c>
      <c r="Y150" s="137">
        <v>2.0473833333333338</v>
      </c>
      <c r="Z150" s="137">
        <v>8</v>
      </c>
      <c r="AA150" s="146" t="s">
        <v>664</v>
      </c>
      <c r="AB150" s="9" t="s">
        <v>270</v>
      </c>
      <c r="AC150" s="138"/>
    </row>
    <row r="151" spans="1:29" ht="24" x14ac:dyDescent="0.3">
      <c r="A151" s="3" t="e">
        <f>VLOOKUP(E151,'[1]Listas Desplegables'!$H$3:$J$7,2,FALSE)</f>
        <v>#N/A</v>
      </c>
      <c r="B151" s="3" t="e">
        <f>VLOOKUP(E151,'[1]Listas Desplegables'!$H$3:$J$7,3,FALSE)</f>
        <v>#N/A</v>
      </c>
      <c r="C151" s="7">
        <v>146</v>
      </c>
      <c r="D151" s="136" t="s">
        <v>600</v>
      </c>
      <c r="E151" s="136" t="s">
        <v>601</v>
      </c>
      <c r="F151" s="136" t="s">
        <v>598</v>
      </c>
      <c r="G151" s="136">
        <v>34.5</v>
      </c>
      <c r="H151" s="136">
        <v>3.89</v>
      </c>
      <c r="I151" s="136">
        <v>275</v>
      </c>
      <c r="J151" s="136">
        <v>275</v>
      </c>
      <c r="K151" s="136">
        <v>275</v>
      </c>
      <c r="L151" s="136" t="s">
        <v>276</v>
      </c>
      <c r="M151" s="143">
        <v>0.41399999999999998</v>
      </c>
      <c r="N151" s="143">
        <v>0.58399999999999996</v>
      </c>
      <c r="O151" s="143">
        <v>1.1396189301632154</v>
      </c>
      <c r="P151" s="143">
        <v>1.242</v>
      </c>
      <c r="Q151" s="143">
        <v>1.7519999999999998</v>
      </c>
      <c r="R151" s="143">
        <v>0.37987297672107179</v>
      </c>
      <c r="S151" s="136" t="s">
        <v>106</v>
      </c>
      <c r="T151" s="136" t="s">
        <v>108</v>
      </c>
      <c r="U151" s="136" t="s">
        <v>113</v>
      </c>
      <c r="V151" s="136"/>
      <c r="W151" s="136" t="s">
        <v>387</v>
      </c>
      <c r="X151" s="137">
        <v>4.2397916666666667E-2</v>
      </c>
      <c r="Y151" s="137">
        <v>0.33918333333333334</v>
      </c>
      <c r="Z151" s="137">
        <v>8</v>
      </c>
      <c r="AA151" s="146" t="s">
        <v>664</v>
      </c>
      <c r="AB151" s="9" t="s">
        <v>270</v>
      </c>
      <c r="AC151" s="138"/>
    </row>
    <row r="152" spans="1:29" ht="24" x14ac:dyDescent="0.3">
      <c r="A152" s="3" t="e">
        <f>VLOOKUP(E152,'[1]Listas Desplegables'!$H$3:$J$7,2,FALSE)</f>
        <v>#N/A</v>
      </c>
      <c r="B152" s="3" t="e">
        <f>VLOOKUP(E152,'[1]Listas Desplegables'!$H$3:$J$7,3,FALSE)</f>
        <v>#N/A</v>
      </c>
      <c r="C152" s="8">
        <v>147</v>
      </c>
      <c r="D152" s="136" t="s">
        <v>602</v>
      </c>
      <c r="E152" s="136" t="s">
        <v>603</v>
      </c>
      <c r="F152" s="136" t="s">
        <v>601</v>
      </c>
      <c r="G152" s="136">
        <v>34.5</v>
      </c>
      <c r="H152" s="136">
        <v>13.435</v>
      </c>
      <c r="I152" s="136">
        <v>275</v>
      </c>
      <c r="J152" s="136">
        <v>275</v>
      </c>
      <c r="K152" s="136">
        <v>275</v>
      </c>
      <c r="L152" s="136" t="s">
        <v>276</v>
      </c>
      <c r="M152" s="143">
        <v>0.41399999999999998</v>
      </c>
      <c r="N152" s="143">
        <v>0.58399999999999996</v>
      </c>
      <c r="O152" s="143">
        <v>1.1396189301632154</v>
      </c>
      <c r="P152" s="143">
        <v>1.242</v>
      </c>
      <c r="Q152" s="143">
        <v>1.7519999999999998</v>
      </c>
      <c r="R152" s="143">
        <v>0.37987297672107179</v>
      </c>
      <c r="S152" s="136" t="s">
        <v>106</v>
      </c>
      <c r="T152" s="136" t="s">
        <v>108</v>
      </c>
      <c r="U152" s="136" t="s">
        <v>113</v>
      </c>
      <c r="V152" s="136"/>
      <c r="W152" s="136" t="s">
        <v>387</v>
      </c>
      <c r="X152" s="137">
        <v>7.8749999999999987E-2</v>
      </c>
      <c r="Y152" s="137">
        <v>0.47249999999999992</v>
      </c>
      <c r="Z152" s="137">
        <v>6</v>
      </c>
      <c r="AA152" s="146" t="s">
        <v>664</v>
      </c>
      <c r="AB152" s="9" t="s">
        <v>270</v>
      </c>
      <c r="AC152" s="138"/>
    </row>
    <row r="153" spans="1:29" ht="24" x14ac:dyDescent="0.3">
      <c r="A153" s="3" t="e">
        <f>VLOOKUP(E153,'[1]Listas Desplegables'!$H$3:$J$7,2,FALSE)</f>
        <v>#N/A</v>
      </c>
      <c r="B153" s="3" t="e">
        <f>VLOOKUP(E153,'[1]Listas Desplegables'!$H$3:$J$7,3,FALSE)</f>
        <v>#N/A</v>
      </c>
      <c r="C153" s="8">
        <v>148</v>
      </c>
      <c r="D153" s="136" t="s">
        <v>604</v>
      </c>
      <c r="E153" s="136" t="s">
        <v>605</v>
      </c>
      <c r="F153" s="136" t="s">
        <v>606</v>
      </c>
      <c r="G153" s="136">
        <v>34.5</v>
      </c>
      <c r="H153" s="136">
        <v>14</v>
      </c>
      <c r="I153" s="136">
        <v>275</v>
      </c>
      <c r="J153" s="136">
        <v>275</v>
      </c>
      <c r="K153" s="136">
        <v>275</v>
      </c>
      <c r="L153" s="136" t="s">
        <v>276</v>
      </c>
      <c r="M153" s="143">
        <v>0.41399999999999998</v>
      </c>
      <c r="N153" s="143">
        <v>0.58399999999999996</v>
      </c>
      <c r="O153" s="143">
        <v>1.1396189301632154</v>
      </c>
      <c r="P153" s="143">
        <v>1.242</v>
      </c>
      <c r="Q153" s="143">
        <v>1.7519999999999998</v>
      </c>
      <c r="R153" s="143">
        <v>0.37987297672107179</v>
      </c>
      <c r="S153" s="136" t="s">
        <v>106</v>
      </c>
      <c r="T153" s="136" t="s">
        <v>108</v>
      </c>
      <c r="U153" s="136" t="s">
        <v>113</v>
      </c>
      <c r="V153" s="136"/>
      <c r="W153" s="136" t="s">
        <v>387</v>
      </c>
      <c r="X153" s="137">
        <v>4.2397916666666667E-2</v>
      </c>
      <c r="Y153" s="137">
        <v>0.33918333333333334</v>
      </c>
      <c r="Z153" s="137">
        <v>8</v>
      </c>
      <c r="AA153" s="146" t="s">
        <v>664</v>
      </c>
      <c r="AB153" s="9" t="s">
        <v>270</v>
      </c>
      <c r="AC153" s="138"/>
    </row>
    <row r="154" spans="1:29" ht="24" x14ac:dyDescent="0.3">
      <c r="A154" s="3" t="e">
        <f>VLOOKUP(E154,'[1]Listas Desplegables'!$H$3:$J$7,2,FALSE)</f>
        <v>#N/A</v>
      </c>
      <c r="B154" s="3" t="e">
        <f>VLOOKUP(E154,'[1]Listas Desplegables'!$H$3:$J$7,3,FALSE)</f>
        <v>#N/A</v>
      </c>
      <c r="C154" s="8">
        <v>149</v>
      </c>
      <c r="D154" s="136" t="s">
        <v>607</v>
      </c>
      <c r="E154" s="136" t="s">
        <v>596</v>
      </c>
      <c r="F154" s="136" t="s">
        <v>608</v>
      </c>
      <c r="G154" s="136">
        <v>34.5</v>
      </c>
      <c r="H154" s="136">
        <v>10.7</v>
      </c>
      <c r="I154" s="136">
        <v>275</v>
      </c>
      <c r="J154" s="136">
        <v>275</v>
      </c>
      <c r="K154" s="136">
        <v>275</v>
      </c>
      <c r="L154" s="136" t="s">
        <v>276</v>
      </c>
      <c r="M154" s="143">
        <v>0.41399999999999998</v>
      </c>
      <c r="N154" s="143">
        <v>0.58399999999999996</v>
      </c>
      <c r="O154" s="143">
        <v>1.1396189301632154</v>
      </c>
      <c r="P154" s="143">
        <v>1.242</v>
      </c>
      <c r="Q154" s="143">
        <v>1.7519999999999998</v>
      </c>
      <c r="R154" s="143">
        <v>0.37987297672107179</v>
      </c>
      <c r="S154" s="136" t="s">
        <v>106</v>
      </c>
      <c r="T154" s="136" t="s">
        <v>108</v>
      </c>
      <c r="U154" s="136" t="s">
        <v>113</v>
      </c>
      <c r="V154" s="136"/>
      <c r="W154" s="136" t="s">
        <v>387</v>
      </c>
      <c r="X154" s="137">
        <v>6.9628205128205089E-3</v>
      </c>
      <c r="Y154" s="137">
        <v>0.36206666666666648</v>
      </c>
      <c r="Z154" s="137">
        <v>52</v>
      </c>
      <c r="AA154" s="146" t="s">
        <v>664</v>
      </c>
      <c r="AB154" s="9" t="s">
        <v>270</v>
      </c>
      <c r="AC154" s="138"/>
    </row>
    <row r="155" spans="1:29" ht="24" x14ac:dyDescent="0.3">
      <c r="A155" s="3" t="e">
        <f>VLOOKUP(E155,'[1]Listas Desplegables'!$H$3:$J$7,2,FALSE)</f>
        <v>#N/A</v>
      </c>
      <c r="B155" s="3" t="e">
        <f>VLOOKUP(E155,'[1]Listas Desplegables'!$H$3:$J$7,3,FALSE)</f>
        <v>#N/A</v>
      </c>
      <c r="C155" s="7">
        <v>150</v>
      </c>
      <c r="D155" s="136" t="s">
        <v>609</v>
      </c>
      <c r="E155" s="136" t="s">
        <v>599</v>
      </c>
      <c r="F155" s="136" t="s">
        <v>608</v>
      </c>
      <c r="G155" s="136">
        <v>34.5</v>
      </c>
      <c r="H155" s="136">
        <v>8.9</v>
      </c>
      <c r="I155" s="136">
        <v>275</v>
      </c>
      <c r="J155" s="136">
        <v>275</v>
      </c>
      <c r="K155" s="136">
        <v>275</v>
      </c>
      <c r="L155" s="136" t="s">
        <v>276</v>
      </c>
      <c r="M155" s="143">
        <v>0.41399999999999998</v>
      </c>
      <c r="N155" s="143">
        <v>0.58399999999999996</v>
      </c>
      <c r="O155" s="143">
        <v>1.1396189301632154</v>
      </c>
      <c r="P155" s="143">
        <v>1.242</v>
      </c>
      <c r="Q155" s="143">
        <v>1.7519999999999998</v>
      </c>
      <c r="R155" s="143">
        <v>0.37987297672107179</v>
      </c>
      <c r="S155" s="136" t="s">
        <v>106</v>
      </c>
      <c r="T155" s="136" t="s">
        <v>108</v>
      </c>
      <c r="U155" s="136" t="s">
        <v>113</v>
      </c>
      <c r="V155" s="136"/>
      <c r="W155" s="136" t="s">
        <v>387</v>
      </c>
      <c r="X155" s="137">
        <v>6.9628205128205089E-3</v>
      </c>
      <c r="Y155" s="137">
        <v>0.36206666666666648</v>
      </c>
      <c r="Z155" s="137">
        <v>52</v>
      </c>
      <c r="AA155" s="146" t="s">
        <v>664</v>
      </c>
      <c r="AB155" s="9" t="s">
        <v>270</v>
      </c>
      <c r="AC155" s="138"/>
    </row>
    <row r="156" spans="1:29" ht="36" x14ac:dyDescent="0.3">
      <c r="A156" s="3" t="e">
        <f>VLOOKUP(E156,'[1]Listas Desplegables'!$H$3:$J$7,2,FALSE)</f>
        <v>#N/A</v>
      </c>
      <c r="B156" s="3" t="e">
        <f>VLOOKUP(E156,'[1]Listas Desplegables'!$H$3:$J$7,3,FALSE)</f>
        <v>#N/A</v>
      </c>
      <c r="C156" s="8">
        <v>151</v>
      </c>
      <c r="D156" s="136" t="s">
        <v>610</v>
      </c>
      <c r="E156" s="136" t="s">
        <v>611</v>
      </c>
      <c r="F156" s="136" t="s">
        <v>612</v>
      </c>
      <c r="G156" s="136">
        <v>34.5</v>
      </c>
      <c r="H156" s="136">
        <v>8.6</v>
      </c>
      <c r="I156" s="136">
        <v>275</v>
      </c>
      <c r="J156" s="136">
        <v>275</v>
      </c>
      <c r="K156" s="136">
        <v>275</v>
      </c>
      <c r="L156" s="136" t="s">
        <v>276</v>
      </c>
      <c r="M156" s="143">
        <v>0.41399999999999998</v>
      </c>
      <c r="N156" s="143">
        <v>0.58399999999999996</v>
      </c>
      <c r="O156" s="143">
        <v>1.1396189301632154</v>
      </c>
      <c r="P156" s="143">
        <v>1.242</v>
      </c>
      <c r="Q156" s="143">
        <v>1.7519999999999998</v>
      </c>
      <c r="R156" s="143">
        <v>0.37987297672107179</v>
      </c>
      <c r="S156" s="136" t="s">
        <v>106</v>
      </c>
      <c r="T156" s="136" t="s">
        <v>108</v>
      </c>
      <c r="U156" s="136" t="s">
        <v>113</v>
      </c>
      <c r="V156" s="136"/>
      <c r="W156" s="136" t="s">
        <v>387</v>
      </c>
      <c r="X156" s="137">
        <v>6.9628205128205089E-3</v>
      </c>
      <c r="Y156" s="137">
        <v>0.36206666666666648</v>
      </c>
      <c r="Z156" s="137">
        <v>52</v>
      </c>
      <c r="AA156" s="146" t="s">
        <v>664</v>
      </c>
      <c r="AB156" s="9" t="s">
        <v>270</v>
      </c>
      <c r="AC156" s="138"/>
    </row>
    <row r="157" spans="1:29" ht="24" x14ac:dyDescent="0.3">
      <c r="A157" s="3" t="e">
        <f>VLOOKUP(E157,'[1]Listas Desplegables'!$H$3:$J$7,2,FALSE)</f>
        <v>#N/A</v>
      </c>
      <c r="B157" s="3" t="e">
        <f>VLOOKUP(E157,'[1]Listas Desplegables'!$H$3:$J$7,3,FALSE)</f>
        <v>#N/A</v>
      </c>
      <c r="C157" s="8">
        <v>152</v>
      </c>
      <c r="D157" s="136" t="s">
        <v>613</v>
      </c>
      <c r="E157" s="136" t="s">
        <v>614</v>
      </c>
      <c r="F157" s="136" t="s">
        <v>615</v>
      </c>
      <c r="G157" s="136">
        <v>34.5</v>
      </c>
      <c r="H157" s="136">
        <v>7.8</v>
      </c>
      <c r="I157" s="136">
        <v>275</v>
      </c>
      <c r="J157" s="136">
        <v>275</v>
      </c>
      <c r="K157" s="136">
        <v>275</v>
      </c>
      <c r="L157" s="136" t="s">
        <v>276</v>
      </c>
      <c r="M157" s="143">
        <v>0.41399999999999998</v>
      </c>
      <c r="N157" s="143">
        <v>0.58399999999999996</v>
      </c>
      <c r="O157" s="143">
        <v>1.1396189301632154</v>
      </c>
      <c r="P157" s="143">
        <v>1.242</v>
      </c>
      <c r="Q157" s="143">
        <v>1.7519999999999998</v>
      </c>
      <c r="R157" s="143">
        <v>0.37987297672107179</v>
      </c>
      <c r="S157" s="136" t="s">
        <v>106</v>
      </c>
      <c r="T157" s="136" t="s">
        <v>108</v>
      </c>
      <c r="U157" s="136" t="s">
        <v>113</v>
      </c>
      <c r="V157" s="136"/>
      <c r="W157" s="136" t="s">
        <v>387</v>
      </c>
      <c r="X157" s="137">
        <v>0.20955916666666666</v>
      </c>
      <c r="Y157" s="137">
        <v>4.191183333333333</v>
      </c>
      <c r="Z157" s="137">
        <v>20</v>
      </c>
      <c r="AA157" s="146" t="s">
        <v>664</v>
      </c>
      <c r="AB157" s="9" t="s">
        <v>270</v>
      </c>
      <c r="AC157" s="138"/>
    </row>
    <row r="158" spans="1:29" ht="24" x14ac:dyDescent="0.3">
      <c r="A158" s="3" t="e">
        <f>VLOOKUP(E158,'[1]Listas Desplegables'!$H$3:$J$7,2,FALSE)</f>
        <v>#N/A</v>
      </c>
      <c r="B158" s="3" t="e">
        <f>VLOOKUP(E158,'[1]Listas Desplegables'!$H$3:$J$7,3,FALSE)</f>
        <v>#N/A</v>
      </c>
      <c r="C158" s="8">
        <v>153</v>
      </c>
      <c r="D158" s="136" t="s">
        <v>616</v>
      </c>
      <c r="E158" s="136" t="s">
        <v>615</v>
      </c>
      <c r="F158" s="136" t="s">
        <v>385</v>
      </c>
      <c r="G158" s="136">
        <v>34.5</v>
      </c>
      <c r="H158" s="136">
        <v>11.4</v>
      </c>
      <c r="I158" s="136">
        <v>275</v>
      </c>
      <c r="J158" s="136">
        <v>275</v>
      </c>
      <c r="K158" s="136">
        <v>275</v>
      </c>
      <c r="L158" s="136" t="s">
        <v>276</v>
      </c>
      <c r="M158" s="143">
        <v>0.41399999999999998</v>
      </c>
      <c r="N158" s="143">
        <v>0.58399999999999996</v>
      </c>
      <c r="O158" s="143">
        <v>1.1396189301632154</v>
      </c>
      <c r="P158" s="143">
        <v>1.242</v>
      </c>
      <c r="Q158" s="143">
        <v>1.7519999999999998</v>
      </c>
      <c r="R158" s="143">
        <v>0.37987297672107179</v>
      </c>
      <c r="S158" s="136" t="s">
        <v>106</v>
      </c>
      <c r="T158" s="136" t="s">
        <v>108</v>
      </c>
      <c r="U158" s="136" t="s">
        <v>113</v>
      </c>
      <c r="V158" s="136"/>
      <c r="W158" s="136" t="s">
        <v>387</v>
      </c>
      <c r="X158" s="137">
        <v>0.37023978494623649</v>
      </c>
      <c r="Y158" s="137">
        <v>11.477433333333332</v>
      </c>
      <c r="Z158" s="137">
        <v>31</v>
      </c>
      <c r="AA158" s="146" t="s">
        <v>664</v>
      </c>
      <c r="AB158" s="9" t="s">
        <v>270</v>
      </c>
      <c r="AC158" s="138"/>
    </row>
    <row r="159" spans="1:29" ht="24" x14ac:dyDescent="0.3">
      <c r="A159" s="3" t="e">
        <f>VLOOKUP(E159,'[1]Listas Desplegables'!$H$3:$J$7,2,FALSE)</f>
        <v>#N/A</v>
      </c>
      <c r="B159" s="3" t="e">
        <f>VLOOKUP(E159,'[1]Listas Desplegables'!$H$3:$J$7,3,FALSE)</f>
        <v>#N/A</v>
      </c>
      <c r="C159" s="7">
        <v>154</v>
      </c>
      <c r="D159" s="136" t="s">
        <v>617</v>
      </c>
      <c r="E159" s="136" t="s">
        <v>478</v>
      </c>
      <c r="F159" s="136" t="s">
        <v>303</v>
      </c>
      <c r="G159" s="136">
        <v>34.5</v>
      </c>
      <c r="H159" s="136">
        <v>21.58</v>
      </c>
      <c r="I159" s="136">
        <v>275</v>
      </c>
      <c r="J159" s="136">
        <v>275</v>
      </c>
      <c r="K159" s="136">
        <v>275</v>
      </c>
      <c r="L159" s="136" t="s">
        <v>276</v>
      </c>
      <c r="M159" s="143">
        <v>0.41399999999999998</v>
      </c>
      <c r="N159" s="143">
        <v>0.58399999999999996</v>
      </c>
      <c r="O159" s="143">
        <v>1.1396189301632154</v>
      </c>
      <c r="P159" s="143">
        <v>1.242</v>
      </c>
      <c r="Q159" s="143">
        <v>1.7519999999999998</v>
      </c>
      <c r="R159" s="143">
        <v>0.37987297672107179</v>
      </c>
      <c r="S159" s="136" t="s">
        <v>106</v>
      </c>
      <c r="T159" s="136" t="s">
        <v>108</v>
      </c>
      <c r="U159" s="136" t="s">
        <v>113</v>
      </c>
      <c r="V159" s="136"/>
      <c r="W159" s="136" t="s">
        <v>387</v>
      </c>
      <c r="X159" s="137">
        <v>6.0642704022988507</v>
      </c>
      <c r="Y159" s="137">
        <v>351.72768333333335</v>
      </c>
      <c r="Z159" s="137">
        <v>58</v>
      </c>
      <c r="AA159" s="146" t="s">
        <v>664</v>
      </c>
      <c r="AB159" s="9" t="s">
        <v>270</v>
      </c>
      <c r="AC159" s="138"/>
    </row>
    <row r="160" spans="1:29" ht="24" x14ac:dyDescent="0.3">
      <c r="A160" s="3" t="e">
        <f>VLOOKUP(E160,'[1]Listas Desplegables'!$H$3:$J$7,2,FALSE)</f>
        <v>#N/A</v>
      </c>
      <c r="B160" s="3" t="e">
        <f>VLOOKUP(E160,'[1]Listas Desplegables'!$H$3:$J$7,3,FALSE)</f>
        <v>#N/A</v>
      </c>
      <c r="C160" s="8">
        <v>155</v>
      </c>
      <c r="D160" s="136" t="s">
        <v>618</v>
      </c>
      <c r="E160" s="136" t="s">
        <v>322</v>
      </c>
      <c r="F160" s="136" t="s">
        <v>619</v>
      </c>
      <c r="G160" s="136">
        <v>34.5</v>
      </c>
      <c r="H160" s="136">
        <v>2.5</v>
      </c>
      <c r="I160" s="136">
        <v>275</v>
      </c>
      <c r="J160" s="136">
        <v>275</v>
      </c>
      <c r="K160" s="136">
        <v>275</v>
      </c>
      <c r="L160" s="136" t="s">
        <v>276</v>
      </c>
      <c r="M160" s="143">
        <v>0.41399999999999998</v>
      </c>
      <c r="N160" s="143">
        <v>0.58399999999999996</v>
      </c>
      <c r="O160" s="143">
        <v>1.1396189301632154</v>
      </c>
      <c r="P160" s="143">
        <v>1.242</v>
      </c>
      <c r="Q160" s="143">
        <v>1.7519999999999998</v>
      </c>
      <c r="R160" s="143">
        <v>0.37987297672107179</v>
      </c>
      <c r="S160" s="136" t="s">
        <v>106</v>
      </c>
      <c r="T160" s="136" t="s">
        <v>108</v>
      </c>
      <c r="U160" s="136" t="s">
        <v>113</v>
      </c>
      <c r="V160" s="136"/>
      <c r="W160" s="136" t="s">
        <v>387</v>
      </c>
      <c r="X160" s="137">
        <v>0.38728005952380962</v>
      </c>
      <c r="Y160" s="137">
        <v>21.687683333333339</v>
      </c>
      <c r="Z160" s="137">
        <v>56</v>
      </c>
      <c r="AA160" s="146" t="s">
        <v>664</v>
      </c>
      <c r="AB160" s="9" t="s">
        <v>270</v>
      </c>
      <c r="AC160" s="138"/>
    </row>
    <row r="161" spans="1:29" ht="24" x14ac:dyDescent="0.3">
      <c r="A161" s="3" t="e">
        <f>VLOOKUP(E161,'[1]Listas Desplegables'!$H$3:$J$7,2,FALSE)</f>
        <v>#N/A</v>
      </c>
      <c r="B161" s="3" t="e">
        <f>VLOOKUP(E161,'[1]Listas Desplegables'!$H$3:$J$7,3,FALSE)</f>
        <v>#N/A</v>
      </c>
      <c r="C161" s="8">
        <v>156</v>
      </c>
      <c r="D161" s="136" t="s">
        <v>620</v>
      </c>
      <c r="E161" s="136" t="s">
        <v>385</v>
      </c>
      <c r="F161" s="136" t="s">
        <v>499</v>
      </c>
      <c r="G161" s="136">
        <v>34.5</v>
      </c>
      <c r="H161" s="136">
        <v>12.5</v>
      </c>
      <c r="I161" s="136">
        <v>275</v>
      </c>
      <c r="J161" s="136">
        <v>275</v>
      </c>
      <c r="K161" s="136">
        <v>275</v>
      </c>
      <c r="L161" s="136" t="s">
        <v>276</v>
      </c>
      <c r="M161" s="143">
        <v>0.41399999999999998</v>
      </c>
      <c r="N161" s="143">
        <v>0.58399999999999996</v>
      </c>
      <c r="O161" s="143">
        <v>1.1396189301632154</v>
      </c>
      <c r="P161" s="143">
        <v>1.242</v>
      </c>
      <c r="Q161" s="143">
        <v>1.7519999999999998</v>
      </c>
      <c r="R161" s="143">
        <v>0.37987297672107179</v>
      </c>
      <c r="S161" s="136" t="s">
        <v>106</v>
      </c>
      <c r="T161" s="136" t="s">
        <v>108</v>
      </c>
      <c r="U161" s="136" t="s">
        <v>113</v>
      </c>
      <c r="V161" s="136"/>
      <c r="W161" s="136" t="s">
        <v>387</v>
      </c>
      <c r="X161" s="137">
        <v>0.38118742690058488</v>
      </c>
      <c r="Y161" s="137">
        <v>21.727683333333339</v>
      </c>
      <c r="Z161" s="137">
        <v>57</v>
      </c>
      <c r="AA161" s="146" t="s">
        <v>664</v>
      </c>
      <c r="AB161" s="9" t="s">
        <v>270</v>
      </c>
      <c r="AC161" s="138"/>
    </row>
    <row r="162" spans="1:29" ht="24" x14ac:dyDescent="0.3">
      <c r="A162" s="3" t="e">
        <f>VLOOKUP(E162,'[1]Listas Desplegables'!$H$3:$J$7,2,FALSE)</f>
        <v>#N/A</v>
      </c>
      <c r="B162" s="3" t="e">
        <f>VLOOKUP(E162,'[1]Listas Desplegables'!$H$3:$J$7,3,FALSE)</f>
        <v>#N/A</v>
      </c>
      <c r="C162" s="8">
        <v>157</v>
      </c>
      <c r="D162" s="136" t="s">
        <v>621</v>
      </c>
      <c r="E162" s="136" t="s">
        <v>407</v>
      </c>
      <c r="F162" s="136" t="s">
        <v>614</v>
      </c>
      <c r="G162" s="136">
        <v>34.5</v>
      </c>
      <c r="H162" s="136">
        <v>8.9</v>
      </c>
      <c r="I162" s="136">
        <v>275</v>
      </c>
      <c r="J162" s="136">
        <v>275</v>
      </c>
      <c r="K162" s="136">
        <v>275</v>
      </c>
      <c r="L162" s="136" t="s">
        <v>276</v>
      </c>
      <c r="M162" s="143">
        <v>0.41399999999999998</v>
      </c>
      <c r="N162" s="143">
        <v>0.58399999999999996</v>
      </c>
      <c r="O162" s="143">
        <v>1.1396189301632154</v>
      </c>
      <c r="P162" s="143">
        <v>1.242</v>
      </c>
      <c r="Q162" s="143">
        <v>1.7519999999999998</v>
      </c>
      <c r="R162" s="143">
        <v>0.37987297672107179</v>
      </c>
      <c r="S162" s="136" t="s">
        <v>106</v>
      </c>
      <c r="T162" s="136" t="s">
        <v>108</v>
      </c>
      <c r="U162" s="136" t="s">
        <v>113</v>
      </c>
      <c r="V162" s="136"/>
      <c r="W162" s="136" t="s">
        <v>387</v>
      </c>
      <c r="X162" s="137">
        <v>4.4309313725490185E-2</v>
      </c>
      <c r="Y162" s="137">
        <v>1.5065166666666663</v>
      </c>
      <c r="Z162" s="137">
        <v>34</v>
      </c>
      <c r="AA162" s="146" t="s">
        <v>664</v>
      </c>
      <c r="AB162" s="9" t="s">
        <v>270</v>
      </c>
      <c r="AC162" s="138"/>
    </row>
    <row r="163" spans="1:29" ht="24" x14ac:dyDescent="0.3">
      <c r="A163" s="3" t="e">
        <f>VLOOKUP(E163,'[1]Listas Desplegables'!$H$3:$J$7,2,FALSE)</f>
        <v>#N/A</v>
      </c>
      <c r="B163" s="3" t="e">
        <f>VLOOKUP(E163,'[1]Listas Desplegables'!$H$3:$J$7,3,FALSE)</f>
        <v>#N/A</v>
      </c>
      <c r="C163" s="7">
        <v>158</v>
      </c>
      <c r="D163" s="136" t="s">
        <v>622</v>
      </c>
      <c r="E163" s="136" t="s">
        <v>619</v>
      </c>
      <c r="F163" s="136" t="s">
        <v>623</v>
      </c>
      <c r="G163" s="136">
        <v>34.5</v>
      </c>
      <c r="H163" s="136">
        <v>8.3000000000000007</v>
      </c>
      <c r="I163" s="136">
        <v>275</v>
      </c>
      <c r="J163" s="136">
        <v>275</v>
      </c>
      <c r="K163" s="136">
        <v>275</v>
      </c>
      <c r="L163" s="136" t="s">
        <v>276</v>
      </c>
      <c r="M163" s="143">
        <v>0.41399999999999998</v>
      </c>
      <c r="N163" s="143">
        <v>0.58399999999999996</v>
      </c>
      <c r="O163" s="143">
        <v>1.1396189301632154</v>
      </c>
      <c r="P163" s="143">
        <v>1.242</v>
      </c>
      <c r="Q163" s="143">
        <v>1.7519999999999998</v>
      </c>
      <c r="R163" s="143">
        <v>0.37987297672107179</v>
      </c>
      <c r="S163" s="136" t="s">
        <v>106</v>
      </c>
      <c r="T163" s="136" t="s">
        <v>108</v>
      </c>
      <c r="U163" s="136" t="s">
        <v>113</v>
      </c>
      <c r="V163" s="136"/>
      <c r="W163" s="136" t="s">
        <v>387</v>
      </c>
      <c r="X163" s="137">
        <v>4.2397916666666667E-2</v>
      </c>
      <c r="Y163" s="137">
        <v>0.33918333333333334</v>
      </c>
      <c r="Z163" s="137">
        <v>8</v>
      </c>
      <c r="AA163" s="146" t="s">
        <v>664</v>
      </c>
      <c r="AB163" s="9" t="s">
        <v>270</v>
      </c>
      <c r="AC163" s="138"/>
    </row>
    <row r="164" spans="1:29" ht="24" x14ac:dyDescent="0.3">
      <c r="A164" s="3" t="e">
        <f>VLOOKUP(E164,'[1]Listas Desplegables'!$H$3:$J$7,2,FALSE)</f>
        <v>#N/A</v>
      </c>
      <c r="B164" s="3" t="e">
        <f>VLOOKUP(E164,'[1]Listas Desplegables'!$H$3:$J$7,3,FALSE)</f>
        <v>#N/A</v>
      </c>
      <c r="C164" s="8">
        <v>159</v>
      </c>
      <c r="D164" s="136" t="s">
        <v>624</v>
      </c>
      <c r="E164" s="136" t="s">
        <v>625</v>
      </c>
      <c r="F164" s="136" t="s">
        <v>626</v>
      </c>
      <c r="G164" s="136">
        <v>34.5</v>
      </c>
      <c r="H164" s="136">
        <v>9.4499999999999993</v>
      </c>
      <c r="I164" s="136">
        <v>275</v>
      </c>
      <c r="J164" s="136">
        <v>275</v>
      </c>
      <c r="K164" s="136">
        <v>275</v>
      </c>
      <c r="L164" s="136" t="s">
        <v>276</v>
      </c>
      <c r="M164" s="143">
        <v>0.41399999999999998</v>
      </c>
      <c r="N164" s="143">
        <v>0.58399999999999996</v>
      </c>
      <c r="O164" s="143">
        <v>1.1396189301632154</v>
      </c>
      <c r="P164" s="143">
        <v>1.242</v>
      </c>
      <c r="Q164" s="143">
        <v>1.7519999999999998</v>
      </c>
      <c r="R164" s="143">
        <v>0.37987297672107179</v>
      </c>
      <c r="S164" s="136" t="s">
        <v>106</v>
      </c>
      <c r="T164" s="136" t="s">
        <v>108</v>
      </c>
      <c r="U164" s="136" t="s">
        <v>113</v>
      </c>
      <c r="V164" s="136"/>
      <c r="W164" s="136" t="s">
        <v>387</v>
      </c>
      <c r="X164" s="137">
        <v>0.24745072463768114</v>
      </c>
      <c r="Y164" s="137">
        <v>5.6913666666666662</v>
      </c>
      <c r="Z164" s="137">
        <v>23</v>
      </c>
      <c r="AA164" s="146" t="s">
        <v>664</v>
      </c>
      <c r="AB164" s="9" t="s">
        <v>270</v>
      </c>
      <c r="AC164" s="138"/>
    </row>
    <row r="165" spans="1:29" ht="24" x14ac:dyDescent="0.3">
      <c r="A165" s="3" t="e">
        <f>VLOOKUP(E165,'[1]Listas Desplegables'!$H$3:$J$7,2,FALSE)</f>
        <v>#N/A</v>
      </c>
      <c r="B165" s="3" t="e">
        <f>VLOOKUP(E165,'[1]Listas Desplegables'!$H$3:$J$7,3,FALSE)</f>
        <v>#N/A</v>
      </c>
      <c r="C165" s="8">
        <v>160</v>
      </c>
      <c r="D165" s="136" t="s">
        <v>627</v>
      </c>
      <c r="E165" s="136" t="s">
        <v>594</v>
      </c>
      <c r="F165" s="136" t="s">
        <v>603</v>
      </c>
      <c r="G165" s="136">
        <v>34.5</v>
      </c>
      <c r="H165" s="136">
        <v>11.728999999999999</v>
      </c>
      <c r="I165" s="136">
        <v>275</v>
      </c>
      <c r="J165" s="136">
        <v>275</v>
      </c>
      <c r="K165" s="136">
        <v>275</v>
      </c>
      <c r="L165" s="136" t="s">
        <v>276</v>
      </c>
      <c r="M165" s="143">
        <v>0.41399999999999998</v>
      </c>
      <c r="N165" s="143">
        <v>0.58399999999999996</v>
      </c>
      <c r="O165" s="143">
        <v>1.1396189301632154</v>
      </c>
      <c r="P165" s="143">
        <v>1.242</v>
      </c>
      <c r="Q165" s="143">
        <v>1.7519999999999998</v>
      </c>
      <c r="R165" s="143">
        <v>0.37987297672107179</v>
      </c>
      <c r="S165" s="136" t="s">
        <v>106</v>
      </c>
      <c r="T165" s="136" t="s">
        <v>108</v>
      </c>
      <c r="U165" s="136" t="s">
        <v>113</v>
      </c>
      <c r="V165" s="136"/>
      <c r="W165" s="136" t="s">
        <v>387</v>
      </c>
      <c r="X165" s="137"/>
      <c r="Y165" s="137"/>
      <c r="Z165" s="137"/>
      <c r="AA165" s="146" t="s">
        <v>664</v>
      </c>
      <c r="AB165" s="9" t="s">
        <v>270</v>
      </c>
      <c r="AC165" s="138"/>
    </row>
    <row r="166" spans="1:29" ht="24" x14ac:dyDescent="0.3">
      <c r="A166" s="3" t="e">
        <f>VLOOKUP(E166,'[1]Listas Desplegables'!$H$3:$J$7,2,FALSE)</f>
        <v>#N/A</v>
      </c>
      <c r="B166" s="3" t="e">
        <f>VLOOKUP(E166,'[1]Listas Desplegables'!$H$3:$J$7,3,FALSE)</f>
        <v>#N/A</v>
      </c>
      <c r="C166" s="8">
        <v>161</v>
      </c>
      <c r="D166" s="136" t="s">
        <v>628</v>
      </c>
      <c r="E166" s="136" t="s">
        <v>398</v>
      </c>
      <c r="F166" s="136" t="s">
        <v>629</v>
      </c>
      <c r="G166" s="136">
        <v>34.5</v>
      </c>
      <c r="H166" s="136">
        <v>5.2</v>
      </c>
      <c r="I166" s="136">
        <v>275</v>
      </c>
      <c r="J166" s="136">
        <v>275</v>
      </c>
      <c r="K166" s="136">
        <v>275</v>
      </c>
      <c r="L166" s="136" t="s">
        <v>276</v>
      </c>
      <c r="M166" s="143">
        <v>0.41399999999999998</v>
      </c>
      <c r="N166" s="143">
        <v>0.58399999999999996</v>
      </c>
      <c r="O166" s="143">
        <v>1.1396189301632154</v>
      </c>
      <c r="P166" s="143">
        <v>1.242</v>
      </c>
      <c r="Q166" s="143">
        <v>1.7519999999999998</v>
      </c>
      <c r="R166" s="143">
        <v>0.37987297672107179</v>
      </c>
      <c r="S166" s="136" t="s">
        <v>106</v>
      </c>
      <c r="T166" s="136" t="s">
        <v>108</v>
      </c>
      <c r="U166" s="136" t="s">
        <v>113</v>
      </c>
      <c r="V166" s="136"/>
      <c r="W166" s="136" t="s">
        <v>387</v>
      </c>
      <c r="X166" s="137"/>
      <c r="Y166" s="137"/>
      <c r="Z166" s="137"/>
      <c r="AA166" s="146" t="s">
        <v>664</v>
      </c>
      <c r="AB166" s="9" t="s">
        <v>270</v>
      </c>
      <c r="AC166" s="138"/>
    </row>
    <row r="167" spans="1:29" ht="24" x14ac:dyDescent="0.3">
      <c r="A167" s="3" t="e">
        <f>VLOOKUP(E167,'[1]Listas Desplegables'!$H$3:$J$7,2,FALSE)</f>
        <v>#N/A</v>
      </c>
      <c r="B167" s="3" t="e">
        <f>VLOOKUP(E167,'[1]Listas Desplegables'!$H$3:$J$7,3,FALSE)</f>
        <v>#N/A</v>
      </c>
      <c r="C167" s="7">
        <v>162</v>
      </c>
      <c r="D167" s="136" t="s">
        <v>630</v>
      </c>
      <c r="E167" s="136" t="s">
        <v>572</v>
      </c>
      <c r="F167" s="136" t="s">
        <v>527</v>
      </c>
      <c r="G167" s="136">
        <v>34.5</v>
      </c>
      <c r="H167" s="136">
        <v>10</v>
      </c>
      <c r="I167" s="136">
        <v>275</v>
      </c>
      <c r="J167" s="136">
        <v>275</v>
      </c>
      <c r="K167" s="136">
        <v>275</v>
      </c>
      <c r="L167" s="136" t="s">
        <v>276</v>
      </c>
      <c r="M167" s="143">
        <v>0.41399999999999998</v>
      </c>
      <c r="N167" s="143">
        <v>0.58399999999999996</v>
      </c>
      <c r="O167" s="143">
        <v>1.1396189301632154</v>
      </c>
      <c r="P167" s="143">
        <v>1.242</v>
      </c>
      <c r="Q167" s="143">
        <v>1.7519999999999998</v>
      </c>
      <c r="R167" s="143">
        <v>0.37987297672107179</v>
      </c>
      <c r="S167" s="136" t="s">
        <v>106</v>
      </c>
      <c r="T167" s="136" t="s">
        <v>108</v>
      </c>
      <c r="U167" s="136" t="s">
        <v>113</v>
      </c>
      <c r="V167" s="136"/>
      <c r="W167" s="136" t="s">
        <v>387</v>
      </c>
      <c r="X167" s="137"/>
      <c r="Y167" s="137"/>
      <c r="Z167" s="137"/>
      <c r="AA167" s="146" t="s">
        <v>664</v>
      </c>
      <c r="AB167" s="9" t="s">
        <v>270</v>
      </c>
      <c r="AC167" s="138"/>
    </row>
    <row r="168" spans="1:29" ht="24" x14ac:dyDescent="0.3">
      <c r="A168" s="3" t="e">
        <f>VLOOKUP(E168,'[1]Listas Desplegables'!$H$3:$J$7,2,FALSE)</f>
        <v>#N/A</v>
      </c>
      <c r="B168" s="3" t="e">
        <f>VLOOKUP(E168,'[1]Listas Desplegables'!$H$3:$J$7,3,FALSE)</f>
        <v>#N/A</v>
      </c>
      <c r="C168" s="8">
        <v>163</v>
      </c>
      <c r="D168" s="136" t="s">
        <v>631</v>
      </c>
      <c r="E168" s="136" t="s">
        <v>527</v>
      </c>
      <c r="F168" s="136" t="s">
        <v>452</v>
      </c>
      <c r="G168" s="136">
        <v>34.5</v>
      </c>
      <c r="H168" s="136">
        <v>32</v>
      </c>
      <c r="I168" s="136">
        <v>275</v>
      </c>
      <c r="J168" s="136">
        <v>275</v>
      </c>
      <c r="K168" s="136">
        <v>275</v>
      </c>
      <c r="L168" s="136" t="s">
        <v>276</v>
      </c>
      <c r="M168" s="143">
        <v>0.41399999999999998</v>
      </c>
      <c r="N168" s="143">
        <v>0.58399999999999996</v>
      </c>
      <c r="O168" s="143">
        <v>1.1396189301632154</v>
      </c>
      <c r="P168" s="143">
        <v>1.242</v>
      </c>
      <c r="Q168" s="143">
        <v>1.7519999999999998</v>
      </c>
      <c r="R168" s="143">
        <v>0.37987297672107179</v>
      </c>
      <c r="S168" s="136" t="s">
        <v>106</v>
      </c>
      <c r="T168" s="136" t="s">
        <v>108</v>
      </c>
      <c r="U168" s="136" t="s">
        <v>113</v>
      </c>
      <c r="V168" s="136"/>
      <c r="W168" s="136" t="s">
        <v>387</v>
      </c>
      <c r="X168" s="137"/>
      <c r="Y168" s="137"/>
      <c r="Z168" s="137"/>
      <c r="AA168" s="146" t="s">
        <v>664</v>
      </c>
      <c r="AB168" s="9" t="s">
        <v>270</v>
      </c>
      <c r="AC168" s="138"/>
    </row>
    <row r="169" spans="1:29" ht="24" x14ac:dyDescent="0.3">
      <c r="A169" s="3" t="e">
        <f>VLOOKUP(E169,'[1]Listas Desplegables'!$H$3:$J$7,2,FALSE)</f>
        <v>#N/A</v>
      </c>
      <c r="B169" s="3" t="e">
        <f>VLOOKUP(E169,'[1]Listas Desplegables'!$H$3:$J$7,3,FALSE)</f>
        <v>#N/A</v>
      </c>
      <c r="C169" s="8">
        <v>164</v>
      </c>
      <c r="D169" s="136" t="s">
        <v>632</v>
      </c>
      <c r="E169" s="136" t="s">
        <v>633</v>
      </c>
      <c r="F169" s="136" t="s">
        <v>634</v>
      </c>
      <c r="G169" s="136">
        <v>34.5</v>
      </c>
      <c r="H169" s="136">
        <v>17</v>
      </c>
      <c r="I169" s="136">
        <v>275</v>
      </c>
      <c r="J169" s="136">
        <v>275</v>
      </c>
      <c r="K169" s="136">
        <v>275</v>
      </c>
      <c r="L169" s="136" t="s">
        <v>276</v>
      </c>
      <c r="M169" s="143">
        <v>0.41399999999999998</v>
      </c>
      <c r="N169" s="143">
        <v>0.58399999999999996</v>
      </c>
      <c r="O169" s="143">
        <v>1.1396189301632154</v>
      </c>
      <c r="P169" s="143">
        <v>1.242</v>
      </c>
      <c r="Q169" s="143">
        <v>1.7519999999999998</v>
      </c>
      <c r="R169" s="143">
        <v>0.37987297672107179</v>
      </c>
      <c r="S169" s="136" t="s">
        <v>106</v>
      </c>
      <c r="T169" s="136" t="s">
        <v>108</v>
      </c>
      <c r="U169" s="136" t="s">
        <v>113</v>
      </c>
      <c r="V169" s="136"/>
      <c r="W169" s="136" t="s">
        <v>387</v>
      </c>
      <c r="X169" s="137"/>
      <c r="Y169" s="137"/>
      <c r="Z169" s="137"/>
      <c r="AA169" s="146" t="s">
        <v>664</v>
      </c>
      <c r="AB169" s="9" t="s">
        <v>270</v>
      </c>
      <c r="AC169" s="138"/>
    </row>
    <row r="170" spans="1:29" ht="24" x14ac:dyDescent="0.3">
      <c r="A170" s="3" t="e">
        <f>VLOOKUP(E170,'[1]Listas Desplegables'!$H$3:$J$7,2,FALSE)</f>
        <v>#N/A</v>
      </c>
      <c r="B170" s="3" t="e">
        <f>VLOOKUP(E170,'[1]Listas Desplegables'!$H$3:$J$7,3,FALSE)</f>
        <v>#N/A</v>
      </c>
      <c r="C170" s="8">
        <v>165</v>
      </c>
      <c r="D170" s="136" t="s">
        <v>635</v>
      </c>
      <c r="E170" s="136" t="s">
        <v>490</v>
      </c>
      <c r="F170" s="136" t="s">
        <v>636</v>
      </c>
      <c r="G170" s="136">
        <v>34.5</v>
      </c>
      <c r="H170" s="136">
        <v>3.5</v>
      </c>
      <c r="I170" s="136">
        <v>275</v>
      </c>
      <c r="J170" s="136">
        <v>275</v>
      </c>
      <c r="K170" s="136">
        <v>275</v>
      </c>
      <c r="L170" s="136" t="s">
        <v>276</v>
      </c>
      <c r="M170" s="143">
        <v>0.41399999999999998</v>
      </c>
      <c r="N170" s="143">
        <v>0.58399999999999996</v>
      </c>
      <c r="O170" s="143">
        <v>1.1396189301632154</v>
      </c>
      <c r="P170" s="143">
        <v>1.242</v>
      </c>
      <c r="Q170" s="143">
        <v>1.7519999999999998</v>
      </c>
      <c r="R170" s="143">
        <v>0.37987297672107179</v>
      </c>
      <c r="S170" s="136" t="s">
        <v>106</v>
      </c>
      <c r="T170" s="136" t="s">
        <v>108</v>
      </c>
      <c r="U170" s="136" t="s">
        <v>113</v>
      </c>
      <c r="V170" s="136"/>
      <c r="W170" s="136" t="s">
        <v>387</v>
      </c>
      <c r="X170" s="137"/>
      <c r="Y170" s="137"/>
      <c r="Z170" s="137"/>
      <c r="AA170" s="146" t="s">
        <v>664</v>
      </c>
      <c r="AB170" s="9" t="s">
        <v>270</v>
      </c>
      <c r="AC170" s="138"/>
    </row>
    <row r="171" spans="1:29" ht="24" x14ac:dyDescent="0.3">
      <c r="A171" s="3" t="e">
        <f>VLOOKUP(E171,'[1]Listas Desplegables'!$H$3:$J$7,2,FALSE)</f>
        <v>#N/A</v>
      </c>
      <c r="B171" s="3" t="e">
        <f>VLOOKUP(E171,'[1]Listas Desplegables'!$H$3:$J$7,3,FALSE)</f>
        <v>#N/A</v>
      </c>
      <c r="C171" s="7">
        <v>166</v>
      </c>
      <c r="D171" s="136" t="s">
        <v>637</v>
      </c>
      <c r="E171" s="136" t="s">
        <v>636</v>
      </c>
      <c r="F171" s="136" t="s">
        <v>515</v>
      </c>
      <c r="G171" s="136">
        <v>34.5</v>
      </c>
      <c r="H171" s="136">
        <v>12</v>
      </c>
      <c r="I171" s="136">
        <v>275</v>
      </c>
      <c r="J171" s="136">
        <v>275</v>
      </c>
      <c r="K171" s="136">
        <v>275</v>
      </c>
      <c r="L171" s="136" t="s">
        <v>276</v>
      </c>
      <c r="M171" s="143">
        <v>0.41399999999999998</v>
      </c>
      <c r="N171" s="143">
        <v>0.58399999999999996</v>
      </c>
      <c r="O171" s="143">
        <v>1.1396189301632154</v>
      </c>
      <c r="P171" s="143">
        <v>1.242</v>
      </c>
      <c r="Q171" s="143">
        <v>1.7519999999999998</v>
      </c>
      <c r="R171" s="143">
        <v>0.37987297672107179</v>
      </c>
      <c r="S171" s="136" t="s">
        <v>106</v>
      </c>
      <c r="T171" s="136" t="s">
        <v>108</v>
      </c>
      <c r="U171" s="136" t="s">
        <v>113</v>
      </c>
      <c r="V171" s="136"/>
      <c r="W171" s="136" t="s">
        <v>387</v>
      </c>
      <c r="X171" s="137"/>
      <c r="Y171" s="137"/>
      <c r="Z171" s="137"/>
      <c r="AA171" s="146" t="s">
        <v>664</v>
      </c>
      <c r="AB171" s="9" t="s">
        <v>270</v>
      </c>
      <c r="AC171" s="138"/>
    </row>
    <row r="172" spans="1:29" ht="24" x14ac:dyDescent="0.3">
      <c r="A172" s="3" t="e">
        <f>VLOOKUP(E172,'[1]Listas Desplegables'!$H$3:$J$7,2,FALSE)</f>
        <v>#N/A</v>
      </c>
      <c r="B172" s="3" t="e">
        <f>VLOOKUP(E172,'[1]Listas Desplegables'!$H$3:$J$7,3,FALSE)</f>
        <v>#N/A</v>
      </c>
      <c r="C172" s="8">
        <v>167</v>
      </c>
      <c r="D172" s="136" t="s">
        <v>638</v>
      </c>
      <c r="E172" s="136" t="s">
        <v>347</v>
      </c>
      <c r="F172" s="136" t="s">
        <v>639</v>
      </c>
      <c r="G172" s="136">
        <v>34.5</v>
      </c>
      <c r="H172" s="136">
        <v>4.5</v>
      </c>
      <c r="I172" s="136">
        <v>355</v>
      </c>
      <c r="J172" s="136">
        <v>355</v>
      </c>
      <c r="K172" s="136">
        <v>355</v>
      </c>
      <c r="L172" s="136" t="s">
        <v>276</v>
      </c>
      <c r="M172" s="136">
        <v>0.26</v>
      </c>
      <c r="N172" s="136">
        <v>0.39600000000000002</v>
      </c>
      <c r="O172" s="142">
        <v>1.7645800655924713</v>
      </c>
      <c r="P172" s="136">
        <v>0.78</v>
      </c>
      <c r="Q172" s="136">
        <v>1.1880000000000002</v>
      </c>
      <c r="R172" s="142">
        <v>0.58819335519749039</v>
      </c>
      <c r="S172" s="136" t="s">
        <v>106</v>
      </c>
      <c r="T172" s="136" t="s">
        <v>108</v>
      </c>
      <c r="U172" s="136" t="s">
        <v>113</v>
      </c>
      <c r="V172" s="136"/>
      <c r="W172" s="136" t="s">
        <v>327</v>
      </c>
      <c r="X172" s="137"/>
      <c r="Y172" s="137"/>
      <c r="Z172" s="137"/>
      <c r="AA172" s="146" t="s">
        <v>664</v>
      </c>
      <c r="AB172" s="9" t="s">
        <v>270</v>
      </c>
      <c r="AC172" s="138"/>
    </row>
    <row r="173" spans="1:29" ht="24" x14ac:dyDescent="0.3">
      <c r="A173" s="3" t="e">
        <f>VLOOKUP(E173,'[1]Listas Desplegables'!$H$3:$J$7,2,FALSE)</f>
        <v>#N/A</v>
      </c>
      <c r="B173" s="3" t="e">
        <f>VLOOKUP(E173,'[1]Listas Desplegables'!$H$3:$J$7,3,FALSE)</f>
        <v>#N/A</v>
      </c>
      <c r="C173" s="8">
        <v>168</v>
      </c>
      <c r="D173" s="136" t="s">
        <v>640</v>
      </c>
      <c r="E173" s="136" t="s">
        <v>491</v>
      </c>
      <c r="F173" s="136" t="s">
        <v>641</v>
      </c>
      <c r="G173" s="136">
        <v>34.5</v>
      </c>
      <c r="H173" s="136">
        <v>9.8000000000000007</v>
      </c>
      <c r="I173" s="136">
        <v>355</v>
      </c>
      <c r="J173" s="136">
        <v>355</v>
      </c>
      <c r="K173" s="136">
        <v>355</v>
      </c>
      <c r="L173" s="136" t="s">
        <v>276</v>
      </c>
      <c r="M173" s="136">
        <v>0.26</v>
      </c>
      <c r="N173" s="136">
        <v>0.39600000000000002</v>
      </c>
      <c r="O173" s="142">
        <v>1.7645800655924713</v>
      </c>
      <c r="P173" s="136">
        <v>0.78</v>
      </c>
      <c r="Q173" s="136">
        <v>1.1880000000000002</v>
      </c>
      <c r="R173" s="142">
        <v>0.58819335519749039</v>
      </c>
      <c r="S173" s="136" t="s">
        <v>106</v>
      </c>
      <c r="T173" s="136" t="s">
        <v>108</v>
      </c>
      <c r="U173" s="136" t="s">
        <v>113</v>
      </c>
      <c r="V173" s="136"/>
      <c r="W173" s="136" t="s">
        <v>327</v>
      </c>
      <c r="X173" s="137"/>
      <c r="Y173" s="137"/>
      <c r="Z173" s="137"/>
      <c r="AA173" s="146" t="s">
        <v>664</v>
      </c>
      <c r="AB173" s="9" t="s">
        <v>270</v>
      </c>
      <c r="AC173" s="138"/>
    </row>
    <row r="174" spans="1:29" ht="24" x14ac:dyDescent="0.3">
      <c r="A174" s="3" t="e">
        <f>VLOOKUP(E174,'[1]Listas Desplegables'!$H$3:$J$7,2,FALSE)</f>
        <v>#N/A</v>
      </c>
      <c r="B174" s="3" t="e">
        <f>VLOOKUP(E174,'[1]Listas Desplegables'!$H$3:$J$7,3,FALSE)</f>
        <v>#N/A</v>
      </c>
      <c r="C174" s="8">
        <v>169</v>
      </c>
      <c r="D174" s="136" t="s">
        <v>642</v>
      </c>
      <c r="E174" s="136" t="s">
        <v>641</v>
      </c>
      <c r="F174" s="136" t="s">
        <v>493</v>
      </c>
      <c r="G174" s="136">
        <v>34.5</v>
      </c>
      <c r="H174" s="136">
        <v>4</v>
      </c>
      <c r="I174" s="136">
        <v>275</v>
      </c>
      <c r="J174" s="136">
        <v>275</v>
      </c>
      <c r="K174" s="136">
        <v>275</v>
      </c>
      <c r="L174" s="136" t="s">
        <v>276</v>
      </c>
      <c r="M174" s="143">
        <v>0.41399999999999998</v>
      </c>
      <c r="N174" s="143">
        <v>0.58399999999999996</v>
      </c>
      <c r="O174" s="143">
        <v>1.1396189301632154</v>
      </c>
      <c r="P174" s="143">
        <v>1.242</v>
      </c>
      <c r="Q174" s="143">
        <v>1.7519999999999998</v>
      </c>
      <c r="R174" s="143">
        <v>0.37987297672107179</v>
      </c>
      <c r="S174" s="136" t="s">
        <v>106</v>
      </c>
      <c r="T174" s="136" t="s">
        <v>108</v>
      </c>
      <c r="U174" s="136" t="s">
        <v>113</v>
      </c>
      <c r="V174" s="136"/>
      <c r="W174" s="136" t="s">
        <v>387</v>
      </c>
      <c r="X174" s="137"/>
      <c r="Y174" s="137"/>
      <c r="Z174" s="137"/>
      <c r="AA174" s="146" t="s">
        <v>664</v>
      </c>
      <c r="AB174" s="9" t="s">
        <v>270</v>
      </c>
      <c r="AC174" s="138"/>
    </row>
    <row r="175" spans="1:29" ht="24" x14ac:dyDescent="0.3">
      <c r="A175" s="3" t="e">
        <f>VLOOKUP(E175,'[1]Listas Desplegables'!$H$3:$J$7,2,FALSE)</f>
        <v>#N/A</v>
      </c>
      <c r="B175" s="3" t="e">
        <f>VLOOKUP(E175,'[1]Listas Desplegables'!$H$3:$J$7,3,FALSE)</f>
        <v>#N/A</v>
      </c>
      <c r="C175" s="7">
        <v>170</v>
      </c>
      <c r="D175" s="136" t="s">
        <v>643</v>
      </c>
      <c r="E175" s="136" t="s">
        <v>491</v>
      </c>
      <c r="F175" s="136" t="s">
        <v>639</v>
      </c>
      <c r="G175" s="136">
        <v>34.5</v>
      </c>
      <c r="H175" s="136">
        <v>6.5</v>
      </c>
      <c r="I175" s="136">
        <v>275</v>
      </c>
      <c r="J175" s="136">
        <v>275</v>
      </c>
      <c r="K175" s="136">
        <v>275</v>
      </c>
      <c r="L175" s="136" t="s">
        <v>276</v>
      </c>
      <c r="M175" s="143">
        <v>0.41399999999999998</v>
      </c>
      <c r="N175" s="143">
        <v>0.58399999999999996</v>
      </c>
      <c r="O175" s="143">
        <v>1.1396189301632154</v>
      </c>
      <c r="P175" s="143">
        <v>1.242</v>
      </c>
      <c r="Q175" s="143">
        <v>1.7519999999999998</v>
      </c>
      <c r="R175" s="143">
        <v>0.37987297672107179</v>
      </c>
      <c r="S175" s="136" t="s">
        <v>106</v>
      </c>
      <c r="T175" s="136" t="s">
        <v>108</v>
      </c>
      <c r="U175" s="136" t="s">
        <v>113</v>
      </c>
      <c r="V175" s="136"/>
      <c r="W175" s="136" t="s">
        <v>387</v>
      </c>
      <c r="X175" s="137"/>
      <c r="Y175" s="137"/>
      <c r="Z175" s="137"/>
      <c r="AA175" s="146" t="s">
        <v>664</v>
      </c>
      <c r="AB175" s="9" t="s">
        <v>270</v>
      </c>
      <c r="AC175" s="138"/>
    </row>
    <row r="176" spans="1:29" ht="24" x14ac:dyDescent="0.3">
      <c r="A176" s="3" t="e">
        <f>VLOOKUP(E176,'[1]Listas Desplegables'!$H$3:$J$7,2,FALSE)</f>
        <v>#N/A</v>
      </c>
      <c r="B176" s="3" t="e">
        <f>VLOOKUP(E176,'[1]Listas Desplegables'!$H$3:$J$7,3,FALSE)</f>
        <v>#N/A</v>
      </c>
      <c r="C176" s="8">
        <v>171</v>
      </c>
      <c r="D176" s="136" t="s">
        <v>644</v>
      </c>
      <c r="E176" s="136" t="s">
        <v>468</v>
      </c>
      <c r="F176" s="136" t="s">
        <v>645</v>
      </c>
      <c r="G176" s="136">
        <v>34.5</v>
      </c>
      <c r="H176" s="136">
        <v>5.42</v>
      </c>
      <c r="I176" s="136">
        <v>275</v>
      </c>
      <c r="J176" s="136">
        <v>275</v>
      </c>
      <c r="K176" s="136">
        <v>275</v>
      </c>
      <c r="L176" s="136" t="s">
        <v>276</v>
      </c>
      <c r="M176" s="143">
        <v>0.41399999999999998</v>
      </c>
      <c r="N176" s="143">
        <v>0.58399999999999996</v>
      </c>
      <c r="O176" s="143">
        <v>1.1396189301632154</v>
      </c>
      <c r="P176" s="143">
        <v>1.242</v>
      </c>
      <c r="Q176" s="143">
        <v>1.7519999999999998</v>
      </c>
      <c r="R176" s="143">
        <v>0.37987297672107179</v>
      </c>
      <c r="S176" s="136" t="s">
        <v>106</v>
      </c>
      <c r="T176" s="136" t="s">
        <v>108</v>
      </c>
      <c r="U176" s="136" t="s">
        <v>113</v>
      </c>
      <c r="V176" s="136"/>
      <c r="W176" s="136" t="s">
        <v>387</v>
      </c>
      <c r="X176" s="137"/>
      <c r="Y176" s="137"/>
      <c r="Z176" s="137"/>
      <c r="AA176" s="146" t="s">
        <v>664</v>
      </c>
      <c r="AB176" s="9" t="s">
        <v>270</v>
      </c>
      <c r="AC176" s="138"/>
    </row>
    <row r="177" spans="1:29" ht="24" x14ac:dyDescent="0.3">
      <c r="A177" s="3" t="e">
        <f>VLOOKUP(E177,'[1]Listas Desplegables'!$H$3:$J$7,2,FALSE)</f>
        <v>#N/A</v>
      </c>
      <c r="B177" s="3" t="e">
        <f>VLOOKUP(E177,'[1]Listas Desplegables'!$H$3:$J$7,3,FALSE)</f>
        <v>#N/A</v>
      </c>
      <c r="C177" s="8">
        <v>172</v>
      </c>
      <c r="D177" s="136" t="s">
        <v>646</v>
      </c>
      <c r="E177" s="136" t="s">
        <v>645</v>
      </c>
      <c r="F177" s="136" t="s">
        <v>497</v>
      </c>
      <c r="G177" s="136">
        <v>34.5</v>
      </c>
      <c r="H177" s="136">
        <v>2.95</v>
      </c>
      <c r="I177" s="136">
        <v>355</v>
      </c>
      <c r="J177" s="136">
        <v>355</v>
      </c>
      <c r="K177" s="136">
        <v>355</v>
      </c>
      <c r="L177" s="136" t="s">
        <v>276</v>
      </c>
      <c r="M177" s="136">
        <v>0.26</v>
      </c>
      <c r="N177" s="136">
        <v>0.39600000000000002</v>
      </c>
      <c r="O177" s="142">
        <v>1.7645800655924713</v>
      </c>
      <c r="P177" s="136">
        <v>0.78</v>
      </c>
      <c r="Q177" s="136">
        <v>1.1880000000000002</v>
      </c>
      <c r="R177" s="142">
        <v>0.58819335519749039</v>
      </c>
      <c r="S177" s="136" t="s">
        <v>106</v>
      </c>
      <c r="T177" s="136" t="s">
        <v>108</v>
      </c>
      <c r="U177" s="136" t="s">
        <v>113</v>
      </c>
      <c r="V177" s="136"/>
      <c r="W177" s="136" t="s">
        <v>327</v>
      </c>
      <c r="X177" s="137"/>
      <c r="Y177" s="137"/>
      <c r="Z177" s="137"/>
      <c r="AA177" s="146" t="s">
        <v>664</v>
      </c>
      <c r="AB177" s="9" t="s">
        <v>270</v>
      </c>
      <c r="AC177" s="138"/>
    </row>
    <row r="178" spans="1:29" ht="24" x14ac:dyDescent="0.3">
      <c r="A178" s="3" t="e">
        <f>VLOOKUP(E178,'[1]Listas Desplegables'!$H$3:$J$7,2,FALSE)</f>
        <v>#N/A</v>
      </c>
      <c r="B178" s="3" t="e">
        <f>VLOOKUP(E178,'[1]Listas Desplegables'!$H$3:$J$7,3,FALSE)</f>
        <v>#N/A</v>
      </c>
      <c r="C178" s="8">
        <v>173</v>
      </c>
      <c r="D178" s="136" t="s">
        <v>647</v>
      </c>
      <c r="E178" s="136" t="s">
        <v>468</v>
      </c>
      <c r="F178" s="136" t="s">
        <v>648</v>
      </c>
      <c r="G178" s="136">
        <v>34.5</v>
      </c>
      <c r="H178" s="136">
        <v>3.97</v>
      </c>
      <c r="I178" s="136">
        <v>275</v>
      </c>
      <c r="J178" s="136">
        <v>275</v>
      </c>
      <c r="K178" s="136">
        <v>275</v>
      </c>
      <c r="L178" s="136" t="s">
        <v>276</v>
      </c>
      <c r="M178" s="136">
        <v>0.26</v>
      </c>
      <c r="N178" s="136">
        <v>0.39600000000000002</v>
      </c>
      <c r="O178" s="142">
        <v>1.7645800655924713</v>
      </c>
      <c r="P178" s="136">
        <v>0.78</v>
      </c>
      <c r="Q178" s="136">
        <v>1.1880000000000002</v>
      </c>
      <c r="R178" s="142">
        <v>0.58819335519749039</v>
      </c>
      <c r="S178" s="136" t="s">
        <v>106</v>
      </c>
      <c r="T178" s="136" t="s">
        <v>108</v>
      </c>
      <c r="U178" s="136" t="s">
        <v>113</v>
      </c>
      <c r="V178" s="136"/>
      <c r="W178" s="136" t="s">
        <v>327</v>
      </c>
      <c r="X178" s="137"/>
      <c r="Y178" s="137"/>
      <c r="Z178" s="137"/>
      <c r="AA178" s="146" t="s">
        <v>664</v>
      </c>
      <c r="AB178" s="9" t="s">
        <v>270</v>
      </c>
      <c r="AC178" s="138"/>
    </row>
    <row r="179" spans="1:29" ht="24" x14ac:dyDescent="0.3">
      <c r="A179" s="3" t="e">
        <f>VLOOKUP(E179,'[1]Listas Desplegables'!$H$3:$J$7,2,FALSE)</f>
        <v>#N/A</v>
      </c>
      <c r="B179" s="3" t="e">
        <f>VLOOKUP(E179,'[1]Listas Desplegables'!$H$3:$J$7,3,FALSE)</f>
        <v>#N/A</v>
      </c>
      <c r="C179" s="7">
        <v>174</v>
      </c>
      <c r="D179" s="136" t="s">
        <v>649</v>
      </c>
      <c r="E179" s="136" t="s">
        <v>340</v>
      </c>
      <c r="F179" s="136" t="s">
        <v>457</v>
      </c>
      <c r="G179" s="136">
        <v>34.5</v>
      </c>
      <c r="H179" s="136">
        <v>3.5</v>
      </c>
      <c r="I179" s="136">
        <v>241</v>
      </c>
      <c r="J179" s="136">
        <v>241</v>
      </c>
      <c r="K179" s="136">
        <v>241</v>
      </c>
      <c r="L179" s="136" t="s">
        <v>276</v>
      </c>
      <c r="M179" s="136">
        <v>0.26</v>
      </c>
      <c r="N179" s="136">
        <v>0.39600000000000002</v>
      </c>
      <c r="O179" s="142">
        <v>1.7645800655924713</v>
      </c>
      <c r="P179" s="136">
        <v>0.78</v>
      </c>
      <c r="Q179" s="136">
        <v>1.1880000000000002</v>
      </c>
      <c r="R179" s="142">
        <v>0.58819335519749039</v>
      </c>
      <c r="S179" s="136" t="s">
        <v>106</v>
      </c>
      <c r="T179" s="136" t="s">
        <v>108</v>
      </c>
      <c r="U179" s="136" t="s">
        <v>113</v>
      </c>
      <c r="V179" s="136"/>
      <c r="W179" s="136" t="s">
        <v>327</v>
      </c>
      <c r="X179" s="137"/>
      <c r="Y179" s="137"/>
      <c r="Z179" s="137"/>
      <c r="AA179" s="146" t="s">
        <v>664</v>
      </c>
      <c r="AB179" s="9" t="s">
        <v>270</v>
      </c>
      <c r="AC179" s="138"/>
    </row>
    <row r="180" spans="1:29" ht="24" x14ac:dyDescent="0.3">
      <c r="A180" s="3" t="e">
        <f>VLOOKUP(E180,'[1]Listas Desplegables'!$H$3:$J$7,2,FALSE)</f>
        <v>#N/A</v>
      </c>
      <c r="B180" s="3" t="e">
        <f>VLOOKUP(E180,'[1]Listas Desplegables'!$H$3:$J$7,3,FALSE)</f>
        <v>#N/A</v>
      </c>
      <c r="C180" s="8">
        <v>175</v>
      </c>
      <c r="D180" s="136" t="s">
        <v>650</v>
      </c>
      <c r="E180" s="136" t="s">
        <v>594</v>
      </c>
      <c r="F180" s="136" t="s">
        <v>382</v>
      </c>
      <c r="G180" s="136">
        <v>34.5</v>
      </c>
      <c r="H180" s="136">
        <v>16.3</v>
      </c>
      <c r="I180" s="136">
        <v>241</v>
      </c>
      <c r="J180" s="136">
        <v>241</v>
      </c>
      <c r="K180" s="136">
        <v>241</v>
      </c>
      <c r="L180" s="136" t="s">
        <v>276</v>
      </c>
      <c r="M180" s="136">
        <v>0.26</v>
      </c>
      <c r="N180" s="136">
        <v>0.39600000000000002</v>
      </c>
      <c r="O180" s="142">
        <v>1.7645800655924713</v>
      </c>
      <c r="P180" s="136">
        <v>0.78</v>
      </c>
      <c r="Q180" s="136">
        <v>1.1880000000000002</v>
      </c>
      <c r="R180" s="142">
        <v>0.58819335519749039</v>
      </c>
      <c r="S180" s="136" t="s">
        <v>106</v>
      </c>
      <c r="T180" s="136" t="s">
        <v>108</v>
      </c>
      <c r="U180" s="136" t="s">
        <v>113</v>
      </c>
      <c r="V180" s="136"/>
      <c r="W180" s="136" t="s">
        <v>327</v>
      </c>
      <c r="X180" s="137"/>
      <c r="Y180" s="137"/>
      <c r="Z180" s="137"/>
      <c r="AA180" s="146" t="s">
        <v>664</v>
      </c>
      <c r="AB180" s="9" t="s">
        <v>270</v>
      </c>
      <c r="AC180" s="138"/>
    </row>
    <row r="181" spans="1:29" ht="24" x14ac:dyDescent="0.3">
      <c r="A181" s="3" t="e">
        <f>VLOOKUP(E181,'[1]Listas Desplegables'!$H$3:$J$7,2,FALSE)</f>
        <v>#N/A</v>
      </c>
      <c r="B181" s="3" t="e">
        <f>VLOOKUP(E181,'[1]Listas Desplegables'!$H$3:$J$7,3,FALSE)</f>
        <v>#N/A</v>
      </c>
      <c r="C181" s="8">
        <v>176</v>
      </c>
      <c r="D181" s="136" t="s">
        <v>651</v>
      </c>
      <c r="E181" s="136" t="s">
        <v>652</v>
      </c>
      <c r="F181" s="136" t="s">
        <v>653</v>
      </c>
      <c r="G181" s="136">
        <v>34.5</v>
      </c>
      <c r="H181" s="136">
        <v>20</v>
      </c>
      <c r="I181" s="136">
        <v>355</v>
      </c>
      <c r="J181" s="136">
        <v>355</v>
      </c>
      <c r="K181" s="136">
        <v>355</v>
      </c>
      <c r="L181" s="136" t="s">
        <v>276</v>
      </c>
      <c r="M181" s="136">
        <v>0.26</v>
      </c>
      <c r="N181" s="136">
        <v>0.39600000000000002</v>
      </c>
      <c r="O181" s="142">
        <v>1.7645800655924713</v>
      </c>
      <c r="P181" s="136">
        <v>0.78</v>
      </c>
      <c r="Q181" s="136">
        <v>1.1880000000000002</v>
      </c>
      <c r="R181" s="142">
        <v>0.58819335519749039</v>
      </c>
      <c r="S181" s="136" t="s">
        <v>106</v>
      </c>
      <c r="T181" s="136" t="s">
        <v>108</v>
      </c>
      <c r="U181" s="136" t="s">
        <v>113</v>
      </c>
      <c r="V181" s="136"/>
      <c r="W181" s="136" t="s">
        <v>327</v>
      </c>
      <c r="X181" s="137"/>
      <c r="Y181" s="137"/>
      <c r="Z181" s="137"/>
      <c r="AA181" s="146" t="s">
        <v>664</v>
      </c>
      <c r="AB181" s="9" t="s">
        <v>270</v>
      </c>
      <c r="AC181" s="138"/>
    </row>
    <row r="182" spans="1:29" ht="24" x14ac:dyDescent="0.3">
      <c r="A182" s="3" t="e">
        <f>VLOOKUP(E182,'[1]Listas Desplegables'!$H$3:$J$7,2,FALSE)</f>
        <v>#N/A</v>
      </c>
      <c r="B182" s="3" t="e">
        <f>VLOOKUP(E182,'[1]Listas Desplegables'!$H$3:$J$7,3,FALSE)</f>
        <v>#N/A</v>
      </c>
      <c r="C182" s="8">
        <v>177</v>
      </c>
      <c r="D182" s="136" t="s">
        <v>654</v>
      </c>
      <c r="E182" s="136" t="s">
        <v>591</v>
      </c>
      <c r="F182" s="136" t="s">
        <v>655</v>
      </c>
      <c r="G182" s="136">
        <v>34.5</v>
      </c>
      <c r="H182" s="136">
        <v>30</v>
      </c>
      <c r="I182" s="136">
        <v>355</v>
      </c>
      <c r="J182" s="136">
        <v>355</v>
      </c>
      <c r="K182" s="136">
        <v>355</v>
      </c>
      <c r="L182" s="136" t="s">
        <v>276</v>
      </c>
      <c r="M182" s="136">
        <v>0.26</v>
      </c>
      <c r="N182" s="136">
        <v>0.39600000000000002</v>
      </c>
      <c r="O182" s="142">
        <v>1.7645800655924713</v>
      </c>
      <c r="P182" s="136">
        <v>0.78</v>
      </c>
      <c r="Q182" s="136">
        <v>1.1880000000000002</v>
      </c>
      <c r="R182" s="142">
        <v>0.58819335519749039</v>
      </c>
      <c r="S182" s="136" t="s">
        <v>106</v>
      </c>
      <c r="T182" s="136" t="s">
        <v>108</v>
      </c>
      <c r="U182" s="136" t="s">
        <v>113</v>
      </c>
      <c r="V182" s="136"/>
      <c r="W182" s="136" t="s">
        <v>327</v>
      </c>
      <c r="X182" s="137"/>
      <c r="Y182" s="137"/>
      <c r="Z182" s="137"/>
      <c r="AA182" s="146" t="s">
        <v>664</v>
      </c>
      <c r="AB182" s="9" t="s">
        <v>270</v>
      </c>
      <c r="AC182" s="138"/>
    </row>
    <row r="183" spans="1:29" ht="24" x14ac:dyDescent="0.3">
      <c r="A183" s="3" t="e">
        <f>VLOOKUP(E183,'[1]Listas Desplegables'!$H$3:$J$7,2,FALSE)</f>
        <v>#N/A</v>
      </c>
      <c r="B183" s="3" t="e">
        <f>VLOOKUP(E183,'[1]Listas Desplegables'!$H$3:$J$7,3,FALSE)</f>
        <v>#N/A</v>
      </c>
      <c r="C183" s="7">
        <v>178</v>
      </c>
      <c r="D183" s="136" t="s">
        <v>656</v>
      </c>
      <c r="E183" s="136" t="s">
        <v>591</v>
      </c>
      <c r="F183" s="136" t="s">
        <v>592</v>
      </c>
      <c r="G183" s="136">
        <v>34.5</v>
      </c>
      <c r="H183" s="136">
        <v>15</v>
      </c>
      <c r="I183" s="136">
        <v>355</v>
      </c>
      <c r="J183" s="136">
        <v>355</v>
      </c>
      <c r="K183" s="136">
        <v>355</v>
      </c>
      <c r="L183" s="136" t="s">
        <v>276</v>
      </c>
      <c r="M183" s="136">
        <v>0.26</v>
      </c>
      <c r="N183" s="136">
        <v>0.39600000000000002</v>
      </c>
      <c r="O183" s="142">
        <v>1.7645800655924713</v>
      </c>
      <c r="P183" s="136">
        <v>0.78</v>
      </c>
      <c r="Q183" s="136">
        <v>1.1880000000000002</v>
      </c>
      <c r="R183" s="142">
        <v>0.58819335519749039</v>
      </c>
      <c r="S183" s="136" t="s">
        <v>106</v>
      </c>
      <c r="T183" s="136" t="s">
        <v>108</v>
      </c>
      <c r="U183" s="136" t="s">
        <v>113</v>
      </c>
      <c r="V183" s="136"/>
      <c r="W183" s="136" t="s">
        <v>327</v>
      </c>
      <c r="X183" s="137"/>
      <c r="Y183" s="137"/>
      <c r="Z183" s="137"/>
      <c r="AA183" s="146" t="s">
        <v>664</v>
      </c>
      <c r="AB183" s="9" t="s">
        <v>270</v>
      </c>
      <c r="AC183" s="138"/>
    </row>
    <row r="184" spans="1:29" ht="24" x14ac:dyDescent="0.3">
      <c r="A184" s="3" t="e">
        <f>VLOOKUP(E184,'[1]Listas Desplegables'!$H$3:$J$7,2,FALSE)</f>
        <v>#N/A</v>
      </c>
      <c r="B184" s="3" t="e">
        <f>VLOOKUP(E184,'[1]Listas Desplegables'!$H$3:$J$7,3,FALSE)</f>
        <v>#N/A</v>
      </c>
      <c r="C184" s="8">
        <v>179</v>
      </c>
      <c r="D184" s="136" t="s">
        <v>657</v>
      </c>
      <c r="E184" s="136" t="s">
        <v>614</v>
      </c>
      <c r="F184" s="136" t="s">
        <v>658</v>
      </c>
      <c r="G184" s="136">
        <v>34.5</v>
      </c>
      <c r="H184" s="136">
        <v>5</v>
      </c>
      <c r="I184" s="136">
        <v>355</v>
      </c>
      <c r="J184" s="136">
        <v>355</v>
      </c>
      <c r="K184" s="136">
        <v>355</v>
      </c>
      <c r="L184" s="136" t="s">
        <v>276</v>
      </c>
      <c r="M184" s="136">
        <v>0.26</v>
      </c>
      <c r="N184" s="136">
        <v>0.39600000000000002</v>
      </c>
      <c r="O184" s="142">
        <v>1.7645800655924713</v>
      </c>
      <c r="P184" s="136">
        <v>0.78</v>
      </c>
      <c r="Q184" s="136">
        <v>1.1880000000000002</v>
      </c>
      <c r="R184" s="142">
        <v>0.58819335519749039</v>
      </c>
      <c r="S184" s="136" t="s">
        <v>106</v>
      </c>
      <c r="T184" s="136" t="s">
        <v>108</v>
      </c>
      <c r="U184" s="136" t="s">
        <v>113</v>
      </c>
      <c r="V184" s="136"/>
      <c r="W184" s="136" t="s">
        <v>327</v>
      </c>
      <c r="X184" s="137"/>
      <c r="Y184" s="137"/>
      <c r="Z184" s="137"/>
      <c r="AA184" s="146" t="s">
        <v>664</v>
      </c>
      <c r="AB184" s="9" t="s">
        <v>270</v>
      </c>
      <c r="AC184" s="138"/>
    </row>
    <row r="185" spans="1:29" ht="24" x14ac:dyDescent="0.3">
      <c r="A185" s="3" t="e">
        <f>VLOOKUP(E185,'[1]Listas Desplegables'!$H$3:$J$7,2,FALSE)</f>
        <v>#N/A</v>
      </c>
      <c r="B185" s="3" t="e">
        <f>VLOOKUP(E185,'[1]Listas Desplegables'!$H$3:$J$7,3,FALSE)</f>
        <v>#N/A</v>
      </c>
      <c r="C185" s="8">
        <v>180</v>
      </c>
      <c r="D185" s="136" t="s">
        <v>659</v>
      </c>
      <c r="E185" s="136" t="s">
        <v>591</v>
      </c>
      <c r="F185" s="136" t="s">
        <v>660</v>
      </c>
      <c r="G185" s="136">
        <v>34.5</v>
      </c>
      <c r="H185" s="136">
        <v>20</v>
      </c>
      <c r="I185" s="136">
        <v>355</v>
      </c>
      <c r="J185" s="136">
        <v>355</v>
      </c>
      <c r="K185" s="136">
        <v>355</v>
      </c>
      <c r="L185" s="136" t="s">
        <v>276</v>
      </c>
      <c r="M185" s="136">
        <v>0.26</v>
      </c>
      <c r="N185" s="136">
        <v>0.39600000000000002</v>
      </c>
      <c r="O185" s="142">
        <v>1.7645800655924713</v>
      </c>
      <c r="P185" s="136">
        <v>0.78</v>
      </c>
      <c r="Q185" s="136">
        <v>1.1880000000000002</v>
      </c>
      <c r="R185" s="142">
        <v>0.58819335519749039</v>
      </c>
      <c r="S185" s="136" t="s">
        <v>106</v>
      </c>
      <c r="T185" s="136" t="s">
        <v>108</v>
      </c>
      <c r="U185" s="136" t="s">
        <v>113</v>
      </c>
      <c r="V185" s="136">
        <v>2025</v>
      </c>
      <c r="W185" s="136" t="s">
        <v>327</v>
      </c>
      <c r="X185" s="137"/>
      <c r="Y185" s="137"/>
      <c r="Z185" s="137"/>
      <c r="AA185" s="146" t="s">
        <v>664</v>
      </c>
      <c r="AB185" s="9" t="s">
        <v>270</v>
      </c>
      <c r="AC185" s="138"/>
    </row>
    <row r="186" spans="1:29" ht="24" x14ac:dyDescent="0.3">
      <c r="A186" s="3" t="e">
        <f>VLOOKUP(E186,'[1]Listas Desplegables'!$H$3:$J$7,2,FALSE)</f>
        <v>#N/A</v>
      </c>
      <c r="B186" s="3" t="e">
        <f>VLOOKUP(E186,'[1]Listas Desplegables'!$H$3:$J$7,3,FALSE)</f>
        <v>#N/A</v>
      </c>
      <c r="C186" s="8">
        <v>181</v>
      </c>
      <c r="D186" s="136" t="s">
        <v>661</v>
      </c>
      <c r="E186" s="136" t="s">
        <v>340</v>
      </c>
      <c r="F186" s="136" t="s">
        <v>474</v>
      </c>
      <c r="G186" s="136">
        <v>34.5</v>
      </c>
      <c r="H186" s="136">
        <v>8</v>
      </c>
      <c r="I186" s="136">
        <v>355</v>
      </c>
      <c r="J186" s="136">
        <v>355</v>
      </c>
      <c r="K186" s="136">
        <v>355</v>
      </c>
      <c r="L186" s="136" t="s">
        <v>276</v>
      </c>
      <c r="M186" s="136">
        <v>0.26</v>
      </c>
      <c r="N186" s="136">
        <v>0.39600000000000002</v>
      </c>
      <c r="O186" s="142">
        <v>1.7645800655924713</v>
      </c>
      <c r="P186" s="136">
        <v>0.78</v>
      </c>
      <c r="Q186" s="136">
        <v>1.1880000000000002</v>
      </c>
      <c r="R186" s="142">
        <v>0.58819335519749039</v>
      </c>
      <c r="S186" s="136" t="s">
        <v>106</v>
      </c>
      <c r="T186" s="136" t="s">
        <v>108</v>
      </c>
      <c r="U186" s="136" t="s">
        <v>113</v>
      </c>
      <c r="V186" s="136"/>
      <c r="W186" s="136" t="s">
        <v>327</v>
      </c>
      <c r="X186" s="137"/>
      <c r="Y186" s="137"/>
      <c r="Z186" s="137"/>
      <c r="AA186" s="146" t="s">
        <v>664</v>
      </c>
      <c r="AB186" s="9" t="s">
        <v>270</v>
      </c>
      <c r="AC186" s="138"/>
    </row>
  </sheetData>
  <mergeCells count="28">
    <mergeCell ref="C3:AC3"/>
    <mergeCell ref="H4:H5"/>
    <mergeCell ref="K4:K5"/>
    <mergeCell ref="L4:L5"/>
    <mergeCell ref="J4:J5"/>
    <mergeCell ref="I4:I5"/>
    <mergeCell ref="M4:M5"/>
    <mergeCell ref="N4:N5"/>
    <mergeCell ref="O4:O5"/>
    <mergeCell ref="P4:P5"/>
    <mergeCell ref="Q4:Q5"/>
    <mergeCell ref="R4:R5"/>
    <mergeCell ref="V4:V5"/>
    <mergeCell ref="AC4:AC5"/>
    <mergeCell ref="W4:W5"/>
    <mergeCell ref="S4:S5"/>
    <mergeCell ref="C4:C5"/>
    <mergeCell ref="D4:D5"/>
    <mergeCell ref="T4:T5"/>
    <mergeCell ref="U4:U5"/>
    <mergeCell ref="E4:E5"/>
    <mergeCell ref="F4:F5"/>
    <mergeCell ref="G4:G5"/>
    <mergeCell ref="AA4:AA5"/>
    <mergeCell ref="AB4:AB5"/>
    <mergeCell ref="X4:X5"/>
    <mergeCell ref="Z4:Z5"/>
    <mergeCell ref="Y4:Y5"/>
  </mergeCells>
  <dataValidations count="5">
    <dataValidation type="list" allowBlank="1" showInputMessage="1" showErrorMessage="1" sqref="T6:T186" xr:uid="{726D8506-6381-4F54-AF2F-90871C78BCE1}">
      <formula1>TProyecto</formula1>
    </dataValidation>
    <dataValidation type="list" allowBlank="1" showInputMessage="1" showErrorMessage="1" sqref="U185:U186 U6:U169" xr:uid="{225E4EE0-AAC2-4A0E-BBD6-6CDBE193C2E3}">
      <formula1>Recurso</formula1>
    </dataValidation>
    <dataValidation type="decimal" showInputMessage="1" showErrorMessage="1" sqref="G6:K1048576 M1:R3 G1:K3 M38:R1048576 O37:R37 M37 M6:R36" xr:uid="{00000000-0002-0000-0100-000002000000}">
      <formula1>-100000000000000</formula1>
      <formula2>10000000000</formula2>
    </dataValidation>
    <dataValidation type="date" operator="greaterThan" allowBlank="1" showInputMessage="1" showErrorMessage="1" sqref="V1:V3 V6:V1048576" xr:uid="{00000000-0002-0000-0100-000003000000}">
      <formula1>1</formula1>
    </dataValidation>
    <dataValidation type="list" allowBlank="1" showInputMessage="1" showErrorMessage="1" sqref="F60:F143 F146:F180 S6:S169" xr:uid="{0E9A2637-8AB9-4C95-914B-9E47B098D753}"/>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4000000}">
          <x14:formula1>
            <xm:f>'C:\Users\aacosta\Downloads\[Circular_002_Anexo.xlsx]Listas Desplegables'!#REF!</xm:f>
          </x14:formula1>
          <xm:sqref>F187:F1048576</xm:sqref>
        </x14:dataValidation>
        <x14:dataValidation type="list" allowBlank="1" showInputMessage="1" showErrorMessage="1" xr:uid="{E1E2269F-7AF3-42C8-A90B-A6AC6D1EFA96}">
          <x14:formula1>
            <xm:f>'Listas Desplegables'!$B$90:$B$93</xm:f>
          </x14:formula1>
          <xm:sqref>AB6:AB186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sheetPr>
  <dimension ref="A2:AJ57"/>
  <sheetViews>
    <sheetView showGridLines="0" zoomScale="70" zoomScaleNormal="70" workbookViewId="0">
      <selection activeCell="AI4" sqref="AI4:AI5"/>
    </sheetView>
  </sheetViews>
  <sheetFormatPr baseColWidth="10" defaultColWidth="11.5546875" defaultRowHeight="14.4" x14ac:dyDescent="0.3"/>
  <cols>
    <col min="1" max="2" width="3" style="3" customWidth="1"/>
    <col min="3" max="3" width="6.6640625" style="2" customWidth="1"/>
    <col min="4" max="4" width="33" customWidth="1"/>
    <col min="5" max="5" width="23.33203125" customWidth="1"/>
    <col min="6" max="8" width="12.6640625" customWidth="1"/>
    <col min="11" max="11" width="11.44140625" customWidth="1"/>
    <col min="13" max="18" width="14.88671875" customWidth="1"/>
    <col min="19" max="19" width="11.44140625" customWidth="1"/>
    <col min="26" max="26" width="11.5546875" style="55"/>
    <col min="28" max="30" width="11.5546875" customWidth="1"/>
    <col min="31" max="34" width="16.5546875" customWidth="1"/>
    <col min="35" max="35" width="29.44140625" customWidth="1"/>
    <col min="36" max="36" width="52.5546875" customWidth="1"/>
  </cols>
  <sheetData>
    <row r="2" spans="1:36" ht="15" thickBot="1" x14ac:dyDescent="0.35"/>
    <row r="3" spans="1:36" s="1" customFormat="1" ht="15" thickBot="1" x14ac:dyDescent="0.35">
      <c r="A3" s="4"/>
      <c r="B3" s="4"/>
      <c r="C3" s="87" t="s">
        <v>33</v>
      </c>
      <c r="D3" s="88"/>
      <c r="E3" s="88"/>
      <c r="F3" s="88"/>
      <c r="G3" s="88"/>
      <c r="H3" s="88"/>
      <c r="I3" s="88"/>
      <c r="J3" s="88"/>
      <c r="K3" s="88"/>
      <c r="L3" s="88"/>
      <c r="M3" s="88"/>
      <c r="N3" s="88"/>
      <c r="O3" s="88"/>
      <c r="P3" s="88"/>
      <c r="Q3" s="88"/>
      <c r="R3" s="88"/>
      <c r="S3" s="88"/>
      <c r="T3" s="88"/>
      <c r="U3" s="88"/>
      <c r="V3" s="88"/>
      <c r="W3" s="88"/>
      <c r="X3" s="88"/>
      <c r="Y3" s="88"/>
      <c r="Z3" s="88"/>
      <c r="AA3" s="88"/>
      <c r="AB3" s="88"/>
      <c r="AC3" s="88"/>
      <c r="AD3" s="88"/>
      <c r="AE3" s="88"/>
      <c r="AF3" s="88"/>
      <c r="AG3" s="88"/>
      <c r="AH3" s="88"/>
      <c r="AI3" s="88"/>
      <c r="AJ3" s="89"/>
    </row>
    <row r="4" spans="1:36" s="6" customFormat="1" ht="12" customHeight="1" thickBot="1" x14ac:dyDescent="0.35">
      <c r="A4" s="5"/>
      <c r="B4" s="5"/>
      <c r="C4" s="90" t="s">
        <v>3</v>
      </c>
      <c r="D4" s="85" t="str">
        <f>'Manual de Uso'!C55</f>
        <v>Nombre</v>
      </c>
      <c r="E4" s="85" t="str">
        <f>'Manual de Uso'!C56</f>
        <v>Subestación</v>
      </c>
      <c r="F4" s="85" t="str">
        <f>'Manual de Uso'!C57</f>
        <v>Nivel de tensión HV [kV]</v>
      </c>
      <c r="G4" s="85" t="str">
        <f>'Manual de Uso'!C58</f>
        <v>Nivel de tensión MV [kV]</v>
      </c>
      <c r="H4" s="85" t="str">
        <f>'Manual de Uso'!C59</f>
        <v>Nivel de tensión LV [kV]</v>
      </c>
      <c r="I4" s="85" t="str">
        <f>'Manual de Uso'!C60</f>
        <v>Capacidad HV [MVA]</v>
      </c>
      <c r="J4" s="85" t="str">
        <f>'Manual de Uso'!C61</f>
        <v>Capacidad MV [MVA]</v>
      </c>
      <c r="K4" s="85" t="str">
        <f>'Manual de Uso'!C62</f>
        <v>Capacidad LV [MVA]</v>
      </c>
      <c r="L4" s="85" t="str">
        <f>'Manual de Uso'!C63</f>
        <v>Grupo de conexión</v>
      </c>
      <c r="M4" s="85" t="str">
        <f>'Manual de Uso'!C64</f>
        <v>Impedancia HV-MV Secuencia +[%]</v>
      </c>
      <c r="N4" s="85" t="str">
        <f>'Manual de Uso'!C65</f>
        <v>Impedancia HV-LV Secuencia +[%]</v>
      </c>
      <c r="O4" s="85" t="str">
        <f>'Manual de Uso'!C66</f>
        <v>Impedancia MV-LV Secuencia +[%]</v>
      </c>
      <c r="P4" s="85" t="str">
        <f>'Manual de Uso'!C67</f>
        <v>Impedancia HV-MV Secuencia 0[%]</v>
      </c>
      <c r="Q4" s="85" t="str">
        <f>'Manual de Uso'!C68</f>
        <v>Impedancia HV-LV Secuencia 0[%]</v>
      </c>
      <c r="R4" s="85" t="str">
        <f>'Manual de Uso'!C69</f>
        <v>Impedancia MV-LV Secuencia 0[%]</v>
      </c>
      <c r="S4" s="85" t="str">
        <f>'Manual de Uso'!C70</f>
        <v>Posición Neutral Tap</v>
      </c>
      <c r="T4" s="85" t="str">
        <f>'Manual de Uso'!C71</f>
        <v>Posición Máxima Tap</v>
      </c>
      <c r="U4" s="85" t="str">
        <f>'Manual de Uso'!C72</f>
        <v>Posición Mínima Tap</v>
      </c>
      <c r="V4" s="85" t="str">
        <f>'Manual de Uso'!C73</f>
        <v>Delta Tap [%]</v>
      </c>
      <c r="W4" s="129" t="str">
        <f>'Manual de Uso'!C74</f>
        <v>Sobrecarga en emergencia</v>
      </c>
      <c r="X4" s="130"/>
      <c r="Y4" s="85" t="str">
        <f>'Manual de Uso'!C75</f>
        <v>En Operación</v>
      </c>
      <c r="Z4" s="83" t="str">
        <f>'Manual de Uso'!C76</f>
        <v>FPO</v>
      </c>
      <c r="AA4" s="83" t="str">
        <f>'Manual de Uso'!C77</f>
        <v>Sistema</v>
      </c>
      <c r="AB4" s="85" t="str">
        <f>'Manual de Uso'!C78</f>
        <v>Pérdidas Cu HV-MV [kW]</v>
      </c>
      <c r="AC4" s="83" t="str">
        <f>'Manual de Uso'!C79</f>
        <v>Pérdidas Cu HV-LV [kW]</v>
      </c>
      <c r="AD4" s="83" t="str">
        <f>'Manual de Uso'!C80</f>
        <v>Pérdidas Cu MV-LV [kW]</v>
      </c>
      <c r="AE4" s="83" t="str">
        <f>'Manual de Uso'!C81</f>
        <v>Tiempo medio de reparación por evento [h]</v>
      </c>
      <c r="AF4" s="83" t="str">
        <f>'Manual de Uso'!C82</f>
        <v>Horas anuales de indisponibilidad [h]</v>
      </c>
      <c r="AG4" s="83" t="str">
        <f>'Manual de Uso'!C83</f>
        <v>Eventos anuales de indisponibilidad</v>
      </c>
      <c r="AH4" s="83" t="str">
        <f>'Manual de Uso'!C84</f>
        <v>Operador</v>
      </c>
      <c r="AI4" s="83" t="str">
        <f>'Manual de Uso'!C85</f>
        <v>Tipo activo Uso/Conexión</v>
      </c>
      <c r="AJ4" s="83" t="str">
        <f>'Manual de Uso'!C86</f>
        <v>Observaciones transportador</v>
      </c>
    </row>
    <row r="5" spans="1:36" s="6" customFormat="1" ht="24" customHeight="1" thickBot="1" x14ac:dyDescent="0.35">
      <c r="A5" s="5"/>
      <c r="B5" s="5"/>
      <c r="C5" s="91"/>
      <c r="D5" s="86"/>
      <c r="E5" s="86"/>
      <c r="F5" s="86"/>
      <c r="G5" s="86"/>
      <c r="H5" s="86"/>
      <c r="I5" s="86"/>
      <c r="J5" s="86"/>
      <c r="K5" s="86"/>
      <c r="L5" s="86"/>
      <c r="M5" s="86"/>
      <c r="N5" s="86"/>
      <c r="O5" s="86"/>
      <c r="P5" s="86"/>
      <c r="Q5" s="86"/>
      <c r="R5" s="86"/>
      <c r="S5" s="86"/>
      <c r="T5" s="86"/>
      <c r="U5" s="86"/>
      <c r="V5" s="86"/>
      <c r="W5" s="27" t="s">
        <v>44</v>
      </c>
      <c r="X5" s="27" t="s">
        <v>45</v>
      </c>
      <c r="Y5" s="86"/>
      <c r="Z5" s="84"/>
      <c r="AA5" s="84"/>
      <c r="AB5" s="86"/>
      <c r="AC5" s="84"/>
      <c r="AD5" s="84"/>
      <c r="AE5" s="84"/>
      <c r="AF5" s="84"/>
      <c r="AG5" s="84"/>
      <c r="AH5" s="84"/>
      <c r="AI5" s="84"/>
      <c r="AJ5" s="84"/>
    </row>
    <row r="6" spans="1:36" x14ac:dyDescent="0.3">
      <c r="A6" s="3" t="e">
        <f>VLOOKUP(E6,'[1]Listas Desplegables'!$H$3:$J$7,2,FALSE)</f>
        <v>#N/A</v>
      </c>
      <c r="B6" s="3" t="e">
        <f>VLOOKUP(E6,'[1]Listas Desplegables'!$H$3:$J$7,3,FALSE)</f>
        <v>#N/A</v>
      </c>
      <c r="C6" s="21">
        <v>1</v>
      </c>
      <c r="D6" s="146" t="s">
        <v>665</v>
      </c>
      <c r="E6" s="146" t="s">
        <v>410</v>
      </c>
      <c r="F6" s="148">
        <v>115</v>
      </c>
      <c r="G6" s="148">
        <v>34.5</v>
      </c>
      <c r="H6" s="148">
        <v>13.8</v>
      </c>
      <c r="I6" s="148">
        <v>15</v>
      </c>
      <c r="J6" s="148">
        <v>15</v>
      </c>
      <c r="K6" s="148">
        <v>15</v>
      </c>
      <c r="L6" s="148" t="s">
        <v>666</v>
      </c>
      <c r="M6" s="149">
        <v>13.27</v>
      </c>
      <c r="N6" s="149">
        <v>8.25</v>
      </c>
      <c r="O6" s="149">
        <v>4</v>
      </c>
      <c r="P6" s="149">
        <v>13.27</v>
      </c>
      <c r="Q6" s="149">
        <v>8.25</v>
      </c>
      <c r="R6" s="149">
        <v>4</v>
      </c>
      <c r="S6" s="148">
        <v>7</v>
      </c>
      <c r="T6" s="148">
        <v>1</v>
      </c>
      <c r="U6" s="148">
        <v>21</v>
      </c>
      <c r="V6" s="148">
        <v>1.25</v>
      </c>
      <c r="W6" s="148">
        <v>125</v>
      </c>
      <c r="X6" s="148">
        <v>30</v>
      </c>
      <c r="Y6" s="148" t="s">
        <v>113</v>
      </c>
      <c r="Z6" s="56"/>
      <c r="AA6" s="150" t="s">
        <v>105</v>
      </c>
      <c r="AB6" s="151" t="s">
        <v>667</v>
      </c>
      <c r="AC6" s="151" t="s">
        <v>668</v>
      </c>
      <c r="AD6" s="151" t="s">
        <v>669</v>
      </c>
      <c r="AE6" s="10"/>
      <c r="AF6" s="10"/>
      <c r="AG6" s="10"/>
      <c r="AH6" s="147" t="s">
        <v>664</v>
      </c>
      <c r="AI6" s="161" t="s">
        <v>270</v>
      </c>
      <c r="AJ6" s="157"/>
    </row>
    <row r="7" spans="1:36" x14ac:dyDescent="0.3">
      <c r="A7" s="3" t="e">
        <f>VLOOKUP(E7,'[1]Listas Desplegables'!$H$3:$J$7,2,FALSE)</f>
        <v>#N/A</v>
      </c>
      <c r="B7" s="3" t="e">
        <f>VLOOKUP(E7,'[1]Listas Desplegables'!$H$3:$J$7,3,FALSE)</f>
        <v>#N/A</v>
      </c>
      <c r="C7" s="8">
        <v>2</v>
      </c>
      <c r="D7" s="146" t="s">
        <v>670</v>
      </c>
      <c r="E7" s="146" t="s">
        <v>303</v>
      </c>
      <c r="F7" s="148">
        <v>115</v>
      </c>
      <c r="G7" s="148">
        <v>34.5</v>
      </c>
      <c r="H7" s="148">
        <v>13.2</v>
      </c>
      <c r="I7" s="148">
        <v>25</v>
      </c>
      <c r="J7" s="148">
        <v>15</v>
      </c>
      <c r="K7" s="148">
        <v>10</v>
      </c>
      <c r="L7" s="148" t="s">
        <v>671</v>
      </c>
      <c r="M7" s="149">
        <v>8.2625000000000011</v>
      </c>
      <c r="N7" s="149">
        <v>7.9249999999999998</v>
      </c>
      <c r="O7" s="149">
        <v>2.8875000000000002</v>
      </c>
      <c r="P7" s="149">
        <v>8.2625000000000011</v>
      </c>
      <c r="Q7" s="149">
        <v>7.9249999999999998</v>
      </c>
      <c r="R7" s="149">
        <v>2.8875000000000002</v>
      </c>
      <c r="S7" s="148">
        <v>7</v>
      </c>
      <c r="T7" s="148">
        <v>1</v>
      </c>
      <c r="U7" s="148">
        <v>15</v>
      </c>
      <c r="V7" s="148">
        <v>1.25</v>
      </c>
      <c r="W7" s="148">
        <v>125</v>
      </c>
      <c r="X7" s="148">
        <v>30</v>
      </c>
      <c r="Y7" s="148" t="s">
        <v>113</v>
      </c>
      <c r="Z7" s="56"/>
      <c r="AA7" s="150" t="s">
        <v>105</v>
      </c>
      <c r="AB7" s="151" t="s">
        <v>672</v>
      </c>
      <c r="AC7" s="151" t="s">
        <v>673</v>
      </c>
      <c r="AD7" s="151" t="s">
        <v>674</v>
      </c>
      <c r="AE7" s="10"/>
      <c r="AF7" s="10"/>
      <c r="AG7" s="10"/>
      <c r="AH7" s="146" t="s">
        <v>664</v>
      </c>
      <c r="AI7" s="9" t="s">
        <v>270</v>
      </c>
      <c r="AJ7" s="157"/>
    </row>
    <row r="8" spans="1:36" x14ac:dyDescent="0.3">
      <c r="A8" s="3" t="e">
        <f>VLOOKUP(E8,'[1]Listas Desplegables'!$H$3:$J$7,2,FALSE)</f>
        <v>#N/A</v>
      </c>
      <c r="B8" s="3" t="e">
        <f>VLOOKUP(E8,'[1]Listas Desplegables'!$H$3:$J$7,3,FALSE)</f>
        <v>#N/A</v>
      </c>
      <c r="C8" s="8">
        <v>3</v>
      </c>
      <c r="D8" s="146" t="s">
        <v>675</v>
      </c>
      <c r="E8" s="146" t="s">
        <v>490</v>
      </c>
      <c r="F8" s="148">
        <v>115</v>
      </c>
      <c r="G8" s="148">
        <v>34.5</v>
      </c>
      <c r="H8" s="148">
        <v>34.5</v>
      </c>
      <c r="I8" s="148">
        <v>40</v>
      </c>
      <c r="J8" s="148">
        <v>40</v>
      </c>
      <c r="K8" s="148">
        <v>4.5599999999999996</v>
      </c>
      <c r="L8" s="148" t="s">
        <v>676</v>
      </c>
      <c r="M8" s="149">
        <v>2.1736</v>
      </c>
      <c r="N8" s="149">
        <v>11.866666666666667</v>
      </c>
      <c r="O8" s="149">
        <v>0.59279999999999999</v>
      </c>
      <c r="P8" s="149">
        <v>2.1736</v>
      </c>
      <c r="Q8" s="149">
        <v>11.866666666666667</v>
      </c>
      <c r="R8" s="149">
        <v>0.59279999999999999</v>
      </c>
      <c r="S8" s="148">
        <v>7</v>
      </c>
      <c r="T8" s="148">
        <v>1</v>
      </c>
      <c r="U8" s="148">
        <v>15</v>
      </c>
      <c r="V8" s="148">
        <v>1.25</v>
      </c>
      <c r="W8" s="148">
        <v>125</v>
      </c>
      <c r="X8" s="148">
        <v>30</v>
      </c>
      <c r="Y8" s="148" t="s">
        <v>113</v>
      </c>
      <c r="Z8" s="148"/>
      <c r="AA8" s="148" t="s">
        <v>105</v>
      </c>
      <c r="AB8" s="151" t="s">
        <v>677</v>
      </c>
      <c r="AC8" s="151" t="s">
        <v>678</v>
      </c>
      <c r="AD8" s="151" t="s">
        <v>679</v>
      </c>
      <c r="AE8" s="10"/>
      <c r="AF8" s="10"/>
      <c r="AG8" s="10"/>
      <c r="AH8" s="146" t="s">
        <v>664</v>
      </c>
      <c r="AI8" s="9" t="s">
        <v>270</v>
      </c>
      <c r="AJ8" s="157"/>
    </row>
    <row r="9" spans="1:36" x14ac:dyDescent="0.3">
      <c r="A9" s="3" t="e">
        <f>VLOOKUP(E9,'[1]Listas Desplegables'!$H$3:$J$7,2,FALSE)</f>
        <v>#N/A</v>
      </c>
      <c r="B9" s="3" t="e">
        <f>VLOOKUP(E9,'[1]Listas Desplegables'!$H$3:$J$7,3,FALSE)</f>
        <v>#N/A</v>
      </c>
      <c r="C9" s="8">
        <v>4</v>
      </c>
      <c r="D9" s="146" t="s">
        <v>680</v>
      </c>
      <c r="E9" s="146" t="s">
        <v>447</v>
      </c>
      <c r="F9" s="148">
        <v>115</v>
      </c>
      <c r="G9" s="148">
        <v>34.5</v>
      </c>
      <c r="H9" s="148">
        <v>13.8</v>
      </c>
      <c r="I9" s="148">
        <v>25</v>
      </c>
      <c r="J9" s="148">
        <v>15</v>
      </c>
      <c r="K9" s="148">
        <v>10</v>
      </c>
      <c r="L9" s="148" t="s">
        <v>676</v>
      </c>
      <c r="M9" s="149">
        <v>8.65</v>
      </c>
      <c r="N9" s="149">
        <v>7.6499999999999995</v>
      </c>
      <c r="O9" s="149">
        <v>3.25</v>
      </c>
      <c r="P9" s="149">
        <v>8.65</v>
      </c>
      <c r="Q9" s="149">
        <v>7.6499999999999995</v>
      </c>
      <c r="R9" s="149">
        <v>3.25</v>
      </c>
      <c r="S9" s="148">
        <v>7</v>
      </c>
      <c r="T9" s="148">
        <v>1</v>
      </c>
      <c r="U9" s="148">
        <v>15</v>
      </c>
      <c r="V9" s="148">
        <v>1.25</v>
      </c>
      <c r="W9" s="148">
        <v>125</v>
      </c>
      <c r="X9" s="148">
        <v>30</v>
      </c>
      <c r="Y9" s="148" t="s">
        <v>113</v>
      </c>
      <c r="Z9" s="148"/>
      <c r="AA9" s="148" t="s">
        <v>105</v>
      </c>
      <c r="AB9" s="151" t="s">
        <v>681</v>
      </c>
      <c r="AC9" s="151" t="s">
        <v>682</v>
      </c>
      <c r="AD9" s="151" t="s">
        <v>683</v>
      </c>
      <c r="AE9" s="150"/>
      <c r="AF9" s="150"/>
      <c r="AG9" s="150"/>
      <c r="AH9" s="146" t="s">
        <v>664</v>
      </c>
      <c r="AI9" s="9" t="s">
        <v>270</v>
      </c>
      <c r="AJ9" s="157"/>
    </row>
    <row r="10" spans="1:36" x14ac:dyDescent="0.3">
      <c r="A10" s="3" t="e">
        <f>VLOOKUP(E10,'[1]Listas Desplegables'!$H$3:$J$7,2,FALSE)</f>
        <v>#N/A</v>
      </c>
      <c r="B10" s="3" t="e">
        <f>VLOOKUP(E10,'[1]Listas Desplegables'!$H$3:$J$7,3,FALSE)</f>
        <v>#N/A</v>
      </c>
      <c r="C10" s="8">
        <v>5</v>
      </c>
      <c r="D10" s="146" t="s">
        <v>684</v>
      </c>
      <c r="E10" s="146" t="s">
        <v>514</v>
      </c>
      <c r="F10" s="148">
        <v>115</v>
      </c>
      <c r="G10" s="148">
        <v>34.5</v>
      </c>
      <c r="H10" s="148">
        <v>13.8</v>
      </c>
      <c r="I10" s="148">
        <v>40</v>
      </c>
      <c r="J10" s="148">
        <v>40</v>
      </c>
      <c r="K10" s="148">
        <v>4.6500000000000004</v>
      </c>
      <c r="L10" s="148" t="s">
        <v>676</v>
      </c>
      <c r="M10" s="149">
        <v>2.2428500000000002</v>
      </c>
      <c r="N10" s="149">
        <v>12.213333333333333</v>
      </c>
      <c r="O10" s="149">
        <v>0.64480000000000004</v>
      </c>
      <c r="P10" s="149">
        <v>2.2428500000000002</v>
      </c>
      <c r="Q10" s="149">
        <v>12.213333333333333</v>
      </c>
      <c r="R10" s="149">
        <v>0.64480000000000004</v>
      </c>
      <c r="S10" s="148">
        <v>7</v>
      </c>
      <c r="T10" s="148">
        <v>1</v>
      </c>
      <c r="U10" s="148">
        <v>15</v>
      </c>
      <c r="V10" s="148">
        <v>1.25</v>
      </c>
      <c r="W10" s="148">
        <v>125</v>
      </c>
      <c r="X10" s="148">
        <v>30</v>
      </c>
      <c r="Y10" s="148" t="s">
        <v>113</v>
      </c>
      <c r="Z10" s="148"/>
      <c r="AA10" s="148" t="s">
        <v>105</v>
      </c>
      <c r="AB10" s="151" t="s">
        <v>685</v>
      </c>
      <c r="AC10" s="151" t="s">
        <v>686</v>
      </c>
      <c r="AD10" s="151" t="s">
        <v>687</v>
      </c>
      <c r="AE10" s="150"/>
      <c r="AF10" s="150"/>
      <c r="AG10" s="150"/>
      <c r="AH10" s="146" t="s">
        <v>664</v>
      </c>
      <c r="AI10" s="9" t="s">
        <v>270</v>
      </c>
      <c r="AJ10" s="157"/>
    </row>
    <row r="11" spans="1:36" x14ac:dyDescent="0.3">
      <c r="A11" s="3" t="e">
        <f>VLOOKUP(E11,'[1]Listas Desplegables'!$H$3:$J$7,2,FALSE)</f>
        <v>#N/A</v>
      </c>
      <c r="B11" s="3" t="e">
        <f>VLOOKUP(E11,'[1]Listas Desplegables'!$H$3:$J$7,3,FALSE)</f>
        <v>#N/A</v>
      </c>
      <c r="C11" s="8">
        <v>6</v>
      </c>
      <c r="D11" s="146" t="s">
        <v>688</v>
      </c>
      <c r="E11" s="146" t="s">
        <v>689</v>
      </c>
      <c r="F11" s="148">
        <v>220</v>
      </c>
      <c r="G11" s="148">
        <v>115</v>
      </c>
      <c r="H11" s="148">
        <v>13.8</v>
      </c>
      <c r="I11" s="148">
        <v>180</v>
      </c>
      <c r="J11" s="148">
        <v>180</v>
      </c>
      <c r="K11" s="148">
        <v>30</v>
      </c>
      <c r="L11" s="148" t="s">
        <v>690</v>
      </c>
      <c r="M11" s="149">
        <v>9.06</v>
      </c>
      <c r="N11" s="149">
        <v>9.5500000000000007</v>
      </c>
      <c r="O11" s="149">
        <v>6.71</v>
      </c>
      <c r="P11" s="149">
        <v>9.06</v>
      </c>
      <c r="Q11" s="149">
        <v>9.5500000000000007</v>
      </c>
      <c r="R11" s="149">
        <v>6.71</v>
      </c>
      <c r="S11" s="148">
        <v>9</v>
      </c>
      <c r="T11" s="148">
        <v>1</v>
      </c>
      <c r="U11" s="148">
        <v>21</v>
      </c>
      <c r="V11" s="148">
        <v>1.25</v>
      </c>
      <c r="W11" s="148">
        <v>125</v>
      </c>
      <c r="X11" s="148">
        <v>30</v>
      </c>
      <c r="Y11" s="148" t="s">
        <v>113</v>
      </c>
      <c r="Z11" s="150"/>
      <c r="AA11" s="150" t="s">
        <v>105</v>
      </c>
      <c r="AB11" s="151" t="s">
        <v>691</v>
      </c>
      <c r="AC11" s="151" t="s">
        <v>692</v>
      </c>
      <c r="AD11" s="151" t="s">
        <v>693</v>
      </c>
      <c r="AE11" s="150"/>
      <c r="AF11" s="150"/>
      <c r="AG11" s="150"/>
      <c r="AH11" s="146" t="s">
        <v>664</v>
      </c>
      <c r="AI11" s="9" t="s">
        <v>270</v>
      </c>
      <c r="AJ11" s="157"/>
    </row>
    <row r="12" spans="1:36" x14ac:dyDescent="0.3">
      <c r="A12" s="3" t="e">
        <f>VLOOKUP(E12,'[1]Listas Desplegables'!$H$3:$J$7,2,FALSE)</f>
        <v>#N/A</v>
      </c>
      <c r="B12" s="3" t="e">
        <f>VLOOKUP(E12,'[1]Listas Desplegables'!$H$3:$J$7,3,FALSE)</f>
        <v>#N/A</v>
      </c>
      <c r="C12" s="8">
        <v>7</v>
      </c>
      <c r="D12" s="146" t="s">
        <v>694</v>
      </c>
      <c r="E12" s="146" t="s">
        <v>695</v>
      </c>
      <c r="F12" s="148">
        <v>220</v>
      </c>
      <c r="G12" s="148">
        <v>115</v>
      </c>
      <c r="H12" s="148">
        <v>13.8</v>
      </c>
      <c r="I12" s="148">
        <v>90</v>
      </c>
      <c r="J12" s="148">
        <v>90</v>
      </c>
      <c r="K12" s="148">
        <v>30</v>
      </c>
      <c r="L12" s="148" t="s">
        <v>690</v>
      </c>
      <c r="M12" s="149">
        <v>9.73</v>
      </c>
      <c r="N12" s="149">
        <v>8.6999999999999993</v>
      </c>
      <c r="O12" s="149">
        <v>6.24</v>
      </c>
      <c r="P12" s="149">
        <v>9.73</v>
      </c>
      <c r="Q12" s="149">
        <v>8.6999999999999993</v>
      </c>
      <c r="R12" s="149">
        <v>6.24</v>
      </c>
      <c r="S12" s="148">
        <v>9</v>
      </c>
      <c r="T12" s="148">
        <v>1</v>
      </c>
      <c r="U12" s="148">
        <v>21</v>
      </c>
      <c r="V12" s="148">
        <v>1.25</v>
      </c>
      <c r="W12" s="148">
        <v>125</v>
      </c>
      <c r="X12" s="148">
        <v>30</v>
      </c>
      <c r="Y12" s="148" t="s">
        <v>113</v>
      </c>
      <c r="Z12" s="56"/>
      <c r="AA12" s="150" t="s">
        <v>105</v>
      </c>
      <c r="AB12" s="151" t="s">
        <v>696</v>
      </c>
      <c r="AC12" s="151" t="s">
        <v>697</v>
      </c>
      <c r="AD12" s="151" t="s">
        <v>698</v>
      </c>
      <c r="AE12" s="10"/>
      <c r="AF12" s="10"/>
      <c r="AG12" s="10"/>
      <c r="AH12" s="146" t="s">
        <v>664</v>
      </c>
      <c r="AI12" s="9" t="s">
        <v>270</v>
      </c>
      <c r="AJ12" s="157"/>
    </row>
    <row r="13" spans="1:36" x14ac:dyDescent="0.3">
      <c r="A13" s="3" t="e">
        <f>VLOOKUP(E13,'[1]Listas Desplegables'!$H$3:$J$7,2,FALSE)</f>
        <v>#N/A</v>
      </c>
      <c r="B13" s="3" t="e">
        <f>VLOOKUP(E13,'[1]Listas Desplegables'!$H$3:$J$7,3,FALSE)</f>
        <v>#N/A</v>
      </c>
      <c r="C13" s="8">
        <v>8</v>
      </c>
      <c r="D13" s="146" t="s">
        <v>699</v>
      </c>
      <c r="E13" s="146" t="s">
        <v>700</v>
      </c>
      <c r="F13" s="148">
        <v>220</v>
      </c>
      <c r="G13" s="148">
        <v>115</v>
      </c>
      <c r="H13" s="148">
        <v>13.8</v>
      </c>
      <c r="I13" s="148">
        <v>90</v>
      </c>
      <c r="J13" s="148">
        <v>90</v>
      </c>
      <c r="K13" s="148">
        <v>18</v>
      </c>
      <c r="L13" s="148" t="s">
        <v>701</v>
      </c>
      <c r="M13" s="149">
        <v>9.5500000000000007</v>
      </c>
      <c r="N13" s="149">
        <v>9.73</v>
      </c>
      <c r="O13" s="149">
        <v>6.24</v>
      </c>
      <c r="P13" s="152">
        <v>9.5500000000000007</v>
      </c>
      <c r="Q13" s="149">
        <v>9.73</v>
      </c>
      <c r="R13" s="149">
        <v>6.24</v>
      </c>
      <c r="S13" s="148">
        <v>9</v>
      </c>
      <c r="T13" s="148">
        <v>1</v>
      </c>
      <c r="U13" s="148">
        <v>21</v>
      </c>
      <c r="V13" s="148">
        <v>1.25</v>
      </c>
      <c r="W13" s="148">
        <v>125</v>
      </c>
      <c r="X13" s="148">
        <v>30</v>
      </c>
      <c r="Y13" s="148" t="s">
        <v>113</v>
      </c>
      <c r="Z13" s="56"/>
      <c r="AA13" s="150" t="s">
        <v>105</v>
      </c>
      <c r="AB13" s="151" t="s">
        <v>696</v>
      </c>
      <c r="AC13" s="151" t="s">
        <v>697</v>
      </c>
      <c r="AD13" s="151" t="s">
        <v>702</v>
      </c>
      <c r="AE13" s="10"/>
      <c r="AF13" s="10"/>
      <c r="AG13" s="10"/>
      <c r="AH13" s="146" t="s">
        <v>664</v>
      </c>
      <c r="AI13" s="9" t="s">
        <v>270</v>
      </c>
      <c r="AJ13" s="157"/>
    </row>
    <row r="14" spans="1:36" x14ac:dyDescent="0.3">
      <c r="A14" s="3" t="e">
        <f>VLOOKUP(E14,'[1]Listas Desplegables'!$H$3:$J$7,2,FALSE)</f>
        <v>#N/A</v>
      </c>
      <c r="B14" s="3" t="e">
        <f>VLOOKUP(E14,'[1]Listas Desplegables'!$H$3:$J$7,3,FALSE)</f>
        <v>#N/A</v>
      </c>
      <c r="C14" s="8">
        <v>9</v>
      </c>
      <c r="D14" s="146" t="s">
        <v>703</v>
      </c>
      <c r="E14" s="146" t="s">
        <v>704</v>
      </c>
      <c r="F14" s="148">
        <v>115</v>
      </c>
      <c r="G14" s="148" t="s">
        <v>705</v>
      </c>
      <c r="H14" s="148" t="s">
        <v>706</v>
      </c>
      <c r="I14" s="148">
        <v>30</v>
      </c>
      <c r="J14" s="148">
        <v>20</v>
      </c>
      <c r="K14" s="148">
        <v>10</v>
      </c>
      <c r="L14" s="148" t="s">
        <v>707</v>
      </c>
      <c r="M14" s="149">
        <v>8.65</v>
      </c>
      <c r="N14" s="149">
        <v>10.15</v>
      </c>
      <c r="O14" s="149">
        <v>3.06</v>
      </c>
      <c r="P14" s="149">
        <v>8.65</v>
      </c>
      <c r="Q14" s="149">
        <v>10.15</v>
      </c>
      <c r="R14" s="149">
        <v>3.06</v>
      </c>
      <c r="S14" s="148">
        <v>7</v>
      </c>
      <c r="T14" s="148">
        <v>1</v>
      </c>
      <c r="U14" s="148">
        <v>15</v>
      </c>
      <c r="V14" s="148">
        <v>1.25</v>
      </c>
      <c r="W14" s="148">
        <v>125</v>
      </c>
      <c r="X14" s="148">
        <v>30</v>
      </c>
      <c r="Y14" s="148" t="s">
        <v>113</v>
      </c>
      <c r="Z14" s="150"/>
      <c r="AA14" s="150" t="s">
        <v>105</v>
      </c>
      <c r="AB14" s="151" t="s">
        <v>708</v>
      </c>
      <c r="AC14" s="151" t="s">
        <v>709</v>
      </c>
      <c r="AD14" s="151" t="s">
        <v>710</v>
      </c>
      <c r="AE14" s="10"/>
      <c r="AF14" s="10"/>
      <c r="AG14" s="10"/>
      <c r="AH14" s="146" t="s">
        <v>664</v>
      </c>
      <c r="AI14" s="9" t="s">
        <v>270</v>
      </c>
      <c r="AJ14" s="157"/>
    </row>
    <row r="15" spans="1:36" x14ac:dyDescent="0.3">
      <c r="A15" s="3" t="e">
        <f>VLOOKUP(E15,'[1]Listas Desplegables'!$H$3:$J$7,2,FALSE)</f>
        <v>#N/A</v>
      </c>
      <c r="B15" s="3" t="e">
        <f>VLOOKUP(E15,'[1]Listas Desplegables'!$H$3:$J$7,3,FALSE)</f>
        <v>#N/A</v>
      </c>
      <c r="C15" s="7">
        <v>10</v>
      </c>
      <c r="D15" s="146" t="s">
        <v>711</v>
      </c>
      <c r="E15" s="146" t="s">
        <v>712</v>
      </c>
      <c r="F15" s="148">
        <v>115</v>
      </c>
      <c r="G15" s="148" t="s">
        <v>705</v>
      </c>
      <c r="H15" s="148" t="s">
        <v>706</v>
      </c>
      <c r="I15" s="148">
        <v>20</v>
      </c>
      <c r="J15" s="148">
        <v>20</v>
      </c>
      <c r="K15" s="148">
        <v>20</v>
      </c>
      <c r="L15" s="148" t="s">
        <v>713</v>
      </c>
      <c r="M15" s="149">
        <v>17.43</v>
      </c>
      <c r="N15" s="149">
        <v>10.17</v>
      </c>
      <c r="O15" s="149">
        <v>5.6</v>
      </c>
      <c r="P15" s="149">
        <v>17.43</v>
      </c>
      <c r="Q15" s="149">
        <v>10.17</v>
      </c>
      <c r="R15" s="149">
        <v>5.6</v>
      </c>
      <c r="S15" s="148">
        <v>7</v>
      </c>
      <c r="T15" s="148">
        <v>1</v>
      </c>
      <c r="U15" s="148">
        <v>15</v>
      </c>
      <c r="V15" s="148">
        <v>1.25</v>
      </c>
      <c r="W15" s="148">
        <v>125</v>
      </c>
      <c r="X15" s="148">
        <v>30</v>
      </c>
      <c r="Y15" s="148" t="s">
        <v>113</v>
      </c>
      <c r="Z15" s="60"/>
      <c r="AA15" s="150" t="s">
        <v>105</v>
      </c>
      <c r="AB15" s="151" t="s">
        <v>714</v>
      </c>
      <c r="AC15" s="151" t="s">
        <v>715</v>
      </c>
      <c r="AD15" s="151" t="s">
        <v>716</v>
      </c>
      <c r="AE15" s="10"/>
      <c r="AF15" s="10"/>
      <c r="AG15" s="10"/>
      <c r="AH15" s="146" t="s">
        <v>664</v>
      </c>
      <c r="AI15" s="9" t="s">
        <v>270</v>
      </c>
      <c r="AJ15" s="157"/>
    </row>
    <row r="16" spans="1:36" x14ac:dyDescent="0.3">
      <c r="A16" s="3" t="e">
        <f>VLOOKUP(E16,'[1]Listas Desplegables'!$H$3:$J$7,2,FALSE)</f>
        <v>#N/A</v>
      </c>
      <c r="B16" s="3" t="e">
        <f>VLOOKUP(E16,'[1]Listas Desplegables'!$H$3:$J$7,3,FALSE)</f>
        <v>#N/A</v>
      </c>
      <c r="C16" s="8">
        <v>11</v>
      </c>
      <c r="D16" s="146" t="s">
        <v>717</v>
      </c>
      <c r="E16" s="146" t="s">
        <v>520</v>
      </c>
      <c r="F16" s="148">
        <v>115</v>
      </c>
      <c r="G16" s="148" t="s">
        <v>705</v>
      </c>
      <c r="H16" s="148" t="s">
        <v>706</v>
      </c>
      <c r="I16" s="148">
        <v>40</v>
      </c>
      <c r="J16" s="146">
        <v>40</v>
      </c>
      <c r="K16" s="146">
        <v>4.6500000000000004</v>
      </c>
      <c r="L16" s="146" t="s">
        <v>666</v>
      </c>
      <c r="M16" s="149">
        <v>1.0229999999999999</v>
      </c>
      <c r="N16" s="149">
        <v>14.61</v>
      </c>
      <c r="O16" s="149">
        <v>0.93100000000000005</v>
      </c>
      <c r="P16" s="149">
        <v>1.0229999999999999</v>
      </c>
      <c r="Q16" s="149">
        <v>14.06</v>
      </c>
      <c r="R16" s="149">
        <v>0.93100000000000005</v>
      </c>
      <c r="S16" s="148">
        <v>7</v>
      </c>
      <c r="T16" s="148">
        <v>1</v>
      </c>
      <c r="U16" s="148">
        <v>15</v>
      </c>
      <c r="V16" s="148">
        <v>1.25</v>
      </c>
      <c r="W16" s="148">
        <v>125</v>
      </c>
      <c r="X16" s="148">
        <v>30</v>
      </c>
      <c r="Y16" s="148" t="s">
        <v>113</v>
      </c>
      <c r="Z16" s="150"/>
      <c r="AA16" s="150" t="s">
        <v>105</v>
      </c>
      <c r="AB16" s="151" t="s">
        <v>718</v>
      </c>
      <c r="AC16" s="151" t="s">
        <v>719</v>
      </c>
      <c r="AD16" s="151" t="s">
        <v>720</v>
      </c>
      <c r="AE16" s="10"/>
      <c r="AF16" s="10"/>
      <c r="AG16" s="10"/>
      <c r="AH16" s="146" t="s">
        <v>664</v>
      </c>
      <c r="AI16" s="9" t="s">
        <v>270</v>
      </c>
      <c r="AJ16" s="158"/>
    </row>
    <row r="17" spans="1:36" x14ac:dyDescent="0.3">
      <c r="A17" s="3" t="e">
        <f>VLOOKUP(E17,'[1]Listas Desplegables'!$H$3:$J$7,2,FALSE)</f>
        <v>#N/A</v>
      </c>
      <c r="B17" s="3" t="e">
        <f>VLOOKUP(E17,'[1]Listas Desplegables'!$H$3:$J$7,3,FALSE)</f>
        <v>#N/A</v>
      </c>
      <c r="C17" s="8">
        <v>12</v>
      </c>
      <c r="D17" s="146" t="s">
        <v>721</v>
      </c>
      <c r="E17" s="146" t="s">
        <v>304</v>
      </c>
      <c r="F17" s="148">
        <v>115</v>
      </c>
      <c r="G17" s="148" t="s">
        <v>705</v>
      </c>
      <c r="H17" s="148" t="s">
        <v>706</v>
      </c>
      <c r="I17" s="148">
        <v>25</v>
      </c>
      <c r="J17" s="146">
        <v>15</v>
      </c>
      <c r="K17" s="146">
        <v>10</v>
      </c>
      <c r="L17" s="148" t="s">
        <v>722</v>
      </c>
      <c r="M17" s="149">
        <v>4.3</v>
      </c>
      <c r="N17" s="149">
        <v>7.4624999999999995</v>
      </c>
      <c r="O17" s="149">
        <v>9.92</v>
      </c>
      <c r="P17" s="149">
        <v>4.3</v>
      </c>
      <c r="Q17" s="149">
        <v>7.4624999999999995</v>
      </c>
      <c r="R17" s="149">
        <v>9.92</v>
      </c>
      <c r="S17" s="148">
        <v>7</v>
      </c>
      <c r="T17" s="148">
        <v>1</v>
      </c>
      <c r="U17" s="148">
        <v>15</v>
      </c>
      <c r="V17" s="146">
        <v>1.25</v>
      </c>
      <c r="W17" s="146">
        <v>125</v>
      </c>
      <c r="X17" s="148">
        <v>30</v>
      </c>
      <c r="Y17" s="148" t="s">
        <v>113</v>
      </c>
      <c r="Z17" s="150"/>
      <c r="AA17" s="150" t="s">
        <v>105</v>
      </c>
      <c r="AB17" s="151" t="s">
        <v>723</v>
      </c>
      <c r="AC17" s="151" t="s">
        <v>724</v>
      </c>
      <c r="AD17" s="151" t="s">
        <v>725</v>
      </c>
      <c r="AE17" s="10"/>
      <c r="AF17" s="10"/>
      <c r="AG17" s="10"/>
      <c r="AH17" s="146" t="s">
        <v>664</v>
      </c>
      <c r="AI17" s="9" t="s">
        <v>270</v>
      </c>
      <c r="AJ17" s="158"/>
    </row>
    <row r="18" spans="1:36" x14ac:dyDescent="0.3">
      <c r="A18" s="3" t="e">
        <f>VLOOKUP(E18,'[1]Listas Desplegables'!$H$3:$J$7,2,FALSE)</f>
        <v>#N/A</v>
      </c>
      <c r="B18" s="3" t="e">
        <f>VLOOKUP(E18,'[1]Listas Desplegables'!$H$3:$J$7,3,FALSE)</f>
        <v>#N/A</v>
      </c>
      <c r="C18" s="8">
        <v>13</v>
      </c>
      <c r="D18" s="146" t="s">
        <v>726</v>
      </c>
      <c r="E18" s="146" t="s">
        <v>727</v>
      </c>
      <c r="F18" s="148">
        <v>115</v>
      </c>
      <c r="G18" s="148" t="s">
        <v>705</v>
      </c>
      <c r="H18" s="148" t="s">
        <v>706</v>
      </c>
      <c r="I18" s="148">
        <v>15</v>
      </c>
      <c r="J18" s="146">
        <v>5</v>
      </c>
      <c r="K18" s="146">
        <v>10</v>
      </c>
      <c r="L18" s="146" t="s">
        <v>671</v>
      </c>
      <c r="M18" s="149">
        <v>7</v>
      </c>
      <c r="N18" s="149">
        <v>9</v>
      </c>
      <c r="O18" s="149">
        <v>12.8</v>
      </c>
      <c r="P18" s="149">
        <v>7</v>
      </c>
      <c r="Q18" s="149">
        <v>9</v>
      </c>
      <c r="R18" s="149">
        <v>12.8</v>
      </c>
      <c r="S18" s="146">
        <v>3</v>
      </c>
      <c r="T18" s="148">
        <v>1</v>
      </c>
      <c r="U18" s="148">
        <v>5</v>
      </c>
      <c r="V18" s="146">
        <v>1.25</v>
      </c>
      <c r="W18" s="146">
        <v>125</v>
      </c>
      <c r="X18" s="148">
        <v>30</v>
      </c>
      <c r="Y18" s="148" t="s">
        <v>113</v>
      </c>
      <c r="Z18" s="150"/>
      <c r="AA18" s="150" t="s">
        <v>105</v>
      </c>
      <c r="AB18" s="151" t="s">
        <v>728</v>
      </c>
      <c r="AC18" s="151" t="s">
        <v>729</v>
      </c>
      <c r="AD18" s="151" t="s">
        <v>730</v>
      </c>
      <c r="AE18" s="10"/>
      <c r="AF18" s="10"/>
      <c r="AG18" s="10"/>
      <c r="AH18" s="146" t="s">
        <v>664</v>
      </c>
      <c r="AI18" s="9" t="s">
        <v>270</v>
      </c>
      <c r="AJ18" s="158"/>
    </row>
    <row r="19" spans="1:36" x14ac:dyDescent="0.3">
      <c r="A19" s="3" t="e">
        <f>VLOOKUP(E19,'[1]Listas Desplegables'!$H$3:$J$7,2,FALSE)</f>
        <v>#N/A</v>
      </c>
      <c r="B19" s="3" t="e">
        <f>VLOOKUP(E19,'[1]Listas Desplegables'!$H$3:$J$7,3,FALSE)</f>
        <v>#N/A</v>
      </c>
      <c r="C19" s="8">
        <v>14</v>
      </c>
      <c r="D19" s="146" t="s">
        <v>731</v>
      </c>
      <c r="E19" s="146" t="s">
        <v>732</v>
      </c>
      <c r="F19" s="148">
        <v>220</v>
      </c>
      <c r="G19" s="148">
        <v>115</v>
      </c>
      <c r="H19" s="148" t="s">
        <v>706</v>
      </c>
      <c r="I19" s="148">
        <f>3*60</f>
        <v>180</v>
      </c>
      <c r="J19" s="146">
        <v>180</v>
      </c>
      <c r="K19" s="146">
        <v>0.3</v>
      </c>
      <c r="L19" s="148" t="s">
        <v>690</v>
      </c>
      <c r="M19" s="149">
        <v>0.35490000000000005</v>
      </c>
      <c r="N19" s="149">
        <v>9.423333333333332</v>
      </c>
      <c r="O19" s="149">
        <v>0.29545000000000005</v>
      </c>
      <c r="P19" s="149">
        <v>0.35490000000000005</v>
      </c>
      <c r="Q19" s="149">
        <v>9.423333333333332</v>
      </c>
      <c r="R19" s="149">
        <v>0.29545000000000005</v>
      </c>
      <c r="S19" s="146">
        <v>9</v>
      </c>
      <c r="T19" s="148">
        <v>1</v>
      </c>
      <c r="U19" s="148">
        <v>21</v>
      </c>
      <c r="V19" s="146">
        <v>1.25</v>
      </c>
      <c r="W19" s="146">
        <v>125</v>
      </c>
      <c r="X19" s="148">
        <v>30</v>
      </c>
      <c r="Y19" s="148" t="s">
        <v>113</v>
      </c>
      <c r="Z19" s="150"/>
      <c r="AA19" s="150" t="s">
        <v>105</v>
      </c>
      <c r="AB19" s="151" t="s">
        <v>733</v>
      </c>
      <c r="AC19" s="151" t="s">
        <v>734</v>
      </c>
      <c r="AD19" s="151" t="s">
        <v>735</v>
      </c>
      <c r="AE19" s="10"/>
      <c r="AF19" s="10"/>
      <c r="AG19" s="10"/>
      <c r="AH19" s="146" t="s">
        <v>664</v>
      </c>
      <c r="AI19" s="9" t="s">
        <v>270</v>
      </c>
      <c r="AJ19" s="160" t="s">
        <v>747</v>
      </c>
    </row>
    <row r="20" spans="1:36" x14ac:dyDescent="0.3">
      <c r="A20" s="3" t="e">
        <f>VLOOKUP(E20,'[1]Listas Desplegables'!$H$3:$J$7,2,FALSE)</f>
        <v>#N/A</v>
      </c>
      <c r="B20" s="3" t="e">
        <f>VLOOKUP(E20,'[1]Listas Desplegables'!$H$3:$J$7,3,FALSE)</f>
        <v>#N/A</v>
      </c>
      <c r="C20" s="8">
        <v>15</v>
      </c>
      <c r="D20" s="146" t="s">
        <v>736</v>
      </c>
      <c r="E20" s="146" t="s">
        <v>737</v>
      </c>
      <c r="F20" s="148">
        <v>220</v>
      </c>
      <c r="G20" s="148">
        <v>115</v>
      </c>
      <c r="H20" s="148" t="s">
        <v>706</v>
      </c>
      <c r="I20" s="148">
        <v>150</v>
      </c>
      <c r="J20" s="146">
        <v>150</v>
      </c>
      <c r="K20" s="146">
        <v>25</v>
      </c>
      <c r="L20" s="148" t="s">
        <v>690</v>
      </c>
      <c r="M20" s="149">
        <v>6.6659999999999997E-2</v>
      </c>
      <c r="N20" s="149">
        <v>15.92</v>
      </c>
      <c r="O20" s="149">
        <v>4.7840000000000008E-2</v>
      </c>
      <c r="P20" s="149">
        <v>6.6659999999999997E-2</v>
      </c>
      <c r="Q20" s="149">
        <v>15.92</v>
      </c>
      <c r="R20" s="149">
        <v>4.7840000000000008E-2</v>
      </c>
      <c r="S20" s="146">
        <v>9</v>
      </c>
      <c r="T20" s="148">
        <v>1</v>
      </c>
      <c r="U20" s="148">
        <v>21</v>
      </c>
      <c r="V20" s="146">
        <v>1.25</v>
      </c>
      <c r="W20" s="146">
        <v>125</v>
      </c>
      <c r="X20" s="148">
        <v>30</v>
      </c>
      <c r="Y20" s="148" t="s">
        <v>113</v>
      </c>
      <c r="Z20" s="150"/>
      <c r="AA20" s="150" t="s">
        <v>105</v>
      </c>
      <c r="AB20" s="151" t="s">
        <v>738</v>
      </c>
      <c r="AC20" s="151" t="s">
        <v>739</v>
      </c>
      <c r="AD20" s="151" t="s">
        <v>735</v>
      </c>
      <c r="AE20" s="10"/>
      <c r="AF20" s="10"/>
      <c r="AG20" s="10"/>
      <c r="AH20" s="146" t="s">
        <v>664</v>
      </c>
      <c r="AI20" s="9" t="s">
        <v>270</v>
      </c>
      <c r="AJ20" s="158"/>
    </row>
    <row r="21" spans="1:36" x14ac:dyDescent="0.3">
      <c r="A21" s="3" t="e">
        <f>VLOOKUP(E21,'[1]Listas Desplegables'!$H$3:$J$7,2,FALSE)</f>
        <v>#N/A</v>
      </c>
      <c r="B21" s="3" t="e">
        <f>VLOOKUP(E21,'[1]Listas Desplegables'!$H$3:$J$7,3,FALSE)</f>
        <v>#N/A</v>
      </c>
      <c r="C21" s="8">
        <v>16</v>
      </c>
      <c r="D21" s="148" t="s">
        <v>740</v>
      </c>
      <c r="E21" s="148" t="s">
        <v>741</v>
      </c>
      <c r="F21" s="148">
        <v>220</v>
      </c>
      <c r="G21" s="148">
        <v>115</v>
      </c>
      <c r="H21" s="148" t="s">
        <v>706</v>
      </c>
      <c r="I21" s="148">
        <v>150</v>
      </c>
      <c r="J21" s="146">
        <v>150</v>
      </c>
      <c r="K21" s="146">
        <v>25</v>
      </c>
      <c r="L21" s="148" t="s">
        <v>690</v>
      </c>
      <c r="M21" s="153">
        <v>6.6260000000000013E-2</v>
      </c>
      <c r="N21" s="153">
        <v>15.85</v>
      </c>
      <c r="O21" s="153">
        <v>4.8009999999999997E-2</v>
      </c>
      <c r="P21" s="153">
        <v>6.6260000000000013E-2</v>
      </c>
      <c r="Q21" s="153">
        <v>15.85</v>
      </c>
      <c r="R21" s="153">
        <v>4.8009999999999997E-2</v>
      </c>
      <c r="S21" s="148">
        <v>9</v>
      </c>
      <c r="T21" s="148">
        <v>1</v>
      </c>
      <c r="U21" s="148">
        <v>21</v>
      </c>
      <c r="V21" s="148">
        <v>1.25</v>
      </c>
      <c r="W21" s="148">
        <v>125</v>
      </c>
      <c r="X21" s="148">
        <v>30</v>
      </c>
      <c r="Y21" s="148" t="s">
        <v>113</v>
      </c>
      <c r="Z21" s="154"/>
      <c r="AA21" s="154" t="s">
        <v>105</v>
      </c>
      <c r="AB21" s="155" t="s">
        <v>742</v>
      </c>
      <c r="AC21" s="155" t="s">
        <v>739</v>
      </c>
      <c r="AD21" s="155" t="s">
        <v>735</v>
      </c>
      <c r="AE21" s="81"/>
      <c r="AF21" s="81"/>
      <c r="AG21" s="81"/>
      <c r="AH21" s="146" t="s">
        <v>664</v>
      </c>
      <c r="AI21" s="9" t="s">
        <v>270</v>
      </c>
      <c r="AJ21" s="159"/>
    </row>
    <row r="22" spans="1:36" x14ac:dyDescent="0.3">
      <c r="A22" s="3" t="e">
        <f>VLOOKUP(E22,'[1]Listas Desplegables'!$H$3:$J$7,2,FALSE)</f>
        <v>#N/A</v>
      </c>
      <c r="B22" s="3" t="e">
        <f>VLOOKUP(E22,'[1]Listas Desplegables'!$H$3:$J$7,3,FALSE)</f>
        <v>#N/A</v>
      </c>
      <c r="C22" s="8">
        <v>17</v>
      </c>
      <c r="D22" s="146" t="s">
        <v>743</v>
      </c>
      <c r="E22" s="146" t="s">
        <v>591</v>
      </c>
      <c r="F22" s="146">
        <v>115</v>
      </c>
      <c r="G22" s="146" t="s">
        <v>705</v>
      </c>
      <c r="H22" s="146" t="s">
        <v>706</v>
      </c>
      <c r="I22" s="146">
        <v>15</v>
      </c>
      <c r="J22" s="146">
        <v>14</v>
      </c>
      <c r="K22" s="146">
        <v>1</v>
      </c>
      <c r="L22" s="146" t="s">
        <v>666</v>
      </c>
      <c r="M22" s="149">
        <v>1.0739999999999998</v>
      </c>
      <c r="N22" s="149">
        <v>8.9413333333333327</v>
      </c>
      <c r="O22" s="149">
        <v>0.35799999999999998</v>
      </c>
      <c r="P22" s="149">
        <v>1.0739999999999998</v>
      </c>
      <c r="Q22" s="149">
        <v>8.9413333333333327</v>
      </c>
      <c r="R22" s="149">
        <v>0.35799999999999998</v>
      </c>
      <c r="S22" s="146">
        <v>7</v>
      </c>
      <c r="T22" s="146">
        <v>1</v>
      </c>
      <c r="U22" s="146">
        <v>15</v>
      </c>
      <c r="V22" s="146">
        <v>1.25</v>
      </c>
      <c r="W22" s="146">
        <v>125</v>
      </c>
      <c r="X22" s="146">
        <v>30</v>
      </c>
      <c r="Y22" s="146" t="s">
        <v>113</v>
      </c>
      <c r="Z22" s="146"/>
      <c r="AA22" s="146" t="s">
        <v>105</v>
      </c>
      <c r="AB22" s="156" t="s">
        <v>744</v>
      </c>
      <c r="AC22" s="156" t="s">
        <v>745</v>
      </c>
      <c r="AD22" s="156" t="s">
        <v>746</v>
      </c>
      <c r="AE22" s="9"/>
      <c r="AF22" s="9"/>
      <c r="AG22" s="9"/>
      <c r="AH22" s="146" t="s">
        <v>664</v>
      </c>
      <c r="AI22" s="9" t="s">
        <v>270</v>
      </c>
      <c r="AJ22" s="146"/>
    </row>
    <row r="23" spans="1:36" x14ac:dyDescent="0.3">
      <c r="A23" s="3" t="e">
        <f>VLOOKUP(E23,'[1]Listas Desplegables'!$H$3:$J$7,2,FALSE)</f>
        <v>#N/A</v>
      </c>
      <c r="B23" s="3" t="e">
        <f>VLOOKUP(E23,'[1]Listas Desplegables'!$H$3:$J$7,3,FALSE)</f>
        <v>#N/A</v>
      </c>
      <c r="C23" s="8">
        <v>18</v>
      </c>
      <c r="D23" s="9"/>
      <c r="E23" s="9"/>
      <c r="F23" s="9"/>
      <c r="G23" s="9"/>
      <c r="H23" s="10"/>
      <c r="I23" s="10"/>
      <c r="J23" s="10"/>
      <c r="K23" s="10"/>
      <c r="L23" s="10"/>
      <c r="M23" s="10"/>
      <c r="N23" s="10"/>
      <c r="O23" s="10"/>
      <c r="P23" s="10"/>
      <c r="Q23" s="10"/>
      <c r="R23" s="10"/>
      <c r="S23" s="10"/>
      <c r="T23" s="10"/>
      <c r="U23" s="10"/>
      <c r="V23" s="10"/>
      <c r="W23" s="10"/>
      <c r="X23" s="10"/>
      <c r="Y23" s="10"/>
      <c r="Z23" s="56"/>
      <c r="AA23" s="10"/>
      <c r="AB23" s="10"/>
      <c r="AC23" s="10"/>
      <c r="AD23" s="10"/>
      <c r="AE23" s="10"/>
      <c r="AF23" s="10"/>
      <c r="AG23" s="10"/>
      <c r="AH23" s="10"/>
      <c r="AI23" s="10"/>
      <c r="AJ23" s="25"/>
    </row>
    <row r="24" spans="1:36" x14ac:dyDescent="0.3">
      <c r="A24" s="3" t="e">
        <f>VLOOKUP(E24,'[1]Listas Desplegables'!$H$3:$J$7,2,FALSE)</f>
        <v>#N/A</v>
      </c>
      <c r="B24" s="3" t="e">
        <f>VLOOKUP(E24,'[1]Listas Desplegables'!$H$3:$J$7,3,FALSE)</f>
        <v>#N/A</v>
      </c>
      <c r="C24" s="7">
        <v>19</v>
      </c>
      <c r="D24" s="9"/>
      <c r="E24" s="9"/>
      <c r="F24" s="9"/>
      <c r="G24" s="9"/>
      <c r="H24" s="10"/>
      <c r="I24" s="10"/>
      <c r="J24" s="10"/>
      <c r="K24" s="10"/>
      <c r="L24" s="10"/>
      <c r="M24" s="10"/>
      <c r="N24" s="10"/>
      <c r="O24" s="10"/>
      <c r="P24" s="10"/>
      <c r="Q24" s="10"/>
      <c r="R24" s="10"/>
      <c r="S24" s="10"/>
      <c r="T24" s="10"/>
      <c r="U24" s="10"/>
      <c r="V24" s="10"/>
      <c r="W24" s="10"/>
      <c r="X24" s="10"/>
      <c r="Y24" s="10"/>
      <c r="Z24" s="56"/>
      <c r="AA24" s="10"/>
      <c r="AB24" s="10"/>
      <c r="AC24" s="10"/>
      <c r="AD24" s="10"/>
      <c r="AE24" s="10"/>
      <c r="AF24" s="10"/>
      <c r="AG24" s="10"/>
      <c r="AH24" s="10"/>
      <c r="AI24" s="10"/>
      <c r="AJ24" s="25"/>
    </row>
    <row r="25" spans="1:36" x14ac:dyDescent="0.3">
      <c r="A25" s="3" t="e">
        <f>VLOOKUP(E25,'[1]Listas Desplegables'!$H$3:$J$7,2,FALSE)</f>
        <v>#N/A</v>
      </c>
      <c r="B25" s="3" t="e">
        <f>VLOOKUP(E25,'[1]Listas Desplegables'!$H$3:$J$7,3,FALSE)</f>
        <v>#N/A</v>
      </c>
      <c r="C25" s="11">
        <v>20</v>
      </c>
      <c r="D25" s="12"/>
      <c r="E25" s="12"/>
      <c r="F25" s="12"/>
      <c r="G25" s="9"/>
      <c r="H25" s="10"/>
      <c r="I25" s="10"/>
      <c r="J25" s="10"/>
      <c r="K25" s="10"/>
      <c r="L25" s="10"/>
      <c r="M25" s="10"/>
      <c r="N25" s="10"/>
      <c r="O25" s="10"/>
      <c r="P25" s="10"/>
      <c r="Q25" s="10"/>
      <c r="R25" s="10"/>
      <c r="S25" s="10"/>
      <c r="T25" s="10"/>
      <c r="U25" s="10"/>
      <c r="V25" s="10"/>
      <c r="W25" s="10"/>
      <c r="X25" s="10"/>
      <c r="Y25" s="10"/>
      <c r="Z25" s="56"/>
      <c r="AA25" s="10"/>
      <c r="AB25" s="10"/>
      <c r="AC25" s="10"/>
      <c r="AD25" s="10"/>
      <c r="AE25" s="10"/>
      <c r="AF25" s="10"/>
      <c r="AG25" s="10"/>
      <c r="AH25" s="10"/>
      <c r="AI25" s="10"/>
      <c r="AJ25" s="25"/>
    </row>
    <row r="26" spans="1:36" x14ac:dyDescent="0.3">
      <c r="A26" s="3" t="e">
        <f>VLOOKUP(E26,'[1]Listas Desplegables'!$H$3:$J$7,2,FALSE)</f>
        <v>#N/A</v>
      </c>
      <c r="B26" s="3" t="e">
        <f>VLOOKUP(E26,'[1]Listas Desplegables'!$H$3:$J$7,3,FALSE)</f>
        <v>#N/A</v>
      </c>
      <c r="C26" s="7">
        <v>21</v>
      </c>
      <c r="D26" s="12"/>
      <c r="E26" s="12"/>
      <c r="F26" s="12"/>
      <c r="G26" s="9"/>
      <c r="H26" s="10"/>
      <c r="I26" s="10"/>
      <c r="J26" s="10"/>
      <c r="K26" s="10"/>
      <c r="L26" s="10"/>
      <c r="M26" s="10"/>
      <c r="N26" s="10"/>
      <c r="O26" s="10"/>
      <c r="P26" s="10"/>
      <c r="Q26" s="10"/>
      <c r="R26" s="10"/>
      <c r="S26" s="10"/>
      <c r="T26" s="10"/>
      <c r="U26" s="10"/>
      <c r="V26" s="10"/>
      <c r="W26" s="10"/>
      <c r="X26" s="10"/>
      <c r="Y26" s="10"/>
      <c r="Z26" s="56"/>
      <c r="AA26" s="10"/>
      <c r="AB26" s="10"/>
      <c r="AC26" s="10"/>
      <c r="AD26" s="10"/>
      <c r="AE26" s="10"/>
      <c r="AF26" s="10"/>
      <c r="AG26" s="10"/>
      <c r="AH26" s="10"/>
      <c r="AI26" s="10"/>
      <c r="AJ26" s="25"/>
    </row>
    <row r="27" spans="1:36" x14ac:dyDescent="0.3">
      <c r="A27" s="3" t="e">
        <f>VLOOKUP(E27,'[1]Listas Desplegables'!$H$3:$J$7,2,FALSE)</f>
        <v>#N/A</v>
      </c>
      <c r="B27" s="3" t="e">
        <f>VLOOKUP(E27,'[1]Listas Desplegables'!$H$3:$J$7,3,FALSE)</f>
        <v>#N/A</v>
      </c>
      <c r="C27" s="8">
        <v>22</v>
      </c>
      <c r="D27" s="12"/>
      <c r="E27" s="12"/>
      <c r="F27" s="12"/>
      <c r="G27" s="9"/>
      <c r="H27" s="10"/>
      <c r="I27" s="10"/>
      <c r="J27" s="10"/>
      <c r="K27" s="10"/>
      <c r="L27" s="10"/>
      <c r="M27" s="10"/>
      <c r="N27" s="10"/>
      <c r="O27" s="10"/>
      <c r="P27" s="10"/>
      <c r="Q27" s="10"/>
      <c r="R27" s="10"/>
      <c r="S27" s="10"/>
      <c r="T27" s="10"/>
      <c r="U27" s="10"/>
      <c r="V27" s="10"/>
      <c r="W27" s="10"/>
      <c r="X27" s="10"/>
      <c r="Y27" s="10"/>
      <c r="Z27" s="56"/>
      <c r="AA27" s="10"/>
      <c r="AB27" s="10"/>
      <c r="AC27" s="10"/>
      <c r="AD27" s="10"/>
      <c r="AE27" s="10"/>
      <c r="AF27" s="10"/>
      <c r="AG27" s="10"/>
      <c r="AH27" s="10"/>
      <c r="AI27" s="10"/>
      <c r="AJ27" s="25"/>
    </row>
    <row r="28" spans="1:36" x14ac:dyDescent="0.3">
      <c r="A28" s="3" t="e">
        <f>VLOOKUP(E28,'[1]Listas Desplegables'!$H$3:$J$7,2,FALSE)</f>
        <v>#N/A</v>
      </c>
      <c r="B28" s="3" t="e">
        <f>VLOOKUP(E28,'[1]Listas Desplegables'!$H$3:$J$7,3,FALSE)</f>
        <v>#N/A</v>
      </c>
      <c r="C28" s="8">
        <v>23</v>
      </c>
      <c r="D28" s="12"/>
      <c r="E28" s="12"/>
      <c r="F28" s="12"/>
      <c r="G28" s="9"/>
      <c r="H28" s="10"/>
      <c r="I28" s="10"/>
      <c r="J28" s="10"/>
      <c r="K28" s="10"/>
      <c r="L28" s="10"/>
      <c r="M28" s="10"/>
      <c r="N28" s="10"/>
      <c r="O28" s="10"/>
      <c r="P28" s="10"/>
      <c r="Q28" s="10"/>
      <c r="R28" s="10"/>
      <c r="S28" s="10"/>
      <c r="T28" s="10"/>
      <c r="U28" s="10"/>
      <c r="V28" s="10"/>
      <c r="W28" s="10"/>
      <c r="X28" s="10"/>
      <c r="Y28" s="10"/>
      <c r="Z28" s="56"/>
      <c r="AA28" s="10"/>
      <c r="AB28" s="10"/>
      <c r="AC28" s="10"/>
      <c r="AD28" s="10"/>
      <c r="AE28" s="10"/>
      <c r="AF28" s="10"/>
      <c r="AG28" s="10"/>
      <c r="AH28" s="10"/>
      <c r="AI28" s="10"/>
      <c r="AJ28" s="25"/>
    </row>
    <row r="29" spans="1:36" x14ac:dyDescent="0.3">
      <c r="A29" s="3" t="e">
        <f>VLOOKUP(E29,'[1]Listas Desplegables'!$H$3:$J$7,2,FALSE)</f>
        <v>#N/A</v>
      </c>
      <c r="B29" s="3" t="e">
        <f>VLOOKUP(E29,'[1]Listas Desplegables'!$H$3:$J$7,3,FALSE)</f>
        <v>#N/A</v>
      </c>
      <c r="C29" s="8">
        <v>24</v>
      </c>
      <c r="D29" s="12"/>
      <c r="E29" s="12"/>
      <c r="F29" s="12"/>
      <c r="G29" s="9"/>
      <c r="H29" s="10"/>
      <c r="I29" s="10"/>
      <c r="J29" s="10"/>
      <c r="K29" s="10"/>
      <c r="L29" s="10"/>
      <c r="M29" s="10"/>
      <c r="N29" s="10"/>
      <c r="O29" s="10"/>
      <c r="P29" s="10"/>
      <c r="Q29" s="10"/>
      <c r="R29" s="10"/>
      <c r="S29" s="10"/>
      <c r="T29" s="10"/>
      <c r="U29" s="10"/>
      <c r="V29" s="10"/>
      <c r="W29" s="10"/>
      <c r="X29" s="10"/>
      <c r="Y29" s="10"/>
      <c r="Z29" s="56"/>
      <c r="AA29" s="10"/>
      <c r="AB29" s="10"/>
      <c r="AC29" s="10"/>
      <c r="AD29" s="10"/>
      <c r="AE29" s="10"/>
      <c r="AF29" s="10"/>
      <c r="AG29" s="10"/>
      <c r="AH29" s="10"/>
      <c r="AI29" s="10"/>
      <c r="AJ29" s="25"/>
    </row>
    <row r="30" spans="1:36" x14ac:dyDescent="0.3">
      <c r="A30" s="3" t="e">
        <f>VLOOKUP(E30,'[1]Listas Desplegables'!$H$3:$J$7,2,FALSE)</f>
        <v>#N/A</v>
      </c>
      <c r="B30" s="3" t="e">
        <f>VLOOKUP(E30,'[1]Listas Desplegables'!$H$3:$J$7,3,FALSE)</f>
        <v>#N/A</v>
      </c>
      <c r="C30" s="8">
        <v>25</v>
      </c>
      <c r="D30" s="12"/>
      <c r="E30" s="12"/>
      <c r="F30" s="12"/>
      <c r="G30" s="9"/>
      <c r="H30" s="10"/>
      <c r="I30" s="10"/>
      <c r="J30" s="10"/>
      <c r="K30" s="10"/>
      <c r="L30" s="10"/>
      <c r="M30" s="10"/>
      <c r="N30" s="10"/>
      <c r="O30" s="10"/>
      <c r="P30" s="10"/>
      <c r="Q30" s="10"/>
      <c r="R30" s="10"/>
      <c r="S30" s="10"/>
      <c r="T30" s="10"/>
      <c r="U30" s="10"/>
      <c r="V30" s="10"/>
      <c r="W30" s="10"/>
      <c r="X30" s="10"/>
      <c r="Y30" s="10"/>
      <c r="Z30" s="56"/>
      <c r="AA30" s="10"/>
      <c r="AB30" s="10"/>
      <c r="AC30" s="10"/>
      <c r="AD30" s="10"/>
      <c r="AE30" s="10"/>
      <c r="AF30" s="10"/>
      <c r="AG30" s="10"/>
      <c r="AH30" s="10"/>
      <c r="AI30" s="10"/>
      <c r="AJ30" s="25"/>
    </row>
    <row r="31" spans="1:36" x14ac:dyDescent="0.3">
      <c r="A31" s="3" t="e">
        <f>VLOOKUP(E31,'[1]Listas Desplegables'!$H$3:$J$7,2,FALSE)</f>
        <v>#N/A</v>
      </c>
      <c r="B31" s="3" t="e">
        <f>VLOOKUP(E31,'[1]Listas Desplegables'!$H$3:$J$7,3,FALSE)</f>
        <v>#N/A</v>
      </c>
      <c r="C31" s="8">
        <v>26</v>
      </c>
      <c r="D31" s="12"/>
      <c r="E31" s="12"/>
      <c r="F31" s="12"/>
      <c r="G31" s="9"/>
      <c r="H31" s="10"/>
      <c r="I31" s="10"/>
      <c r="J31" s="10"/>
      <c r="K31" s="10"/>
      <c r="L31" s="10"/>
      <c r="M31" s="10"/>
      <c r="N31" s="10"/>
      <c r="O31" s="10"/>
      <c r="P31" s="10"/>
      <c r="Q31" s="10"/>
      <c r="R31" s="10"/>
      <c r="S31" s="10"/>
      <c r="T31" s="10"/>
      <c r="U31" s="10"/>
      <c r="V31" s="10"/>
      <c r="W31" s="10"/>
      <c r="X31" s="10"/>
      <c r="Y31" s="10"/>
      <c r="Z31" s="56"/>
      <c r="AA31" s="10"/>
      <c r="AB31" s="10"/>
      <c r="AC31" s="10"/>
      <c r="AD31" s="10"/>
      <c r="AE31" s="10"/>
      <c r="AF31" s="10"/>
      <c r="AG31" s="10"/>
      <c r="AH31" s="10"/>
      <c r="AI31" s="10"/>
      <c r="AJ31" s="25"/>
    </row>
    <row r="32" spans="1:36" x14ac:dyDescent="0.3">
      <c r="A32" s="3" t="e">
        <f>VLOOKUP(E32,'[1]Listas Desplegables'!$H$3:$J$7,2,FALSE)</f>
        <v>#N/A</v>
      </c>
      <c r="B32" s="3" t="e">
        <f>VLOOKUP(E32,'[1]Listas Desplegables'!$H$3:$J$7,3,FALSE)</f>
        <v>#N/A</v>
      </c>
      <c r="C32" s="8">
        <v>27</v>
      </c>
      <c r="D32" s="12"/>
      <c r="E32" s="12"/>
      <c r="F32" s="12"/>
      <c r="G32" s="9"/>
      <c r="H32" s="10"/>
      <c r="I32" s="10"/>
      <c r="J32" s="10"/>
      <c r="K32" s="10"/>
      <c r="L32" s="10"/>
      <c r="M32" s="10"/>
      <c r="N32" s="10"/>
      <c r="O32" s="10"/>
      <c r="P32" s="10"/>
      <c r="Q32" s="10"/>
      <c r="R32" s="10"/>
      <c r="S32" s="10"/>
      <c r="T32" s="10"/>
      <c r="U32" s="10"/>
      <c r="V32" s="10"/>
      <c r="W32" s="10"/>
      <c r="X32" s="10"/>
      <c r="Y32" s="10"/>
      <c r="Z32" s="56"/>
      <c r="AA32" s="10"/>
      <c r="AB32" s="10"/>
      <c r="AC32" s="10"/>
      <c r="AD32" s="10"/>
      <c r="AE32" s="10"/>
      <c r="AF32" s="10"/>
      <c r="AG32" s="10"/>
      <c r="AH32" s="10"/>
      <c r="AI32" s="10"/>
      <c r="AJ32" s="25"/>
    </row>
    <row r="33" spans="1:36" x14ac:dyDescent="0.3">
      <c r="A33" s="3" t="e">
        <f>VLOOKUP(E33,'[1]Listas Desplegables'!$H$3:$J$7,2,FALSE)</f>
        <v>#N/A</v>
      </c>
      <c r="B33" s="3" t="e">
        <f>VLOOKUP(E33,'[1]Listas Desplegables'!$H$3:$J$7,3,FALSE)</f>
        <v>#N/A</v>
      </c>
      <c r="C33" s="8">
        <v>28</v>
      </c>
      <c r="D33" s="12"/>
      <c r="E33" s="12"/>
      <c r="F33" s="12"/>
      <c r="G33" s="9"/>
      <c r="H33" s="10"/>
      <c r="I33" s="10"/>
      <c r="J33" s="10"/>
      <c r="K33" s="10"/>
      <c r="L33" s="10"/>
      <c r="M33" s="10"/>
      <c r="N33" s="10"/>
      <c r="O33" s="10"/>
      <c r="P33" s="10"/>
      <c r="Q33" s="10"/>
      <c r="R33" s="10"/>
      <c r="S33" s="10"/>
      <c r="T33" s="10"/>
      <c r="U33" s="10"/>
      <c r="V33" s="10"/>
      <c r="W33" s="10"/>
      <c r="X33" s="10"/>
      <c r="Y33" s="10"/>
      <c r="Z33" s="56"/>
      <c r="AA33" s="10"/>
      <c r="AB33" s="10"/>
      <c r="AC33" s="10"/>
      <c r="AD33" s="10"/>
      <c r="AE33" s="10"/>
      <c r="AF33" s="10"/>
      <c r="AG33" s="10"/>
      <c r="AH33" s="10"/>
      <c r="AI33" s="10"/>
      <c r="AJ33" s="25"/>
    </row>
    <row r="34" spans="1:36" x14ac:dyDescent="0.3">
      <c r="A34" s="3" t="e">
        <f>VLOOKUP(E34,'[1]Listas Desplegables'!$H$3:$J$7,2,FALSE)</f>
        <v>#N/A</v>
      </c>
      <c r="B34" s="3" t="e">
        <f>VLOOKUP(E34,'[1]Listas Desplegables'!$H$3:$J$7,3,FALSE)</f>
        <v>#N/A</v>
      </c>
      <c r="C34" s="8">
        <v>29</v>
      </c>
      <c r="D34" s="12"/>
      <c r="E34" s="12"/>
      <c r="F34" s="12"/>
      <c r="G34" s="9"/>
      <c r="H34" s="10"/>
      <c r="I34" s="10"/>
      <c r="J34" s="10"/>
      <c r="K34" s="10"/>
      <c r="L34" s="10"/>
      <c r="M34" s="10"/>
      <c r="N34" s="10"/>
      <c r="O34" s="10"/>
      <c r="P34" s="10"/>
      <c r="Q34" s="10"/>
      <c r="R34" s="10"/>
      <c r="S34" s="10"/>
      <c r="T34" s="10"/>
      <c r="U34" s="10"/>
      <c r="V34" s="10"/>
      <c r="W34" s="10"/>
      <c r="X34" s="10"/>
      <c r="Y34" s="10"/>
      <c r="Z34" s="56"/>
      <c r="AA34" s="10"/>
      <c r="AB34" s="10"/>
      <c r="AC34" s="10"/>
      <c r="AD34" s="10"/>
      <c r="AE34" s="10"/>
      <c r="AF34" s="10"/>
      <c r="AG34" s="10"/>
      <c r="AH34" s="10"/>
      <c r="AI34" s="10"/>
      <c r="AJ34" s="25"/>
    </row>
    <row r="35" spans="1:36" x14ac:dyDescent="0.3">
      <c r="A35" s="3" t="e">
        <f>VLOOKUP(E35,'[1]Listas Desplegables'!$H$3:$J$7,2,FALSE)</f>
        <v>#N/A</v>
      </c>
      <c r="B35" s="3" t="e">
        <f>VLOOKUP(E35,'[1]Listas Desplegables'!$H$3:$J$7,3,FALSE)</f>
        <v>#N/A</v>
      </c>
      <c r="C35" s="7">
        <v>30</v>
      </c>
      <c r="D35" s="12"/>
      <c r="E35" s="12"/>
      <c r="F35" s="12"/>
      <c r="G35" s="9"/>
      <c r="H35" s="10"/>
      <c r="I35" s="10"/>
      <c r="J35" s="10"/>
      <c r="K35" s="10"/>
      <c r="L35" s="10"/>
      <c r="M35" s="10"/>
      <c r="N35" s="10"/>
      <c r="O35" s="10"/>
      <c r="P35" s="10"/>
      <c r="Q35" s="10"/>
      <c r="R35" s="10"/>
      <c r="S35" s="10"/>
      <c r="T35" s="10"/>
      <c r="U35" s="10"/>
      <c r="V35" s="10"/>
      <c r="W35" s="10"/>
      <c r="X35" s="10"/>
      <c r="Y35" s="10"/>
      <c r="Z35" s="56"/>
      <c r="AA35" s="10"/>
      <c r="AB35" s="10"/>
      <c r="AC35" s="10"/>
      <c r="AD35" s="10"/>
      <c r="AE35" s="10"/>
      <c r="AF35" s="10"/>
      <c r="AG35" s="10"/>
      <c r="AH35" s="10"/>
      <c r="AI35" s="10"/>
      <c r="AJ35" s="25"/>
    </row>
    <row r="36" spans="1:36" x14ac:dyDescent="0.3">
      <c r="A36" s="3" t="e">
        <f>VLOOKUP(E36,'[1]Listas Desplegables'!$H$3:$J$7,2,FALSE)</f>
        <v>#N/A</v>
      </c>
      <c r="B36" s="3" t="e">
        <f>VLOOKUP(E36,'[1]Listas Desplegables'!$H$3:$J$7,3,FALSE)</f>
        <v>#N/A</v>
      </c>
      <c r="C36" s="8">
        <v>31</v>
      </c>
      <c r="D36" s="12"/>
      <c r="E36" s="12"/>
      <c r="F36" s="12"/>
      <c r="G36" s="9"/>
      <c r="H36" s="10"/>
      <c r="I36" s="10"/>
      <c r="J36" s="10"/>
      <c r="K36" s="10"/>
      <c r="L36" s="10"/>
      <c r="M36" s="10"/>
      <c r="N36" s="10"/>
      <c r="O36" s="10"/>
      <c r="P36" s="10"/>
      <c r="Q36" s="10"/>
      <c r="R36" s="10"/>
      <c r="S36" s="10"/>
      <c r="T36" s="10"/>
      <c r="U36" s="10"/>
      <c r="V36" s="10"/>
      <c r="W36" s="10"/>
      <c r="X36" s="10"/>
      <c r="Y36" s="10"/>
      <c r="Z36" s="56"/>
      <c r="AA36" s="10"/>
      <c r="AB36" s="10"/>
      <c r="AC36" s="10"/>
      <c r="AD36" s="10"/>
      <c r="AE36" s="10"/>
      <c r="AF36" s="10"/>
      <c r="AG36" s="10"/>
      <c r="AH36" s="10"/>
      <c r="AI36" s="10"/>
      <c r="AJ36" s="25"/>
    </row>
    <row r="37" spans="1:36" x14ac:dyDescent="0.3">
      <c r="A37" s="3" t="e">
        <f>VLOOKUP(E37,'[1]Listas Desplegables'!$H$3:$J$7,2,FALSE)</f>
        <v>#N/A</v>
      </c>
      <c r="B37" s="3" t="e">
        <f>VLOOKUP(E37,'[1]Listas Desplegables'!$H$3:$J$7,3,FALSE)</f>
        <v>#N/A</v>
      </c>
      <c r="C37" s="8">
        <v>32</v>
      </c>
      <c r="D37" s="12"/>
      <c r="E37" s="12"/>
      <c r="F37" s="12"/>
      <c r="G37" s="9"/>
      <c r="H37" s="10"/>
      <c r="I37" s="10"/>
      <c r="J37" s="10"/>
      <c r="K37" s="10"/>
      <c r="L37" s="10"/>
      <c r="M37" s="10"/>
      <c r="N37" s="10"/>
      <c r="O37" s="10"/>
      <c r="P37" s="10"/>
      <c r="Q37" s="10"/>
      <c r="R37" s="10"/>
      <c r="S37" s="10"/>
      <c r="T37" s="10"/>
      <c r="U37" s="10"/>
      <c r="V37" s="10"/>
      <c r="W37" s="10"/>
      <c r="X37" s="10"/>
      <c r="Y37" s="10"/>
      <c r="Z37" s="56"/>
      <c r="AA37" s="10"/>
      <c r="AB37" s="10"/>
      <c r="AC37" s="10"/>
      <c r="AD37" s="10"/>
      <c r="AE37" s="10"/>
      <c r="AF37" s="10"/>
      <c r="AG37" s="10"/>
      <c r="AH37" s="10"/>
      <c r="AI37" s="10"/>
      <c r="AJ37" s="25"/>
    </row>
    <row r="38" spans="1:36" x14ac:dyDescent="0.3">
      <c r="A38" s="3" t="e">
        <f>VLOOKUP(E38,'[1]Listas Desplegables'!$H$3:$J$7,2,FALSE)</f>
        <v>#N/A</v>
      </c>
      <c r="B38" s="3" t="e">
        <f>VLOOKUP(E38,'[1]Listas Desplegables'!$H$3:$J$7,3,FALSE)</f>
        <v>#N/A</v>
      </c>
      <c r="C38" s="8">
        <v>33</v>
      </c>
      <c r="D38" s="12"/>
      <c r="E38" s="12"/>
      <c r="F38" s="12"/>
      <c r="G38" s="9"/>
      <c r="H38" s="10"/>
      <c r="I38" s="10"/>
      <c r="J38" s="10"/>
      <c r="K38" s="10"/>
      <c r="L38" s="10"/>
      <c r="M38" s="10"/>
      <c r="N38" s="10"/>
      <c r="O38" s="10"/>
      <c r="P38" s="10"/>
      <c r="Q38" s="10"/>
      <c r="R38" s="10"/>
      <c r="S38" s="10"/>
      <c r="T38" s="10"/>
      <c r="U38" s="10"/>
      <c r="V38" s="10"/>
      <c r="W38" s="10"/>
      <c r="X38" s="10"/>
      <c r="Y38" s="10"/>
      <c r="Z38" s="56"/>
      <c r="AA38" s="10"/>
      <c r="AB38" s="10"/>
      <c r="AC38" s="10"/>
      <c r="AD38" s="10"/>
      <c r="AE38" s="10"/>
      <c r="AF38" s="10"/>
      <c r="AG38" s="10"/>
      <c r="AH38" s="10"/>
      <c r="AI38" s="10"/>
      <c r="AJ38" s="25"/>
    </row>
    <row r="39" spans="1:36" x14ac:dyDescent="0.3">
      <c r="A39" s="3" t="e">
        <f>VLOOKUP(E39,'[1]Listas Desplegables'!$H$3:$J$7,2,FALSE)</f>
        <v>#N/A</v>
      </c>
      <c r="B39" s="3" t="e">
        <f>VLOOKUP(E39,'[1]Listas Desplegables'!$H$3:$J$7,3,FALSE)</f>
        <v>#N/A</v>
      </c>
      <c r="C39" s="8">
        <v>34</v>
      </c>
      <c r="D39" s="12"/>
      <c r="E39" s="12"/>
      <c r="F39" s="12"/>
      <c r="G39" s="9"/>
      <c r="H39" s="10"/>
      <c r="I39" s="10"/>
      <c r="J39" s="10"/>
      <c r="K39" s="10"/>
      <c r="L39" s="10"/>
      <c r="M39" s="10"/>
      <c r="N39" s="10"/>
      <c r="O39" s="10"/>
      <c r="P39" s="10"/>
      <c r="Q39" s="10"/>
      <c r="R39" s="10"/>
      <c r="S39" s="10"/>
      <c r="T39" s="10"/>
      <c r="U39" s="10"/>
      <c r="V39" s="10"/>
      <c r="W39" s="10"/>
      <c r="X39" s="10"/>
      <c r="Y39" s="10"/>
      <c r="Z39" s="56"/>
      <c r="AA39" s="10"/>
      <c r="AB39" s="10"/>
      <c r="AC39" s="10"/>
      <c r="AD39" s="10"/>
      <c r="AE39" s="10"/>
      <c r="AF39" s="10"/>
      <c r="AG39" s="10"/>
      <c r="AH39" s="10"/>
      <c r="AI39" s="10"/>
      <c r="AJ39" s="25"/>
    </row>
    <row r="40" spans="1:36" x14ac:dyDescent="0.3">
      <c r="A40" s="3" t="e">
        <f>VLOOKUP(E40,'[1]Listas Desplegables'!$H$3:$J$7,2,FALSE)</f>
        <v>#N/A</v>
      </c>
      <c r="B40" s="3" t="e">
        <f>VLOOKUP(E40,'[1]Listas Desplegables'!$H$3:$J$7,3,FALSE)</f>
        <v>#N/A</v>
      </c>
      <c r="C40" s="8">
        <v>35</v>
      </c>
      <c r="D40" s="12"/>
      <c r="E40" s="12"/>
      <c r="F40" s="12"/>
      <c r="G40" s="9"/>
      <c r="H40" s="10"/>
      <c r="I40" s="10"/>
      <c r="J40" s="10"/>
      <c r="K40" s="10"/>
      <c r="L40" s="10"/>
      <c r="M40" s="10"/>
      <c r="N40" s="10"/>
      <c r="O40" s="10"/>
      <c r="P40" s="10"/>
      <c r="Q40" s="10"/>
      <c r="R40" s="10"/>
      <c r="S40" s="10"/>
      <c r="T40" s="10"/>
      <c r="U40" s="10"/>
      <c r="V40" s="10"/>
      <c r="W40" s="10"/>
      <c r="X40" s="10"/>
      <c r="Y40" s="10"/>
      <c r="Z40" s="56"/>
      <c r="AA40" s="10"/>
      <c r="AB40" s="10"/>
      <c r="AC40" s="10"/>
      <c r="AD40" s="10"/>
      <c r="AE40" s="10"/>
      <c r="AF40" s="10"/>
      <c r="AG40" s="10"/>
      <c r="AH40" s="10"/>
      <c r="AI40" s="10"/>
      <c r="AJ40" s="25"/>
    </row>
    <row r="41" spans="1:36" x14ac:dyDescent="0.3">
      <c r="A41" s="3" t="e">
        <f>VLOOKUP(E41,'[1]Listas Desplegables'!$H$3:$J$7,2,FALSE)</f>
        <v>#N/A</v>
      </c>
      <c r="B41" s="3" t="e">
        <f>VLOOKUP(E41,'[1]Listas Desplegables'!$H$3:$J$7,3,FALSE)</f>
        <v>#N/A</v>
      </c>
      <c r="C41" s="8">
        <v>36</v>
      </c>
      <c r="D41" s="12"/>
      <c r="E41" s="12"/>
      <c r="F41" s="12"/>
      <c r="G41" s="9"/>
      <c r="H41" s="10"/>
      <c r="I41" s="10"/>
      <c r="J41" s="10"/>
      <c r="K41" s="10"/>
      <c r="L41" s="10"/>
      <c r="M41" s="10"/>
      <c r="N41" s="10"/>
      <c r="O41" s="10"/>
      <c r="P41" s="10"/>
      <c r="Q41" s="10"/>
      <c r="R41" s="10"/>
      <c r="S41" s="10"/>
      <c r="T41" s="10"/>
      <c r="U41" s="10"/>
      <c r="V41" s="10"/>
      <c r="W41" s="10"/>
      <c r="X41" s="10"/>
      <c r="Y41" s="10"/>
      <c r="Z41" s="56"/>
      <c r="AA41" s="10"/>
      <c r="AB41" s="10"/>
      <c r="AC41" s="10"/>
      <c r="AD41" s="10"/>
      <c r="AE41" s="10"/>
      <c r="AF41" s="10"/>
      <c r="AG41" s="10"/>
      <c r="AH41" s="10"/>
      <c r="AI41" s="10"/>
      <c r="AJ41" s="25"/>
    </row>
    <row r="42" spans="1:36" x14ac:dyDescent="0.3">
      <c r="A42" s="3" t="e">
        <f>VLOOKUP(E42,'[1]Listas Desplegables'!$H$3:$J$7,2,FALSE)</f>
        <v>#N/A</v>
      </c>
      <c r="B42" s="3" t="e">
        <f>VLOOKUP(E42,'[1]Listas Desplegables'!$H$3:$J$7,3,FALSE)</f>
        <v>#N/A</v>
      </c>
      <c r="C42" s="8">
        <v>37</v>
      </c>
      <c r="D42" s="12"/>
      <c r="E42" s="12"/>
      <c r="F42" s="12"/>
      <c r="G42" s="9"/>
      <c r="H42" s="10"/>
      <c r="I42" s="10"/>
      <c r="J42" s="10"/>
      <c r="K42" s="10"/>
      <c r="L42" s="10"/>
      <c r="M42" s="10"/>
      <c r="N42" s="10"/>
      <c r="O42" s="10"/>
      <c r="P42" s="10"/>
      <c r="Q42" s="10"/>
      <c r="R42" s="10"/>
      <c r="S42" s="10"/>
      <c r="T42" s="10"/>
      <c r="U42" s="10"/>
      <c r="V42" s="10"/>
      <c r="W42" s="10"/>
      <c r="X42" s="10"/>
      <c r="Y42" s="10"/>
      <c r="Z42" s="56"/>
      <c r="AA42" s="10"/>
      <c r="AB42" s="10"/>
      <c r="AC42" s="10"/>
      <c r="AD42" s="10"/>
      <c r="AE42" s="10"/>
      <c r="AF42" s="10"/>
      <c r="AG42" s="10"/>
      <c r="AH42" s="10"/>
      <c r="AI42" s="10"/>
      <c r="AJ42" s="25"/>
    </row>
    <row r="43" spans="1:36" x14ac:dyDescent="0.3">
      <c r="A43" s="3" t="e">
        <f>VLOOKUP(E43,'[1]Listas Desplegables'!$H$3:$J$7,2,FALSE)</f>
        <v>#N/A</v>
      </c>
      <c r="B43" s="3" t="e">
        <f>VLOOKUP(E43,'[1]Listas Desplegables'!$H$3:$J$7,3,FALSE)</f>
        <v>#N/A</v>
      </c>
      <c r="C43" s="8">
        <v>38</v>
      </c>
      <c r="D43" s="12"/>
      <c r="E43" s="12"/>
      <c r="F43" s="12"/>
      <c r="G43" s="9"/>
      <c r="H43" s="10"/>
      <c r="I43" s="10"/>
      <c r="J43" s="10"/>
      <c r="K43" s="10"/>
      <c r="L43" s="10"/>
      <c r="M43" s="10"/>
      <c r="N43" s="10"/>
      <c r="O43" s="10"/>
      <c r="P43" s="10"/>
      <c r="Q43" s="10"/>
      <c r="R43" s="10"/>
      <c r="S43" s="10"/>
      <c r="T43" s="10"/>
      <c r="U43" s="10"/>
      <c r="V43" s="10"/>
      <c r="W43" s="10"/>
      <c r="X43" s="10"/>
      <c r="Y43" s="10"/>
      <c r="Z43" s="56"/>
      <c r="AA43" s="10"/>
      <c r="AB43" s="10"/>
      <c r="AC43" s="10"/>
      <c r="AD43" s="10"/>
      <c r="AE43" s="10"/>
      <c r="AF43" s="10"/>
      <c r="AG43" s="10"/>
      <c r="AH43" s="10"/>
      <c r="AI43" s="10"/>
      <c r="AJ43" s="25"/>
    </row>
    <row r="44" spans="1:36" x14ac:dyDescent="0.3">
      <c r="A44" s="3" t="e">
        <f>VLOOKUP(E44,'[1]Listas Desplegables'!$H$3:$J$7,2,FALSE)</f>
        <v>#N/A</v>
      </c>
      <c r="B44" s="3" t="e">
        <f>VLOOKUP(E44,'[1]Listas Desplegables'!$H$3:$J$7,3,FALSE)</f>
        <v>#N/A</v>
      </c>
      <c r="C44" s="7">
        <v>39</v>
      </c>
      <c r="D44" s="12"/>
      <c r="E44" s="12"/>
      <c r="F44" s="12"/>
      <c r="G44" s="9"/>
      <c r="H44" s="10"/>
      <c r="I44" s="10"/>
      <c r="J44" s="10"/>
      <c r="K44" s="10"/>
      <c r="L44" s="10"/>
      <c r="M44" s="10"/>
      <c r="N44" s="10"/>
      <c r="O44" s="10"/>
      <c r="P44" s="10"/>
      <c r="Q44" s="10"/>
      <c r="R44" s="10"/>
      <c r="S44" s="10"/>
      <c r="T44" s="10"/>
      <c r="U44" s="10"/>
      <c r="V44" s="10"/>
      <c r="W44" s="10"/>
      <c r="X44" s="10"/>
      <c r="Y44" s="10"/>
      <c r="Z44" s="56"/>
      <c r="AA44" s="10"/>
      <c r="AB44" s="10"/>
      <c r="AC44" s="10"/>
      <c r="AD44" s="10"/>
      <c r="AE44" s="10"/>
      <c r="AF44" s="10"/>
      <c r="AG44" s="10"/>
      <c r="AH44" s="10"/>
      <c r="AI44" s="10"/>
      <c r="AJ44" s="25"/>
    </row>
    <row r="45" spans="1:36" x14ac:dyDescent="0.3">
      <c r="A45" s="3" t="e">
        <f>VLOOKUP(E45,'[1]Listas Desplegables'!$H$3:$J$7,2,FALSE)</f>
        <v>#N/A</v>
      </c>
      <c r="B45" s="3" t="e">
        <f>VLOOKUP(E45,'[1]Listas Desplegables'!$H$3:$J$7,3,FALSE)</f>
        <v>#N/A</v>
      </c>
      <c r="C45" s="11">
        <v>40</v>
      </c>
      <c r="D45" s="12"/>
      <c r="E45" s="12"/>
      <c r="F45" s="12"/>
      <c r="G45" s="9"/>
      <c r="H45" s="10"/>
      <c r="I45" s="10"/>
      <c r="J45" s="10"/>
      <c r="K45" s="10"/>
      <c r="L45" s="10"/>
      <c r="M45" s="10"/>
      <c r="N45" s="10"/>
      <c r="O45" s="10"/>
      <c r="P45" s="10"/>
      <c r="Q45" s="10"/>
      <c r="R45" s="10"/>
      <c r="S45" s="10"/>
      <c r="T45" s="10"/>
      <c r="U45" s="10"/>
      <c r="V45" s="10"/>
      <c r="W45" s="10"/>
      <c r="X45" s="10"/>
      <c r="Y45" s="10"/>
      <c r="Z45" s="56"/>
      <c r="AA45" s="10"/>
      <c r="AB45" s="10"/>
      <c r="AC45" s="10"/>
      <c r="AD45" s="10"/>
      <c r="AE45" s="10"/>
      <c r="AF45" s="10"/>
      <c r="AG45" s="10"/>
      <c r="AH45" s="10"/>
      <c r="AI45" s="10"/>
      <c r="AJ45" s="25"/>
    </row>
    <row r="46" spans="1:36" x14ac:dyDescent="0.3">
      <c r="A46" s="3" t="e">
        <f>VLOOKUP(E46,'[1]Listas Desplegables'!$H$3:$J$7,2,FALSE)</f>
        <v>#N/A</v>
      </c>
      <c r="B46" s="3" t="e">
        <f>VLOOKUP(E46,'[1]Listas Desplegables'!$H$3:$J$7,3,FALSE)</f>
        <v>#N/A</v>
      </c>
      <c r="C46" s="7">
        <v>41</v>
      </c>
      <c r="D46" s="12"/>
      <c r="E46" s="12"/>
      <c r="F46" s="12"/>
      <c r="G46" s="9"/>
      <c r="H46" s="10"/>
      <c r="I46" s="10"/>
      <c r="J46" s="10"/>
      <c r="K46" s="10"/>
      <c r="L46" s="10"/>
      <c r="M46" s="10"/>
      <c r="N46" s="10"/>
      <c r="O46" s="10"/>
      <c r="P46" s="10"/>
      <c r="Q46" s="10"/>
      <c r="R46" s="10"/>
      <c r="S46" s="10"/>
      <c r="T46" s="10"/>
      <c r="U46" s="10"/>
      <c r="V46" s="10"/>
      <c r="W46" s="10"/>
      <c r="X46" s="10"/>
      <c r="Y46" s="10"/>
      <c r="Z46" s="56"/>
      <c r="AA46" s="10"/>
      <c r="AB46" s="10"/>
      <c r="AC46" s="10"/>
      <c r="AD46" s="10"/>
      <c r="AE46" s="10"/>
      <c r="AF46" s="10"/>
      <c r="AG46" s="10"/>
      <c r="AH46" s="10"/>
      <c r="AI46" s="10"/>
      <c r="AJ46" s="25"/>
    </row>
    <row r="47" spans="1:36" x14ac:dyDescent="0.3">
      <c r="A47" s="3" t="e">
        <f>VLOOKUP(E47,'[1]Listas Desplegables'!$H$3:$J$7,2,FALSE)</f>
        <v>#N/A</v>
      </c>
      <c r="B47" s="3" t="e">
        <f>VLOOKUP(E47,'[1]Listas Desplegables'!$H$3:$J$7,3,FALSE)</f>
        <v>#N/A</v>
      </c>
      <c r="C47" s="8">
        <v>42</v>
      </c>
      <c r="D47" s="12"/>
      <c r="E47" s="12"/>
      <c r="F47" s="12"/>
      <c r="G47" s="9"/>
      <c r="H47" s="10"/>
      <c r="I47" s="10"/>
      <c r="J47" s="10"/>
      <c r="K47" s="10"/>
      <c r="L47" s="10"/>
      <c r="M47" s="10"/>
      <c r="N47" s="10"/>
      <c r="O47" s="10"/>
      <c r="P47" s="10"/>
      <c r="Q47" s="10"/>
      <c r="R47" s="10"/>
      <c r="S47" s="10"/>
      <c r="T47" s="10"/>
      <c r="U47" s="10"/>
      <c r="V47" s="10"/>
      <c r="W47" s="10"/>
      <c r="X47" s="10"/>
      <c r="Y47" s="10"/>
      <c r="Z47" s="56"/>
      <c r="AA47" s="10"/>
      <c r="AB47" s="10"/>
      <c r="AC47" s="10"/>
      <c r="AD47" s="10"/>
      <c r="AE47" s="10"/>
      <c r="AF47" s="10"/>
      <c r="AG47" s="10"/>
      <c r="AH47" s="10"/>
      <c r="AI47" s="10"/>
      <c r="AJ47" s="25"/>
    </row>
    <row r="48" spans="1:36" x14ac:dyDescent="0.3">
      <c r="A48" s="3" t="e">
        <f>VLOOKUP(E48,'[1]Listas Desplegables'!$H$3:$J$7,2,FALSE)</f>
        <v>#N/A</v>
      </c>
      <c r="B48" s="3" t="e">
        <f>VLOOKUP(E48,'[1]Listas Desplegables'!$H$3:$J$7,3,FALSE)</f>
        <v>#N/A</v>
      </c>
      <c r="C48" s="8">
        <v>43</v>
      </c>
      <c r="D48" s="12"/>
      <c r="E48" s="12"/>
      <c r="F48" s="12"/>
      <c r="G48" s="9"/>
      <c r="H48" s="10"/>
      <c r="I48" s="10"/>
      <c r="J48" s="10"/>
      <c r="K48" s="10"/>
      <c r="L48" s="10"/>
      <c r="M48" s="10"/>
      <c r="N48" s="10"/>
      <c r="O48" s="10"/>
      <c r="P48" s="10"/>
      <c r="Q48" s="10"/>
      <c r="R48" s="10"/>
      <c r="S48" s="10"/>
      <c r="T48" s="10"/>
      <c r="U48" s="10"/>
      <c r="V48" s="10"/>
      <c r="W48" s="10"/>
      <c r="X48" s="10"/>
      <c r="Y48" s="10"/>
      <c r="Z48" s="56"/>
      <c r="AA48" s="10"/>
      <c r="AB48" s="10"/>
      <c r="AC48" s="10"/>
      <c r="AD48" s="10"/>
      <c r="AE48" s="10"/>
      <c r="AF48" s="10"/>
      <c r="AG48" s="10"/>
      <c r="AH48" s="10"/>
      <c r="AI48" s="10"/>
      <c r="AJ48" s="25"/>
    </row>
    <row r="49" spans="1:36" x14ac:dyDescent="0.3">
      <c r="A49" s="3" t="e">
        <f>VLOOKUP(E49,'[1]Listas Desplegables'!$H$3:$J$7,2,FALSE)</f>
        <v>#N/A</v>
      </c>
      <c r="B49" s="3" t="e">
        <f>VLOOKUP(E49,'[1]Listas Desplegables'!$H$3:$J$7,3,FALSE)</f>
        <v>#N/A</v>
      </c>
      <c r="C49" s="8">
        <v>44</v>
      </c>
      <c r="D49" s="12"/>
      <c r="E49" s="12"/>
      <c r="F49" s="12"/>
      <c r="G49" s="9"/>
      <c r="H49" s="10"/>
      <c r="I49" s="10"/>
      <c r="J49" s="10"/>
      <c r="K49" s="10"/>
      <c r="L49" s="10"/>
      <c r="M49" s="10"/>
      <c r="N49" s="10"/>
      <c r="O49" s="10"/>
      <c r="P49" s="10"/>
      <c r="Q49" s="10"/>
      <c r="R49" s="10"/>
      <c r="S49" s="10"/>
      <c r="T49" s="10"/>
      <c r="U49" s="10"/>
      <c r="V49" s="10"/>
      <c r="W49" s="10"/>
      <c r="X49" s="10"/>
      <c r="Y49" s="10"/>
      <c r="Z49" s="56"/>
      <c r="AA49" s="10"/>
      <c r="AB49" s="10"/>
      <c r="AC49" s="10"/>
      <c r="AD49" s="10"/>
      <c r="AE49" s="10"/>
      <c r="AF49" s="10"/>
      <c r="AG49" s="10"/>
      <c r="AH49" s="10"/>
      <c r="AI49" s="10"/>
      <c r="AJ49" s="25"/>
    </row>
    <row r="50" spans="1:36" x14ac:dyDescent="0.3">
      <c r="A50" s="3" t="e">
        <f>VLOOKUP(E50,'[1]Listas Desplegables'!$H$3:$J$7,2,FALSE)</f>
        <v>#N/A</v>
      </c>
      <c r="B50" s="3" t="e">
        <f>VLOOKUP(E50,'[1]Listas Desplegables'!$H$3:$J$7,3,FALSE)</f>
        <v>#N/A</v>
      </c>
      <c r="C50" s="8">
        <v>45</v>
      </c>
      <c r="D50" s="12"/>
      <c r="E50" s="12"/>
      <c r="F50" s="12"/>
      <c r="G50" s="9"/>
      <c r="H50" s="10"/>
      <c r="I50" s="10"/>
      <c r="J50" s="10"/>
      <c r="K50" s="10"/>
      <c r="L50" s="10"/>
      <c r="M50" s="10"/>
      <c r="N50" s="10"/>
      <c r="O50" s="10"/>
      <c r="P50" s="10"/>
      <c r="Q50" s="10"/>
      <c r="R50" s="10"/>
      <c r="S50" s="10"/>
      <c r="T50" s="10"/>
      <c r="U50" s="10"/>
      <c r="V50" s="10"/>
      <c r="W50" s="10"/>
      <c r="X50" s="10"/>
      <c r="Y50" s="10"/>
      <c r="Z50" s="56"/>
      <c r="AA50" s="10"/>
      <c r="AB50" s="10"/>
      <c r="AC50" s="10"/>
      <c r="AD50" s="10"/>
      <c r="AE50" s="10"/>
      <c r="AF50" s="10"/>
      <c r="AG50" s="10"/>
      <c r="AH50" s="10"/>
      <c r="AI50" s="10"/>
      <c r="AJ50" s="25"/>
    </row>
    <row r="51" spans="1:36" x14ac:dyDescent="0.3">
      <c r="A51" s="3" t="e">
        <f>VLOOKUP(E51,'[1]Listas Desplegables'!$H$3:$J$7,2,FALSE)</f>
        <v>#N/A</v>
      </c>
      <c r="B51" s="3" t="e">
        <f>VLOOKUP(E51,'[1]Listas Desplegables'!$H$3:$J$7,3,FALSE)</f>
        <v>#N/A</v>
      </c>
      <c r="C51" s="8">
        <v>46</v>
      </c>
      <c r="D51" s="12"/>
      <c r="E51" s="12"/>
      <c r="F51" s="12"/>
      <c r="G51" s="9"/>
      <c r="H51" s="10"/>
      <c r="I51" s="10"/>
      <c r="J51" s="10"/>
      <c r="K51" s="10"/>
      <c r="L51" s="10"/>
      <c r="M51" s="10"/>
      <c r="N51" s="10"/>
      <c r="O51" s="10"/>
      <c r="P51" s="10"/>
      <c r="Q51" s="10"/>
      <c r="R51" s="10"/>
      <c r="S51" s="10"/>
      <c r="T51" s="10"/>
      <c r="U51" s="10"/>
      <c r="V51" s="10"/>
      <c r="W51" s="10"/>
      <c r="X51" s="10"/>
      <c r="Y51" s="10"/>
      <c r="Z51" s="56"/>
      <c r="AA51" s="10"/>
      <c r="AB51" s="10"/>
      <c r="AC51" s="10"/>
      <c r="AD51" s="10"/>
      <c r="AE51" s="10"/>
      <c r="AF51" s="10"/>
      <c r="AG51" s="10"/>
      <c r="AH51" s="10"/>
      <c r="AI51" s="10"/>
      <c r="AJ51" s="25"/>
    </row>
    <row r="52" spans="1:36" x14ac:dyDescent="0.3">
      <c r="A52" s="3" t="e">
        <f>VLOOKUP(E52,'[1]Listas Desplegables'!$H$3:$J$7,2,FALSE)</f>
        <v>#N/A</v>
      </c>
      <c r="B52" s="3" t="e">
        <f>VLOOKUP(E52,'[1]Listas Desplegables'!$H$3:$J$7,3,FALSE)</f>
        <v>#N/A</v>
      </c>
      <c r="C52" s="8">
        <v>47</v>
      </c>
      <c r="D52" s="12"/>
      <c r="E52" s="12"/>
      <c r="F52" s="12"/>
      <c r="G52" s="9"/>
      <c r="H52" s="10"/>
      <c r="I52" s="10"/>
      <c r="J52" s="10"/>
      <c r="K52" s="10"/>
      <c r="L52" s="10"/>
      <c r="M52" s="10"/>
      <c r="N52" s="10"/>
      <c r="O52" s="10"/>
      <c r="P52" s="10"/>
      <c r="Q52" s="10"/>
      <c r="R52" s="10"/>
      <c r="S52" s="10"/>
      <c r="T52" s="10"/>
      <c r="U52" s="10"/>
      <c r="V52" s="10"/>
      <c r="W52" s="10"/>
      <c r="X52" s="10"/>
      <c r="Y52" s="10"/>
      <c r="Z52" s="56"/>
      <c r="AA52" s="10"/>
      <c r="AB52" s="10"/>
      <c r="AC52" s="10"/>
      <c r="AD52" s="10"/>
      <c r="AE52" s="10"/>
      <c r="AF52" s="10"/>
      <c r="AG52" s="10"/>
      <c r="AH52" s="10"/>
      <c r="AI52" s="10"/>
      <c r="AJ52" s="25"/>
    </row>
    <row r="53" spans="1:36" x14ac:dyDescent="0.3">
      <c r="A53" s="3" t="e">
        <f>VLOOKUP(E53,'[1]Listas Desplegables'!$H$3:$J$7,2,FALSE)</f>
        <v>#N/A</v>
      </c>
      <c r="B53" s="3" t="e">
        <f>VLOOKUP(E53,'[1]Listas Desplegables'!$H$3:$J$7,3,FALSE)</f>
        <v>#N/A</v>
      </c>
      <c r="C53" s="8">
        <v>48</v>
      </c>
      <c r="D53" s="12"/>
      <c r="E53" s="12"/>
      <c r="F53" s="12"/>
      <c r="G53" s="9"/>
      <c r="H53" s="10"/>
      <c r="I53" s="10"/>
      <c r="J53" s="10"/>
      <c r="K53" s="10"/>
      <c r="L53" s="10"/>
      <c r="M53" s="10"/>
      <c r="N53" s="10"/>
      <c r="O53" s="10"/>
      <c r="P53" s="10"/>
      <c r="Q53" s="10"/>
      <c r="R53" s="10"/>
      <c r="S53" s="10"/>
      <c r="T53" s="10"/>
      <c r="U53" s="10"/>
      <c r="V53" s="10"/>
      <c r="W53" s="10"/>
      <c r="X53" s="10"/>
      <c r="Y53" s="10"/>
      <c r="Z53" s="56"/>
      <c r="AA53" s="10"/>
      <c r="AB53" s="10"/>
      <c r="AC53" s="10"/>
      <c r="AD53" s="10"/>
      <c r="AE53" s="10"/>
      <c r="AF53" s="10"/>
      <c r="AG53" s="10"/>
      <c r="AH53" s="10"/>
      <c r="AI53" s="10"/>
      <c r="AJ53" s="25"/>
    </row>
    <row r="54" spans="1:36" x14ac:dyDescent="0.3">
      <c r="A54" s="3" t="e">
        <f>VLOOKUP(E54,'[1]Listas Desplegables'!$H$3:$J$7,2,FALSE)</f>
        <v>#N/A</v>
      </c>
      <c r="B54" s="3" t="e">
        <f>VLOOKUP(E54,'[1]Listas Desplegables'!$H$3:$J$7,3,FALSE)</f>
        <v>#N/A</v>
      </c>
      <c r="C54" s="8">
        <v>49</v>
      </c>
      <c r="D54" s="12"/>
      <c r="E54" s="12"/>
      <c r="F54" s="12"/>
      <c r="G54" s="9"/>
      <c r="H54" s="10"/>
      <c r="I54" s="10"/>
      <c r="J54" s="10"/>
      <c r="K54" s="10"/>
      <c r="L54" s="10"/>
      <c r="M54" s="10"/>
      <c r="N54" s="10"/>
      <c r="O54" s="10"/>
      <c r="P54" s="10"/>
      <c r="Q54" s="10"/>
      <c r="R54" s="10"/>
      <c r="S54" s="10"/>
      <c r="T54" s="10"/>
      <c r="U54" s="10"/>
      <c r="V54" s="10"/>
      <c r="W54" s="10"/>
      <c r="X54" s="10"/>
      <c r="Y54" s="10"/>
      <c r="Z54" s="56"/>
      <c r="AA54" s="10"/>
      <c r="AB54" s="10"/>
      <c r="AC54" s="10"/>
      <c r="AD54" s="10"/>
      <c r="AE54" s="10"/>
      <c r="AF54" s="10"/>
      <c r="AG54" s="10"/>
      <c r="AH54" s="10"/>
      <c r="AI54" s="10"/>
      <c r="AJ54" s="25"/>
    </row>
    <row r="55" spans="1:36" x14ac:dyDescent="0.3">
      <c r="A55" s="3" t="e">
        <f>VLOOKUP(E55,'[1]Listas Desplegables'!$H$3:$J$7,2,FALSE)</f>
        <v>#N/A</v>
      </c>
      <c r="B55" s="3" t="e">
        <f>VLOOKUP(E55,'[1]Listas Desplegables'!$H$3:$J$7,3,FALSE)</f>
        <v>#N/A</v>
      </c>
      <c r="C55" s="7">
        <v>50</v>
      </c>
      <c r="D55" s="12"/>
      <c r="E55" s="12"/>
      <c r="F55" s="12"/>
      <c r="G55" s="9"/>
      <c r="H55" s="10"/>
      <c r="I55" s="10"/>
      <c r="J55" s="10"/>
      <c r="K55" s="10"/>
      <c r="L55" s="10"/>
      <c r="M55" s="10"/>
      <c r="N55" s="10"/>
      <c r="O55" s="10"/>
      <c r="P55" s="10"/>
      <c r="Q55" s="10"/>
      <c r="R55" s="10"/>
      <c r="S55" s="10"/>
      <c r="T55" s="10"/>
      <c r="U55" s="10"/>
      <c r="V55" s="10"/>
      <c r="W55" s="10"/>
      <c r="X55" s="10"/>
      <c r="Y55" s="10"/>
      <c r="Z55" s="56"/>
      <c r="AA55" s="10"/>
      <c r="AB55" s="10"/>
      <c r="AC55" s="10"/>
      <c r="AD55" s="10"/>
      <c r="AE55" s="10"/>
      <c r="AF55" s="10"/>
      <c r="AG55" s="10"/>
      <c r="AH55" s="10"/>
      <c r="AI55" s="10"/>
      <c r="AJ55" s="25"/>
    </row>
    <row r="56" spans="1:36" x14ac:dyDescent="0.3">
      <c r="A56" s="3" t="e">
        <f>VLOOKUP(E56,'[1]Listas Desplegables'!$H$3:$J$7,2,FALSE)</f>
        <v>#N/A</v>
      </c>
      <c r="B56" s="3" t="e">
        <f>VLOOKUP(E56,'[1]Listas Desplegables'!$H$3:$J$7,3,FALSE)</f>
        <v>#N/A</v>
      </c>
      <c r="C56" s="8">
        <v>51</v>
      </c>
      <c r="D56" s="12"/>
      <c r="E56" s="12"/>
      <c r="F56" s="12"/>
      <c r="G56" s="9"/>
      <c r="H56" s="10"/>
      <c r="I56" s="10"/>
      <c r="J56" s="10"/>
      <c r="K56" s="10"/>
      <c r="L56" s="10"/>
      <c r="M56" s="10"/>
      <c r="N56" s="10"/>
      <c r="O56" s="10"/>
      <c r="P56" s="10"/>
      <c r="Q56" s="10"/>
      <c r="R56" s="10"/>
      <c r="S56" s="10"/>
      <c r="T56" s="10"/>
      <c r="U56" s="10"/>
      <c r="V56" s="10"/>
      <c r="W56" s="10"/>
      <c r="X56" s="10"/>
      <c r="Y56" s="10"/>
      <c r="Z56" s="56"/>
      <c r="AA56" s="10"/>
      <c r="AB56" s="10"/>
      <c r="AC56" s="10"/>
      <c r="AD56" s="10"/>
      <c r="AE56" s="10"/>
      <c r="AF56" s="10"/>
      <c r="AG56" s="10"/>
      <c r="AH56" s="10"/>
      <c r="AI56" s="10"/>
      <c r="AJ56" s="25"/>
    </row>
    <row r="57" spans="1:36" ht="15" thickBot="1" x14ac:dyDescent="0.35">
      <c r="A57" s="3" t="e">
        <f>VLOOKUP(E57,'[1]Listas Desplegables'!$H$3:$J$7,2,FALSE)</f>
        <v>#N/A</v>
      </c>
      <c r="B57" s="3" t="e">
        <f>VLOOKUP(E57,'[1]Listas Desplegables'!$H$3:$J$7,3,FALSE)</f>
        <v>#N/A</v>
      </c>
      <c r="C57" s="13" t="s">
        <v>4</v>
      </c>
      <c r="D57" s="14"/>
      <c r="E57" s="14"/>
      <c r="F57" s="14"/>
      <c r="G57" s="14"/>
      <c r="H57" s="15"/>
      <c r="I57" s="15"/>
      <c r="J57" s="15"/>
      <c r="K57" s="15"/>
      <c r="L57" s="15"/>
      <c r="M57" s="15"/>
      <c r="N57" s="15"/>
      <c r="O57" s="15"/>
      <c r="P57" s="15"/>
      <c r="Q57" s="15"/>
      <c r="R57" s="15"/>
      <c r="S57" s="15"/>
      <c r="T57" s="15"/>
      <c r="U57" s="15"/>
      <c r="V57" s="15"/>
      <c r="W57" s="15"/>
      <c r="X57" s="15"/>
      <c r="Y57" s="15"/>
      <c r="Z57" s="57"/>
      <c r="AA57" s="15"/>
      <c r="AB57" s="15"/>
      <c r="AC57" s="15"/>
      <c r="AD57" s="15"/>
      <c r="AE57" s="15"/>
      <c r="AF57" s="15"/>
      <c r="AG57" s="15"/>
      <c r="AH57" s="15"/>
      <c r="AI57" s="15"/>
      <c r="AJ57" s="26"/>
    </row>
  </sheetData>
  <mergeCells count="34">
    <mergeCell ref="Q4:Q5"/>
    <mergeCell ref="C3:AJ3"/>
    <mergeCell ref="C4:C5"/>
    <mergeCell ref="D4:D5"/>
    <mergeCell ref="E4:E5"/>
    <mergeCell ref="F4:F5"/>
    <mergeCell ref="G4:G5"/>
    <mergeCell ref="H4:H5"/>
    <mergeCell ref="I4:I5"/>
    <mergeCell ref="J4:J5"/>
    <mergeCell ref="K4:K5"/>
    <mergeCell ref="L4:L5"/>
    <mergeCell ref="M4:M5"/>
    <mergeCell ref="N4:N5"/>
    <mergeCell ref="O4:O5"/>
    <mergeCell ref="P4:P5"/>
    <mergeCell ref="V4:V5"/>
    <mergeCell ref="W4:X4"/>
    <mergeCell ref="AA4:AA5"/>
    <mergeCell ref="R4:R5"/>
    <mergeCell ref="S4:S5"/>
    <mergeCell ref="T4:T5"/>
    <mergeCell ref="U4:U5"/>
    <mergeCell ref="AB4:AB5"/>
    <mergeCell ref="AJ4:AJ5"/>
    <mergeCell ref="Z4:Z5"/>
    <mergeCell ref="Y4:Y5"/>
    <mergeCell ref="AC4:AC5"/>
    <mergeCell ref="AD4:AD5"/>
    <mergeCell ref="AE4:AE5"/>
    <mergeCell ref="AF4:AF5"/>
    <mergeCell ref="AG4:AG5"/>
    <mergeCell ref="AH4:AH5"/>
    <mergeCell ref="AI4:AI5"/>
  </mergeCells>
  <dataValidations count="4">
    <dataValidation type="decimal" allowBlank="1" showInputMessage="1" showErrorMessage="1" sqref="M6:X1048576 F6:K1048576" xr:uid="{00000000-0002-0000-0200-000000000000}">
      <formula1>-1000000</formula1>
      <formula2>10000000</formula2>
    </dataValidation>
    <dataValidation type="date" operator="greaterThan" allowBlank="1" showInputMessage="1" showErrorMessage="1" sqref="Z6:Z1048576" xr:uid="{00000000-0002-0000-0200-000001000000}">
      <formula1>1</formula1>
    </dataValidation>
    <dataValidation type="decimal" allowBlank="1" showInputMessage="1" showErrorMessage="1" sqref="AJ23:AJ1048576 AJ15 AJ6:AJ8 AJ12:AJ13" xr:uid="{00000000-0002-0000-0200-000002000000}">
      <formula1>-10000000</formula1>
      <formula2>100000000000</formula2>
    </dataValidation>
    <dataValidation type="list" allowBlank="1" showInputMessage="1" showErrorMessage="1" sqref="Y6:Y22 AA6:AA22" xr:uid="{9FF88CA9-7F26-4557-A4DC-9DBD6FF47EE3}"/>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200-000003000000}">
          <x14:formula1>
            <xm:f>'Listas Desplegables'!$B$16:$B$17</xm:f>
          </x14:formula1>
          <xm:sqref>Y23:Y1048576</xm:sqref>
        </x14:dataValidation>
        <x14:dataValidation type="list" allowBlank="1" showInputMessage="1" showErrorMessage="1" xr:uid="{00000000-0002-0000-0200-000004000000}">
          <x14:formula1>
            <xm:f>'Listas Desplegables'!$B$19:$B$21</xm:f>
          </x14:formula1>
          <xm:sqref>AA23:AA1048576</xm:sqref>
        </x14:dataValidation>
        <x14:dataValidation type="list" allowBlank="1" showInputMessage="1" showErrorMessage="1" xr:uid="{5F6470AE-BAC0-41D4-9B8E-1717C9BDFB8B}">
          <x14:formula1>
            <xm:f>'Listas Desplegables'!$B$90:$B$93</xm:f>
          </x14:formula1>
          <xm:sqref>AI6:AI57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sheetPr>
  <dimension ref="A2:AA106"/>
  <sheetViews>
    <sheetView showGridLines="0" topLeftCell="A69" zoomScale="60" zoomScaleNormal="60" workbookViewId="0">
      <selection activeCell="AA68" sqref="AA68"/>
    </sheetView>
  </sheetViews>
  <sheetFormatPr baseColWidth="10" defaultColWidth="11.5546875" defaultRowHeight="14.4" x14ac:dyDescent="0.3"/>
  <cols>
    <col min="1" max="2" width="3" style="3" customWidth="1"/>
    <col min="3" max="3" width="6.6640625" style="2" customWidth="1"/>
    <col min="4" max="4" width="33" customWidth="1"/>
    <col min="5" max="5" width="14.5546875" customWidth="1"/>
    <col min="6" max="7" width="12.6640625" customWidth="1"/>
    <col min="10" max="11" width="14.88671875" customWidth="1"/>
    <col min="12" max="12" width="11.44140625" customWidth="1"/>
    <col min="19" max="19" width="11.5546875" style="55"/>
    <col min="21" max="21" width="11.5546875" customWidth="1"/>
    <col min="22" max="25" width="16.5546875" customWidth="1"/>
    <col min="26" max="26" width="32.109375" customWidth="1"/>
    <col min="27" max="27" width="36" customWidth="1"/>
  </cols>
  <sheetData>
    <row r="2" spans="1:27" ht="15" thickBot="1" x14ac:dyDescent="0.35"/>
    <row r="3" spans="1:27" s="1" customFormat="1" ht="15" thickBot="1" x14ac:dyDescent="0.35">
      <c r="A3" s="4"/>
      <c r="B3" s="4"/>
      <c r="C3" s="87" t="s">
        <v>52</v>
      </c>
      <c r="D3" s="88"/>
      <c r="E3" s="88"/>
      <c r="F3" s="88"/>
      <c r="G3" s="88"/>
      <c r="H3" s="88"/>
      <c r="I3" s="88"/>
      <c r="J3" s="88"/>
      <c r="K3" s="88"/>
      <c r="L3" s="88"/>
      <c r="M3" s="88"/>
      <c r="N3" s="88"/>
      <c r="O3" s="88"/>
      <c r="P3" s="88"/>
      <c r="Q3" s="88"/>
      <c r="R3" s="88"/>
      <c r="S3" s="88"/>
      <c r="T3" s="88"/>
      <c r="U3" s="88"/>
      <c r="V3" s="88"/>
      <c r="W3" s="88"/>
      <c r="X3" s="88"/>
      <c r="Y3" s="88"/>
      <c r="Z3" s="88"/>
      <c r="AA3" s="89"/>
    </row>
    <row r="4" spans="1:27" s="6" customFormat="1" ht="12" customHeight="1" thickBot="1" x14ac:dyDescent="0.35">
      <c r="A4" s="5"/>
      <c r="B4" s="5"/>
      <c r="C4" s="90" t="s">
        <v>3</v>
      </c>
      <c r="D4" s="85" t="str">
        <f>'Manual de Uso'!C87</f>
        <v>Nombre</v>
      </c>
      <c r="E4" s="85" t="str">
        <f>'Manual de Uso'!C88</f>
        <v>Subestación</v>
      </c>
      <c r="F4" s="85" t="str">
        <f>'Manual de Uso'!C89</f>
        <v>Nivel de tensión HV [kV]</v>
      </c>
      <c r="G4" s="85" t="str">
        <f>'Manual de Uso'!C90</f>
        <v>Nivel de tensión LV [kV]</v>
      </c>
      <c r="H4" s="85" t="str">
        <f>'Manual de Uso'!C91</f>
        <v>Capacidad [MVA]</v>
      </c>
      <c r="I4" s="85" t="str">
        <f>'Manual de Uso'!C92</f>
        <v>Grupo de conexión</v>
      </c>
      <c r="J4" s="85" t="str">
        <f>'Manual de Uso'!C93</f>
        <v>Impedancia Secuencia +[%]</v>
      </c>
      <c r="K4" s="85" t="str">
        <f>'Manual de Uso'!C94</f>
        <v>Impedancia Secuencia 0[%]</v>
      </c>
      <c r="L4" s="85" t="str">
        <f>'Manual de Uso'!C95</f>
        <v>Posición Neutral Tap</v>
      </c>
      <c r="M4" s="85" t="str">
        <f>'Manual de Uso'!C96</f>
        <v>Posición Máxima Tap</v>
      </c>
      <c r="N4" s="85" t="str">
        <f>'Manual de Uso'!C97</f>
        <v>Posición Mínima Tap</v>
      </c>
      <c r="O4" s="85" t="str">
        <f>'Manual de Uso'!C98</f>
        <v>Delta Tap [%]</v>
      </c>
      <c r="P4" s="129" t="str">
        <f>'Manual de Uso'!C99</f>
        <v>Sobrecarga en emergencia</v>
      </c>
      <c r="Q4" s="130"/>
      <c r="R4" s="85" t="str">
        <f>'Manual de Uso'!C100</f>
        <v>En Operación</v>
      </c>
      <c r="S4" s="83" t="str">
        <f>'Manual de Uso'!C101</f>
        <v>FPO</v>
      </c>
      <c r="T4" s="83" t="str">
        <f>'Manual de Uso'!C102</f>
        <v>Sistema</v>
      </c>
      <c r="U4" s="85" t="str">
        <f>'Manual de Uso'!C103</f>
        <v>Pérdidas Cu [kW]</v>
      </c>
      <c r="V4" s="85" t="str">
        <f>'Manual de Uso'!C104</f>
        <v>Tiempo medio de reparación por evento [h]</v>
      </c>
      <c r="W4" s="85" t="str">
        <f>'Manual de Uso'!C105</f>
        <v>Horas anuales de indisponibilidad [h]</v>
      </c>
      <c r="X4" s="85" t="str">
        <f>'Manual de Uso'!C106</f>
        <v>Eventos anuales de indisponibilidad</v>
      </c>
      <c r="Y4" s="85" t="str">
        <f>'Manual de Uso'!C107</f>
        <v>Operador</v>
      </c>
      <c r="Z4" s="85" t="str">
        <f>'Manual de Uso'!C108</f>
        <v>Tipo activo Uso/Conexión</v>
      </c>
      <c r="AA4" s="85" t="str">
        <f>'Manual de Uso'!C109</f>
        <v>Observaciones transportador</v>
      </c>
    </row>
    <row r="5" spans="1:27" s="6" customFormat="1" ht="24" customHeight="1" thickBot="1" x14ac:dyDescent="0.35">
      <c r="A5" s="5"/>
      <c r="B5" s="5"/>
      <c r="C5" s="91"/>
      <c r="D5" s="86"/>
      <c r="E5" s="86"/>
      <c r="F5" s="86"/>
      <c r="G5" s="86"/>
      <c r="H5" s="86"/>
      <c r="I5" s="86"/>
      <c r="J5" s="86"/>
      <c r="K5" s="86"/>
      <c r="L5" s="86"/>
      <c r="M5" s="86"/>
      <c r="N5" s="86"/>
      <c r="O5" s="86"/>
      <c r="P5" s="27" t="s">
        <v>44</v>
      </c>
      <c r="Q5" s="27" t="s">
        <v>45</v>
      </c>
      <c r="R5" s="86"/>
      <c r="S5" s="84"/>
      <c r="T5" s="84"/>
      <c r="U5" s="86"/>
      <c r="V5" s="86"/>
      <c r="W5" s="86"/>
      <c r="X5" s="86"/>
      <c r="Y5" s="86"/>
      <c r="Z5" s="86"/>
      <c r="AA5" s="86"/>
    </row>
    <row r="6" spans="1:27" x14ac:dyDescent="0.3">
      <c r="A6" s="3" t="e">
        <f>VLOOKUP(E6,'[1]Listas Desplegables'!$H$3:$J$7,2,FALSE)</f>
        <v>#N/A</v>
      </c>
      <c r="B6" s="3" t="e">
        <f>VLOOKUP(E6,'[1]Listas Desplegables'!$H$3:$J$7,3,FALSE)</f>
        <v>#N/A</v>
      </c>
      <c r="C6" s="21">
        <v>1</v>
      </c>
      <c r="D6" s="176" t="s">
        <v>748</v>
      </c>
      <c r="E6" s="163" t="s">
        <v>468</v>
      </c>
      <c r="F6" s="163">
        <v>115</v>
      </c>
      <c r="G6" s="144">
        <v>34.5</v>
      </c>
      <c r="H6" s="145">
        <v>40</v>
      </c>
      <c r="I6" s="145" t="s">
        <v>749</v>
      </c>
      <c r="J6" s="177">
        <v>11.4</v>
      </c>
      <c r="K6" s="177">
        <v>11.4</v>
      </c>
      <c r="L6" s="144">
        <v>7</v>
      </c>
      <c r="M6" s="144">
        <v>1</v>
      </c>
      <c r="N6" s="144">
        <v>15</v>
      </c>
      <c r="O6" s="178">
        <v>1.25</v>
      </c>
      <c r="P6" s="178">
        <v>120</v>
      </c>
      <c r="Q6" s="178">
        <v>30</v>
      </c>
      <c r="R6" s="144" t="s">
        <v>113</v>
      </c>
      <c r="S6" s="166"/>
      <c r="T6" s="144" t="s">
        <v>105</v>
      </c>
      <c r="U6" s="178" t="s">
        <v>750</v>
      </c>
      <c r="V6" s="167">
        <v>10</v>
      </c>
      <c r="W6" s="167">
        <v>10</v>
      </c>
      <c r="X6" s="167">
        <v>1</v>
      </c>
      <c r="Y6" s="145" t="s">
        <v>664</v>
      </c>
      <c r="Z6" s="23" t="s">
        <v>270</v>
      </c>
      <c r="AA6" s="24"/>
    </row>
    <row r="7" spans="1:27" x14ac:dyDescent="0.3">
      <c r="A7" s="3" t="e">
        <f>VLOOKUP(E7,'[1]Listas Desplegables'!$H$3:$J$7,2,FALSE)</f>
        <v>#N/A</v>
      </c>
      <c r="B7" s="3" t="e">
        <f>VLOOKUP(E7,'[1]Listas Desplegables'!$H$3:$J$7,3,FALSE)</f>
        <v>#N/A</v>
      </c>
      <c r="C7" s="8">
        <v>2</v>
      </c>
      <c r="D7" s="162" t="s">
        <v>751</v>
      </c>
      <c r="E7" s="162" t="s">
        <v>468</v>
      </c>
      <c r="F7" s="162">
        <v>115</v>
      </c>
      <c r="G7" s="164">
        <v>13.8</v>
      </c>
      <c r="H7" s="150">
        <v>12.5</v>
      </c>
      <c r="I7" s="150" t="s">
        <v>752</v>
      </c>
      <c r="J7" s="149">
        <v>9.8250000000000011</v>
      </c>
      <c r="K7" s="149">
        <v>9.8250000000000011</v>
      </c>
      <c r="L7" s="164">
        <v>3</v>
      </c>
      <c r="M7" s="164">
        <v>1</v>
      </c>
      <c r="N7" s="164">
        <v>5</v>
      </c>
      <c r="O7" s="165">
        <v>2.5</v>
      </c>
      <c r="P7" s="165">
        <v>120</v>
      </c>
      <c r="Q7" s="165">
        <v>30</v>
      </c>
      <c r="R7" s="164" t="s">
        <v>113</v>
      </c>
      <c r="S7" s="168"/>
      <c r="T7" s="164" t="s">
        <v>105</v>
      </c>
      <c r="U7" s="165"/>
      <c r="V7" s="169">
        <v>9.7249999999999996</v>
      </c>
      <c r="W7" s="169">
        <v>19.45</v>
      </c>
      <c r="X7" s="169">
        <v>2</v>
      </c>
      <c r="Y7" s="150" t="s">
        <v>664</v>
      </c>
      <c r="Z7" s="10" t="s">
        <v>270</v>
      </c>
      <c r="AA7" s="25"/>
    </row>
    <row r="8" spans="1:27" x14ac:dyDescent="0.3">
      <c r="A8" s="3" t="e">
        <f>VLOOKUP(E8,'[1]Listas Desplegables'!$H$3:$J$7,2,FALSE)</f>
        <v>#N/A</v>
      </c>
      <c r="B8" s="3" t="e">
        <f>VLOOKUP(E8,'[1]Listas Desplegables'!$H$3:$J$7,3,FALSE)</f>
        <v>#N/A</v>
      </c>
      <c r="C8" s="8">
        <v>3</v>
      </c>
      <c r="D8" s="162" t="s">
        <v>753</v>
      </c>
      <c r="E8" s="162" t="s">
        <v>468</v>
      </c>
      <c r="F8" s="162">
        <v>115</v>
      </c>
      <c r="G8" s="164">
        <v>13.8</v>
      </c>
      <c r="H8" s="150">
        <v>15</v>
      </c>
      <c r="I8" s="150" t="s">
        <v>754</v>
      </c>
      <c r="J8" s="149">
        <v>10.026666666666666</v>
      </c>
      <c r="K8" s="149">
        <v>10.026666666666666</v>
      </c>
      <c r="L8" s="164">
        <v>3</v>
      </c>
      <c r="M8" s="164">
        <v>1</v>
      </c>
      <c r="N8" s="164">
        <v>5</v>
      </c>
      <c r="O8" s="165">
        <v>2.5</v>
      </c>
      <c r="P8" s="165">
        <v>120</v>
      </c>
      <c r="Q8" s="165">
        <v>30</v>
      </c>
      <c r="R8" s="164" t="s">
        <v>113</v>
      </c>
      <c r="S8" s="168"/>
      <c r="T8" s="164" t="s">
        <v>105</v>
      </c>
      <c r="U8" s="165"/>
      <c r="V8" s="169">
        <v>5.085</v>
      </c>
      <c r="W8" s="169">
        <v>30.51</v>
      </c>
      <c r="X8" s="169">
        <v>6</v>
      </c>
      <c r="Y8" s="150" t="s">
        <v>664</v>
      </c>
      <c r="Z8" s="10" t="s">
        <v>270</v>
      </c>
      <c r="AA8" s="25"/>
    </row>
    <row r="9" spans="1:27" x14ac:dyDescent="0.3">
      <c r="A9" s="3" t="e">
        <f>VLOOKUP(E9,'[1]Listas Desplegables'!$H$3:$J$7,2,FALSE)</f>
        <v>#N/A</v>
      </c>
      <c r="B9" s="3" t="e">
        <f>VLOOKUP(E9,'[1]Listas Desplegables'!$H$3:$J$7,3,FALSE)</f>
        <v>#N/A</v>
      </c>
      <c r="C9" s="8">
        <v>4</v>
      </c>
      <c r="D9" s="162" t="s">
        <v>755</v>
      </c>
      <c r="E9" s="162" t="s">
        <v>648</v>
      </c>
      <c r="F9" s="162">
        <v>115</v>
      </c>
      <c r="G9" s="164">
        <v>34.5</v>
      </c>
      <c r="H9" s="150">
        <v>40</v>
      </c>
      <c r="I9" s="150" t="s">
        <v>756</v>
      </c>
      <c r="J9" s="149">
        <v>9.69</v>
      </c>
      <c r="K9" s="149">
        <v>9.69</v>
      </c>
      <c r="L9" s="164">
        <v>7</v>
      </c>
      <c r="M9" s="164">
        <v>1</v>
      </c>
      <c r="N9" s="164">
        <v>15</v>
      </c>
      <c r="O9" s="165">
        <v>1.25</v>
      </c>
      <c r="P9" s="165">
        <v>120</v>
      </c>
      <c r="Q9" s="165">
        <v>30</v>
      </c>
      <c r="R9" s="164" t="s">
        <v>113</v>
      </c>
      <c r="S9" s="168"/>
      <c r="T9" s="164" t="s">
        <v>105</v>
      </c>
      <c r="U9" s="165" t="s">
        <v>757</v>
      </c>
      <c r="V9" s="164"/>
      <c r="W9" s="164"/>
      <c r="X9" s="164"/>
      <c r="Y9" s="150" t="s">
        <v>664</v>
      </c>
      <c r="Z9" s="10" t="s">
        <v>270</v>
      </c>
      <c r="AA9" s="25"/>
    </row>
    <row r="10" spans="1:27" x14ac:dyDescent="0.3">
      <c r="A10" s="3" t="e">
        <f>VLOOKUP(E10,'[1]Listas Desplegables'!$H$3:$J$7,2,FALSE)</f>
        <v>#N/A</v>
      </c>
      <c r="B10" s="3" t="e">
        <f>VLOOKUP(E10,'[1]Listas Desplegables'!$H$3:$J$7,3,FALSE)</f>
        <v>#N/A</v>
      </c>
      <c r="C10" s="8">
        <v>5</v>
      </c>
      <c r="D10" s="162" t="s">
        <v>758</v>
      </c>
      <c r="E10" s="162" t="s">
        <v>395</v>
      </c>
      <c r="F10" s="162">
        <v>115</v>
      </c>
      <c r="G10" s="164">
        <v>34.5</v>
      </c>
      <c r="H10" s="150">
        <v>40</v>
      </c>
      <c r="I10" s="150" t="s">
        <v>759</v>
      </c>
      <c r="J10" s="149">
        <v>10.093333333333334</v>
      </c>
      <c r="K10" s="149">
        <v>10.093333333333334</v>
      </c>
      <c r="L10" s="164">
        <v>7</v>
      </c>
      <c r="M10" s="164">
        <v>1</v>
      </c>
      <c r="N10" s="164">
        <v>15</v>
      </c>
      <c r="O10" s="165">
        <v>1.25</v>
      </c>
      <c r="P10" s="165">
        <v>120</v>
      </c>
      <c r="Q10" s="165">
        <v>30</v>
      </c>
      <c r="R10" s="164" t="s">
        <v>113</v>
      </c>
      <c r="S10" s="168"/>
      <c r="T10" s="164" t="s">
        <v>105</v>
      </c>
      <c r="U10" s="165"/>
      <c r="V10" s="164"/>
      <c r="W10" s="164"/>
      <c r="X10" s="164"/>
      <c r="Y10" s="150" t="s">
        <v>664</v>
      </c>
      <c r="Z10" s="10" t="s">
        <v>270</v>
      </c>
      <c r="AA10" s="25"/>
    </row>
    <row r="11" spans="1:27" x14ac:dyDescent="0.3">
      <c r="A11" s="3" t="e">
        <f>VLOOKUP(E11,'[1]Listas Desplegables'!$H$3:$J$7,2,FALSE)</f>
        <v>#N/A</v>
      </c>
      <c r="B11" s="3" t="e">
        <f>VLOOKUP(E11,'[1]Listas Desplegables'!$H$3:$J$7,3,FALSE)</f>
        <v>#N/A</v>
      </c>
      <c r="C11" s="8">
        <v>6</v>
      </c>
      <c r="D11" s="162" t="s">
        <v>760</v>
      </c>
      <c r="E11" s="162" t="s">
        <v>535</v>
      </c>
      <c r="F11" s="162">
        <v>115</v>
      </c>
      <c r="G11" s="164">
        <v>34.5</v>
      </c>
      <c r="H11" s="150">
        <v>40</v>
      </c>
      <c r="I11" s="150" t="s">
        <v>759</v>
      </c>
      <c r="J11" s="149">
        <v>10.16</v>
      </c>
      <c r="K11" s="149">
        <v>10.16</v>
      </c>
      <c r="L11" s="164">
        <v>7</v>
      </c>
      <c r="M11" s="164">
        <v>1</v>
      </c>
      <c r="N11" s="164">
        <v>15</v>
      </c>
      <c r="O11" s="165">
        <v>1.25</v>
      </c>
      <c r="P11" s="165">
        <v>120</v>
      </c>
      <c r="Q11" s="165">
        <v>30</v>
      </c>
      <c r="R11" s="164" t="s">
        <v>113</v>
      </c>
      <c r="S11" s="168"/>
      <c r="T11" s="164" t="s">
        <v>105</v>
      </c>
      <c r="U11" s="165"/>
      <c r="V11" s="164"/>
      <c r="W11" s="164"/>
      <c r="X11" s="164"/>
      <c r="Y11" s="150" t="s">
        <v>664</v>
      </c>
      <c r="Z11" s="10" t="s">
        <v>270</v>
      </c>
      <c r="AA11" s="25"/>
    </row>
    <row r="12" spans="1:27" x14ac:dyDescent="0.3">
      <c r="A12" s="3" t="e">
        <f>VLOOKUP(E12,'[1]Listas Desplegables'!$H$3:$J$7,2,FALSE)</f>
        <v>#N/A</v>
      </c>
      <c r="B12" s="3" t="e">
        <f>VLOOKUP(E12,'[1]Listas Desplegables'!$H$3:$J$7,3,FALSE)</f>
        <v>#N/A</v>
      </c>
      <c r="C12" s="8">
        <v>7</v>
      </c>
      <c r="D12" s="162" t="s">
        <v>761</v>
      </c>
      <c r="E12" s="162" t="s">
        <v>762</v>
      </c>
      <c r="F12" s="162">
        <v>115</v>
      </c>
      <c r="G12" s="164">
        <v>34.5</v>
      </c>
      <c r="H12" s="150">
        <v>25</v>
      </c>
      <c r="I12" s="150" t="s">
        <v>676</v>
      </c>
      <c r="J12" s="149">
        <v>6.1</v>
      </c>
      <c r="K12" s="149">
        <v>6.1</v>
      </c>
      <c r="L12" s="164">
        <v>7</v>
      </c>
      <c r="M12" s="164">
        <v>1</v>
      </c>
      <c r="N12" s="164">
        <v>15</v>
      </c>
      <c r="O12" s="165">
        <v>1.25</v>
      </c>
      <c r="P12" s="165">
        <v>120</v>
      </c>
      <c r="Q12" s="165">
        <v>30</v>
      </c>
      <c r="R12" s="164" t="s">
        <v>113</v>
      </c>
      <c r="S12" s="168"/>
      <c r="T12" s="164" t="s">
        <v>105</v>
      </c>
      <c r="U12" s="165" t="s">
        <v>763</v>
      </c>
      <c r="V12" s="164"/>
      <c r="W12" s="164"/>
      <c r="X12" s="164"/>
      <c r="Y12" s="150" t="s">
        <v>664</v>
      </c>
      <c r="Z12" s="10" t="s">
        <v>270</v>
      </c>
      <c r="AA12" s="25"/>
    </row>
    <row r="13" spans="1:27" x14ac:dyDescent="0.3">
      <c r="A13" s="3" t="e">
        <f>VLOOKUP(E13,'[1]Listas Desplegables'!$H$3:$J$7,2,FALSE)</f>
        <v>#N/A</v>
      </c>
      <c r="B13" s="3" t="e">
        <f>VLOOKUP(E13,'[1]Listas Desplegables'!$H$3:$J$7,3,FALSE)</f>
        <v>#N/A</v>
      </c>
      <c r="C13" s="8">
        <v>8</v>
      </c>
      <c r="D13" s="162" t="s">
        <v>764</v>
      </c>
      <c r="E13" s="162" t="s">
        <v>314</v>
      </c>
      <c r="F13" s="162">
        <v>115</v>
      </c>
      <c r="G13" s="164">
        <v>34.5</v>
      </c>
      <c r="H13" s="150">
        <v>25</v>
      </c>
      <c r="I13" s="150" t="s">
        <v>759</v>
      </c>
      <c r="J13" s="170">
        <v>10.07</v>
      </c>
      <c r="K13" s="170">
        <v>10.220000000000001</v>
      </c>
      <c r="L13" s="164">
        <v>7</v>
      </c>
      <c r="M13" s="164">
        <v>1</v>
      </c>
      <c r="N13" s="164">
        <v>15</v>
      </c>
      <c r="O13" s="165">
        <v>1.25</v>
      </c>
      <c r="P13" s="165">
        <v>120</v>
      </c>
      <c r="Q13" s="165">
        <v>30</v>
      </c>
      <c r="R13" s="164" t="s">
        <v>113</v>
      </c>
      <c r="S13" s="150">
        <v>2025</v>
      </c>
      <c r="T13" s="164" t="s">
        <v>105</v>
      </c>
      <c r="U13" s="165">
        <v>271.7</v>
      </c>
      <c r="V13" s="164"/>
      <c r="W13" s="164"/>
      <c r="X13" s="164"/>
      <c r="Y13" s="150" t="s">
        <v>664</v>
      </c>
      <c r="Z13" s="10" t="s">
        <v>270</v>
      </c>
      <c r="AA13" s="25"/>
    </row>
    <row r="14" spans="1:27" x14ac:dyDescent="0.3">
      <c r="A14" s="3" t="e">
        <f>VLOOKUP(E14,'[1]Listas Desplegables'!$H$3:$J$7,2,FALSE)</f>
        <v>#N/A</v>
      </c>
      <c r="B14" s="3" t="e">
        <f>VLOOKUP(E14,'[1]Listas Desplegables'!$H$3:$J$7,3,FALSE)</f>
        <v>#N/A</v>
      </c>
      <c r="C14" s="8">
        <v>9</v>
      </c>
      <c r="D14" s="162" t="s">
        <v>458</v>
      </c>
      <c r="E14" s="162" t="s">
        <v>458</v>
      </c>
      <c r="F14" s="162">
        <v>34.5</v>
      </c>
      <c r="G14" s="164">
        <v>13.8</v>
      </c>
      <c r="H14" s="150">
        <v>1</v>
      </c>
      <c r="I14" s="150" t="s">
        <v>752</v>
      </c>
      <c r="J14" s="150">
        <v>7</v>
      </c>
      <c r="K14" s="150">
        <v>7</v>
      </c>
      <c r="L14" s="164">
        <v>3</v>
      </c>
      <c r="M14" s="164">
        <v>5</v>
      </c>
      <c r="N14" s="164">
        <v>1</v>
      </c>
      <c r="O14" s="164"/>
      <c r="P14" s="164">
        <v>120</v>
      </c>
      <c r="Q14" s="164">
        <v>30</v>
      </c>
      <c r="R14" s="164" t="s">
        <v>113</v>
      </c>
      <c r="S14" s="168"/>
      <c r="T14" s="164" t="s">
        <v>106</v>
      </c>
      <c r="U14" s="164"/>
      <c r="V14" s="171">
        <v>3</v>
      </c>
      <c r="W14" s="171">
        <v>12</v>
      </c>
      <c r="X14" s="171">
        <v>4</v>
      </c>
      <c r="Y14" s="150" t="s">
        <v>664</v>
      </c>
      <c r="Z14" s="10" t="s">
        <v>270</v>
      </c>
      <c r="AA14" s="25"/>
    </row>
    <row r="15" spans="1:27" x14ac:dyDescent="0.3">
      <c r="A15" s="3" t="e">
        <f>VLOOKUP(E15,'[1]Listas Desplegables'!$H$3:$J$7,2,FALSE)</f>
        <v>#N/A</v>
      </c>
      <c r="B15" s="3" t="e">
        <f>VLOOKUP(E15,'[1]Listas Desplegables'!$H$3:$J$7,3,FALSE)</f>
        <v>#N/A</v>
      </c>
      <c r="C15" s="7">
        <v>10</v>
      </c>
      <c r="D15" s="162" t="s">
        <v>765</v>
      </c>
      <c r="E15" s="162" t="s">
        <v>765</v>
      </c>
      <c r="F15" s="162">
        <v>34.5</v>
      </c>
      <c r="G15" s="164">
        <v>13.8</v>
      </c>
      <c r="H15" s="150">
        <v>3</v>
      </c>
      <c r="I15" s="150" t="s">
        <v>752</v>
      </c>
      <c r="J15" s="150">
        <v>6.3</v>
      </c>
      <c r="K15" s="150">
        <v>6.3</v>
      </c>
      <c r="L15" s="164">
        <v>3</v>
      </c>
      <c r="M15" s="164">
        <v>5</v>
      </c>
      <c r="N15" s="164">
        <v>1</v>
      </c>
      <c r="O15" s="164"/>
      <c r="P15" s="164">
        <v>120</v>
      </c>
      <c r="Q15" s="164">
        <v>30</v>
      </c>
      <c r="R15" s="164" t="s">
        <v>113</v>
      </c>
      <c r="S15" s="168"/>
      <c r="T15" s="164" t="s">
        <v>106</v>
      </c>
      <c r="U15" s="164"/>
      <c r="V15" s="171">
        <v>2.6666666666666665</v>
      </c>
      <c r="W15" s="171">
        <v>8</v>
      </c>
      <c r="X15" s="171">
        <v>3</v>
      </c>
      <c r="Y15" s="150" t="s">
        <v>664</v>
      </c>
      <c r="Z15" s="10" t="s">
        <v>270</v>
      </c>
      <c r="AA15" s="25"/>
    </row>
    <row r="16" spans="1:27" x14ac:dyDescent="0.3">
      <c r="A16" s="3" t="e">
        <f>VLOOKUP(E16,'[1]Listas Desplegables'!$H$3:$J$7,2,FALSE)</f>
        <v>#N/A</v>
      </c>
      <c r="B16" s="3" t="e">
        <f>VLOOKUP(E16,'[1]Listas Desplegables'!$H$3:$J$7,3,FALSE)</f>
        <v>#N/A</v>
      </c>
      <c r="C16" s="8">
        <v>11</v>
      </c>
      <c r="D16" s="162" t="s">
        <v>421</v>
      </c>
      <c r="E16" s="162" t="s">
        <v>421</v>
      </c>
      <c r="F16" s="162">
        <v>34.5</v>
      </c>
      <c r="G16" s="164">
        <v>13.8</v>
      </c>
      <c r="H16" s="150">
        <v>0.5</v>
      </c>
      <c r="I16" s="150" t="s">
        <v>752</v>
      </c>
      <c r="J16" s="150">
        <v>7</v>
      </c>
      <c r="K16" s="150">
        <v>7</v>
      </c>
      <c r="L16" s="164">
        <v>3</v>
      </c>
      <c r="M16" s="164">
        <v>5</v>
      </c>
      <c r="N16" s="164">
        <v>1</v>
      </c>
      <c r="O16" s="164"/>
      <c r="P16" s="164">
        <v>120</v>
      </c>
      <c r="Q16" s="164">
        <v>30</v>
      </c>
      <c r="R16" s="164" t="s">
        <v>113</v>
      </c>
      <c r="S16" s="168"/>
      <c r="T16" s="164" t="s">
        <v>106</v>
      </c>
      <c r="U16" s="164"/>
      <c r="V16" s="171">
        <v>3</v>
      </c>
      <c r="W16" s="171">
        <v>6</v>
      </c>
      <c r="X16" s="171">
        <v>2</v>
      </c>
      <c r="Y16" s="150" t="s">
        <v>664</v>
      </c>
      <c r="Z16" s="10" t="s">
        <v>270</v>
      </c>
      <c r="AA16" s="25"/>
    </row>
    <row r="17" spans="1:27" x14ac:dyDescent="0.3">
      <c r="A17" s="3" t="e">
        <f>VLOOKUP(E17,'[1]Listas Desplegables'!$H$3:$J$7,2,FALSE)</f>
        <v>#N/A</v>
      </c>
      <c r="B17" s="3" t="e">
        <f>VLOOKUP(E17,'[1]Listas Desplegables'!$H$3:$J$7,3,FALSE)</f>
        <v>#N/A</v>
      </c>
      <c r="C17" s="8">
        <v>12</v>
      </c>
      <c r="D17" s="162" t="s">
        <v>766</v>
      </c>
      <c r="E17" s="162" t="s">
        <v>766</v>
      </c>
      <c r="F17" s="162">
        <v>34.5</v>
      </c>
      <c r="G17" s="164">
        <v>13.8</v>
      </c>
      <c r="H17" s="150">
        <v>0.5</v>
      </c>
      <c r="I17" s="150" t="s">
        <v>752</v>
      </c>
      <c r="J17" s="150">
        <v>6</v>
      </c>
      <c r="K17" s="150">
        <v>6</v>
      </c>
      <c r="L17" s="164">
        <v>3</v>
      </c>
      <c r="M17" s="164">
        <v>5</v>
      </c>
      <c r="N17" s="164">
        <v>1</v>
      </c>
      <c r="O17" s="164"/>
      <c r="P17" s="164">
        <v>120</v>
      </c>
      <c r="Q17" s="164">
        <v>30</v>
      </c>
      <c r="R17" s="164" t="s">
        <v>113</v>
      </c>
      <c r="S17" s="168"/>
      <c r="T17" s="164" t="s">
        <v>106</v>
      </c>
      <c r="U17" s="164"/>
      <c r="V17" s="171">
        <v>3</v>
      </c>
      <c r="W17" s="171">
        <v>6</v>
      </c>
      <c r="X17" s="171">
        <v>2</v>
      </c>
      <c r="Y17" s="150" t="s">
        <v>664</v>
      </c>
      <c r="Z17" s="10" t="s">
        <v>270</v>
      </c>
      <c r="AA17" s="25"/>
    </row>
    <row r="18" spans="1:27" x14ac:dyDescent="0.3">
      <c r="A18" s="3" t="e">
        <f>VLOOKUP(E18,'[1]Listas Desplegables'!$H$3:$J$7,2,FALSE)</f>
        <v>#N/A</v>
      </c>
      <c r="B18" s="3" t="e">
        <f>VLOOKUP(E18,'[1]Listas Desplegables'!$H$3:$J$7,3,FALSE)</f>
        <v>#N/A</v>
      </c>
      <c r="C18" s="8">
        <v>13</v>
      </c>
      <c r="D18" s="162" t="s">
        <v>417</v>
      </c>
      <c r="E18" s="162" t="s">
        <v>417</v>
      </c>
      <c r="F18" s="162">
        <v>34.5</v>
      </c>
      <c r="G18" s="164">
        <v>13.8</v>
      </c>
      <c r="H18" s="150">
        <v>1</v>
      </c>
      <c r="I18" s="150" t="s">
        <v>752</v>
      </c>
      <c r="J18" s="150">
        <v>5.7</v>
      </c>
      <c r="K18" s="150">
        <v>5.7</v>
      </c>
      <c r="L18" s="164">
        <v>3</v>
      </c>
      <c r="M18" s="164">
        <v>5</v>
      </c>
      <c r="N18" s="164">
        <v>1</v>
      </c>
      <c r="O18" s="164"/>
      <c r="P18" s="164">
        <v>120</v>
      </c>
      <c r="Q18" s="164">
        <v>30</v>
      </c>
      <c r="R18" s="164" t="s">
        <v>113</v>
      </c>
      <c r="S18" s="168"/>
      <c r="T18" s="164" t="s">
        <v>106</v>
      </c>
      <c r="U18" s="164"/>
      <c r="V18" s="171">
        <v>3</v>
      </c>
      <c r="W18" s="171">
        <v>3</v>
      </c>
      <c r="X18" s="171">
        <v>1</v>
      </c>
      <c r="Y18" s="150" t="s">
        <v>664</v>
      </c>
      <c r="Z18" s="10" t="s">
        <v>270</v>
      </c>
      <c r="AA18" s="25"/>
    </row>
    <row r="19" spans="1:27" x14ac:dyDescent="0.3">
      <c r="A19" s="3" t="e">
        <f>VLOOKUP(E19,'[1]Listas Desplegables'!$H$3:$J$7,2,FALSE)</f>
        <v>#N/A</v>
      </c>
      <c r="B19" s="3" t="e">
        <f>VLOOKUP(E19,'[1]Listas Desplegables'!$H$3:$J$7,3,FALSE)</f>
        <v>#N/A</v>
      </c>
      <c r="C19" s="8">
        <v>14</v>
      </c>
      <c r="D19" s="162" t="s">
        <v>416</v>
      </c>
      <c r="E19" s="162" t="s">
        <v>416</v>
      </c>
      <c r="F19" s="162">
        <v>34.5</v>
      </c>
      <c r="G19" s="164">
        <v>13.8</v>
      </c>
      <c r="H19" s="150">
        <v>1</v>
      </c>
      <c r="I19" s="150" t="s">
        <v>752</v>
      </c>
      <c r="J19" s="150">
        <v>5.5</v>
      </c>
      <c r="K19" s="150">
        <v>5.5</v>
      </c>
      <c r="L19" s="164">
        <v>3</v>
      </c>
      <c r="M19" s="164">
        <v>5</v>
      </c>
      <c r="N19" s="164">
        <v>1</v>
      </c>
      <c r="O19" s="164"/>
      <c r="P19" s="164">
        <v>120</v>
      </c>
      <c r="Q19" s="164">
        <v>30</v>
      </c>
      <c r="R19" s="164" t="s">
        <v>113</v>
      </c>
      <c r="S19" s="168"/>
      <c r="T19" s="164" t="s">
        <v>106</v>
      </c>
      <c r="U19" s="164"/>
      <c r="V19" s="171">
        <v>3</v>
      </c>
      <c r="W19" s="171">
        <v>6</v>
      </c>
      <c r="X19" s="171">
        <v>2</v>
      </c>
      <c r="Y19" s="150" t="s">
        <v>664</v>
      </c>
      <c r="Z19" s="10" t="s">
        <v>270</v>
      </c>
      <c r="AA19" s="25"/>
    </row>
    <row r="20" spans="1:27" x14ac:dyDescent="0.3">
      <c r="A20" s="3" t="e">
        <f>VLOOKUP(E20,'[1]Listas Desplegables'!$H$3:$J$7,2,FALSE)</f>
        <v>#N/A</v>
      </c>
      <c r="B20" s="3" t="e">
        <f>VLOOKUP(E20,'[1]Listas Desplegables'!$H$3:$J$7,3,FALSE)</f>
        <v>#N/A</v>
      </c>
      <c r="C20" s="8">
        <v>15</v>
      </c>
      <c r="D20" s="162" t="s">
        <v>432</v>
      </c>
      <c r="E20" s="162" t="s">
        <v>432</v>
      </c>
      <c r="F20" s="162">
        <v>34.5</v>
      </c>
      <c r="G20" s="164">
        <v>13.8</v>
      </c>
      <c r="H20" s="150">
        <v>1.5</v>
      </c>
      <c r="I20" s="150" t="s">
        <v>752</v>
      </c>
      <c r="J20" s="150">
        <v>7</v>
      </c>
      <c r="K20" s="150">
        <v>7</v>
      </c>
      <c r="L20" s="164">
        <v>3</v>
      </c>
      <c r="M20" s="164">
        <v>5</v>
      </c>
      <c r="N20" s="164">
        <v>1</v>
      </c>
      <c r="O20" s="164"/>
      <c r="P20" s="164">
        <v>120</v>
      </c>
      <c r="Q20" s="164">
        <v>30</v>
      </c>
      <c r="R20" s="164" t="s">
        <v>113</v>
      </c>
      <c r="S20" s="168"/>
      <c r="T20" s="164" t="s">
        <v>106</v>
      </c>
      <c r="U20" s="164"/>
      <c r="V20" s="171">
        <v>3</v>
      </c>
      <c r="W20" s="171">
        <v>3</v>
      </c>
      <c r="X20" s="171">
        <v>1</v>
      </c>
      <c r="Y20" s="150" t="s">
        <v>664</v>
      </c>
      <c r="Z20" s="10" t="s">
        <v>270</v>
      </c>
      <c r="AA20" s="25"/>
    </row>
    <row r="21" spans="1:27" x14ac:dyDescent="0.3">
      <c r="A21" s="3" t="e">
        <f>VLOOKUP(E21,'[1]Listas Desplegables'!$H$3:$J$7,2,FALSE)</f>
        <v>#N/A</v>
      </c>
      <c r="B21" s="3" t="e">
        <f>VLOOKUP(E21,'[1]Listas Desplegables'!$H$3:$J$7,3,FALSE)</f>
        <v>#N/A</v>
      </c>
      <c r="C21" s="8">
        <v>16</v>
      </c>
      <c r="D21" s="162" t="s">
        <v>512</v>
      </c>
      <c r="E21" s="162" t="s">
        <v>512</v>
      </c>
      <c r="F21" s="162">
        <v>34.5</v>
      </c>
      <c r="G21" s="164">
        <v>13.8</v>
      </c>
      <c r="H21" s="150">
        <v>0.5</v>
      </c>
      <c r="I21" s="150" t="s">
        <v>752</v>
      </c>
      <c r="J21" s="150">
        <v>7</v>
      </c>
      <c r="K21" s="150">
        <v>7</v>
      </c>
      <c r="L21" s="164">
        <v>3</v>
      </c>
      <c r="M21" s="164">
        <v>5</v>
      </c>
      <c r="N21" s="164">
        <v>1</v>
      </c>
      <c r="O21" s="164"/>
      <c r="P21" s="164">
        <v>120</v>
      </c>
      <c r="Q21" s="164">
        <v>30</v>
      </c>
      <c r="R21" s="164" t="s">
        <v>113</v>
      </c>
      <c r="S21" s="168"/>
      <c r="T21" s="164" t="s">
        <v>106</v>
      </c>
      <c r="U21" s="164"/>
      <c r="V21" s="171">
        <v>3</v>
      </c>
      <c r="W21" s="171">
        <v>6</v>
      </c>
      <c r="X21" s="171">
        <v>2</v>
      </c>
      <c r="Y21" s="150" t="s">
        <v>664</v>
      </c>
      <c r="Z21" s="10" t="s">
        <v>270</v>
      </c>
      <c r="AA21" s="25"/>
    </row>
    <row r="22" spans="1:27" x14ac:dyDescent="0.3">
      <c r="A22" s="3" t="e">
        <f>VLOOKUP(E22,'[1]Listas Desplegables'!$H$3:$J$7,2,FALSE)</f>
        <v>#N/A</v>
      </c>
      <c r="B22" s="3" t="e">
        <f>VLOOKUP(E22,'[1]Listas Desplegables'!$H$3:$J$7,3,FALSE)</f>
        <v>#N/A</v>
      </c>
      <c r="C22" s="8">
        <v>17</v>
      </c>
      <c r="D22" s="162" t="s">
        <v>601</v>
      </c>
      <c r="E22" s="162" t="s">
        <v>601</v>
      </c>
      <c r="F22" s="162">
        <v>34.5</v>
      </c>
      <c r="G22" s="164">
        <v>13.8</v>
      </c>
      <c r="H22" s="150">
        <v>1</v>
      </c>
      <c r="I22" s="150" t="s">
        <v>752</v>
      </c>
      <c r="J22" s="150">
        <v>7</v>
      </c>
      <c r="K22" s="150">
        <v>7</v>
      </c>
      <c r="L22" s="164">
        <v>3</v>
      </c>
      <c r="M22" s="164">
        <v>8</v>
      </c>
      <c r="N22" s="164">
        <v>1</v>
      </c>
      <c r="O22" s="164"/>
      <c r="P22" s="164">
        <v>120</v>
      </c>
      <c r="Q22" s="164">
        <v>30</v>
      </c>
      <c r="R22" s="164" t="s">
        <v>113</v>
      </c>
      <c r="S22" s="168"/>
      <c r="T22" s="164" t="s">
        <v>106</v>
      </c>
      <c r="U22" s="164"/>
      <c r="V22" s="171">
        <v>2.6666666666666665</v>
      </c>
      <c r="W22" s="171">
        <v>8</v>
      </c>
      <c r="X22" s="171">
        <v>3</v>
      </c>
      <c r="Y22" s="150" t="s">
        <v>664</v>
      </c>
      <c r="Z22" s="10" t="s">
        <v>270</v>
      </c>
      <c r="AA22" s="25"/>
    </row>
    <row r="23" spans="1:27" x14ac:dyDescent="0.3">
      <c r="A23" s="3" t="e">
        <f>VLOOKUP(E23,'[1]Listas Desplegables'!$H$3:$J$7,2,FALSE)</f>
        <v>#N/A</v>
      </c>
      <c r="B23" s="3" t="e">
        <f>VLOOKUP(E23,'[1]Listas Desplegables'!$H$3:$J$7,3,FALSE)</f>
        <v>#N/A</v>
      </c>
      <c r="C23" s="8">
        <v>18</v>
      </c>
      <c r="D23" s="172" t="s">
        <v>455</v>
      </c>
      <c r="E23" s="162" t="s">
        <v>455</v>
      </c>
      <c r="F23" s="172">
        <v>34.5</v>
      </c>
      <c r="G23" s="164">
        <v>13.8</v>
      </c>
      <c r="H23" s="150">
        <v>2</v>
      </c>
      <c r="I23" s="150" t="s">
        <v>752</v>
      </c>
      <c r="J23" s="150">
        <v>7</v>
      </c>
      <c r="K23" s="150">
        <v>7</v>
      </c>
      <c r="L23" s="164">
        <v>3</v>
      </c>
      <c r="M23" s="164">
        <v>5</v>
      </c>
      <c r="N23" s="164">
        <v>1</v>
      </c>
      <c r="O23" s="164"/>
      <c r="P23" s="164">
        <v>120</v>
      </c>
      <c r="Q23" s="164">
        <v>30</v>
      </c>
      <c r="R23" s="164" t="s">
        <v>113</v>
      </c>
      <c r="S23" s="168"/>
      <c r="T23" s="164" t="s">
        <v>106</v>
      </c>
      <c r="U23" s="164"/>
      <c r="V23" s="171">
        <v>3</v>
      </c>
      <c r="W23" s="171">
        <v>3</v>
      </c>
      <c r="X23" s="171">
        <v>1</v>
      </c>
      <c r="Y23" s="150" t="s">
        <v>664</v>
      </c>
      <c r="Z23" s="10" t="s">
        <v>270</v>
      </c>
      <c r="AA23" s="25"/>
    </row>
    <row r="24" spans="1:27" x14ac:dyDescent="0.3">
      <c r="A24" s="3" t="e">
        <f>VLOOKUP(E24,'[1]Listas Desplegables'!$H$3:$J$7,2,FALSE)</f>
        <v>#N/A</v>
      </c>
      <c r="B24" s="3" t="e">
        <f>VLOOKUP(E24,'[1]Listas Desplegables'!$H$3:$J$7,3,FALSE)</f>
        <v>#N/A</v>
      </c>
      <c r="C24" s="7">
        <v>19</v>
      </c>
      <c r="D24" s="172" t="s">
        <v>419</v>
      </c>
      <c r="E24" s="162" t="s">
        <v>419</v>
      </c>
      <c r="F24" s="172">
        <v>34.5</v>
      </c>
      <c r="G24" s="164">
        <v>13.8</v>
      </c>
      <c r="H24" s="150">
        <v>1.6</v>
      </c>
      <c r="I24" s="150" t="s">
        <v>752</v>
      </c>
      <c r="J24" s="150">
        <v>5.7</v>
      </c>
      <c r="K24" s="150">
        <v>5.7</v>
      </c>
      <c r="L24" s="164">
        <v>3</v>
      </c>
      <c r="M24" s="164">
        <v>5</v>
      </c>
      <c r="N24" s="164">
        <v>1</v>
      </c>
      <c r="O24" s="164"/>
      <c r="P24" s="164">
        <v>120</v>
      </c>
      <c r="Q24" s="164">
        <v>30</v>
      </c>
      <c r="R24" s="164" t="s">
        <v>113</v>
      </c>
      <c r="S24" s="168"/>
      <c r="T24" s="164" t="s">
        <v>106</v>
      </c>
      <c r="U24" s="164"/>
      <c r="V24" s="171">
        <v>3</v>
      </c>
      <c r="W24" s="171">
        <v>3</v>
      </c>
      <c r="X24" s="171">
        <v>1</v>
      </c>
      <c r="Y24" s="150" t="s">
        <v>664</v>
      </c>
      <c r="Z24" s="10" t="s">
        <v>270</v>
      </c>
      <c r="AA24" s="25"/>
    </row>
    <row r="25" spans="1:27" x14ac:dyDescent="0.3">
      <c r="A25" s="3" t="e">
        <f>VLOOKUP(E25,'[1]Listas Desplegables'!$H$3:$J$7,2,FALSE)</f>
        <v>#N/A</v>
      </c>
      <c r="B25" s="3" t="e">
        <f>VLOOKUP(E25,'[1]Listas Desplegables'!$H$3:$J$7,3,FALSE)</f>
        <v>#N/A</v>
      </c>
      <c r="C25" s="11">
        <v>20</v>
      </c>
      <c r="D25" s="172" t="s">
        <v>641</v>
      </c>
      <c r="E25" s="162" t="s">
        <v>641</v>
      </c>
      <c r="F25" s="172">
        <v>34.5</v>
      </c>
      <c r="G25" s="164">
        <v>13.8</v>
      </c>
      <c r="H25" s="150">
        <v>15</v>
      </c>
      <c r="I25" s="150" t="s">
        <v>752</v>
      </c>
      <c r="J25" s="150">
        <v>7.7</v>
      </c>
      <c r="K25" s="150"/>
      <c r="L25" s="164">
        <v>3</v>
      </c>
      <c r="M25" s="164">
        <v>5</v>
      </c>
      <c r="N25" s="164">
        <v>1</v>
      </c>
      <c r="O25" s="164"/>
      <c r="P25" s="164">
        <v>120</v>
      </c>
      <c r="Q25" s="164">
        <v>30</v>
      </c>
      <c r="R25" s="164" t="s">
        <v>113</v>
      </c>
      <c r="S25" s="168"/>
      <c r="T25" s="164" t="s">
        <v>106</v>
      </c>
      <c r="U25" s="164"/>
      <c r="V25" s="171">
        <v>7.666666666666667</v>
      </c>
      <c r="W25" s="171">
        <v>46</v>
      </c>
      <c r="X25" s="171">
        <v>6</v>
      </c>
      <c r="Y25" s="150" t="s">
        <v>664</v>
      </c>
      <c r="Z25" s="10" t="s">
        <v>270</v>
      </c>
      <c r="AA25" s="25"/>
    </row>
    <row r="26" spans="1:27" x14ac:dyDescent="0.3">
      <c r="A26" s="3" t="e">
        <f>VLOOKUP(E26,'[1]Listas Desplegables'!$H$3:$J$7,2,FALSE)</f>
        <v>#N/A</v>
      </c>
      <c r="B26" s="3" t="e">
        <f>VLOOKUP(E26,'[1]Listas Desplegables'!$H$3:$J$7,3,FALSE)</f>
        <v>#N/A</v>
      </c>
      <c r="C26" s="7">
        <v>21</v>
      </c>
      <c r="D26" s="172" t="s">
        <v>767</v>
      </c>
      <c r="E26" s="162" t="s">
        <v>767</v>
      </c>
      <c r="F26" s="172">
        <v>34.5</v>
      </c>
      <c r="G26" s="164">
        <v>13.8</v>
      </c>
      <c r="H26" s="150">
        <v>0.5</v>
      </c>
      <c r="I26" s="150" t="s">
        <v>752</v>
      </c>
      <c r="J26" s="150">
        <v>8.1</v>
      </c>
      <c r="K26" s="150">
        <v>8.1</v>
      </c>
      <c r="L26" s="164"/>
      <c r="M26" s="164"/>
      <c r="N26" s="164"/>
      <c r="O26" s="164"/>
      <c r="P26" s="164">
        <v>120</v>
      </c>
      <c r="Q26" s="164">
        <v>30</v>
      </c>
      <c r="R26" s="164" t="s">
        <v>113</v>
      </c>
      <c r="S26" s="168"/>
      <c r="T26" s="164" t="s">
        <v>106</v>
      </c>
      <c r="U26" s="164"/>
      <c r="V26" s="171">
        <v>8</v>
      </c>
      <c r="W26" s="171">
        <v>16</v>
      </c>
      <c r="X26" s="171">
        <v>2</v>
      </c>
      <c r="Y26" s="150" t="s">
        <v>664</v>
      </c>
      <c r="Z26" s="10" t="s">
        <v>270</v>
      </c>
      <c r="AA26" s="25"/>
    </row>
    <row r="27" spans="1:27" x14ac:dyDescent="0.3">
      <c r="A27" s="3" t="e">
        <f>VLOOKUP(E27,'[1]Listas Desplegables'!$H$3:$J$7,2,FALSE)</f>
        <v>#N/A</v>
      </c>
      <c r="B27" s="3" t="e">
        <f>VLOOKUP(E27,'[1]Listas Desplegables'!$H$3:$J$7,3,FALSE)</f>
        <v>#N/A</v>
      </c>
      <c r="C27" s="8">
        <v>22</v>
      </c>
      <c r="D27" s="172" t="s">
        <v>491</v>
      </c>
      <c r="E27" s="162" t="s">
        <v>491</v>
      </c>
      <c r="F27" s="172">
        <v>34.5</v>
      </c>
      <c r="G27" s="164">
        <v>13.8</v>
      </c>
      <c r="H27" s="150">
        <v>15</v>
      </c>
      <c r="I27" s="150" t="s">
        <v>752</v>
      </c>
      <c r="J27" s="150">
        <v>8.1</v>
      </c>
      <c r="K27" s="150">
        <v>8.1</v>
      </c>
      <c r="L27" s="164"/>
      <c r="M27" s="164"/>
      <c r="N27" s="164"/>
      <c r="O27" s="164"/>
      <c r="P27" s="164">
        <v>120</v>
      </c>
      <c r="Q27" s="164">
        <v>30</v>
      </c>
      <c r="R27" s="164" t="s">
        <v>113</v>
      </c>
      <c r="S27" s="168"/>
      <c r="T27" s="164" t="s">
        <v>106</v>
      </c>
      <c r="U27" s="164"/>
      <c r="V27" s="171">
        <v>8</v>
      </c>
      <c r="W27" s="171">
        <v>16</v>
      </c>
      <c r="X27" s="171">
        <v>2</v>
      </c>
      <c r="Y27" s="150" t="s">
        <v>664</v>
      </c>
      <c r="Z27" s="10" t="s">
        <v>270</v>
      </c>
      <c r="AA27" s="25"/>
    </row>
    <row r="28" spans="1:27" x14ac:dyDescent="0.3">
      <c r="A28" s="3" t="e">
        <f>VLOOKUP(E28,'[1]Listas Desplegables'!$H$3:$J$7,2,FALSE)</f>
        <v>#N/A</v>
      </c>
      <c r="B28" s="3" t="e">
        <f>VLOOKUP(E28,'[1]Listas Desplegables'!$H$3:$J$7,3,FALSE)</f>
        <v>#N/A</v>
      </c>
      <c r="C28" s="8">
        <v>23</v>
      </c>
      <c r="D28" s="172" t="s">
        <v>493</v>
      </c>
      <c r="E28" s="162" t="s">
        <v>493</v>
      </c>
      <c r="F28" s="172">
        <v>34.5</v>
      </c>
      <c r="G28" s="164">
        <v>13.8</v>
      </c>
      <c r="H28" s="150">
        <v>15</v>
      </c>
      <c r="I28" s="150" t="s">
        <v>752</v>
      </c>
      <c r="J28" s="150">
        <v>8.1999999999999993</v>
      </c>
      <c r="K28" s="150">
        <v>8.1999999999999993</v>
      </c>
      <c r="L28" s="164">
        <v>3</v>
      </c>
      <c r="M28" s="164">
        <v>5</v>
      </c>
      <c r="N28" s="164">
        <v>1</v>
      </c>
      <c r="O28" s="164"/>
      <c r="P28" s="164">
        <v>120</v>
      </c>
      <c r="Q28" s="164">
        <v>30</v>
      </c>
      <c r="R28" s="164" t="s">
        <v>113</v>
      </c>
      <c r="S28" s="168"/>
      <c r="T28" s="164" t="s">
        <v>106</v>
      </c>
      <c r="U28" s="164"/>
      <c r="V28" s="171">
        <v>5</v>
      </c>
      <c r="W28" s="171">
        <v>10</v>
      </c>
      <c r="X28" s="171">
        <v>2</v>
      </c>
      <c r="Y28" s="150" t="s">
        <v>664</v>
      </c>
      <c r="Z28" s="10" t="s">
        <v>270</v>
      </c>
      <c r="AA28" s="25"/>
    </row>
    <row r="29" spans="1:27" x14ac:dyDescent="0.3">
      <c r="A29" s="3" t="e">
        <f>VLOOKUP(E29,'[1]Listas Desplegables'!$H$3:$J$7,2,FALSE)</f>
        <v>#N/A</v>
      </c>
      <c r="B29" s="3" t="e">
        <f>VLOOKUP(E29,'[1]Listas Desplegables'!$H$3:$J$7,3,FALSE)</f>
        <v>#N/A</v>
      </c>
      <c r="C29" s="8">
        <v>24</v>
      </c>
      <c r="D29" s="172" t="s">
        <v>490</v>
      </c>
      <c r="E29" s="162" t="s">
        <v>490</v>
      </c>
      <c r="F29" s="172">
        <v>34.5</v>
      </c>
      <c r="G29" s="164">
        <v>13.8</v>
      </c>
      <c r="H29" s="150">
        <v>20</v>
      </c>
      <c r="I29" s="150" t="s">
        <v>752</v>
      </c>
      <c r="J29" s="150"/>
      <c r="K29" s="150"/>
      <c r="L29" s="164"/>
      <c r="M29" s="164"/>
      <c r="N29" s="164"/>
      <c r="O29" s="164"/>
      <c r="P29" s="164">
        <v>120</v>
      </c>
      <c r="Q29" s="164">
        <v>30</v>
      </c>
      <c r="R29" s="164" t="s">
        <v>113</v>
      </c>
      <c r="S29" s="168"/>
      <c r="T29" s="164" t="s">
        <v>106</v>
      </c>
      <c r="U29" s="164"/>
      <c r="V29" s="171">
        <v>10</v>
      </c>
      <c r="W29" s="171">
        <v>10</v>
      </c>
      <c r="X29" s="171">
        <v>1</v>
      </c>
      <c r="Y29" s="150" t="s">
        <v>664</v>
      </c>
      <c r="Z29" s="10" t="s">
        <v>270</v>
      </c>
      <c r="AA29" s="25"/>
    </row>
    <row r="30" spans="1:27" x14ac:dyDescent="0.3">
      <c r="A30" s="3" t="e">
        <f>VLOOKUP(E30,'[1]Listas Desplegables'!$H$3:$J$7,2,FALSE)</f>
        <v>#N/A</v>
      </c>
      <c r="B30" s="3" t="e">
        <f>VLOOKUP(E30,'[1]Listas Desplegables'!$H$3:$J$7,3,FALSE)</f>
        <v>#N/A</v>
      </c>
      <c r="C30" s="8">
        <v>25</v>
      </c>
      <c r="D30" s="172" t="s">
        <v>768</v>
      </c>
      <c r="E30" s="162" t="s">
        <v>768</v>
      </c>
      <c r="F30" s="172">
        <v>34.5</v>
      </c>
      <c r="G30" s="164">
        <v>13.8</v>
      </c>
      <c r="H30" s="150">
        <v>12.5</v>
      </c>
      <c r="I30" s="150" t="s">
        <v>752</v>
      </c>
      <c r="J30" s="150">
        <v>6.3</v>
      </c>
      <c r="K30" s="150">
        <v>6.3</v>
      </c>
      <c r="L30" s="164">
        <v>3</v>
      </c>
      <c r="M30" s="164">
        <v>5</v>
      </c>
      <c r="N30" s="164">
        <v>1</v>
      </c>
      <c r="O30" s="164"/>
      <c r="P30" s="164">
        <v>120</v>
      </c>
      <c r="Q30" s="164">
        <v>30</v>
      </c>
      <c r="R30" s="164" t="s">
        <v>113</v>
      </c>
      <c r="S30" s="168"/>
      <c r="T30" s="164" t="s">
        <v>106</v>
      </c>
      <c r="U30" s="164"/>
      <c r="V30" s="171">
        <v>10</v>
      </c>
      <c r="W30" s="171">
        <v>10</v>
      </c>
      <c r="X30" s="171">
        <v>1</v>
      </c>
      <c r="Y30" s="150" t="s">
        <v>664</v>
      </c>
      <c r="Z30" s="10" t="s">
        <v>270</v>
      </c>
      <c r="AA30" s="25"/>
    </row>
    <row r="31" spans="1:27" x14ac:dyDescent="0.3">
      <c r="A31" s="3" t="e">
        <f>VLOOKUP(E31,'[1]Listas Desplegables'!$H$3:$J$7,2,FALSE)</f>
        <v>#N/A</v>
      </c>
      <c r="B31" s="3" t="e">
        <f>VLOOKUP(E31,'[1]Listas Desplegables'!$H$3:$J$7,3,FALSE)</f>
        <v>#N/A</v>
      </c>
      <c r="C31" s="8">
        <v>26</v>
      </c>
      <c r="D31" s="172" t="s">
        <v>481</v>
      </c>
      <c r="E31" s="162" t="s">
        <v>481</v>
      </c>
      <c r="F31" s="172">
        <v>34.5</v>
      </c>
      <c r="G31" s="164">
        <v>13.8</v>
      </c>
      <c r="H31" s="150">
        <v>3</v>
      </c>
      <c r="I31" s="150" t="s">
        <v>769</v>
      </c>
      <c r="J31" s="150">
        <v>7</v>
      </c>
      <c r="K31" s="150">
        <v>7</v>
      </c>
      <c r="L31" s="164">
        <v>3</v>
      </c>
      <c r="M31" s="164">
        <v>5</v>
      </c>
      <c r="N31" s="164">
        <v>1</v>
      </c>
      <c r="O31" s="164"/>
      <c r="P31" s="164">
        <v>120</v>
      </c>
      <c r="Q31" s="164">
        <v>30</v>
      </c>
      <c r="R31" s="164" t="s">
        <v>113</v>
      </c>
      <c r="S31" s="168"/>
      <c r="T31" s="164" t="s">
        <v>106</v>
      </c>
      <c r="U31" s="164"/>
      <c r="V31" s="171">
        <v>2.1666666666666665</v>
      </c>
      <c r="W31" s="171">
        <v>6.5</v>
      </c>
      <c r="X31" s="171">
        <v>3</v>
      </c>
      <c r="Y31" s="150" t="s">
        <v>664</v>
      </c>
      <c r="Z31" s="10" t="s">
        <v>270</v>
      </c>
      <c r="AA31" s="25"/>
    </row>
    <row r="32" spans="1:27" x14ac:dyDescent="0.3">
      <c r="A32" s="3" t="e">
        <f>VLOOKUP(E32,'[1]Listas Desplegables'!$H$3:$J$7,2,FALSE)</f>
        <v>#N/A</v>
      </c>
      <c r="B32" s="3" t="e">
        <f>VLOOKUP(E32,'[1]Listas Desplegables'!$H$3:$J$7,3,FALSE)</f>
        <v>#N/A</v>
      </c>
      <c r="C32" s="8">
        <v>27</v>
      </c>
      <c r="D32" s="172" t="s">
        <v>485</v>
      </c>
      <c r="E32" s="162" t="s">
        <v>485</v>
      </c>
      <c r="F32" s="172">
        <v>34.5</v>
      </c>
      <c r="G32" s="164">
        <v>13.8</v>
      </c>
      <c r="H32" s="150">
        <v>1</v>
      </c>
      <c r="I32" s="150" t="s">
        <v>769</v>
      </c>
      <c r="J32" s="150">
        <v>7</v>
      </c>
      <c r="K32" s="150">
        <v>7</v>
      </c>
      <c r="L32" s="164">
        <v>3</v>
      </c>
      <c r="M32" s="164">
        <v>5</v>
      </c>
      <c r="N32" s="164">
        <v>1</v>
      </c>
      <c r="O32" s="164"/>
      <c r="P32" s="164">
        <v>120</v>
      </c>
      <c r="Q32" s="164">
        <v>30</v>
      </c>
      <c r="R32" s="164" t="s">
        <v>113</v>
      </c>
      <c r="S32" s="168"/>
      <c r="T32" s="164" t="s">
        <v>106</v>
      </c>
      <c r="U32" s="164"/>
      <c r="V32" s="171">
        <v>3</v>
      </c>
      <c r="W32" s="171">
        <v>6</v>
      </c>
      <c r="X32" s="171">
        <v>2</v>
      </c>
      <c r="Y32" s="150" t="s">
        <v>664</v>
      </c>
      <c r="Z32" s="10" t="s">
        <v>270</v>
      </c>
      <c r="AA32" s="25"/>
    </row>
    <row r="33" spans="1:27" x14ac:dyDescent="0.3">
      <c r="A33" s="3" t="e">
        <f>VLOOKUP(E33,'[1]Listas Desplegables'!$H$3:$J$7,2,FALSE)</f>
        <v>#N/A</v>
      </c>
      <c r="B33" s="3" t="e">
        <f>VLOOKUP(E33,'[1]Listas Desplegables'!$H$3:$J$7,3,FALSE)</f>
        <v>#N/A</v>
      </c>
      <c r="C33" s="8">
        <v>28</v>
      </c>
      <c r="D33" s="172" t="s">
        <v>452</v>
      </c>
      <c r="E33" s="162" t="s">
        <v>452</v>
      </c>
      <c r="F33" s="172">
        <v>34.5</v>
      </c>
      <c r="G33" s="164">
        <v>13.8</v>
      </c>
      <c r="H33" s="150">
        <v>3</v>
      </c>
      <c r="I33" s="150" t="s">
        <v>752</v>
      </c>
      <c r="J33" s="150">
        <v>7</v>
      </c>
      <c r="K33" s="150">
        <v>7</v>
      </c>
      <c r="L33" s="164"/>
      <c r="M33" s="164"/>
      <c r="N33" s="164"/>
      <c r="O33" s="164"/>
      <c r="P33" s="164">
        <v>120</v>
      </c>
      <c r="Q33" s="164">
        <v>30</v>
      </c>
      <c r="R33" s="164" t="s">
        <v>113</v>
      </c>
      <c r="S33" s="168"/>
      <c r="T33" s="164" t="s">
        <v>106</v>
      </c>
      <c r="U33" s="164"/>
      <c r="V33" s="171">
        <v>11</v>
      </c>
      <c r="W33" s="171">
        <v>11</v>
      </c>
      <c r="X33" s="171">
        <v>1</v>
      </c>
      <c r="Y33" s="150" t="s">
        <v>664</v>
      </c>
      <c r="Z33" s="10" t="s">
        <v>270</v>
      </c>
      <c r="AA33" s="25"/>
    </row>
    <row r="34" spans="1:27" x14ac:dyDescent="0.3">
      <c r="A34" s="3" t="e">
        <f>VLOOKUP(E34,'[1]Listas Desplegables'!$H$3:$J$7,2,FALSE)</f>
        <v>#N/A</v>
      </c>
      <c r="B34" s="3" t="e">
        <f>VLOOKUP(E34,'[1]Listas Desplegables'!$H$3:$J$7,3,FALSE)</f>
        <v>#N/A</v>
      </c>
      <c r="C34" s="8">
        <v>29</v>
      </c>
      <c r="D34" s="172" t="s">
        <v>411</v>
      </c>
      <c r="E34" s="162" t="s">
        <v>411</v>
      </c>
      <c r="F34" s="172">
        <v>34.5</v>
      </c>
      <c r="G34" s="164">
        <v>13.8</v>
      </c>
      <c r="H34" s="150">
        <v>1.6</v>
      </c>
      <c r="I34" s="150" t="s">
        <v>752</v>
      </c>
      <c r="J34" s="150">
        <v>7</v>
      </c>
      <c r="K34" s="150">
        <v>7</v>
      </c>
      <c r="L34" s="164">
        <v>3</v>
      </c>
      <c r="M34" s="164">
        <v>5</v>
      </c>
      <c r="N34" s="164">
        <v>1</v>
      </c>
      <c r="O34" s="164"/>
      <c r="P34" s="164">
        <v>120</v>
      </c>
      <c r="Q34" s="164">
        <v>30</v>
      </c>
      <c r="R34" s="164" t="s">
        <v>113</v>
      </c>
      <c r="S34" s="168"/>
      <c r="T34" s="164" t="s">
        <v>106</v>
      </c>
      <c r="U34" s="164"/>
      <c r="V34" s="171">
        <v>3</v>
      </c>
      <c r="W34" s="171">
        <v>6</v>
      </c>
      <c r="X34" s="171">
        <v>2</v>
      </c>
      <c r="Y34" s="150" t="s">
        <v>664</v>
      </c>
      <c r="Z34" s="10" t="s">
        <v>270</v>
      </c>
      <c r="AA34" s="25"/>
    </row>
    <row r="35" spans="1:27" x14ac:dyDescent="0.3">
      <c r="A35" s="3" t="e">
        <f>VLOOKUP(E35,'[1]Listas Desplegables'!$H$3:$J$7,2,FALSE)</f>
        <v>#N/A</v>
      </c>
      <c r="B35" s="3" t="e">
        <f>VLOOKUP(E35,'[1]Listas Desplegables'!$H$3:$J$7,3,FALSE)</f>
        <v>#N/A</v>
      </c>
      <c r="C35" s="7">
        <v>30</v>
      </c>
      <c r="D35" s="172" t="s">
        <v>762</v>
      </c>
      <c r="E35" s="162" t="s">
        <v>762</v>
      </c>
      <c r="F35" s="172">
        <v>34.5</v>
      </c>
      <c r="G35" s="164">
        <v>13.8</v>
      </c>
      <c r="H35" s="150">
        <v>3</v>
      </c>
      <c r="I35" s="150" t="s">
        <v>769</v>
      </c>
      <c r="J35" s="150">
        <v>7</v>
      </c>
      <c r="K35" s="150">
        <v>7</v>
      </c>
      <c r="L35" s="164">
        <v>3</v>
      </c>
      <c r="M35" s="164">
        <v>5</v>
      </c>
      <c r="N35" s="164">
        <v>1</v>
      </c>
      <c r="O35" s="164"/>
      <c r="P35" s="164">
        <v>120</v>
      </c>
      <c r="Q35" s="164">
        <v>30</v>
      </c>
      <c r="R35" s="164" t="s">
        <v>113</v>
      </c>
      <c r="S35" s="168"/>
      <c r="T35" s="164" t="s">
        <v>106</v>
      </c>
      <c r="U35" s="164"/>
      <c r="V35" s="171">
        <v>2.6666666666666665</v>
      </c>
      <c r="W35" s="171">
        <v>16</v>
      </c>
      <c r="X35" s="171">
        <v>6</v>
      </c>
      <c r="Y35" s="150" t="s">
        <v>664</v>
      </c>
      <c r="Z35" s="10" t="s">
        <v>270</v>
      </c>
      <c r="AA35" s="25"/>
    </row>
    <row r="36" spans="1:27" x14ac:dyDescent="0.3">
      <c r="A36" s="3" t="e">
        <f>VLOOKUP(E36,'[1]Listas Desplegables'!$H$3:$J$7,2,FALSE)</f>
        <v>#N/A</v>
      </c>
      <c r="B36" s="3" t="e">
        <f>VLOOKUP(E36,'[1]Listas Desplegables'!$H$3:$J$7,3,FALSE)</f>
        <v>#N/A</v>
      </c>
      <c r="C36" s="8">
        <v>31</v>
      </c>
      <c r="D36" s="172" t="s">
        <v>500</v>
      </c>
      <c r="E36" s="162" t="s">
        <v>500</v>
      </c>
      <c r="F36" s="172">
        <v>34.5</v>
      </c>
      <c r="G36" s="164">
        <v>13.8</v>
      </c>
      <c r="H36" s="150">
        <v>1</v>
      </c>
      <c r="I36" s="150" t="s">
        <v>752</v>
      </c>
      <c r="J36" s="150">
        <v>7</v>
      </c>
      <c r="K36" s="150">
        <v>7</v>
      </c>
      <c r="L36" s="164">
        <v>3</v>
      </c>
      <c r="M36" s="164">
        <v>5</v>
      </c>
      <c r="N36" s="164">
        <v>1</v>
      </c>
      <c r="O36" s="164"/>
      <c r="P36" s="164">
        <v>120</v>
      </c>
      <c r="Q36" s="164">
        <v>30</v>
      </c>
      <c r="R36" s="164" t="s">
        <v>113</v>
      </c>
      <c r="S36" s="168"/>
      <c r="T36" s="164" t="s">
        <v>106</v>
      </c>
      <c r="U36" s="164"/>
      <c r="V36" s="171">
        <v>3</v>
      </c>
      <c r="W36" s="171">
        <v>6</v>
      </c>
      <c r="X36" s="171">
        <v>2</v>
      </c>
      <c r="Y36" s="150" t="s">
        <v>664</v>
      </c>
      <c r="Z36" s="10" t="s">
        <v>270</v>
      </c>
      <c r="AA36" s="25"/>
    </row>
    <row r="37" spans="1:27" x14ac:dyDescent="0.3">
      <c r="A37" s="3" t="e">
        <f>VLOOKUP(E37,'[1]Listas Desplegables'!$H$3:$J$7,2,FALSE)</f>
        <v>#N/A</v>
      </c>
      <c r="B37" s="3" t="e">
        <f>VLOOKUP(E37,'[1]Listas Desplegables'!$H$3:$J$7,3,FALSE)</f>
        <v>#N/A</v>
      </c>
      <c r="C37" s="8">
        <v>32</v>
      </c>
      <c r="D37" s="172" t="s">
        <v>499</v>
      </c>
      <c r="E37" s="162" t="s">
        <v>499</v>
      </c>
      <c r="F37" s="172">
        <v>34.5</v>
      </c>
      <c r="G37" s="164">
        <v>13.8</v>
      </c>
      <c r="H37" s="150">
        <v>0.25</v>
      </c>
      <c r="I37" s="150" t="s">
        <v>769</v>
      </c>
      <c r="J37" s="150">
        <v>7</v>
      </c>
      <c r="K37" s="150">
        <v>7</v>
      </c>
      <c r="L37" s="164">
        <v>3</v>
      </c>
      <c r="M37" s="164">
        <v>5</v>
      </c>
      <c r="N37" s="164">
        <v>1</v>
      </c>
      <c r="O37" s="164"/>
      <c r="P37" s="164">
        <v>120</v>
      </c>
      <c r="Q37" s="164">
        <v>30</v>
      </c>
      <c r="R37" s="164" t="s">
        <v>113</v>
      </c>
      <c r="S37" s="168"/>
      <c r="T37" s="164" t="s">
        <v>106</v>
      </c>
      <c r="U37" s="164"/>
      <c r="V37" s="171">
        <v>3</v>
      </c>
      <c r="W37" s="171">
        <v>6</v>
      </c>
      <c r="X37" s="171">
        <v>2</v>
      </c>
      <c r="Y37" s="150" t="s">
        <v>664</v>
      </c>
      <c r="Z37" s="10" t="s">
        <v>270</v>
      </c>
      <c r="AA37" s="25"/>
    </row>
    <row r="38" spans="1:27" x14ac:dyDescent="0.3">
      <c r="A38" s="3" t="e">
        <f>VLOOKUP(E38,'[1]Listas Desplegables'!$H$3:$J$7,2,FALSE)</f>
        <v>#N/A</v>
      </c>
      <c r="B38" s="3" t="e">
        <f>VLOOKUP(E38,'[1]Listas Desplegables'!$H$3:$J$7,3,FALSE)</f>
        <v>#N/A</v>
      </c>
      <c r="C38" s="8">
        <v>33</v>
      </c>
      <c r="D38" s="172" t="s">
        <v>770</v>
      </c>
      <c r="E38" s="162" t="s">
        <v>770</v>
      </c>
      <c r="F38" s="172">
        <v>34.5</v>
      </c>
      <c r="G38" s="164">
        <v>13.8</v>
      </c>
      <c r="H38" s="150">
        <v>0.3</v>
      </c>
      <c r="I38" s="150" t="s">
        <v>752</v>
      </c>
      <c r="J38" s="150">
        <v>5.7</v>
      </c>
      <c r="K38" s="150">
        <v>5.7</v>
      </c>
      <c r="L38" s="164">
        <v>3</v>
      </c>
      <c r="M38" s="164">
        <v>5</v>
      </c>
      <c r="N38" s="164">
        <v>1</v>
      </c>
      <c r="O38" s="164"/>
      <c r="P38" s="164">
        <v>120</v>
      </c>
      <c r="Q38" s="164">
        <v>30</v>
      </c>
      <c r="R38" s="164" t="s">
        <v>113</v>
      </c>
      <c r="S38" s="168"/>
      <c r="T38" s="164" t="s">
        <v>106</v>
      </c>
      <c r="U38" s="164"/>
      <c r="V38" s="171">
        <v>3.5</v>
      </c>
      <c r="W38" s="171">
        <v>14</v>
      </c>
      <c r="X38" s="171">
        <v>4</v>
      </c>
      <c r="Y38" s="150" t="s">
        <v>664</v>
      </c>
      <c r="Z38" s="10" t="s">
        <v>270</v>
      </c>
      <c r="AA38" s="25"/>
    </row>
    <row r="39" spans="1:27" x14ac:dyDescent="0.3">
      <c r="A39" s="3" t="e">
        <f>VLOOKUP(E39,'[1]Listas Desplegables'!$H$3:$J$7,2,FALSE)</f>
        <v>#N/A</v>
      </c>
      <c r="B39" s="3" t="e">
        <f>VLOOKUP(E39,'[1]Listas Desplegables'!$H$3:$J$7,3,FALSE)</f>
        <v>#N/A</v>
      </c>
      <c r="C39" s="8">
        <v>34</v>
      </c>
      <c r="D39" s="172" t="s">
        <v>393</v>
      </c>
      <c r="E39" s="162" t="s">
        <v>393</v>
      </c>
      <c r="F39" s="172">
        <v>34.5</v>
      </c>
      <c r="G39" s="164">
        <v>13.8</v>
      </c>
      <c r="H39" s="150">
        <v>1</v>
      </c>
      <c r="I39" s="150" t="s">
        <v>752</v>
      </c>
      <c r="J39" s="150">
        <v>7</v>
      </c>
      <c r="K39" s="150">
        <v>7</v>
      </c>
      <c r="L39" s="164">
        <v>3</v>
      </c>
      <c r="M39" s="164">
        <v>5</v>
      </c>
      <c r="N39" s="164">
        <v>1</v>
      </c>
      <c r="O39" s="164"/>
      <c r="P39" s="164">
        <v>120</v>
      </c>
      <c r="Q39" s="164">
        <v>30</v>
      </c>
      <c r="R39" s="164" t="s">
        <v>113</v>
      </c>
      <c r="S39" s="168"/>
      <c r="T39" s="164" t="s">
        <v>106</v>
      </c>
      <c r="U39" s="164"/>
      <c r="V39" s="171">
        <v>3</v>
      </c>
      <c r="W39" s="171">
        <v>3</v>
      </c>
      <c r="X39" s="171">
        <v>1</v>
      </c>
      <c r="Y39" s="150" t="s">
        <v>664</v>
      </c>
      <c r="Z39" s="10" t="s">
        <v>270</v>
      </c>
      <c r="AA39" s="25"/>
    </row>
    <row r="40" spans="1:27" x14ac:dyDescent="0.3">
      <c r="A40" s="3" t="e">
        <f>VLOOKUP(E40,'[1]Listas Desplegables'!$H$3:$J$7,2,FALSE)</f>
        <v>#N/A</v>
      </c>
      <c r="B40" s="3" t="e">
        <f>VLOOKUP(E40,'[1]Listas Desplegables'!$H$3:$J$7,3,FALSE)</f>
        <v>#N/A</v>
      </c>
      <c r="C40" s="8">
        <v>35</v>
      </c>
      <c r="D40" s="172" t="s">
        <v>771</v>
      </c>
      <c r="E40" s="162" t="s">
        <v>771</v>
      </c>
      <c r="F40" s="172">
        <v>34.5</v>
      </c>
      <c r="G40" s="164">
        <v>13.8</v>
      </c>
      <c r="H40" s="150">
        <v>3</v>
      </c>
      <c r="I40" s="150" t="s">
        <v>752</v>
      </c>
      <c r="J40" s="150">
        <v>7</v>
      </c>
      <c r="K40" s="150">
        <v>7</v>
      </c>
      <c r="L40" s="164">
        <v>3</v>
      </c>
      <c r="M40" s="164">
        <v>5</v>
      </c>
      <c r="N40" s="164">
        <v>1</v>
      </c>
      <c r="O40" s="164"/>
      <c r="P40" s="164">
        <v>120</v>
      </c>
      <c r="Q40" s="164">
        <v>30</v>
      </c>
      <c r="R40" s="164" t="s">
        <v>113</v>
      </c>
      <c r="S40" s="168"/>
      <c r="T40" s="164" t="s">
        <v>106</v>
      </c>
      <c r="U40" s="164"/>
      <c r="V40" s="171">
        <v>5.166666666666667</v>
      </c>
      <c r="W40" s="171">
        <v>15.5</v>
      </c>
      <c r="X40" s="171">
        <v>3</v>
      </c>
      <c r="Y40" s="150" t="s">
        <v>664</v>
      </c>
      <c r="Z40" s="10" t="s">
        <v>270</v>
      </c>
      <c r="AA40" s="25"/>
    </row>
    <row r="41" spans="1:27" x14ac:dyDescent="0.3">
      <c r="A41" s="3" t="e">
        <f>VLOOKUP(E41,'[1]Listas Desplegables'!$H$3:$J$7,2,FALSE)</f>
        <v>#N/A</v>
      </c>
      <c r="B41" s="3" t="e">
        <f>VLOOKUP(E41,'[1]Listas Desplegables'!$H$3:$J$7,3,FALSE)</f>
        <v>#N/A</v>
      </c>
      <c r="C41" s="8">
        <v>36</v>
      </c>
      <c r="D41" s="172" t="s">
        <v>594</v>
      </c>
      <c r="E41" s="162" t="s">
        <v>594</v>
      </c>
      <c r="F41" s="172">
        <v>34.5</v>
      </c>
      <c r="G41" s="164">
        <v>13.8</v>
      </c>
      <c r="H41" s="150">
        <v>6.25</v>
      </c>
      <c r="I41" s="150" t="s">
        <v>752</v>
      </c>
      <c r="J41" s="150">
        <v>7</v>
      </c>
      <c r="K41" s="150">
        <v>7</v>
      </c>
      <c r="L41" s="164">
        <v>3</v>
      </c>
      <c r="M41" s="164">
        <v>5</v>
      </c>
      <c r="N41" s="164">
        <v>1</v>
      </c>
      <c r="O41" s="164"/>
      <c r="P41" s="164">
        <v>120</v>
      </c>
      <c r="Q41" s="164">
        <v>30</v>
      </c>
      <c r="R41" s="164" t="s">
        <v>113</v>
      </c>
      <c r="S41" s="168"/>
      <c r="T41" s="164" t="s">
        <v>106</v>
      </c>
      <c r="U41" s="164"/>
      <c r="V41" s="171">
        <v>3</v>
      </c>
      <c r="W41" s="171">
        <v>3</v>
      </c>
      <c r="X41" s="171">
        <v>1</v>
      </c>
      <c r="Y41" s="150" t="s">
        <v>664</v>
      </c>
      <c r="Z41" s="10" t="s">
        <v>270</v>
      </c>
      <c r="AA41" s="25"/>
    </row>
    <row r="42" spans="1:27" x14ac:dyDescent="0.3">
      <c r="A42" s="3" t="e">
        <f>VLOOKUP(E42,'[1]Listas Desplegables'!$H$3:$J$7,2,FALSE)</f>
        <v>#N/A</v>
      </c>
      <c r="B42" s="3" t="e">
        <f>VLOOKUP(E42,'[1]Listas Desplegables'!$H$3:$J$7,3,FALSE)</f>
        <v>#N/A</v>
      </c>
      <c r="C42" s="8">
        <v>37</v>
      </c>
      <c r="D42" s="172" t="s">
        <v>439</v>
      </c>
      <c r="E42" s="162" t="s">
        <v>439</v>
      </c>
      <c r="F42" s="172">
        <v>34.5</v>
      </c>
      <c r="G42" s="164">
        <v>13.8</v>
      </c>
      <c r="H42" s="150">
        <v>3</v>
      </c>
      <c r="I42" s="150" t="s">
        <v>769</v>
      </c>
      <c r="J42" s="150">
        <v>7</v>
      </c>
      <c r="K42" s="150">
        <v>7</v>
      </c>
      <c r="L42" s="164">
        <v>3</v>
      </c>
      <c r="M42" s="164">
        <v>5</v>
      </c>
      <c r="N42" s="164">
        <v>1</v>
      </c>
      <c r="O42" s="164"/>
      <c r="P42" s="164">
        <v>120</v>
      </c>
      <c r="Q42" s="164">
        <v>30</v>
      </c>
      <c r="R42" s="164" t="s">
        <v>113</v>
      </c>
      <c r="S42" s="168"/>
      <c r="T42" s="164" t="s">
        <v>106</v>
      </c>
      <c r="U42" s="164"/>
      <c r="V42" s="171">
        <v>6.25</v>
      </c>
      <c r="W42" s="171">
        <v>12.5</v>
      </c>
      <c r="X42" s="171">
        <v>2</v>
      </c>
      <c r="Y42" s="150" t="s">
        <v>664</v>
      </c>
      <c r="Z42" s="10" t="s">
        <v>270</v>
      </c>
      <c r="AA42" s="25"/>
    </row>
    <row r="43" spans="1:27" x14ac:dyDescent="0.3">
      <c r="A43" s="3" t="e">
        <f>VLOOKUP(E43,'[1]Listas Desplegables'!$H$3:$J$7,2,FALSE)</f>
        <v>#N/A</v>
      </c>
      <c r="B43" s="3" t="e">
        <f>VLOOKUP(E43,'[1]Listas Desplegables'!$H$3:$J$7,3,FALSE)</f>
        <v>#N/A</v>
      </c>
      <c r="C43" s="8">
        <v>38</v>
      </c>
      <c r="D43" s="172" t="s">
        <v>438</v>
      </c>
      <c r="E43" s="162" t="s">
        <v>438</v>
      </c>
      <c r="F43" s="172">
        <v>34.5</v>
      </c>
      <c r="G43" s="164">
        <v>13.8</v>
      </c>
      <c r="H43" s="150">
        <v>0.5</v>
      </c>
      <c r="I43" s="150" t="s">
        <v>752</v>
      </c>
      <c r="J43" s="150">
        <v>7</v>
      </c>
      <c r="K43" s="150">
        <v>7</v>
      </c>
      <c r="L43" s="164">
        <v>3</v>
      </c>
      <c r="M43" s="164">
        <v>5</v>
      </c>
      <c r="N43" s="164">
        <v>1</v>
      </c>
      <c r="O43" s="164"/>
      <c r="P43" s="164">
        <v>120</v>
      </c>
      <c r="Q43" s="164">
        <v>30</v>
      </c>
      <c r="R43" s="164" t="s">
        <v>113</v>
      </c>
      <c r="S43" s="168"/>
      <c r="T43" s="164" t="s">
        <v>106</v>
      </c>
      <c r="U43" s="164"/>
      <c r="V43" s="171">
        <v>3</v>
      </c>
      <c r="W43" s="171">
        <v>3</v>
      </c>
      <c r="X43" s="171">
        <v>1</v>
      </c>
      <c r="Y43" s="150" t="s">
        <v>664</v>
      </c>
      <c r="Z43" s="10" t="s">
        <v>270</v>
      </c>
      <c r="AA43" s="25"/>
    </row>
    <row r="44" spans="1:27" x14ac:dyDescent="0.3">
      <c r="A44" s="3" t="e">
        <f>VLOOKUP(E44,'[1]Listas Desplegables'!$H$3:$J$7,2,FALSE)</f>
        <v>#N/A</v>
      </c>
      <c r="B44" s="3" t="e">
        <f>VLOOKUP(E44,'[1]Listas Desplegables'!$H$3:$J$7,3,FALSE)</f>
        <v>#N/A</v>
      </c>
      <c r="C44" s="7">
        <v>39</v>
      </c>
      <c r="D44" s="172" t="s">
        <v>626</v>
      </c>
      <c r="E44" s="162" t="s">
        <v>626</v>
      </c>
      <c r="F44" s="172">
        <v>34.5</v>
      </c>
      <c r="G44" s="164">
        <v>13.8</v>
      </c>
      <c r="H44" s="150">
        <v>1.6</v>
      </c>
      <c r="I44" s="150" t="s">
        <v>752</v>
      </c>
      <c r="J44" s="150">
        <v>7</v>
      </c>
      <c r="K44" s="150">
        <v>7</v>
      </c>
      <c r="L44" s="164">
        <v>3</v>
      </c>
      <c r="M44" s="164">
        <v>5</v>
      </c>
      <c r="N44" s="164">
        <v>1</v>
      </c>
      <c r="O44" s="164"/>
      <c r="P44" s="164">
        <v>120</v>
      </c>
      <c r="Q44" s="164">
        <v>30</v>
      </c>
      <c r="R44" s="164" t="s">
        <v>113</v>
      </c>
      <c r="S44" s="168"/>
      <c r="T44" s="164" t="s">
        <v>106</v>
      </c>
      <c r="U44" s="164"/>
      <c r="V44" s="171">
        <v>3</v>
      </c>
      <c r="W44" s="171">
        <v>6</v>
      </c>
      <c r="X44" s="171">
        <v>2</v>
      </c>
      <c r="Y44" s="150" t="s">
        <v>664</v>
      </c>
      <c r="Z44" s="10" t="s">
        <v>270</v>
      </c>
      <c r="AA44" s="25"/>
    </row>
    <row r="45" spans="1:27" x14ac:dyDescent="0.3">
      <c r="A45" s="3" t="e">
        <f>VLOOKUP(E45,'[1]Listas Desplegables'!$H$3:$J$7,2,FALSE)</f>
        <v>#N/A</v>
      </c>
      <c r="B45" s="3" t="e">
        <f>VLOOKUP(E45,'[1]Listas Desplegables'!$H$3:$J$7,3,FALSE)</f>
        <v>#N/A</v>
      </c>
      <c r="C45" s="11">
        <v>40</v>
      </c>
      <c r="D45" s="172" t="s">
        <v>531</v>
      </c>
      <c r="E45" s="162" t="s">
        <v>531</v>
      </c>
      <c r="F45" s="172">
        <v>34.5</v>
      </c>
      <c r="G45" s="164">
        <v>13.8</v>
      </c>
      <c r="H45" s="150">
        <v>1</v>
      </c>
      <c r="I45" s="150" t="s">
        <v>769</v>
      </c>
      <c r="J45" s="150">
        <v>4.4000000000000004</v>
      </c>
      <c r="K45" s="150">
        <v>4.4000000000000004</v>
      </c>
      <c r="L45" s="164">
        <v>3</v>
      </c>
      <c r="M45" s="164">
        <v>5</v>
      </c>
      <c r="N45" s="164">
        <v>1</v>
      </c>
      <c r="O45" s="164"/>
      <c r="P45" s="164">
        <v>120</v>
      </c>
      <c r="Q45" s="164">
        <v>30</v>
      </c>
      <c r="R45" s="164" t="s">
        <v>113</v>
      </c>
      <c r="S45" s="168"/>
      <c r="T45" s="164" t="s">
        <v>106</v>
      </c>
      <c r="U45" s="164"/>
      <c r="V45" s="171">
        <v>3</v>
      </c>
      <c r="W45" s="171">
        <v>6</v>
      </c>
      <c r="X45" s="171">
        <v>2</v>
      </c>
      <c r="Y45" s="150" t="s">
        <v>664</v>
      </c>
      <c r="Z45" s="10" t="s">
        <v>270</v>
      </c>
      <c r="AA45" s="25"/>
    </row>
    <row r="46" spans="1:27" x14ac:dyDescent="0.3">
      <c r="A46" s="3" t="e">
        <f>VLOOKUP(E46,'[1]Listas Desplegables'!$H$3:$J$7,2,FALSE)</f>
        <v>#N/A</v>
      </c>
      <c r="B46" s="3" t="e">
        <f>VLOOKUP(E46,'[1]Listas Desplegables'!$H$3:$J$7,3,FALSE)</f>
        <v>#N/A</v>
      </c>
      <c r="C46" s="7">
        <v>41</v>
      </c>
      <c r="D46" s="172" t="s">
        <v>772</v>
      </c>
      <c r="E46" s="162" t="s">
        <v>772</v>
      </c>
      <c r="F46" s="172">
        <v>34.5</v>
      </c>
      <c r="G46" s="164">
        <v>13.8</v>
      </c>
      <c r="H46" s="150">
        <v>1</v>
      </c>
      <c r="I46" s="150" t="s">
        <v>752</v>
      </c>
      <c r="J46" s="150">
        <v>7</v>
      </c>
      <c r="K46" s="150">
        <v>7</v>
      </c>
      <c r="L46" s="164">
        <v>3</v>
      </c>
      <c r="M46" s="164">
        <v>5</v>
      </c>
      <c r="N46" s="164">
        <v>1</v>
      </c>
      <c r="O46" s="164"/>
      <c r="P46" s="164">
        <v>120</v>
      </c>
      <c r="Q46" s="164">
        <v>30</v>
      </c>
      <c r="R46" s="164" t="s">
        <v>113</v>
      </c>
      <c r="S46" s="168"/>
      <c r="T46" s="164" t="s">
        <v>106</v>
      </c>
      <c r="U46" s="164"/>
      <c r="V46" s="171">
        <v>3</v>
      </c>
      <c r="W46" s="171">
        <v>6</v>
      </c>
      <c r="X46" s="171">
        <v>2</v>
      </c>
      <c r="Y46" s="150" t="s">
        <v>664</v>
      </c>
      <c r="Z46" s="10" t="s">
        <v>270</v>
      </c>
      <c r="AA46" s="25"/>
    </row>
    <row r="47" spans="1:27" x14ac:dyDescent="0.3">
      <c r="A47" s="3" t="e">
        <f>VLOOKUP(E47,'[1]Listas Desplegables'!$H$3:$J$7,2,FALSE)</f>
        <v>#N/A</v>
      </c>
      <c r="B47" s="3" t="e">
        <f>VLOOKUP(E47,'[1]Listas Desplegables'!$H$3:$J$7,3,FALSE)</f>
        <v>#N/A</v>
      </c>
      <c r="C47" s="8">
        <v>42</v>
      </c>
      <c r="D47" s="172" t="s">
        <v>443</v>
      </c>
      <c r="E47" s="162" t="s">
        <v>443</v>
      </c>
      <c r="F47" s="172">
        <v>34.5</v>
      </c>
      <c r="G47" s="164">
        <v>13.8</v>
      </c>
      <c r="H47" s="150">
        <v>1.5</v>
      </c>
      <c r="I47" s="150" t="s">
        <v>754</v>
      </c>
      <c r="J47" s="150">
        <v>4.8</v>
      </c>
      <c r="K47" s="150">
        <v>4.8</v>
      </c>
      <c r="L47" s="164">
        <v>3</v>
      </c>
      <c r="M47" s="164">
        <v>5</v>
      </c>
      <c r="N47" s="164">
        <v>1</v>
      </c>
      <c r="O47" s="164"/>
      <c r="P47" s="164">
        <v>120</v>
      </c>
      <c r="Q47" s="164">
        <v>30</v>
      </c>
      <c r="R47" s="164" t="s">
        <v>113</v>
      </c>
      <c r="S47" s="168"/>
      <c r="T47" s="164" t="s">
        <v>106</v>
      </c>
      <c r="U47" s="164"/>
      <c r="V47" s="171">
        <v>3</v>
      </c>
      <c r="W47" s="171">
        <v>6</v>
      </c>
      <c r="X47" s="171">
        <v>2</v>
      </c>
      <c r="Y47" s="150" t="s">
        <v>664</v>
      </c>
      <c r="Z47" s="10" t="s">
        <v>270</v>
      </c>
      <c r="AA47" s="25"/>
    </row>
    <row r="48" spans="1:27" x14ac:dyDescent="0.3">
      <c r="A48" s="3" t="e">
        <f>VLOOKUP(E48,'[1]Listas Desplegables'!$H$3:$J$7,2,FALSE)</f>
        <v>#N/A</v>
      </c>
      <c r="B48" s="3" t="e">
        <f>VLOOKUP(E48,'[1]Listas Desplegables'!$H$3:$J$7,3,FALSE)</f>
        <v>#N/A</v>
      </c>
      <c r="C48" s="8">
        <v>43</v>
      </c>
      <c r="D48" s="172" t="s">
        <v>442</v>
      </c>
      <c r="E48" s="162" t="s">
        <v>442</v>
      </c>
      <c r="F48" s="172">
        <v>34.5</v>
      </c>
      <c r="G48" s="164">
        <v>13.8</v>
      </c>
      <c r="H48" s="150">
        <v>1</v>
      </c>
      <c r="I48" s="150" t="s">
        <v>752</v>
      </c>
      <c r="J48" s="150">
        <v>5.4</v>
      </c>
      <c r="K48" s="150">
        <v>5.4</v>
      </c>
      <c r="L48" s="164">
        <v>3</v>
      </c>
      <c r="M48" s="164">
        <v>5</v>
      </c>
      <c r="N48" s="164">
        <v>1</v>
      </c>
      <c r="O48" s="164"/>
      <c r="P48" s="164">
        <v>120</v>
      </c>
      <c r="Q48" s="164">
        <v>30</v>
      </c>
      <c r="R48" s="164" t="s">
        <v>113</v>
      </c>
      <c r="S48" s="168"/>
      <c r="T48" s="164" t="s">
        <v>106</v>
      </c>
      <c r="U48" s="164"/>
      <c r="V48" s="171">
        <v>3</v>
      </c>
      <c r="W48" s="171">
        <v>9</v>
      </c>
      <c r="X48" s="171">
        <v>3</v>
      </c>
      <c r="Y48" s="150" t="s">
        <v>664</v>
      </c>
      <c r="Z48" s="10" t="s">
        <v>270</v>
      </c>
      <c r="AA48" s="25"/>
    </row>
    <row r="49" spans="1:27" x14ac:dyDescent="0.3">
      <c r="A49" s="3" t="e">
        <f>VLOOKUP(E49,'[1]Listas Desplegables'!$H$3:$J$7,2,FALSE)</f>
        <v>#N/A</v>
      </c>
      <c r="B49" s="3" t="e">
        <f>VLOOKUP(E49,'[1]Listas Desplegables'!$H$3:$J$7,3,FALSE)</f>
        <v>#N/A</v>
      </c>
      <c r="C49" s="8">
        <v>44</v>
      </c>
      <c r="D49" s="172" t="s">
        <v>428</v>
      </c>
      <c r="E49" s="162" t="s">
        <v>428</v>
      </c>
      <c r="F49" s="172">
        <v>34.5</v>
      </c>
      <c r="G49" s="164">
        <v>13.8</v>
      </c>
      <c r="H49" s="150">
        <v>0.5</v>
      </c>
      <c r="I49" s="150" t="s">
        <v>752</v>
      </c>
      <c r="J49" s="150">
        <v>7</v>
      </c>
      <c r="K49" s="150">
        <v>7</v>
      </c>
      <c r="L49" s="164">
        <v>3</v>
      </c>
      <c r="M49" s="164">
        <v>5</v>
      </c>
      <c r="N49" s="164">
        <v>1</v>
      </c>
      <c r="O49" s="164"/>
      <c r="P49" s="164">
        <v>120</v>
      </c>
      <c r="Q49" s="164">
        <v>30</v>
      </c>
      <c r="R49" s="164" t="s">
        <v>113</v>
      </c>
      <c r="S49" s="168"/>
      <c r="T49" s="164" t="s">
        <v>106</v>
      </c>
      <c r="U49" s="164"/>
      <c r="V49" s="171">
        <v>4</v>
      </c>
      <c r="W49" s="171">
        <v>12</v>
      </c>
      <c r="X49" s="171">
        <v>3</v>
      </c>
      <c r="Y49" s="150" t="s">
        <v>664</v>
      </c>
      <c r="Z49" s="10" t="s">
        <v>270</v>
      </c>
      <c r="AA49" s="25"/>
    </row>
    <row r="50" spans="1:27" x14ac:dyDescent="0.3">
      <c r="A50" s="3" t="e">
        <f>VLOOKUP(E50,'[1]Listas Desplegables'!$H$3:$J$7,2,FALSE)</f>
        <v>#N/A</v>
      </c>
      <c r="B50" s="3" t="e">
        <f>VLOOKUP(E50,'[1]Listas Desplegables'!$H$3:$J$7,3,FALSE)</f>
        <v>#N/A</v>
      </c>
      <c r="C50" s="8">
        <v>45</v>
      </c>
      <c r="D50" s="172" t="s">
        <v>773</v>
      </c>
      <c r="E50" s="162" t="s">
        <v>773</v>
      </c>
      <c r="F50" s="172">
        <v>34.5</v>
      </c>
      <c r="G50" s="164">
        <v>13.8</v>
      </c>
      <c r="H50" s="150">
        <v>0.5</v>
      </c>
      <c r="I50" s="150" t="s">
        <v>752</v>
      </c>
      <c r="J50" s="150">
        <v>5.7</v>
      </c>
      <c r="K50" s="150">
        <v>5.7</v>
      </c>
      <c r="L50" s="164">
        <v>3</v>
      </c>
      <c r="M50" s="164">
        <v>5</v>
      </c>
      <c r="N50" s="164">
        <v>1</v>
      </c>
      <c r="O50" s="164"/>
      <c r="P50" s="164">
        <v>120</v>
      </c>
      <c r="Q50" s="164">
        <v>30</v>
      </c>
      <c r="R50" s="164" t="s">
        <v>113</v>
      </c>
      <c r="S50" s="168"/>
      <c r="T50" s="164" t="s">
        <v>106</v>
      </c>
      <c r="U50" s="164"/>
      <c r="V50" s="171">
        <v>3.3333333333333335</v>
      </c>
      <c r="W50" s="171">
        <v>10</v>
      </c>
      <c r="X50" s="171">
        <v>3</v>
      </c>
      <c r="Y50" s="150" t="s">
        <v>664</v>
      </c>
      <c r="Z50" s="10" t="s">
        <v>270</v>
      </c>
      <c r="AA50" s="25"/>
    </row>
    <row r="51" spans="1:27" x14ac:dyDescent="0.3">
      <c r="A51" s="3" t="e">
        <f>VLOOKUP(E51,'[1]Listas Desplegables'!$H$3:$J$7,2,FALSE)</f>
        <v>#N/A</v>
      </c>
      <c r="B51" s="3" t="e">
        <f>VLOOKUP(E51,'[1]Listas Desplegables'!$H$3:$J$7,3,FALSE)</f>
        <v>#N/A</v>
      </c>
      <c r="C51" s="8">
        <v>46</v>
      </c>
      <c r="D51" s="172" t="s">
        <v>534</v>
      </c>
      <c r="E51" s="162" t="s">
        <v>534</v>
      </c>
      <c r="F51" s="172">
        <v>34.5</v>
      </c>
      <c r="G51" s="164">
        <v>13.8</v>
      </c>
      <c r="H51" s="150">
        <v>1.5</v>
      </c>
      <c r="I51" s="150" t="s">
        <v>769</v>
      </c>
      <c r="J51" s="150">
        <v>5.7</v>
      </c>
      <c r="K51" s="150">
        <v>5.7</v>
      </c>
      <c r="L51" s="164">
        <v>3</v>
      </c>
      <c r="M51" s="164">
        <v>5</v>
      </c>
      <c r="N51" s="164">
        <v>1</v>
      </c>
      <c r="O51" s="164"/>
      <c r="P51" s="164">
        <v>120</v>
      </c>
      <c r="Q51" s="164">
        <v>30</v>
      </c>
      <c r="R51" s="164" t="s">
        <v>113</v>
      </c>
      <c r="S51" s="168"/>
      <c r="T51" s="164" t="s">
        <v>106</v>
      </c>
      <c r="U51" s="164"/>
      <c r="V51" s="171">
        <v>3</v>
      </c>
      <c r="W51" s="171">
        <v>6</v>
      </c>
      <c r="X51" s="171">
        <v>2</v>
      </c>
      <c r="Y51" s="150" t="s">
        <v>664</v>
      </c>
      <c r="Z51" s="10" t="s">
        <v>270</v>
      </c>
      <c r="AA51" s="25"/>
    </row>
    <row r="52" spans="1:27" x14ac:dyDescent="0.3">
      <c r="A52" s="3" t="e">
        <f>VLOOKUP(E52,'[1]Listas Desplegables'!$H$3:$J$7,2,FALSE)</f>
        <v>#N/A</v>
      </c>
      <c r="B52" s="3" t="e">
        <f>VLOOKUP(E52,'[1]Listas Desplegables'!$H$3:$J$7,3,FALSE)</f>
        <v>#N/A</v>
      </c>
      <c r="C52" s="8">
        <v>47</v>
      </c>
      <c r="D52" s="172" t="s">
        <v>774</v>
      </c>
      <c r="E52" s="162" t="s">
        <v>774</v>
      </c>
      <c r="F52" s="172">
        <v>34.5</v>
      </c>
      <c r="G52" s="164">
        <v>13.8</v>
      </c>
      <c r="H52" s="150">
        <v>0.3</v>
      </c>
      <c r="I52" s="150" t="s">
        <v>769</v>
      </c>
      <c r="J52" s="150">
        <v>5.7</v>
      </c>
      <c r="K52" s="150">
        <v>5.7</v>
      </c>
      <c r="L52" s="164">
        <v>3</v>
      </c>
      <c r="M52" s="164">
        <v>5</v>
      </c>
      <c r="N52" s="164">
        <v>1</v>
      </c>
      <c r="O52" s="164"/>
      <c r="P52" s="164">
        <v>120</v>
      </c>
      <c r="Q52" s="164">
        <v>30</v>
      </c>
      <c r="R52" s="164" t="s">
        <v>113</v>
      </c>
      <c r="S52" s="168"/>
      <c r="T52" s="164" t="s">
        <v>106</v>
      </c>
      <c r="U52" s="164"/>
      <c r="V52" s="171">
        <v>3.3350000000000004</v>
      </c>
      <c r="W52" s="171">
        <v>10.005000000000001</v>
      </c>
      <c r="X52" s="171">
        <v>3</v>
      </c>
      <c r="Y52" s="150" t="s">
        <v>664</v>
      </c>
      <c r="Z52" s="10" t="s">
        <v>270</v>
      </c>
      <c r="AA52" s="25"/>
    </row>
    <row r="53" spans="1:27" x14ac:dyDescent="0.3">
      <c r="A53" s="3" t="e">
        <f>VLOOKUP(E53,'[1]Listas Desplegables'!$H$3:$J$7,2,FALSE)</f>
        <v>#N/A</v>
      </c>
      <c r="B53" s="3" t="e">
        <f>VLOOKUP(E53,'[1]Listas Desplegables'!$H$3:$J$7,3,FALSE)</f>
        <v>#N/A</v>
      </c>
      <c r="C53" s="8">
        <v>48</v>
      </c>
      <c r="D53" s="172" t="s">
        <v>551</v>
      </c>
      <c r="E53" s="162" t="s">
        <v>551</v>
      </c>
      <c r="F53" s="172">
        <v>34.5</v>
      </c>
      <c r="G53" s="164">
        <v>13.8</v>
      </c>
      <c r="H53" s="150">
        <v>1.5</v>
      </c>
      <c r="I53" s="150" t="s">
        <v>754</v>
      </c>
      <c r="J53" s="150">
        <v>7</v>
      </c>
      <c r="K53" s="150">
        <v>7</v>
      </c>
      <c r="L53" s="164">
        <v>3</v>
      </c>
      <c r="M53" s="164">
        <v>5</v>
      </c>
      <c r="N53" s="164">
        <v>1</v>
      </c>
      <c r="O53" s="164"/>
      <c r="P53" s="164">
        <v>120</v>
      </c>
      <c r="Q53" s="164">
        <v>30</v>
      </c>
      <c r="R53" s="164" t="s">
        <v>113</v>
      </c>
      <c r="S53" s="168"/>
      <c r="T53" s="164" t="s">
        <v>106</v>
      </c>
      <c r="U53" s="164"/>
      <c r="V53" s="171">
        <v>3</v>
      </c>
      <c r="W53" s="171">
        <v>6</v>
      </c>
      <c r="X53" s="171">
        <v>2</v>
      </c>
      <c r="Y53" s="150" t="s">
        <v>664</v>
      </c>
      <c r="Z53" s="10" t="s">
        <v>270</v>
      </c>
      <c r="AA53" s="25"/>
    </row>
    <row r="54" spans="1:27" x14ac:dyDescent="0.3">
      <c r="A54" s="3" t="e">
        <f>VLOOKUP(E54,'[1]Listas Desplegables'!$H$3:$J$7,2,FALSE)</f>
        <v>#N/A</v>
      </c>
      <c r="B54" s="3" t="e">
        <f>VLOOKUP(E54,'[1]Listas Desplegables'!$H$3:$J$7,3,FALSE)</f>
        <v>#N/A</v>
      </c>
      <c r="C54" s="8">
        <v>49</v>
      </c>
      <c r="D54" s="172" t="s">
        <v>775</v>
      </c>
      <c r="E54" s="162" t="s">
        <v>775</v>
      </c>
      <c r="F54" s="172">
        <v>34.5</v>
      </c>
      <c r="G54" s="164">
        <v>13.8</v>
      </c>
      <c r="H54" s="150">
        <v>1.5</v>
      </c>
      <c r="I54" s="150" t="s">
        <v>769</v>
      </c>
      <c r="J54" s="150">
        <v>7</v>
      </c>
      <c r="K54" s="150">
        <v>7</v>
      </c>
      <c r="L54" s="164">
        <v>3</v>
      </c>
      <c r="M54" s="164">
        <v>5</v>
      </c>
      <c r="N54" s="164">
        <v>1</v>
      </c>
      <c r="O54" s="164"/>
      <c r="P54" s="164">
        <v>120</v>
      </c>
      <c r="Q54" s="164">
        <v>30</v>
      </c>
      <c r="R54" s="164" t="s">
        <v>113</v>
      </c>
      <c r="S54" s="168"/>
      <c r="T54" s="164" t="s">
        <v>106</v>
      </c>
      <c r="U54" s="164"/>
      <c r="V54" s="171">
        <v>3</v>
      </c>
      <c r="W54" s="171">
        <v>6</v>
      </c>
      <c r="X54" s="171">
        <v>2</v>
      </c>
      <c r="Y54" s="150" t="s">
        <v>664</v>
      </c>
      <c r="Z54" s="10" t="s">
        <v>270</v>
      </c>
      <c r="AA54" s="25"/>
    </row>
    <row r="55" spans="1:27" x14ac:dyDescent="0.3">
      <c r="A55" s="3" t="e">
        <f>VLOOKUP(E55,'[1]Listas Desplegables'!$H$3:$J$7,2,FALSE)</f>
        <v>#N/A</v>
      </c>
      <c r="B55" s="3" t="e">
        <f>VLOOKUP(E55,'[1]Listas Desplegables'!$H$3:$J$7,3,FALSE)</f>
        <v>#N/A</v>
      </c>
      <c r="C55" s="7">
        <v>50</v>
      </c>
      <c r="D55" s="172" t="s">
        <v>465</v>
      </c>
      <c r="E55" s="162" t="s">
        <v>465</v>
      </c>
      <c r="F55" s="172">
        <v>34.5</v>
      </c>
      <c r="G55" s="164">
        <v>13.8</v>
      </c>
      <c r="H55" s="150">
        <v>0.5</v>
      </c>
      <c r="I55" s="150" t="s">
        <v>752</v>
      </c>
      <c r="J55" s="150">
        <v>7</v>
      </c>
      <c r="K55" s="150">
        <v>7</v>
      </c>
      <c r="L55" s="164">
        <v>3</v>
      </c>
      <c r="M55" s="164">
        <v>5</v>
      </c>
      <c r="N55" s="164">
        <v>1</v>
      </c>
      <c r="O55" s="164"/>
      <c r="P55" s="164">
        <v>120</v>
      </c>
      <c r="Q55" s="164">
        <v>30</v>
      </c>
      <c r="R55" s="164" t="s">
        <v>113</v>
      </c>
      <c r="S55" s="168"/>
      <c r="T55" s="164" t="s">
        <v>106</v>
      </c>
      <c r="U55" s="164"/>
      <c r="V55" s="171">
        <v>3</v>
      </c>
      <c r="W55" s="171">
        <v>3</v>
      </c>
      <c r="X55" s="171">
        <v>1</v>
      </c>
      <c r="Y55" s="150" t="s">
        <v>664</v>
      </c>
      <c r="Z55" s="10" t="s">
        <v>270</v>
      </c>
      <c r="AA55" s="25"/>
    </row>
    <row r="56" spans="1:27" x14ac:dyDescent="0.3">
      <c r="A56" s="3" t="e">
        <f>VLOOKUP(E56,'[1]Listas Desplegables'!$H$3:$J$7,2,FALSE)</f>
        <v>#N/A</v>
      </c>
      <c r="B56" s="3" t="e">
        <f>VLOOKUP(E56,'[1]Listas Desplegables'!$H$3:$J$7,3,FALSE)</f>
        <v>#N/A</v>
      </c>
      <c r="C56" s="8">
        <v>51</v>
      </c>
      <c r="D56" s="172" t="s">
        <v>553</v>
      </c>
      <c r="E56" s="162" t="s">
        <v>553</v>
      </c>
      <c r="F56" s="172">
        <v>34.5</v>
      </c>
      <c r="G56" s="164">
        <v>13.8</v>
      </c>
      <c r="H56" s="150">
        <v>3</v>
      </c>
      <c r="I56" s="150" t="s">
        <v>752</v>
      </c>
      <c r="J56" s="150">
        <v>7</v>
      </c>
      <c r="K56" s="150">
        <v>7</v>
      </c>
      <c r="L56" s="164">
        <v>3</v>
      </c>
      <c r="M56" s="164">
        <v>5</v>
      </c>
      <c r="N56" s="164">
        <v>1</v>
      </c>
      <c r="O56" s="164"/>
      <c r="P56" s="164">
        <v>120</v>
      </c>
      <c r="Q56" s="164">
        <v>30</v>
      </c>
      <c r="R56" s="164" t="s">
        <v>113</v>
      </c>
      <c r="S56" s="168"/>
      <c r="T56" s="164" t="s">
        <v>106</v>
      </c>
      <c r="U56" s="164"/>
      <c r="V56" s="171">
        <v>3</v>
      </c>
      <c r="W56" s="171">
        <v>6</v>
      </c>
      <c r="X56" s="171">
        <v>2</v>
      </c>
      <c r="Y56" s="150" t="s">
        <v>664</v>
      </c>
      <c r="Z56" s="10" t="s">
        <v>270</v>
      </c>
      <c r="AA56" s="25"/>
    </row>
    <row r="57" spans="1:27" x14ac:dyDescent="0.3">
      <c r="A57" s="3" t="e">
        <f>VLOOKUP(E57,'[1]Listas Desplegables'!$H$3:$J$7,2,FALSE)</f>
        <v>#N/A</v>
      </c>
      <c r="B57" s="3" t="e">
        <f>VLOOKUP(E57,'[1]Listas Desplegables'!$H$3:$J$7,3,FALSE)</f>
        <v>#N/A</v>
      </c>
      <c r="C57" s="8">
        <v>52</v>
      </c>
      <c r="D57" s="172" t="s">
        <v>568</v>
      </c>
      <c r="E57" s="162" t="s">
        <v>568</v>
      </c>
      <c r="F57" s="172">
        <v>34.5</v>
      </c>
      <c r="G57" s="164">
        <v>13.8</v>
      </c>
      <c r="H57" s="150">
        <v>1.6</v>
      </c>
      <c r="I57" s="150" t="s">
        <v>769</v>
      </c>
      <c r="J57" s="150">
        <v>7</v>
      </c>
      <c r="K57" s="150">
        <v>7</v>
      </c>
      <c r="L57" s="164">
        <v>3</v>
      </c>
      <c r="M57" s="164">
        <v>5</v>
      </c>
      <c r="N57" s="164">
        <v>1</v>
      </c>
      <c r="O57" s="164"/>
      <c r="P57" s="164">
        <v>120</v>
      </c>
      <c r="Q57" s="164">
        <v>30</v>
      </c>
      <c r="R57" s="164" t="s">
        <v>113</v>
      </c>
      <c r="S57" s="168"/>
      <c r="T57" s="164" t="s">
        <v>106</v>
      </c>
      <c r="U57" s="164"/>
      <c r="V57" s="171">
        <v>3</v>
      </c>
      <c r="W57" s="171">
        <v>6</v>
      </c>
      <c r="X57" s="171">
        <v>2</v>
      </c>
      <c r="Y57" s="150" t="s">
        <v>664</v>
      </c>
      <c r="Z57" s="10" t="s">
        <v>270</v>
      </c>
      <c r="AA57" s="25"/>
    </row>
    <row r="58" spans="1:27" x14ac:dyDescent="0.3">
      <c r="A58" s="3" t="e">
        <f>VLOOKUP(E58,'[1]Listas Desplegables'!$H$3:$J$7,2,FALSE)</f>
        <v>#N/A</v>
      </c>
      <c r="B58" s="3" t="e">
        <f>VLOOKUP(E58,'[1]Listas Desplegables'!$H$3:$J$7,3,FALSE)</f>
        <v>#N/A</v>
      </c>
      <c r="C58" s="8">
        <v>53</v>
      </c>
      <c r="D58" s="172" t="s">
        <v>570</v>
      </c>
      <c r="E58" s="162" t="s">
        <v>570</v>
      </c>
      <c r="F58" s="172">
        <v>34.5</v>
      </c>
      <c r="G58" s="164">
        <v>13.8</v>
      </c>
      <c r="H58" s="150">
        <v>0.5</v>
      </c>
      <c r="I58" s="150" t="s">
        <v>769</v>
      </c>
      <c r="J58" s="150">
        <v>7</v>
      </c>
      <c r="K58" s="150">
        <v>7</v>
      </c>
      <c r="L58" s="164">
        <v>3</v>
      </c>
      <c r="M58" s="164">
        <v>5</v>
      </c>
      <c r="N58" s="164">
        <v>1</v>
      </c>
      <c r="O58" s="164"/>
      <c r="P58" s="164">
        <v>120</v>
      </c>
      <c r="Q58" s="164">
        <v>30</v>
      </c>
      <c r="R58" s="164" t="s">
        <v>113</v>
      </c>
      <c r="S58" s="168"/>
      <c r="T58" s="164" t="s">
        <v>106</v>
      </c>
      <c r="U58" s="164"/>
      <c r="V58" s="171">
        <v>2.3333333333333335</v>
      </c>
      <c r="W58" s="171">
        <v>7</v>
      </c>
      <c r="X58" s="171">
        <v>3</v>
      </c>
      <c r="Y58" s="150" t="s">
        <v>664</v>
      </c>
      <c r="Z58" s="10" t="s">
        <v>270</v>
      </c>
      <c r="AA58" s="25"/>
    </row>
    <row r="59" spans="1:27" x14ac:dyDescent="0.3">
      <c r="A59" s="3" t="e">
        <f>VLOOKUP(E59,'[1]Listas Desplegables'!$H$3:$J$7,2,FALSE)</f>
        <v>#N/A</v>
      </c>
      <c r="B59" s="3" t="e">
        <f>VLOOKUP(E59,'[1]Listas Desplegables'!$H$3:$J$7,3,FALSE)</f>
        <v>#N/A</v>
      </c>
      <c r="C59" s="8">
        <v>54</v>
      </c>
      <c r="D59" s="172" t="s">
        <v>430</v>
      </c>
      <c r="E59" s="162" t="s">
        <v>430</v>
      </c>
      <c r="F59" s="172">
        <v>34.5</v>
      </c>
      <c r="G59" s="164">
        <v>13.8</v>
      </c>
      <c r="H59" s="150">
        <v>1.5</v>
      </c>
      <c r="I59" s="150" t="s">
        <v>754</v>
      </c>
      <c r="J59" s="150">
        <v>6.1</v>
      </c>
      <c r="K59" s="150">
        <v>6.1</v>
      </c>
      <c r="L59" s="164">
        <v>3</v>
      </c>
      <c r="M59" s="164">
        <v>5</v>
      </c>
      <c r="N59" s="164">
        <v>1</v>
      </c>
      <c r="O59" s="164"/>
      <c r="P59" s="164">
        <v>120</v>
      </c>
      <c r="Q59" s="164">
        <v>30</v>
      </c>
      <c r="R59" s="164" t="s">
        <v>113</v>
      </c>
      <c r="S59" s="168"/>
      <c r="T59" s="164" t="s">
        <v>106</v>
      </c>
      <c r="U59" s="164"/>
      <c r="V59" s="171">
        <v>3</v>
      </c>
      <c r="W59" s="171">
        <v>12</v>
      </c>
      <c r="X59" s="171">
        <v>4</v>
      </c>
      <c r="Y59" s="150" t="s">
        <v>664</v>
      </c>
      <c r="Z59" s="10" t="s">
        <v>270</v>
      </c>
      <c r="AA59" s="25"/>
    </row>
    <row r="60" spans="1:27" x14ac:dyDescent="0.3">
      <c r="A60" s="3" t="e">
        <f>VLOOKUP(E60,'[1]Listas Desplegables'!$H$3:$J$7,2,FALSE)</f>
        <v>#N/A</v>
      </c>
      <c r="B60" s="3" t="e">
        <f>VLOOKUP(E60,'[1]Listas Desplegables'!$H$3:$J$7,3,FALSE)</f>
        <v>#N/A</v>
      </c>
      <c r="C60" s="8">
        <v>55</v>
      </c>
      <c r="D60" s="172" t="s">
        <v>435</v>
      </c>
      <c r="E60" s="162" t="s">
        <v>435</v>
      </c>
      <c r="F60" s="172">
        <v>34.5</v>
      </c>
      <c r="G60" s="164">
        <v>13.8</v>
      </c>
      <c r="H60" s="150">
        <v>0.5</v>
      </c>
      <c r="I60" s="150" t="s">
        <v>752</v>
      </c>
      <c r="J60" s="150">
        <v>6.1</v>
      </c>
      <c r="K60" s="150">
        <v>6.1</v>
      </c>
      <c r="L60" s="164">
        <v>3</v>
      </c>
      <c r="M60" s="164">
        <v>5</v>
      </c>
      <c r="N60" s="164">
        <v>1</v>
      </c>
      <c r="O60" s="164"/>
      <c r="P60" s="164">
        <v>120</v>
      </c>
      <c r="Q60" s="164">
        <v>30</v>
      </c>
      <c r="R60" s="164" t="s">
        <v>113</v>
      </c>
      <c r="S60" s="168"/>
      <c r="T60" s="164" t="s">
        <v>106</v>
      </c>
      <c r="U60" s="164"/>
      <c r="V60" s="171">
        <v>3</v>
      </c>
      <c r="W60" s="171">
        <v>6</v>
      </c>
      <c r="X60" s="171">
        <v>2</v>
      </c>
      <c r="Y60" s="150" t="s">
        <v>664</v>
      </c>
      <c r="Z60" s="10" t="s">
        <v>270</v>
      </c>
      <c r="AA60" s="25"/>
    </row>
    <row r="61" spans="1:27" x14ac:dyDescent="0.3">
      <c r="A61" s="3" t="e">
        <f>VLOOKUP(E61,'[1]Listas Desplegables'!$H$3:$J$7,2,FALSE)</f>
        <v>#N/A</v>
      </c>
      <c r="B61" s="3" t="e">
        <f>VLOOKUP(E61,'[1]Listas Desplegables'!$H$3:$J$7,3,FALSE)</f>
        <v>#N/A</v>
      </c>
      <c r="C61" s="8">
        <v>56</v>
      </c>
      <c r="D61" s="172" t="s">
        <v>396</v>
      </c>
      <c r="E61" s="162" t="s">
        <v>396</v>
      </c>
      <c r="F61" s="172">
        <v>34.5</v>
      </c>
      <c r="G61" s="164">
        <v>13.8</v>
      </c>
      <c r="H61" s="150">
        <v>1</v>
      </c>
      <c r="I61" s="150" t="s">
        <v>752</v>
      </c>
      <c r="J61" s="150">
        <v>7</v>
      </c>
      <c r="K61" s="150">
        <v>7</v>
      </c>
      <c r="L61" s="164">
        <v>3</v>
      </c>
      <c r="M61" s="164">
        <v>5</v>
      </c>
      <c r="N61" s="164">
        <v>1</v>
      </c>
      <c r="O61" s="164"/>
      <c r="P61" s="164">
        <v>120</v>
      </c>
      <c r="Q61" s="164">
        <v>30</v>
      </c>
      <c r="R61" s="164" t="s">
        <v>113</v>
      </c>
      <c r="S61" s="168"/>
      <c r="T61" s="164" t="s">
        <v>106</v>
      </c>
      <c r="U61" s="164"/>
      <c r="V61" s="171">
        <v>3</v>
      </c>
      <c r="W61" s="171">
        <v>6</v>
      </c>
      <c r="X61" s="171">
        <v>2</v>
      </c>
      <c r="Y61" s="150" t="s">
        <v>664</v>
      </c>
      <c r="Z61" s="10" t="s">
        <v>270</v>
      </c>
      <c r="AA61" s="25"/>
    </row>
    <row r="62" spans="1:27" x14ac:dyDescent="0.3">
      <c r="A62" s="3" t="e">
        <f>VLOOKUP(E62,'[1]Listas Desplegables'!$H$3:$J$7,2,FALSE)</f>
        <v>#N/A</v>
      </c>
      <c r="B62" s="3" t="e">
        <f>VLOOKUP(E62,'[1]Listas Desplegables'!$H$3:$J$7,3,FALSE)</f>
        <v>#N/A</v>
      </c>
      <c r="C62" s="7">
        <v>57</v>
      </c>
      <c r="D62" s="172" t="s">
        <v>776</v>
      </c>
      <c r="E62" s="162" t="s">
        <v>776</v>
      </c>
      <c r="F62" s="172">
        <v>34.5</v>
      </c>
      <c r="G62" s="164">
        <v>13.8</v>
      </c>
      <c r="H62" s="150">
        <v>12.5</v>
      </c>
      <c r="I62" s="150" t="s">
        <v>752</v>
      </c>
      <c r="J62" s="150">
        <v>7</v>
      </c>
      <c r="K62" s="150">
        <v>7</v>
      </c>
      <c r="L62" s="164">
        <v>3</v>
      </c>
      <c r="M62" s="164">
        <v>5</v>
      </c>
      <c r="N62" s="164">
        <v>1</v>
      </c>
      <c r="O62" s="164"/>
      <c r="P62" s="164">
        <v>120</v>
      </c>
      <c r="Q62" s="164">
        <v>30</v>
      </c>
      <c r="R62" s="164" t="s">
        <v>113</v>
      </c>
      <c r="S62" s="168"/>
      <c r="T62" s="164" t="s">
        <v>106</v>
      </c>
      <c r="U62" s="164"/>
      <c r="V62" s="171">
        <v>6</v>
      </c>
      <c r="W62" s="171">
        <v>6</v>
      </c>
      <c r="X62" s="171">
        <v>1</v>
      </c>
      <c r="Y62" s="150" t="s">
        <v>664</v>
      </c>
      <c r="Z62" s="10" t="s">
        <v>270</v>
      </c>
      <c r="AA62" s="25"/>
    </row>
    <row r="63" spans="1:27" x14ac:dyDescent="0.3">
      <c r="A63" s="3" t="e">
        <f>VLOOKUP(E63,'[1]Listas Desplegables'!$H$3:$J$7,2,FALSE)</f>
        <v>#N/A</v>
      </c>
      <c r="B63" s="3" t="e">
        <f>VLOOKUP(E63,'[1]Listas Desplegables'!$H$3:$J$7,3,FALSE)</f>
        <v>#N/A</v>
      </c>
      <c r="C63" s="8">
        <v>58</v>
      </c>
      <c r="D63" s="172" t="s">
        <v>608</v>
      </c>
      <c r="E63" s="162" t="s">
        <v>608</v>
      </c>
      <c r="F63" s="172">
        <v>34.5</v>
      </c>
      <c r="G63" s="164">
        <v>13.8</v>
      </c>
      <c r="H63" s="150">
        <v>1</v>
      </c>
      <c r="I63" s="150" t="s">
        <v>752</v>
      </c>
      <c r="J63" s="150">
        <v>7</v>
      </c>
      <c r="K63" s="150">
        <v>7</v>
      </c>
      <c r="L63" s="164">
        <v>3</v>
      </c>
      <c r="M63" s="164">
        <v>5</v>
      </c>
      <c r="N63" s="164">
        <v>1</v>
      </c>
      <c r="O63" s="164"/>
      <c r="P63" s="164">
        <v>120</v>
      </c>
      <c r="Q63" s="164">
        <v>30</v>
      </c>
      <c r="R63" s="164" t="s">
        <v>113</v>
      </c>
      <c r="S63" s="168"/>
      <c r="T63" s="164" t="s">
        <v>106</v>
      </c>
      <c r="U63" s="164"/>
      <c r="V63" s="171">
        <v>3</v>
      </c>
      <c r="W63" s="171">
        <v>6</v>
      </c>
      <c r="X63" s="171">
        <v>2</v>
      </c>
      <c r="Y63" s="150" t="s">
        <v>664</v>
      </c>
      <c r="Z63" s="10" t="s">
        <v>270</v>
      </c>
      <c r="AA63" s="25"/>
    </row>
    <row r="64" spans="1:27" x14ac:dyDescent="0.3">
      <c r="A64" s="3" t="e">
        <f>VLOOKUP(E64,'[1]Listas Desplegables'!$H$3:$J$7,2,FALSE)</f>
        <v>#N/A</v>
      </c>
      <c r="B64" s="3" t="e">
        <f>VLOOKUP(E64,'[1]Listas Desplegables'!$H$3:$J$7,3,FALSE)</f>
        <v>#N/A</v>
      </c>
      <c r="C64" s="8">
        <v>59</v>
      </c>
      <c r="D64" s="172" t="s">
        <v>606</v>
      </c>
      <c r="E64" s="162" t="s">
        <v>606</v>
      </c>
      <c r="F64" s="172">
        <v>34.5</v>
      </c>
      <c r="G64" s="164">
        <v>13.8</v>
      </c>
      <c r="H64" s="150">
        <v>1</v>
      </c>
      <c r="I64" s="150" t="s">
        <v>752</v>
      </c>
      <c r="J64" s="150">
        <v>7</v>
      </c>
      <c r="K64" s="150">
        <v>7</v>
      </c>
      <c r="L64" s="164">
        <v>3</v>
      </c>
      <c r="M64" s="164">
        <v>5</v>
      </c>
      <c r="N64" s="164">
        <v>1</v>
      </c>
      <c r="O64" s="164"/>
      <c r="P64" s="164">
        <v>120</v>
      </c>
      <c r="Q64" s="164">
        <v>30</v>
      </c>
      <c r="R64" s="164" t="s">
        <v>113</v>
      </c>
      <c r="S64" s="168"/>
      <c r="T64" s="164" t="s">
        <v>106</v>
      </c>
      <c r="U64" s="164"/>
      <c r="V64" s="171">
        <v>6.25</v>
      </c>
      <c r="W64" s="171">
        <v>12.5</v>
      </c>
      <c r="X64" s="171">
        <v>2</v>
      </c>
      <c r="Y64" s="150" t="s">
        <v>664</v>
      </c>
      <c r="Z64" s="10" t="s">
        <v>270</v>
      </c>
      <c r="AA64" s="25"/>
    </row>
    <row r="65" spans="1:27" x14ac:dyDescent="0.3">
      <c r="A65" s="3" t="e">
        <f>VLOOKUP(E65,'[1]Listas Desplegables'!$H$3:$J$7,2,FALSE)</f>
        <v>#N/A</v>
      </c>
      <c r="B65" s="3" t="e">
        <f>VLOOKUP(E65,'[1]Listas Desplegables'!$H$3:$J$7,3,FALSE)</f>
        <v>#N/A</v>
      </c>
      <c r="C65" s="8">
        <v>60</v>
      </c>
      <c r="D65" s="172" t="s">
        <v>402</v>
      </c>
      <c r="E65" s="162" t="s">
        <v>402</v>
      </c>
      <c r="F65" s="172">
        <v>34.5</v>
      </c>
      <c r="G65" s="164">
        <v>13.8</v>
      </c>
      <c r="H65" s="150">
        <v>0.5</v>
      </c>
      <c r="I65" s="150" t="s">
        <v>752</v>
      </c>
      <c r="J65" s="150"/>
      <c r="K65" s="150"/>
      <c r="L65" s="164"/>
      <c r="M65" s="164"/>
      <c r="N65" s="164"/>
      <c r="O65" s="164"/>
      <c r="P65" s="164">
        <v>120</v>
      </c>
      <c r="Q65" s="164">
        <v>30</v>
      </c>
      <c r="R65" s="164" t="s">
        <v>113</v>
      </c>
      <c r="S65" s="168"/>
      <c r="T65" s="164" t="s">
        <v>106</v>
      </c>
      <c r="U65" s="164"/>
      <c r="V65" s="171">
        <v>3</v>
      </c>
      <c r="W65" s="171">
        <v>6</v>
      </c>
      <c r="X65" s="171">
        <v>2</v>
      </c>
      <c r="Y65" s="150" t="s">
        <v>664</v>
      </c>
      <c r="Z65" s="10" t="s">
        <v>270</v>
      </c>
      <c r="AA65" s="25"/>
    </row>
    <row r="66" spans="1:27" x14ac:dyDescent="0.3">
      <c r="A66" s="3" t="e">
        <f>VLOOKUP(E66,'[1]Listas Desplegables'!$H$3:$J$7,2,FALSE)</f>
        <v>#N/A</v>
      </c>
      <c r="B66" s="3" t="e">
        <f>VLOOKUP(E66,'[1]Listas Desplegables'!$H$3:$J$7,3,FALSE)</f>
        <v>#N/A</v>
      </c>
      <c r="C66" s="8">
        <v>61</v>
      </c>
      <c r="D66" s="172" t="s">
        <v>529</v>
      </c>
      <c r="E66" s="162" t="s">
        <v>529</v>
      </c>
      <c r="F66" s="172">
        <v>34.5</v>
      </c>
      <c r="G66" s="164">
        <v>13.8</v>
      </c>
      <c r="H66" s="150">
        <v>1.6</v>
      </c>
      <c r="I66" s="150" t="s">
        <v>752</v>
      </c>
      <c r="J66" s="150">
        <v>6.1</v>
      </c>
      <c r="K66" s="150">
        <v>6.1</v>
      </c>
      <c r="L66" s="164">
        <v>3</v>
      </c>
      <c r="M66" s="164">
        <v>5</v>
      </c>
      <c r="N66" s="164">
        <v>1</v>
      </c>
      <c r="O66" s="164"/>
      <c r="P66" s="164">
        <v>120</v>
      </c>
      <c r="Q66" s="164">
        <v>30</v>
      </c>
      <c r="R66" s="164" t="s">
        <v>113</v>
      </c>
      <c r="S66" s="168"/>
      <c r="T66" s="164" t="s">
        <v>106</v>
      </c>
      <c r="U66" s="164"/>
      <c r="V66" s="171">
        <v>4</v>
      </c>
      <c r="W66" s="171">
        <v>12</v>
      </c>
      <c r="X66" s="171">
        <v>3</v>
      </c>
      <c r="Y66" s="150" t="s">
        <v>664</v>
      </c>
      <c r="Z66" s="10" t="s">
        <v>270</v>
      </c>
      <c r="AA66" s="25"/>
    </row>
    <row r="67" spans="1:27" x14ac:dyDescent="0.3">
      <c r="A67" s="3" t="e">
        <f>VLOOKUP(E67,'[1]Listas Desplegables'!$H$3:$J$7,2,FALSE)</f>
        <v>#N/A</v>
      </c>
      <c r="B67" s="3" t="e">
        <f>VLOOKUP(E67,'[1]Listas Desplegables'!$H$3:$J$7,3,FALSE)</f>
        <v>#N/A</v>
      </c>
      <c r="C67" s="8">
        <v>62</v>
      </c>
      <c r="D67" s="172" t="s">
        <v>777</v>
      </c>
      <c r="E67" s="162" t="s">
        <v>777</v>
      </c>
      <c r="F67" s="172">
        <v>34.5</v>
      </c>
      <c r="G67" s="164">
        <v>13.8</v>
      </c>
      <c r="H67" s="150">
        <v>1</v>
      </c>
      <c r="I67" s="150" t="s">
        <v>752</v>
      </c>
      <c r="J67" s="150">
        <v>5</v>
      </c>
      <c r="K67" s="150">
        <v>5</v>
      </c>
      <c r="L67" s="164">
        <v>3</v>
      </c>
      <c r="M67" s="164">
        <v>5</v>
      </c>
      <c r="N67" s="164">
        <v>1</v>
      </c>
      <c r="O67" s="164"/>
      <c r="P67" s="164">
        <v>120</v>
      </c>
      <c r="Q67" s="164">
        <v>30</v>
      </c>
      <c r="R67" s="164" t="s">
        <v>113</v>
      </c>
      <c r="S67" s="168"/>
      <c r="T67" s="164" t="s">
        <v>106</v>
      </c>
      <c r="U67" s="164"/>
      <c r="V67" s="171">
        <v>4</v>
      </c>
      <c r="W67" s="171">
        <v>12</v>
      </c>
      <c r="X67" s="171">
        <v>3</v>
      </c>
      <c r="Y67" s="150" t="s">
        <v>664</v>
      </c>
      <c r="Z67" s="10" t="s">
        <v>270</v>
      </c>
      <c r="AA67" s="25"/>
    </row>
    <row r="68" spans="1:27" x14ac:dyDescent="0.3">
      <c r="A68" s="3" t="e">
        <f>VLOOKUP(E68,'[1]Listas Desplegables'!$H$3:$J$7,2,FALSE)</f>
        <v>#N/A</v>
      </c>
      <c r="B68" s="3" t="e">
        <f>VLOOKUP(E68,'[1]Listas Desplegables'!$H$3:$J$7,3,FALSE)</f>
        <v>#N/A</v>
      </c>
      <c r="C68" s="8">
        <v>63</v>
      </c>
      <c r="D68" s="172" t="s">
        <v>495</v>
      </c>
      <c r="E68" s="162" t="s">
        <v>495</v>
      </c>
      <c r="F68" s="172">
        <v>34.5</v>
      </c>
      <c r="G68" s="164">
        <v>13.8</v>
      </c>
      <c r="H68" s="150">
        <v>0.5</v>
      </c>
      <c r="I68" s="150" t="s">
        <v>769</v>
      </c>
      <c r="J68" s="150">
        <v>7</v>
      </c>
      <c r="K68" s="150">
        <v>7</v>
      </c>
      <c r="L68" s="164">
        <v>3</v>
      </c>
      <c r="M68" s="164">
        <v>5</v>
      </c>
      <c r="N68" s="164">
        <v>1</v>
      </c>
      <c r="O68" s="164"/>
      <c r="P68" s="164">
        <v>120</v>
      </c>
      <c r="Q68" s="164">
        <v>30</v>
      </c>
      <c r="R68" s="164" t="s">
        <v>113</v>
      </c>
      <c r="S68" s="168"/>
      <c r="T68" s="164" t="s">
        <v>106</v>
      </c>
      <c r="U68" s="164"/>
      <c r="V68" s="171">
        <v>3</v>
      </c>
      <c r="W68" s="171">
        <v>6</v>
      </c>
      <c r="X68" s="171">
        <v>2</v>
      </c>
      <c r="Y68" s="150" t="s">
        <v>664</v>
      </c>
      <c r="Z68" s="10" t="s">
        <v>270</v>
      </c>
      <c r="AA68" s="25"/>
    </row>
    <row r="69" spans="1:27" x14ac:dyDescent="0.3">
      <c r="A69" s="3" t="e">
        <f>VLOOKUP(E69,'[1]Listas Desplegables'!$H$3:$J$7,2,FALSE)</f>
        <v>#N/A</v>
      </c>
      <c r="B69" s="3" t="e">
        <f>VLOOKUP(E69,'[1]Listas Desplegables'!$H$3:$J$7,3,FALSE)</f>
        <v>#N/A</v>
      </c>
      <c r="C69" s="7">
        <v>64</v>
      </c>
      <c r="D69" s="172" t="s">
        <v>599</v>
      </c>
      <c r="E69" s="162" t="s">
        <v>599</v>
      </c>
      <c r="F69" s="172">
        <v>34.5</v>
      </c>
      <c r="G69" s="164">
        <v>13.8</v>
      </c>
      <c r="H69" s="150">
        <v>1.5</v>
      </c>
      <c r="I69" s="150" t="s">
        <v>752</v>
      </c>
      <c r="J69" s="150">
        <v>7</v>
      </c>
      <c r="K69" s="150">
        <v>7</v>
      </c>
      <c r="L69" s="164">
        <v>3</v>
      </c>
      <c r="M69" s="164">
        <v>5</v>
      </c>
      <c r="N69" s="164">
        <v>1</v>
      </c>
      <c r="O69" s="164"/>
      <c r="P69" s="164">
        <v>120</v>
      </c>
      <c r="Q69" s="164">
        <v>30</v>
      </c>
      <c r="R69" s="164" t="s">
        <v>113</v>
      </c>
      <c r="S69" s="168"/>
      <c r="T69" s="164" t="s">
        <v>106</v>
      </c>
      <c r="U69" s="164"/>
      <c r="V69" s="171">
        <v>3</v>
      </c>
      <c r="W69" s="171">
        <v>6</v>
      </c>
      <c r="X69" s="171">
        <v>2</v>
      </c>
      <c r="Y69" s="150" t="s">
        <v>664</v>
      </c>
      <c r="Z69" s="10" t="s">
        <v>270</v>
      </c>
      <c r="AA69" s="25"/>
    </row>
    <row r="70" spans="1:27" x14ac:dyDescent="0.3">
      <c r="A70" s="3" t="e">
        <f>VLOOKUP(E70,'[1]Listas Desplegables'!$H$3:$J$7,2,FALSE)</f>
        <v>#N/A</v>
      </c>
      <c r="B70" s="3" t="e">
        <f>VLOOKUP(E70,'[1]Listas Desplegables'!$H$3:$J$7,3,FALSE)</f>
        <v>#N/A</v>
      </c>
      <c r="C70" s="8">
        <v>65</v>
      </c>
      <c r="D70" s="172" t="s">
        <v>413</v>
      </c>
      <c r="E70" s="162" t="s">
        <v>413</v>
      </c>
      <c r="F70" s="172">
        <v>34.5</v>
      </c>
      <c r="G70" s="164">
        <v>13.8</v>
      </c>
      <c r="H70" s="150">
        <v>2</v>
      </c>
      <c r="I70" s="150" t="s">
        <v>752</v>
      </c>
      <c r="J70" s="150">
        <v>7</v>
      </c>
      <c r="K70" s="150">
        <v>7</v>
      </c>
      <c r="L70" s="164">
        <v>3</v>
      </c>
      <c r="M70" s="164">
        <v>5</v>
      </c>
      <c r="N70" s="164">
        <v>1</v>
      </c>
      <c r="O70" s="164"/>
      <c r="P70" s="164">
        <v>120</v>
      </c>
      <c r="Q70" s="164">
        <v>30</v>
      </c>
      <c r="R70" s="164" t="s">
        <v>113</v>
      </c>
      <c r="S70" s="168"/>
      <c r="T70" s="164" t="s">
        <v>106</v>
      </c>
      <c r="U70" s="164"/>
      <c r="V70" s="171">
        <v>3</v>
      </c>
      <c r="W70" s="171">
        <v>6</v>
      </c>
      <c r="X70" s="171">
        <v>2</v>
      </c>
      <c r="Y70" s="150" t="s">
        <v>664</v>
      </c>
      <c r="Z70" s="10" t="s">
        <v>270</v>
      </c>
      <c r="AA70" s="25"/>
    </row>
    <row r="71" spans="1:27" x14ac:dyDescent="0.3">
      <c r="A71" s="3" t="e">
        <f>VLOOKUP(E71,'[1]Listas Desplegables'!$H$3:$J$7,2,FALSE)</f>
        <v>#N/A</v>
      </c>
      <c r="B71" s="3" t="e">
        <f>VLOOKUP(E71,'[1]Listas Desplegables'!$H$3:$J$7,3,FALSE)</f>
        <v>#N/A</v>
      </c>
      <c r="C71" s="8">
        <v>66</v>
      </c>
      <c r="D71" s="172" t="s">
        <v>615</v>
      </c>
      <c r="E71" s="162" t="s">
        <v>615</v>
      </c>
      <c r="F71" s="172">
        <v>34.5</v>
      </c>
      <c r="G71" s="164">
        <v>13.8</v>
      </c>
      <c r="H71" s="150">
        <v>3</v>
      </c>
      <c r="I71" s="150" t="s">
        <v>752</v>
      </c>
      <c r="J71" s="150">
        <v>7</v>
      </c>
      <c r="K71" s="150">
        <v>7</v>
      </c>
      <c r="L71" s="164">
        <v>3</v>
      </c>
      <c r="M71" s="164">
        <v>5</v>
      </c>
      <c r="N71" s="164">
        <v>1</v>
      </c>
      <c r="O71" s="164"/>
      <c r="P71" s="164">
        <v>120</v>
      </c>
      <c r="Q71" s="164">
        <v>30</v>
      </c>
      <c r="R71" s="164" t="s">
        <v>113</v>
      </c>
      <c r="S71" s="168"/>
      <c r="T71" s="164" t="s">
        <v>106</v>
      </c>
      <c r="U71" s="164"/>
      <c r="V71" s="171">
        <v>3</v>
      </c>
      <c r="W71" s="171">
        <v>6</v>
      </c>
      <c r="X71" s="171">
        <v>2</v>
      </c>
      <c r="Y71" s="150" t="s">
        <v>664</v>
      </c>
      <c r="Z71" s="10" t="s">
        <v>270</v>
      </c>
      <c r="AA71" s="25"/>
    </row>
    <row r="72" spans="1:27" x14ac:dyDescent="0.3">
      <c r="A72" s="3" t="e">
        <f>VLOOKUP(E72,'[1]Listas Desplegables'!$H$3:$J$7,2,FALSE)</f>
        <v>#N/A</v>
      </c>
      <c r="B72" s="3" t="e">
        <f>VLOOKUP(E72,'[1]Listas Desplegables'!$H$3:$J$7,3,FALSE)</f>
        <v>#N/A</v>
      </c>
      <c r="C72" s="8">
        <v>67</v>
      </c>
      <c r="D72" s="172" t="s">
        <v>385</v>
      </c>
      <c r="E72" s="162" t="s">
        <v>385</v>
      </c>
      <c r="F72" s="172">
        <v>34.5</v>
      </c>
      <c r="G72" s="164">
        <v>13.8</v>
      </c>
      <c r="H72" s="150">
        <v>3</v>
      </c>
      <c r="I72" s="150" t="s">
        <v>769</v>
      </c>
      <c r="J72" s="150">
        <v>7</v>
      </c>
      <c r="K72" s="150">
        <v>7</v>
      </c>
      <c r="L72" s="164">
        <v>3</v>
      </c>
      <c r="M72" s="164">
        <v>5</v>
      </c>
      <c r="N72" s="164">
        <v>1</v>
      </c>
      <c r="O72" s="164"/>
      <c r="P72" s="164">
        <v>120</v>
      </c>
      <c r="Q72" s="164">
        <v>30</v>
      </c>
      <c r="R72" s="164" t="s">
        <v>113</v>
      </c>
      <c r="S72" s="168"/>
      <c r="T72" s="164" t="s">
        <v>106</v>
      </c>
      <c r="U72" s="164"/>
      <c r="V72" s="171">
        <v>3.9180000000000001</v>
      </c>
      <c r="W72" s="171">
        <v>15.672000000000001</v>
      </c>
      <c r="X72" s="171">
        <v>4</v>
      </c>
      <c r="Y72" s="150" t="s">
        <v>664</v>
      </c>
      <c r="Z72" s="10" t="s">
        <v>270</v>
      </c>
      <c r="AA72" s="25"/>
    </row>
    <row r="73" spans="1:27" x14ac:dyDescent="0.3">
      <c r="A73" s="3" t="e">
        <f>VLOOKUP(E73,'[1]Listas Desplegables'!$H$3:$J$7,2,FALSE)</f>
        <v>#N/A</v>
      </c>
      <c r="B73" s="3" t="e">
        <f>VLOOKUP(E73,'[1]Listas Desplegables'!$H$3:$J$7,3,FALSE)</f>
        <v>#N/A</v>
      </c>
      <c r="C73" s="8">
        <v>68</v>
      </c>
      <c r="D73" s="172" t="s">
        <v>514</v>
      </c>
      <c r="E73" s="162" t="s">
        <v>514</v>
      </c>
      <c r="F73" s="172">
        <v>34.5</v>
      </c>
      <c r="G73" s="164">
        <v>13.8</v>
      </c>
      <c r="H73" s="150">
        <v>20</v>
      </c>
      <c r="I73" s="150" t="s">
        <v>752</v>
      </c>
      <c r="J73" s="150">
        <v>7</v>
      </c>
      <c r="K73" s="150">
        <v>7</v>
      </c>
      <c r="L73" s="164">
        <v>3</v>
      </c>
      <c r="M73" s="164">
        <v>5</v>
      </c>
      <c r="N73" s="164">
        <v>1</v>
      </c>
      <c r="O73" s="164"/>
      <c r="P73" s="164">
        <v>120</v>
      </c>
      <c r="Q73" s="164">
        <v>30</v>
      </c>
      <c r="R73" s="164" t="s">
        <v>113</v>
      </c>
      <c r="S73" s="168"/>
      <c r="T73" s="164" t="s">
        <v>106</v>
      </c>
      <c r="U73" s="164"/>
      <c r="V73" s="171">
        <v>10</v>
      </c>
      <c r="W73" s="171">
        <v>10</v>
      </c>
      <c r="X73" s="171">
        <v>1</v>
      </c>
      <c r="Y73" s="150" t="s">
        <v>664</v>
      </c>
      <c r="Z73" s="10" t="s">
        <v>270</v>
      </c>
      <c r="AA73" s="25"/>
    </row>
    <row r="74" spans="1:27" x14ac:dyDescent="0.3">
      <c r="A74" s="3" t="e">
        <f>VLOOKUP(E74,'[1]Listas Desplegables'!$H$3:$J$7,2,FALSE)</f>
        <v>#N/A</v>
      </c>
      <c r="B74" s="3" t="e">
        <f>VLOOKUP(E74,'[1]Listas Desplegables'!$H$3:$J$7,3,FALSE)</f>
        <v>#N/A</v>
      </c>
      <c r="C74" s="8">
        <v>69</v>
      </c>
      <c r="D74" s="172" t="s">
        <v>778</v>
      </c>
      <c r="E74" s="162" t="s">
        <v>778</v>
      </c>
      <c r="F74" s="172">
        <v>34.5</v>
      </c>
      <c r="G74" s="164">
        <v>13.8</v>
      </c>
      <c r="H74" s="150">
        <v>15</v>
      </c>
      <c r="I74" s="150" t="s">
        <v>752</v>
      </c>
      <c r="J74" s="150">
        <v>9.9</v>
      </c>
      <c r="K74" s="150">
        <v>9.9</v>
      </c>
      <c r="L74" s="164">
        <v>3</v>
      </c>
      <c r="M74" s="164">
        <v>5</v>
      </c>
      <c r="N74" s="164">
        <v>1</v>
      </c>
      <c r="O74" s="164"/>
      <c r="P74" s="164">
        <v>120</v>
      </c>
      <c r="Q74" s="164">
        <v>30</v>
      </c>
      <c r="R74" s="164" t="s">
        <v>113</v>
      </c>
      <c r="S74" s="168"/>
      <c r="T74" s="164" t="s">
        <v>106</v>
      </c>
      <c r="U74" s="164"/>
      <c r="V74" s="171">
        <v>10</v>
      </c>
      <c r="W74" s="171">
        <v>10</v>
      </c>
      <c r="X74" s="171">
        <v>1</v>
      </c>
      <c r="Y74" s="150" t="s">
        <v>664</v>
      </c>
      <c r="Z74" s="10" t="s">
        <v>270</v>
      </c>
      <c r="AA74" s="25"/>
    </row>
    <row r="75" spans="1:27" x14ac:dyDescent="0.3">
      <c r="A75" s="3" t="e">
        <f>VLOOKUP(E75,'[1]Listas Desplegables'!$H$3:$J$7,2,FALSE)</f>
        <v>#N/A</v>
      </c>
      <c r="B75" s="3" t="e">
        <f>VLOOKUP(E75,'[1]Listas Desplegables'!$H$3:$J$7,3,FALSE)</f>
        <v>#N/A</v>
      </c>
      <c r="C75" s="8">
        <v>70</v>
      </c>
      <c r="D75" s="172" t="s">
        <v>611</v>
      </c>
      <c r="E75" s="162" t="s">
        <v>611</v>
      </c>
      <c r="F75" s="172">
        <v>34.5</v>
      </c>
      <c r="G75" s="164">
        <v>13.8</v>
      </c>
      <c r="H75" s="150">
        <v>15</v>
      </c>
      <c r="I75" s="150" t="s">
        <v>752</v>
      </c>
      <c r="J75" s="150">
        <v>7</v>
      </c>
      <c r="K75" s="150">
        <v>7</v>
      </c>
      <c r="L75" s="164">
        <v>3</v>
      </c>
      <c r="M75" s="164">
        <v>5</v>
      </c>
      <c r="N75" s="164">
        <v>1</v>
      </c>
      <c r="O75" s="164"/>
      <c r="P75" s="164">
        <v>120</v>
      </c>
      <c r="Q75" s="164">
        <v>30</v>
      </c>
      <c r="R75" s="164" t="s">
        <v>113</v>
      </c>
      <c r="S75" s="168"/>
      <c r="T75" s="164" t="s">
        <v>106</v>
      </c>
      <c r="U75" s="164"/>
      <c r="V75" s="171">
        <v>1.7035</v>
      </c>
      <c r="W75" s="171">
        <v>3.407</v>
      </c>
      <c r="X75" s="171">
        <v>2</v>
      </c>
      <c r="Y75" s="150" t="s">
        <v>664</v>
      </c>
      <c r="Z75" s="10" t="s">
        <v>270</v>
      </c>
      <c r="AA75" s="25"/>
    </row>
    <row r="76" spans="1:27" x14ac:dyDescent="0.3">
      <c r="A76" s="3" t="e">
        <f>VLOOKUP(E76,'[1]Listas Desplegables'!$H$3:$J$7,2,FALSE)</f>
        <v>#N/A</v>
      </c>
      <c r="B76" s="3" t="e">
        <f>VLOOKUP(E76,'[1]Listas Desplegables'!$H$3:$J$7,3,FALSE)</f>
        <v>#N/A</v>
      </c>
      <c r="C76" s="7">
        <v>71</v>
      </c>
      <c r="D76" s="172" t="s">
        <v>478</v>
      </c>
      <c r="E76" s="162" t="s">
        <v>478</v>
      </c>
      <c r="F76" s="172">
        <v>34.5</v>
      </c>
      <c r="G76" s="164">
        <v>13.8</v>
      </c>
      <c r="H76" s="150">
        <v>1.6</v>
      </c>
      <c r="I76" s="150" t="s">
        <v>752</v>
      </c>
      <c r="J76" s="150">
        <v>7</v>
      </c>
      <c r="K76" s="150">
        <v>7</v>
      </c>
      <c r="L76" s="164">
        <v>3</v>
      </c>
      <c r="M76" s="164">
        <v>5</v>
      </c>
      <c r="N76" s="164">
        <v>1</v>
      </c>
      <c r="O76" s="164"/>
      <c r="P76" s="164">
        <v>120</v>
      </c>
      <c r="Q76" s="164">
        <v>30</v>
      </c>
      <c r="R76" s="164" t="s">
        <v>113</v>
      </c>
      <c r="S76" s="168"/>
      <c r="T76" s="164" t="s">
        <v>106</v>
      </c>
      <c r="U76" s="164"/>
      <c r="V76" s="171">
        <v>3</v>
      </c>
      <c r="W76" s="171">
        <v>6</v>
      </c>
      <c r="X76" s="171">
        <v>2</v>
      </c>
      <c r="Y76" s="150" t="s">
        <v>664</v>
      </c>
      <c r="Z76" s="10" t="s">
        <v>270</v>
      </c>
      <c r="AA76" s="25"/>
    </row>
    <row r="77" spans="1:27" x14ac:dyDescent="0.3">
      <c r="A77" s="3" t="e">
        <f>VLOOKUP(E77,'[1]Listas Desplegables'!$H$3:$J$7,2,FALSE)</f>
        <v>#N/A</v>
      </c>
      <c r="B77" s="3" t="e">
        <f>VLOOKUP(E77,'[1]Listas Desplegables'!$H$3:$J$7,3,FALSE)</f>
        <v>#N/A</v>
      </c>
      <c r="C77" s="8">
        <v>72</v>
      </c>
      <c r="D77" s="172" t="s">
        <v>619</v>
      </c>
      <c r="E77" s="162" t="s">
        <v>619</v>
      </c>
      <c r="F77" s="172">
        <v>34.5</v>
      </c>
      <c r="G77" s="164">
        <v>13.8</v>
      </c>
      <c r="H77" s="150">
        <v>1.6</v>
      </c>
      <c r="I77" s="150" t="s">
        <v>752</v>
      </c>
      <c r="J77" s="150">
        <v>7</v>
      </c>
      <c r="K77" s="150">
        <v>7</v>
      </c>
      <c r="L77" s="164">
        <v>3</v>
      </c>
      <c r="M77" s="164">
        <v>5</v>
      </c>
      <c r="N77" s="164">
        <v>1</v>
      </c>
      <c r="O77" s="164"/>
      <c r="P77" s="164">
        <v>120</v>
      </c>
      <c r="Q77" s="164">
        <v>30</v>
      </c>
      <c r="R77" s="164" t="s">
        <v>113</v>
      </c>
      <c r="S77" s="168"/>
      <c r="T77" s="164" t="s">
        <v>106</v>
      </c>
      <c r="U77" s="164"/>
      <c r="V77" s="171">
        <v>3</v>
      </c>
      <c r="W77" s="171">
        <v>3</v>
      </c>
      <c r="X77" s="171">
        <v>1</v>
      </c>
      <c r="Y77" s="150" t="s">
        <v>664</v>
      </c>
      <c r="Z77" s="10" t="s">
        <v>270</v>
      </c>
      <c r="AA77" s="25"/>
    </row>
    <row r="78" spans="1:27" x14ac:dyDescent="0.3">
      <c r="A78" s="3" t="e">
        <f>VLOOKUP(E78,'[1]Listas Desplegables'!$H$3:$J$7,2,FALSE)</f>
        <v>#N/A</v>
      </c>
      <c r="B78" s="3" t="e">
        <f>VLOOKUP(E78,'[1]Listas Desplegables'!$H$3:$J$7,3,FALSE)</f>
        <v>#N/A</v>
      </c>
      <c r="C78" s="8">
        <v>73</v>
      </c>
      <c r="D78" s="172" t="s">
        <v>407</v>
      </c>
      <c r="E78" s="162" t="s">
        <v>407</v>
      </c>
      <c r="F78" s="172">
        <v>34.5</v>
      </c>
      <c r="G78" s="164">
        <v>13.8</v>
      </c>
      <c r="H78" s="150">
        <v>1.6</v>
      </c>
      <c r="I78" s="150" t="s">
        <v>752</v>
      </c>
      <c r="J78" s="150">
        <v>5.7</v>
      </c>
      <c r="K78" s="150">
        <v>5.7</v>
      </c>
      <c r="L78" s="164">
        <v>3</v>
      </c>
      <c r="M78" s="164">
        <v>5</v>
      </c>
      <c r="N78" s="164">
        <v>1</v>
      </c>
      <c r="O78" s="164"/>
      <c r="P78" s="164">
        <v>120</v>
      </c>
      <c r="Q78" s="164">
        <v>30</v>
      </c>
      <c r="R78" s="164" t="s">
        <v>113</v>
      </c>
      <c r="S78" s="168"/>
      <c r="T78" s="164" t="s">
        <v>106</v>
      </c>
      <c r="U78" s="164"/>
      <c r="V78" s="171">
        <v>3.0016666666666669</v>
      </c>
      <c r="W78" s="171">
        <v>9.0050000000000008</v>
      </c>
      <c r="X78" s="171">
        <v>3</v>
      </c>
      <c r="Y78" s="150" t="s">
        <v>664</v>
      </c>
      <c r="Z78" s="10" t="s">
        <v>270</v>
      </c>
      <c r="AA78" s="25"/>
    </row>
    <row r="79" spans="1:27" x14ac:dyDescent="0.3">
      <c r="A79" s="3" t="e">
        <f>VLOOKUP(E79,'[1]Listas Desplegables'!$H$3:$J$7,2,FALSE)</f>
        <v>#N/A</v>
      </c>
      <c r="B79" s="3" t="e">
        <f>VLOOKUP(E79,'[1]Listas Desplegables'!$H$3:$J$7,3,FALSE)</f>
        <v>#N/A</v>
      </c>
      <c r="C79" s="8">
        <v>74</v>
      </c>
      <c r="D79" s="172" t="s">
        <v>623</v>
      </c>
      <c r="E79" s="162" t="s">
        <v>623</v>
      </c>
      <c r="F79" s="172">
        <v>34.5</v>
      </c>
      <c r="G79" s="164">
        <v>13.8</v>
      </c>
      <c r="H79" s="150">
        <v>1.6</v>
      </c>
      <c r="I79" s="150" t="s">
        <v>769</v>
      </c>
      <c r="J79" s="150">
        <v>7</v>
      </c>
      <c r="K79" s="150">
        <v>7</v>
      </c>
      <c r="L79" s="164">
        <v>3</v>
      </c>
      <c r="M79" s="164">
        <v>5</v>
      </c>
      <c r="N79" s="164">
        <v>1</v>
      </c>
      <c r="O79" s="164"/>
      <c r="P79" s="164">
        <v>120</v>
      </c>
      <c r="Q79" s="164">
        <v>30</v>
      </c>
      <c r="R79" s="164" t="s">
        <v>113</v>
      </c>
      <c r="S79" s="168"/>
      <c r="T79" s="164" t="s">
        <v>106</v>
      </c>
      <c r="U79" s="164"/>
      <c r="V79" s="171">
        <v>3</v>
      </c>
      <c r="W79" s="171">
        <v>3</v>
      </c>
      <c r="X79" s="171">
        <v>1</v>
      </c>
      <c r="Y79" s="150" t="s">
        <v>664</v>
      </c>
      <c r="Z79" s="10" t="s">
        <v>270</v>
      </c>
      <c r="AA79" s="25"/>
    </row>
    <row r="80" spans="1:27" x14ac:dyDescent="0.3">
      <c r="A80" s="3" t="e">
        <f>VLOOKUP(E80,'[1]Listas Desplegables'!$H$3:$J$7,2,FALSE)</f>
        <v>#N/A</v>
      </c>
      <c r="B80" s="3" t="e">
        <f>VLOOKUP(E80,'[1]Listas Desplegables'!$H$3:$J$7,3,FALSE)</f>
        <v>#N/A</v>
      </c>
      <c r="C80" s="8">
        <v>75</v>
      </c>
      <c r="D80" s="172" t="s">
        <v>558</v>
      </c>
      <c r="E80" s="162" t="s">
        <v>558</v>
      </c>
      <c r="F80" s="172">
        <v>34.5</v>
      </c>
      <c r="G80" s="164">
        <v>13.8</v>
      </c>
      <c r="H80" s="150">
        <v>1.6</v>
      </c>
      <c r="I80" s="150" t="s">
        <v>752</v>
      </c>
      <c r="J80" s="150">
        <v>7</v>
      </c>
      <c r="K80" s="150">
        <v>7</v>
      </c>
      <c r="L80" s="164">
        <v>3</v>
      </c>
      <c r="M80" s="164">
        <v>5</v>
      </c>
      <c r="N80" s="164">
        <v>1</v>
      </c>
      <c r="O80" s="164"/>
      <c r="P80" s="164">
        <v>120</v>
      </c>
      <c r="Q80" s="164">
        <v>30</v>
      </c>
      <c r="R80" s="164" t="s">
        <v>113</v>
      </c>
      <c r="S80" s="168"/>
      <c r="T80" s="164" t="s">
        <v>106</v>
      </c>
      <c r="U80" s="164"/>
      <c r="V80" s="171">
        <v>3</v>
      </c>
      <c r="W80" s="171">
        <v>6</v>
      </c>
      <c r="X80" s="171">
        <v>2</v>
      </c>
      <c r="Y80" s="150" t="s">
        <v>664</v>
      </c>
      <c r="Z80" s="10" t="s">
        <v>270</v>
      </c>
      <c r="AA80" s="25"/>
    </row>
    <row r="81" spans="1:27" x14ac:dyDescent="0.3">
      <c r="A81" s="3" t="e">
        <f>VLOOKUP(E81,'[1]Listas Desplegables'!$H$3:$J$7,2,FALSE)</f>
        <v>#N/A</v>
      </c>
      <c r="B81" s="3" t="e">
        <f>VLOOKUP(E81,'[1]Listas Desplegables'!$H$3:$J$7,3,FALSE)</f>
        <v>#N/A</v>
      </c>
      <c r="C81" s="8">
        <v>76</v>
      </c>
      <c r="D81" s="172" t="s">
        <v>414</v>
      </c>
      <c r="E81" s="162" t="s">
        <v>414</v>
      </c>
      <c r="F81" s="172">
        <v>34.5</v>
      </c>
      <c r="G81" s="164">
        <v>13.8</v>
      </c>
      <c r="H81" s="150">
        <v>0.5</v>
      </c>
      <c r="I81" s="150" t="s">
        <v>752</v>
      </c>
      <c r="J81" s="150">
        <v>7</v>
      </c>
      <c r="K81" s="150">
        <v>7</v>
      </c>
      <c r="L81" s="164">
        <v>3</v>
      </c>
      <c r="M81" s="164">
        <v>5</v>
      </c>
      <c r="N81" s="164">
        <v>1</v>
      </c>
      <c r="O81" s="164"/>
      <c r="P81" s="164">
        <v>120</v>
      </c>
      <c r="Q81" s="164">
        <v>30</v>
      </c>
      <c r="R81" s="164" t="s">
        <v>113</v>
      </c>
      <c r="S81" s="168"/>
      <c r="T81" s="164" t="s">
        <v>106</v>
      </c>
      <c r="U81" s="164"/>
      <c r="V81" s="171">
        <v>3</v>
      </c>
      <c r="W81" s="171">
        <v>6</v>
      </c>
      <c r="X81" s="171">
        <v>2</v>
      </c>
      <c r="Y81" s="150" t="s">
        <v>664</v>
      </c>
      <c r="Z81" s="10" t="s">
        <v>270</v>
      </c>
      <c r="AA81" s="25"/>
    </row>
    <row r="82" spans="1:27" x14ac:dyDescent="0.3">
      <c r="A82" s="3" t="e">
        <f>VLOOKUP(E82,'[1]Listas Desplegables'!$H$3:$J$7,2,FALSE)</f>
        <v>#N/A</v>
      </c>
      <c r="B82" s="3" t="e">
        <f>VLOOKUP(E82,'[1]Listas Desplegables'!$H$3:$J$7,3,FALSE)</f>
        <v>#N/A</v>
      </c>
      <c r="C82" s="8">
        <v>77</v>
      </c>
      <c r="D82" s="172" t="s">
        <v>603</v>
      </c>
      <c r="E82" s="162" t="s">
        <v>603</v>
      </c>
      <c r="F82" s="172">
        <v>34.5</v>
      </c>
      <c r="G82" s="164">
        <v>13.8</v>
      </c>
      <c r="H82" s="150">
        <v>1.5</v>
      </c>
      <c r="I82" s="150" t="s">
        <v>754</v>
      </c>
      <c r="J82" s="150">
        <v>7</v>
      </c>
      <c r="K82" s="150">
        <v>7</v>
      </c>
      <c r="L82" s="164">
        <v>3</v>
      </c>
      <c r="M82" s="164">
        <v>5</v>
      </c>
      <c r="N82" s="164">
        <v>1</v>
      </c>
      <c r="O82" s="164"/>
      <c r="P82" s="164">
        <v>120</v>
      </c>
      <c r="Q82" s="164">
        <v>30</v>
      </c>
      <c r="R82" s="164" t="s">
        <v>113</v>
      </c>
      <c r="S82" s="168"/>
      <c r="T82" s="164" t="s">
        <v>106</v>
      </c>
      <c r="U82" s="164"/>
      <c r="V82" s="171">
        <v>5.166666666666667</v>
      </c>
      <c r="W82" s="171">
        <v>15.5</v>
      </c>
      <c r="X82" s="171">
        <v>3</v>
      </c>
      <c r="Y82" s="150" t="s">
        <v>664</v>
      </c>
      <c r="Z82" s="10" t="s">
        <v>270</v>
      </c>
      <c r="AA82" s="25"/>
    </row>
    <row r="83" spans="1:27" x14ac:dyDescent="0.3">
      <c r="A83" s="3" t="e">
        <f>VLOOKUP(E83,'[1]Listas Desplegables'!$H$3:$J$7,2,FALSE)</f>
        <v>#N/A</v>
      </c>
      <c r="B83" s="3" t="e">
        <f>VLOOKUP(E83,'[1]Listas Desplegables'!$H$3:$J$7,3,FALSE)</f>
        <v>#N/A</v>
      </c>
      <c r="C83" s="7">
        <v>78</v>
      </c>
      <c r="D83" s="172" t="s">
        <v>589</v>
      </c>
      <c r="E83" s="162" t="s">
        <v>589</v>
      </c>
      <c r="F83" s="172">
        <v>34.5</v>
      </c>
      <c r="G83" s="164">
        <v>13.8</v>
      </c>
      <c r="H83" s="150">
        <v>3</v>
      </c>
      <c r="I83" s="150" t="s">
        <v>769</v>
      </c>
      <c r="J83" s="150">
        <v>7</v>
      </c>
      <c r="K83" s="150">
        <v>7</v>
      </c>
      <c r="L83" s="164">
        <v>3</v>
      </c>
      <c r="M83" s="164">
        <v>5</v>
      </c>
      <c r="N83" s="164">
        <v>1</v>
      </c>
      <c r="O83" s="164"/>
      <c r="P83" s="164">
        <v>120</v>
      </c>
      <c r="Q83" s="164">
        <v>30</v>
      </c>
      <c r="R83" s="164" t="s">
        <v>113</v>
      </c>
      <c r="S83" s="168"/>
      <c r="T83" s="164" t="s">
        <v>106</v>
      </c>
      <c r="U83" s="164"/>
      <c r="V83" s="171">
        <v>3</v>
      </c>
      <c r="W83" s="171">
        <v>6</v>
      </c>
      <c r="X83" s="171">
        <v>2</v>
      </c>
      <c r="Y83" s="150" t="s">
        <v>664</v>
      </c>
      <c r="Z83" s="10" t="s">
        <v>270</v>
      </c>
      <c r="AA83" s="25"/>
    </row>
    <row r="84" spans="1:27" x14ac:dyDescent="0.3">
      <c r="A84" s="3" t="e">
        <f>VLOOKUP(E84,'[1]Listas Desplegables'!$H$3:$J$7,2,FALSE)</f>
        <v>#N/A</v>
      </c>
      <c r="B84" s="3" t="e">
        <f>VLOOKUP(E84,'[1]Listas Desplegables'!$H$3:$J$7,3,FALSE)</f>
        <v>#N/A</v>
      </c>
      <c r="C84" s="8">
        <v>79</v>
      </c>
      <c r="D84" s="172" t="s">
        <v>497</v>
      </c>
      <c r="E84" s="162" t="s">
        <v>497</v>
      </c>
      <c r="F84" s="172">
        <v>34.5</v>
      </c>
      <c r="G84" s="164">
        <v>13.8</v>
      </c>
      <c r="H84" s="150">
        <v>12.5</v>
      </c>
      <c r="I84" s="150" t="s">
        <v>754</v>
      </c>
      <c r="J84" s="150">
        <v>7.2</v>
      </c>
      <c r="K84" s="150">
        <v>7.2</v>
      </c>
      <c r="L84" s="164">
        <v>3</v>
      </c>
      <c r="M84" s="164">
        <v>5</v>
      </c>
      <c r="N84" s="164">
        <v>1</v>
      </c>
      <c r="O84" s="164"/>
      <c r="P84" s="164">
        <v>120</v>
      </c>
      <c r="Q84" s="164">
        <v>30</v>
      </c>
      <c r="R84" s="164" t="s">
        <v>113</v>
      </c>
      <c r="S84" s="168"/>
      <c r="T84" s="164" t="s">
        <v>106</v>
      </c>
      <c r="U84" s="164"/>
      <c r="V84" s="171">
        <v>10</v>
      </c>
      <c r="W84" s="171">
        <v>10</v>
      </c>
      <c r="X84" s="171">
        <v>1</v>
      </c>
      <c r="Y84" s="150" t="s">
        <v>664</v>
      </c>
      <c r="Z84" s="10" t="s">
        <v>270</v>
      </c>
      <c r="AA84" s="25"/>
    </row>
    <row r="85" spans="1:27" x14ac:dyDescent="0.3">
      <c r="A85" s="3" t="e">
        <f>VLOOKUP(E85,'[1]Listas Desplegables'!$H$3:$J$7,2,FALSE)</f>
        <v>#N/A</v>
      </c>
      <c r="B85" s="3" t="e">
        <f>VLOOKUP(E85,'[1]Listas Desplegables'!$H$3:$J$7,3,FALSE)</f>
        <v>#N/A</v>
      </c>
      <c r="C85" s="8">
        <v>80</v>
      </c>
      <c r="D85" s="172" t="s">
        <v>474</v>
      </c>
      <c r="E85" s="162" t="s">
        <v>474</v>
      </c>
      <c r="F85" s="172">
        <v>34.5</v>
      </c>
      <c r="G85" s="164">
        <v>13.8</v>
      </c>
      <c r="H85" s="150">
        <v>15</v>
      </c>
      <c r="I85" s="150" t="s">
        <v>752</v>
      </c>
      <c r="J85" s="150">
        <v>7</v>
      </c>
      <c r="K85" s="150">
        <v>7</v>
      </c>
      <c r="L85" s="164">
        <v>3</v>
      </c>
      <c r="M85" s="164">
        <v>5</v>
      </c>
      <c r="N85" s="164">
        <v>1</v>
      </c>
      <c r="O85" s="164"/>
      <c r="P85" s="164">
        <v>120</v>
      </c>
      <c r="Q85" s="164">
        <v>30</v>
      </c>
      <c r="R85" s="164" t="s">
        <v>113</v>
      </c>
      <c r="S85" s="168"/>
      <c r="T85" s="164" t="s">
        <v>106</v>
      </c>
      <c r="U85" s="164"/>
      <c r="V85" s="171">
        <v>10</v>
      </c>
      <c r="W85" s="171">
        <v>10</v>
      </c>
      <c r="X85" s="171">
        <v>1</v>
      </c>
      <c r="Y85" s="150" t="s">
        <v>664</v>
      </c>
      <c r="Z85" s="10" t="s">
        <v>270</v>
      </c>
      <c r="AA85" s="25"/>
    </row>
    <row r="86" spans="1:27" x14ac:dyDescent="0.3">
      <c r="A86" s="3" t="e">
        <f>VLOOKUP(E86,'[1]Listas Desplegables'!$H$3:$J$7,2,FALSE)</f>
        <v>#N/A</v>
      </c>
      <c r="B86" s="3" t="e">
        <f>VLOOKUP(E86,'[1]Listas Desplegables'!$H$3:$J$7,3,FALSE)</f>
        <v>#N/A</v>
      </c>
      <c r="C86" s="8">
        <v>81</v>
      </c>
      <c r="D86" s="172" t="s">
        <v>779</v>
      </c>
      <c r="E86" s="162" t="s">
        <v>779</v>
      </c>
      <c r="F86" s="172">
        <v>34.5</v>
      </c>
      <c r="G86" s="164">
        <v>13.8</v>
      </c>
      <c r="H86" s="150">
        <v>6.25</v>
      </c>
      <c r="I86" s="150" t="s">
        <v>752</v>
      </c>
      <c r="J86" s="150">
        <v>7</v>
      </c>
      <c r="K86" s="150">
        <v>7</v>
      </c>
      <c r="L86" s="164">
        <v>3</v>
      </c>
      <c r="M86" s="164">
        <v>5</v>
      </c>
      <c r="N86" s="164">
        <v>1</v>
      </c>
      <c r="O86" s="164"/>
      <c r="P86" s="164">
        <v>120</v>
      </c>
      <c r="Q86" s="164">
        <v>30</v>
      </c>
      <c r="R86" s="164" t="s">
        <v>113</v>
      </c>
      <c r="S86" s="168"/>
      <c r="T86" s="164" t="s">
        <v>106</v>
      </c>
      <c r="U86" s="164"/>
      <c r="V86" s="171">
        <v>10</v>
      </c>
      <c r="W86" s="171">
        <v>10</v>
      </c>
      <c r="X86" s="171">
        <v>1</v>
      </c>
      <c r="Y86" s="150" t="s">
        <v>664</v>
      </c>
      <c r="Z86" s="10" t="s">
        <v>270</v>
      </c>
      <c r="AA86" s="25"/>
    </row>
    <row r="87" spans="1:27" x14ac:dyDescent="0.3">
      <c r="A87" s="3" t="e">
        <f>VLOOKUP(E87,'[1]Listas Desplegables'!$H$3:$J$7,2,FALSE)</f>
        <v>#N/A</v>
      </c>
      <c r="B87" s="3" t="e">
        <f>VLOOKUP(E87,'[1]Listas Desplegables'!$H$3:$J$7,3,FALSE)</f>
        <v>#N/A</v>
      </c>
      <c r="C87" s="8">
        <v>82</v>
      </c>
      <c r="D87" s="172" t="s">
        <v>564</v>
      </c>
      <c r="E87" s="162" t="s">
        <v>564</v>
      </c>
      <c r="F87" s="172">
        <v>34.5</v>
      </c>
      <c r="G87" s="164">
        <v>13.8</v>
      </c>
      <c r="H87" s="150">
        <v>2</v>
      </c>
      <c r="I87" s="150" t="s">
        <v>752</v>
      </c>
      <c r="J87" s="150">
        <v>7</v>
      </c>
      <c r="K87" s="150">
        <v>7</v>
      </c>
      <c r="L87" s="164">
        <v>3</v>
      </c>
      <c r="M87" s="164">
        <v>5</v>
      </c>
      <c r="N87" s="164">
        <v>1</v>
      </c>
      <c r="O87" s="164"/>
      <c r="P87" s="164">
        <v>120</v>
      </c>
      <c r="Q87" s="164">
        <v>30</v>
      </c>
      <c r="R87" s="164" t="s">
        <v>113</v>
      </c>
      <c r="S87" s="168"/>
      <c r="T87" s="164" t="s">
        <v>106</v>
      </c>
      <c r="U87" s="164"/>
      <c r="V87" s="171">
        <v>3</v>
      </c>
      <c r="W87" s="171">
        <v>12</v>
      </c>
      <c r="X87" s="171">
        <v>4</v>
      </c>
      <c r="Y87" s="150" t="s">
        <v>664</v>
      </c>
      <c r="Z87" s="10" t="s">
        <v>270</v>
      </c>
      <c r="AA87" s="25"/>
    </row>
    <row r="88" spans="1:27" x14ac:dyDescent="0.3">
      <c r="A88" s="3" t="e">
        <f>VLOOKUP(E88,'[1]Listas Desplegables'!$H$3:$J$7,2,FALSE)</f>
        <v>#N/A</v>
      </c>
      <c r="B88" s="3" t="e">
        <f>VLOOKUP(E88,'[1]Listas Desplegables'!$H$3:$J$7,3,FALSE)</f>
        <v>#N/A</v>
      </c>
      <c r="C88" s="8">
        <v>83</v>
      </c>
      <c r="D88" s="172" t="s">
        <v>540</v>
      </c>
      <c r="E88" s="162" t="s">
        <v>540</v>
      </c>
      <c r="F88" s="172">
        <v>34.5</v>
      </c>
      <c r="G88" s="164">
        <v>13.8</v>
      </c>
      <c r="H88" s="150">
        <v>1.5</v>
      </c>
      <c r="I88" s="150" t="s">
        <v>769</v>
      </c>
      <c r="J88" s="150">
        <v>7</v>
      </c>
      <c r="K88" s="150">
        <v>7</v>
      </c>
      <c r="L88" s="164">
        <v>3</v>
      </c>
      <c r="M88" s="164">
        <v>5</v>
      </c>
      <c r="N88" s="164">
        <v>1</v>
      </c>
      <c r="O88" s="164"/>
      <c r="P88" s="164">
        <v>120</v>
      </c>
      <c r="Q88" s="164">
        <v>30</v>
      </c>
      <c r="R88" s="164" t="s">
        <v>113</v>
      </c>
      <c r="S88" s="168"/>
      <c r="T88" s="164" t="s">
        <v>106</v>
      </c>
      <c r="U88" s="164"/>
      <c r="V88" s="171">
        <v>3</v>
      </c>
      <c r="W88" s="171">
        <v>6</v>
      </c>
      <c r="X88" s="171">
        <v>2</v>
      </c>
      <c r="Y88" s="150" t="s">
        <v>664</v>
      </c>
      <c r="Z88" s="10" t="s">
        <v>270</v>
      </c>
      <c r="AA88" s="25"/>
    </row>
    <row r="89" spans="1:27" x14ac:dyDescent="0.3">
      <c r="A89" s="3" t="e">
        <f>VLOOKUP(E89,'[1]Listas Desplegables'!$H$3:$J$7,2,FALSE)</f>
        <v>#N/A</v>
      </c>
      <c r="B89" s="3" t="e">
        <f>VLOOKUP(E89,'[1]Listas Desplegables'!$H$3:$J$7,3,FALSE)</f>
        <v>#N/A</v>
      </c>
      <c r="C89" s="8">
        <v>84</v>
      </c>
      <c r="D89" s="172" t="s">
        <v>398</v>
      </c>
      <c r="E89" s="162" t="s">
        <v>398</v>
      </c>
      <c r="F89" s="172">
        <v>34.5</v>
      </c>
      <c r="G89" s="164">
        <v>13.8</v>
      </c>
      <c r="H89" s="150">
        <v>6.25</v>
      </c>
      <c r="I89" s="150" t="s">
        <v>752</v>
      </c>
      <c r="J89" s="150">
        <v>7</v>
      </c>
      <c r="K89" s="150">
        <v>7</v>
      </c>
      <c r="L89" s="164">
        <v>3</v>
      </c>
      <c r="M89" s="164">
        <v>5</v>
      </c>
      <c r="N89" s="164">
        <v>1</v>
      </c>
      <c r="O89" s="164"/>
      <c r="P89" s="164">
        <v>120</v>
      </c>
      <c r="Q89" s="164">
        <v>30</v>
      </c>
      <c r="R89" s="164" t="s">
        <v>113</v>
      </c>
      <c r="S89" s="168"/>
      <c r="T89" s="164" t="s">
        <v>106</v>
      </c>
      <c r="U89" s="164"/>
      <c r="V89" s="171">
        <v>3</v>
      </c>
      <c r="W89" s="171">
        <v>6</v>
      </c>
      <c r="X89" s="171">
        <v>2</v>
      </c>
      <c r="Y89" s="150" t="s">
        <v>664</v>
      </c>
      <c r="Z89" s="10" t="s">
        <v>270</v>
      </c>
      <c r="AA89" s="25"/>
    </row>
    <row r="90" spans="1:27" x14ac:dyDescent="0.3">
      <c r="A90" s="3" t="e">
        <f>VLOOKUP(E90,'[1]Listas Desplegables'!$H$3:$J$7,2,FALSE)</f>
        <v>#N/A</v>
      </c>
      <c r="B90" s="3" t="e">
        <f>VLOOKUP(E90,'[1]Listas Desplegables'!$H$3:$J$7,3,FALSE)</f>
        <v>#N/A</v>
      </c>
      <c r="C90" s="7">
        <v>85</v>
      </c>
      <c r="D90" s="172" t="s">
        <v>457</v>
      </c>
      <c r="E90" s="162" t="s">
        <v>457</v>
      </c>
      <c r="F90" s="172">
        <v>34.5</v>
      </c>
      <c r="G90" s="164">
        <v>13.8</v>
      </c>
      <c r="H90" s="150">
        <v>2</v>
      </c>
      <c r="I90" s="150" t="s">
        <v>752</v>
      </c>
      <c r="J90" s="150">
        <v>5.8</v>
      </c>
      <c r="K90" s="150"/>
      <c r="L90" s="164"/>
      <c r="M90" s="164"/>
      <c r="N90" s="164"/>
      <c r="O90" s="164"/>
      <c r="P90" s="164"/>
      <c r="Q90" s="164"/>
      <c r="R90" s="164"/>
      <c r="S90" s="168"/>
      <c r="T90" s="164"/>
      <c r="U90" s="164"/>
      <c r="V90" s="171"/>
      <c r="W90" s="171"/>
      <c r="X90" s="171"/>
      <c r="Y90" s="150" t="s">
        <v>664</v>
      </c>
      <c r="Z90" s="10" t="s">
        <v>270</v>
      </c>
      <c r="AA90" s="25"/>
    </row>
    <row r="91" spans="1:27" x14ac:dyDescent="0.3">
      <c r="A91" s="3" t="e">
        <f>VLOOKUP(E91,'[1]Listas Desplegables'!$H$3:$J$7,2,FALSE)</f>
        <v>#N/A</v>
      </c>
      <c r="B91" s="3" t="e">
        <f>VLOOKUP(E91,'[1]Listas Desplegables'!$H$3:$J$7,3,FALSE)</f>
        <v>#N/A</v>
      </c>
      <c r="C91" s="8">
        <v>86</v>
      </c>
      <c r="D91" s="172" t="s">
        <v>572</v>
      </c>
      <c r="E91" s="162" t="s">
        <v>572</v>
      </c>
      <c r="F91" s="172">
        <v>34.5</v>
      </c>
      <c r="G91" s="164">
        <v>13.8</v>
      </c>
      <c r="H91" s="150">
        <v>0.5</v>
      </c>
      <c r="I91" s="150" t="s">
        <v>752</v>
      </c>
      <c r="J91" s="150">
        <v>4.8600000000000003</v>
      </c>
      <c r="K91" s="150"/>
      <c r="L91" s="164"/>
      <c r="M91" s="164"/>
      <c r="N91" s="164"/>
      <c r="O91" s="164"/>
      <c r="P91" s="164"/>
      <c r="Q91" s="164"/>
      <c r="R91" s="164"/>
      <c r="S91" s="168"/>
      <c r="T91" s="164"/>
      <c r="U91" s="164"/>
      <c r="V91" s="171"/>
      <c r="W91" s="171"/>
      <c r="X91" s="171"/>
      <c r="Y91" s="150" t="s">
        <v>664</v>
      </c>
      <c r="Z91" s="10" t="s">
        <v>270</v>
      </c>
      <c r="AA91" s="25"/>
    </row>
    <row r="92" spans="1:27" x14ac:dyDescent="0.3">
      <c r="A92" s="3" t="e">
        <f>VLOOKUP(E92,'[1]Listas Desplegables'!$H$3:$J$7,2,FALSE)</f>
        <v>#N/A</v>
      </c>
      <c r="B92" s="3" t="e">
        <f>VLOOKUP(E92,'[1]Listas Desplegables'!$H$3:$J$7,3,FALSE)</f>
        <v>#N/A</v>
      </c>
      <c r="C92" s="8">
        <v>87</v>
      </c>
      <c r="D92" s="172" t="s">
        <v>433</v>
      </c>
      <c r="E92" s="162" t="s">
        <v>433</v>
      </c>
      <c r="F92" s="172">
        <v>34.5</v>
      </c>
      <c r="G92" s="164">
        <v>13.8</v>
      </c>
      <c r="H92" s="150">
        <v>0.6</v>
      </c>
      <c r="I92" s="150" t="s">
        <v>752</v>
      </c>
      <c r="J92" s="150"/>
      <c r="K92" s="150"/>
      <c r="L92" s="164"/>
      <c r="M92" s="164"/>
      <c r="N92" s="164"/>
      <c r="O92" s="164"/>
      <c r="P92" s="164"/>
      <c r="Q92" s="164"/>
      <c r="R92" s="164"/>
      <c r="S92" s="168"/>
      <c r="T92" s="164"/>
      <c r="U92" s="164"/>
      <c r="V92" s="171"/>
      <c r="W92" s="171"/>
      <c r="X92" s="171"/>
      <c r="Y92" s="150" t="s">
        <v>664</v>
      </c>
      <c r="Z92" s="10" t="s">
        <v>270</v>
      </c>
      <c r="AA92" s="25"/>
    </row>
    <row r="93" spans="1:27" x14ac:dyDescent="0.3">
      <c r="A93" s="3" t="e">
        <f>VLOOKUP(E93,'[1]Listas Desplegables'!$H$3:$J$7,2,FALSE)</f>
        <v>#N/A</v>
      </c>
      <c r="B93" s="3" t="e">
        <f>VLOOKUP(E93,'[1]Listas Desplegables'!$H$3:$J$7,3,FALSE)</f>
        <v>#N/A</v>
      </c>
      <c r="C93" s="8">
        <v>88</v>
      </c>
      <c r="D93" s="172" t="s">
        <v>383</v>
      </c>
      <c r="E93" s="162" t="s">
        <v>383</v>
      </c>
      <c r="F93" s="172">
        <v>34.5</v>
      </c>
      <c r="G93" s="164">
        <v>13.8</v>
      </c>
      <c r="H93" s="150">
        <v>1.6</v>
      </c>
      <c r="I93" s="150" t="s">
        <v>752</v>
      </c>
      <c r="J93" s="150">
        <v>5.44</v>
      </c>
      <c r="K93" s="150"/>
      <c r="L93" s="164"/>
      <c r="M93" s="164"/>
      <c r="N93" s="164"/>
      <c r="O93" s="164"/>
      <c r="P93" s="164"/>
      <c r="Q93" s="164"/>
      <c r="R93" s="164"/>
      <c r="S93" s="168"/>
      <c r="T93" s="164"/>
      <c r="U93" s="164"/>
      <c r="V93" s="171"/>
      <c r="W93" s="171"/>
      <c r="X93" s="171"/>
      <c r="Y93" s="150" t="s">
        <v>664</v>
      </c>
      <c r="Z93" s="10" t="s">
        <v>270</v>
      </c>
      <c r="AA93" s="25"/>
    </row>
    <row r="94" spans="1:27" x14ac:dyDescent="0.3">
      <c r="A94" s="3" t="e">
        <f>VLOOKUP(E94,'[1]Listas Desplegables'!$H$3:$J$7,2,FALSE)</f>
        <v>#N/A</v>
      </c>
      <c r="B94" s="3" t="e">
        <f>VLOOKUP(E94,'[1]Listas Desplegables'!$H$3:$J$7,3,FALSE)</f>
        <v>#N/A</v>
      </c>
      <c r="C94" s="8">
        <v>89</v>
      </c>
      <c r="D94" s="172" t="s">
        <v>780</v>
      </c>
      <c r="E94" s="162" t="s">
        <v>780</v>
      </c>
      <c r="F94" s="172">
        <v>34.5</v>
      </c>
      <c r="G94" s="164">
        <v>13.8</v>
      </c>
      <c r="H94" s="150">
        <v>1</v>
      </c>
      <c r="I94" s="150" t="s">
        <v>769</v>
      </c>
      <c r="J94" s="150"/>
      <c r="K94" s="150"/>
      <c r="L94" s="164"/>
      <c r="M94" s="164"/>
      <c r="N94" s="164"/>
      <c r="O94" s="164"/>
      <c r="P94" s="164"/>
      <c r="Q94" s="164"/>
      <c r="R94" s="164"/>
      <c r="S94" s="168"/>
      <c r="T94" s="164"/>
      <c r="U94" s="164"/>
      <c r="V94" s="171"/>
      <c r="W94" s="171"/>
      <c r="X94" s="171"/>
      <c r="Y94" s="150" t="s">
        <v>664</v>
      </c>
      <c r="Z94" s="10" t="s">
        <v>270</v>
      </c>
      <c r="AA94" s="25"/>
    </row>
    <row r="95" spans="1:27" x14ac:dyDescent="0.3">
      <c r="A95" s="3" t="e">
        <f>VLOOKUP(E95,'[1]Listas Desplegables'!$H$3:$J$7,2,FALSE)</f>
        <v>#N/A</v>
      </c>
      <c r="B95" s="3" t="e">
        <f>VLOOKUP(E95,'[1]Listas Desplegables'!$H$3:$J$7,3,FALSE)</f>
        <v>#N/A</v>
      </c>
      <c r="C95" s="8">
        <v>90</v>
      </c>
      <c r="D95" s="172" t="s">
        <v>522</v>
      </c>
      <c r="E95" s="162" t="s">
        <v>522</v>
      </c>
      <c r="F95" s="172">
        <v>34.5</v>
      </c>
      <c r="G95" s="164">
        <v>13.8</v>
      </c>
      <c r="H95" s="150">
        <v>5</v>
      </c>
      <c r="I95" s="150" t="s">
        <v>752</v>
      </c>
      <c r="J95" s="150">
        <v>5.85</v>
      </c>
      <c r="K95" s="150"/>
      <c r="L95" s="164">
        <v>3</v>
      </c>
      <c r="M95" s="164">
        <v>5</v>
      </c>
      <c r="N95" s="164">
        <v>1</v>
      </c>
      <c r="O95" s="164"/>
      <c r="P95" s="164">
        <v>120</v>
      </c>
      <c r="Q95" s="164">
        <v>30</v>
      </c>
      <c r="R95" s="164" t="s">
        <v>113</v>
      </c>
      <c r="S95" s="168"/>
      <c r="T95" s="164" t="s">
        <v>106</v>
      </c>
      <c r="U95" s="164"/>
      <c r="V95" s="171"/>
      <c r="W95" s="171"/>
      <c r="X95" s="171"/>
      <c r="Y95" s="150" t="s">
        <v>664</v>
      </c>
      <c r="Z95" s="10" t="s">
        <v>270</v>
      </c>
      <c r="AA95" s="25"/>
    </row>
    <row r="96" spans="1:27" x14ac:dyDescent="0.3">
      <c r="A96" s="3" t="e">
        <f>VLOOKUP(E96,'[1]Listas Desplegables'!$H$3:$J$7,2,FALSE)</f>
        <v>#N/A</v>
      </c>
      <c r="B96" s="3" t="e">
        <f>VLOOKUP(E96,'[1]Listas Desplegables'!$H$3:$J$7,3,FALSE)</f>
        <v>#N/A</v>
      </c>
      <c r="C96" s="8">
        <v>91</v>
      </c>
      <c r="D96" s="172" t="s">
        <v>502</v>
      </c>
      <c r="E96" s="162" t="s">
        <v>502</v>
      </c>
      <c r="F96" s="172">
        <v>34.5</v>
      </c>
      <c r="G96" s="164">
        <v>13.8</v>
      </c>
      <c r="H96" s="150">
        <v>1.5</v>
      </c>
      <c r="I96" s="150" t="s">
        <v>781</v>
      </c>
      <c r="J96" s="150"/>
      <c r="K96" s="150"/>
      <c r="L96" s="164"/>
      <c r="M96" s="164"/>
      <c r="N96" s="164"/>
      <c r="O96" s="164"/>
      <c r="P96" s="164"/>
      <c r="Q96" s="164"/>
      <c r="R96" s="164"/>
      <c r="S96" s="168"/>
      <c r="T96" s="164"/>
      <c r="U96" s="164"/>
      <c r="V96" s="171"/>
      <c r="W96" s="171"/>
      <c r="X96" s="171"/>
      <c r="Y96" s="150" t="s">
        <v>664</v>
      </c>
      <c r="Z96" s="10" t="s">
        <v>270</v>
      </c>
      <c r="AA96" s="25"/>
    </row>
    <row r="97" spans="1:27" x14ac:dyDescent="0.3">
      <c r="A97" s="3" t="e">
        <f>VLOOKUP(E97,'[1]Listas Desplegables'!$H$3:$J$7,2,FALSE)</f>
        <v>#N/A</v>
      </c>
      <c r="B97" s="3" t="e">
        <f>VLOOKUP(E97,'[1]Listas Desplegables'!$H$3:$J$7,3,FALSE)</f>
        <v>#N/A</v>
      </c>
      <c r="C97" s="7">
        <v>92</v>
      </c>
      <c r="D97" s="172" t="s">
        <v>392</v>
      </c>
      <c r="E97" s="162" t="s">
        <v>392</v>
      </c>
      <c r="F97" s="172">
        <v>34.5</v>
      </c>
      <c r="G97" s="164">
        <v>13.8</v>
      </c>
      <c r="H97" s="150">
        <v>0.5</v>
      </c>
      <c r="I97" s="150" t="s">
        <v>752</v>
      </c>
      <c r="J97" s="150">
        <v>4.8600000000000003</v>
      </c>
      <c r="K97" s="150"/>
      <c r="L97" s="164"/>
      <c r="M97" s="164"/>
      <c r="N97" s="164"/>
      <c r="O97" s="164"/>
      <c r="P97" s="164"/>
      <c r="Q97" s="164"/>
      <c r="R97" s="164"/>
      <c r="S97" s="168"/>
      <c r="T97" s="164"/>
      <c r="U97" s="164"/>
      <c r="V97" s="171"/>
      <c r="W97" s="171"/>
      <c r="X97" s="171"/>
      <c r="Y97" s="150" t="s">
        <v>664</v>
      </c>
      <c r="Z97" s="10" t="s">
        <v>270</v>
      </c>
      <c r="AA97" s="25"/>
    </row>
    <row r="98" spans="1:27" x14ac:dyDescent="0.3">
      <c r="A98" s="3" t="e">
        <f>VLOOKUP(E98,'[1]Listas Desplegables'!$H$3:$J$7,2,FALSE)</f>
        <v>#N/A</v>
      </c>
      <c r="B98" s="3" t="e">
        <f>VLOOKUP(E98,'[1]Listas Desplegables'!$H$3:$J$7,3,FALSE)</f>
        <v>#N/A</v>
      </c>
      <c r="C98" s="8">
        <v>93</v>
      </c>
      <c r="D98" s="172" t="s">
        <v>460</v>
      </c>
      <c r="E98" s="162" t="s">
        <v>460</v>
      </c>
      <c r="F98" s="172">
        <v>34.5</v>
      </c>
      <c r="G98" s="164">
        <v>13.8</v>
      </c>
      <c r="H98" s="150">
        <v>0.5</v>
      </c>
      <c r="I98" s="150" t="s">
        <v>769</v>
      </c>
      <c r="J98" s="150">
        <v>6.83</v>
      </c>
      <c r="K98" s="150"/>
      <c r="L98" s="164"/>
      <c r="M98" s="164"/>
      <c r="N98" s="164"/>
      <c r="O98" s="164"/>
      <c r="P98" s="164"/>
      <c r="Q98" s="164"/>
      <c r="R98" s="164"/>
      <c r="S98" s="168"/>
      <c r="T98" s="164"/>
      <c r="U98" s="164"/>
      <c r="V98" s="171"/>
      <c r="W98" s="171"/>
      <c r="X98" s="171"/>
      <c r="Y98" s="150" t="s">
        <v>664</v>
      </c>
      <c r="Z98" s="10" t="s">
        <v>270</v>
      </c>
      <c r="AA98" s="25"/>
    </row>
    <row r="99" spans="1:27" x14ac:dyDescent="0.3">
      <c r="A99" s="3" t="e">
        <f>VLOOKUP(E99,'[1]Listas Desplegables'!$H$3:$J$7,2,FALSE)</f>
        <v>#N/A</v>
      </c>
      <c r="B99" s="3" t="e">
        <f>VLOOKUP(E99,'[1]Listas Desplegables'!$H$3:$J$7,3,FALSE)</f>
        <v>#N/A</v>
      </c>
      <c r="C99" s="8">
        <v>94</v>
      </c>
      <c r="D99" s="172" t="s">
        <v>782</v>
      </c>
      <c r="E99" s="162" t="s">
        <v>782</v>
      </c>
      <c r="F99" s="172">
        <v>34.5</v>
      </c>
      <c r="G99" s="164">
        <v>13.8</v>
      </c>
      <c r="H99" s="150">
        <v>0.5</v>
      </c>
      <c r="I99" s="150" t="s">
        <v>752</v>
      </c>
      <c r="J99" s="150">
        <v>5</v>
      </c>
      <c r="K99" s="150"/>
      <c r="L99" s="164"/>
      <c r="M99" s="164"/>
      <c r="N99" s="164"/>
      <c r="O99" s="164"/>
      <c r="P99" s="164"/>
      <c r="Q99" s="164"/>
      <c r="R99" s="164"/>
      <c r="S99" s="168"/>
      <c r="T99" s="164"/>
      <c r="U99" s="164"/>
      <c r="V99" s="171"/>
      <c r="W99" s="171"/>
      <c r="X99" s="171"/>
      <c r="Y99" s="150" t="s">
        <v>664</v>
      </c>
      <c r="Z99" s="10" t="s">
        <v>270</v>
      </c>
      <c r="AA99" s="25"/>
    </row>
    <row r="100" spans="1:27" x14ac:dyDescent="0.3">
      <c r="A100" s="3" t="e">
        <f>VLOOKUP(E100,'[1]Listas Desplegables'!$H$3:$J$7,2,FALSE)</f>
        <v>#N/A</v>
      </c>
      <c r="B100" s="3" t="e">
        <f>VLOOKUP(E100,'[1]Listas Desplegables'!$H$3:$J$7,3,FALSE)</f>
        <v>#N/A</v>
      </c>
      <c r="C100" s="8">
        <v>95</v>
      </c>
      <c r="D100" s="172" t="s">
        <v>783</v>
      </c>
      <c r="E100" s="162" t="s">
        <v>783</v>
      </c>
      <c r="F100" s="172">
        <v>34.5</v>
      </c>
      <c r="G100" s="164">
        <v>13.8</v>
      </c>
      <c r="H100" s="150">
        <v>15</v>
      </c>
      <c r="I100" s="150" t="s">
        <v>752</v>
      </c>
      <c r="J100" s="150">
        <v>7.69</v>
      </c>
      <c r="K100" s="150"/>
      <c r="L100" s="164">
        <v>3</v>
      </c>
      <c r="M100" s="164">
        <v>5</v>
      </c>
      <c r="N100" s="164">
        <v>1</v>
      </c>
      <c r="O100" s="164"/>
      <c r="P100" s="164">
        <v>120</v>
      </c>
      <c r="Q100" s="164">
        <v>30</v>
      </c>
      <c r="R100" s="164" t="s">
        <v>113</v>
      </c>
      <c r="S100" s="168"/>
      <c r="T100" s="164" t="s">
        <v>106</v>
      </c>
      <c r="U100" s="164"/>
      <c r="V100" s="171"/>
      <c r="W100" s="171"/>
      <c r="X100" s="171"/>
      <c r="Y100" s="150" t="s">
        <v>664</v>
      </c>
      <c r="Z100" s="10" t="s">
        <v>270</v>
      </c>
      <c r="AA100" s="25"/>
    </row>
    <row r="101" spans="1:27" x14ac:dyDescent="0.3">
      <c r="A101" s="3" t="e">
        <f>VLOOKUP(E101,'[1]Listas Desplegables'!$H$3:$J$7,2,FALSE)</f>
        <v>#N/A</v>
      </c>
      <c r="B101" s="3" t="e">
        <f>VLOOKUP(E101,'[1]Listas Desplegables'!$H$3:$J$7,3,FALSE)</f>
        <v>#N/A</v>
      </c>
      <c r="C101" s="8">
        <v>96</v>
      </c>
      <c r="D101" s="172" t="s">
        <v>645</v>
      </c>
      <c r="E101" s="162" t="s">
        <v>645</v>
      </c>
      <c r="F101" s="172">
        <v>34.5</v>
      </c>
      <c r="G101" s="164">
        <v>13.8</v>
      </c>
      <c r="H101" s="150">
        <v>15</v>
      </c>
      <c r="I101" s="150" t="s">
        <v>752</v>
      </c>
      <c r="J101" s="150">
        <v>7.82</v>
      </c>
      <c r="K101" s="150"/>
      <c r="L101" s="164">
        <v>3</v>
      </c>
      <c r="M101" s="164">
        <v>5</v>
      </c>
      <c r="N101" s="164">
        <v>1</v>
      </c>
      <c r="O101" s="164"/>
      <c r="P101" s="164">
        <v>120</v>
      </c>
      <c r="Q101" s="164">
        <v>30</v>
      </c>
      <c r="R101" s="164" t="s">
        <v>113</v>
      </c>
      <c r="S101" s="168"/>
      <c r="T101" s="164" t="s">
        <v>106</v>
      </c>
      <c r="U101" s="164"/>
      <c r="V101" s="171"/>
      <c r="W101" s="171"/>
      <c r="X101" s="171"/>
      <c r="Y101" s="150" t="s">
        <v>664</v>
      </c>
      <c r="Z101" s="10" t="s">
        <v>270</v>
      </c>
      <c r="AA101" s="25"/>
    </row>
    <row r="102" spans="1:27" x14ac:dyDescent="0.3">
      <c r="A102" s="3" t="e">
        <f>VLOOKUP(E102,'[1]Listas Desplegables'!$H$3:$J$7,2,FALSE)</f>
        <v>#N/A</v>
      </c>
      <c r="B102" s="3" t="e">
        <f>VLOOKUP(E102,'[1]Listas Desplegables'!$H$3:$J$7,3,FALSE)</f>
        <v>#N/A</v>
      </c>
      <c r="C102" s="8">
        <v>97</v>
      </c>
      <c r="D102" s="172" t="s">
        <v>592</v>
      </c>
      <c r="E102" s="162" t="s">
        <v>592</v>
      </c>
      <c r="F102" s="172">
        <v>34.5</v>
      </c>
      <c r="G102" s="164">
        <v>13.8</v>
      </c>
      <c r="H102" s="150">
        <v>5</v>
      </c>
      <c r="I102" s="150" t="s">
        <v>752</v>
      </c>
      <c r="J102" s="150">
        <v>5.97</v>
      </c>
      <c r="K102" s="150"/>
      <c r="L102" s="164">
        <v>3</v>
      </c>
      <c r="M102" s="164">
        <v>5</v>
      </c>
      <c r="N102" s="164">
        <v>1</v>
      </c>
      <c r="O102" s="164"/>
      <c r="P102" s="164">
        <v>120</v>
      </c>
      <c r="Q102" s="164">
        <v>30</v>
      </c>
      <c r="R102" s="164" t="s">
        <v>113</v>
      </c>
      <c r="S102" s="168"/>
      <c r="T102" s="164" t="s">
        <v>106</v>
      </c>
      <c r="U102" s="164"/>
      <c r="V102" s="171"/>
      <c r="W102" s="171"/>
      <c r="X102" s="171"/>
      <c r="Y102" s="150" t="s">
        <v>664</v>
      </c>
      <c r="Z102" s="10" t="s">
        <v>270</v>
      </c>
      <c r="AA102" s="25"/>
    </row>
    <row r="103" spans="1:27" x14ac:dyDescent="0.3">
      <c r="A103" s="3" t="e">
        <f>VLOOKUP(E103,'[1]Listas Desplegables'!$H$3:$J$7,2,FALSE)</f>
        <v>#N/A</v>
      </c>
      <c r="B103" s="3" t="e">
        <f>VLOOKUP(E103,'[1]Listas Desplegables'!$H$3:$J$7,3,FALSE)</f>
        <v>#N/A</v>
      </c>
      <c r="C103" s="8">
        <v>98</v>
      </c>
      <c r="D103" s="172" t="s">
        <v>515</v>
      </c>
      <c r="E103" s="162" t="s">
        <v>515</v>
      </c>
      <c r="F103" s="172">
        <v>34.5</v>
      </c>
      <c r="G103" s="164">
        <v>13.8</v>
      </c>
      <c r="H103" s="150">
        <v>15</v>
      </c>
      <c r="I103" s="150" t="s">
        <v>752</v>
      </c>
      <c r="J103" s="150">
        <v>7.7</v>
      </c>
      <c r="K103" s="150"/>
      <c r="L103" s="164">
        <v>3</v>
      </c>
      <c r="M103" s="164">
        <v>5</v>
      </c>
      <c r="N103" s="164">
        <v>1</v>
      </c>
      <c r="O103" s="164"/>
      <c r="P103" s="164">
        <v>120</v>
      </c>
      <c r="Q103" s="164">
        <v>30</v>
      </c>
      <c r="R103" s="164" t="s">
        <v>113</v>
      </c>
      <c r="S103" s="168"/>
      <c r="T103" s="164" t="s">
        <v>106</v>
      </c>
      <c r="U103" s="164"/>
      <c r="V103" s="171"/>
      <c r="W103" s="171"/>
      <c r="X103" s="171"/>
      <c r="Y103" s="150" t="s">
        <v>664</v>
      </c>
      <c r="Z103" s="10" t="s">
        <v>270</v>
      </c>
      <c r="AA103" s="25"/>
    </row>
    <row r="104" spans="1:27" x14ac:dyDescent="0.3">
      <c r="A104" s="3" t="e">
        <f>VLOOKUP(E104,'[1]Listas Desplegables'!$H$3:$J$7,2,FALSE)</f>
        <v>#N/A</v>
      </c>
      <c r="B104" s="3" t="e">
        <f>VLOOKUP(E104,'[1]Listas Desplegables'!$H$3:$J$7,3,FALSE)</f>
        <v>#N/A</v>
      </c>
      <c r="C104" s="7">
        <v>99</v>
      </c>
      <c r="D104" s="172" t="s">
        <v>653</v>
      </c>
      <c r="E104" s="162" t="s">
        <v>653</v>
      </c>
      <c r="F104" s="172">
        <v>34.5</v>
      </c>
      <c r="G104" s="164">
        <v>13.8</v>
      </c>
      <c r="H104" s="150">
        <v>5</v>
      </c>
      <c r="I104" s="150" t="s">
        <v>752</v>
      </c>
      <c r="J104" s="150">
        <v>5.85</v>
      </c>
      <c r="K104" s="150"/>
      <c r="L104" s="164">
        <v>3</v>
      </c>
      <c r="M104" s="164">
        <v>5</v>
      </c>
      <c r="N104" s="164">
        <v>1</v>
      </c>
      <c r="O104" s="164"/>
      <c r="P104" s="164">
        <v>120</v>
      </c>
      <c r="Q104" s="164">
        <v>30</v>
      </c>
      <c r="R104" s="164" t="s">
        <v>113</v>
      </c>
      <c r="S104" s="168"/>
      <c r="T104" s="164" t="s">
        <v>106</v>
      </c>
      <c r="U104" s="164"/>
      <c r="V104" s="171"/>
      <c r="W104" s="171"/>
      <c r="X104" s="171"/>
      <c r="Y104" s="150" t="s">
        <v>664</v>
      </c>
      <c r="Z104" s="10" t="s">
        <v>270</v>
      </c>
      <c r="AA104" s="25"/>
    </row>
    <row r="105" spans="1:27" x14ac:dyDescent="0.3">
      <c r="A105" s="3" t="e">
        <f>VLOOKUP(E105,'[1]Listas Desplegables'!$H$3:$J$7,2,FALSE)</f>
        <v>#N/A</v>
      </c>
      <c r="B105" s="3" t="e">
        <f>VLOOKUP(E105,'[1]Listas Desplegables'!$H$3:$J$7,3,FALSE)</f>
        <v>#N/A</v>
      </c>
      <c r="C105" s="8">
        <v>100</v>
      </c>
      <c r="D105" s="172" t="s">
        <v>586</v>
      </c>
      <c r="E105" s="162" t="s">
        <v>586</v>
      </c>
      <c r="F105" s="172">
        <v>34.5</v>
      </c>
      <c r="G105" s="173">
        <v>13.8</v>
      </c>
      <c r="H105" s="154">
        <v>10</v>
      </c>
      <c r="I105" s="154" t="s">
        <v>752</v>
      </c>
      <c r="J105" s="154">
        <v>7.7</v>
      </c>
      <c r="K105" s="154"/>
      <c r="L105" s="173">
        <v>3</v>
      </c>
      <c r="M105" s="173">
        <v>5</v>
      </c>
      <c r="N105" s="173">
        <v>1</v>
      </c>
      <c r="O105" s="173"/>
      <c r="P105" s="173">
        <v>120</v>
      </c>
      <c r="Q105" s="173">
        <v>30</v>
      </c>
      <c r="R105" s="173" t="s">
        <v>113</v>
      </c>
      <c r="S105" s="174"/>
      <c r="T105" s="173" t="s">
        <v>106</v>
      </c>
      <c r="U105" s="173"/>
      <c r="V105" s="175"/>
      <c r="W105" s="175"/>
      <c r="X105" s="175"/>
      <c r="Y105" s="150" t="s">
        <v>664</v>
      </c>
      <c r="Z105" s="10" t="s">
        <v>270</v>
      </c>
      <c r="AA105" s="25"/>
    </row>
    <row r="106" spans="1:27" ht="15" thickBot="1" x14ac:dyDescent="0.35">
      <c r="A106" s="3" t="e">
        <f>VLOOKUP(E106,'[1]Listas Desplegables'!$H$3:$J$7,2,FALSE)</f>
        <v>#N/A</v>
      </c>
      <c r="B106" s="3" t="e">
        <f>VLOOKUP(E106,'[1]Listas Desplegables'!$H$3:$J$7,3,FALSE)</f>
        <v>#N/A</v>
      </c>
      <c r="C106" s="13">
        <v>101</v>
      </c>
      <c r="D106" s="179" t="s">
        <v>660</v>
      </c>
      <c r="E106" s="179" t="s">
        <v>655</v>
      </c>
      <c r="F106" s="179">
        <v>34.5</v>
      </c>
      <c r="G106" s="179">
        <v>13.8</v>
      </c>
      <c r="H106" s="180">
        <v>3</v>
      </c>
      <c r="I106" s="180" t="s">
        <v>752</v>
      </c>
      <c r="J106" s="180">
        <v>7</v>
      </c>
      <c r="K106" s="180">
        <v>7</v>
      </c>
      <c r="L106" s="179">
        <v>3</v>
      </c>
      <c r="M106" s="179">
        <v>5</v>
      </c>
      <c r="N106" s="179">
        <v>1</v>
      </c>
      <c r="O106" s="179"/>
      <c r="P106" s="179">
        <v>120</v>
      </c>
      <c r="Q106" s="179">
        <v>30</v>
      </c>
      <c r="R106" s="179" t="s">
        <v>113</v>
      </c>
      <c r="S106" s="179">
        <v>2025</v>
      </c>
      <c r="T106" s="179" t="s">
        <v>106</v>
      </c>
      <c r="U106" s="179"/>
      <c r="V106" s="181">
        <v>3</v>
      </c>
      <c r="W106" s="181">
        <v>6</v>
      </c>
      <c r="X106" s="181">
        <v>2</v>
      </c>
      <c r="Y106" s="180" t="s">
        <v>664</v>
      </c>
      <c r="Z106" s="10" t="s">
        <v>270</v>
      </c>
      <c r="AA106" s="26"/>
    </row>
  </sheetData>
  <mergeCells count="25">
    <mergeCell ref="I4:I5"/>
    <mergeCell ref="J4:J5"/>
    <mergeCell ref="K4:K5"/>
    <mergeCell ref="C3:AA3"/>
    <mergeCell ref="C4:C5"/>
    <mergeCell ref="D4:D5"/>
    <mergeCell ref="E4:E5"/>
    <mergeCell ref="F4:F5"/>
    <mergeCell ref="G4:G5"/>
    <mergeCell ref="H4:H5"/>
    <mergeCell ref="L4:L5"/>
    <mergeCell ref="M4:M5"/>
    <mergeCell ref="N4:N5"/>
    <mergeCell ref="O4:O5"/>
    <mergeCell ref="P4:Q4"/>
    <mergeCell ref="R4:R5"/>
    <mergeCell ref="S4:S5"/>
    <mergeCell ref="T4:T5"/>
    <mergeCell ref="U4:U5"/>
    <mergeCell ref="AA4:AA5"/>
    <mergeCell ref="V4:V5"/>
    <mergeCell ref="W4:W5"/>
    <mergeCell ref="X4:X5"/>
    <mergeCell ref="Y4:Y5"/>
    <mergeCell ref="Z4:Z5"/>
  </mergeCells>
  <dataValidations count="2">
    <dataValidation type="decimal" allowBlank="1" showInputMessage="1" showErrorMessage="1" sqref="F6:H1048576 J6:Q1048576 AA6:AA1048576" xr:uid="{00000000-0002-0000-0300-000000000000}">
      <formula1>-10000000</formula1>
      <formula2>10000000</formula2>
    </dataValidation>
    <dataValidation type="date" operator="greaterThan" allowBlank="1" showInputMessage="1" showErrorMessage="1" sqref="S6:S1048576" xr:uid="{00000000-0002-0000-0300-000001000000}">
      <formula1>1</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2000000}">
          <x14:formula1>
            <xm:f>'Listas Desplegables'!$B$25:$B$26</xm:f>
          </x14:formula1>
          <xm:sqref>R107:R1048576</xm:sqref>
        </x14:dataValidation>
        <x14:dataValidation type="list" allowBlank="1" showInputMessage="1" showErrorMessage="1" xr:uid="{00000000-0002-0000-0300-000003000000}">
          <x14:formula1>
            <xm:f>'Listas Desplegables'!$B$28:$B$30</xm:f>
          </x14:formula1>
          <xm:sqref>T107:T1048576</xm:sqref>
        </x14:dataValidation>
        <x14:dataValidation type="list" allowBlank="1" showInputMessage="1" showErrorMessage="1" xr:uid="{D527EFAC-4131-46DF-949D-606890AE048E}">
          <x14:formula1>
            <xm:f>'Listas Desplegables'!$B$90:$B$93</xm:f>
          </x14:formula1>
          <xm:sqref>Z6:Z106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sheetPr>
  <dimension ref="A2:Q123"/>
  <sheetViews>
    <sheetView showGridLines="0" zoomScale="80" zoomScaleNormal="80" workbookViewId="0">
      <selection activeCell="H21" sqref="H21"/>
    </sheetView>
  </sheetViews>
  <sheetFormatPr baseColWidth="10" defaultColWidth="11.5546875" defaultRowHeight="14.4" x14ac:dyDescent="0.3"/>
  <cols>
    <col min="1" max="2" width="3" style="3" customWidth="1"/>
    <col min="3" max="3" width="6.6640625" style="2" customWidth="1"/>
    <col min="4" max="4" width="33" customWidth="1"/>
    <col min="5" max="5" width="14.5546875" customWidth="1"/>
    <col min="6" max="7" width="12.6640625" customWidth="1"/>
    <col min="8" max="8" width="21" customWidth="1"/>
    <col min="9" max="9" width="39.44140625" bestFit="1" customWidth="1"/>
    <col min="10" max="10" width="13.88671875" bestFit="1" customWidth="1"/>
    <col min="14" max="14" width="20.44140625" bestFit="1" customWidth="1"/>
    <col min="15" max="15" width="11.44140625" customWidth="1"/>
    <col min="16" max="16" width="27.109375" bestFit="1" customWidth="1"/>
    <col min="17" max="17" width="149.109375" bestFit="1" customWidth="1"/>
  </cols>
  <sheetData>
    <row r="2" spans="1:17" ht="15" thickBot="1" x14ac:dyDescent="0.35"/>
    <row r="3" spans="1:17" s="1" customFormat="1" ht="15" thickBot="1" x14ac:dyDescent="0.35">
      <c r="A3" s="4"/>
      <c r="B3" s="4"/>
      <c r="C3" s="87" t="s">
        <v>6</v>
      </c>
      <c r="D3" s="88"/>
      <c r="E3" s="88"/>
      <c r="F3" s="88"/>
      <c r="G3" s="88"/>
      <c r="H3" s="88"/>
      <c r="I3" s="88"/>
      <c r="J3" s="88"/>
      <c r="K3" s="88"/>
      <c r="L3" s="88"/>
      <c r="M3" s="88"/>
      <c r="N3" s="88"/>
      <c r="O3" s="88"/>
      <c r="P3" s="88"/>
      <c r="Q3" s="89"/>
    </row>
    <row r="4" spans="1:17" s="6" customFormat="1" ht="12" customHeight="1" x14ac:dyDescent="0.3">
      <c r="A4" s="5"/>
      <c r="B4" s="5"/>
      <c r="C4" s="90" t="s">
        <v>3</v>
      </c>
      <c r="D4" s="85" t="str">
        <f>'Manual de Uso'!C110</f>
        <v>Nombre</v>
      </c>
      <c r="E4" s="85" t="str">
        <f>'Manual de Uso'!C111</f>
        <v>Agente Administrador</v>
      </c>
      <c r="F4" s="85" t="str">
        <f>'Manual de Uso'!C112</f>
        <v>Nivel de tensión [kV]</v>
      </c>
      <c r="G4" s="85" t="str">
        <f>'Manual de Uso'!C113</f>
        <v>Capacidad de interrupción [kA]</v>
      </c>
      <c r="H4" s="85" t="str">
        <f>'Manual de Uso'!C114</f>
        <v>Elemento limitante</v>
      </c>
      <c r="I4" s="85" t="str">
        <f>'Manual de Uso'!C115</f>
        <v>Configuración</v>
      </c>
      <c r="J4" s="85" t="str">
        <f>'Manual de Uso'!C116</f>
        <v>Tipo</v>
      </c>
      <c r="K4" s="85" t="str">
        <f>'Manual de Uso'!C117</f>
        <v>En Operación</v>
      </c>
      <c r="L4" s="85" t="str">
        <f>'Manual de Uso'!C118</f>
        <v>FPO</v>
      </c>
      <c r="M4" s="85" t="str">
        <f>'Manual de Uso'!C119</f>
        <v>Departamento</v>
      </c>
      <c r="N4" s="85" t="str">
        <f>'Manual de Uso'!C120</f>
        <v>Municipio</v>
      </c>
      <c r="O4" s="85" t="str">
        <f>'Manual de Uso'!C121</f>
        <v>Operador</v>
      </c>
      <c r="P4" s="85" t="str">
        <f>'Manual de Uso'!C122</f>
        <v>Tipo activo Uso/Conexión</v>
      </c>
      <c r="Q4" s="85" t="str">
        <f>'Manual de Uso'!C123</f>
        <v>Observaciones transportador</v>
      </c>
    </row>
    <row r="5" spans="1:17" s="6" customFormat="1" ht="24" customHeight="1" thickBot="1" x14ac:dyDescent="0.35">
      <c r="A5" s="5"/>
      <c r="B5" s="5"/>
      <c r="C5" s="91"/>
      <c r="D5" s="86"/>
      <c r="E5" s="86"/>
      <c r="F5" s="86"/>
      <c r="G5" s="86"/>
      <c r="H5" s="86"/>
      <c r="I5" s="86"/>
      <c r="J5" s="86"/>
      <c r="K5" s="86"/>
      <c r="L5" s="86"/>
      <c r="M5" s="86"/>
      <c r="N5" s="86"/>
      <c r="O5" s="86"/>
      <c r="P5" s="86"/>
      <c r="Q5" s="86"/>
    </row>
    <row r="6" spans="1:17" x14ac:dyDescent="0.3">
      <c r="A6" s="3" t="e">
        <f>VLOOKUP(E6,'[1]Listas Desplegables'!$H$3:$J$7,2,FALSE)</f>
        <v>#N/A</v>
      </c>
      <c r="B6" s="3" t="e">
        <f>VLOOKUP(E6,'[1]Listas Desplegables'!$H$3:$J$7,3,FALSE)</f>
        <v>#N/A</v>
      </c>
      <c r="C6" s="21">
        <v>1</v>
      </c>
      <c r="D6" s="9" t="s">
        <v>395</v>
      </c>
      <c r="E6" s="147" t="s">
        <v>664</v>
      </c>
      <c r="F6" s="147">
        <v>115</v>
      </c>
      <c r="G6" s="147">
        <v>7.96</v>
      </c>
      <c r="H6" s="23"/>
      <c r="I6" s="23" t="s">
        <v>126</v>
      </c>
      <c r="J6" s="23" t="s">
        <v>122</v>
      </c>
      <c r="K6" s="23" t="s">
        <v>113</v>
      </c>
      <c r="L6" s="150">
        <v>2018</v>
      </c>
      <c r="M6" s="147" t="s">
        <v>784</v>
      </c>
      <c r="N6" s="10" t="s">
        <v>395</v>
      </c>
      <c r="O6" s="145" t="s">
        <v>664</v>
      </c>
      <c r="P6" s="161" t="s">
        <v>270</v>
      </c>
      <c r="Q6" s="161" t="s">
        <v>813</v>
      </c>
    </row>
    <row r="7" spans="1:17" x14ac:dyDescent="0.3">
      <c r="A7" s="3" t="e">
        <f>VLOOKUP(E7,'[1]Listas Desplegables'!$H$3:$J$7,2,FALSE)</f>
        <v>#N/A</v>
      </c>
      <c r="B7" s="3" t="e">
        <f>VLOOKUP(E7,'[1]Listas Desplegables'!$H$3:$J$7,3,FALSE)</f>
        <v>#N/A</v>
      </c>
      <c r="C7" s="8">
        <v>2</v>
      </c>
      <c r="D7" s="9" t="s">
        <v>785</v>
      </c>
      <c r="E7" s="146" t="s">
        <v>664</v>
      </c>
      <c r="F7" s="146">
        <v>115</v>
      </c>
      <c r="G7" s="146">
        <v>30</v>
      </c>
      <c r="H7" s="10"/>
      <c r="I7" s="10" t="s">
        <v>126</v>
      </c>
      <c r="J7" s="10" t="s">
        <v>122</v>
      </c>
      <c r="K7" s="10" t="s">
        <v>113</v>
      </c>
      <c r="L7" s="150">
        <v>2024</v>
      </c>
      <c r="M7" s="146" t="s">
        <v>784</v>
      </c>
      <c r="N7" s="10" t="s">
        <v>786</v>
      </c>
      <c r="O7" s="150" t="s">
        <v>664</v>
      </c>
      <c r="P7" s="9" t="s">
        <v>270</v>
      </c>
      <c r="Q7" s="9" t="s">
        <v>813</v>
      </c>
    </row>
    <row r="8" spans="1:17" x14ac:dyDescent="0.3">
      <c r="A8" s="3" t="e">
        <f>VLOOKUP(E8,'[1]Listas Desplegables'!$H$3:$J$7,2,FALSE)</f>
        <v>#N/A</v>
      </c>
      <c r="B8" s="3" t="e">
        <f>VLOOKUP(E8,'[1]Listas Desplegables'!$H$3:$J$7,3,FALSE)</f>
        <v>#N/A</v>
      </c>
      <c r="C8" s="8">
        <v>3</v>
      </c>
      <c r="D8" s="9" t="s">
        <v>410</v>
      </c>
      <c r="E8" s="146" t="s">
        <v>664</v>
      </c>
      <c r="F8" s="146">
        <v>115</v>
      </c>
      <c r="G8" s="146">
        <v>7.96</v>
      </c>
      <c r="H8" s="10"/>
      <c r="I8" s="10" t="s">
        <v>126</v>
      </c>
      <c r="J8" s="10" t="s">
        <v>122</v>
      </c>
      <c r="K8" s="10" t="s">
        <v>113</v>
      </c>
      <c r="L8" s="150"/>
      <c r="M8" s="146" t="s">
        <v>784</v>
      </c>
      <c r="N8" s="10" t="s">
        <v>410</v>
      </c>
      <c r="O8" s="150" t="s">
        <v>664</v>
      </c>
      <c r="P8" s="9" t="s">
        <v>270</v>
      </c>
      <c r="Q8" s="9" t="s">
        <v>813</v>
      </c>
    </row>
    <row r="9" spans="1:17" x14ac:dyDescent="0.3">
      <c r="A9" s="3" t="e">
        <f>VLOOKUP(E9,'[1]Listas Desplegables'!$H$3:$J$7,2,FALSE)</f>
        <v>#N/A</v>
      </c>
      <c r="B9" s="3" t="e">
        <f>VLOOKUP(E9,'[1]Listas Desplegables'!$H$3:$J$7,3,FALSE)</f>
        <v>#N/A</v>
      </c>
      <c r="C9" s="8">
        <v>4</v>
      </c>
      <c r="D9" s="9" t="s">
        <v>303</v>
      </c>
      <c r="E9" s="146" t="s">
        <v>664</v>
      </c>
      <c r="F9" s="146">
        <v>115</v>
      </c>
      <c r="G9" s="146">
        <v>10</v>
      </c>
      <c r="H9" s="10"/>
      <c r="I9" s="10" t="s">
        <v>126</v>
      </c>
      <c r="J9" s="10" t="s">
        <v>122</v>
      </c>
      <c r="K9" s="10" t="s">
        <v>113</v>
      </c>
      <c r="L9" s="150"/>
      <c r="M9" s="146" t="s">
        <v>784</v>
      </c>
      <c r="N9" s="10" t="s">
        <v>303</v>
      </c>
      <c r="O9" s="150" t="s">
        <v>664</v>
      </c>
      <c r="P9" s="9" t="s">
        <v>270</v>
      </c>
      <c r="Q9" s="9" t="s">
        <v>813</v>
      </c>
    </row>
    <row r="10" spans="1:17" x14ac:dyDescent="0.3">
      <c r="A10" s="3" t="e">
        <f>VLOOKUP(E10,'[1]Listas Desplegables'!$H$3:$J$7,2,FALSE)</f>
        <v>#N/A</v>
      </c>
      <c r="B10" s="3" t="e">
        <f>VLOOKUP(E10,'[1]Listas Desplegables'!$H$3:$J$7,3,FALSE)</f>
        <v>#N/A</v>
      </c>
      <c r="C10" s="8">
        <v>5</v>
      </c>
      <c r="D10" s="9" t="s">
        <v>468</v>
      </c>
      <c r="E10" s="146" t="s">
        <v>664</v>
      </c>
      <c r="F10" s="146">
        <v>115</v>
      </c>
      <c r="G10" s="146">
        <v>15</v>
      </c>
      <c r="H10" s="10"/>
      <c r="I10" s="10" t="s">
        <v>126</v>
      </c>
      <c r="J10" s="10" t="s">
        <v>122</v>
      </c>
      <c r="K10" s="10" t="s">
        <v>113</v>
      </c>
      <c r="L10" s="150"/>
      <c r="M10" s="146" t="s">
        <v>784</v>
      </c>
      <c r="N10" s="10" t="s">
        <v>787</v>
      </c>
      <c r="O10" s="150" t="s">
        <v>664</v>
      </c>
      <c r="P10" s="9" t="s">
        <v>270</v>
      </c>
      <c r="Q10" s="9" t="s">
        <v>813</v>
      </c>
    </row>
    <row r="11" spans="1:17" x14ac:dyDescent="0.3">
      <c r="A11" s="3" t="e">
        <f>VLOOKUP(E11,'[1]Listas Desplegables'!$H$3:$J$7,2,FALSE)</f>
        <v>#N/A</v>
      </c>
      <c r="B11" s="3" t="e">
        <f>VLOOKUP(E11,'[1]Listas Desplegables'!$H$3:$J$7,3,FALSE)</f>
        <v>#N/A</v>
      </c>
      <c r="C11" s="8">
        <v>6</v>
      </c>
      <c r="D11" s="9" t="s">
        <v>317</v>
      </c>
      <c r="E11" s="146" t="s">
        <v>664</v>
      </c>
      <c r="F11" s="146">
        <v>115</v>
      </c>
      <c r="G11" s="146">
        <v>31.5</v>
      </c>
      <c r="H11" s="10"/>
      <c r="I11" s="10" t="s">
        <v>126</v>
      </c>
      <c r="J11" s="10" t="s">
        <v>122</v>
      </c>
      <c r="K11" s="10" t="s">
        <v>113</v>
      </c>
      <c r="L11" s="150"/>
      <c r="M11" s="146" t="s">
        <v>784</v>
      </c>
      <c r="N11" s="10" t="s">
        <v>407</v>
      </c>
      <c r="O11" s="150" t="s">
        <v>664</v>
      </c>
      <c r="P11" s="9" t="s">
        <v>270</v>
      </c>
      <c r="Q11" s="9" t="s">
        <v>813</v>
      </c>
    </row>
    <row r="12" spans="1:17" x14ac:dyDescent="0.3">
      <c r="A12" s="3" t="e">
        <f>VLOOKUP(E12,'[1]Listas Desplegables'!$H$3:$J$7,2,FALSE)</f>
        <v>#N/A</v>
      </c>
      <c r="B12" s="3" t="e">
        <f>VLOOKUP(E12,'[1]Listas Desplegables'!$H$3:$J$7,3,FALSE)</f>
        <v>#N/A</v>
      </c>
      <c r="C12" s="8">
        <v>7</v>
      </c>
      <c r="D12" s="9" t="s">
        <v>788</v>
      </c>
      <c r="E12" s="146" t="s">
        <v>664</v>
      </c>
      <c r="F12" s="146">
        <v>115</v>
      </c>
      <c r="G12" s="146">
        <v>40</v>
      </c>
      <c r="H12" s="10"/>
      <c r="I12" s="10" t="s">
        <v>126</v>
      </c>
      <c r="J12" s="10" t="s">
        <v>122</v>
      </c>
      <c r="K12" s="10" t="s">
        <v>88</v>
      </c>
      <c r="L12" s="150">
        <v>2027</v>
      </c>
      <c r="M12" s="146" t="s">
        <v>784</v>
      </c>
      <c r="N12" s="10" t="s">
        <v>550</v>
      </c>
      <c r="O12" s="150" t="s">
        <v>664</v>
      </c>
      <c r="P12" s="9" t="s">
        <v>270</v>
      </c>
      <c r="Q12" s="9" t="s">
        <v>814</v>
      </c>
    </row>
    <row r="13" spans="1:17" x14ac:dyDescent="0.3">
      <c r="A13" s="3" t="e">
        <f>VLOOKUP(E13,'[1]Listas Desplegables'!$H$3:$J$7,2,FALSE)</f>
        <v>#N/A</v>
      </c>
      <c r="B13" s="3" t="e">
        <f>VLOOKUP(E13,'[1]Listas Desplegables'!$H$3:$J$7,3,FALSE)</f>
        <v>#N/A</v>
      </c>
      <c r="C13" s="8">
        <v>8</v>
      </c>
      <c r="D13" s="9" t="s">
        <v>447</v>
      </c>
      <c r="E13" s="146" t="s">
        <v>664</v>
      </c>
      <c r="F13" s="146">
        <v>115</v>
      </c>
      <c r="G13" s="146">
        <v>10</v>
      </c>
      <c r="H13" s="10"/>
      <c r="I13" s="10" t="s">
        <v>126</v>
      </c>
      <c r="J13" s="10" t="s">
        <v>122</v>
      </c>
      <c r="K13" s="10" t="s">
        <v>113</v>
      </c>
      <c r="L13" s="150"/>
      <c r="M13" s="146" t="s">
        <v>784</v>
      </c>
      <c r="N13" s="10" t="s">
        <v>447</v>
      </c>
      <c r="O13" s="150" t="s">
        <v>664</v>
      </c>
      <c r="P13" s="9" t="s">
        <v>270</v>
      </c>
      <c r="Q13" s="9" t="s">
        <v>813</v>
      </c>
    </row>
    <row r="14" spans="1:17" x14ac:dyDescent="0.3">
      <c r="A14" s="3" t="e">
        <f>VLOOKUP(E14,'[1]Listas Desplegables'!$H$3:$J$7,2,FALSE)</f>
        <v>#N/A</v>
      </c>
      <c r="B14" s="3" t="e">
        <f>VLOOKUP(E14,'[1]Listas Desplegables'!$H$3:$J$7,3,FALSE)</f>
        <v>#N/A</v>
      </c>
      <c r="C14" s="8">
        <v>9</v>
      </c>
      <c r="D14" s="9" t="s">
        <v>490</v>
      </c>
      <c r="E14" s="146" t="s">
        <v>664</v>
      </c>
      <c r="F14" s="146">
        <v>115</v>
      </c>
      <c r="G14" s="146">
        <v>15</v>
      </c>
      <c r="H14" s="10"/>
      <c r="I14" s="10" t="s">
        <v>126</v>
      </c>
      <c r="J14" s="10" t="s">
        <v>122</v>
      </c>
      <c r="K14" s="10" t="s">
        <v>113</v>
      </c>
      <c r="L14" s="150"/>
      <c r="M14" s="146" t="s">
        <v>784</v>
      </c>
      <c r="N14" s="10" t="s">
        <v>789</v>
      </c>
      <c r="O14" s="150" t="s">
        <v>664</v>
      </c>
      <c r="P14" s="9" t="s">
        <v>270</v>
      </c>
      <c r="Q14" s="9" t="s">
        <v>813</v>
      </c>
    </row>
    <row r="15" spans="1:17" x14ac:dyDescent="0.3">
      <c r="A15" s="3" t="e">
        <f>VLOOKUP(E15,'[1]Listas Desplegables'!$H$3:$J$7,2,FALSE)</f>
        <v>#N/A</v>
      </c>
      <c r="B15" s="3" t="e">
        <f>VLOOKUP(E15,'[1]Listas Desplegables'!$H$3:$J$7,3,FALSE)</f>
        <v>#N/A</v>
      </c>
      <c r="C15" s="7">
        <v>10</v>
      </c>
      <c r="D15" s="9" t="s">
        <v>727</v>
      </c>
      <c r="E15" s="146" t="s">
        <v>664</v>
      </c>
      <c r="F15" s="146">
        <v>115</v>
      </c>
      <c r="G15" s="146">
        <v>40</v>
      </c>
      <c r="H15" s="10"/>
      <c r="I15" s="10" t="s">
        <v>126</v>
      </c>
      <c r="J15" s="10" t="s">
        <v>122</v>
      </c>
      <c r="K15" s="10" t="s">
        <v>113</v>
      </c>
      <c r="L15" s="150"/>
      <c r="M15" s="146" t="s">
        <v>784</v>
      </c>
      <c r="N15" s="10" t="s">
        <v>727</v>
      </c>
      <c r="O15" s="150" t="s">
        <v>664</v>
      </c>
      <c r="P15" s="9" t="s">
        <v>270</v>
      </c>
      <c r="Q15" s="9" t="s">
        <v>815</v>
      </c>
    </row>
    <row r="16" spans="1:17" x14ac:dyDescent="0.3">
      <c r="A16" s="3" t="e">
        <f>VLOOKUP(E16,'[1]Listas Desplegables'!$H$3:$J$7,2,FALSE)</f>
        <v>#N/A</v>
      </c>
      <c r="B16" s="3" t="e">
        <f>VLOOKUP(E16,'[1]Listas Desplegables'!$H$3:$J$7,3,FALSE)</f>
        <v>#N/A</v>
      </c>
      <c r="C16" s="8">
        <v>11</v>
      </c>
      <c r="D16" s="9" t="s">
        <v>514</v>
      </c>
      <c r="E16" s="146" t="s">
        <v>664</v>
      </c>
      <c r="F16" s="146">
        <v>115</v>
      </c>
      <c r="G16" s="146">
        <v>30</v>
      </c>
      <c r="H16" s="10"/>
      <c r="I16" s="10" t="s">
        <v>126</v>
      </c>
      <c r="J16" s="10" t="s">
        <v>122</v>
      </c>
      <c r="K16" s="10" t="s">
        <v>113</v>
      </c>
      <c r="L16" s="150"/>
      <c r="M16" s="146" t="s">
        <v>784</v>
      </c>
      <c r="N16" s="10" t="s">
        <v>790</v>
      </c>
      <c r="O16" s="150" t="s">
        <v>664</v>
      </c>
      <c r="P16" s="9" t="s">
        <v>270</v>
      </c>
      <c r="Q16" s="9" t="s">
        <v>813</v>
      </c>
    </row>
    <row r="17" spans="1:17" x14ac:dyDescent="0.3">
      <c r="A17" s="3" t="e">
        <f>VLOOKUP(E17,'[1]Listas Desplegables'!$H$3:$J$7,2,FALSE)</f>
        <v>#N/A</v>
      </c>
      <c r="B17" s="3" t="e">
        <f>VLOOKUP(E17,'[1]Listas Desplegables'!$H$3:$J$7,3,FALSE)</f>
        <v>#N/A</v>
      </c>
      <c r="C17" s="8">
        <v>12</v>
      </c>
      <c r="D17" s="9" t="s">
        <v>648</v>
      </c>
      <c r="E17" s="146" t="s">
        <v>664</v>
      </c>
      <c r="F17" s="146">
        <v>115</v>
      </c>
      <c r="G17" s="146">
        <v>40</v>
      </c>
      <c r="H17" s="10"/>
      <c r="I17" s="10" t="s">
        <v>132</v>
      </c>
      <c r="J17" s="10" t="s">
        <v>122</v>
      </c>
      <c r="K17" s="10" t="s">
        <v>113</v>
      </c>
      <c r="L17" s="150"/>
      <c r="M17" s="146" t="s">
        <v>784</v>
      </c>
      <c r="N17" s="10" t="s">
        <v>787</v>
      </c>
      <c r="O17" s="150" t="s">
        <v>664</v>
      </c>
      <c r="P17" s="9" t="s">
        <v>270</v>
      </c>
      <c r="Q17" s="9" t="s">
        <v>813</v>
      </c>
    </row>
    <row r="18" spans="1:17" x14ac:dyDescent="0.3">
      <c r="A18" s="3" t="e">
        <f>VLOOKUP(E18,'[1]Listas Desplegables'!$H$3:$J$7,2,FALSE)</f>
        <v>#N/A</v>
      </c>
      <c r="B18" s="3" t="e">
        <f>VLOOKUP(E18,'[1]Listas Desplegables'!$H$3:$J$7,3,FALSE)</f>
        <v>#N/A</v>
      </c>
      <c r="C18" s="8">
        <v>13</v>
      </c>
      <c r="D18" s="9" t="s">
        <v>791</v>
      </c>
      <c r="E18" s="146" t="s">
        <v>664</v>
      </c>
      <c r="F18" s="146">
        <v>115</v>
      </c>
      <c r="G18" s="146">
        <v>30</v>
      </c>
      <c r="H18" s="10"/>
      <c r="I18" s="10" t="s">
        <v>126</v>
      </c>
      <c r="J18" s="10" t="s">
        <v>122</v>
      </c>
      <c r="K18" s="10" t="s">
        <v>113</v>
      </c>
      <c r="L18" s="150">
        <v>2024</v>
      </c>
      <c r="M18" s="146" t="s">
        <v>784</v>
      </c>
      <c r="N18" s="10" t="s">
        <v>789</v>
      </c>
      <c r="O18" s="150" t="s">
        <v>664</v>
      </c>
      <c r="P18" s="9" t="s">
        <v>270</v>
      </c>
      <c r="Q18" s="9" t="s">
        <v>813</v>
      </c>
    </row>
    <row r="19" spans="1:17" x14ac:dyDescent="0.3">
      <c r="A19" s="3" t="e">
        <f>VLOOKUP(E19,'[1]Listas Desplegables'!$H$3:$J$7,2,FALSE)</f>
        <v>#N/A</v>
      </c>
      <c r="B19" s="3" t="e">
        <f>VLOOKUP(E19,'[1]Listas Desplegables'!$H$3:$J$7,3,FALSE)</f>
        <v>#N/A</v>
      </c>
      <c r="C19" s="8">
        <v>14</v>
      </c>
      <c r="D19" s="9" t="s">
        <v>792</v>
      </c>
      <c r="E19" s="146" t="s">
        <v>664</v>
      </c>
      <c r="F19" s="146">
        <v>115</v>
      </c>
      <c r="G19" s="146">
        <v>30</v>
      </c>
      <c r="H19" s="10"/>
      <c r="I19" s="10" t="s">
        <v>126</v>
      </c>
      <c r="J19" s="10" t="s">
        <v>122</v>
      </c>
      <c r="K19" s="10" t="s">
        <v>113</v>
      </c>
      <c r="L19" s="10"/>
      <c r="M19" s="146" t="s">
        <v>784</v>
      </c>
      <c r="N19" s="10" t="s">
        <v>790</v>
      </c>
      <c r="O19" s="150" t="s">
        <v>664</v>
      </c>
      <c r="P19" s="9" t="s">
        <v>270</v>
      </c>
      <c r="Q19" s="9" t="s">
        <v>816</v>
      </c>
    </row>
    <row r="20" spans="1:17" x14ac:dyDescent="0.3">
      <c r="A20" s="3" t="e">
        <f>VLOOKUP(E20,'[1]Listas Desplegables'!$H$3:$J$7,2,FALSE)</f>
        <v>#N/A</v>
      </c>
      <c r="B20" s="3" t="e">
        <f>VLOOKUP(E20,'[1]Listas Desplegables'!$H$3:$J$7,3,FALSE)</f>
        <v>#N/A</v>
      </c>
      <c r="C20" s="8">
        <v>15</v>
      </c>
      <c r="D20" s="9" t="s">
        <v>793</v>
      </c>
      <c r="E20" s="146" t="s">
        <v>664</v>
      </c>
      <c r="F20" s="146">
        <v>115</v>
      </c>
      <c r="G20" s="146">
        <v>30</v>
      </c>
      <c r="H20" s="10"/>
      <c r="I20" s="10" t="s">
        <v>126</v>
      </c>
      <c r="J20" s="10" t="s">
        <v>122</v>
      </c>
      <c r="K20" s="10" t="s">
        <v>113</v>
      </c>
      <c r="L20" s="10"/>
      <c r="M20" s="146" t="s">
        <v>784</v>
      </c>
      <c r="N20" s="10" t="s">
        <v>786</v>
      </c>
      <c r="O20" s="150" t="s">
        <v>664</v>
      </c>
      <c r="P20" s="9" t="s">
        <v>270</v>
      </c>
      <c r="Q20" s="9" t="s">
        <v>816</v>
      </c>
    </row>
    <row r="21" spans="1:17" x14ac:dyDescent="0.3">
      <c r="A21" s="3" t="e">
        <f>VLOOKUP(E21,'[1]Listas Desplegables'!$H$3:$J$7,2,FALSE)</f>
        <v>#N/A</v>
      </c>
      <c r="B21" s="3" t="e">
        <f>VLOOKUP(E21,'[1]Listas Desplegables'!$H$3:$J$7,3,FALSE)</f>
        <v>#N/A</v>
      </c>
      <c r="C21" s="8">
        <v>16</v>
      </c>
      <c r="D21" s="9" t="s">
        <v>794</v>
      </c>
      <c r="E21" s="146" t="s">
        <v>664</v>
      </c>
      <c r="F21" s="146">
        <v>115</v>
      </c>
      <c r="G21" s="146">
        <v>40</v>
      </c>
      <c r="H21" s="10"/>
      <c r="I21" s="10" t="s">
        <v>126</v>
      </c>
      <c r="J21" s="10" t="s">
        <v>122</v>
      </c>
      <c r="K21" s="10" t="s">
        <v>113</v>
      </c>
      <c r="L21" s="150">
        <v>2020</v>
      </c>
      <c r="M21" s="146" t="s">
        <v>784</v>
      </c>
      <c r="N21" s="10" t="s">
        <v>762</v>
      </c>
      <c r="O21" s="150" t="s">
        <v>664</v>
      </c>
      <c r="P21" s="9" t="s">
        <v>270</v>
      </c>
      <c r="Q21" s="9" t="s">
        <v>815</v>
      </c>
    </row>
    <row r="22" spans="1:17" x14ac:dyDescent="0.3">
      <c r="A22" s="3" t="e">
        <f>VLOOKUP(E22,'[1]Listas Desplegables'!$H$3:$J$7,2,FALSE)</f>
        <v>#N/A</v>
      </c>
      <c r="B22" s="3" t="e">
        <f>VLOOKUP(E22,'[1]Listas Desplegables'!$H$3:$J$7,3,FALSE)</f>
        <v>#N/A</v>
      </c>
      <c r="C22" s="8">
        <v>17</v>
      </c>
      <c r="D22" s="9" t="s">
        <v>550</v>
      </c>
      <c r="E22" s="146" t="s">
        <v>664</v>
      </c>
      <c r="F22" s="146">
        <v>115</v>
      </c>
      <c r="G22" s="146">
        <v>10</v>
      </c>
      <c r="H22" s="10"/>
      <c r="I22" s="10" t="s">
        <v>126</v>
      </c>
      <c r="J22" s="10" t="s">
        <v>122</v>
      </c>
      <c r="K22" s="10" t="s">
        <v>113</v>
      </c>
      <c r="L22" s="150"/>
      <c r="M22" s="146" t="s">
        <v>784</v>
      </c>
      <c r="N22" s="10" t="s">
        <v>550</v>
      </c>
      <c r="O22" s="150" t="s">
        <v>664</v>
      </c>
      <c r="P22" s="9" t="s">
        <v>270</v>
      </c>
      <c r="Q22" s="9" t="s">
        <v>813</v>
      </c>
    </row>
    <row r="23" spans="1:17" x14ac:dyDescent="0.3">
      <c r="A23" s="3" t="e">
        <f>VLOOKUP(E23,'[1]Listas Desplegables'!$H$3:$J$7,2,FALSE)</f>
        <v>#N/A</v>
      </c>
      <c r="B23" s="3" t="e">
        <f>VLOOKUP(E23,'[1]Listas Desplegables'!$H$3:$J$7,3,FALSE)</f>
        <v>#N/A</v>
      </c>
      <c r="C23" s="8">
        <v>18</v>
      </c>
      <c r="D23" s="9" t="s">
        <v>520</v>
      </c>
      <c r="E23" s="146" t="s">
        <v>664</v>
      </c>
      <c r="F23" s="146">
        <v>115</v>
      </c>
      <c r="G23" s="146">
        <v>40</v>
      </c>
      <c r="H23" s="10"/>
      <c r="I23" s="10" t="s">
        <v>125</v>
      </c>
      <c r="J23" s="10" t="s">
        <v>122</v>
      </c>
      <c r="K23" s="10" t="s">
        <v>113</v>
      </c>
      <c r="L23" s="150"/>
      <c r="M23" s="146" t="s">
        <v>784</v>
      </c>
      <c r="N23" s="10" t="s">
        <v>790</v>
      </c>
      <c r="O23" s="150" t="s">
        <v>664</v>
      </c>
      <c r="P23" s="9" t="s">
        <v>270</v>
      </c>
      <c r="Q23" s="9" t="s">
        <v>815</v>
      </c>
    </row>
    <row r="24" spans="1:17" x14ac:dyDescent="0.3">
      <c r="A24" s="3" t="e">
        <f>VLOOKUP(E24,'[1]Listas Desplegables'!$H$3:$J$7,2,FALSE)</f>
        <v>#N/A</v>
      </c>
      <c r="B24" s="3" t="e">
        <f>VLOOKUP(E24,'[1]Listas Desplegables'!$H$3:$J$7,3,FALSE)</f>
        <v>#N/A</v>
      </c>
      <c r="C24" s="7">
        <v>19</v>
      </c>
      <c r="D24" s="9" t="s">
        <v>795</v>
      </c>
      <c r="E24" s="146" t="s">
        <v>664</v>
      </c>
      <c r="F24" s="146">
        <v>115</v>
      </c>
      <c r="G24" s="146">
        <v>25</v>
      </c>
      <c r="H24" s="10"/>
      <c r="I24" s="10" t="s">
        <v>126</v>
      </c>
      <c r="J24" s="10" t="s">
        <v>122</v>
      </c>
      <c r="K24" s="10" t="s">
        <v>113</v>
      </c>
      <c r="L24" s="150">
        <v>2022</v>
      </c>
      <c r="M24" s="146" t="s">
        <v>784</v>
      </c>
      <c r="N24" s="10" t="s">
        <v>531</v>
      </c>
      <c r="O24" s="150" t="s">
        <v>664</v>
      </c>
      <c r="P24" s="9" t="s">
        <v>270</v>
      </c>
      <c r="Q24" s="9" t="s">
        <v>815</v>
      </c>
    </row>
    <row r="25" spans="1:17" x14ac:dyDescent="0.3">
      <c r="A25" s="3" t="e">
        <f>VLOOKUP(E25,'[1]Listas Desplegables'!$H$3:$J$7,2,FALSE)</f>
        <v>#N/A</v>
      </c>
      <c r="B25" s="3" t="e">
        <f>VLOOKUP(E25,'[1]Listas Desplegables'!$H$3:$J$7,3,FALSE)</f>
        <v>#N/A</v>
      </c>
      <c r="C25" s="11">
        <v>20</v>
      </c>
      <c r="D25" s="9" t="s">
        <v>796</v>
      </c>
      <c r="E25" s="146" t="s">
        <v>664</v>
      </c>
      <c r="F25" s="146">
        <v>115</v>
      </c>
      <c r="G25" s="146">
        <v>10</v>
      </c>
      <c r="H25" s="10"/>
      <c r="I25" s="10" t="s">
        <v>125</v>
      </c>
      <c r="J25" s="10" t="s">
        <v>122</v>
      </c>
      <c r="K25" s="10" t="s">
        <v>113</v>
      </c>
      <c r="L25" s="150"/>
      <c r="M25" s="146" t="s">
        <v>784</v>
      </c>
      <c r="N25" s="10" t="s">
        <v>393</v>
      </c>
      <c r="O25" s="150" t="s">
        <v>664</v>
      </c>
      <c r="P25" s="9" t="s">
        <v>270</v>
      </c>
      <c r="Q25" s="9" t="s">
        <v>813</v>
      </c>
    </row>
    <row r="26" spans="1:17" x14ac:dyDescent="0.3">
      <c r="A26" s="3" t="e">
        <f>VLOOKUP(E26,'[1]Listas Desplegables'!$H$3:$J$7,2,FALSE)</f>
        <v>#N/A</v>
      </c>
      <c r="B26" s="3" t="e">
        <f>VLOOKUP(E26,'[1]Listas Desplegables'!$H$3:$J$7,3,FALSE)</f>
        <v>#N/A</v>
      </c>
      <c r="C26" s="7">
        <v>21</v>
      </c>
      <c r="D26" s="9" t="s">
        <v>797</v>
      </c>
      <c r="E26" s="146" t="s">
        <v>664</v>
      </c>
      <c r="F26" s="146">
        <v>115</v>
      </c>
      <c r="G26" s="146">
        <v>40</v>
      </c>
      <c r="H26" s="10"/>
      <c r="I26" s="10" t="s">
        <v>126</v>
      </c>
      <c r="J26" s="10" t="s">
        <v>122</v>
      </c>
      <c r="K26" s="10" t="s">
        <v>113</v>
      </c>
      <c r="L26" s="150"/>
      <c r="M26" s="146" t="s">
        <v>784</v>
      </c>
      <c r="N26" s="10" t="s">
        <v>798</v>
      </c>
      <c r="O26" s="150" t="s">
        <v>664</v>
      </c>
      <c r="P26" s="9" t="s">
        <v>270</v>
      </c>
      <c r="Q26" s="9" t="s">
        <v>815</v>
      </c>
    </row>
    <row r="27" spans="1:17" x14ac:dyDescent="0.3">
      <c r="A27" s="3" t="e">
        <f>VLOOKUP(E27,'[1]Listas Desplegables'!$H$3:$J$7,2,FALSE)</f>
        <v>#N/A</v>
      </c>
      <c r="B27" s="3" t="e">
        <f>VLOOKUP(E27,'[1]Listas Desplegables'!$H$3:$J$7,3,FALSE)</f>
        <v>#N/A</v>
      </c>
      <c r="C27" s="8">
        <v>22</v>
      </c>
      <c r="D27" s="9" t="s">
        <v>799</v>
      </c>
      <c r="E27" s="146" t="s">
        <v>664</v>
      </c>
      <c r="F27" s="146">
        <v>115</v>
      </c>
      <c r="G27" s="146">
        <v>40</v>
      </c>
      <c r="H27" s="10"/>
      <c r="I27" s="10" t="s">
        <v>125</v>
      </c>
      <c r="J27" s="10" t="s">
        <v>122</v>
      </c>
      <c r="K27" s="10" t="s">
        <v>113</v>
      </c>
      <c r="L27" s="150"/>
      <c r="M27" s="146" t="s">
        <v>784</v>
      </c>
      <c r="N27" s="10" t="s">
        <v>799</v>
      </c>
      <c r="O27" s="150" t="s">
        <v>664</v>
      </c>
      <c r="P27" s="9" t="s">
        <v>270</v>
      </c>
      <c r="Q27" s="9" t="s">
        <v>815</v>
      </c>
    </row>
    <row r="28" spans="1:17" x14ac:dyDescent="0.3">
      <c r="A28" s="3" t="e">
        <f>VLOOKUP(E28,'[1]Listas Desplegables'!$H$3:$J$7,2,FALSE)</f>
        <v>#N/A</v>
      </c>
      <c r="B28" s="3" t="e">
        <f>VLOOKUP(E28,'[1]Listas Desplegables'!$H$3:$J$7,3,FALSE)</f>
        <v>#N/A</v>
      </c>
      <c r="C28" s="8">
        <v>23</v>
      </c>
      <c r="D28" s="9" t="s">
        <v>800</v>
      </c>
      <c r="E28" s="146" t="s">
        <v>664</v>
      </c>
      <c r="F28" s="146">
        <v>115</v>
      </c>
      <c r="G28" s="146">
        <v>40</v>
      </c>
      <c r="H28" s="10"/>
      <c r="I28" s="10" t="s">
        <v>131</v>
      </c>
      <c r="J28" s="10" t="s">
        <v>122</v>
      </c>
      <c r="K28" s="10" t="s">
        <v>113</v>
      </c>
      <c r="L28" s="150"/>
      <c r="M28" s="146" t="s">
        <v>784</v>
      </c>
      <c r="N28" s="10" t="s">
        <v>455</v>
      </c>
      <c r="O28" s="150" t="s">
        <v>664</v>
      </c>
      <c r="P28" s="9" t="s">
        <v>270</v>
      </c>
      <c r="Q28" s="9" t="s">
        <v>815</v>
      </c>
    </row>
    <row r="29" spans="1:17" x14ac:dyDescent="0.3">
      <c r="A29" s="3" t="e">
        <f>VLOOKUP(E29,'[1]Listas Desplegables'!$H$3:$J$7,2,FALSE)</f>
        <v>#N/A</v>
      </c>
      <c r="B29" s="3" t="e">
        <f>VLOOKUP(E29,'[1]Listas Desplegables'!$H$3:$J$7,3,FALSE)</f>
        <v>#N/A</v>
      </c>
      <c r="C29" s="8">
        <v>24</v>
      </c>
      <c r="D29" s="9" t="s">
        <v>732</v>
      </c>
      <c r="E29" s="146" t="s">
        <v>664</v>
      </c>
      <c r="F29" s="146">
        <v>115</v>
      </c>
      <c r="G29" s="146">
        <v>40</v>
      </c>
      <c r="H29" s="10"/>
      <c r="I29" s="10" t="s">
        <v>125</v>
      </c>
      <c r="J29" s="10" t="s">
        <v>122</v>
      </c>
      <c r="K29" s="10" t="s">
        <v>113</v>
      </c>
      <c r="L29" s="150"/>
      <c r="M29" s="146" t="s">
        <v>784</v>
      </c>
      <c r="N29" s="10" t="s">
        <v>799</v>
      </c>
      <c r="O29" s="150" t="s">
        <v>664</v>
      </c>
      <c r="P29" s="9" t="s">
        <v>270</v>
      </c>
      <c r="Q29" s="9" t="s">
        <v>815</v>
      </c>
    </row>
    <row r="30" spans="1:17" x14ac:dyDescent="0.3">
      <c r="A30" s="3" t="e">
        <f>VLOOKUP(E30,'[1]Listas Desplegables'!$H$3:$J$7,2,FALSE)</f>
        <v>#N/A</v>
      </c>
      <c r="B30" s="3" t="e">
        <f>VLOOKUP(E30,'[1]Listas Desplegables'!$H$3:$J$7,3,FALSE)</f>
        <v>#N/A</v>
      </c>
      <c r="C30" s="8">
        <v>25</v>
      </c>
      <c r="D30" s="9" t="s">
        <v>801</v>
      </c>
      <c r="E30" s="146" t="s">
        <v>664</v>
      </c>
      <c r="F30" s="146">
        <v>115</v>
      </c>
      <c r="G30" s="146">
        <v>30</v>
      </c>
      <c r="H30" s="10"/>
      <c r="I30" s="10" t="s">
        <v>125</v>
      </c>
      <c r="J30" s="10" t="s">
        <v>122</v>
      </c>
      <c r="K30" s="10" t="s">
        <v>113</v>
      </c>
      <c r="L30" s="150">
        <v>2019</v>
      </c>
      <c r="M30" s="146" t="s">
        <v>784</v>
      </c>
      <c r="N30" s="10" t="s">
        <v>790</v>
      </c>
      <c r="O30" s="150" t="s">
        <v>664</v>
      </c>
      <c r="P30" s="9" t="s">
        <v>270</v>
      </c>
      <c r="Q30" s="9" t="s">
        <v>813</v>
      </c>
    </row>
    <row r="31" spans="1:17" x14ac:dyDescent="0.3">
      <c r="A31" s="3" t="e">
        <f>VLOOKUP(E31,'[1]Listas Desplegables'!$H$3:$J$7,2,FALSE)</f>
        <v>#N/A</v>
      </c>
      <c r="B31" s="3" t="e">
        <f>VLOOKUP(E31,'[1]Listas Desplegables'!$H$3:$J$7,3,FALSE)</f>
        <v>#N/A</v>
      </c>
      <c r="C31" s="8">
        <v>26</v>
      </c>
      <c r="D31" s="9" t="s">
        <v>314</v>
      </c>
      <c r="E31" s="146" t="s">
        <v>664</v>
      </c>
      <c r="F31" s="146">
        <v>115</v>
      </c>
      <c r="G31" s="146">
        <v>40</v>
      </c>
      <c r="H31" s="10"/>
      <c r="I31" s="10" t="s">
        <v>126</v>
      </c>
      <c r="J31" s="10" t="s">
        <v>122</v>
      </c>
      <c r="K31" s="10" t="s">
        <v>113</v>
      </c>
      <c r="L31" s="150">
        <v>2025</v>
      </c>
      <c r="M31" s="146" t="s">
        <v>784</v>
      </c>
      <c r="N31" s="10" t="s">
        <v>802</v>
      </c>
      <c r="O31" s="150" t="s">
        <v>664</v>
      </c>
      <c r="P31" s="9" t="s">
        <v>270</v>
      </c>
      <c r="Q31" s="9" t="s">
        <v>813</v>
      </c>
    </row>
    <row r="32" spans="1:17" x14ac:dyDescent="0.3">
      <c r="A32" s="3" t="e">
        <f>VLOOKUP(E32,'[1]Listas Desplegables'!$H$3:$J$7,2,FALSE)</f>
        <v>#N/A</v>
      </c>
      <c r="B32" s="3" t="e">
        <f>VLOOKUP(E32,'[1]Listas Desplegables'!$H$3:$J$7,3,FALSE)</f>
        <v>#N/A</v>
      </c>
      <c r="C32" s="8">
        <v>27</v>
      </c>
      <c r="D32" s="9" t="s">
        <v>540</v>
      </c>
      <c r="E32" s="146" t="s">
        <v>664</v>
      </c>
      <c r="F32" s="146">
        <v>34.5</v>
      </c>
      <c r="G32" s="146">
        <v>16</v>
      </c>
      <c r="H32" s="10"/>
      <c r="I32" s="10" t="s">
        <v>126</v>
      </c>
      <c r="J32" s="10" t="s">
        <v>122</v>
      </c>
      <c r="K32" s="10" t="s">
        <v>113</v>
      </c>
      <c r="L32" s="150"/>
      <c r="M32" s="146" t="s">
        <v>784</v>
      </c>
      <c r="N32" s="10" t="s">
        <v>540</v>
      </c>
      <c r="O32" s="150" t="s">
        <v>664</v>
      </c>
      <c r="P32" s="9" t="s">
        <v>270</v>
      </c>
      <c r="Q32" s="9" t="s">
        <v>817</v>
      </c>
    </row>
    <row r="33" spans="1:17" x14ac:dyDescent="0.3">
      <c r="A33" s="3" t="e">
        <f>VLOOKUP(E33,'[1]Listas Desplegables'!$H$3:$J$7,2,FALSE)</f>
        <v>#N/A</v>
      </c>
      <c r="B33" s="3" t="e">
        <f>VLOOKUP(E33,'[1]Listas Desplegables'!$H$3:$J$7,3,FALSE)</f>
        <v>#N/A</v>
      </c>
      <c r="C33" s="8">
        <v>28</v>
      </c>
      <c r="D33" s="9" t="s">
        <v>398</v>
      </c>
      <c r="E33" s="146" t="s">
        <v>664</v>
      </c>
      <c r="F33" s="146">
        <v>34.5</v>
      </c>
      <c r="G33" s="146">
        <v>16</v>
      </c>
      <c r="H33" s="10"/>
      <c r="I33" s="10" t="s">
        <v>126</v>
      </c>
      <c r="J33" s="10" t="s">
        <v>122</v>
      </c>
      <c r="K33" s="10" t="s">
        <v>113</v>
      </c>
      <c r="L33" s="150"/>
      <c r="M33" s="146" t="s">
        <v>784</v>
      </c>
      <c r="N33" s="10" t="s">
        <v>398</v>
      </c>
      <c r="O33" s="150" t="s">
        <v>664</v>
      </c>
      <c r="P33" s="9" t="s">
        <v>270</v>
      </c>
      <c r="Q33" s="9" t="s">
        <v>817</v>
      </c>
    </row>
    <row r="34" spans="1:17" x14ac:dyDescent="0.3">
      <c r="A34" s="3" t="e">
        <f>VLOOKUP(E34,'[1]Listas Desplegables'!$H$3:$J$7,2,FALSE)</f>
        <v>#N/A</v>
      </c>
      <c r="B34" s="3" t="e">
        <f>VLOOKUP(E34,'[1]Listas Desplegables'!$H$3:$J$7,3,FALSE)</f>
        <v>#N/A</v>
      </c>
      <c r="C34" s="8">
        <v>29</v>
      </c>
      <c r="D34" s="9" t="s">
        <v>553</v>
      </c>
      <c r="E34" s="146" t="s">
        <v>664</v>
      </c>
      <c r="F34" s="146">
        <v>34.5</v>
      </c>
      <c r="G34" s="146">
        <v>16</v>
      </c>
      <c r="H34" s="10"/>
      <c r="I34" s="10" t="s">
        <v>126</v>
      </c>
      <c r="J34" s="10" t="s">
        <v>122</v>
      </c>
      <c r="K34" s="10" t="s">
        <v>113</v>
      </c>
      <c r="L34" s="150"/>
      <c r="M34" s="146" t="s">
        <v>784</v>
      </c>
      <c r="N34" s="10" t="s">
        <v>803</v>
      </c>
      <c r="O34" s="150" t="s">
        <v>664</v>
      </c>
      <c r="P34" s="9" t="s">
        <v>270</v>
      </c>
      <c r="Q34" s="9" t="s">
        <v>817</v>
      </c>
    </row>
    <row r="35" spans="1:17" x14ac:dyDescent="0.3">
      <c r="A35" s="3" t="e">
        <f>VLOOKUP(E35,'[1]Listas Desplegables'!$H$3:$J$7,2,FALSE)</f>
        <v>#N/A</v>
      </c>
      <c r="B35" s="3" t="e">
        <f>VLOOKUP(E35,'[1]Listas Desplegables'!$H$3:$J$7,3,FALSE)</f>
        <v>#N/A</v>
      </c>
      <c r="C35" s="7">
        <v>30</v>
      </c>
      <c r="D35" s="9" t="s">
        <v>572</v>
      </c>
      <c r="E35" s="146" t="s">
        <v>664</v>
      </c>
      <c r="F35" s="146">
        <v>34.5</v>
      </c>
      <c r="G35" s="146">
        <v>16</v>
      </c>
      <c r="H35" s="10"/>
      <c r="I35" s="10" t="s">
        <v>126</v>
      </c>
      <c r="J35" s="10" t="s">
        <v>122</v>
      </c>
      <c r="K35" s="10" t="s">
        <v>113</v>
      </c>
      <c r="L35" s="150"/>
      <c r="M35" s="146" t="s">
        <v>784</v>
      </c>
      <c r="N35" s="10" t="s">
        <v>572</v>
      </c>
      <c r="O35" s="150" t="s">
        <v>664</v>
      </c>
      <c r="P35" s="9" t="s">
        <v>270</v>
      </c>
      <c r="Q35" s="9" t="s">
        <v>817</v>
      </c>
    </row>
    <row r="36" spans="1:17" x14ac:dyDescent="0.3">
      <c r="A36" s="3" t="e">
        <f>VLOOKUP(E36,'[1]Listas Desplegables'!$H$3:$J$7,2,FALSE)</f>
        <v>#N/A</v>
      </c>
      <c r="B36" s="3" t="e">
        <f>VLOOKUP(E36,'[1]Listas Desplegables'!$H$3:$J$7,3,FALSE)</f>
        <v>#N/A</v>
      </c>
      <c r="C36" s="8">
        <v>31</v>
      </c>
      <c r="D36" s="9" t="s">
        <v>564</v>
      </c>
      <c r="E36" s="146" t="s">
        <v>664</v>
      </c>
      <c r="F36" s="146">
        <v>34.5</v>
      </c>
      <c r="G36" s="146">
        <v>16</v>
      </c>
      <c r="H36" s="10"/>
      <c r="I36" s="10" t="s">
        <v>126</v>
      </c>
      <c r="J36" s="10" t="s">
        <v>122</v>
      </c>
      <c r="K36" s="10" t="s">
        <v>113</v>
      </c>
      <c r="L36" s="150"/>
      <c r="M36" s="146" t="s">
        <v>784</v>
      </c>
      <c r="N36" s="10" t="s">
        <v>564</v>
      </c>
      <c r="O36" s="150" t="s">
        <v>664</v>
      </c>
      <c r="P36" s="9" t="s">
        <v>270</v>
      </c>
      <c r="Q36" s="9" t="s">
        <v>817</v>
      </c>
    </row>
    <row r="37" spans="1:17" x14ac:dyDescent="0.3">
      <c r="A37" s="3" t="e">
        <f>VLOOKUP(E37,'[1]Listas Desplegables'!$H$3:$J$7,2,FALSE)</f>
        <v>#N/A</v>
      </c>
      <c r="B37" s="3" t="e">
        <f>VLOOKUP(E37,'[1]Listas Desplegables'!$H$3:$J$7,3,FALSE)</f>
        <v>#N/A</v>
      </c>
      <c r="C37" s="8">
        <v>32</v>
      </c>
      <c r="D37" s="9" t="s">
        <v>641</v>
      </c>
      <c r="E37" s="146" t="s">
        <v>664</v>
      </c>
      <c r="F37" s="146">
        <v>34.5</v>
      </c>
      <c r="G37" s="146">
        <v>16</v>
      </c>
      <c r="H37" s="10"/>
      <c r="I37" s="10" t="s">
        <v>126</v>
      </c>
      <c r="J37" s="10" t="s">
        <v>122</v>
      </c>
      <c r="K37" s="10" t="s">
        <v>113</v>
      </c>
      <c r="L37" s="150"/>
      <c r="M37" s="146" t="s">
        <v>784</v>
      </c>
      <c r="N37" s="10" t="s">
        <v>804</v>
      </c>
      <c r="O37" s="150" t="s">
        <v>664</v>
      </c>
      <c r="P37" s="9" t="s">
        <v>270</v>
      </c>
      <c r="Q37" s="9" t="s">
        <v>817</v>
      </c>
    </row>
    <row r="38" spans="1:17" x14ac:dyDescent="0.3">
      <c r="A38" s="3" t="e">
        <f>VLOOKUP(E38,'[1]Listas Desplegables'!$H$3:$J$7,2,FALSE)</f>
        <v>#N/A</v>
      </c>
      <c r="B38" s="3" t="e">
        <f>VLOOKUP(E38,'[1]Listas Desplegables'!$H$3:$J$7,3,FALSE)</f>
        <v>#N/A</v>
      </c>
      <c r="C38" s="8">
        <v>33</v>
      </c>
      <c r="D38" s="9" t="s">
        <v>589</v>
      </c>
      <c r="E38" s="146" t="s">
        <v>664</v>
      </c>
      <c r="F38" s="146">
        <v>34.5</v>
      </c>
      <c r="G38" s="146">
        <v>16</v>
      </c>
      <c r="H38" s="10"/>
      <c r="I38" s="10" t="s">
        <v>126</v>
      </c>
      <c r="J38" s="10" t="s">
        <v>122</v>
      </c>
      <c r="K38" s="10" t="s">
        <v>113</v>
      </c>
      <c r="L38" s="150"/>
      <c r="M38" s="146" t="s">
        <v>784</v>
      </c>
      <c r="N38" s="10" t="s">
        <v>589</v>
      </c>
      <c r="O38" s="150" t="s">
        <v>664</v>
      </c>
      <c r="P38" s="9" t="s">
        <v>270</v>
      </c>
      <c r="Q38" s="9" t="s">
        <v>817</v>
      </c>
    </row>
    <row r="39" spans="1:17" x14ac:dyDescent="0.3">
      <c r="A39" s="3" t="e">
        <f>VLOOKUP(E39,'[1]Listas Desplegables'!$H$3:$J$7,2,FALSE)</f>
        <v>#N/A</v>
      </c>
      <c r="B39" s="3" t="e">
        <f>VLOOKUP(E39,'[1]Listas Desplegables'!$H$3:$J$7,3,FALSE)</f>
        <v>#N/A</v>
      </c>
      <c r="C39" s="8">
        <v>34</v>
      </c>
      <c r="D39" s="9" t="s">
        <v>603</v>
      </c>
      <c r="E39" s="146" t="s">
        <v>664</v>
      </c>
      <c r="F39" s="146">
        <v>34.5</v>
      </c>
      <c r="G39" s="146">
        <v>16</v>
      </c>
      <c r="H39" s="10"/>
      <c r="I39" s="10" t="s">
        <v>126</v>
      </c>
      <c r="J39" s="10" t="s">
        <v>122</v>
      </c>
      <c r="K39" s="10" t="s">
        <v>113</v>
      </c>
      <c r="L39" s="150"/>
      <c r="M39" s="146" t="s">
        <v>784</v>
      </c>
      <c r="N39" s="10" t="s">
        <v>603</v>
      </c>
      <c r="O39" s="150" t="s">
        <v>664</v>
      </c>
      <c r="P39" s="9" t="s">
        <v>270</v>
      </c>
      <c r="Q39" s="9" t="s">
        <v>817</v>
      </c>
    </row>
    <row r="40" spans="1:17" x14ac:dyDescent="0.3">
      <c r="A40" s="3" t="e">
        <f>VLOOKUP(E40,'[1]Listas Desplegables'!$H$3:$J$7,2,FALSE)</f>
        <v>#N/A</v>
      </c>
      <c r="B40" s="3" t="e">
        <f>VLOOKUP(E40,'[1]Listas Desplegables'!$H$3:$J$7,3,FALSE)</f>
        <v>#N/A</v>
      </c>
      <c r="C40" s="8">
        <v>35</v>
      </c>
      <c r="D40" s="9" t="s">
        <v>414</v>
      </c>
      <c r="E40" s="146" t="s">
        <v>664</v>
      </c>
      <c r="F40" s="146">
        <v>34.5</v>
      </c>
      <c r="G40" s="146">
        <v>16</v>
      </c>
      <c r="H40" s="10"/>
      <c r="I40" s="10" t="s">
        <v>126</v>
      </c>
      <c r="J40" s="10" t="s">
        <v>122</v>
      </c>
      <c r="K40" s="10" t="s">
        <v>113</v>
      </c>
      <c r="L40" s="150"/>
      <c r="M40" s="146" t="s">
        <v>784</v>
      </c>
      <c r="N40" s="10" t="s">
        <v>414</v>
      </c>
      <c r="O40" s="150" t="s">
        <v>664</v>
      </c>
      <c r="P40" s="9" t="s">
        <v>270</v>
      </c>
      <c r="Q40" s="9" t="s">
        <v>817</v>
      </c>
    </row>
    <row r="41" spans="1:17" x14ac:dyDescent="0.3">
      <c r="A41" s="3" t="e">
        <f>VLOOKUP(E41,'[1]Listas Desplegables'!$H$3:$J$7,2,FALSE)</f>
        <v>#N/A</v>
      </c>
      <c r="B41" s="3" t="e">
        <f>VLOOKUP(E41,'[1]Listas Desplegables'!$H$3:$J$7,3,FALSE)</f>
        <v>#N/A</v>
      </c>
      <c r="C41" s="8">
        <v>36</v>
      </c>
      <c r="D41" s="9" t="s">
        <v>558</v>
      </c>
      <c r="E41" s="146" t="s">
        <v>664</v>
      </c>
      <c r="F41" s="146">
        <v>34.5</v>
      </c>
      <c r="G41" s="146">
        <v>16</v>
      </c>
      <c r="H41" s="10"/>
      <c r="I41" s="10" t="s">
        <v>126</v>
      </c>
      <c r="J41" s="10" t="s">
        <v>122</v>
      </c>
      <c r="K41" s="10" t="s">
        <v>113</v>
      </c>
      <c r="L41" s="150"/>
      <c r="M41" s="146" t="s">
        <v>784</v>
      </c>
      <c r="N41" s="10" t="s">
        <v>558</v>
      </c>
      <c r="O41" s="150" t="s">
        <v>664</v>
      </c>
      <c r="P41" s="9" t="s">
        <v>270</v>
      </c>
      <c r="Q41" s="9" t="s">
        <v>817</v>
      </c>
    </row>
    <row r="42" spans="1:17" x14ac:dyDescent="0.3">
      <c r="A42" s="3" t="e">
        <f>VLOOKUP(E42,'[1]Listas Desplegables'!$H$3:$J$7,2,FALSE)</f>
        <v>#N/A</v>
      </c>
      <c r="B42" s="3" t="e">
        <f>VLOOKUP(E42,'[1]Listas Desplegables'!$H$3:$J$7,3,FALSE)</f>
        <v>#N/A</v>
      </c>
      <c r="C42" s="8">
        <v>37</v>
      </c>
      <c r="D42" s="9" t="s">
        <v>623</v>
      </c>
      <c r="E42" s="146" t="s">
        <v>664</v>
      </c>
      <c r="F42" s="146">
        <v>34.5</v>
      </c>
      <c r="G42" s="146">
        <v>16</v>
      </c>
      <c r="H42" s="10"/>
      <c r="I42" s="10" t="s">
        <v>126</v>
      </c>
      <c r="J42" s="10" t="s">
        <v>122</v>
      </c>
      <c r="K42" s="10" t="s">
        <v>113</v>
      </c>
      <c r="L42" s="150"/>
      <c r="M42" s="146" t="s">
        <v>784</v>
      </c>
      <c r="N42" s="10" t="s">
        <v>623</v>
      </c>
      <c r="O42" s="150" t="s">
        <v>664</v>
      </c>
      <c r="P42" s="9" t="s">
        <v>270</v>
      </c>
      <c r="Q42" s="9" t="s">
        <v>817</v>
      </c>
    </row>
    <row r="43" spans="1:17" x14ac:dyDescent="0.3">
      <c r="A43" s="3" t="e">
        <f>VLOOKUP(E43,'[1]Listas Desplegables'!$H$3:$J$7,2,FALSE)</f>
        <v>#N/A</v>
      </c>
      <c r="B43" s="3" t="e">
        <f>VLOOKUP(E43,'[1]Listas Desplegables'!$H$3:$J$7,3,FALSE)</f>
        <v>#N/A</v>
      </c>
      <c r="C43" s="8">
        <v>38</v>
      </c>
      <c r="D43" s="9" t="s">
        <v>407</v>
      </c>
      <c r="E43" s="146" t="s">
        <v>664</v>
      </c>
      <c r="F43" s="146">
        <v>34.5</v>
      </c>
      <c r="G43" s="146">
        <v>16</v>
      </c>
      <c r="H43" s="10"/>
      <c r="I43" s="10" t="s">
        <v>126</v>
      </c>
      <c r="J43" s="10" t="s">
        <v>122</v>
      </c>
      <c r="K43" s="10" t="s">
        <v>113</v>
      </c>
      <c r="L43" s="150"/>
      <c r="M43" s="146" t="s">
        <v>784</v>
      </c>
      <c r="N43" s="10" t="s">
        <v>407</v>
      </c>
      <c r="O43" s="150" t="s">
        <v>664</v>
      </c>
      <c r="P43" s="9" t="s">
        <v>270</v>
      </c>
      <c r="Q43" s="9" t="s">
        <v>817</v>
      </c>
    </row>
    <row r="44" spans="1:17" x14ac:dyDescent="0.3">
      <c r="A44" s="3" t="e">
        <f>VLOOKUP(E44,'[1]Listas Desplegables'!$H$3:$J$7,2,FALSE)</f>
        <v>#N/A</v>
      </c>
      <c r="B44" s="3" t="e">
        <f>VLOOKUP(E44,'[1]Listas Desplegables'!$H$3:$J$7,3,FALSE)</f>
        <v>#N/A</v>
      </c>
      <c r="C44" s="7">
        <v>39</v>
      </c>
      <c r="D44" s="9" t="s">
        <v>499</v>
      </c>
      <c r="E44" s="146" t="s">
        <v>664</v>
      </c>
      <c r="F44" s="146">
        <v>34.5</v>
      </c>
      <c r="G44" s="146">
        <v>16</v>
      </c>
      <c r="H44" s="10"/>
      <c r="I44" s="10" t="s">
        <v>126</v>
      </c>
      <c r="J44" s="10" t="s">
        <v>122</v>
      </c>
      <c r="K44" s="10" t="s">
        <v>113</v>
      </c>
      <c r="L44" s="150"/>
      <c r="M44" s="146" t="s">
        <v>784</v>
      </c>
      <c r="N44" s="10" t="s">
        <v>805</v>
      </c>
      <c r="O44" s="150" t="s">
        <v>664</v>
      </c>
      <c r="P44" s="9" t="s">
        <v>270</v>
      </c>
      <c r="Q44" s="9" t="s">
        <v>817</v>
      </c>
    </row>
    <row r="45" spans="1:17" x14ac:dyDescent="0.3">
      <c r="A45" s="3" t="e">
        <f>VLOOKUP(E45,'[1]Listas Desplegables'!$H$3:$J$7,2,FALSE)</f>
        <v>#N/A</v>
      </c>
      <c r="B45" s="3" t="e">
        <f>VLOOKUP(E45,'[1]Listas Desplegables'!$H$3:$J$7,3,FALSE)</f>
        <v>#N/A</v>
      </c>
      <c r="C45" s="11">
        <v>40</v>
      </c>
      <c r="D45" s="9" t="s">
        <v>619</v>
      </c>
      <c r="E45" s="146" t="s">
        <v>664</v>
      </c>
      <c r="F45" s="146">
        <v>34.5</v>
      </c>
      <c r="G45" s="146">
        <v>16</v>
      </c>
      <c r="H45" s="10"/>
      <c r="I45" s="10" t="s">
        <v>126</v>
      </c>
      <c r="J45" s="10" t="s">
        <v>122</v>
      </c>
      <c r="K45" s="10" t="s">
        <v>113</v>
      </c>
      <c r="L45" s="150"/>
      <c r="M45" s="146" t="s">
        <v>784</v>
      </c>
      <c r="N45" s="10" t="s">
        <v>619</v>
      </c>
      <c r="O45" s="150" t="s">
        <v>664</v>
      </c>
      <c r="P45" s="9" t="s">
        <v>270</v>
      </c>
      <c r="Q45" s="9" t="s">
        <v>817</v>
      </c>
    </row>
    <row r="46" spans="1:17" x14ac:dyDescent="0.3">
      <c r="A46" s="3" t="e">
        <f>VLOOKUP(E46,'[1]Listas Desplegables'!$H$3:$J$7,2,FALSE)</f>
        <v>#N/A</v>
      </c>
      <c r="B46" s="3" t="e">
        <f>VLOOKUP(E46,'[1]Listas Desplegables'!$H$3:$J$7,3,FALSE)</f>
        <v>#N/A</v>
      </c>
      <c r="C46" s="7">
        <v>41</v>
      </c>
      <c r="D46" s="9" t="s">
        <v>478</v>
      </c>
      <c r="E46" s="146" t="s">
        <v>664</v>
      </c>
      <c r="F46" s="146">
        <v>34.5</v>
      </c>
      <c r="G46" s="146">
        <v>16</v>
      </c>
      <c r="H46" s="10"/>
      <c r="I46" s="10" t="s">
        <v>126</v>
      </c>
      <c r="J46" s="10" t="s">
        <v>122</v>
      </c>
      <c r="K46" s="10" t="s">
        <v>113</v>
      </c>
      <c r="L46" s="150"/>
      <c r="M46" s="146" t="s">
        <v>784</v>
      </c>
      <c r="N46" s="10" t="s">
        <v>478</v>
      </c>
      <c r="O46" s="150" t="s">
        <v>664</v>
      </c>
      <c r="P46" s="9" t="s">
        <v>270</v>
      </c>
      <c r="Q46" s="9" t="s">
        <v>817</v>
      </c>
    </row>
    <row r="47" spans="1:17" x14ac:dyDescent="0.3">
      <c r="A47" s="3" t="e">
        <f>VLOOKUP(E47,'[1]Listas Desplegables'!$H$3:$J$7,2,FALSE)</f>
        <v>#N/A</v>
      </c>
      <c r="B47" s="3" t="e">
        <f>VLOOKUP(E47,'[1]Listas Desplegables'!$H$3:$J$7,3,FALSE)</f>
        <v>#N/A</v>
      </c>
      <c r="C47" s="8">
        <v>42</v>
      </c>
      <c r="D47" s="9" t="s">
        <v>385</v>
      </c>
      <c r="E47" s="146" t="s">
        <v>664</v>
      </c>
      <c r="F47" s="146">
        <v>34.5</v>
      </c>
      <c r="G47" s="146">
        <v>16</v>
      </c>
      <c r="H47" s="10"/>
      <c r="I47" s="10" t="s">
        <v>126</v>
      </c>
      <c r="J47" s="10" t="s">
        <v>122</v>
      </c>
      <c r="K47" s="10" t="s">
        <v>113</v>
      </c>
      <c r="L47" s="150"/>
      <c r="M47" s="146" t="s">
        <v>784</v>
      </c>
      <c r="N47" s="10" t="s">
        <v>385</v>
      </c>
      <c r="O47" s="150" t="s">
        <v>664</v>
      </c>
      <c r="P47" s="9" t="s">
        <v>270</v>
      </c>
      <c r="Q47" s="9" t="s">
        <v>817</v>
      </c>
    </row>
    <row r="48" spans="1:17" x14ac:dyDescent="0.3">
      <c r="A48" s="3" t="e">
        <f>VLOOKUP(E48,'[1]Listas Desplegables'!$H$3:$J$7,2,FALSE)</f>
        <v>#N/A</v>
      </c>
      <c r="B48" s="3" t="e">
        <f>VLOOKUP(E48,'[1]Listas Desplegables'!$H$3:$J$7,3,FALSE)</f>
        <v>#N/A</v>
      </c>
      <c r="C48" s="8">
        <v>43</v>
      </c>
      <c r="D48" s="9" t="s">
        <v>615</v>
      </c>
      <c r="E48" s="146" t="s">
        <v>664</v>
      </c>
      <c r="F48" s="146">
        <v>34.5</v>
      </c>
      <c r="G48" s="146">
        <v>16</v>
      </c>
      <c r="H48" s="10"/>
      <c r="I48" s="10" t="s">
        <v>126</v>
      </c>
      <c r="J48" s="10" t="s">
        <v>122</v>
      </c>
      <c r="K48" s="10" t="s">
        <v>113</v>
      </c>
      <c r="L48" s="150"/>
      <c r="M48" s="146" t="s">
        <v>784</v>
      </c>
      <c r="N48" s="10" t="s">
        <v>615</v>
      </c>
      <c r="O48" s="150" t="s">
        <v>664</v>
      </c>
      <c r="P48" s="9" t="s">
        <v>270</v>
      </c>
      <c r="Q48" s="9" t="s">
        <v>817</v>
      </c>
    </row>
    <row r="49" spans="1:17" x14ac:dyDescent="0.3">
      <c r="A49" s="3" t="e">
        <f>VLOOKUP(E49,'[1]Listas Desplegables'!$H$3:$J$7,2,FALSE)</f>
        <v>#N/A</v>
      </c>
      <c r="B49" s="3" t="e">
        <f>VLOOKUP(E49,'[1]Listas Desplegables'!$H$3:$J$7,3,FALSE)</f>
        <v>#N/A</v>
      </c>
      <c r="C49" s="8">
        <v>44</v>
      </c>
      <c r="D49" s="9" t="s">
        <v>413</v>
      </c>
      <c r="E49" s="146" t="s">
        <v>664</v>
      </c>
      <c r="F49" s="146">
        <v>34.5</v>
      </c>
      <c r="G49" s="146">
        <v>16</v>
      </c>
      <c r="H49" s="10"/>
      <c r="I49" s="10" t="s">
        <v>126</v>
      </c>
      <c r="J49" s="10" t="s">
        <v>122</v>
      </c>
      <c r="K49" s="10" t="s">
        <v>113</v>
      </c>
      <c r="L49" s="150"/>
      <c r="M49" s="146" t="s">
        <v>784</v>
      </c>
      <c r="N49" s="10" t="s">
        <v>413</v>
      </c>
      <c r="O49" s="150" t="s">
        <v>664</v>
      </c>
      <c r="P49" s="9" t="s">
        <v>270</v>
      </c>
      <c r="Q49" s="9" t="s">
        <v>817</v>
      </c>
    </row>
    <row r="50" spans="1:17" x14ac:dyDescent="0.3">
      <c r="A50" s="3" t="e">
        <f>VLOOKUP(E50,'[1]Listas Desplegables'!$H$3:$J$7,2,FALSE)</f>
        <v>#N/A</v>
      </c>
      <c r="B50" s="3" t="e">
        <f>VLOOKUP(E50,'[1]Listas Desplegables'!$H$3:$J$7,3,FALSE)</f>
        <v>#N/A</v>
      </c>
      <c r="C50" s="8">
        <v>45</v>
      </c>
      <c r="D50" s="9" t="s">
        <v>611</v>
      </c>
      <c r="E50" s="146" t="s">
        <v>664</v>
      </c>
      <c r="F50" s="146">
        <v>34.5</v>
      </c>
      <c r="G50" s="146">
        <v>16</v>
      </c>
      <c r="H50" s="10"/>
      <c r="I50" s="10" t="s">
        <v>126</v>
      </c>
      <c r="J50" s="10" t="s">
        <v>122</v>
      </c>
      <c r="K50" s="10" t="s">
        <v>113</v>
      </c>
      <c r="L50" s="150"/>
      <c r="M50" s="146" t="s">
        <v>784</v>
      </c>
      <c r="N50" s="10" t="s">
        <v>806</v>
      </c>
      <c r="O50" s="150" t="s">
        <v>664</v>
      </c>
      <c r="P50" s="9" t="s">
        <v>270</v>
      </c>
      <c r="Q50" s="9" t="s">
        <v>817</v>
      </c>
    </row>
    <row r="51" spans="1:17" x14ac:dyDescent="0.3">
      <c r="A51" s="3" t="e">
        <f>VLOOKUP(E51,'[1]Listas Desplegables'!$H$3:$J$7,2,FALSE)</f>
        <v>#N/A</v>
      </c>
      <c r="B51" s="3" t="e">
        <f>VLOOKUP(E51,'[1]Listas Desplegables'!$H$3:$J$7,3,FALSE)</f>
        <v>#N/A</v>
      </c>
      <c r="C51" s="8">
        <v>46</v>
      </c>
      <c r="D51" s="9" t="s">
        <v>599</v>
      </c>
      <c r="E51" s="146" t="s">
        <v>664</v>
      </c>
      <c r="F51" s="146">
        <v>34.5</v>
      </c>
      <c r="G51" s="146">
        <v>16</v>
      </c>
      <c r="H51" s="10"/>
      <c r="I51" s="10" t="s">
        <v>126</v>
      </c>
      <c r="J51" s="10" t="s">
        <v>122</v>
      </c>
      <c r="K51" s="10" t="s">
        <v>113</v>
      </c>
      <c r="L51" s="150"/>
      <c r="M51" s="146" t="s">
        <v>784</v>
      </c>
      <c r="N51" s="10" t="s">
        <v>599</v>
      </c>
      <c r="O51" s="150" t="s">
        <v>664</v>
      </c>
      <c r="P51" s="9" t="s">
        <v>270</v>
      </c>
      <c r="Q51" s="9" t="s">
        <v>817</v>
      </c>
    </row>
    <row r="52" spans="1:17" x14ac:dyDescent="0.3">
      <c r="A52" s="3" t="e">
        <f>VLOOKUP(E52,'[1]Listas Desplegables'!$H$3:$J$7,2,FALSE)</f>
        <v>#N/A</v>
      </c>
      <c r="B52" s="3" t="e">
        <f>VLOOKUP(E52,'[1]Listas Desplegables'!$H$3:$J$7,3,FALSE)</f>
        <v>#N/A</v>
      </c>
      <c r="C52" s="8">
        <v>47</v>
      </c>
      <c r="D52" s="9" t="s">
        <v>495</v>
      </c>
      <c r="E52" s="146" t="s">
        <v>664</v>
      </c>
      <c r="F52" s="146">
        <v>34.5</v>
      </c>
      <c r="G52" s="146">
        <v>16</v>
      </c>
      <c r="H52" s="10"/>
      <c r="I52" s="10" t="s">
        <v>126</v>
      </c>
      <c r="J52" s="10" t="s">
        <v>122</v>
      </c>
      <c r="K52" s="10" t="s">
        <v>113</v>
      </c>
      <c r="L52" s="150"/>
      <c r="M52" s="146" t="s">
        <v>784</v>
      </c>
      <c r="N52" s="10" t="s">
        <v>495</v>
      </c>
      <c r="O52" s="150" t="s">
        <v>664</v>
      </c>
      <c r="P52" s="9" t="s">
        <v>270</v>
      </c>
      <c r="Q52" s="9" t="s">
        <v>817</v>
      </c>
    </row>
    <row r="53" spans="1:17" x14ac:dyDescent="0.3">
      <c r="A53" s="3" t="e">
        <f>VLOOKUP(E53,'[1]Listas Desplegables'!$H$3:$J$7,2,FALSE)</f>
        <v>#N/A</v>
      </c>
      <c r="B53" s="3" t="e">
        <f>VLOOKUP(E53,'[1]Listas Desplegables'!$H$3:$J$7,3,FALSE)</f>
        <v>#N/A</v>
      </c>
      <c r="C53" s="8">
        <v>48</v>
      </c>
      <c r="D53" s="9" t="s">
        <v>529</v>
      </c>
      <c r="E53" s="146" t="s">
        <v>664</v>
      </c>
      <c r="F53" s="146">
        <v>34.5</v>
      </c>
      <c r="G53" s="146">
        <v>16</v>
      </c>
      <c r="H53" s="10"/>
      <c r="I53" s="10" t="s">
        <v>126</v>
      </c>
      <c r="J53" s="10" t="s">
        <v>122</v>
      </c>
      <c r="K53" s="10" t="s">
        <v>113</v>
      </c>
      <c r="L53" s="150"/>
      <c r="M53" s="146" t="s">
        <v>784</v>
      </c>
      <c r="N53" s="10" t="s">
        <v>529</v>
      </c>
      <c r="O53" s="150" t="s">
        <v>664</v>
      </c>
      <c r="P53" s="9" t="s">
        <v>270</v>
      </c>
      <c r="Q53" s="9" t="s">
        <v>817</v>
      </c>
    </row>
    <row r="54" spans="1:17" x14ac:dyDescent="0.3">
      <c r="A54" s="3" t="e">
        <f>VLOOKUP(E54,'[1]Listas Desplegables'!$H$3:$J$7,2,FALSE)</f>
        <v>#N/A</v>
      </c>
      <c r="B54" s="3" t="e">
        <f>VLOOKUP(E54,'[1]Listas Desplegables'!$H$3:$J$7,3,FALSE)</f>
        <v>#N/A</v>
      </c>
      <c r="C54" s="8">
        <v>49</v>
      </c>
      <c r="D54" s="9" t="s">
        <v>777</v>
      </c>
      <c r="E54" s="146" t="s">
        <v>664</v>
      </c>
      <c r="F54" s="146">
        <v>34.5</v>
      </c>
      <c r="G54" s="146">
        <v>16</v>
      </c>
      <c r="H54" s="10"/>
      <c r="I54" s="10" t="s">
        <v>126</v>
      </c>
      <c r="J54" s="10" t="s">
        <v>122</v>
      </c>
      <c r="K54" s="10" t="s">
        <v>113</v>
      </c>
      <c r="L54" s="150"/>
      <c r="M54" s="146" t="s">
        <v>784</v>
      </c>
      <c r="N54" s="10" t="s">
        <v>777</v>
      </c>
      <c r="O54" s="150" t="s">
        <v>664</v>
      </c>
      <c r="P54" s="9" t="s">
        <v>270</v>
      </c>
      <c r="Q54" s="9" t="s">
        <v>817</v>
      </c>
    </row>
    <row r="55" spans="1:17" x14ac:dyDescent="0.3">
      <c r="A55" s="3" t="e">
        <f>VLOOKUP(E55,'[1]Listas Desplegables'!$H$3:$J$7,2,FALSE)</f>
        <v>#N/A</v>
      </c>
      <c r="B55" s="3" t="e">
        <f>VLOOKUP(E55,'[1]Listas Desplegables'!$H$3:$J$7,3,FALSE)</f>
        <v>#N/A</v>
      </c>
      <c r="C55" s="7">
        <v>50</v>
      </c>
      <c r="D55" s="9" t="s">
        <v>606</v>
      </c>
      <c r="E55" s="146" t="s">
        <v>664</v>
      </c>
      <c r="F55" s="146">
        <v>34.5</v>
      </c>
      <c r="G55" s="146">
        <v>16</v>
      </c>
      <c r="H55" s="10"/>
      <c r="I55" s="10" t="s">
        <v>126</v>
      </c>
      <c r="J55" s="10" t="s">
        <v>122</v>
      </c>
      <c r="K55" s="10" t="s">
        <v>113</v>
      </c>
      <c r="L55" s="150"/>
      <c r="M55" s="146" t="s">
        <v>784</v>
      </c>
      <c r="N55" s="10" t="s">
        <v>606</v>
      </c>
      <c r="O55" s="150" t="s">
        <v>664</v>
      </c>
      <c r="P55" s="9" t="s">
        <v>270</v>
      </c>
      <c r="Q55" s="9" t="s">
        <v>817</v>
      </c>
    </row>
    <row r="56" spans="1:17" x14ac:dyDescent="0.3">
      <c r="A56" s="3" t="e">
        <f>VLOOKUP(E56,'[1]Listas Desplegables'!$H$3:$J$7,2,FALSE)</f>
        <v>#N/A</v>
      </c>
      <c r="B56" s="3" t="e">
        <f>VLOOKUP(E56,'[1]Listas Desplegables'!$H$3:$J$7,3,FALSE)</f>
        <v>#N/A</v>
      </c>
      <c r="C56" s="8">
        <v>51</v>
      </c>
      <c r="D56" s="9" t="s">
        <v>645</v>
      </c>
      <c r="E56" s="146" t="s">
        <v>664</v>
      </c>
      <c r="F56" s="146">
        <v>34.5</v>
      </c>
      <c r="G56" s="146">
        <v>16</v>
      </c>
      <c r="H56" s="10"/>
      <c r="I56" s="10" t="s">
        <v>126</v>
      </c>
      <c r="J56" s="10" t="s">
        <v>122</v>
      </c>
      <c r="K56" s="10" t="s">
        <v>113</v>
      </c>
      <c r="L56" s="150"/>
      <c r="M56" s="146" t="s">
        <v>784</v>
      </c>
      <c r="N56" s="10" t="s">
        <v>807</v>
      </c>
      <c r="O56" s="150" t="s">
        <v>664</v>
      </c>
      <c r="P56" s="9" t="s">
        <v>270</v>
      </c>
      <c r="Q56" s="9" t="s">
        <v>817</v>
      </c>
    </row>
    <row r="57" spans="1:17" x14ac:dyDescent="0.3">
      <c r="A57" s="3" t="e">
        <f>VLOOKUP(E57,'[1]Listas Desplegables'!$H$3:$J$7,2,FALSE)</f>
        <v>#N/A</v>
      </c>
      <c r="B57" s="3" t="e">
        <f>VLOOKUP(E57,'[1]Listas Desplegables'!$H$3:$J$7,3,FALSE)</f>
        <v>#N/A</v>
      </c>
      <c r="C57" s="8">
        <v>52</v>
      </c>
      <c r="D57" s="9" t="s">
        <v>608</v>
      </c>
      <c r="E57" s="146" t="s">
        <v>664</v>
      </c>
      <c r="F57" s="146">
        <v>34.5</v>
      </c>
      <c r="G57" s="146">
        <v>16</v>
      </c>
      <c r="H57" s="10"/>
      <c r="I57" s="10" t="s">
        <v>126</v>
      </c>
      <c r="J57" s="10" t="s">
        <v>122</v>
      </c>
      <c r="K57" s="10" t="s">
        <v>113</v>
      </c>
      <c r="L57" s="150"/>
      <c r="M57" s="146" t="s">
        <v>784</v>
      </c>
      <c r="N57" s="10" t="s">
        <v>608</v>
      </c>
      <c r="O57" s="150" t="s">
        <v>664</v>
      </c>
      <c r="P57" s="9" t="s">
        <v>270</v>
      </c>
      <c r="Q57" s="9" t="s">
        <v>817</v>
      </c>
    </row>
    <row r="58" spans="1:17" x14ac:dyDescent="0.3">
      <c r="C58" s="8">
        <v>53</v>
      </c>
      <c r="D58" s="9" t="s">
        <v>583</v>
      </c>
      <c r="E58" s="146" t="s">
        <v>664</v>
      </c>
      <c r="F58" s="146">
        <v>34.5</v>
      </c>
      <c r="G58" s="146">
        <v>16</v>
      </c>
      <c r="H58" s="10"/>
      <c r="I58" s="10" t="s">
        <v>126</v>
      </c>
      <c r="J58" s="10" t="s">
        <v>122</v>
      </c>
      <c r="K58" s="10" t="s">
        <v>113</v>
      </c>
      <c r="L58" s="150"/>
      <c r="M58" s="146" t="s">
        <v>784</v>
      </c>
      <c r="N58" s="10" t="s">
        <v>808</v>
      </c>
      <c r="O58" s="150" t="s">
        <v>664</v>
      </c>
      <c r="P58" s="9" t="s">
        <v>270</v>
      </c>
      <c r="Q58" s="9" t="s">
        <v>817</v>
      </c>
    </row>
    <row r="59" spans="1:17" x14ac:dyDescent="0.3">
      <c r="C59" s="8">
        <v>54</v>
      </c>
      <c r="D59" s="9" t="s">
        <v>776</v>
      </c>
      <c r="E59" s="146" t="s">
        <v>664</v>
      </c>
      <c r="F59" s="146">
        <v>34.5</v>
      </c>
      <c r="G59" s="146">
        <v>16</v>
      </c>
      <c r="H59" s="10"/>
      <c r="I59" s="10" t="s">
        <v>126</v>
      </c>
      <c r="J59" s="10" t="s">
        <v>122</v>
      </c>
      <c r="K59" s="10" t="s">
        <v>113</v>
      </c>
      <c r="L59" s="150"/>
      <c r="M59" s="146" t="s">
        <v>784</v>
      </c>
      <c r="N59" s="10" t="s">
        <v>808</v>
      </c>
      <c r="O59" s="150" t="s">
        <v>664</v>
      </c>
      <c r="P59" s="9" t="s">
        <v>270</v>
      </c>
      <c r="Q59" s="9" t="s">
        <v>817</v>
      </c>
    </row>
    <row r="60" spans="1:17" x14ac:dyDescent="0.3">
      <c r="C60" s="8">
        <v>55</v>
      </c>
      <c r="D60" s="9" t="s">
        <v>396</v>
      </c>
      <c r="E60" s="146" t="s">
        <v>664</v>
      </c>
      <c r="F60" s="146">
        <v>34.5</v>
      </c>
      <c r="G60" s="146">
        <v>16</v>
      </c>
      <c r="H60" s="10"/>
      <c r="I60" s="10" t="s">
        <v>126</v>
      </c>
      <c r="J60" s="10" t="s">
        <v>122</v>
      </c>
      <c r="K60" s="10" t="s">
        <v>113</v>
      </c>
      <c r="L60" s="150"/>
      <c r="M60" s="146" t="s">
        <v>784</v>
      </c>
      <c r="N60" s="10" t="s">
        <v>396</v>
      </c>
      <c r="O60" s="150" t="s">
        <v>664</v>
      </c>
      <c r="P60" s="9" t="s">
        <v>270</v>
      </c>
      <c r="Q60" s="9" t="s">
        <v>817</v>
      </c>
    </row>
    <row r="61" spans="1:17" x14ac:dyDescent="0.3">
      <c r="C61" s="8">
        <v>56</v>
      </c>
      <c r="D61" s="9" t="s">
        <v>430</v>
      </c>
      <c r="E61" s="146" t="s">
        <v>664</v>
      </c>
      <c r="F61" s="146">
        <v>34.5</v>
      </c>
      <c r="G61" s="146">
        <v>16</v>
      </c>
      <c r="H61" s="10"/>
      <c r="I61" s="10" t="s">
        <v>126</v>
      </c>
      <c r="J61" s="10" t="s">
        <v>122</v>
      </c>
      <c r="K61" s="10" t="s">
        <v>113</v>
      </c>
      <c r="L61" s="150"/>
      <c r="M61" s="146" t="s">
        <v>784</v>
      </c>
      <c r="N61" s="10" t="s">
        <v>430</v>
      </c>
      <c r="O61" s="150" t="s">
        <v>664</v>
      </c>
      <c r="P61" s="9" t="s">
        <v>270</v>
      </c>
      <c r="Q61" s="9" t="s">
        <v>817</v>
      </c>
    </row>
    <row r="62" spans="1:17" x14ac:dyDescent="0.3">
      <c r="C62" s="8">
        <v>57</v>
      </c>
      <c r="D62" s="9" t="s">
        <v>779</v>
      </c>
      <c r="E62" s="146" t="s">
        <v>664</v>
      </c>
      <c r="F62" s="146">
        <v>34.5</v>
      </c>
      <c r="G62" s="146">
        <v>16</v>
      </c>
      <c r="H62" s="10"/>
      <c r="I62" s="10" t="s">
        <v>126</v>
      </c>
      <c r="J62" s="10" t="s">
        <v>122</v>
      </c>
      <c r="K62" s="10" t="s">
        <v>113</v>
      </c>
      <c r="L62" s="150"/>
      <c r="M62" s="146" t="s">
        <v>784</v>
      </c>
      <c r="N62" s="10" t="s">
        <v>807</v>
      </c>
      <c r="O62" s="150" t="s">
        <v>664</v>
      </c>
      <c r="P62" s="9" t="s">
        <v>270</v>
      </c>
      <c r="Q62" s="9" t="s">
        <v>817</v>
      </c>
    </row>
    <row r="63" spans="1:17" x14ac:dyDescent="0.3">
      <c r="C63" s="8">
        <v>58</v>
      </c>
      <c r="D63" s="9" t="s">
        <v>515</v>
      </c>
      <c r="E63" s="146" t="s">
        <v>664</v>
      </c>
      <c r="F63" s="146">
        <v>34.5</v>
      </c>
      <c r="G63" s="146">
        <v>16</v>
      </c>
      <c r="H63" s="10"/>
      <c r="I63" s="10" t="s">
        <v>126</v>
      </c>
      <c r="J63" s="10" t="s">
        <v>122</v>
      </c>
      <c r="K63" s="10" t="s">
        <v>113</v>
      </c>
      <c r="L63" s="150"/>
      <c r="M63" s="146" t="s">
        <v>784</v>
      </c>
      <c r="N63" s="10" t="s">
        <v>806</v>
      </c>
      <c r="O63" s="150" t="s">
        <v>664</v>
      </c>
      <c r="P63" s="9" t="s">
        <v>270</v>
      </c>
      <c r="Q63" s="9" t="s">
        <v>817</v>
      </c>
    </row>
    <row r="64" spans="1:17" x14ac:dyDescent="0.3">
      <c r="C64" s="8">
        <v>59</v>
      </c>
      <c r="D64" s="9" t="s">
        <v>570</v>
      </c>
      <c r="E64" s="146" t="s">
        <v>664</v>
      </c>
      <c r="F64" s="146">
        <v>34.5</v>
      </c>
      <c r="G64" s="146">
        <v>16</v>
      </c>
      <c r="H64" s="10"/>
      <c r="I64" s="10" t="s">
        <v>126</v>
      </c>
      <c r="J64" s="10" t="s">
        <v>122</v>
      </c>
      <c r="K64" s="10" t="s">
        <v>113</v>
      </c>
      <c r="L64" s="150"/>
      <c r="M64" s="146" t="s">
        <v>784</v>
      </c>
      <c r="N64" s="10" t="s">
        <v>570</v>
      </c>
      <c r="O64" s="150" t="s">
        <v>664</v>
      </c>
      <c r="P64" s="9" t="s">
        <v>270</v>
      </c>
      <c r="Q64" s="9" t="s">
        <v>817</v>
      </c>
    </row>
    <row r="65" spans="3:17" x14ac:dyDescent="0.3">
      <c r="C65" s="7">
        <v>60</v>
      </c>
      <c r="D65" s="9" t="s">
        <v>568</v>
      </c>
      <c r="E65" s="146" t="s">
        <v>664</v>
      </c>
      <c r="F65" s="146">
        <v>34.5</v>
      </c>
      <c r="G65" s="146">
        <v>16</v>
      </c>
      <c r="H65" s="10"/>
      <c r="I65" s="10" t="s">
        <v>126</v>
      </c>
      <c r="J65" s="10" t="s">
        <v>122</v>
      </c>
      <c r="K65" s="10" t="s">
        <v>113</v>
      </c>
      <c r="L65" s="150"/>
      <c r="M65" s="146" t="s">
        <v>784</v>
      </c>
      <c r="N65" s="10" t="s">
        <v>568</v>
      </c>
      <c r="O65" s="150" t="s">
        <v>664</v>
      </c>
      <c r="P65" s="9" t="s">
        <v>270</v>
      </c>
      <c r="Q65" s="9" t="s">
        <v>817</v>
      </c>
    </row>
    <row r="66" spans="3:17" x14ac:dyDescent="0.3">
      <c r="C66" s="8">
        <v>61</v>
      </c>
      <c r="D66" s="9" t="s">
        <v>775</v>
      </c>
      <c r="E66" s="146" t="s">
        <v>664</v>
      </c>
      <c r="F66" s="146">
        <v>34.5</v>
      </c>
      <c r="G66" s="146">
        <v>16</v>
      </c>
      <c r="H66" s="10"/>
      <c r="I66" s="10" t="s">
        <v>126</v>
      </c>
      <c r="J66" s="10" t="s">
        <v>122</v>
      </c>
      <c r="K66" s="10" t="s">
        <v>113</v>
      </c>
      <c r="L66" s="150"/>
      <c r="M66" s="146" t="s">
        <v>784</v>
      </c>
      <c r="N66" s="10" t="s">
        <v>803</v>
      </c>
      <c r="O66" s="150" t="s">
        <v>664</v>
      </c>
      <c r="P66" s="9" t="s">
        <v>270</v>
      </c>
      <c r="Q66" s="9" t="s">
        <v>817</v>
      </c>
    </row>
    <row r="67" spans="3:17" x14ac:dyDescent="0.3">
      <c r="C67" s="8">
        <v>62</v>
      </c>
      <c r="D67" s="9" t="s">
        <v>433</v>
      </c>
      <c r="E67" s="146" t="s">
        <v>664</v>
      </c>
      <c r="F67" s="146">
        <v>34.5</v>
      </c>
      <c r="G67" s="146">
        <v>16</v>
      </c>
      <c r="H67" s="10"/>
      <c r="I67" s="10" t="s">
        <v>126</v>
      </c>
      <c r="J67" s="10" t="s">
        <v>122</v>
      </c>
      <c r="K67" s="10" t="s">
        <v>113</v>
      </c>
      <c r="L67" s="150"/>
      <c r="M67" s="146" t="s">
        <v>784</v>
      </c>
      <c r="N67" s="10" t="s">
        <v>433</v>
      </c>
      <c r="O67" s="150" t="s">
        <v>664</v>
      </c>
      <c r="P67" s="9" t="s">
        <v>270</v>
      </c>
      <c r="Q67" s="9" t="s">
        <v>817</v>
      </c>
    </row>
    <row r="68" spans="3:17" x14ac:dyDescent="0.3">
      <c r="C68" s="8">
        <v>63</v>
      </c>
      <c r="D68" s="9" t="s">
        <v>780</v>
      </c>
      <c r="E68" s="146" t="s">
        <v>664</v>
      </c>
      <c r="F68" s="146">
        <v>34.5</v>
      </c>
      <c r="G68" s="146">
        <v>16</v>
      </c>
      <c r="H68" s="10"/>
      <c r="I68" s="10" t="s">
        <v>126</v>
      </c>
      <c r="J68" s="10" t="s">
        <v>122</v>
      </c>
      <c r="K68" s="10" t="s">
        <v>113</v>
      </c>
      <c r="L68" s="150"/>
      <c r="M68" s="146" t="s">
        <v>784</v>
      </c>
      <c r="N68" s="10" t="s">
        <v>780</v>
      </c>
      <c r="O68" s="150" t="s">
        <v>664</v>
      </c>
      <c r="P68" s="9" t="s">
        <v>270</v>
      </c>
      <c r="Q68" s="9" t="s">
        <v>817</v>
      </c>
    </row>
    <row r="69" spans="3:17" x14ac:dyDescent="0.3">
      <c r="C69" s="8">
        <v>64</v>
      </c>
      <c r="D69" s="9" t="s">
        <v>774</v>
      </c>
      <c r="E69" s="146" t="s">
        <v>664</v>
      </c>
      <c r="F69" s="146">
        <v>34.5</v>
      </c>
      <c r="G69" s="146">
        <v>16</v>
      </c>
      <c r="H69" s="10"/>
      <c r="I69" s="10" t="s">
        <v>126</v>
      </c>
      <c r="J69" s="10" t="s">
        <v>122</v>
      </c>
      <c r="K69" s="10" t="s">
        <v>113</v>
      </c>
      <c r="L69" s="150"/>
      <c r="M69" s="146" t="s">
        <v>784</v>
      </c>
      <c r="N69" s="10" t="s">
        <v>774</v>
      </c>
      <c r="O69" s="150" t="s">
        <v>664</v>
      </c>
      <c r="P69" s="9" t="s">
        <v>270</v>
      </c>
      <c r="Q69" s="9" t="s">
        <v>817</v>
      </c>
    </row>
    <row r="70" spans="3:17" x14ac:dyDescent="0.3">
      <c r="C70" s="8">
        <v>65</v>
      </c>
      <c r="D70" s="9" t="s">
        <v>428</v>
      </c>
      <c r="E70" s="146" t="s">
        <v>664</v>
      </c>
      <c r="F70" s="146">
        <v>34.5</v>
      </c>
      <c r="G70" s="146">
        <v>16</v>
      </c>
      <c r="H70" s="10"/>
      <c r="I70" s="10" t="s">
        <v>126</v>
      </c>
      <c r="J70" s="10" t="s">
        <v>122</v>
      </c>
      <c r="K70" s="10" t="s">
        <v>113</v>
      </c>
      <c r="L70" s="150"/>
      <c r="M70" s="146" t="s">
        <v>784</v>
      </c>
      <c r="N70" s="10" t="s">
        <v>428</v>
      </c>
      <c r="O70" s="150" t="s">
        <v>664</v>
      </c>
      <c r="P70" s="9" t="s">
        <v>270</v>
      </c>
      <c r="Q70" s="9" t="s">
        <v>817</v>
      </c>
    </row>
    <row r="71" spans="3:17" x14ac:dyDescent="0.3">
      <c r="C71" s="8">
        <v>66</v>
      </c>
      <c r="D71" s="9" t="s">
        <v>534</v>
      </c>
      <c r="E71" s="146" t="s">
        <v>664</v>
      </c>
      <c r="F71" s="146">
        <v>34.5</v>
      </c>
      <c r="G71" s="146">
        <v>16</v>
      </c>
      <c r="H71" s="10"/>
      <c r="I71" s="10" t="s">
        <v>126</v>
      </c>
      <c r="J71" s="10" t="s">
        <v>122</v>
      </c>
      <c r="K71" s="10" t="s">
        <v>113</v>
      </c>
      <c r="L71" s="150"/>
      <c r="M71" s="146" t="s">
        <v>784</v>
      </c>
      <c r="N71" s="10" t="s">
        <v>534</v>
      </c>
      <c r="O71" s="150" t="s">
        <v>664</v>
      </c>
      <c r="P71" s="9" t="s">
        <v>270</v>
      </c>
      <c r="Q71" s="9" t="s">
        <v>817</v>
      </c>
    </row>
    <row r="72" spans="3:17" x14ac:dyDescent="0.3">
      <c r="C72" s="8">
        <v>67</v>
      </c>
      <c r="D72" s="9" t="s">
        <v>773</v>
      </c>
      <c r="E72" s="146" t="s">
        <v>664</v>
      </c>
      <c r="F72" s="146">
        <v>34.5</v>
      </c>
      <c r="G72" s="146">
        <v>16</v>
      </c>
      <c r="H72" s="10"/>
      <c r="I72" s="10" t="s">
        <v>126</v>
      </c>
      <c r="J72" s="10" t="s">
        <v>122</v>
      </c>
      <c r="K72" s="10" t="s">
        <v>113</v>
      </c>
      <c r="L72" s="150"/>
      <c r="M72" s="146" t="s">
        <v>784</v>
      </c>
      <c r="N72" s="10" t="s">
        <v>773</v>
      </c>
      <c r="O72" s="150" t="s">
        <v>664</v>
      </c>
      <c r="P72" s="9" t="s">
        <v>270</v>
      </c>
      <c r="Q72" s="9" t="s">
        <v>817</v>
      </c>
    </row>
    <row r="73" spans="3:17" x14ac:dyDescent="0.3">
      <c r="C73" s="8">
        <v>68</v>
      </c>
      <c r="D73" s="9" t="s">
        <v>438</v>
      </c>
      <c r="E73" s="146" t="s">
        <v>664</v>
      </c>
      <c r="F73" s="146">
        <v>34.5</v>
      </c>
      <c r="G73" s="146">
        <v>16</v>
      </c>
      <c r="H73" s="10"/>
      <c r="I73" s="10" t="s">
        <v>126</v>
      </c>
      <c r="J73" s="10" t="s">
        <v>122</v>
      </c>
      <c r="K73" s="10" t="s">
        <v>113</v>
      </c>
      <c r="L73" s="150"/>
      <c r="M73" s="146" t="s">
        <v>784</v>
      </c>
      <c r="N73" s="10" t="s">
        <v>438</v>
      </c>
      <c r="O73" s="150" t="s">
        <v>664</v>
      </c>
      <c r="P73" s="9" t="s">
        <v>270</v>
      </c>
      <c r="Q73" s="9" t="s">
        <v>817</v>
      </c>
    </row>
    <row r="74" spans="3:17" x14ac:dyDescent="0.3">
      <c r="C74" s="8">
        <v>69</v>
      </c>
      <c r="D74" s="9" t="s">
        <v>442</v>
      </c>
      <c r="E74" s="146" t="s">
        <v>664</v>
      </c>
      <c r="F74" s="146">
        <v>34.5</v>
      </c>
      <c r="G74" s="146">
        <v>16</v>
      </c>
      <c r="H74" s="10"/>
      <c r="I74" s="10" t="s">
        <v>126</v>
      </c>
      <c r="J74" s="10" t="s">
        <v>122</v>
      </c>
      <c r="K74" s="10" t="s">
        <v>113</v>
      </c>
      <c r="L74" s="150"/>
      <c r="M74" s="146" t="s">
        <v>784</v>
      </c>
      <c r="N74" s="10" t="s">
        <v>442</v>
      </c>
      <c r="O74" s="150" t="s">
        <v>664</v>
      </c>
      <c r="P74" s="9" t="s">
        <v>270</v>
      </c>
      <c r="Q74" s="9" t="s">
        <v>817</v>
      </c>
    </row>
    <row r="75" spans="3:17" x14ac:dyDescent="0.3">
      <c r="C75" s="7">
        <v>70</v>
      </c>
      <c r="D75" s="9" t="s">
        <v>474</v>
      </c>
      <c r="E75" s="146" t="s">
        <v>664</v>
      </c>
      <c r="F75" s="146">
        <v>34.5</v>
      </c>
      <c r="G75" s="146">
        <v>16</v>
      </c>
      <c r="H75" s="10"/>
      <c r="I75" s="10" t="s">
        <v>126</v>
      </c>
      <c r="J75" s="10" t="s">
        <v>122</v>
      </c>
      <c r="K75" s="10" t="s">
        <v>113</v>
      </c>
      <c r="L75" s="150"/>
      <c r="M75" s="146" t="s">
        <v>784</v>
      </c>
      <c r="N75" s="10" t="s">
        <v>807</v>
      </c>
      <c r="O75" s="150" t="s">
        <v>664</v>
      </c>
      <c r="P75" s="9" t="s">
        <v>270</v>
      </c>
      <c r="Q75" s="9" t="s">
        <v>817</v>
      </c>
    </row>
    <row r="76" spans="3:17" x14ac:dyDescent="0.3">
      <c r="C76" s="8">
        <v>71</v>
      </c>
      <c r="D76" s="9" t="s">
        <v>772</v>
      </c>
      <c r="E76" s="146" t="s">
        <v>664</v>
      </c>
      <c r="F76" s="146">
        <v>34.5</v>
      </c>
      <c r="G76" s="146">
        <v>16</v>
      </c>
      <c r="H76" s="10"/>
      <c r="I76" s="10" t="s">
        <v>126</v>
      </c>
      <c r="J76" s="10" t="s">
        <v>122</v>
      </c>
      <c r="K76" s="10" t="s">
        <v>113</v>
      </c>
      <c r="L76" s="150"/>
      <c r="M76" s="146" t="s">
        <v>784</v>
      </c>
      <c r="N76" s="10" t="s">
        <v>772</v>
      </c>
      <c r="O76" s="150" t="s">
        <v>664</v>
      </c>
      <c r="P76" s="9" t="s">
        <v>270</v>
      </c>
      <c r="Q76" s="9" t="s">
        <v>817</v>
      </c>
    </row>
    <row r="77" spans="3:17" x14ac:dyDescent="0.3">
      <c r="C77" s="8">
        <v>72</v>
      </c>
      <c r="D77" s="9" t="s">
        <v>531</v>
      </c>
      <c r="E77" s="146" t="s">
        <v>664</v>
      </c>
      <c r="F77" s="146">
        <v>34.5</v>
      </c>
      <c r="G77" s="146">
        <v>16</v>
      </c>
      <c r="H77" s="10"/>
      <c r="I77" s="10" t="s">
        <v>126</v>
      </c>
      <c r="J77" s="10" t="s">
        <v>122</v>
      </c>
      <c r="K77" s="10" t="s">
        <v>113</v>
      </c>
      <c r="L77" s="150"/>
      <c r="M77" s="146" t="s">
        <v>784</v>
      </c>
      <c r="N77" s="10" t="s">
        <v>531</v>
      </c>
      <c r="O77" s="150" t="s">
        <v>664</v>
      </c>
      <c r="P77" s="9" t="s">
        <v>270</v>
      </c>
      <c r="Q77" s="9" t="s">
        <v>817</v>
      </c>
    </row>
    <row r="78" spans="3:17" x14ac:dyDescent="0.3">
      <c r="C78" s="8">
        <v>73</v>
      </c>
      <c r="D78" s="9" t="s">
        <v>424</v>
      </c>
      <c r="E78" s="146" t="s">
        <v>664</v>
      </c>
      <c r="F78" s="146">
        <v>34.5</v>
      </c>
      <c r="G78" s="146">
        <v>16</v>
      </c>
      <c r="H78" s="10"/>
      <c r="I78" s="10" t="s">
        <v>126</v>
      </c>
      <c r="J78" s="10" t="s">
        <v>122</v>
      </c>
      <c r="K78" s="10" t="s">
        <v>113</v>
      </c>
      <c r="L78" s="150"/>
      <c r="M78" s="146" t="s">
        <v>784</v>
      </c>
      <c r="N78" s="10" t="s">
        <v>424</v>
      </c>
      <c r="O78" s="150" t="s">
        <v>664</v>
      </c>
      <c r="P78" s="9" t="s">
        <v>270</v>
      </c>
      <c r="Q78" s="9" t="s">
        <v>817</v>
      </c>
    </row>
    <row r="79" spans="3:17" x14ac:dyDescent="0.3">
      <c r="C79" s="8">
        <v>74</v>
      </c>
      <c r="D79" s="9" t="s">
        <v>439</v>
      </c>
      <c r="E79" s="146" t="s">
        <v>664</v>
      </c>
      <c r="F79" s="146">
        <v>34.5</v>
      </c>
      <c r="G79" s="146">
        <v>16</v>
      </c>
      <c r="H79" s="10"/>
      <c r="I79" s="10" t="s">
        <v>126</v>
      </c>
      <c r="J79" s="10" t="s">
        <v>122</v>
      </c>
      <c r="K79" s="10" t="s">
        <v>113</v>
      </c>
      <c r="L79" s="150"/>
      <c r="M79" s="146" t="s">
        <v>784</v>
      </c>
      <c r="N79" s="10" t="s">
        <v>439</v>
      </c>
      <c r="O79" s="150" t="s">
        <v>664</v>
      </c>
      <c r="P79" s="9" t="s">
        <v>270</v>
      </c>
      <c r="Q79" s="9" t="s">
        <v>817</v>
      </c>
    </row>
    <row r="80" spans="3:17" x14ac:dyDescent="0.3">
      <c r="C80" s="8">
        <v>75</v>
      </c>
      <c r="D80" s="9" t="s">
        <v>594</v>
      </c>
      <c r="E80" s="146" t="s">
        <v>664</v>
      </c>
      <c r="F80" s="146">
        <v>34.5</v>
      </c>
      <c r="G80" s="146">
        <v>16</v>
      </c>
      <c r="H80" s="10"/>
      <c r="I80" s="10" t="s">
        <v>126</v>
      </c>
      <c r="J80" s="10" t="s">
        <v>122</v>
      </c>
      <c r="K80" s="10" t="s">
        <v>113</v>
      </c>
      <c r="L80" s="150"/>
      <c r="M80" s="146" t="s">
        <v>784</v>
      </c>
      <c r="N80" s="10" t="s">
        <v>594</v>
      </c>
      <c r="O80" s="150" t="s">
        <v>664</v>
      </c>
      <c r="P80" s="9" t="s">
        <v>270</v>
      </c>
      <c r="Q80" s="9" t="s">
        <v>817</v>
      </c>
    </row>
    <row r="81" spans="3:17" x14ac:dyDescent="0.3">
      <c r="C81" s="8">
        <v>76</v>
      </c>
      <c r="D81" s="9" t="s">
        <v>771</v>
      </c>
      <c r="E81" s="146" t="s">
        <v>664</v>
      </c>
      <c r="F81" s="146">
        <v>34.5</v>
      </c>
      <c r="G81" s="146">
        <v>16</v>
      </c>
      <c r="H81" s="10"/>
      <c r="I81" s="10" t="s">
        <v>126</v>
      </c>
      <c r="J81" s="10" t="s">
        <v>122</v>
      </c>
      <c r="K81" s="10" t="s">
        <v>113</v>
      </c>
      <c r="L81" s="150"/>
      <c r="M81" s="146" t="s">
        <v>784</v>
      </c>
      <c r="N81" s="10" t="s">
        <v>771</v>
      </c>
      <c r="O81" s="150" t="s">
        <v>664</v>
      </c>
      <c r="P81" s="9" t="s">
        <v>270</v>
      </c>
      <c r="Q81" s="9" t="s">
        <v>817</v>
      </c>
    </row>
    <row r="82" spans="3:17" x14ac:dyDescent="0.3">
      <c r="C82" s="8">
        <v>77</v>
      </c>
      <c r="D82" s="9" t="s">
        <v>493</v>
      </c>
      <c r="E82" s="146" t="s">
        <v>664</v>
      </c>
      <c r="F82" s="146">
        <v>34.5</v>
      </c>
      <c r="G82" s="146">
        <v>16</v>
      </c>
      <c r="H82" s="10"/>
      <c r="I82" s="10" t="s">
        <v>126</v>
      </c>
      <c r="J82" s="10" t="s">
        <v>122</v>
      </c>
      <c r="K82" s="10" t="s">
        <v>113</v>
      </c>
      <c r="L82" s="150"/>
      <c r="M82" s="146" t="s">
        <v>784</v>
      </c>
      <c r="N82" s="10" t="s">
        <v>804</v>
      </c>
      <c r="O82" s="150" t="s">
        <v>664</v>
      </c>
      <c r="P82" s="9" t="s">
        <v>270</v>
      </c>
      <c r="Q82" s="9" t="s">
        <v>817</v>
      </c>
    </row>
    <row r="83" spans="3:17" x14ac:dyDescent="0.3">
      <c r="C83" s="8">
        <v>78</v>
      </c>
      <c r="D83" s="9" t="s">
        <v>393</v>
      </c>
      <c r="E83" s="146" t="s">
        <v>664</v>
      </c>
      <c r="F83" s="146">
        <v>34.5</v>
      </c>
      <c r="G83" s="146">
        <v>16</v>
      </c>
      <c r="H83" s="10"/>
      <c r="I83" s="10" t="s">
        <v>126</v>
      </c>
      <c r="J83" s="10" t="s">
        <v>122</v>
      </c>
      <c r="K83" s="10" t="s">
        <v>113</v>
      </c>
      <c r="L83" s="150"/>
      <c r="M83" s="146" t="s">
        <v>784</v>
      </c>
      <c r="N83" s="10" t="s">
        <v>393</v>
      </c>
      <c r="O83" s="150" t="s">
        <v>664</v>
      </c>
      <c r="P83" s="9" t="s">
        <v>270</v>
      </c>
      <c r="Q83" s="9" t="s">
        <v>817</v>
      </c>
    </row>
    <row r="84" spans="3:17" x14ac:dyDescent="0.3">
      <c r="C84" s="8">
        <v>79</v>
      </c>
      <c r="D84" s="9" t="s">
        <v>522</v>
      </c>
      <c r="E84" s="146" t="s">
        <v>664</v>
      </c>
      <c r="F84" s="146">
        <v>34.5</v>
      </c>
      <c r="G84" s="146">
        <v>16</v>
      </c>
      <c r="H84" s="10"/>
      <c r="I84" s="10" t="s">
        <v>126</v>
      </c>
      <c r="J84" s="10" t="s">
        <v>122</v>
      </c>
      <c r="K84" s="10" t="s">
        <v>113</v>
      </c>
      <c r="L84" s="150"/>
      <c r="M84" s="146" t="s">
        <v>784</v>
      </c>
      <c r="N84" s="10" t="s">
        <v>522</v>
      </c>
      <c r="O84" s="150" t="s">
        <v>664</v>
      </c>
      <c r="P84" s="9" t="s">
        <v>270</v>
      </c>
      <c r="Q84" s="9" t="s">
        <v>817</v>
      </c>
    </row>
    <row r="85" spans="3:17" x14ac:dyDescent="0.3">
      <c r="C85" s="7">
        <v>80</v>
      </c>
      <c r="D85" s="9" t="s">
        <v>770</v>
      </c>
      <c r="E85" s="146" t="s">
        <v>664</v>
      </c>
      <c r="F85" s="146">
        <v>34.5</v>
      </c>
      <c r="G85" s="146">
        <v>16</v>
      </c>
      <c r="H85" s="10"/>
      <c r="I85" s="10" t="s">
        <v>126</v>
      </c>
      <c r="J85" s="10" t="s">
        <v>122</v>
      </c>
      <c r="K85" s="10" t="s">
        <v>113</v>
      </c>
      <c r="L85" s="150"/>
      <c r="M85" s="146" t="s">
        <v>784</v>
      </c>
      <c r="N85" s="10" t="s">
        <v>770</v>
      </c>
      <c r="O85" s="150" t="s">
        <v>664</v>
      </c>
      <c r="P85" s="9" t="s">
        <v>270</v>
      </c>
      <c r="Q85" s="9" t="s">
        <v>817</v>
      </c>
    </row>
    <row r="86" spans="3:17" x14ac:dyDescent="0.3">
      <c r="C86" s="8">
        <v>81</v>
      </c>
      <c r="D86" s="9" t="s">
        <v>551</v>
      </c>
      <c r="E86" s="146" t="s">
        <v>664</v>
      </c>
      <c r="F86" s="146">
        <v>34.5</v>
      </c>
      <c r="G86" s="146">
        <v>16</v>
      </c>
      <c r="H86" s="10"/>
      <c r="I86" s="10" t="s">
        <v>126</v>
      </c>
      <c r="J86" s="10" t="s">
        <v>122</v>
      </c>
      <c r="K86" s="10" t="s">
        <v>113</v>
      </c>
      <c r="L86" s="150"/>
      <c r="M86" s="146" t="s">
        <v>784</v>
      </c>
      <c r="N86" s="10" t="s">
        <v>803</v>
      </c>
      <c r="O86" s="150" t="s">
        <v>664</v>
      </c>
      <c r="P86" s="9" t="s">
        <v>270</v>
      </c>
      <c r="Q86" s="9" t="s">
        <v>817</v>
      </c>
    </row>
    <row r="87" spans="3:17" x14ac:dyDescent="0.3">
      <c r="C87" s="8">
        <v>82</v>
      </c>
      <c r="D87" s="9" t="s">
        <v>502</v>
      </c>
      <c r="E87" s="146" t="s">
        <v>664</v>
      </c>
      <c r="F87" s="146">
        <v>34.5</v>
      </c>
      <c r="G87" s="146">
        <v>16</v>
      </c>
      <c r="H87" s="10"/>
      <c r="I87" s="10" t="s">
        <v>126</v>
      </c>
      <c r="J87" s="10" t="s">
        <v>122</v>
      </c>
      <c r="K87" s="10" t="s">
        <v>113</v>
      </c>
      <c r="L87" s="150"/>
      <c r="M87" s="146" t="s">
        <v>784</v>
      </c>
      <c r="N87" s="10" t="s">
        <v>502</v>
      </c>
      <c r="O87" s="150" t="s">
        <v>664</v>
      </c>
      <c r="P87" s="9" t="s">
        <v>270</v>
      </c>
      <c r="Q87" s="9" t="s">
        <v>817</v>
      </c>
    </row>
    <row r="88" spans="3:17" x14ac:dyDescent="0.3">
      <c r="C88" s="8">
        <v>83</v>
      </c>
      <c r="D88" s="9" t="s">
        <v>500</v>
      </c>
      <c r="E88" s="146" t="s">
        <v>664</v>
      </c>
      <c r="F88" s="146">
        <v>34.5</v>
      </c>
      <c r="G88" s="146">
        <v>16</v>
      </c>
      <c r="H88" s="10"/>
      <c r="I88" s="10" t="s">
        <v>126</v>
      </c>
      <c r="J88" s="10" t="s">
        <v>122</v>
      </c>
      <c r="K88" s="10" t="s">
        <v>113</v>
      </c>
      <c r="L88" s="150"/>
      <c r="M88" s="146" t="s">
        <v>784</v>
      </c>
      <c r="N88" s="10" t="s">
        <v>500</v>
      </c>
      <c r="O88" s="150" t="s">
        <v>664</v>
      </c>
      <c r="P88" s="9" t="s">
        <v>270</v>
      </c>
      <c r="Q88" s="9" t="s">
        <v>817</v>
      </c>
    </row>
    <row r="89" spans="3:17" x14ac:dyDescent="0.3">
      <c r="C89" s="8">
        <v>84</v>
      </c>
      <c r="D89" s="9" t="s">
        <v>762</v>
      </c>
      <c r="E89" s="146" t="s">
        <v>664</v>
      </c>
      <c r="F89" s="146">
        <v>34.5</v>
      </c>
      <c r="G89" s="146">
        <v>16</v>
      </c>
      <c r="H89" s="10"/>
      <c r="I89" s="10" t="s">
        <v>126</v>
      </c>
      <c r="J89" s="10" t="s">
        <v>122</v>
      </c>
      <c r="K89" s="10" t="s">
        <v>113</v>
      </c>
      <c r="L89" s="150"/>
      <c r="M89" s="146" t="s">
        <v>784</v>
      </c>
      <c r="N89" s="10" t="s">
        <v>762</v>
      </c>
      <c r="O89" s="150" t="s">
        <v>664</v>
      </c>
      <c r="P89" s="9" t="s">
        <v>270</v>
      </c>
      <c r="Q89" s="9" t="s">
        <v>817</v>
      </c>
    </row>
    <row r="90" spans="3:17" x14ac:dyDescent="0.3">
      <c r="C90" s="8">
        <v>85</v>
      </c>
      <c r="D90" s="9" t="s">
        <v>768</v>
      </c>
      <c r="E90" s="146" t="s">
        <v>664</v>
      </c>
      <c r="F90" s="146">
        <v>34.5</v>
      </c>
      <c r="G90" s="146">
        <v>16</v>
      </c>
      <c r="H90" s="10"/>
      <c r="I90" s="10" t="s">
        <v>126</v>
      </c>
      <c r="J90" s="10" t="s">
        <v>122</v>
      </c>
      <c r="K90" s="10" t="s">
        <v>113</v>
      </c>
      <c r="L90" s="150"/>
      <c r="M90" s="146" t="s">
        <v>784</v>
      </c>
      <c r="N90" s="10" t="s">
        <v>804</v>
      </c>
      <c r="O90" s="150" t="s">
        <v>664</v>
      </c>
      <c r="P90" s="9" t="s">
        <v>270</v>
      </c>
      <c r="Q90" s="9" t="s">
        <v>817</v>
      </c>
    </row>
    <row r="91" spans="3:17" x14ac:dyDescent="0.3">
      <c r="C91" s="8">
        <v>86</v>
      </c>
      <c r="D91" s="9" t="s">
        <v>497</v>
      </c>
      <c r="E91" s="146" t="s">
        <v>664</v>
      </c>
      <c r="F91" s="146">
        <v>34.5</v>
      </c>
      <c r="G91" s="146">
        <v>16</v>
      </c>
      <c r="H91" s="10"/>
      <c r="I91" s="10" t="s">
        <v>126</v>
      </c>
      <c r="J91" s="10" t="s">
        <v>122</v>
      </c>
      <c r="K91" s="10" t="s">
        <v>113</v>
      </c>
      <c r="L91" s="150"/>
      <c r="M91" s="146" t="s">
        <v>784</v>
      </c>
      <c r="N91" s="10" t="s">
        <v>807</v>
      </c>
      <c r="O91" s="150" t="s">
        <v>664</v>
      </c>
      <c r="P91" s="9" t="s">
        <v>270</v>
      </c>
      <c r="Q91" s="9" t="s">
        <v>817</v>
      </c>
    </row>
    <row r="92" spans="3:17" x14ac:dyDescent="0.3">
      <c r="C92" s="8">
        <v>87</v>
      </c>
      <c r="D92" s="9" t="s">
        <v>443</v>
      </c>
      <c r="E92" s="146" t="s">
        <v>664</v>
      </c>
      <c r="F92" s="146">
        <v>34.5</v>
      </c>
      <c r="G92" s="146">
        <v>16</v>
      </c>
      <c r="H92" s="10"/>
      <c r="I92" s="10" t="s">
        <v>126</v>
      </c>
      <c r="J92" s="10" t="s">
        <v>122</v>
      </c>
      <c r="K92" s="10" t="s">
        <v>113</v>
      </c>
      <c r="L92" s="150"/>
      <c r="M92" s="146" t="s">
        <v>784</v>
      </c>
      <c r="N92" s="10" t="s">
        <v>443</v>
      </c>
      <c r="O92" s="150" t="s">
        <v>664</v>
      </c>
      <c r="P92" s="9" t="s">
        <v>270</v>
      </c>
      <c r="Q92" s="9" t="s">
        <v>817</v>
      </c>
    </row>
    <row r="93" spans="3:17" x14ac:dyDescent="0.3">
      <c r="C93" s="8">
        <v>88</v>
      </c>
      <c r="D93" s="9" t="s">
        <v>411</v>
      </c>
      <c r="E93" s="146" t="s">
        <v>664</v>
      </c>
      <c r="F93" s="146">
        <v>34.5</v>
      </c>
      <c r="G93" s="146">
        <v>16</v>
      </c>
      <c r="H93" s="10"/>
      <c r="I93" s="10" t="s">
        <v>126</v>
      </c>
      <c r="J93" s="10" t="s">
        <v>122</v>
      </c>
      <c r="K93" s="10" t="s">
        <v>113</v>
      </c>
      <c r="L93" s="150"/>
      <c r="M93" s="146" t="s">
        <v>784</v>
      </c>
      <c r="N93" s="10" t="s">
        <v>411</v>
      </c>
      <c r="O93" s="150" t="s">
        <v>664</v>
      </c>
      <c r="P93" s="9" t="s">
        <v>270</v>
      </c>
      <c r="Q93" s="9" t="s">
        <v>817</v>
      </c>
    </row>
    <row r="94" spans="3:17" x14ac:dyDescent="0.3">
      <c r="C94" s="8">
        <v>89</v>
      </c>
      <c r="D94" s="9" t="s">
        <v>435</v>
      </c>
      <c r="E94" s="146" t="s">
        <v>664</v>
      </c>
      <c r="F94" s="146">
        <v>34.5</v>
      </c>
      <c r="G94" s="146">
        <v>16</v>
      </c>
      <c r="H94" s="10"/>
      <c r="I94" s="10" t="s">
        <v>126</v>
      </c>
      <c r="J94" s="10" t="s">
        <v>122</v>
      </c>
      <c r="K94" s="10" t="s">
        <v>113</v>
      </c>
      <c r="L94" s="150"/>
      <c r="M94" s="146" t="s">
        <v>784</v>
      </c>
      <c r="N94" s="10" t="s">
        <v>435</v>
      </c>
      <c r="O94" s="150" t="s">
        <v>664</v>
      </c>
      <c r="P94" s="9" t="s">
        <v>270</v>
      </c>
      <c r="Q94" s="9" t="s">
        <v>817</v>
      </c>
    </row>
    <row r="95" spans="3:17" x14ac:dyDescent="0.3">
      <c r="C95" s="7">
        <v>90</v>
      </c>
      <c r="D95" s="9" t="s">
        <v>452</v>
      </c>
      <c r="E95" s="146" t="s">
        <v>664</v>
      </c>
      <c r="F95" s="146">
        <v>34.5</v>
      </c>
      <c r="G95" s="146">
        <v>16</v>
      </c>
      <c r="H95" s="10"/>
      <c r="I95" s="10" t="s">
        <v>126</v>
      </c>
      <c r="J95" s="10" t="s">
        <v>122</v>
      </c>
      <c r="K95" s="10" t="s">
        <v>113</v>
      </c>
      <c r="L95" s="150"/>
      <c r="M95" s="146" t="s">
        <v>784</v>
      </c>
      <c r="N95" s="10" t="s">
        <v>452</v>
      </c>
      <c r="O95" s="150" t="s">
        <v>664</v>
      </c>
      <c r="P95" s="9" t="s">
        <v>270</v>
      </c>
      <c r="Q95" s="9" t="s">
        <v>817</v>
      </c>
    </row>
    <row r="96" spans="3:17" x14ac:dyDescent="0.3">
      <c r="C96" s="8">
        <v>91</v>
      </c>
      <c r="D96" s="9" t="s">
        <v>485</v>
      </c>
      <c r="E96" s="146" t="s">
        <v>664</v>
      </c>
      <c r="F96" s="146">
        <v>34.5</v>
      </c>
      <c r="G96" s="146">
        <v>16</v>
      </c>
      <c r="H96" s="10"/>
      <c r="I96" s="10" t="s">
        <v>126</v>
      </c>
      <c r="J96" s="10" t="s">
        <v>122</v>
      </c>
      <c r="K96" s="10" t="s">
        <v>113</v>
      </c>
      <c r="L96" s="150"/>
      <c r="M96" s="146" t="s">
        <v>784</v>
      </c>
      <c r="N96" s="10" t="s">
        <v>485</v>
      </c>
      <c r="O96" s="150" t="s">
        <v>664</v>
      </c>
      <c r="P96" s="9" t="s">
        <v>270</v>
      </c>
      <c r="Q96" s="9" t="s">
        <v>817</v>
      </c>
    </row>
    <row r="97" spans="3:17" x14ac:dyDescent="0.3">
      <c r="C97" s="8">
        <v>92</v>
      </c>
      <c r="D97" s="9" t="s">
        <v>481</v>
      </c>
      <c r="E97" s="146" t="s">
        <v>664</v>
      </c>
      <c r="F97" s="146">
        <v>34.5</v>
      </c>
      <c r="G97" s="146">
        <v>16</v>
      </c>
      <c r="H97" s="10"/>
      <c r="I97" s="10" t="s">
        <v>126</v>
      </c>
      <c r="J97" s="10" t="s">
        <v>122</v>
      </c>
      <c r="K97" s="10" t="s">
        <v>113</v>
      </c>
      <c r="L97" s="150"/>
      <c r="M97" s="146" t="s">
        <v>784</v>
      </c>
      <c r="N97" s="10" t="s">
        <v>481</v>
      </c>
      <c r="O97" s="150" t="s">
        <v>664</v>
      </c>
      <c r="P97" s="9" t="s">
        <v>270</v>
      </c>
      <c r="Q97" s="9" t="s">
        <v>817</v>
      </c>
    </row>
    <row r="98" spans="3:17" x14ac:dyDescent="0.3">
      <c r="C98" s="8">
        <v>93</v>
      </c>
      <c r="D98" s="9" t="s">
        <v>809</v>
      </c>
      <c r="E98" s="146" t="s">
        <v>664</v>
      </c>
      <c r="F98" s="146">
        <v>34.5</v>
      </c>
      <c r="G98" s="146">
        <v>16</v>
      </c>
      <c r="H98" s="10"/>
      <c r="I98" s="10" t="s">
        <v>126</v>
      </c>
      <c r="J98" s="10" t="s">
        <v>122</v>
      </c>
      <c r="K98" s="10" t="s">
        <v>113</v>
      </c>
      <c r="L98" s="150"/>
      <c r="M98" s="146" t="s">
        <v>784</v>
      </c>
      <c r="N98" s="10" t="s">
        <v>810</v>
      </c>
      <c r="O98" s="150" t="s">
        <v>664</v>
      </c>
      <c r="P98" s="9" t="s">
        <v>270</v>
      </c>
      <c r="Q98" s="9" t="s">
        <v>817</v>
      </c>
    </row>
    <row r="99" spans="3:17" x14ac:dyDescent="0.3">
      <c r="C99" s="8">
        <v>94</v>
      </c>
      <c r="D99" s="9" t="s">
        <v>383</v>
      </c>
      <c r="E99" s="146" t="s">
        <v>664</v>
      </c>
      <c r="F99" s="146">
        <v>34.5</v>
      </c>
      <c r="G99" s="146">
        <v>16</v>
      </c>
      <c r="H99" s="10"/>
      <c r="I99" s="10" t="s">
        <v>126</v>
      </c>
      <c r="J99" s="10" t="s">
        <v>122</v>
      </c>
      <c r="K99" s="10" t="s">
        <v>113</v>
      </c>
      <c r="L99" s="150"/>
      <c r="M99" s="146" t="s">
        <v>784</v>
      </c>
      <c r="N99" s="10" t="s">
        <v>383</v>
      </c>
      <c r="O99" s="150" t="s">
        <v>664</v>
      </c>
      <c r="P99" s="9" t="s">
        <v>270</v>
      </c>
      <c r="Q99" s="9" t="s">
        <v>817</v>
      </c>
    </row>
    <row r="100" spans="3:17" x14ac:dyDescent="0.3">
      <c r="C100" s="8">
        <v>95</v>
      </c>
      <c r="D100" s="9" t="s">
        <v>782</v>
      </c>
      <c r="E100" s="146" t="s">
        <v>664</v>
      </c>
      <c r="F100" s="146">
        <v>34.5</v>
      </c>
      <c r="G100" s="146">
        <v>16</v>
      </c>
      <c r="H100" s="10"/>
      <c r="I100" s="10" t="s">
        <v>126</v>
      </c>
      <c r="J100" s="10" t="s">
        <v>122</v>
      </c>
      <c r="K100" s="10" t="s">
        <v>113</v>
      </c>
      <c r="L100" s="150"/>
      <c r="M100" s="146" t="s">
        <v>784</v>
      </c>
      <c r="N100" s="10" t="s">
        <v>803</v>
      </c>
      <c r="O100" s="150" t="s">
        <v>664</v>
      </c>
      <c r="P100" s="9" t="s">
        <v>270</v>
      </c>
      <c r="Q100" s="9" t="s">
        <v>817</v>
      </c>
    </row>
    <row r="101" spans="3:17" x14ac:dyDescent="0.3">
      <c r="C101" s="8">
        <v>96</v>
      </c>
      <c r="D101" s="9" t="s">
        <v>783</v>
      </c>
      <c r="E101" s="146" t="s">
        <v>664</v>
      </c>
      <c r="F101" s="146">
        <v>34.5</v>
      </c>
      <c r="G101" s="146">
        <v>16</v>
      </c>
      <c r="H101" s="10"/>
      <c r="I101" s="10" t="s">
        <v>126</v>
      </c>
      <c r="J101" s="10" t="s">
        <v>122</v>
      </c>
      <c r="K101" s="10" t="s">
        <v>113</v>
      </c>
      <c r="L101" s="150"/>
      <c r="M101" s="146" t="s">
        <v>784</v>
      </c>
      <c r="N101" s="10" t="s">
        <v>811</v>
      </c>
      <c r="O101" s="150" t="s">
        <v>664</v>
      </c>
      <c r="P101" s="9" t="s">
        <v>270</v>
      </c>
      <c r="Q101" s="9" t="s">
        <v>817</v>
      </c>
    </row>
    <row r="102" spans="3:17" x14ac:dyDescent="0.3">
      <c r="C102" s="8">
        <v>97</v>
      </c>
      <c r="D102" s="9" t="s">
        <v>465</v>
      </c>
      <c r="E102" s="146" t="s">
        <v>664</v>
      </c>
      <c r="F102" s="146">
        <v>34.5</v>
      </c>
      <c r="G102" s="146">
        <v>16</v>
      </c>
      <c r="H102" s="10"/>
      <c r="I102" s="10" t="s">
        <v>126</v>
      </c>
      <c r="J102" s="10" t="s">
        <v>122</v>
      </c>
      <c r="K102" s="10" t="s">
        <v>113</v>
      </c>
      <c r="L102" s="150"/>
      <c r="M102" s="146" t="s">
        <v>784</v>
      </c>
      <c r="N102" s="10" t="s">
        <v>803</v>
      </c>
      <c r="O102" s="150" t="s">
        <v>664</v>
      </c>
      <c r="P102" s="9" t="s">
        <v>270</v>
      </c>
      <c r="Q102" s="9" t="s">
        <v>817</v>
      </c>
    </row>
    <row r="103" spans="3:17" x14ac:dyDescent="0.3">
      <c r="C103" s="8">
        <v>98</v>
      </c>
      <c r="D103" s="9" t="s">
        <v>460</v>
      </c>
      <c r="E103" s="146" t="s">
        <v>664</v>
      </c>
      <c r="F103" s="146">
        <v>34.5</v>
      </c>
      <c r="G103" s="146">
        <v>16</v>
      </c>
      <c r="H103" s="10"/>
      <c r="I103" s="10" t="s">
        <v>126</v>
      </c>
      <c r="J103" s="10" t="s">
        <v>122</v>
      </c>
      <c r="K103" s="10" t="s">
        <v>113</v>
      </c>
      <c r="L103" s="150"/>
      <c r="M103" s="146" t="s">
        <v>784</v>
      </c>
      <c r="N103" s="10" t="s">
        <v>812</v>
      </c>
      <c r="O103" s="150" t="s">
        <v>664</v>
      </c>
      <c r="P103" s="9" t="s">
        <v>270</v>
      </c>
      <c r="Q103" s="9" t="s">
        <v>817</v>
      </c>
    </row>
    <row r="104" spans="3:17" x14ac:dyDescent="0.3">
      <c r="C104" s="8">
        <v>99</v>
      </c>
      <c r="D104" s="9" t="s">
        <v>660</v>
      </c>
      <c r="E104" s="146" t="s">
        <v>664</v>
      </c>
      <c r="F104" s="146">
        <v>34.5</v>
      </c>
      <c r="G104" s="146">
        <v>16</v>
      </c>
      <c r="H104" s="10"/>
      <c r="I104" s="10" t="s">
        <v>126</v>
      </c>
      <c r="J104" s="10" t="s">
        <v>122</v>
      </c>
      <c r="K104" s="10" t="s">
        <v>113</v>
      </c>
      <c r="L104" s="150">
        <v>2025</v>
      </c>
      <c r="M104" s="146" t="s">
        <v>784</v>
      </c>
      <c r="N104" s="10" t="s">
        <v>660</v>
      </c>
      <c r="O104" s="150" t="s">
        <v>664</v>
      </c>
      <c r="P104" s="9" t="s">
        <v>270</v>
      </c>
      <c r="Q104" s="9" t="s">
        <v>817</v>
      </c>
    </row>
    <row r="105" spans="3:17" x14ac:dyDescent="0.3">
      <c r="C105" s="7">
        <v>100</v>
      </c>
      <c r="D105" s="9" t="s">
        <v>457</v>
      </c>
      <c r="E105" s="146" t="s">
        <v>664</v>
      </c>
      <c r="F105" s="146">
        <v>34.5</v>
      </c>
      <c r="G105" s="146">
        <v>16</v>
      </c>
      <c r="H105" s="10"/>
      <c r="I105" s="10" t="s">
        <v>126</v>
      </c>
      <c r="J105" s="10" t="s">
        <v>122</v>
      </c>
      <c r="K105" s="10" t="s">
        <v>113</v>
      </c>
      <c r="L105" s="150"/>
      <c r="M105" s="146" t="s">
        <v>784</v>
      </c>
      <c r="N105" s="10" t="s">
        <v>457</v>
      </c>
      <c r="O105" s="150" t="s">
        <v>664</v>
      </c>
      <c r="P105" s="9" t="s">
        <v>270</v>
      </c>
      <c r="Q105" s="9" t="s">
        <v>817</v>
      </c>
    </row>
    <row r="106" spans="3:17" x14ac:dyDescent="0.3">
      <c r="C106" s="8">
        <v>101</v>
      </c>
      <c r="D106" s="9" t="s">
        <v>767</v>
      </c>
      <c r="E106" s="146" t="s">
        <v>664</v>
      </c>
      <c r="F106" s="146">
        <v>34.5</v>
      </c>
      <c r="G106" s="146">
        <v>16</v>
      </c>
      <c r="H106" s="10"/>
      <c r="I106" s="10" t="s">
        <v>126</v>
      </c>
      <c r="J106" s="10" t="s">
        <v>122</v>
      </c>
      <c r="K106" s="10" t="s">
        <v>113</v>
      </c>
      <c r="L106" s="150"/>
      <c r="M106" s="146" t="s">
        <v>784</v>
      </c>
      <c r="N106" s="10" t="s">
        <v>804</v>
      </c>
      <c r="O106" s="150" t="s">
        <v>664</v>
      </c>
      <c r="P106" s="9" t="s">
        <v>270</v>
      </c>
      <c r="Q106" s="9" t="s">
        <v>817</v>
      </c>
    </row>
    <row r="107" spans="3:17" x14ac:dyDescent="0.3">
      <c r="C107" s="8">
        <v>102</v>
      </c>
      <c r="D107" s="9" t="s">
        <v>491</v>
      </c>
      <c r="E107" s="146" t="s">
        <v>664</v>
      </c>
      <c r="F107" s="146">
        <v>34.5</v>
      </c>
      <c r="G107" s="146">
        <v>16</v>
      </c>
      <c r="H107" s="10"/>
      <c r="I107" s="10" t="s">
        <v>126</v>
      </c>
      <c r="J107" s="10" t="s">
        <v>122</v>
      </c>
      <c r="K107" s="10" t="s">
        <v>113</v>
      </c>
      <c r="L107" s="150"/>
      <c r="M107" s="146" t="s">
        <v>784</v>
      </c>
      <c r="N107" s="10" t="s">
        <v>804</v>
      </c>
      <c r="O107" s="150" t="s">
        <v>664</v>
      </c>
      <c r="P107" s="9" t="s">
        <v>270</v>
      </c>
      <c r="Q107" s="9" t="s">
        <v>817</v>
      </c>
    </row>
    <row r="108" spans="3:17" x14ac:dyDescent="0.3">
      <c r="C108" s="8">
        <v>103</v>
      </c>
      <c r="D108" s="9" t="s">
        <v>455</v>
      </c>
      <c r="E108" s="146" t="s">
        <v>664</v>
      </c>
      <c r="F108" s="146">
        <v>34.5</v>
      </c>
      <c r="G108" s="146">
        <v>16</v>
      </c>
      <c r="H108" s="10"/>
      <c r="I108" s="10" t="s">
        <v>126</v>
      </c>
      <c r="J108" s="10" t="s">
        <v>122</v>
      </c>
      <c r="K108" s="10" t="s">
        <v>113</v>
      </c>
      <c r="L108" s="150"/>
      <c r="M108" s="146" t="s">
        <v>784</v>
      </c>
      <c r="N108" s="10" t="s">
        <v>455</v>
      </c>
      <c r="O108" s="150" t="s">
        <v>664</v>
      </c>
      <c r="P108" s="9" t="s">
        <v>270</v>
      </c>
      <c r="Q108" s="9" t="s">
        <v>817</v>
      </c>
    </row>
    <row r="109" spans="3:17" x14ac:dyDescent="0.3">
      <c r="C109" s="8">
        <v>104</v>
      </c>
      <c r="D109" s="9" t="s">
        <v>601</v>
      </c>
      <c r="E109" s="146" t="s">
        <v>664</v>
      </c>
      <c r="F109" s="146">
        <v>34.5</v>
      </c>
      <c r="G109" s="146">
        <v>16</v>
      </c>
      <c r="H109" s="10"/>
      <c r="I109" s="10" t="s">
        <v>126</v>
      </c>
      <c r="J109" s="10" t="s">
        <v>122</v>
      </c>
      <c r="K109" s="10" t="s">
        <v>113</v>
      </c>
      <c r="L109" s="150"/>
      <c r="M109" s="146" t="s">
        <v>784</v>
      </c>
      <c r="N109" s="10" t="s">
        <v>601</v>
      </c>
      <c r="O109" s="150" t="s">
        <v>664</v>
      </c>
      <c r="P109" s="9" t="s">
        <v>270</v>
      </c>
      <c r="Q109" s="9" t="s">
        <v>817</v>
      </c>
    </row>
    <row r="110" spans="3:17" x14ac:dyDescent="0.3">
      <c r="C110" s="8">
        <v>105</v>
      </c>
      <c r="D110" s="9" t="s">
        <v>512</v>
      </c>
      <c r="E110" s="146" t="s">
        <v>664</v>
      </c>
      <c r="F110" s="146">
        <v>34.5</v>
      </c>
      <c r="G110" s="146">
        <v>16</v>
      </c>
      <c r="H110" s="10"/>
      <c r="I110" s="10" t="s">
        <v>126</v>
      </c>
      <c r="J110" s="10" t="s">
        <v>122</v>
      </c>
      <c r="K110" s="10" t="s">
        <v>113</v>
      </c>
      <c r="L110" s="150"/>
      <c r="M110" s="146" t="s">
        <v>784</v>
      </c>
      <c r="N110" s="10" t="s">
        <v>512</v>
      </c>
      <c r="O110" s="150" t="s">
        <v>664</v>
      </c>
      <c r="P110" s="9" t="s">
        <v>270</v>
      </c>
      <c r="Q110" s="9" t="s">
        <v>817</v>
      </c>
    </row>
    <row r="111" spans="3:17" x14ac:dyDescent="0.3">
      <c r="C111" s="8">
        <v>106</v>
      </c>
      <c r="D111" s="9" t="s">
        <v>432</v>
      </c>
      <c r="E111" s="146" t="s">
        <v>664</v>
      </c>
      <c r="F111" s="146">
        <v>34.5</v>
      </c>
      <c r="G111" s="146">
        <v>16</v>
      </c>
      <c r="H111" s="10"/>
      <c r="I111" s="10" t="s">
        <v>126</v>
      </c>
      <c r="J111" s="10" t="s">
        <v>122</v>
      </c>
      <c r="K111" s="10" t="s">
        <v>113</v>
      </c>
      <c r="L111" s="150"/>
      <c r="M111" s="146" t="s">
        <v>784</v>
      </c>
      <c r="N111" s="10" t="s">
        <v>432</v>
      </c>
      <c r="O111" s="150" t="s">
        <v>664</v>
      </c>
      <c r="P111" s="9" t="s">
        <v>270</v>
      </c>
      <c r="Q111" s="9" t="s">
        <v>817</v>
      </c>
    </row>
    <row r="112" spans="3:17" x14ac:dyDescent="0.3">
      <c r="C112" s="8">
        <v>107</v>
      </c>
      <c r="D112" s="9" t="s">
        <v>419</v>
      </c>
      <c r="E112" s="146" t="s">
        <v>664</v>
      </c>
      <c r="F112" s="146">
        <v>34.5</v>
      </c>
      <c r="G112" s="146">
        <v>16</v>
      </c>
      <c r="H112" s="10"/>
      <c r="I112" s="10" t="s">
        <v>126</v>
      </c>
      <c r="J112" s="10" t="s">
        <v>122</v>
      </c>
      <c r="K112" s="10" t="s">
        <v>113</v>
      </c>
      <c r="L112" s="150"/>
      <c r="M112" s="146" t="s">
        <v>784</v>
      </c>
      <c r="N112" s="10" t="s">
        <v>419</v>
      </c>
      <c r="O112" s="150" t="s">
        <v>664</v>
      </c>
      <c r="P112" s="9" t="s">
        <v>270</v>
      </c>
      <c r="Q112" s="9" t="s">
        <v>817</v>
      </c>
    </row>
    <row r="113" spans="3:17" x14ac:dyDescent="0.3">
      <c r="C113" s="8">
        <v>108</v>
      </c>
      <c r="D113" s="9" t="s">
        <v>417</v>
      </c>
      <c r="E113" s="146" t="s">
        <v>664</v>
      </c>
      <c r="F113" s="146">
        <v>34.5</v>
      </c>
      <c r="G113" s="146">
        <v>16</v>
      </c>
      <c r="H113" s="10"/>
      <c r="I113" s="10" t="s">
        <v>126</v>
      </c>
      <c r="J113" s="10" t="s">
        <v>122</v>
      </c>
      <c r="K113" s="10" t="s">
        <v>113</v>
      </c>
      <c r="L113" s="150"/>
      <c r="M113" s="146" t="s">
        <v>784</v>
      </c>
      <c r="N113" s="10" t="s">
        <v>417</v>
      </c>
      <c r="O113" s="150" t="s">
        <v>664</v>
      </c>
      <c r="P113" s="9" t="s">
        <v>270</v>
      </c>
      <c r="Q113" s="9" t="s">
        <v>817</v>
      </c>
    </row>
    <row r="114" spans="3:17" x14ac:dyDescent="0.3">
      <c r="C114" s="8">
        <v>109</v>
      </c>
      <c r="D114" s="9" t="s">
        <v>487</v>
      </c>
      <c r="E114" s="146" t="s">
        <v>664</v>
      </c>
      <c r="F114" s="146">
        <v>34.5</v>
      </c>
      <c r="G114" s="146">
        <v>16</v>
      </c>
      <c r="H114" s="10"/>
      <c r="I114" s="10" t="s">
        <v>126</v>
      </c>
      <c r="J114" s="10" t="s">
        <v>122</v>
      </c>
      <c r="K114" s="10" t="s">
        <v>113</v>
      </c>
      <c r="L114" s="150"/>
      <c r="M114" s="146" t="s">
        <v>784</v>
      </c>
      <c r="N114" s="10" t="s">
        <v>487</v>
      </c>
      <c r="O114" s="150" t="s">
        <v>664</v>
      </c>
      <c r="P114" s="9" t="s">
        <v>270</v>
      </c>
      <c r="Q114" s="9" t="s">
        <v>817</v>
      </c>
    </row>
    <row r="115" spans="3:17" x14ac:dyDescent="0.3">
      <c r="C115" s="7">
        <v>110</v>
      </c>
      <c r="D115" s="9" t="s">
        <v>421</v>
      </c>
      <c r="E115" s="146" t="s">
        <v>664</v>
      </c>
      <c r="F115" s="146">
        <v>34.5</v>
      </c>
      <c r="G115" s="146">
        <v>16</v>
      </c>
      <c r="H115" s="10"/>
      <c r="I115" s="10" t="s">
        <v>126</v>
      </c>
      <c r="J115" s="10" t="s">
        <v>122</v>
      </c>
      <c r="K115" s="10" t="s">
        <v>113</v>
      </c>
      <c r="L115" s="150"/>
      <c r="M115" s="146" t="s">
        <v>784</v>
      </c>
      <c r="N115" s="10" t="s">
        <v>421</v>
      </c>
      <c r="O115" s="150" t="s">
        <v>664</v>
      </c>
      <c r="P115" s="9" t="s">
        <v>270</v>
      </c>
      <c r="Q115" s="9" t="s">
        <v>817</v>
      </c>
    </row>
    <row r="116" spans="3:17" x14ac:dyDescent="0.3">
      <c r="C116" s="8">
        <v>111</v>
      </c>
      <c r="D116" s="9" t="s">
        <v>402</v>
      </c>
      <c r="E116" s="146" t="s">
        <v>664</v>
      </c>
      <c r="F116" s="146">
        <v>34.5</v>
      </c>
      <c r="G116" s="146">
        <v>16</v>
      </c>
      <c r="H116" s="10"/>
      <c r="I116" s="10" t="s">
        <v>126</v>
      </c>
      <c r="J116" s="10" t="s">
        <v>122</v>
      </c>
      <c r="K116" s="10" t="s">
        <v>113</v>
      </c>
      <c r="L116" s="150"/>
      <c r="M116" s="146" t="s">
        <v>784</v>
      </c>
      <c r="N116" s="10" t="s">
        <v>402</v>
      </c>
      <c r="O116" s="150" t="s">
        <v>664</v>
      </c>
      <c r="P116" s="9" t="s">
        <v>270</v>
      </c>
      <c r="Q116" s="9" t="s">
        <v>817</v>
      </c>
    </row>
    <row r="117" spans="3:17" x14ac:dyDescent="0.3">
      <c r="C117" s="8">
        <v>112</v>
      </c>
      <c r="D117" s="9" t="s">
        <v>765</v>
      </c>
      <c r="E117" s="146" t="s">
        <v>664</v>
      </c>
      <c r="F117" s="146">
        <v>34.5</v>
      </c>
      <c r="G117" s="146">
        <v>16</v>
      </c>
      <c r="H117" s="10"/>
      <c r="I117" s="10" t="s">
        <v>126</v>
      </c>
      <c r="J117" s="10" t="s">
        <v>122</v>
      </c>
      <c r="K117" s="10" t="s">
        <v>113</v>
      </c>
      <c r="L117" s="150"/>
      <c r="M117" s="146" t="s">
        <v>784</v>
      </c>
      <c r="N117" s="10" t="s">
        <v>765</v>
      </c>
      <c r="O117" s="150" t="s">
        <v>664</v>
      </c>
      <c r="P117" s="9" t="s">
        <v>270</v>
      </c>
      <c r="Q117" s="9" t="s">
        <v>817</v>
      </c>
    </row>
    <row r="118" spans="3:17" x14ac:dyDescent="0.3">
      <c r="C118" s="8">
        <v>113</v>
      </c>
      <c r="D118" s="9" t="s">
        <v>458</v>
      </c>
      <c r="E118" s="146" t="s">
        <v>664</v>
      </c>
      <c r="F118" s="146">
        <v>34.5</v>
      </c>
      <c r="G118" s="146">
        <v>16</v>
      </c>
      <c r="H118" s="10"/>
      <c r="I118" s="10" t="s">
        <v>126</v>
      </c>
      <c r="J118" s="10" t="s">
        <v>122</v>
      </c>
      <c r="K118" s="10" t="s">
        <v>113</v>
      </c>
      <c r="L118" s="150"/>
      <c r="M118" s="146" t="s">
        <v>784</v>
      </c>
      <c r="N118" s="10" t="s">
        <v>458</v>
      </c>
      <c r="O118" s="150" t="s">
        <v>664</v>
      </c>
      <c r="P118" s="9" t="s">
        <v>270</v>
      </c>
      <c r="Q118" s="9" t="s">
        <v>817</v>
      </c>
    </row>
    <row r="119" spans="3:17" x14ac:dyDescent="0.3">
      <c r="C119" s="8">
        <v>114</v>
      </c>
      <c r="D119" s="9" t="s">
        <v>592</v>
      </c>
      <c r="E119" s="146" t="s">
        <v>664</v>
      </c>
      <c r="F119" s="146">
        <v>34.5</v>
      </c>
      <c r="G119" s="146">
        <v>16</v>
      </c>
      <c r="H119" s="10"/>
      <c r="I119" s="10" t="s">
        <v>126</v>
      </c>
      <c r="J119" s="10" t="s">
        <v>122</v>
      </c>
      <c r="K119" s="10" t="s">
        <v>113</v>
      </c>
      <c r="L119" s="150"/>
      <c r="M119" s="146" t="s">
        <v>784</v>
      </c>
      <c r="N119" s="10" t="s">
        <v>592</v>
      </c>
      <c r="O119" s="150" t="s">
        <v>664</v>
      </c>
      <c r="P119" s="9" t="s">
        <v>270</v>
      </c>
      <c r="Q119" s="9" t="s">
        <v>817</v>
      </c>
    </row>
    <row r="120" spans="3:17" x14ac:dyDescent="0.3">
      <c r="C120" s="8">
        <v>115</v>
      </c>
      <c r="D120" s="9" t="s">
        <v>626</v>
      </c>
      <c r="E120" s="146" t="s">
        <v>664</v>
      </c>
      <c r="F120" s="146">
        <v>34.5</v>
      </c>
      <c r="G120" s="146">
        <v>16</v>
      </c>
      <c r="H120" s="10"/>
      <c r="I120" s="10" t="s">
        <v>126</v>
      </c>
      <c r="J120" s="10" t="s">
        <v>122</v>
      </c>
      <c r="K120" s="10" t="s">
        <v>113</v>
      </c>
      <c r="L120" s="150"/>
      <c r="M120" s="146" t="s">
        <v>784</v>
      </c>
      <c r="N120" s="10" t="s">
        <v>626</v>
      </c>
      <c r="O120" s="150" t="s">
        <v>664</v>
      </c>
      <c r="P120" s="9" t="s">
        <v>270</v>
      </c>
      <c r="Q120" s="9" t="s">
        <v>817</v>
      </c>
    </row>
    <row r="121" spans="3:17" x14ac:dyDescent="0.3">
      <c r="C121" s="8">
        <v>116</v>
      </c>
      <c r="D121" s="9" t="s">
        <v>392</v>
      </c>
      <c r="E121" s="146" t="s">
        <v>664</v>
      </c>
      <c r="F121" s="146">
        <v>34.5</v>
      </c>
      <c r="G121" s="146">
        <v>16</v>
      </c>
      <c r="H121" s="10"/>
      <c r="I121" s="10" t="s">
        <v>126</v>
      </c>
      <c r="J121" s="10" t="s">
        <v>122</v>
      </c>
      <c r="K121" s="10" t="s">
        <v>113</v>
      </c>
      <c r="L121" s="150"/>
      <c r="M121" s="146" t="s">
        <v>784</v>
      </c>
      <c r="N121" s="10" t="s">
        <v>392</v>
      </c>
      <c r="O121" s="150" t="s">
        <v>664</v>
      </c>
      <c r="P121" s="9" t="s">
        <v>270</v>
      </c>
      <c r="Q121" s="9" t="s">
        <v>817</v>
      </c>
    </row>
    <row r="122" spans="3:17" x14ac:dyDescent="0.3">
      <c r="C122" s="8">
        <v>117</v>
      </c>
      <c r="D122" s="9" t="s">
        <v>586</v>
      </c>
      <c r="E122" s="146" t="s">
        <v>664</v>
      </c>
      <c r="F122" s="146">
        <v>34.5</v>
      </c>
      <c r="G122" s="146">
        <v>16</v>
      </c>
      <c r="H122" s="10"/>
      <c r="I122" s="10" t="s">
        <v>126</v>
      </c>
      <c r="J122" s="10" t="s">
        <v>122</v>
      </c>
      <c r="K122" s="10" t="s">
        <v>113</v>
      </c>
      <c r="L122" s="150">
        <v>2024</v>
      </c>
      <c r="M122" s="146" t="s">
        <v>784</v>
      </c>
      <c r="N122" s="10" t="s">
        <v>586</v>
      </c>
      <c r="O122" s="150" t="s">
        <v>664</v>
      </c>
      <c r="P122" s="9" t="s">
        <v>270</v>
      </c>
      <c r="Q122" s="9" t="s">
        <v>817</v>
      </c>
    </row>
    <row r="123" spans="3:17" x14ac:dyDescent="0.3">
      <c r="C123" s="8">
        <v>118</v>
      </c>
      <c r="D123" s="9" t="s">
        <v>542</v>
      </c>
      <c r="E123" s="146" t="s">
        <v>664</v>
      </c>
      <c r="F123" s="146">
        <v>34.5</v>
      </c>
      <c r="G123" s="146">
        <v>16</v>
      </c>
      <c r="H123" s="10"/>
      <c r="I123" s="10" t="s">
        <v>126</v>
      </c>
      <c r="J123" s="10" t="s">
        <v>122</v>
      </c>
      <c r="K123" s="10" t="s">
        <v>113</v>
      </c>
      <c r="L123" s="150"/>
      <c r="M123" s="146" t="s">
        <v>784</v>
      </c>
      <c r="N123" s="10" t="s">
        <v>762</v>
      </c>
      <c r="O123" s="150" t="s">
        <v>664</v>
      </c>
      <c r="P123" s="9" t="s">
        <v>270</v>
      </c>
      <c r="Q123" s="9" t="s">
        <v>817</v>
      </c>
    </row>
  </sheetData>
  <mergeCells count="16">
    <mergeCell ref="H4:H5"/>
    <mergeCell ref="Q4:Q5"/>
    <mergeCell ref="C3:Q3"/>
    <mergeCell ref="C4:C5"/>
    <mergeCell ref="D4:D5"/>
    <mergeCell ref="E4:E5"/>
    <mergeCell ref="F4:F5"/>
    <mergeCell ref="G4:G5"/>
    <mergeCell ref="I4:I5"/>
    <mergeCell ref="J4:J5"/>
    <mergeCell ref="M4:M5"/>
    <mergeCell ref="N4:N5"/>
    <mergeCell ref="K4:K5"/>
    <mergeCell ref="L4:L5"/>
    <mergeCell ref="O4:O5"/>
    <mergeCell ref="P4:P5"/>
  </mergeCells>
  <dataValidations count="2">
    <dataValidation type="decimal" allowBlank="1" showInputMessage="1" showErrorMessage="1" sqref="F1:H3 F6:H1048576" xr:uid="{00000000-0002-0000-0400-000000000000}">
      <formula1>-1000000000</formula1>
      <formula2>100000000000</formula2>
    </dataValidation>
    <dataValidation type="date" operator="greaterThan" allowBlank="1" showInputMessage="1" showErrorMessage="1" sqref="L1:L3 L22:L1048576 L6:L20" xr:uid="{00000000-0002-0000-0400-000001000000}">
      <formula1>1</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400-000002000000}">
          <x14:formula1>
            <xm:f>'Listas Desplegables'!$B$44:$B$46</xm:f>
          </x14:formula1>
          <xm:sqref>J1:J3 J6:J1048576</xm:sqref>
        </x14:dataValidation>
        <x14:dataValidation type="list" allowBlank="1" showInputMessage="1" showErrorMessage="1" xr:uid="{00000000-0002-0000-0400-000003000000}">
          <x14:formula1>
            <xm:f>'Listas Desplegables'!$B$48:$B$49</xm:f>
          </x14:formula1>
          <xm:sqref>K1:K3 K6:K1048576</xm:sqref>
        </x14:dataValidation>
        <x14:dataValidation type="list" allowBlank="1" showInputMessage="1" showErrorMessage="1" xr:uid="{00000000-0002-0000-0400-000004000000}">
          <x14:formula1>
            <xm:f>'Listas Desplegables'!$B$34:$B$42</xm:f>
          </x14:formula1>
          <xm:sqref>I1:I3 I6:I1048576</xm:sqref>
        </x14:dataValidation>
        <x14:dataValidation type="list" allowBlank="1" showInputMessage="1" showErrorMessage="1" xr:uid="{45B3D9C6-A409-49F4-83C8-19E0357BE392}">
          <x14:formula1>
            <xm:f>'Listas Desplegables'!$B$90:$B$93</xm:f>
          </x14:formula1>
          <xm:sqref>P6:P123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sheetPr>
  <dimension ref="A2:Z215"/>
  <sheetViews>
    <sheetView showGridLines="0" topLeftCell="A141" zoomScale="70" zoomScaleNormal="70" workbookViewId="0">
      <selection activeCell="D112" sqref="D112"/>
    </sheetView>
  </sheetViews>
  <sheetFormatPr baseColWidth="10" defaultColWidth="11.5546875" defaultRowHeight="14.4" x14ac:dyDescent="0.3"/>
  <cols>
    <col min="1" max="2" width="3" style="3" customWidth="1"/>
    <col min="3" max="3" width="6.6640625" style="2" customWidth="1"/>
    <col min="4" max="4" width="53.6640625" customWidth="1"/>
    <col min="5" max="5" width="21.5546875" bestFit="1" customWidth="1"/>
    <col min="6" max="7" width="12.6640625" customWidth="1"/>
    <col min="8" max="8" width="19.21875" customWidth="1"/>
    <col min="9" max="9" width="12.6640625" customWidth="1"/>
    <col min="10" max="10" width="12.6640625" style="55" customWidth="1"/>
    <col min="11" max="25" width="12.6640625" customWidth="1"/>
    <col min="26" max="26" width="29.44140625" customWidth="1"/>
  </cols>
  <sheetData>
    <row r="2" spans="1:26" ht="15" thickBot="1" x14ac:dyDescent="0.35"/>
    <row r="3" spans="1:26" s="1" customFormat="1" ht="15" thickBot="1" x14ac:dyDescent="0.35">
      <c r="A3" s="4"/>
      <c r="B3" s="4"/>
      <c r="C3" s="87" t="s">
        <v>67</v>
      </c>
      <c r="D3" s="88"/>
      <c r="E3" s="88"/>
      <c r="F3" s="88"/>
      <c r="G3" s="88"/>
      <c r="H3" s="88"/>
      <c r="I3" s="88"/>
      <c r="J3" s="88"/>
      <c r="K3" s="88"/>
      <c r="L3" s="88"/>
      <c r="M3" s="88"/>
      <c r="N3" s="88"/>
      <c r="O3" s="88"/>
      <c r="P3" s="88"/>
      <c r="Q3" s="88"/>
      <c r="R3" s="88"/>
      <c r="S3" s="88"/>
      <c r="T3" s="88"/>
      <c r="U3" s="88"/>
      <c r="V3" s="88"/>
      <c r="W3" s="88"/>
      <c r="X3" s="88"/>
      <c r="Y3" s="88"/>
      <c r="Z3" s="89"/>
    </row>
    <row r="4" spans="1:26" s="6" customFormat="1" ht="12" customHeight="1" thickBot="1" x14ac:dyDescent="0.35">
      <c r="A4" s="5"/>
      <c r="B4" s="5"/>
      <c r="C4" s="90" t="s">
        <v>3</v>
      </c>
      <c r="D4" s="85" t="str">
        <f>'Manual de Uso'!C124</f>
        <v>Nombre</v>
      </c>
      <c r="E4" s="85" t="str">
        <f>'Manual de Uso'!C125</f>
        <v>Subestación</v>
      </c>
      <c r="F4" s="85" t="str">
        <f>'Manual de Uso'!C126</f>
        <v>Nivel de tensión [kV]</v>
      </c>
      <c r="G4" s="85" t="str">
        <f>'Manual de Uso'!C127</f>
        <v>Tipo</v>
      </c>
      <c r="H4" s="85" t="str">
        <f>'Manual de Uso'!C128</f>
        <v>Atendida Subestación Nivel IV</v>
      </c>
      <c r="I4" s="85" t="str">
        <f>'Manual de Uso'!C129</f>
        <v>En Operación</v>
      </c>
      <c r="J4" s="83" t="str">
        <f>'Manual de Uso'!C130</f>
        <v>FPO</v>
      </c>
      <c r="K4" s="134" t="str">
        <f>'Manual de Uso'!C131</f>
        <v>Demanda Mínima</v>
      </c>
      <c r="L4" s="135"/>
      <c r="M4" s="134" t="str">
        <f>'Manual de Uso'!C132</f>
        <v>Demanda Media</v>
      </c>
      <c r="N4" s="135"/>
      <c r="O4" s="134" t="str">
        <f>'Manual de Uso'!C132</f>
        <v>Demanda Media</v>
      </c>
      <c r="P4" s="135"/>
      <c r="Q4" s="131" t="s">
        <v>266</v>
      </c>
      <c r="R4" s="132"/>
      <c r="S4" s="133"/>
      <c r="T4" s="131" t="s">
        <v>267</v>
      </c>
      <c r="U4" s="132"/>
      <c r="V4" s="133"/>
      <c r="W4" s="131" t="s">
        <v>268</v>
      </c>
      <c r="X4" s="132"/>
      <c r="Y4" s="133"/>
      <c r="Z4" s="85" t="str">
        <f>'Manual de Uso'!C137</f>
        <v>Observaciones transportador</v>
      </c>
    </row>
    <row r="5" spans="1:26" s="6" customFormat="1" ht="24" customHeight="1" thickBot="1" x14ac:dyDescent="0.35">
      <c r="A5" s="5"/>
      <c r="B5" s="5"/>
      <c r="C5" s="91"/>
      <c r="D5" s="86"/>
      <c r="E5" s="86"/>
      <c r="F5" s="86"/>
      <c r="G5" s="86"/>
      <c r="H5" s="86"/>
      <c r="I5" s="86"/>
      <c r="J5" s="84"/>
      <c r="K5" s="69" t="s">
        <v>65</v>
      </c>
      <c r="L5" s="69" t="s">
        <v>66</v>
      </c>
      <c r="M5" s="69" t="s">
        <v>65</v>
      </c>
      <c r="N5" s="69" t="s">
        <v>66</v>
      </c>
      <c r="O5" s="69" t="s">
        <v>65</v>
      </c>
      <c r="P5" s="69" t="s">
        <v>66</v>
      </c>
      <c r="Q5" s="82" t="str">
        <f>'Manual de Uso'!C134</f>
        <v>Traslados de carga Año</v>
      </c>
      <c r="R5" s="82" t="str">
        <f>'Manual de Uso'!C135</f>
        <v>Porcentaje</v>
      </c>
      <c r="S5" s="82" t="str">
        <f>'Manual de Uso'!C136</f>
        <v>Subestación destino traslado</v>
      </c>
      <c r="T5" s="73" t="s">
        <v>258</v>
      </c>
      <c r="U5" s="73" t="s">
        <v>259</v>
      </c>
      <c r="V5" s="73" t="s">
        <v>260</v>
      </c>
      <c r="W5" s="73" t="s">
        <v>258</v>
      </c>
      <c r="X5" s="73" t="s">
        <v>259</v>
      </c>
      <c r="Y5" s="73" t="s">
        <v>260</v>
      </c>
      <c r="Z5" s="86"/>
    </row>
    <row r="6" spans="1:26" x14ac:dyDescent="0.3">
      <c r="A6" s="3" t="e">
        <f>VLOOKUP(#REF!,'[1]Listas Desplegables'!$H$3:$J$7,2,FALSE)</f>
        <v>#REF!</v>
      </c>
      <c r="B6" s="3" t="e">
        <f>VLOOKUP(#REF!,'[1]Listas Desplegables'!$H$3:$J$7,3,FALSE)</f>
        <v>#REF!</v>
      </c>
      <c r="C6" s="21">
        <v>1</v>
      </c>
      <c r="D6" s="22" t="s">
        <v>818</v>
      </c>
      <c r="E6" s="22" t="s">
        <v>818</v>
      </c>
      <c r="F6" s="22">
        <v>115</v>
      </c>
      <c r="G6" s="22" t="s">
        <v>0</v>
      </c>
      <c r="H6" s="22" t="s">
        <v>520</v>
      </c>
      <c r="I6" s="22" t="s">
        <v>113</v>
      </c>
      <c r="J6" s="58"/>
      <c r="K6" s="182">
        <v>0.73573464768336438</v>
      </c>
      <c r="L6" s="182">
        <v>0.40793876120881506</v>
      </c>
      <c r="M6" s="182">
        <v>0.6505027887099355</v>
      </c>
      <c r="N6" s="182">
        <v>0.36213409325246909</v>
      </c>
      <c r="O6" s="182">
        <v>0.71963721927204249</v>
      </c>
      <c r="P6" s="182">
        <v>0.40644954879313394</v>
      </c>
      <c r="Q6" s="23"/>
      <c r="R6" s="23"/>
      <c r="S6" s="23"/>
      <c r="T6" s="23"/>
      <c r="U6" s="23"/>
      <c r="V6" s="23"/>
      <c r="W6" s="23"/>
      <c r="X6" s="23"/>
      <c r="Y6" s="23"/>
      <c r="Z6" s="24"/>
    </row>
    <row r="7" spans="1:26" x14ac:dyDescent="0.3">
      <c r="A7" s="3" t="e">
        <f>VLOOKUP(#REF!,'[1]Listas Desplegables'!$H$3:$J$7,2,FALSE)</f>
        <v>#REF!</v>
      </c>
      <c r="B7" s="3" t="e">
        <f>VLOOKUP(#REF!,'[1]Listas Desplegables'!$H$3:$J$7,3,FALSE)</f>
        <v>#REF!</v>
      </c>
      <c r="C7" s="8">
        <v>2</v>
      </c>
      <c r="D7" s="9" t="s">
        <v>819</v>
      </c>
      <c r="E7" s="9" t="s">
        <v>819</v>
      </c>
      <c r="F7" s="9">
        <v>115</v>
      </c>
      <c r="G7" s="9" t="s">
        <v>0</v>
      </c>
      <c r="H7" s="9" t="s">
        <v>799</v>
      </c>
      <c r="I7" s="9" t="s">
        <v>113</v>
      </c>
      <c r="J7" s="59"/>
      <c r="K7" s="183">
        <v>3.181</v>
      </c>
      <c r="L7" s="183">
        <v>1.5409999999999999</v>
      </c>
      <c r="M7" s="183">
        <v>3.1629999999999998</v>
      </c>
      <c r="N7" s="183">
        <v>1.53</v>
      </c>
      <c r="O7" s="183">
        <v>3.27</v>
      </c>
      <c r="P7" s="183">
        <v>1.1200000000000001</v>
      </c>
      <c r="Q7" s="10"/>
      <c r="R7" s="10"/>
      <c r="S7" s="10"/>
      <c r="T7" s="10"/>
      <c r="U7" s="10"/>
      <c r="V7" s="10"/>
      <c r="W7" s="10"/>
      <c r="X7" s="10"/>
      <c r="Y7" s="10"/>
      <c r="Z7" s="25"/>
    </row>
    <row r="8" spans="1:26" x14ac:dyDescent="0.3">
      <c r="A8" s="3" t="e">
        <f>VLOOKUP(#REF!,'[1]Listas Desplegables'!$H$3:$J$7,2,FALSE)</f>
        <v>#REF!</v>
      </c>
      <c r="B8" s="3" t="e">
        <f>VLOOKUP(#REF!,'[1]Listas Desplegables'!$H$3:$J$7,3,FALSE)</f>
        <v>#REF!</v>
      </c>
      <c r="C8" s="8">
        <v>3</v>
      </c>
      <c r="D8" s="9" t="s">
        <v>820</v>
      </c>
      <c r="E8" s="9" t="s">
        <v>820</v>
      </c>
      <c r="F8" s="9">
        <v>115</v>
      </c>
      <c r="G8" s="9" t="s">
        <v>0</v>
      </c>
      <c r="H8" s="9" t="s">
        <v>799</v>
      </c>
      <c r="I8" s="9" t="s">
        <v>113</v>
      </c>
      <c r="J8" s="59"/>
      <c r="K8" s="183">
        <v>38.737000000000002</v>
      </c>
      <c r="L8" s="183">
        <v>15.731</v>
      </c>
      <c r="M8" s="183">
        <v>38.737000000000002</v>
      </c>
      <c r="N8" s="183">
        <v>15.731</v>
      </c>
      <c r="O8" s="183">
        <v>38.737000000000002</v>
      </c>
      <c r="P8" s="183">
        <v>15.731</v>
      </c>
      <c r="Q8" s="10"/>
      <c r="R8" s="10"/>
      <c r="S8" s="10"/>
      <c r="T8" s="10"/>
      <c r="U8" s="10"/>
      <c r="V8" s="10"/>
      <c r="W8" s="10"/>
      <c r="X8" s="10"/>
      <c r="Y8" s="10"/>
      <c r="Z8" s="25"/>
    </row>
    <row r="9" spans="1:26" x14ac:dyDescent="0.3">
      <c r="A9" s="3" t="e">
        <f>VLOOKUP(#REF!,'[1]Listas Desplegables'!$H$3:$J$7,2,FALSE)</f>
        <v>#REF!</v>
      </c>
      <c r="B9" s="3" t="e">
        <f>VLOOKUP(#REF!,'[1]Listas Desplegables'!$H$3:$J$7,3,FALSE)</f>
        <v>#REF!</v>
      </c>
      <c r="C9" s="8">
        <v>4</v>
      </c>
      <c r="D9" s="9" t="s">
        <v>821</v>
      </c>
      <c r="E9" s="9" t="s">
        <v>821</v>
      </c>
      <c r="F9" s="9">
        <v>115</v>
      </c>
      <c r="G9" s="9" t="s">
        <v>0</v>
      </c>
      <c r="H9" s="9" t="s">
        <v>799</v>
      </c>
      <c r="I9" s="9" t="s">
        <v>113</v>
      </c>
      <c r="J9" s="59"/>
      <c r="K9" s="183">
        <v>21.959</v>
      </c>
      <c r="L9" s="183">
        <v>9.3290000000000006</v>
      </c>
      <c r="M9" s="183">
        <v>21.959</v>
      </c>
      <c r="N9" s="183">
        <v>9.3290000000000006</v>
      </c>
      <c r="O9" s="183">
        <v>21.959</v>
      </c>
      <c r="P9" s="183">
        <v>9.3290000000000006</v>
      </c>
      <c r="Q9" s="10"/>
      <c r="R9" s="10"/>
      <c r="S9" s="10"/>
      <c r="T9" s="10"/>
      <c r="U9" s="10"/>
      <c r="V9" s="10"/>
      <c r="W9" s="10"/>
      <c r="X9" s="10"/>
      <c r="Y9" s="10"/>
      <c r="Z9" s="25"/>
    </row>
    <row r="10" spans="1:26" x14ac:dyDescent="0.3">
      <c r="A10" s="3" t="e">
        <f>VLOOKUP(#REF!,'[1]Listas Desplegables'!$H$3:$J$7,2,FALSE)</f>
        <v>#REF!</v>
      </c>
      <c r="B10" s="3" t="e">
        <f>VLOOKUP(#REF!,'[1]Listas Desplegables'!$H$3:$J$7,3,FALSE)</f>
        <v>#REF!</v>
      </c>
      <c r="C10" s="8">
        <v>5</v>
      </c>
      <c r="D10" s="9" t="s">
        <v>822</v>
      </c>
      <c r="E10" s="9" t="s">
        <v>822</v>
      </c>
      <c r="F10" s="9">
        <v>115</v>
      </c>
      <c r="G10" s="9" t="s">
        <v>0</v>
      </c>
      <c r="H10" s="9" t="s">
        <v>520</v>
      </c>
      <c r="I10" s="9" t="s">
        <v>113</v>
      </c>
      <c r="J10" s="59"/>
      <c r="K10" s="183">
        <v>25.7</v>
      </c>
      <c r="L10" s="183">
        <v>10.94</v>
      </c>
      <c r="M10" s="183">
        <v>25.7</v>
      </c>
      <c r="N10" s="183">
        <v>10.94</v>
      </c>
      <c r="O10" s="183">
        <v>25.7</v>
      </c>
      <c r="P10" s="183">
        <v>10.94</v>
      </c>
      <c r="Q10" s="10"/>
      <c r="R10" s="10"/>
      <c r="S10" s="10"/>
      <c r="T10" s="10"/>
      <c r="U10" s="10"/>
      <c r="V10" s="10"/>
      <c r="W10" s="10"/>
      <c r="X10" s="10"/>
      <c r="Y10" s="10"/>
      <c r="Z10" s="25"/>
    </row>
    <row r="11" spans="1:26" x14ac:dyDescent="0.3">
      <c r="A11" s="3" t="e">
        <f>VLOOKUP(#REF!,'[1]Listas Desplegables'!$H$3:$J$7,2,FALSE)</f>
        <v>#REF!</v>
      </c>
      <c r="B11" s="3" t="e">
        <f>VLOOKUP(#REF!,'[1]Listas Desplegables'!$H$3:$J$7,3,FALSE)</f>
        <v>#REF!</v>
      </c>
      <c r="C11" s="8">
        <v>6</v>
      </c>
      <c r="D11" s="9" t="s">
        <v>823</v>
      </c>
      <c r="E11" s="9" t="s">
        <v>823</v>
      </c>
      <c r="F11" s="9">
        <v>115</v>
      </c>
      <c r="G11" s="9" t="s">
        <v>0</v>
      </c>
      <c r="H11" s="9" t="s">
        <v>520</v>
      </c>
      <c r="I11" s="9" t="s">
        <v>113</v>
      </c>
      <c r="J11" s="59"/>
      <c r="K11" s="183">
        <v>41.499000000000002</v>
      </c>
      <c r="L11" s="183">
        <v>17.062999999999999</v>
      </c>
      <c r="M11" s="183">
        <v>41.499000000000002</v>
      </c>
      <c r="N11" s="183">
        <v>17.062999999999999</v>
      </c>
      <c r="O11" s="183">
        <v>41.499000000000002</v>
      </c>
      <c r="P11" s="183">
        <v>17.062999999999999</v>
      </c>
      <c r="Q11" s="10"/>
      <c r="R11" s="10"/>
      <c r="S11" s="10"/>
      <c r="T11" s="10"/>
      <c r="U11" s="10"/>
      <c r="V11" s="10"/>
      <c r="W11" s="10"/>
      <c r="X11" s="10"/>
      <c r="Y11" s="10"/>
      <c r="Z11" s="25"/>
    </row>
    <row r="12" spans="1:26" x14ac:dyDescent="0.3">
      <c r="A12" s="3" t="e">
        <f>VLOOKUP(#REF!,'[1]Listas Desplegables'!$H$3:$J$7,2,FALSE)</f>
        <v>#REF!</v>
      </c>
      <c r="B12" s="3" t="e">
        <f>VLOOKUP(#REF!,'[1]Listas Desplegables'!$H$3:$J$7,3,FALSE)</f>
        <v>#REF!</v>
      </c>
      <c r="C12" s="8">
        <v>7</v>
      </c>
      <c r="D12" s="9" t="s">
        <v>824</v>
      </c>
      <c r="E12" s="9" t="s">
        <v>824</v>
      </c>
      <c r="F12" s="9">
        <v>115</v>
      </c>
      <c r="G12" s="9" t="s">
        <v>0</v>
      </c>
      <c r="H12" s="9" t="s">
        <v>826</v>
      </c>
      <c r="I12" s="9" t="s">
        <v>113</v>
      </c>
      <c r="J12" s="59"/>
      <c r="K12" s="183">
        <v>4.718</v>
      </c>
      <c r="L12" s="183">
        <v>1.865</v>
      </c>
      <c r="M12" s="183">
        <v>4.718</v>
      </c>
      <c r="N12" s="183">
        <v>1.865</v>
      </c>
      <c r="O12" s="183">
        <v>4.718</v>
      </c>
      <c r="P12" s="183">
        <v>1.865</v>
      </c>
      <c r="Q12" s="10"/>
      <c r="R12" s="10"/>
      <c r="S12" s="10"/>
      <c r="T12" s="10"/>
      <c r="U12" s="10"/>
      <c r="V12" s="10"/>
      <c r="W12" s="10"/>
      <c r="X12" s="10"/>
      <c r="Y12" s="10"/>
      <c r="Z12" s="25"/>
    </row>
    <row r="13" spans="1:26" x14ac:dyDescent="0.3">
      <c r="A13" s="3" t="e">
        <f>VLOOKUP(#REF!,'[1]Listas Desplegables'!$H$3:$J$7,2,FALSE)</f>
        <v>#REF!</v>
      </c>
      <c r="B13" s="3" t="e">
        <f>VLOOKUP(#REF!,'[1]Listas Desplegables'!$H$3:$J$7,3,FALSE)</f>
        <v>#REF!</v>
      </c>
      <c r="C13" s="8">
        <v>8</v>
      </c>
      <c r="D13" s="9" t="s">
        <v>825</v>
      </c>
      <c r="E13" s="9" t="s">
        <v>825</v>
      </c>
      <c r="F13" s="9">
        <v>115</v>
      </c>
      <c r="G13" s="9" t="s">
        <v>0</v>
      </c>
      <c r="H13" s="9" t="s">
        <v>826</v>
      </c>
      <c r="I13" s="9" t="s">
        <v>113</v>
      </c>
      <c r="J13" s="59"/>
      <c r="K13" s="183">
        <v>2.5009999999999999</v>
      </c>
      <c r="L13" s="183">
        <v>0.98799999999999999</v>
      </c>
      <c r="M13" s="183">
        <v>2.508</v>
      </c>
      <c r="N13" s="183">
        <v>0.97499999999999998</v>
      </c>
      <c r="O13" s="183">
        <v>2.4900000000000002</v>
      </c>
      <c r="P13" s="183">
        <v>0.80500000000000005</v>
      </c>
      <c r="Q13" s="10"/>
      <c r="R13" s="10"/>
      <c r="S13" s="10"/>
      <c r="T13" s="10"/>
      <c r="U13" s="10"/>
      <c r="V13" s="10"/>
      <c r="W13" s="10"/>
      <c r="X13" s="10"/>
      <c r="Y13" s="10"/>
      <c r="Z13" s="25"/>
    </row>
    <row r="14" spans="1:26" x14ac:dyDescent="0.3">
      <c r="A14" s="3" t="e">
        <f>VLOOKUP(#REF!,'[1]Listas Desplegables'!$H$3:$J$7,2,FALSE)</f>
        <v>#REF!</v>
      </c>
      <c r="B14" s="3" t="e">
        <f>VLOOKUP(#REF!,'[1]Listas Desplegables'!$H$3:$J$7,3,FALSE)</f>
        <v>#REF!</v>
      </c>
      <c r="C14" s="8">
        <v>9</v>
      </c>
      <c r="D14" s="9" t="s">
        <v>826</v>
      </c>
      <c r="E14" s="9" t="s">
        <v>826</v>
      </c>
      <c r="F14" s="9">
        <v>115</v>
      </c>
      <c r="G14" s="9" t="s">
        <v>0</v>
      </c>
      <c r="H14" s="9" t="s">
        <v>826</v>
      </c>
      <c r="I14" s="9" t="s">
        <v>113</v>
      </c>
      <c r="J14" s="59"/>
      <c r="K14" s="183">
        <v>17.32</v>
      </c>
      <c r="L14" s="183">
        <v>6.84</v>
      </c>
      <c r="M14" s="183">
        <v>17.32</v>
      </c>
      <c r="N14" s="183">
        <v>6.84</v>
      </c>
      <c r="O14" s="183">
        <v>17.32</v>
      </c>
      <c r="P14" s="183">
        <v>6.84</v>
      </c>
      <c r="Q14" s="10"/>
      <c r="R14" s="10"/>
      <c r="S14" s="10"/>
      <c r="T14" s="10"/>
      <c r="U14" s="10"/>
      <c r="V14" s="10"/>
      <c r="W14" s="10"/>
      <c r="X14" s="10"/>
      <c r="Y14" s="10"/>
      <c r="Z14" s="25"/>
    </row>
    <row r="15" spans="1:26" x14ac:dyDescent="0.3">
      <c r="A15" s="3" t="e">
        <f>VLOOKUP(#REF!,'[1]Listas Desplegables'!$H$3:$J$7,2,FALSE)</f>
        <v>#REF!</v>
      </c>
      <c r="B15" s="3" t="e">
        <f>VLOOKUP(#REF!,'[1]Listas Desplegables'!$H$3:$J$7,3,FALSE)</f>
        <v>#REF!</v>
      </c>
      <c r="C15" s="7">
        <v>10</v>
      </c>
      <c r="D15" s="9" t="s">
        <v>827</v>
      </c>
      <c r="E15" s="9" t="s">
        <v>827</v>
      </c>
      <c r="F15" s="9">
        <v>13.8</v>
      </c>
      <c r="G15" s="9" t="s">
        <v>209</v>
      </c>
      <c r="H15" s="9" t="s">
        <v>828</v>
      </c>
      <c r="I15" s="9" t="s">
        <v>113</v>
      </c>
      <c r="J15" s="59"/>
      <c r="K15" s="9">
        <v>0</v>
      </c>
      <c r="L15" s="9">
        <v>0</v>
      </c>
      <c r="M15" s="9">
        <v>0</v>
      </c>
      <c r="N15" s="9">
        <v>0</v>
      </c>
      <c r="O15" s="9">
        <v>0</v>
      </c>
      <c r="P15" s="9">
        <v>0</v>
      </c>
      <c r="Q15" s="10"/>
      <c r="R15" s="10"/>
      <c r="S15" s="10"/>
      <c r="T15" s="10"/>
      <c r="U15" s="10"/>
      <c r="V15" s="10"/>
      <c r="W15" s="10"/>
      <c r="X15" s="10"/>
      <c r="Y15" s="10"/>
      <c r="Z15" s="25"/>
    </row>
    <row r="16" spans="1:26" x14ac:dyDescent="0.3">
      <c r="A16" s="3" t="e">
        <f>VLOOKUP(#REF!,'[1]Listas Desplegables'!$H$3:$J$7,2,FALSE)</f>
        <v>#REF!</v>
      </c>
      <c r="B16" s="3" t="e">
        <f>VLOOKUP(#REF!,'[1]Listas Desplegables'!$H$3:$J$7,3,FALSE)</f>
        <v>#REF!</v>
      </c>
      <c r="C16" s="8">
        <v>11</v>
      </c>
      <c r="D16" s="9" t="s">
        <v>465</v>
      </c>
      <c r="E16" s="9" t="s">
        <v>465</v>
      </c>
      <c r="F16" s="9">
        <v>13.8</v>
      </c>
      <c r="G16" s="9" t="s">
        <v>209</v>
      </c>
      <c r="H16" s="9" t="s">
        <v>828</v>
      </c>
      <c r="I16" s="9" t="s">
        <v>113</v>
      </c>
      <c r="J16" s="59"/>
      <c r="K16" s="9">
        <v>0</v>
      </c>
      <c r="L16" s="9">
        <v>0</v>
      </c>
      <c r="M16" s="9">
        <v>0</v>
      </c>
      <c r="N16" s="9">
        <v>0</v>
      </c>
      <c r="O16" s="9">
        <v>0</v>
      </c>
      <c r="P16" s="9">
        <v>0</v>
      </c>
      <c r="Q16" s="10"/>
      <c r="R16" s="10"/>
      <c r="S16" s="10"/>
      <c r="T16" s="10"/>
      <c r="U16" s="10"/>
      <c r="V16" s="10"/>
      <c r="W16" s="10"/>
      <c r="X16" s="10"/>
      <c r="Y16" s="10"/>
      <c r="Z16" s="25"/>
    </row>
    <row r="17" spans="1:26" x14ac:dyDescent="0.3">
      <c r="A17" s="3" t="e">
        <f>VLOOKUP(#REF!,'[1]Listas Desplegables'!$H$3:$J$7,2,FALSE)</f>
        <v>#REF!</v>
      </c>
      <c r="B17" s="3" t="e">
        <f>VLOOKUP(#REF!,'[1]Listas Desplegables'!$H$3:$J$7,3,FALSE)</f>
        <v>#REF!</v>
      </c>
      <c r="C17" s="8">
        <v>12</v>
      </c>
      <c r="D17" s="9" t="s">
        <v>432</v>
      </c>
      <c r="E17" s="9" t="s">
        <v>432</v>
      </c>
      <c r="F17" s="9">
        <v>34.5</v>
      </c>
      <c r="G17" s="9" t="s">
        <v>209</v>
      </c>
      <c r="H17" s="9" t="s">
        <v>834</v>
      </c>
      <c r="I17" s="9" t="s">
        <v>113</v>
      </c>
      <c r="J17" s="59"/>
      <c r="K17" s="183">
        <v>0.22001708219178037</v>
      </c>
      <c r="L17" s="183">
        <v>0.13635434104032587</v>
      </c>
      <c r="M17" s="183">
        <v>0.28641619726027395</v>
      </c>
      <c r="N17" s="183">
        <v>0.17750481667900092</v>
      </c>
      <c r="O17" s="183">
        <v>0.55152000000000001</v>
      </c>
      <c r="P17" s="183">
        <v>0.28641619726027395</v>
      </c>
      <c r="Q17" s="10"/>
      <c r="R17" s="10"/>
      <c r="S17" s="10"/>
      <c r="T17" s="10"/>
      <c r="U17" s="10"/>
      <c r="V17" s="10"/>
      <c r="W17" s="10"/>
      <c r="X17" s="10"/>
      <c r="Y17" s="10"/>
      <c r="Z17" s="25"/>
    </row>
    <row r="18" spans="1:26" x14ac:dyDescent="0.3">
      <c r="A18" s="3" t="e">
        <f>VLOOKUP(#REF!,'[1]Listas Desplegables'!$H$3:$J$7,2,FALSE)</f>
        <v>#REF!</v>
      </c>
      <c r="B18" s="3" t="e">
        <f>VLOOKUP(#REF!,'[1]Listas Desplegables'!$H$3:$J$7,3,FALSE)</f>
        <v>#REF!</v>
      </c>
      <c r="C18" s="8">
        <v>13</v>
      </c>
      <c r="D18" s="9" t="s">
        <v>502</v>
      </c>
      <c r="E18" s="9" t="s">
        <v>502</v>
      </c>
      <c r="F18" s="9">
        <v>34.5</v>
      </c>
      <c r="G18" s="9" t="s">
        <v>209</v>
      </c>
      <c r="H18" s="9" t="s">
        <v>834</v>
      </c>
      <c r="I18" s="9" t="s">
        <v>113</v>
      </c>
      <c r="J18" s="59"/>
      <c r="K18" s="183">
        <v>6.1765025114155339E-2</v>
      </c>
      <c r="L18" s="183">
        <v>3.8278524625823193E-2</v>
      </c>
      <c r="M18" s="183">
        <v>7.5939304109589087E-2</v>
      </c>
      <c r="N18" s="183">
        <v>4.7062953784189274E-2</v>
      </c>
      <c r="O18" s="183">
        <v>0.17286000000000001</v>
      </c>
      <c r="P18" s="183">
        <v>8.9340357775987159E-2</v>
      </c>
      <c r="Q18" s="10"/>
      <c r="R18" s="10"/>
      <c r="S18" s="10"/>
      <c r="T18" s="10"/>
      <c r="U18" s="10"/>
      <c r="V18" s="10"/>
      <c r="W18" s="10"/>
      <c r="X18" s="10"/>
      <c r="Y18" s="10"/>
      <c r="Z18" s="25"/>
    </row>
    <row r="19" spans="1:26" x14ac:dyDescent="0.3">
      <c r="A19" s="3" t="e">
        <f>VLOOKUP(#REF!,'[1]Listas Desplegables'!$H$3:$J$7,2,FALSE)</f>
        <v>#REF!</v>
      </c>
      <c r="B19" s="3" t="e">
        <f>VLOOKUP(#REF!,'[1]Listas Desplegables'!$H$3:$J$7,3,FALSE)</f>
        <v>#REF!</v>
      </c>
      <c r="C19" s="8">
        <v>14</v>
      </c>
      <c r="D19" s="9" t="s">
        <v>626</v>
      </c>
      <c r="E19" s="9" t="s">
        <v>626</v>
      </c>
      <c r="F19" s="9">
        <v>34.5</v>
      </c>
      <c r="G19" s="9" t="s">
        <v>209</v>
      </c>
      <c r="H19" s="9" t="s">
        <v>834</v>
      </c>
      <c r="I19" s="9" t="s">
        <v>113</v>
      </c>
      <c r="J19" s="59"/>
      <c r="K19" s="183">
        <v>0.54500000000000004</v>
      </c>
      <c r="L19" s="183">
        <v>0.32900000000000001</v>
      </c>
      <c r="M19" s="183">
        <v>0.66100000000000003</v>
      </c>
      <c r="N19" s="183">
        <v>0.308</v>
      </c>
      <c r="O19" s="183">
        <v>1.0585799999999999</v>
      </c>
      <c r="P19" s="183">
        <v>0.51269369373925411</v>
      </c>
      <c r="Q19" s="10"/>
      <c r="R19" s="10"/>
      <c r="S19" s="10"/>
      <c r="T19" s="10"/>
      <c r="U19" s="10"/>
      <c r="V19" s="10"/>
      <c r="W19" s="10"/>
      <c r="X19" s="10"/>
      <c r="Y19" s="10"/>
      <c r="Z19" s="25"/>
    </row>
    <row r="20" spans="1:26" x14ac:dyDescent="0.3">
      <c r="A20" s="3" t="e">
        <f>VLOOKUP(#REF!,'[1]Listas Desplegables'!$H$3:$J$7,2,FALSE)</f>
        <v>#REF!</v>
      </c>
      <c r="B20" s="3" t="e">
        <f>VLOOKUP(#REF!,'[1]Listas Desplegables'!$H$3:$J$7,3,FALSE)</f>
        <v>#REF!</v>
      </c>
      <c r="C20" s="8">
        <v>15</v>
      </c>
      <c r="D20" s="9" t="s">
        <v>829</v>
      </c>
      <c r="E20" s="9" t="s">
        <v>829</v>
      </c>
      <c r="F20" s="9">
        <v>34.5</v>
      </c>
      <c r="G20" s="9" t="s">
        <v>209</v>
      </c>
      <c r="H20" s="9" t="s">
        <v>834</v>
      </c>
      <c r="I20" s="9" t="s">
        <v>113</v>
      </c>
      <c r="J20" s="59"/>
      <c r="K20" s="183">
        <v>0.50124980782401629</v>
      </c>
      <c r="L20" s="183">
        <v>0.21222093164116634</v>
      </c>
      <c r="M20" s="183">
        <v>0.66405488398098822</v>
      </c>
      <c r="N20" s="183">
        <v>0.17512980317602228</v>
      </c>
      <c r="O20" s="183">
        <v>1.0632600000000001</v>
      </c>
      <c r="P20" s="183">
        <v>0.65894936525048264</v>
      </c>
      <c r="Q20" s="10"/>
      <c r="R20" s="10"/>
      <c r="S20" s="10"/>
      <c r="T20" s="10"/>
      <c r="U20" s="10"/>
      <c r="V20" s="10"/>
      <c r="W20" s="10"/>
      <c r="X20" s="10"/>
      <c r="Y20" s="10"/>
      <c r="Z20" s="25"/>
    </row>
    <row r="21" spans="1:26" x14ac:dyDescent="0.3">
      <c r="A21" s="3" t="e">
        <f>VLOOKUP(#REF!,'[1]Listas Desplegables'!$H$3:$J$7,2,FALSE)</f>
        <v>#REF!</v>
      </c>
      <c r="B21" s="3" t="e">
        <f>VLOOKUP(#REF!,'[1]Listas Desplegables'!$H$3:$J$7,3,FALSE)</f>
        <v>#REF!</v>
      </c>
      <c r="C21" s="8">
        <v>16</v>
      </c>
      <c r="D21" s="9" t="s">
        <v>433</v>
      </c>
      <c r="E21" s="9" t="s">
        <v>433</v>
      </c>
      <c r="F21" s="9">
        <v>34.5</v>
      </c>
      <c r="G21" s="9" t="s">
        <v>209</v>
      </c>
      <c r="H21" s="9" t="s">
        <v>834</v>
      </c>
      <c r="I21" s="9" t="s">
        <v>113</v>
      </c>
      <c r="J21" s="59"/>
      <c r="K21" s="183">
        <v>0.26952192694063959</v>
      </c>
      <c r="L21" s="183">
        <v>0.16703468829695595</v>
      </c>
      <c r="M21" s="183">
        <v>0.16896318904109603</v>
      </c>
      <c r="N21" s="183">
        <v>0.10471397980675237</v>
      </c>
      <c r="O21" s="183">
        <v>0.78246000000000004</v>
      </c>
      <c r="P21" s="183">
        <v>0.48492515502689154</v>
      </c>
      <c r="Q21" s="10"/>
      <c r="R21" s="10"/>
      <c r="S21" s="10"/>
      <c r="T21" s="10"/>
      <c r="U21" s="10"/>
      <c r="V21" s="10"/>
      <c r="W21" s="10"/>
      <c r="X21" s="10"/>
      <c r="Y21" s="10"/>
      <c r="Z21" s="25"/>
    </row>
    <row r="22" spans="1:26" x14ac:dyDescent="0.3">
      <c r="A22" s="3" t="e">
        <f>VLOOKUP(#REF!,'[1]Listas Desplegables'!$H$3:$J$7,2,FALSE)</f>
        <v>#REF!</v>
      </c>
      <c r="B22" s="3" t="e">
        <f>VLOOKUP(#REF!,'[1]Listas Desplegables'!$H$3:$J$7,3,FALSE)</f>
        <v>#REF!</v>
      </c>
      <c r="C22" s="8">
        <v>17</v>
      </c>
      <c r="D22" s="9" t="s">
        <v>830</v>
      </c>
      <c r="E22" s="9" t="s">
        <v>830</v>
      </c>
      <c r="F22" s="9">
        <v>34.5</v>
      </c>
      <c r="G22" s="9" t="s">
        <v>209</v>
      </c>
      <c r="H22" s="9" t="s">
        <v>834</v>
      </c>
      <c r="I22" s="9" t="s">
        <v>113</v>
      </c>
      <c r="J22" s="59"/>
      <c r="K22" s="183">
        <v>0.12061593835616449</v>
      </c>
      <c r="L22" s="183">
        <v>7.4751044917410511E-2</v>
      </c>
      <c r="M22" s="183">
        <v>0.15184145753424627</v>
      </c>
      <c r="N22" s="183">
        <v>9.4102883641724186E-2</v>
      </c>
      <c r="O22" s="183">
        <v>0.25739999999999996</v>
      </c>
      <c r="P22" s="183">
        <v>0.12466450978526325</v>
      </c>
      <c r="Q22" s="10"/>
      <c r="R22" s="10"/>
      <c r="S22" s="10"/>
      <c r="T22" s="10"/>
      <c r="U22" s="10"/>
      <c r="V22" s="10"/>
      <c r="W22" s="10"/>
      <c r="X22" s="10"/>
      <c r="Y22" s="10"/>
      <c r="Z22" s="25"/>
    </row>
    <row r="23" spans="1:26" x14ac:dyDescent="0.3">
      <c r="A23" s="3" t="e">
        <f>VLOOKUP(#REF!,'[1]Listas Desplegables'!$H$3:$J$7,2,FALSE)</f>
        <v>#REF!</v>
      </c>
      <c r="B23" s="3" t="e">
        <f>VLOOKUP(#REF!,'[1]Listas Desplegables'!$H$3:$J$7,3,FALSE)</f>
        <v>#REF!</v>
      </c>
      <c r="C23" s="8">
        <v>18</v>
      </c>
      <c r="D23" s="9" t="s">
        <v>421</v>
      </c>
      <c r="E23" s="9" t="s">
        <v>421</v>
      </c>
      <c r="F23" s="9">
        <v>34.5</v>
      </c>
      <c r="G23" s="9" t="s">
        <v>209</v>
      </c>
      <c r="H23" s="9" t="s">
        <v>834</v>
      </c>
      <c r="I23" s="9" t="s">
        <v>113</v>
      </c>
      <c r="J23" s="59"/>
      <c r="K23" s="183">
        <v>0.25898780821917788</v>
      </c>
      <c r="L23" s="183">
        <v>0.16050622785926391</v>
      </c>
      <c r="M23" s="183">
        <v>0.28499470684931483</v>
      </c>
      <c r="N23" s="183">
        <v>0.1766238560447147</v>
      </c>
      <c r="O23" s="183">
        <v>0.28499470684931483</v>
      </c>
      <c r="P23" s="183">
        <v>0.1766238560447147</v>
      </c>
      <c r="Q23" s="10"/>
      <c r="R23" s="10"/>
      <c r="S23" s="10"/>
      <c r="T23" s="10"/>
      <c r="U23" s="10"/>
      <c r="V23" s="10"/>
      <c r="W23" s="10"/>
      <c r="X23" s="10"/>
      <c r="Y23" s="10"/>
      <c r="Z23" s="25"/>
    </row>
    <row r="24" spans="1:26" x14ac:dyDescent="0.3">
      <c r="A24" s="3" t="e">
        <f>VLOOKUP(#REF!,'[1]Listas Desplegables'!$H$3:$J$7,2,FALSE)</f>
        <v>#REF!</v>
      </c>
      <c r="B24" s="3" t="e">
        <f>VLOOKUP(#REF!,'[1]Listas Desplegables'!$H$3:$J$7,3,FALSE)</f>
        <v>#REF!</v>
      </c>
      <c r="C24" s="7">
        <v>19</v>
      </c>
      <c r="D24" s="9" t="s">
        <v>772</v>
      </c>
      <c r="E24" s="9" t="s">
        <v>772</v>
      </c>
      <c r="F24" s="9">
        <v>34.5</v>
      </c>
      <c r="G24" s="9" t="s">
        <v>209</v>
      </c>
      <c r="H24" s="9" t="s">
        <v>834</v>
      </c>
      <c r="I24" s="9" t="s">
        <v>113</v>
      </c>
      <c r="J24" s="59"/>
      <c r="K24" s="183">
        <v>0.41963715068493662</v>
      </c>
      <c r="L24" s="183">
        <v>0.26006774832059903</v>
      </c>
      <c r="M24" s="183">
        <v>0.51661131506849201</v>
      </c>
      <c r="N24" s="183">
        <v>0.32016693766867915</v>
      </c>
      <c r="O24" s="183">
        <v>0.69111</v>
      </c>
      <c r="P24" s="183">
        <v>0.33471984987448844</v>
      </c>
      <c r="Q24" s="10"/>
      <c r="R24" s="10"/>
      <c r="S24" s="10"/>
      <c r="T24" s="10"/>
      <c r="U24" s="10"/>
      <c r="V24" s="10"/>
      <c r="W24" s="10"/>
      <c r="X24" s="10"/>
      <c r="Y24" s="10"/>
      <c r="Z24" s="25"/>
    </row>
    <row r="25" spans="1:26" x14ac:dyDescent="0.3">
      <c r="A25" s="3" t="e">
        <f>VLOOKUP(#REF!,'[1]Listas Desplegables'!$H$3:$J$7,2,FALSE)</f>
        <v>#REF!</v>
      </c>
      <c r="B25" s="3" t="e">
        <f>VLOOKUP(#REF!,'[1]Listas Desplegables'!$H$3:$J$7,3,FALSE)</f>
        <v>#REF!</v>
      </c>
      <c r="C25" s="11">
        <v>20</v>
      </c>
      <c r="D25" s="12" t="s">
        <v>771</v>
      </c>
      <c r="E25" s="12" t="s">
        <v>771</v>
      </c>
      <c r="F25" s="9">
        <v>34.5</v>
      </c>
      <c r="G25" s="9" t="s">
        <v>209</v>
      </c>
      <c r="H25" s="9" t="s">
        <v>834</v>
      </c>
      <c r="I25" s="9" t="s">
        <v>113</v>
      </c>
      <c r="J25" s="60"/>
      <c r="K25" s="186">
        <v>0.68168235660363907</v>
      </c>
      <c r="L25" s="186">
        <v>0.4232770290215212</v>
      </c>
      <c r="M25" s="186">
        <v>0.85887615039157139</v>
      </c>
      <c r="N25" s="186">
        <v>0.37683365855148704</v>
      </c>
      <c r="O25" s="186">
        <v>1.6122999999999998</v>
      </c>
      <c r="P25" s="186">
        <v>0.78087252963006937</v>
      </c>
      <c r="Q25" s="81"/>
      <c r="R25" s="81"/>
      <c r="S25" s="81"/>
      <c r="T25" s="81"/>
      <c r="U25" s="81"/>
      <c r="V25" s="81"/>
      <c r="W25" s="81"/>
      <c r="X25" s="81"/>
      <c r="Y25" s="81"/>
      <c r="Z25" s="25"/>
    </row>
    <row r="26" spans="1:26" x14ac:dyDescent="0.3">
      <c r="A26" s="3" t="e">
        <f>VLOOKUP(#REF!,'[1]Listas Desplegables'!$H$3:$J$7,2,FALSE)</f>
        <v>#REF!</v>
      </c>
      <c r="B26" s="3" t="e">
        <f>VLOOKUP(#REF!,'[1]Listas Desplegables'!$H$3:$J$7,3,FALSE)</f>
        <v>#REF!</v>
      </c>
      <c r="C26" s="7">
        <v>21</v>
      </c>
      <c r="D26" s="12" t="s">
        <v>572</v>
      </c>
      <c r="E26" s="12" t="s">
        <v>572</v>
      </c>
      <c r="F26" s="9">
        <v>34.5</v>
      </c>
      <c r="G26" s="9" t="s">
        <v>209</v>
      </c>
      <c r="H26" s="9" t="s">
        <v>834</v>
      </c>
      <c r="I26" s="9" t="s">
        <v>113</v>
      </c>
      <c r="J26" s="60"/>
      <c r="K26" s="186">
        <v>0.24522831506849274</v>
      </c>
      <c r="L26" s="186">
        <v>0.15197885987983056</v>
      </c>
      <c r="M26" s="186">
        <v>0.31017563835616424</v>
      </c>
      <c r="N26" s="186">
        <v>0.19222959578180099</v>
      </c>
      <c r="O26" s="186">
        <v>0.45606000000000002</v>
      </c>
      <c r="P26" s="186">
        <v>0.2208799391323511</v>
      </c>
      <c r="Q26" s="81"/>
      <c r="R26" s="81"/>
      <c r="S26" s="81"/>
      <c r="T26" s="81"/>
      <c r="U26" s="81"/>
      <c r="V26" s="81"/>
      <c r="W26" s="81"/>
      <c r="X26" s="81"/>
      <c r="Y26" s="81"/>
      <c r="Z26" s="25"/>
    </row>
    <row r="27" spans="1:26" x14ac:dyDescent="0.3">
      <c r="A27" s="3" t="e">
        <f>VLOOKUP(#REF!,'[1]Listas Desplegables'!$H$3:$J$7,2,FALSE)</f>
        <v>#REF!</v>
      </c>
      <c r="B27" s="3" t="e">
        <f>VLOOKUP(#REF!,'[1]Listas Desplegables'!$H$3:$J$7,3,FALSE)</f>
        <v>#REF!</v>
      </c>
      <c r="C27" s="8">
        <v>22</v>
      </c>
      <c r="D27" s="12" t="s">
        <v>558</v>
      </c>
      <c r="E27" s="12" t="s">
        <v>558</v>
      </c>
      <c r="F27" s="9">
        <v>34.5</v>
      </c>
      <c r="G27" s="9" t="s">
        <v>209</v>
      </c>
      <c r="H27" s="9" t="s">
        <v>834</v>
      </c>
      <c r="I27" s="9" t="s">
        <v>113</v>
      </c>
      <c r="J27" s="60"/>
      <c r="K27" s="186">
        <v>0.44123246999788335</v>
      </c>
      <c r="L27" s="186">
        <v>0.27345132520080478</v>
      </c>
      <c r="M27" s="186">
        <v>0.53413344327611811</v>
      </c>
      <c r="N27" s="186">
        <v>0.33102617742212881</v>
      </c>
      <c r="O27" s="186">
        <v>0.78246000000000004</v>
      </c>
      <c r="P27" s="186">
        <v>0.37896267415142626</v>
      </c>
      <c r="Q27" s="81"/>
      <c r="R27" s="81"/>
      <c r="S27" s="81"/>
      <c r="T27" s="81"/>
      <c r="U27" s="81"/>
      <c r="V27" s="81"/>
      <c r="W27" s="81"/>
      <c r="X27" s="81"/>
      <c r="Y27" s="81"/>
      <c r="Z27" s="25"/>
    </row>
    <row r="28" spans="1:26" x14ac:dyDescent="0.3">
      <c r="A28" s="3" t="e">
        <f>VLOOKUP(#REF!,'[1]Listas Desplegables'!$H$3:$J$7,2,FALSE)</f>
        <v>#REF!</v>
      </c>
      <c r="B28" s="3" t="e">
        <f>VLOOKUP(#REF!,'[1]Listas Desplegables'!$H$3:$J$7,3,FALSE)</f>
        <v>#REF!</v>
      </c>
      <c r="C28" s="8">
        <v>23</v>
      </c>
      <c r="D28" s="12" t="s">
        <v>564</v>
      </c>
      <c r="E28" s="12" t="s">
        <v>564</v>
      </c>
      <c r="F28" s="9">
        <v>34.5</v>
      </c>
      <c r="G28" s="9" t="s">
        <v>209</v>
      </c>
      <c r="H28" s="9" t="s">
        <v>834</v>
      </c>
      <c r="I28" s="9" t="s">
        <v>113</v>
      </c>
      <c r="J28" s="60"/>
      <c r="K28" s="186">
        <v>0.27818596187081768</v>
      </c>
      <c r="L28" s="186">
        <v>0.17240417489266052</v>
      </c>
      <c r="M28" s="186">
        <v>0.30724636162187258</v>
      </c>
      <c r="N28" s="186">
        <v>0.19041419311010768</v>
      </c>
      <c r="O28" s="186">
        <v>0.78246000000000004</v>
      </c>
      <c r="P28" s="186">
        <v>0.37896267415142626</v>
      </c>
      <c r="Q28" s="81"/>
      <c r="R28" s="81"/>
      <c r="S28" s="81"/>
      <c r="T28" s="81"/>
      <c r="U28" s="81"/>
      <c r="V28" s="81"/>
      <c r="W28" s="81"/>
      <c r="X28" s="81"/>
      <c r="Y28" s="81"/>
      <c r="Z28" s="25"/>
    </row>
    <row r="29" spans="1:26" x14ac:dyDescent="0.3">
      <c r="A29" s="3" t="e">
        <f>VLOOKUP(#REF!,'[1]Listas Desplegables'!$H$3:$J$7,2,FALSE)</f>
        <v>#REF!</v>
      </c>
      <c r="B29" s="3" t="e">
        <f>VLOOKUP(#REF!,'[1]Listas Desplegables'!$H$3:$J$7,3,FALSE)</f>
        <v>#REF!</v>
      </c>
      <c r="C29" s="8">
        <v>24</v>
      </c>
      <c r="D29" s="12" t="s">
        <v>831</v>
      </c>
      <c r="E29" s="9" t="s">
        <v>834</v>
      </c>
      <c r="F29" s="9">
        <v>34.5</v>
      </c>
      <c r="G29" s="12" t="s">
        <v>0</v>
      </c>
      <c r="H29" s="9" t="s">
        <v>834</v>
      </c>
      <c r="I29" s="9" t="s">
        <v>113</v>
      </c>
      <c r="J29" s="60"/>
      <c r="K29" s="186">
        <v>0.8</v>
      </c>
      <c r="L29" s="186">
        <v>0.34100000000000003</v>
      </c>
      <c r="M29" s="186">
        <v>0.8</v>
      </c>
      <c r="N29" s="186">
        <v>0.34100000000000003</v>
      </c>
      <c r="O29" s="186">
        <v>0.8</v>
      </c>
      <c r="P29" s="186">
        <v>0.34100000000000003</v>
      </c>
      <c r="Q29" s="81"/>
      <c r="R29" s="81"/>
      <c r="S29" s="81"/>
      <c r="T29" s="81"/>
      <c r="U29" s="81"/>
      <c r="V29" s="81"/>
      <c r="W29" s="81"/>
      <c r="X29" s="81"/>
      <c r="Y29" s="81"/>
      <c r="Z29" s="25"/>
    </row>
    <row r="30" spans="1:26" x14ac:dyDescent="0.3">
      <c r="A30" s="3" t="e">
        <f>VLOOKUP(#REF!,'[1]Listas Desplegables'!$H$3:$J$7,2,FALSE)</f>
        <v>#REF!</v>
      </c>
      <c r="B30" s="3" t="e">
        <f>VLOOKUP(#REF!,'[1]Listas Desplegables'!$H$3:$J$7,3,FALSE)</f>
        <v>#REF!</v>
      </c>
      <c r="C30" s="8">
        <v>25</v>
      </c>
      <c r="D30" s="12" t="s">
        <v>832</v>
      </c>
      <c r="E30" s="9" t="s">
        <v>834</v>
      </c>
      <c r="F30" s="9">
        <v>34.5</v>
      </c>
      <c r="G30" s="12" t="s">
        <v>0</v>
      </c>
      <c r="H30" s="9" t="s">
        <v>834</v>
      </c>
      <c r="I30" s="9" t="s">
        <v>113</v>
      </c>
      <c r="J30" s="60"/>
      <c r="K30" s="186">
        <v>0.5</v>
      </c>
      <c r="L30" s="186">
        <v>0.21299999999999999</v>
      </c>
      <c r="M30" s="186">
        <v>0.5</v>
      </c>
      <c r="N30" s="186">
        <v>0.21299999999999999</v>
      </c>
      <c r="O30" s="186">
        <v>0.5</v>
      </c>
      <c r="P30" s="186">
        <v>0.21299999999999999</v>
      </c>
      <c r="Q30" s="81"/>
      <c r="R30" s="81"/>
      <c r="S30" s="81"/>
      <c r="T30" s="81"/>
      <c r="U30" s="81"/>
      <c r="V30" s="81"/>
      <c r="W30" s="81"/>
      <c r="X30" s="81"/>
      <c r="Y30" s="81"/>
      <c r="Z30" s="25"/>
    </row>
    <row r="31" spans="1:26" x14ac:dyDescent="0.3">
      <c r="A31" s="3" t="e">
        <f>VLOOKUP(#REF!,'[1]Listas Desplegables'!$H$3:$J$7,2,FALSE)</f>
        <v>#REF!</v>
      </c>
      <c r="B31" s="3" t="e">
        <f>VLOOKUP(#REF!,'[1]Listas Desplegables'!$H$3:$J$7,3,FALSE)</f>
        <v>#REF!</v>
      </c>
      <c r="C31" s="8">
        <v>26</v>
      </c>
      <c r="D31" s="12" t="s">
        <v>833</v>
      </c>
      <c r="E31" s="9" t="s">
        <v>834</v>
      </c>
      <c r="F31" s="9">
        <v>34.5</v>
      </c>
      <c r="G31" s="12" t="s">
        <v>0</v>
      </c>
      <c r="H31" s="9" t="s">
        <v>834</v>
      </c>
      <c r="I31" s="9" t="s">
        <v>113</v>
      </c>
      <c r="J31" s="60"/>
      <c r="K31" s="184">
        <v>1E-4</v>
      </c>
      <c r="L31" s="184">
        <v>1E-4</v>
      </c>
      <c r="M31" s="184">
        <v>1E-4</v>
      </c>
      <c r="N31" s="184">
        <v>1E-4</v>
      </c>
      <c r="O31" s="184">
        <v>1E-4</v>
      </c>
      <c r="P31" s="184">
        <v>1E-4</v>
      </c>
      <c r="Q31" s="81"/>
      <c r="R31" s="81"/>
      <c r="S31" s="81"/>
      <c r="T31" s="81"/>
      <c r="U31" s="81"/>
      <c r="V31" s="81"/>
      <c r="W31" s="81"/>
      <c r="X31" s="81"/>
      <c r="Y31" s="81"/>
      <c r="Z31" s="25"/>
    </row>
    <row r="32" spans="1:26" x14ac:dyDescent="0.3">
      <c r="A32" s="3" t="e">
        <f>VLOOKUP(#REF!,'[1]Listas Desplegables'!$H$3:$J$7,2,FALSE)</f>
        <v>#REF!</v>
      </c>
      <c r="B32" s="3" t="e">
        <f>VLOOKUP(#REF!,'[1]Listas Desplegables'!$H$3:$J$7,3,FALSE)</f>
        <v>#REF!</v>
      </c>
      <c r="C32" s="8">
        <v>27</v>
      </c>
      <c r="D32" s="12" t="s">
        <v>645</v>
      </c>
      <c r="E32" s="12" t="s">
        <v>645</v>
      </c>
      <c r="F32" s="9">
        <v>34.5</v>
      </c>
      <c r="G32" s="12" t="s">
        <v>209</v>
      </c>
      <c r="H32" s="12" t="s">
        <v>468</v>
      </c>
      <c r="I32" s="9" t="s">
        <v>113</v>
      </c>
      <c r="J32" s="60"/>
      <c r="K32" s="186">
        <v>3.9460000000000002</v>
      </c>
      <c r="L32" s="186">
        <v>1.71</v>
      </c>
      <c r="M32" s="186">
        <v>4.0880000000000001</v>
      </c>
      <c r="N32" s="186">
        <v>1.44</v>
      </c>
      <c r="O32" s="186">
        <v>4.0880000000000001</v>
      </c>
      <c r="P32" s="186">
        <v>1.44</v>
      </c>
      <c r="Q32" s="81"/>
      <c r="R32" s="81"/>
      <c r="S32" s="81"/>
      <c r="T32" s="81"/>
      <c r="U32" s="81"/>
      <c r="V32" s="81"/>
      <c r="W32" s="81"/>
      <c r="X32" s="81"/>
      <c r="Y32" s="81"/>
      <c r="Z32" s="25"/>
    </row>
    <row r="33" spans="1:26" x14ac:dyDescent="0.3">
      <c r="A33" s="3" t="e">
        <f>VLOOKUP(#REF!,'[1]Listas Desplegables'!$H$3:$J$7,2,FALSE)</f>
        <v>#REF!</v>
      </c>
      <c r="B33" s="3" t="e">
        <f>VLOOKUP(#REF!,'[1]Listas Desplegables'!$H$3:$J$7,3,FALSE)</f>
        <v>#REF!</v>
      </c>
      <c r="C33" s="8">
        <v>28</v>
      </c>
      <c r="D33" s="12" t="s">
        <v>780</v>
      </c>
      <c r="E33" s="12" t="s">
        <v>780</v>
      </c>
      <c r="F33" s="9">
        <v>34.5</v>
      </c>
      <c r="G33" s="12" t="s">
        <v>209</v>
      </c>
      <c r="H33" s="12" t="s">
        <v>468</v>
      </c>
      <c r="I33" s="9" t="s">
        <v>113</v>
      </c>
      <c r="J33" s="60"/>
      <c r="K33" s="186">
        <v>0.37849789726027366</v>
      </c>
      <c r="L33" s="186">
        <v>0.23457192892453374</v>
      </c>
      <c r="M33" s="186">
        <v>0.4382623232876714</v>
      </c>
      <c r="N33" s="186">
        <v>0.27161059359292433</v>
      </c>
      <c r="O33" s="186">
        <v>0.4382623232876714</v>
      </c>
      <c r="P33" s="186">
        <v>0.27161059359292433</v>
      </c>
      <c r="Q33" s="81"/>
      <c r="R33" s="81"/>
      <c r="S33" s="81"/>
      <c r="T33" s="81"/>
      <c r="U33" s="81"/>
      <c r="V33" s="81"/>
      <c r="W33" s="81"/>
      <c r="X33" s="81"/>
      <c r="Y33" s="81"/>
      <c r="Z33" s="25"/>
    </row>
    <row r="34" spans="1:26" x14ac:dyDescent="0.3">
      <c r="A34" s="3" t="e">
        <f>VLOOKUP(#REF!,'[1]Listas Desplegables'!$H$3:$J$7,2,FALSE)</f>
        <v>#REF!</v>
      </c>
      <c r="B34" s="3" t="e">
        <f>VLOOKUP(#REF!,'[1]Listas Desplegables'!$H$3:$J$7,3,FALSE)</f>
        <v>#REF!</v>
      </c>
      <c r="C34" s="8">
        <v>29</v>
      </c>
      <c r="D34" s="12" t="s">
        <v>776</v>
      </c>
      <c r="E34" s="12" t="s">
        <v>776</v>
      </c>
      <c r="F34" s="9">
        <v>34.5</v>
      </c>
      <c r="G34" s="12" t="s">
        <v>209</v>
      </c>
      <c r="H34" s="12" t="s">
        <v>468</v>
      </c>
      <c r="I34" s="9" t="s">
        <v>113</v>
      </c>
      <c r="J34" s="60"/>
      <c r="K34" s="186">
        <v>3.0139999999999998</v>
      </c>
      <c r="L34" s="186">
        <v>1.5009999999999999</v>
      </c>
      <c r="M34" s="186">
        <v>2.7130000000000001</v>
      </c>
      <c r="N34" s="186">
        <v>1.0860000000000001</v>
      </c>
      <c r="O34" s="186">
        <v>4.7130000000000001</v>
      </c>
      <c r="P34" s="186">
        <v>2.31</v>
      </c>
      <c r="Q34" s="81"/>
      <c r="R34" s="81"/>
      <c r="S34" s="81"/>
      <c r="T34" s="81"/>
      <c r="U34" s="81"/>
      <c r="V34" s="81"/>
      <c r="W34" s="81"/>
      <c r="X34" s="81"/>
      <c r="Y34" s="81"/>
      <c r="Z34" s="25"/>
    </row>
    <row r="35" spans="1:26" x14ac:dyDescent="0.3">
      <c r="A35" s="3" t="e">
        <f>VLOOKUP(#REF!,'[1]Listas Desplegables'!$H$3:$J$7,2,FALSE)</f>
        <v>#REF!</v>
      </c>
      <c r="B35" s="3" t="e">
        <f>VLOOKUP(#REF!,'[1]Listas Desplegables'!$H$3:$J$7,3,FALSE)</f>
        <v>#REF!</v>
      </c>
      <c r="C35" s="7">
        <v>30</v>
      </c>
      <c r="D35" s="12" t="s">
        <v>835</v>
      </c>
      <c r="E35" s="12" t="s">
        <v>468</v>
      </c>
      <c r="F35" s="9">
        <v>34.5</v>
      </c>
      <c r="G35" s="12" t="s">
        <v>209</v>
      </c>
      <c r="H35" s="12" t="s">
        <v>468</v>
      </c>
      <c r="I35" s="9" t="s">
        <v>113</v>
      </c>
      <c r="J35" s="60"/>
      <c r="K35" s="186">
        <v>4.2889999999999997</v>
      </c>
      <c r="L35" s="186">
        <v>1.4950000000000001</v>
      </c>
      <c r="M35" s="186">
        <v>4.8490000000000002</v>
      </c>
      <c r="N35" s="186">
        <v>1.423</v>
      </c>
      <c r="O35" s="186">
        <v>5.8</v>
      </c>
      <c r="P35" s="186">
        <v>1.5</v>
      </c>
      <c r="Q35" s="81"/>
      <c r="R35" s="81"/>
      <c r="S35" s="81"/>
      <c r="T35" s="81"/>
      <c r="U35" s="81"/>
      <c r="V35" s="81"/>
      <c r="W35" s="81"/>
      <c r="X35" s="81"/>
      <c r="Y35" s="81"/>
      <c r="Z35" s="25"/>
    </row>
    <row r="36" spans="1:26" x14ac:dyDescent="0.3">
      <c r="A36" s="3" t="e">
        <f>VLOOKUP(#REF!,'[1]Listas Desplegables'!$H$3:$J$7,2,FALSE)</f>
        <v>#REF!</v>
      </c>
      <c r="B36" s="3" t="e">
        <f>VLOOKUP(#REF!,'[1]Listas Desplegables'!$H$3:$J$7,3,FALSE)</f>
        <v>#REF!</v>
      </c>
      <c r="C36" s="8">
        <v>31</v>
      </c>
      <c r="D36" s="12" t="s">
        <v>836</v>
      </c>
      <c r="E36" s="12" t="s">
        <v>468</v>
      </c>
      <c r="F36" s="9">
        <v>34.5</v>
      </c>
      <c r="G36" s="12" t="s">
        <v>209</v>
      </c>
      <c r="H36" s="12" t="s">
        <v>468</v>
      </c>
      <c r="I36" s="9" t="s">
        <v>113</v>
      </c>
      <c r="J36" s="60"/>
      <c r="K36" s="186">
        <v>5.125</v>
      </c>
      <c r="L36" s="186">
        <v>2.0099999999999998</v>
      </c>
      <c r="M36" s="186">
        <v>5.335</v>
      </c>
      <c r="N36" s="186">
        <v>2.0590000000000002</v>
      </c>
      <c r="O36" s="186">
        <v>7.24</v>
      </c>
      <c r="P36" s="186">
        <v>2.8</v>
      </c>
      <c r="Q36" s="81"/>
      <c r="R36" s="81"/>
      <c r="S36" s="81"/>
      <c r="T36" s="81"/>
      <c r="U36" s="81"/>
      <c r="V36" s="81"/>
      <c r="W36" s="81"/>
      <c r="X36" s="81"/>
      <c r="Y36" s="81"/>
      <c r="Z36" s="25"/>
    </row>
    <row r="37" spans="1:26" x14ac:dyDescent="0.3">
      <c r="A37" s="3" t="e">
        <f>VLOOKUP(#REF!,'[1]Listas Desplegables'!$H$3:$J$7,2,FALSE)</f>
        <v>#REF!</v>
      </c>
      <c r="B37" s="3" t="e">
        <f>VLOOKUP(#REF!,'[1]Listas Desplegables'!$H$3:$J$7,3,FALSE)</f>
        <v>#REF!</v>
      </c>
      <c r="C37" s="8">
        <v>32</v>
      </c>
      <c r="D37" s="12" t="s">
        <v>568</v>
      </c>
      <c r="E37" s="12" t="s">
        <v>568</v>
      </c>
      <c r="F37" s="9">
        <v>34.5</v>
      </c>
      <c r="G37" s="12" t="s">
        <v>209</v>
      </c>
      <c r="H37" s="12" t="s">
        <v>468</v>
      </c>
      <c r="I37" s="9" t="s">
        <v>113</v>
      </c>
      <c r="J37" s="60"/>
      <c r="K37" s="186">
        <v>0.90255542465755501</v>
      </c>
      <c r="L37" s="186">
        <v>0.55935361452652765</v>
      </c>
      <c r="M37" s="186">
        <v>1.0748474630136997</v>
      </c>
      <c r="N37" s="186">
        <v>0.66613062984967819</v>
      </c>
      <c r="O37" s="186">
        <v>1.0748474630136997</v>
      </c>
      <c r="P37" s="186">
        <v>0.66613062984967819</v>
      </c>
      <c r="Q37" s="81"/>
      <c r="R37" s="81"/>
      <c r="S37" s="81"/>
      <c r="T37" s="81"/>
      <c r="U37" s="81"/>
      <c r="V37" s="81"/>
      <c r="W37" s="81"/>
      <c r="X37" s="81"/>
      <c r="Y37" s="81"/>
      <c r="Z37" s="25"/>
    </row>
    <row r="38" spans="1:26" x14ac:dyDescent="0.3">
      <c r="A38" s="3" t="e">
        <f>VLOOKUP(#REF!,'[1]Listas Desplegables'!$H$3:$J$7,2,FALSE)</f>
        <v>#REF!</v>
      </c>
      <c r="B38" s="3" t="e">
        <f>VLOOKUP(#REF!,'[1]Listas Desplegables'!$H$3:$J$7,3,FALSE)</f>
        <v>#REF!</v>
      </c>
      <c r="C38" s="8">
        <v>33</v>
      </c>
      <c r="D38" s="12" t="s">
        <v>837</v>
      </c>
      <c r="E38" s="12" t="s">
        <v>468</v>
      </c>
      <c r="F38" s="9">
        <v>34.5</v>
      </c>
      <c r="G38" s="12" t="s">
        <v>0</v>
      </c>
      <c r="H38" s="12" t="s">
        <v>468</v>
      </c>
      <c r="I38" s="9" t="s">
        <v>113</v>
      </c>
      <c r="J38" s="60"/>
      <c r="K38" s="186">
        <v>4.3365277777777773E-2</v>
      </c>
      <c r="L38" s="186">
        <v>6.4416666666666667E-3</v>
      </c>
      <c r="M38" s="186">
        <v>4.3365277777777773E-2</v>
      </c>
      <c r="N38" s="186">
        <v>6.4416666666666667E-3</v>
      </c>
      <c r="O38" s="186">
        <v>4.3365277777777773E-2</v>
      </c>
      <c r="P38" s="186">
        <v>6.4416666666666667E-3</v>
      </c>
      <c r="Q38" s="81"/>
      <c r="R38" s="81"/>
      <c r="S38" s="81"/>
      <c r="T38" s="81"/>
      <c r="U38" s="81"/>
      <c r="V38" s="81"/>
      <c r="W38" s="81"/>
      <c r="X38" s="81"/>
      <c r="Y38" s="81"/>
      <c r="Z38" s="25"/>
    </row>
    <row r="39" spans="1:26" x14ac:dyDescent="0.3">
      <c r="A39" s="3" t="e">
        <f>VLOOKUP(#REF!,'[1]Listas Desplegables'!$H$3:$J$7,2,FALSE)</f>
        <v>#REF!</v>
      </c>
      <c r="B39" s="3" t="e">
        <f>VLOOKUP(#REF!,'[1]Listas Desplegables'!$H$3:$J$7,3,FALSE)</f>
        <v>#REF!</v>
      </c>
      <c r="C39" s="8">
        <v>34</v>
      </c>
      <c r="D39" s="12" t="s">
        <v>838</v>
      </c>
      <c r="E39" s="12" t="s">
        <v>468</v>
      </c>
      <c r="F39" s="9">
        <v>34.5</v>
      </c>
      <c r="G39" s="12" t="s">
        <v>0</v>
      </c>
      <c r="H39" s="12" t="s">
        <v>468</v>
      </c>
      <c r="I39" s="9" t="s">
        <v>113</v>
      </c>
      <c r="J39" s="60"/>
      <c r="K39" s="186">
        <v>0.1090986111111111</v>
      </c>
      <c r="L39" s="186">
        <v>1.6666666666666667E-5</v>
      </c>
      <c r="M39" s="186">
        <v>0.1090986111111111</v>
      </c>
      <c r="N39" s="186">
        <v>1.6666666666666667E-5</v>
      </c>
      <c r="O39" s="186">
        <v>0.1090986111111111</v>
      </c>
      <c r="P39" s="186">
        <v>1.6666666666666667E-5</v>
      </c>
      <c r="Q39" s="81"/>
      <c r="R39" s="81"/>
      <c r="S39" s="81"/>
      <c r="T39" s="81"/>
      <c r="U39" s="81"/>
      <c r="V39" s="81"/>
      <c r="W39" s="81"/>
      <c r="X39" s="81"/>
      <c r="Y39" s="81"/>
      <c r="Z39" s="25"/>
    </row>
    <row r="40" spans="1:26" x14ac:dyDescent="0.3">
      <c r="A40" s="3" t="e">
        <f>VLOOKUP(#REF!,'[1]Listas Desplegables'!$H$3:$J$7,2,FALSE)</f>
        <v>#REF!</v>
      </c>
      <c r="B40" s="3" t="e">
        <f>VLOOKUP(#REF!,'[1]Listas Desplegables'!$H$3:$J$7,3,FALSE)</f>
        <v>#REF!</v>
      </c>
      <c r="C40" s="8">
        <v>35</v>
      </c>
      <c r="D40" s="12" t="s">
        <v>839</v>
      </c>
      <c r="E40" s="12" t="s">
        <v>468</v>
      </c>
      <c r="F40" s="9">
        <v>34.5</v>
      </c>
      <c r="G40" s="12" t="s">
        <v>0</v>
      </c>
      <c r="H40" s="12" t="s">
        <v>468</v>
      </c>
      <c r="I40" s="9" t="s">
        <v>113</v>
      </c>
      <c r="J40" s="60"/>
      <c r="K40" s="186">
        <v>7.9531944444444439E-5</v>
      </c>
      <c r="L40" s="186">
        <v>0</v>
      </c>
      <c r="M40" s="186">
        <v>7.9531944444444439E-5</v>
      </c>
      <c r="N40" s="186">
        <v>0</v>
      </c>
      <c r="O40" s="186">
        <v>7.9531944444444439E-5</v>
      </c>
      <c r="P40" s="186">
        <v>0</v>
      </c>
      <c r="Q40" s="81"/>
      <c r="R40" s="81"/>
      <c r="S40" s="81"/>
      <c r="T40" s="81"/>
      <c r="U40" s="81"/>
      <c r="V40" s="81"/>
      <c r="W40" s="81"/>
      <c r="X40" s="81"/>
      <c r="Y40" s="81"/>
      <c r="Z40" s="25"/>
    </row>
    <row r="41" spans="1:26" x14ac:dyDescent="0.3">
      <c r="A41" s="3" t="e">
        <f>VLOOKUP(#REF!,'[1]Listas Desplegables'!$H$3:$J$7,2,FALSE)</f>
        <v>#REF!</v>
      </c>
      <c r="B41" s="3" t="e">
        <f>VLOOKUP(#REF!,'[1]Listas Desplegables'!$H$3:$J$7,3,FALSE)</f>
        <v>#REF!</v>
      </c>
      <c r="C41" s="8">
        <v>36</v>
      </c>
      <c r="D41" s="12" t="s">
        <v>497</v>
      </c>
      <c r="E41" s="12" t="s">
        <v>497</v>
      </c>
      <c r="F41" s="9">
        <v>34.5</v>
      </c>
      <c r="G41" s="12" t="s">
        <v>209</v>
      </c>
      <c r="H41" s="12" t="s">
        <v>468</v>
      </c>
      <c r="I41" s="9" t="s">
        <v>113</v>
      </c>
      <c r="J41" s="60"/>
      <c r="K41" s="186">
        <v>3.798</v>
      </c>
      <c r="L41" s="186">
        <v>1.4159999999999999</v>
      </c>
      <c r="M41" s="186">
        <v>4.0359999999999996</v>
      </c>
      <c r="N41" s="186">
        <v>1.2430000000000001</v>
      </c>
      <c r="O41" s="186">
        <v>4.95</v>
      </c>
      <c r="P41" s="186">
        <v>2.39</v>
      </c>
      <c r="Q41" s="81"/>
      <c r="R41" s="81"/>
      <c r="S41" s="81"/>
      <c r="T41" s="81"/>
      <c r="U41" s="81"/>
      <c r="V41" s="81"/>
      <c r="W41" s="81"/>
      <c r="X41" s="81"/>
      <c r="Y41" s="81"/>
      <c r="Z41" s="25"/>
    </row>
    <row r="42" spans="1:26" x14ac:dyDescent="0.3">
      <c r="A42" s="3" t="e">
        <f>VLOOKUP(#REF!,'[1]Listas Desplegables'!$H$3:$J$7,2,FALSE)</f>
        <v>#REF!</v>
      </c>
      <c r="B42" s="3" t="e">
        <f>VLOOKUP(#REF!,'[1]Listas Desplegables'!$H$3:$J$7,3,FALSE)</f>
        <v>#REF!</v>
      </c>
      <c r="C42" s="8">
        <v>37</v>
      </c>
      <c r="D42" s="12" t="s">
        <v>540</v>
      </c>
      <c r="E42" s="12" t="s">
        <v>540</v>
      </c>
      <c r="F42" s="9">
        <v>34.5</v>
      </c>
      <c r="G42" s="12" t="s">
        <v>209</v>
      </c>
      <c r="H42" s="12" t="s">
        <v>468</v>
      </c>
      <c r="I42" s="9" t="s">
        <v>113</v>
      </c>
      <c r="J42" s="60"/>
      <c r="K42" s="186">
        <v>0.81035954794520626</v>
      </c>
      <c r="L42" s="186">
        <v>0.5022157419099389</v>
      </c>
      <c r="M42" s="186">
        <v>0.98653739178082334</v>
      </c>
      <c r="N42" s="186">
        <v>0.6114009631791284</v>
      </c>
      <c r="O42" s="186">
        <v>0.98653739178082334</v>
      </c>
      <c r="P42" s="186">
        <v>0.6114009631791284</v>
      </c>
      <c r="Q42" s="81"/>
      <c r="R42" s="81"/>
      <c r="S42" s="81"/>
      <c r="T42" s="81"/>
      <c r="U42" s="81"/>
      <c r="V42" s="81"/>
      <c r="W42" s="81"/>
      <c r="X42" s="81"/>
      <c r="Y42" s="81"/>
      <c r="Z42" s="25"/>
    </row>
    <row r="43" spans="1:26" x14ac:dyDescent="0.3">
      <c r="A43" s="3" t="e">
        <f>VLOOKUP(#REF!,'[1]Listas Desplegables'!$H$3:$J$7,2,FALSE)</f>
        <v>#REF!</v>
      </c>
      <c r="B43" s="3" t="e">
        <f>VLOOKUP(#REF!,'[1]Listas Desplegables'!$H$3:$J$7,3,FALSE)</f>
        <v>#REF!</v>
      </c>
      <c r="C43" s="8">
        <v>38</v>
      </c>
      <c r="D43" s="12" t="s">
        <v>383</v>
      </c>
      <c r="E43" s="12" t="s">
        <v>383</v>
      </c>
      <c r="F43" s="12">
        <v>34.5</v>
      </c>
      <c r="G43" s="12" t="s">
        <v>209</v>
      </c>
      <c r="H43" s="12" t="s">
        <v>395</v>
      </c>
      <c r="I43" s="9" t="s">
        <v>113</v>
      </c>
      <c r="J43" s="60"/>
      <c r="K43" s="184">
        <v>0.47447430141207486</v>
      </c>
      <c r="L43" s="184">
        <v>0.2139805196442095</v>
      </c>
      <c r="M43" s="184">
        <v>0.52742930712540304</v>
      </c>
      <c r="N43" s="184">
        <v>0.16029532035509222</v>
      </c>
      <c r="O43" s="184">
        <v>1.5220144799999999</v>
      </c>
      <c r="P43" s="184">
        <v>0.7371452565472898</v>
      </c>
      <c r="Q43" s="81"/>
      <c r="R43" s="81"/>
      <c r="S43" s="81"/>
      <c r="T43" s="81"/>
      <c r="U43" s="81"/>
      <c r="V43" s="81"/>
      <c r="W43" s="81"/>
      <c r="X43" s="81"/>
      <c r="Y43" s="81"/>
      <c r="Z43" s="25"/>
    </row>
    <row r="44" spans="1:26" x14ac:dyDescent="0.3">
      <c r="A44" s="3" t="e">
        <f>VLOOKUP(#REF!,'[1]Listas Desplegables'!$H$3:$J$7,2,FALSE)</f>
        <v>#REF!</v>
      </c>
      <c r="B44" s="3" t="e">
        <f>VLOOKUP(#REF!,'[1]Listas Desplegables'!$H$3:$J$7,3,FALSE)</f>
        <v>#REF!</v>
      </c>
      <c r="C44" s="7">
        <v>39</v>
      </c>
      <c r="D44" s="12" t="s">
        <v>485</v>
      </c>
      <c r="E44" s="12" t="s">
        <v>485</v>
      </c>
      <c r="F44" s="12">
        <v>34.5</v>
      </c>
      <c r="G44" s="12" t="s">
        <v>209</v>
      </c>
      <c r="H44" s="12" t="s">
        <v>395</v>
      </c>
      <c r="I44" s="9" t="s">
        <v>113</v>
      </c>
      <c r="J44" s="60"/>
      <c r="K44" s="184">
        <v>1.7461473902677119E-2</v>
      </c>
      <c r="L44" s="184">
        <v>0.1093020904464474</v>
      </c>
      <c r="M44" s="184">
        <v>1.7466258606167944E-2</v>
      </c>
      <c r="N44" s="184">
        <v>0.10938037255425044</v>
      </c>
      <c r="O44" s="184">
        <v>0.72089999999999999</v>
      </c>
      <c r="P44" s="184">
        <v>0.34914780537760776</v>
      </c>
      <c r="Q44" s="81"/>
      <c r="R44" s="81"/>
      <c r="S44" s="81"/>
      <c r="T44" s="81"/>
      <c r="U44" s="81"/>
      <c r="V44" s="81"/>
      <c r="W44" s="81"/>
      <c r="X44" s="81"/>
      <c r="Y44" s="81"/>
      <c r="Z44" s="25"/>
    </row>
    <row r="45" spans="1:26" x14ac:dyDescent="0.3">
      <c r="A45" s="3" t="e">
        <f>VLOOKUP(#REF!,'[1]Listas Desplegables'!$H$3:$J$7,2,FALSE)</f>
        <v>#REF!</v>
      </c>
      <c r="B45" s="3" t="e">
        <f>VLOOKUP(#REF!,'[1]Listas Desplegables'!$H$3:$J$7,3,FALSE)</f>
        <v>#REF!</v>
      </c>
      <c r="C45" s="11">
        <v>40</v>
      </c>
      <c r="D45" s="12" t="s">
        <v>396</v>
      </c>
      <c r="E45" s="12" t="s">
        <v>396</v>
      </c>
      <c r="F45" s="12">
        <v>34.5</v>
      </c>
      <c r="G45" s="12" t="s">
        <v>209</v>
      </c>
      <c r="H45" s="12" t="s">
        <v>395</v>
      </c>
      <c r="I45" s="9" t="s">
        <v>113</v>
      </c>
      <c r="J45" s="60"/>
      <c r="K45" s="184">
        <v>0.35999948912606172</v>
      </c>
      <c r="L45" s="184">
        <v>0.17201220230734707</v>
      </c>
      <c r="M45" s="184">
        <v>0.42451151867591147</v>
      </c>
      <c r="N45" s="184">
        <v>0.15597257884142582</v>
      </c>
      <c r="O45" s="184">
        <v>0.76122000000000001</v>
      </c>
      <c r="P45" s="184">
        <v>0.36867567264467016</v>
      </c>
      <c r="Q45" s="81"/>
      <c r="R45" s="81"/>
      <c r="S45" s="81"/>
      <c r="T45" s="81"/>
      <c r="U45" s="81"/>
      <c r="V45" s="81"/>
      <c r="W45" s="81"/>
      <c r="X45" s="81"/>
      <c r="Y45" s="81"/>
      <c r="Z45" s="25"/>
    </row>
    <row r="46" spans="1:26" x14ac:dyDescent="0.3">
      <c r="A46" s="3" t="e">
        <f>VLOOKUP(#REF!,'[1]Listas Desplegables'!$H$3:$J$7,2,FALSE)</f>
        <v>#REF!</v>
      </c>
      <c r="B46" s="3" t="e">
        <f>VLOOKUP(#REF!,'[1]Listas Desplegables'!$H$3:$J$7,3,FALSE)</f>
        <v>#REF!</v>
      </c>
      <c r="C46" s="7">
        <v>41</v>
      </c>
      <c r="D46" s="12" t="s">
        <v>495</v>
      </c>
      <c r="E46" s="12" t="s">
        <v>495</v>
      </c>
      <c r="F46" s="12">
        <v>34.5</v>
      </c>
      <c r="G46" s="12" t="s">
        <v>209</v>
      </c>
      <c r="H46" s="12" t="s">
        <v>395</v>
      </c>
      <c r="I46" s="9" t="s">
        <v>113</v>
      </c>
      <c r="J46" s="60"/>
      <c r="K46" s="184">
        <v>7.4690864801049167E-2</v>
      </c>
      <c r="L46" s="184">
        <v>3.1880878942593234E-2</v>
      </c>
      <c r="M46" s="184">
        <v>7.7560500600857826E-2</v>
      </c>
      <c r="N46" s="184">
        <v>2.2134734741532314E-2</v>
      </c>
      <c r="O46" s="184">
        <v>0.63</v>
      </c>
      <c r="P46" s="184">
        <v>0.27</v>
      </c>
      <c r="Q46" s="81"/>
      <c r="R46" s="81"/>
      <c r="S46" s="81"/>
      <c r="T46" s="81"/>
      <c r="U46" s="81"/>
      <c r="V46" s="81"/>
      <c r="W46" s="81"/>
      <c r="X46" s="81"/>
      <c r="Y46" s="81"/>
      <c r="Z46" s="25"/>
    </row>
    <row r="47" spans="1:26" x14ac:dyDescent="0.3">
      <c r="A47" s="3" t="e">
        <f>VLOOKUP(#REF!,'[1]Listas Desplegables'!$H$3:$J$7,2,FALSE)</f>
        <v>#REF!</v>
      </c>
      <c r="B47" s="3" t="e">
        <f>VLOOKUP(#REF!,'[1]Listas Desplegables'!$H$3:$J$7,3,FALSE)</f>
        <v>#REF!</v>
      </c>
      <c r="C47" s="8">
        <v>42</v>
      </c>
      <c r="D47" s="12" t="s">
        <v>478</v>
      </c>
      <c r="E47" s="12" t="s">
        <v>478</v>
      </c>
      <c r="F47" s="12">
        <v>34.5</v>
      </c>
      <c r="G47" s="12" t="s">
        <v>209</v>
      </c>
      <c r="H47" s="12" t="s">
        <v>395</v>
      </c>
      <c r="I47" s="9" t="s">
        <v>113</v>
      </c>
      <c r="J47" s="60"/>
      <c r="K47" s="184">
        <v>5.8252333973903558E-2</v>
      </c>
      <c r="L47" s="184">
        <v>0.12235530059424807</v>
      </c>
      <c r="M47" s="184">
        <v>5.0663207336166888E-2</v>
      </c>
      <c r="N47" s="184">
        <v>0.13865111831805793</v>
      </c>
      <c r="O47" s="184">
        <v>1.5775125000000001</v>
      </c>
      <c r="P47" s="184">
        <v>0.76402417440802284</v>
      </c>
      <c r="Q47" s="81"/>
      <c r="R47" s="81"/>
      <c r="S47" s="81"/>
      <c r="T47" s="81"/>
      <c r="U47" s="81"/>
      <c r="V47" s="81"/>
      <c r="W47" s="81"/>
      <c r="X47" s="81"/>
      <c r="Y47" s="81"/>
      <c r="Z47" s="25"/>
    </row>
    <row r="48" spans="1:26" x14ac:dyDescent="0.3">
      <c r="A48" s="3" t="e">
        <f>VLOOKUP(#REF!,'[1]Listas Desplegables'!$H$3:$J$7,2,FALSE)</f>
        <v>#REF!</v>
      </c>
      <c r="B48" s="3" t="e">
        <f>VLOOKUP(#REF!,'[1]Listas Desplegables'!$H$3:$J$7,3,FALSE)</f>
        <v>#REF!</v>
      </c>
      <c r="C48" s="8">
        <v>43</v>
      </c>
      <c r="D48" s="12" t="s">
        <v>398</v>
      </c>
      <c r="E48" s="12" t="s">
        <v>398</v>
      </c>
      <c r="F48" s="12">
        <v>34.5</v>
      </c>
      <c r="G48" s="12" t="s">
        <v>209</v>
      </c>
      <c r="H48" s="12" t="s">
        <v>395</v>
      </c>
      <c r="I48" s="9" t="s">
        <v>113</v>
      </c>
      <c r="J48" s="60"/>
      <c r="K48" s="184">
        <v>2.3889999999999998</v>
      </c>
      <c r="L48" s="184">
        <v>0.999</v>
      </c>
      <c r="M48" s="184">
        <v>2.859</v>
      </c>
      <c r="N48" s="184">
        <v>0.88800000000000001</v>
      </c>
      <c r="O48" s="184">
        <v>5.3</v>
      </c>
      <c r="P48" s="184">
        <v>2.31</v>
      </c>
      <c r="Q48" s="81"/>
      <c r="R48" s="81"/>
      <c r="S48" s="81"/>
      <c r="T48" s="81"/>
      <c r="U48" s="81"/>
      <c r="V48" s="81"/>
      <c r="W48" s="81"/>
      <c r="X48" s="81"/>
      <c r="Y48" s="81"/>
      <c r="Z48" s="25"/>
    </row>
    <row r="49" spans="1:26" x14ac:dyDescent="0.3">
      <c r="A49" s="3" t="e">
        <f>VLOOKUP(#REF!,'[1]Listas Desplegables'!$H$3:$J$7,2,FALSE)</f>
        <v>#REF!</v>
      </c>
      <c r="B49" s="3" t="e">
        <f>VLOOKUP(#REF!,'[1]Listas Desplegables'!$H$3:$J$7,3,FALSE)</f>
        <v>#REF!</v>
      </c>
      <c r="C49" s="8">
        <v>44</v>
      </c>
      <c r="D49" s="12" t="s">
        <v>765</v>
      </c>
      <c r="E49" s="12" t="s">
        <v>765</v>
      </c>
      <c r="F49" s="12">
        <v>34.5</v>
      </c>
      <c r="G49" s="12" t="s">
        <v>209</v>
      </c>
      <c r="H49" s="12" t="s">
        <v>490</v>
      </c>
      <c r="I49" s="9" t="s">
        <v>113</v>
      </c>
      <c r="J49" s="60"/>
      <c r="K49" s="184">
        <v>0</v>
      </c>
      <c r="L49" s="184">
        <v>0</v>
      </c>
      <c r="M49" s="184">
        <v>0</v>
      </c>
      <c r="N49" s="184">
        <v>0</v>
      </c>
      <c r="O49" s="184">
        <v>0</v>
      </c>
      <c r="P49" s="184">
        <v>0</v>
      </c>
      <c r="Q49" s="81"/>
      <c r="R49" s="81"/>
      <c r="S49" s="81"/>
      <c r="T49" s="81"/>
      <c r="U49" s="81"/>
      <c r="V49" s="81"/>
      <c r="W49" s="81"/>
      <c r="X49" s="81"/>
      <c r="Y49" s="81"/>
      <c r="Z49" s="25"/>
    </row>
    <row r="50" spans="1:26" x14ac:dyDescent="0.3">
      <c r="A50" s="3" t="e">
        <f>VLOOKUP(#REF!,'[1]Listas Desplegables'!$H$3:$J$7,2,FALSE)</f>
        <v>#REF!</v>
      </c>
      <c r="B50" s="3" t="e">
        <f>VLOOKUP(#REF!,'[1]Listas Desplegables'!$H$3:$J$7,3,FALSE)</f>
        <v>#REF!</v>
      </c>
      <c r="C50" s="8">
        <v>45</v>
      </c>
      <c r="D50" s="12" t="s">
        <v>490</v>
      </c>
      <c r="E50" s="12" t="s">
        <v>490</v>
      </c>
      <c r="F50" s="12">
        <v>34.5</v>
      </c>
      <c r="G50" s="12" t="s">
        <v>209</v>
      </c>
      <c r="H50" s="12" t="s">
        <v>490</v>
      </c>
      <c r="I50" s="9" t="s">
        <v>113</v>
      </c>
      <c r="J50" s="60"/>
      <c r="K50" s="184">
        <v>0</v>
      </c>
      <c r="L50" s="184">
        <v>0</v>
      </c>
      <c r="M50" s="184">
        <v>0</v>
      </c>
      <c r="N50" s="184">
        <v>0</v>
      </c>
      <c r="O50" s="184">
        <v>0</v>
      </c>
      <c r="P50" s="184">
        <v>0</v>
      </c>
      <c r="Q50" s="81"/>
      <c r="R50" s="81"/>
      <c r="S50" s="81"/>
      <c r="T50" s="81"/>
      <c r="U50" s="81"/>
      <c r="V50" s="81"/>
      <c r="W50" s="81"/>
      <c r="X50" s="81"/>
      <c r="Y50" s="81"/>
      <c r="Z50" s="25"/>
    </row>
    <row r="51" spans="1:26" x14ac:dyDescent="0.3">
      <c r="A51" s="3" t="e">
        <f>VLOOKUP(#REF!,'[1]Listas Desplegables'!$H$3:$J$7,2,FALSE)</f>
        <v>#REF!</v>
      </c>
      <c r="B51" s="3" t="e">
        <f>VLOOKUP(#REF!,'[1]Listas Desplegables'!$H$3:$J$7,3,FALSE)</f>
        <v>#REF!</v>
      </c>
      <c r="C51" s="8">
        <v>46</v>
      </c>
      <c r="D51" s="12" t="s">
        <v>636</v>
      </c>
      <c r="E51" s="12" t="s">
        <v>636</v>
      </c>
      <c r="F51" s="12">
        <v>34.5</v>
      </c>
      <c r="G51" s="12" t="s">
        <v>209</v>
      </c>
      <c r="H51" s="12" t="s">
        <v>490</v>
      </c>
      <c r="I51" s="9" t="s">
        <v>113</v>
      </c>
      <c r="J51" s="60"/>
      <c r="K51" s="184">
        <v>0</v>
      </c>
      <c r="L51" s="184">
        <v>0</v>
      </c>
      <c r="M51" s="184">
        <v>0</v>
      </c>
      <c r="N51" s="184">
        <v>0</v>
      </c>
      <c r="O51" s="184">
        <v>0</v>
      </c>
      <c r="P51" s="184">
        <v>0</v>
      </c>
      <c r="Q51" s="81"/>
      <c r="R51" s="81"/>
      <c r="S51" s="81"/>
      <c r="T51" s="81"/>
      <c r="U51" s="81"/>
      <c r="V51" s="81"/>
      <c r="W51" s="81"/>
      <c r="X51" s="81"/>
      <c r="Y51" s="81"/>
      <c r="Z51" s="25"/>
    </row>
    <row r="52" spans="1:26" x14ac:dyDescent="0.3">
      <c r="A52" s="3" t="e">
        <f>VLOOKUP(#REF!,'[1]Listas Desplegables'!$H$3:$J$7,2,FALSE)</f>
        <v>#REF!</v>
      </c>
      <c r="B52" s="3" t="e">
        <f>VLOOKUP(#REF!,'[1]Listas Desplegables'!$H$3:$J$7,3,FALSE)</f>
        <v>#REF!</v>
      </c>
      <c r="C52" s="8">
        <v>47</v>
      </c>
      <c r="D52" s="12" t="s">
        <v>493</v>
      </c>
      <c r="E52" s="12" t="s">
        <v>493</v>
      </c>
      <c r="F52" s="12">
        <v>34.5</v>
      </c>
      <c r="G52" s="12" t="s">
        <v>209</v>
      </c>
      <c r="H52" s="12" t="s">
        <v>490</v>
      </c>
      <c r="I52" s="9" t="s">
        <v>113</v>
      </c>
      <c r="J52" s="60"/>
      <c r="K52" s="184">
        <v>3.74</v>
      </c>
      <c r="L52" s="184">
        <v>1.54</v>
      </c>
      <c r="M52" s="184">
        <v>4.58</v>
      </c>
      <c r="N52" s="184">
        <v>1.41</v>
      </c>
      <c r="O52" s="184">
        <v>3.96</v>
      </c>
      <c r="P52" s="184">
        <v>1.91</v>
      </c>
      <c r="Q52" s="81"/>
      <c r="R52" s="81"/>
      <c r="S52" s="81"/>
      <c r="T52" s="81"/>
      <c r="U52" s="81"/>
      <c r="V52" s="81"/>
      <c r="W52" s="81"/>
      <c r="X52" s="81"/>
      <c r="Y52" s="81"/>
      <c r="Z52" s="25"/>
    </row>
    <row r="53" spans="1:26" x14ac:dyDescent="0.3">
      <c r="A53" s="3" t="e">
        <f>VLOOKUP(#REF!,'[1]Listas Desplegables'!$H$3:$J$7,2,FALSE)</f>
        <v>#REF!</v>
      </c>
      <c r="B53" s="3" t="e">
        <f>VLOOKUP(#REF!,'[1]Listas Desplegables'!$H$3:$J$7,3,FALSE)</f>
        <v>#REF!</v>
      </c>
      <c r="C53" s="8">
        <v>48</v>
      </c>
      <c r="D53" s="12" t="s">
        <v>641</v>
      </c>
      <c r="E53" s="12" t="s">
        <v>641</v>
      </c>
      <c r="F53" s="12">
        <v>34.5</v>
      </c>
      <c r="G53" s="12" t="s">
        <v>209</v>
      </c>
      <c r="H53" s="12" t="s">
        <v>490</v>
      </c>
      <c r="I53" s="9" t="s">
        <v>113</v>
      </c>
      <c r="J53" s="60"/>
      <c r="K53" s="184">
        <v>1.091</v>
      </c>
      <c r="L53" s="184">
        <v>0.44700000000000001</v>
      </c>
      <c r="M53" s="184">
        <v>1.38</v>
      </c>
      <c r="N53" s="184">
        <v>0.42399999999999999</v>
      </c>
      <c r="O53" s="184">
        <v>6.55</v>
      </c>
      <c r="P53" s="184">
        <v>3.17</v>
      </c>
      <c r="Q53" s="81"/>
      <c r="R53" s="81"/>
      <c r="S53" s="81"/>
      <c r="T53" s="81"/>
      <c r="U53" s="81"/>
      <c r="V53" s="81"/>
      <c r="W53" s="81"/>
      <c r="X53" s="81"/>
      <c r="Y53" s="81"/>
      <c r="Z53" s="25"/>
    </row>
    <row r="54" spans="1:26" x14ac:dyDescent="0.3">
      <c r="A54" s="3" t="e">
        <f>VLOOKUP(#REF!,'[1]Listas Desplegables'!$H$3:$J$7,2,FALSE)</f>
        <v>#REF!</v>
      </c>
      <c r="B54" s="3" t="e">
        <f>VLOOKUP(#REF!,'[1]Listas Desplegables'!$H$3:$J$7,3,FALSE)</f>
        <v>#REF!</v>
      </c>
      <c r="C54" s="8">
        <v>49</v>
      </c>
      <c r="D54" s="12" t="s">
        <v>491</v>
      </c>
      <c r="E54" s="12" t="s">
        <v>491</v>
      </c>
      <c r="F54" s="12">
        <v>34.5</v>
      </c>
      <c r="G54" s="12" t="s">
        <v>0</v>
      </c>
      <c r="H54" s="12" t="s">
        <v>490</v>
      </c>
      <c r="I54" s="9" t="s">
        <v>113</v>
      </c>
      <c r="J54" s="60"/>
      <c r="K54" s="184">
        <v>1.1539999999999999</v>
      </c>
      <c r="L54" s="184">
        <v>0.41499999999999998</v>
      </c>
      <c r="M54" s="184">
        <v>1.272</v>
      </c>
      <c r="N54" s="184">
        <v>0.25600000000000001</v>
      </c>
      <c r="O54" s="184">
        <v>1.37</v>
      </c>
      <c r="P54" s="184">
        <v>0.66</v>
      </c>
      <c r="Q54" s="81"/>
      <c r="R54" s="81"/>
      <c r="S54" s="81"/>
      <c r="T54" s="81"/>
      <c r="U54" s="81"/>
      <c r="V54" s="81"/>
      <c r="W54" s="81"/>
      <c r="X54" s="81"/>
      <c r="Y54" s="81"/>
      <c r="Z54" s="25"/>
    </row>
    <row r="55" spans="1:26" x14ac:dyDescent="0.3">
      <c r="A55" s="3" t="e">
        <f>VLOOKUP(#REF!,'[1]Listas Desplegables'!$H$3:$J$7,2,FALSE)</f>
        <v>#REF!</v>
      </c>
      <c r="B55" s="3" t="e">
        <f>VLOOKUP(#REF!,'[1]Listas Desplegables'!$H$3:$J$7,3,FALSE)</f>
        <v>#REF!</v>
      </c>
      <c r="C55" s="7">
        <v>50</v>
      </c>
      <c r="D55" s="12" t="s">
        <v>767</v>
      </c>
      <c r="E55" s="12" t="s">
        <v>767</v>
      </c>
      <c r="F55" s="12">
        <v>34.5</v>
      </c>
      <c r="G55" s="12" t="s">
        <v>209</v>
      </c>
      <c r="H55" s="12" t="s">
        <v>490</v>
      </c>
      <c r="I55" s="9" t="s">
        <v>113</v>
      </c>
      <c r="J55" s="60"/>
      <c r="K55" s="184">
        <v>5.398972602739722E-3</v>
      </c>
      <c r="L55" s="184">
        <v>3.3459827037414049E-3</v>
      </c>
      <c r="M55" s="184">
        <v>4.7450630136986237E-3</v>
      </c>
      <c r="N55" s="184">
        <v>2.9407259381056842E-3</v>
      </c>
      <c r="O55" s="184">
        <v>4.7450630136986237E-3</v>
      </c>
      <c r="P55" s="184">
        <v>2.9407259381056842E-3</v>
      </c>
      <c r="Q55" s="81"/>
      <c r="R55" s="81"/>
      <c r="S55" s="81"/>
      <c r="T55" s="81"/>
      <c r="U55" s="81"/>
      <c r="V55" s="81"/>
      <c r="W55" s="81"/>
      <c r="X55" s="81"/>
      <c r="Y55" s="81"/>
      <c r="Z55" s="25"/>
    </row>
    <row r="56" spans="1:26" x14ac:dyDescent="0.3">
      <c r="A56" s="3" t="e">
        <f>VLOOKUP(#REF!,'[1]Listas Desplegables'!$H$3:$J$7,2,FALSE)</f>
        <v>#REF!</v>
      </c>
      <c r="B56" s="3" t="e">
        <f>VLOOKUP(#REF!,'[1]Listas Desplegables'!$H$3:$J$7,3,FALSE)</f>
        <v>#REF!</v>
      </c>
      <c r="C56" s="7">
        <v>51</v>
      </c>
      <c r="D56" s="12" t="s">
        <v>840</v>
      </c>
      <c r="E56" s="12" t="s">
        <v>840</v>
      </c>
      <c r="F56" s="12">
        <v>34.5</v>
      </c>
      <c r="G56" s="12" t="s">
        <v>209</v>
      </c>
      <c r="H56" s="12" t="s">
        <v>490</v>
      </c>
      <c r="I56" s="9" t="s">
        <v>113</v>
      </c>
      <c r="J56" s="60"/>
      <c r="K56" s="184">
        <v>2E-3</v>
      </c>
      <c r="L56" s="184">
        <v>1E-3</v>
      </c>
      <c r="M56" s="184">
        <v>2E-3</v>
      </c>
      <c r="N56" s="184">
        <v>1E-3</v>
      </c>
      <c r="O56" s="184">
        <v>2E-3</v>
      </c>
      <c r="P56" s="184">
        <v>1E-3</v>
      </c>
      <c r="Q56" s="81"/>
      <c r="R56" s="81"/>
      <c r="S56" s="81"/>
      <c r="T56" s="81"/>
      <c r="U56" s="81"/>
      <c r="V56" s="81"/>
      <c r="W56" s="81"/>
      <c r="X56" s="81"/>
      <c r="Y56" s="81"/>
      <c r="Z56" s="25"/>
    </row>
    <row r="57" spans="1:26" x14ac:dyDescent="0.3">
      <c r="A57" s="3" t="e">
        <f>VLOOKUP(#REF!,'[1]Listas Desplegables'!$H$3:$J$7,2,FALSE)</f>
        <v>#REF!</v>
      </c>
      <c r="B57" s="3" t="e">
        <f>VLOOKUP(#REF!,'[1]Listas Desplegables'!$H$3:$J$7,3,FALSE)</f>
        <v>#REF!</v>
      </c>
      <c r="C57" s="7">
        <v>52</v>
      </c>
      <c r="D57" s="12" t="s">
        <v>841</v>
      </c>
      <c r="E57" s="12" t="s">
        <v>841</v>
      </c>
      <c r="F57" s="12">
        <v>34.5</v>
      </c>
      <c r="G57" s="12" t="s">
        <v>209</v>
      </c>
      <c r="H57" s="12" t="s">
        <v>490</v>
      </c>
      <c r="I57" s="9" t="s">
        <v>113</v>
      </c>
      <c r="J57" s="60"/>
      <c r="K57" s="184">
        <v>2.6009722222222222E-2</v>
      </c>
      <c r="L57" s="184">
        <v>1.0833333333333333E-4</v>
      </c>
      <c r="M57" s="184">
        <v>2.6009722222222222E-2</v>
      </c>
      <c r="N57" s="184">
        <v>1.0833333333333333E-4</v>
      </c>
      <c r="O57" s="184">
        <v>2.6009722222222222E-2</v>
      </c>
      <c r="P57" s="184">
        <v>1.0833333333333333E-4</v>
      </c>
      <c r="Q57" s="81"/>
      <c r="R57" s="81"/>
      <c r="S57" s="81"/>
      <c r="T57" s="81"/>
      <c r="U57" s="81"/>
      <c r="V57" s="81"/>
      <c r="W57" s="81"/>
      <c r="X57" s="81"/>
      <c r="Y57" s="81"/>
      <c r="Z57" s="25"/>
    </row>
    <row r="58" spans="1:26" x14ac:dyDescent="0.3">
      <c r="C58" s="7">
        <v>53</v>
      </c>
      <c r="D58" s="12" t="s">
        <v>842</v>
      </c>
      <c r="E58" s="12" t="s">
        <v>842</v>
      </c>
      <c r="F58" s="12">
        <v>34.5</v>
      </c>
      <c r="G58" s="12" t="s">
        <v>209</v>
      </c>
      <c r="H58" s="12" t="s">
        <v>490</v>
      </c>
      <c r="I58" s="9" t="s">
        <v>113</v>
      </c>
      <c r="J58" s="60"/>
      <c r="K58" s="184">
        <v>1.1991666666666668E-2</v>
      </c>
      <c r="L58" s="184">
        <v>1.5083333333333335E-3</v>
      </c>
      <c r="M58" s="184">
        <v>1.1991666666666668E-2</v>
      </c>
      <c r="N58" s="184">
        <v>1.5083333333333335E-3</v>
      </c>
      <c r="O58" s="184">
        <v>1.1991666666666668E-2</v>
      </c>
      <c r="P58" s="184">
        <v>1.5083333333333335E-3</v>
      </c>
      <c r="Q58" s="81"/>
      <c r="R58" s="81"/>
      <c r="S58" s="81"/>
      <c r="T58" s="81"/>
      <c r="U58" s="81"/>
      <c r="V58" s="81"/>
      <c r="W58" s="81"/>
      <c r="X58" s="81"/>
      <c r="Y58" s="81"/>
      <c r="Z58" s="25"/>
    </row>
    <row r="59" spans="1:26" x14ac:dyDescent="0.3">
      <c r="C59" s="7">
        <v>54</v>
      </c>
      <c r="D59" s="12" t="s">
        <v>843</v>
      </c>
      <c r="E59" s="12" t="s">
        <v>843</v>
      </c>
      <c r="F59" s="12">
        <v>34.5</v>
      </c>
      <c r="G59" s="12" t="s">
        <v>209</v>
      </c>
      <c r="H59" s="12" t="s">
        <v>490</v>
      </c>
      <c r="I59" s="9" t="s">
        <v>113</v>
      </c>
      <c r="J59" s="60"/>
      <c r="K59" s="184">
        <v>1.5116666666666667E-2</v>
      </c>
      <c r="L59" s="184">
        <v>1.2634722222222221E-2</v>
      </c>
      <c r="M59" s="184">
        <v>1.5116666666666667E-2</v>
      </c>
      <c r="N59" s="184">
        <v>1.2634722222222221E-2</v>
      </c>
      <c r="O59" s="184">
        <v>1.5116666666666667E-2</v>
      </c>
      <c r="P59" s="184">
        <v>1.2634722222222221E-2</v>
      </c>
      <c r="Q59" s="81"/>
      <c r="R59" s="81"/>
      <c r="S59" s="81"/>
      <c r="T59" s="81"/>
      <c r="U59" s="81"/>
      <c r="V59" s="81"/>
      <c r="W59" s="81"/>
      <c r="X59" s="81"/>
      <c r="Y59" s="81"/>
      <c r="Z59" s="25"/>
    </row>
    <row r="60" spans="1:26" x14ac:dyDescent="0.3">
      <c r="C60" s="7">
        <v>55</v>
      </c>
      <c r="D60" s="12" t="s">
        <v>844</v>
      </c>
      <c r="E60" s="12" t="s">
        <v>844</v>
      </c>
      <c r="F60" s="12">
        <v>34.5</v>
      </c>
      <c r="G60" s="12" t="s">
        <v>0</v>
      </c>
      <c r="H60" s="12" t="s">
        <v>490</v>
      </c>
      <c r="I60" s="9" t="s">
        <v>113</v>
      </c>
      <c r="J60" s="60"/>
      <c r="K60" s="184">
        <v>0.11255</v>
      </c>
      <c r="L60" s="184">
        <v>5.5555555555555558E-6</v>
      </c>
      <c r="M60" s="184">
        <v>0.11255</v>
      </c>
      <c r="N60" s="184">
        <v>5.5555555555555558E-6</v>
      </c>
      <c r="O60" s="184">
        <v>0.11255</v>
      </c>
      <c r="P60" s="184">
        <v>5.5555555555555558E-6</v>
      </c>
      <c r="Q60" s="81"/>
      <c r="R60" s="81"/>
      <c r="S60" s="81"/>
      <c r="T60" s="81"/>
      <c r="U60" s="81"/>
      <c r="V60" s="81"/>
      <c r="W60" s="81"/>
      <c r="X60" s="81"/>
      <c r="Y60" s="81"/>
      <c r="Z60" s="25"/>
    </row>
    <row r="61" spans="1:26" x14ac:dyDescent="0.3">
      <c r="C61" s="7">
        <v>56</v>
      </c>
      <c r="D61" s="12" t="s">
        <v>845</v>
      </c>
      <c r="E61" s="12" t="s">
        <v>845</v>
      </c>
      <c r="F61" s="12">
        <v>34.5</v>
      </c>
      <c r="G61" s="12" t="s">
        <v>0</v>
      </c>
      <c r="H61" s="12" t="s">
        <v>490</v>
      </c>
      <c r="I61" s="9" t="s">
        <v>113</v>
      </c>
      <c r="J61" s="60"/>
      <c r="K61" s="184">
        <v>0.71296805555555554</v>
      </c>
      <c r="L61" s="184">
        <v>2.9638888888888888E-2</v>
      </c>
      <c r="M61" s="184">
        <v>0.71296805555555554</v>
      </c>
      <c r="N61" s="184">
        <v>2.9638888888888888E-2</v>
      </c>
      <c r="O61" s="184">
        <v>0.71296805555555554</v>
      </c>
      <c r="P61" s="184">
        <v>2.9638888888888888E-2</v>
      </c>
      <c r="Q61" s="81"/>
      <c r="R61" s="81"/>
      <c r="S61" s="81"/>
      <c r="T61" s="81"/>
      <c r="U61" s="81"/>
      <c r="V61" s="81"/>
      <c r="W61" s="81"/>
      <c r="X61" s="81"/>
      <c r="Y61" s="81"/>
      <c r="Z61" s="25"/>
    </row>
    <row r="62" spans="1:26" x14ac:dyDescent="0.3">
      <c r="C62" s="7">
        <v>57</v>
      </c>
      <c r="D62" s="12" t="s">
        <v>846</v>
      </c>
      <c r="E62" s="12" t="s">
        <v>846</v>
      </c>
      <c r="F62" s="12">
        <v>34.5</v>
      </c>
      <c r="G62" s="12" t="s">
        <v>0</v>
      </c>
      <c r="H62" s="12" t="s">
        <v>490</v>
      </c>
      <c r="I62" s="9" t="s">
        <v>113</v>
      </c>
      <c r="J62" s="60"/>
      <c r="K62" s="184">
        <v>1E-3</v>
      </c>
      <c r="L62" s="184">
        <v>1E-3</v>
      </c>
      <c r="M62" s="184">
        <v>1E-3</v>
      </c>
      <c r="N62" s="184">
        <v>1E-3</v>
      </c>
      <c r="O62" s="184">
        <v>1E-3</v>
      </c>
      <c r="P62" s="184">
        <v>1E-3</v>
      </c>
      <c r="Q62" s="81"/>
      <c r="R62" s="81"/>
      <c r="S62" s="81"/>
      <c r="T62" s="81"/>
      <c r="U62" s="81"/>
      <c r="V62" s="81"/>
      <c r="W62" s="81"/>
      <c r="X62" s="81"/>
      <c r="Y62" s="81"/>
      <c r="Z62" s="25"/>
    </row>
    <row r="63" spans="1:26" x14ac:dyDescent="0.3">
      <c r="C63" s="7">
        <v>58</v>
      </c>
      <c r="D63" s="12" t="s">
        <v>847</v>
      </c>
      <c r="E63" s="12" t="s">
        <v>847</v>
      </c>
      <c r="F63" s="12">
        <v>34.5</v>
      </c>
      <c r="G63" s="12" t="s">
        <v>0</v>
      </c>
      <c r="H63" s="12" t="s">
        <v>490</v>
      </c>
      <c r="I63" s="9" t="s">
        <v>113</v>
      </c>
      <c r="J63" s="60"/>
      <c r="K63" s="184">
        <v>1E-3</v>
      </c>
      <c r="L63" s="184">
        <v>1E-3</v>
      </c>
      <c r="M63" s="184">
        <v>1E-3</v>
      </c>
      <c r="N63" s="184">
        <v>1E-3</v>
      </c>
      <c r="O63" s="184">
        <v>1E-3</v>
      </c>
      <c r="P63" s="184">
        <v>1E-3</v>
      </c>
      <c r="Q63" s="81"/>
      <c r="R63" s="81"/>
      <c r="S63" s="81"/>
      <c r="T63" s="81"/>
      <c r="U63" s="81"/>
      <c r="V63" s="81"/>
      <c r="W63" s="81"/>
      <c r="X63" s="81"/>
      <c r="Y63" s="81"/>
      <c r="Z63" s="25"/>
    </row>
    <row r="64" spans="1:26" x14ac:dyDescent="0.3">
      <c r="C64" s="7">
        <v>59</v>
      </c>
      <c r="D64" s="12" t="s">
        <v>848</v>
      </c>
      <c r="E64" s="12" t="s">
        <v>848</v>
      </c>
      <c r="F64" s="12">
        <v>34.5</v>
      </c>
      <c r="G64" s="12" t="s">
        <v>0</v>
      </c>
      <c r="H64" s="12" t="s">
        <v>490</v>
      </c>
      <c r="I64" s="9" t="s">
        <v>113</v>
      </c>
      <c r="J64" s="60"/>
      <c r="K64" s="184">
        <v>1E-3</v>
      </c>
      <c r="L64" s="184">
        <v>1E-3</v>
      </c>
      <c r="M64" s="184">
        <v>1E-3</v>
      </c>
      <c r="N64" s="184">
        <v>1E-3</v>
      </c>
      <c r="O64" s="184">
        <v>1E-3</v>
      </c>
      <c r="P64" s="184">
        <v>1E-3</v>
      </c>
      <c r="Q64" s="81"/>
      <c r="R64" s="81"/>
      <c r="S64" s="81"/>
      <c r="T64" s="81"/>
      <c r="U64" s="81"/>
      <c r="V64" s="81"/>
      <c r="W64" s="81"/>
      <c r="X64" s="81"/>
      <c r="Y64" s="81"/>
      <c r="Z64" s="25"/>
    </row>
    <row r="65" spans="3:26" x14ac:dyDescent="0.3">
      <c r="C65" s="7">
        <v>60</v>
      </c>
      <c r="D65" s="12" t="s">
        <v>799</v>
      </c>
      <c r="E65" s="12" t="s">
        <v>799</v>
      </c>
      <c r="F65" s="12">
        <v>34.5</v>
      </c>
      <c r="G65" s="12" t="s">
        <v>209</v>
      </c>
      <c r="H65" s="12" t="s">
        <v>799</v>
      </c>
      <c r="I65" s="9" t="s">
        <v>113</v>
      </c>
      <c r="J65" s="60"/>
      <c r="K65" s="12">
        <v>1.9910000000000001</v>
      </c>
      <c r="L65" s="12">
        <v>0.91400000000000003</v>
      </c>
      <c r="M65" s="12">
        <v>2.347</v>
      </c>
      <c r="N65" s="12">
        <v>0.879</v>
      </c>
      <c r="O65" s="12">
        <v>2.9781000732420999</v>
      </c>
      <c r="P65" s="12">
        <v>0.97899999999999998</v>
      </c>
      <c r="Q65" s="81"/>
      <c r="R65" s="81"/>
      <c r="S65" s="81"/>
      <c r="T65" s="81"/>
      <c r="U65" s="81"/>
      <c r="V65" s="81"/>
      <c r="W65" s="81"/>
      <c r="X65" s="81"/>
      <c r="Y65" s="81"/>
      <c r="Z65" s="25"/>
    </row>
    <row r="66" spans="3:26" x14ac:dyDescent="0.3">
      <c r="C66" s="7">
        <v>61</v>
      </c>
      <c r="D66" s="12" t="s">
        <v>779</v>
      </c>
      <c r="E66" s="12" t="s">
        <v>779</v>
      </c>
      <c r="F66" s="12">
        <v>34.5</v>
      </c>
      <c r="G66" s="12" t="s">
        <v>209</v>
      </c>
      <c r="H66" s="12" t="s">
        <v>799</v>
      </c>
      <c r="I66" s="9" t="s">
        <v>113</v>
      </c>
      <c r="J66" s="60"/>
      <c r="K66" s="12">
        <v>1.484</v>
      </c>
      <c r="L66" s="12">
        <v>0.76200000000000001</v>
      </c>
      <c r="M66" s="12">
        <v>1.54</v>
      </c>
      <c r="N66" s="12">
        <v>0.55700000000000005</v>
      </c>
      <c r="O66" s="12">
        <v>2.6696001052856002</v>
      </c>
      <c r="P66" s="12">
        <v>1.2832000494003</v>
      </c>
      <c r="Q66" s="81"/>
      <c r="R66" s="81"/>
      <c r="S66" s="81"/>
      <c r="T66" s="81"/>
      <c r="U66" s="81"/>
      <c r="V66" s="81"/>
      <c r="W66" s="81"/>
      <c r="X66" s="81"/>
      <c r="Y66" s="81"/>
      <c r="Z66" s="25"/>
    </row>
    <row r="67" spans="3:26" x14ac:dyDescent="0.3">
      <c r="C67" s="7">
        <v>62</v>
      </c>
      <c r="D67" s="12" t="s">
        <v>849</v>
      </c>
      <c r="E67" s="12" t="s">
        <v>849</v>
      </c>
      <c r="F67" s="12">
        <v>34.5</v>
      </c>
      <c r="G67" s="12" t="s">
        <v>0</v>
      </c>
      <c r="H67" s="12" t="s">
        <v>799</v>
      </c>
      <c r="I67" s="9" t="s">
        <v>113</v>
      </c>
      <c r="J67" s="60"/>
      <c r="K67" s="12">
        <v>0</v>
      </c>
      <c r="L67" s="12">
        <v>0</v>
      </c>
      <c r="M67" s="12">
        <v>0</v>
      </c>
      <c r="N67" s="12">
        <v>0</v>
      </c>
      <c r="O67" s="12">
        <v>0</v>
      </c>
      <c r="P67" s="12">
        <v>0</v>
      </c>
      <c r="Q67" s="81"/>
      <c r="R67" s="81"/>
      <c r="S67" s="81"/>
      <c r="T67" s="81"/>
      <c r="U67" s="81"/>
      <c r="V67" s="81"/>
      <c r="W67" s="81"/>
      <c r="X67" s="81"/>
      <c r="Y67" s="81"/>
      <c r="Z67" s="25"/>
    </row>
    <row r="68" spans="3:26" x14ac:dyDescent="0.3">
      <c r="C68" s="7">
        <v>63</v>
      </c>
      <c r="D68" s="12" t="s">
        <v>783</v>
      </c>
      <c r="E68" s="12" t="s">
        <v>783</v>
      </c>
      <c r="F68" s="12">
        <v>34.5</v>
      </c>
      <c r="G68" s="12" t="s">
        <v>209</v>
      </c>
      <c r="H68" s="12" t="s">
        <v>799</v>
      </c>
      <c r="I68" s="9" t="s">
        <v>113</v>
      </c>
      <c r="J68" s="60"/>
      <c r="K68" s="12">
        <v>0.89300000000000002</v>
      </c>
      <c r="L68" s="12">
        <v>0.372</v>
      </c>
      <c r="M68" s="12">
        <v>1.022</v>
      </c>
      <c r="N68" s="12">
        <v>0.30499999999999999</v>
      </c>
      <c r="O68" s="12">
        <v>2.1495890617371001</v>
      </c>
      <c r="P68" s="12">
        <v>0.70699999999999996</v>
      </c>
      <c r="Q68" s="81"/>
      <c r="R68" s="81"/>
      <c r="S68" s="81"/>
      <c r="T68" s="81"/>
      <c r="U68" s="81"/>
      <c r="V68" s="81"/>
      <c r="W68" s="81"/>
      <c r="X68" s="81"/>
      <c r="Y68" s="81"/>
      <c r="Z68" s="25"/>
    </row>
    <row r="69" spans="3:26" x14ac:dyDescent="0.3">
      <c r="C69" s="7">
        <v>64</v>
      </c>
      <c r="D69" s="12" t="s">
        <v>481</v>
      </c>
      <c r="E69" s="12" t="s">
        <v>481</v>
      </c>
      <c r="F69" s="12">
        <v>34.5</v>
      </c>
      <c r="G69" s="12" t="s">
        <v>209</v>
      </c>
      <c r="H69" s="12" t="s">
        <v>514</v>
      </c>
      <c r="I69" s="9" t="s">
        <v>113</v>
      </c>
      <c r="J69" s="60"/>
      <c r="K69" s="12">
        <v>1.4510000000000001</v>
      </c>
      <c r="L69" s="12">
        <v>0.42799999999999999</v>
      </c>
      <c r="M69" s="12">
        <v>1.617</v>
      </c>
      <c r="N69" s="12">
        <v>0.33900000000000002</v>
      </c>
      <c r="O69" s="12">
        <v>2.3067999839783</v>
      </c>
      <c r="P69" s="12">
        <v>0.80200004577640005</v>
      </c>
      <c r="Q69" s="81"/>
      <c r="R69" s="81"/>
      <c r="S69" s="81"/>
      <c r="T69" s="81"/>
      <c r="U69" s="81"/>
      <c r="V69" s="81"/>
      <c r="W69" s="81"/>
      <c r="X69" s="81"/>
      <c r="Y69" s="81"/>
      <c r="Z69" s="25"/>
    </row>
    <row r="70" spans="3:26" x14ac:dyDescent="0.3">
      <c r="C70" s="7">
        <v>65</v>
      </c>
      <c r="D70" s="12" t="s">
        <v>514</v>
      </c>
      <c r="E70" s="12" t="s">
        <v>514</v>
      </c>
      <c r="F70" s="12">
        <v>34.5</v>
      </c>
      <c r="G70" s="12" t="s">
        <v>209</v>
      </c>
      <c r="H70" s="12" t="s">
        <v>514</v>
      </c>
      <c r="I70" s="9" t="s">
        <v>113</v>
      </c>
      <c r="J70" s="60"/>
      <c r="K70" s="12">
        <v>6.4550000000000001</v>
      </c>
      <c r="L70" s="12">
        <v>2.6709999999999998</v>
      </c>
      <c r="M70" s="12">
        <v>7.165</v>
      </c>
      <c r="N70" s="12">
        <v>2.508</v>
      </c>
      <c r="O70" s="12">
        <v>5.165</v>
      </c>
      <c r="P70" s="12">
        <v>1.698</v>
      </c>
      <c r="Q70" s="81"/>
      <c r="R70" s="81"/>
      <c r="S70" s="81"/>
      <c r="T70" s="81"/>
      <c r="U70" s="81"/>
      <c r="V70" s="81"/>
      <c r="W70" s="81"/>
      <c r="X70" s="81"/>
      <c r="Y70" s="81"/>
      <c r="Z70" s="25"/>
    </row>
    <row r="71" spans="3:26" x14ac:dyDescent="0.3">
      <c r="C71" s="7">
        <v>66</v>
      </c>
      <c r="D71" s="12" t="s">
        <v>611</v>
      </c>
      <c r="E71" s="12" t="s">
        <v>611</v>
      </c>
      <c r="F71" s="12">
        <v>34.5</v>
      </c>
      <c r="G71" s="12" t="s">
        <v>209</v>
      </c>
      <c r="H71" s="12" t="s">
        <v>514</v>
      </c>
      <c r="I71" s="9" t="s">
        <v>113</v>
      </c>
      <c r="J71" s="60"/>
      <c r="K71" s="12">
        <v>3.964</v>
      </c>
      <c r="L71" s="12">
        <v>1.631</v>
      </c>
      <c r="M71" s="12">
        <v>4.508</v>
      </c>
      <c r="N71" s="12">
        <v>1.359</v>
      </c>
      <c r="O71" s="12">
        <v>4.5033400390624996</v>
      </c>
      <c r="P71" s="12">
        <v>1.4023999511719001</v>
      </c>
      <c r="Q71" s="81"/>
      <c r="R71" s="81"/>
      <c r="S71" s="81"/>
      <c r="T71" s="81"/>
      <c r="U71" s="81"/>
      <c r="V71" s="81"/>
      <c r="W71" s="81"/>
      <c r="X71" s="81"/>
      <c r="Y71" s="81"/>
      <c r="Z71" s="25"/>
    </row>
    <row r="72" spans="3:26" x14ac:dyDescent="0.3">
      <c r="C72" s="7">
        <v>67</v>
      </c>
      <c r="D72" s="12" t="s">
        <v>515</v>
      </c>
      <c r="E72" s="12" t="s">
        <v>515</v>
      </c>
      <c r="F72" s="12">
        <v>34.5</v>
      </c>
      <c r="G72" s="12" t="s">
        <v>209</v>
      </c>
      <c r="H72" s="12" t="s">
        <v>514</v>
      </c>
      <c r="I72" s="9" t="s">
        <v>113</v>
      </c>
      <c r="J72" s="60"/>
      <c r="K72" s="12">
        <v>3.0249999999999999</v>
      </c>
      <c r="L72" s="12">
        <v>1.4239999999999999</v>
      </c>
      <c r="M72" s="12">
        <v>3.419</v>
      </c>
      <c r="N72" s="12">
        <v>1.048</v>
      </c>
      <c r="O72" s="12">
        <v>5.0788639068602999</v>
      </c>
      <c r="P72" s="12">
        <v>2.7764616966247999</v>
      </c>
      <c r="Q72" s="81"/>
      <c r="R72" s="81"/>
      <c r="S72" s="81"/>
      <c r="T72" s="81"/>
      <c r="U72" s="81"/>
      <c r="V72" s="81"/>
      <c r="W72" s="81"/>
      <c r="X72" s="81"/>
      <c r="Y72" s="81"/>
      <c r="Z72" s="25"/>
    </row>
    <row r="73" spans="3:26" x14ac:dyDescent="0.3">
      <c r="C73" s="7">
        <v>68</v>
      </c>
      <c r="D73" s="12" t="s">
        <v>522</v>
      </c>
      <c r="E73" s="12" t="s">
        <v>522</v>
      </c>
      <c r="F73" s="12">
        <v>34.5</v>
      </c>
      <c r="G73" s="12" t="s">
        <v>209</v>
      </c>
      <c r="H73" s="12" t="s">
        <v>514</v>
      </c>
      <c r="I73" s="9" t="s">
        <v>113</v>
      </c>
      <c r="J73" s="60"/>
      <c r="K73" s="12">
        <v>1.544</v>
      </c>
      <c r="L73" s="12">
        <v>0.95899999999999996</v>
      </c>
      <c r="M73" s="12">
        <v>1.5680000000000001</v>
      </c>
      <c r="N73" s="12">
        <v>0.875</v>
      </c>
      <c r="O73" s="12">
        <v>4.0080003738403001</v>
      </c>
      <c r="P73" s="12">
        <v>1.9120000600814999</v>
      </c>
      <c r="Q73" s="81"/>
      <c r="R73" s="81"/>
      <c r="S73" s="81"/>
      <c r="T73" s="81"/>
      <c r="U73" s="81"/>
      <c r="V73" s="81"/>
      <c r="W73" s="81"/>
      <c r="X73" s="81"/>
      <c r="Y73" s="81"/>
      <c r="Z73" s="25"/>
    </row>
    <row r="74" spans="3:26" x14ac:dyDescent="0.3">
      <c r="C74" s="7">
        <v>69</v>
      </c>
      <c r="D74" s="12" t="s">
        <v>850</v>
      </c>
      <c r="E74" s="12" t="s">
        <v>850</v>
      </c>
      <c r="F74" s="12">
        <v>34.5</v>
      </c>
      <c r="G74" s="12" t="s">
        <v>209</v>
      </c>
      <c r="H74" s="12" t="s">
        <v>514</v>
      </c>
      <c r="I74" s="9" t="s">
        <v>113</v>
      </c>
      <c r="J74" s="60"/>
      <c r="K74" s="12">
        <v>2.5712500000000003E-2</v>
      </c>
      <c r="L74" s="12">
        <v>5.0666666666666672E-3</v>
      </c>
      <c r="M74" s="12">
        <v>2.5712500000000003E-2</v>
      </c>
      <c r="N74" s="12">
        <v>5.0666666666666672E-3</v>
      </c>
      <c r="O74" s="12">
        <v>2.5712500000000003E-2</v>
      </c>
      <c r="P74" s="12">
        <v>5.0666666666666672E-3</v>
      </c>
      <c r="Q74" s="81"/>
      <c r="R74" s="81"/>
      <c r="S74" s="81"/>
      <c r="T74" s="81"/>
      <c r="U74" s="81"/>
      <c r="V74" s="81"/>
      <c r="W74" s="81"/>
      <c r="X74" s="81"/>
      <c r="Y74" s="81"/>
      <c r="Z74" s="25"/>
    </row>
    <row r="75" spans="3:26" x14ac:dyDescent="0.3">
      <c r="C75" s="7">
        <v>70</v>
      </c>
      <c r="D75" s="12" t="s">
        <v>851</v>
      </c>
      <c r="E75" s="12" t="s">
        <v>851</v>
      </c>
      <c r="F75" s="12">
        <v>34.5</v>
      </c>
      <c r="G75" s="12" t="s">
        <v>209</v>
      </c>
      <c r="H75" s="12" t="s">
        <v>514</v>
      </c>
      <c r="I75" s="9" t="s">
        <v>113</v>
      </c>
      <c r="J75" s="60"/>
      <c r="K75" s="12">
        <v>1.3016666666666666E-2</v>
      </c>
      <c r="L75" s="12">
        <v>5.0000000000000001E-4</v>
      </c>
      <c r="M75" s="12">
        <v>1.3016666666666666E-2</v>
      </c>
      <c r="N75" s="12">
        <v>5.0000000000000001E-4</v>
      </c>
      <c r="O75" s="12">
        <v>1.3016666666666666E-2</v>
      </c>
      <c r="P75" s="12">
        <v>5.0000000000000001E-4</v>
      </c>
      <c r="Q75" s="81"/>
      <c r="R75" s="81"/>
      <c r="S75" s="81"/>
      <c r="T75" s="81"/>
      <c r="U75" s="81"/>
      <c r="V75" s="81"/>
      <c r="W75" s="81"/>
      <c r="X75" s="81"/>
      <c r="Y75" s="81"/>
      <c r="Z75" s="25"/>
    </row>
    <row r="76" spans="3:26" x14ac:dyDescent="0.3">
      <c r="C76" s="7">
        <v>71</v>
      </c>
      <c r="D76" s="12" t="s">
        <v>852</v>
      </c>
      <c r="E76" s="12" t="s">
        <v>852</v>
      </c>
      <c r="F76" s="12">
        <v>34.5</v>
      </c>
      <c r="G76" s="12" t="s">
        <v>0</v>
      </c>
      <c r="H76" s="12" t="s">
        <v>514</v>
      </c>
      <c r="I76" s="9" t="s">
        <v>113</v>
      </c>
      <c r="J76" s="60"/>
      <c r="K76" s="12">
        <v>2.5712500000000003E-2</v>
      </c>
      <c r="L76" s="12">
        <v>5.0666666666666672E-3</v>
      </c>
      <c r="M76" s="12">
        <v>2.5712500000000003E-2</v>
      </c>
      <c r="N76" s="12">
        <v>5.0666666666666672E-3</v>
      </c>
      <c r="O76" s="12">
        <v>2.5712500000000003E-2</v>
      </c>
      <c r="P76" s="12">
        <v>5.0666666666666672E-3</v>
      </c>
      <c r="Q76" s="81"/>
      <c r="R76" s="81"/>
      <c r="S76" s="81"/>
      <c r="T76" s="81"/>
      <c r="U76" s="81"/>
      <c r="V76" s="81"/>
      <c r="W76" s="81"/>
      <c r="X76" s="81"/>
      <c r="Y76" s="81"/>
      <c r="Z76" s="25"/>
    </row>
    <row r="77" spans="3:26" x14ac:dyDescent="0.3">
      <c r="C77" s="7">
        <v>72</v>
      </c>
      <c r="D77" s="12" t="s">
        <v>853</v>
      </c>
      <c r="E77" s="12" t="s">
        <v>853</v>
      </c>
      <c r="F77" s="12">
        <v>34.5</v>
      </c>
      <c r="G77" s="9" t="s">
        <v>135</v>
      </c>
      <c r="H77" s="12" t="s">
        <v>514</v>
      </c>
      <c r="I77" s="9" t="s">
        <v>113</v>
      </c>
      <c r="J77" s="60"/>
      <c r="K77" s="12">
        <v>3.1801388888888886E-2</v>
      </c>
      <c r="L77" s="12">
        <v>4.15E-3</v>
      </c>
      <c r="M77" s="12">
        <v>3.1801388888888886E-2</v>
      </c>
      <c r="N77" s="12">
        <v>4.15E-3</v>
      </c>
      <c r="O77" s="12">
        <v>3.1801388888888886E-2</v>
      </c>
      <c r="P77" s="12">
        <v>4.15E-3</v>
      </c>
      <c r="Q77" s="81"/>
      <c r="R77" s="81"/>
      <c r="S77" s="81"/>
      <c r="T77" s="81"/>
      <c r="U77" s="81"/>
      <c r="V77" s="81"/>
      <c r="W77" s="81"/>
      <c r="X77" s="81"/>
      <c r="Y77" s="81"/>
      <c r="Z77" s="25"/>
    </row>
    <row r="78" spans="3:26" x14ac:dyDescent="0.3">
      <c r="C78" s="7">
        <v>73</v>
      </c>
      <c r="D78" s="12" t="s">
        <v>854</v>
      </c>
      <c r="E78" s="12" t="s">
        <v>854</v>
      </c>
      <c r="F78" s="12">
        <v>34.5</v>
      </c>
      <c r="G78" s="12" t="s">
        <v>209</v>
      </c>
      <c r="H78" s="12" t="s">
        <v>514</v>
      </c>
      <c r="I78" s="9" t="s">
        <v>113</v>
      </c>
      <c r="J78" s="60"/>
      <c r="K78" s="12">
        <v>0.26769444444444401</v>
      </c>
      <c r="L78" s="12">
        <v>0.9</v>
      </c>
      <c r="M78" s="12">
        <v>0.26769444444444401</v>
      </c>
      <c r="N78" s="12">
        <v>0.9</v>
      </c>
      <c r="O78" s="12">
        <v>0.26769444444444401</v>
      </c>
      <c r="P78" s="12">
        <v>0.9</v>
      </c>
      <c r="Q78" s="81"/>
      <c r="R78" s="81"/>
      <c r="S78" s="81"/>
      <c r="T78" s="81"/>
      <c r="U78" s="81"/>
      <c r="V78" s="81"/>
      <c r="W78" s="81"/>
      <c r="X78" s="81"/>
      <c r="Y78" s="81"/>
      <c r="Z78" s="25"/>
    </row>
    <row r="79" spans="3:26" x14ac:dyDescent="0.3">
      <c r="C79" s="7">
        <v>74</v>
      </c>
      <c r="D79" s="12" t="s">
        <v>534</v>
      </c>
      <c r="E79" s="12" t="s">
        <v>534</v>
      </c>
      <c r="F79" s="12">
        <v>34.5</v>
      </c>
      <c r="G79" s="12" t="s">
        <v>209</v>
      </c>
      <c r="H79" s="12" t="s">
        <v>614</v>
      </c>
      <c r="I79" s="9" t="s">
        <v>113</v>
      </c>
      <c r="J79" s="60"/>
      <c r="K79" s="185">
        <v>1.2210000000000001</v>
      </c>
      <c r="L79" s="185">
        <v>0.73</v>
      </c>
      <c r="M79" s="185">
        <v>1.0289999999999999</v>
      </c>
      <c r="N79" s="185">
        <v>0.629</v>
      </c>
      <c r="O79" s="185">
        <v>2.4792000000000001</v>
      </c>
      <c r="P79" s="185">
        <v>1.1858</v>
      </c>
      <c r="Q79" s="81"/>
      <c r="R79" s="81"/>
      <c r="S79" s="81"/>
      <c r="T79" s="81"/>
      <c r="U79" s="81"/>
      <c r="V79" s="81"/>
      <c r="W79" s="81"/>
      <c r="X79" s="81"/>
      <c r="Y79" s="81"/>
      <c r="Z79" s="25"/>
    </row>
    <row r="80" spans="3:26" x14ac:dyDescent="0.3">
      <c r="C80" s="7">
        <v>75</v>
      </c>
      <c r="D80" s="12" t="s">
        <v>615</v>
      </c>
      <c r="E80" s="12" t="s">
        <v>615</v>
      </c>
      <c r="F80" s="12">
        <v>34.5</v>
      </c>
      <c r="G80" s="12" t="s">
        <v>209</v>
      </c>
      <c r="H80" s="12" t="s">
        <v>614</v>
      </c>
      <c r="I80" s="9" t="s">
        <v>113</v>
      </c>
      <c r="J80" s="60"/>
      <c r="K80" s="185">
        <v>2.0329999999999999</v>
      </c>
      <c r="L80" s="185">
        <v>0.997</v>
      </c>
      <c r="M80" s="185">
        <v>1.7150000000000001</v>
      </c>
      <c r="N80" s="185">
        <v>0.82299999999999995</v>
      </c>
      <c r="O80" s="185">
        <v>2.9160001277924001</v>
      </c>
      <c r="P80" s="185">
        <v>1.4892000000000001</v>
      </c>
      <c r="Q80" s="81"/>
      <c r="R80" s="81"/>
      <c r="S80" s="81"/>
      <c r="T80" s="81"/>
      <c r="U80" s="81"/>
      <c r="V80" s="81"/>
      <c r="W80" s="81"/>
      <c r="X80" s="81"/>
      <c r="Y80" s="81"/>
      <c r="Z80" s="25"/>
    </row>
    <row r="81" spans="3:26" x14ac:dyDescent="0.3">
      <c r="C81" s="7">
        <v>76</v>
      </c>
      <c r="D81" s="12" t="s">
        <v>407</v>
      </c>
      <c r="E81" s="12" t="s">
        <v>407</v>
      </c>
      <c r="F81" s="12">
        <v>34.5</v>
      </c>
      <c r="G81" s="12" t="s">
        <v>209</v>
      </c>
      <c r="H81" s="12" t="s">
        <v>614</v>
      </c>
      <c r="I81" s="9" t="s">
        <v>113</v>
      </c>
      <c r="J81" s="60"/>
      <c r="K81" s="185">
        <v>0.82887945205479485</v>
      </c>
      <c r="L81" s="185">
        <v>0.51369334762962471</v>
      </c>
      <c r="M81" s="185">
        <v>0.63651215342465806</v>
      </c>
      <c r="N81" s="185">
        <v>0.39447480340969859</v>
      </c>
      <c r="O81" s="185">
        <v>1.42344</v>
      </c>
      <c r="P81" s="185">
        <v>0.68940345691039262</v>
      </c>
      <c r="Q81" s="81"/>
      <c r="R81" s="81"/>
      <c r="S81" s="81"/>
      <c r="T81" s="81"/>
      <c r="U81" s="81"/>
      <c r="V81" s="81"/>
      <c r="W81" s="81"/>
      <c r="X81" s="81"/>
      <c r="Y81" s="81"/>
      <c r="Z81" s="25"/>
    </row>
    <row r="82" spans="3:26" x14ac:dyDescent="0.3">
      <c r="C82" s="7">
        <v>77</v>
      </c>
      <c r="D82" s="12" t="s">
        <v>855</v>
      </c>
      <c r="E82" s="12" t="s">
        <v>855</v>
      </c>
      <c r="F82" s="12">
        <v>34.5</v>
      </c>
      <c r="G82" s="12" t="s">
        <v>0</v>
      </c>
      <c r="H82" s="12" t="s">
        <v>614</v>
      </c>
      <c r="I82" s="9" t="s">
        <v>113</v>
      </c>
      <c r="J82" s="60"/>
      <c r="K82" s="185">
        <v>0.49943194444444444</v>
      </c>
      <c r="L82" s="185">
        <v>4.4333333333333336E-2</v>
      </c>
      <c r="M82" s="185">
        <v>0.49943194444444444</v>
      </c>
      <c r="N82" s="185">
        <v>4.4333333333333336E-2</v>
      </c>
      <c r="O82" s="185">
        <v>0.49943194444444444</v>
      </c>
      <c r="P82" s="185">
        <v>4.4333333333333336E-2</v>
      </c>
      <c r="Q82" s="81"/>
      <c r="R82" s="81"/>
      <c r="S82" s="81"/>
      <c r="T82" s="81"/>
      <c r="U82" s="81"/>
      <c r="V82" s="81"/>
      <c r="W82" s="81"/>
      <c r="X82" s="81"/>
      <c r="Y82" s="81"/>
      <c r="Z82" s="25"/>
    </row>
    <row r="83" spans="3:26" x14ac:dyDescent="0.3">
      <c r="C83" s="7">
        <v>78</v>
      </c>
      <c r="D83" s="12" t="s">
        <v>856</v>
      </c>
      <c r="E83" s="12" t="s">
        <v>856</v>
      </c>
      <c r="F83" s="12">
        <v>34.5</v>
      </c>
      <c r="G83" s="12" t="s">
        <v>0</v>
      </c>
      <c r="H83" s="12" t="s">
        <v>614</v>
      </c>
      <c r="I83" s="9" t="s">
        <v>113</v>
      </c>
      <c r="J83" s="60"/>
      <c r="K83" s="185">
        <v>0.2</v>
      </c>
      <c r="L83" s="185">
        <v>0.3</v>
      </c>
      <c r="M83" s="185">
        <v>0.2</v>
      </c>
      <c r="N83" s="185">
        <v>0.3</v>
      </c>
      <c r="O83" s="185">
        <v>0.2</v>
      </c>
      <c r="P83" s="185">
        <v>0.3</v>
      </c>
      <c r="Q83" s="81"/>
      <c r="R83" s="81"/>
      <c r="S83" s="81"/>
      <c r="T83" s="81"/>
      <c r="U83" s="81"/>
      <c r="V83" s="81"/>
      <c r="W83" s="81"/>
      <c r="X83" s="81"/>
      <c r="Y83" s="81"/>
      <c r="Z83" s="25"/>
    </row>
    <row r="84" spans="3:26" x14ac:dyDescent="0.3">
      <c r="C84" s="7">
        <v>79</v>
      </c>
      <c r="D84" s="12" t="s">
        <v>857</v>
      </c>
      <c r="E84" s="12" t="s">
        <v>857</v>
      </c>
      <c r="F84" s="12">
        <v>34.5</v>
      </c>
      <c r="G84" s="12" t="s">
        <v>0</v>
      </c>
      <c r="H84" s="12" t="s">
        <v>614</v>
      </c>
      <c r="I84" s="9" t="s">
        <v>113</v>
      </c>
      <c r="J84" s="60"/>
      <c r="K84" s="185">
        <v>1</v>
      </c>
      <c r="L84" s="185">
        <v>0.8</v>
      </c>
      <c r="M84" s="185">
        <v>0.5</v>
      </c>
      <c r="N84" s="185">
        <v>0.8</v>
      </c>
      <c r="O84" s="185">
        <v>0.5</v>
      </c>
      <c r="P84" s="185">
        <v>0.8</v>
      </c>
      <c r="Q84" s="81"/>
      <c r="R84" s="81"/>
      <c r="S84" s="81"/>
      <c r="T84" s="81"/>
      <c r="U84" s="81"/>
      <c r="V84" s="81"/>
      <c r="W84" s="81"/>
      <c r="X84" s="81"/>
      <c r="Y84" s="81"/>
      <c r="Z84" s="25"/>
    </row>
    <row r="85" spans="3:26" x14ac:dyDescent="0.3">
      <c r="C85" s="7">
        <v>80</v>
      </c>
      <c r="D85" s="12" t="s">
        <v>858</v>
      </c>
      <c r="E85" s="12" t="s">
        <v>858</v>
      </c>
      <c r="F85" s="12">
        <v>34.5</v>
      </c>
      <c r="G85" s="12" t="s">
        <v>0</v>
      </c>
      <c r="H85" s="12" t="s">
        <v>614</v>
      </c>
      <c r="I85" s="9" t="s">
        <v>113</v>
      </c>
      <c r="J85" s="60"/>
      <c r="K85" s="185">
        <v>1</v>
      </c>
      <c r="L85" s="185">
        <v>0.8</v>
      </c>
      <c r="M85" s="185">
        <v>1</v>
      </c>
      <c r="N85" s="185">
        <v>0.8</v>
      </c>
      <c r="O85" s="185">
        <v>1</v>
      </c>
      <c r="P85" s="185">
        <v>0.8</v>
      </c>
      <c r="Q85" s="81"/>
      <c r="R85" s="81"/>
      <c r="S85" s="81"/>
      <c r="T85" s="81"/>
      <c r="U85" s="81"/>
      <c r="V85" s="81"/>
      <c r="W85" s="81"/>
      <c r="X85" s="81"/>
      <c r="Y85" s="81"/>
      <c r="Z85" s="25"/>
    </row>
    <row r="86" spans="3:26" x14ac:dyDescent="0.3">
      <c r="C86" s="7">
        <v>81</v>
      </c>
      <c r="D86" s="12" t="s">
        <v>520</v>
      </c>
      <c r="E86" s="12" t="s">
        <v>520</v>
      </c>
      <c r="F86" s="12">
        <v>34.5</v>
      </c>
      <c r="G86" s="12" t="s">
        <v>209</v>
      </c>
      <c r="H86" s="12" t="s">
        <v>520</v>
      </c>
      <c r="I86" s="9" t="s">
        <v>113</v>
      </c>
      <c r="J86" s="60"/>
      <c r="K86" s="185">
        <v>2.6859999999999999</v>
      </c>
      <c r="L86" s="185">
        <v>0.93600000000000005</v>
      </c>
      <c r="M86" s="185">
        <v>2.3690000000000002</v>
      </c>
      <c r="N86" s="185">
        <v>0.38</v>
      </c>
      <c r="O86" s="185">
        <v>4.4451999664309998</v>
      </c>
      <c r="P86" s="185">
        <v>1.6362998485569999</v>
      </c>
      <c r="Q86" s="81"/>
      <c r="R86" s="81"/>
      <c r="S86" s="81"/>
      <c r="T86" s="81"/>
      <c r="U86" s="81"/>
      <c r="V86" s="81"/>
      <c r="W86" s="81"/>
      <c r="X86" s="81"/>
      <c r="Y86" s="81"/>
      <c r="Z86" s="25"/>
    </row>
    <row r="87" spans="3:26" x14ac:dyDescent="0.3">
      <c r="C87" s="7">
        <v>82</v>
      </c>
      <c r="D87" s="12" t="s">
        <v>589</v>
      </c>
      <c r="E87" s="12" t="s">
        <v>589</v>
      </c>
      <c r="F87" s="12">
        <v>34.5</v>
      </c>
      <c r="G87" s="12" t="s">
        <v>209</v>
      </c>
      <c r="H87" s="12" t="s">
        <v>520</v>
      </c>
      <c r="I87" s="9" t="s">
        <v>113</v>
      </c>
      <c r="J87" s="60"/>
      <c r="K87" s="185">
        <v>1.732</v>
      </c>
      <c r="L87" s="185">
        <v>0.81</v>
      </c>
      <c r="M87" s="185">
        <v>1.5209999999999999</v>
      </c>
      <c r="N87" s="185">
        <v>0.55200000000000005</v>
      </c>
      <c r="O87" s="185">
        <v>2.0414002418517998</v>
      </c>
      <c r="P87" s="185">
        <v>1.3204001903533999</v>
      </c>
      <c r="Q87" s="81"/>
      <c r="R87" s="81"/>
      <c r="S87" s="81"/>
      <c r="T87" s="81"/>
      <c r="U87" s="81"/>
      <c r="V87" s="81"/>
      <c r="W87" s="81"/>
      <c r="X87" s="81"/>
      <c r="Y87" s="81"/>
      <c r="Z87" s="25"/>
    </row>
    <row r="88" spans="3:26" x14ac:dyDescent="0.3">
      <c r="C88" s="7">
        <v>83</v>
      </c>
      <c r="D88" s="12" t="s">
        <v>859</v>
      </c>
      <c r="E88" s="12" t="s">
        <v>859</v>
      </c>
      <c r="F88" s="12">
        <v>34.5</v>
      </c>
      <c r="G88" s="12" t="s">
        <v>0</v>
      </c>
      <c r="H88" s="12" t="s">
        <v>520</v>
      </c>
      <c r="I88" s="9" t="s">
        <v>113</v>
      </c>
      <c r="J88" s="60"/>
      <c r="K88" s="185">
        <v>0.53111388888888889</v>
      </c>
      <c r="L88" s="185">
        <v>1.6165277777777778E-2</v>
      </c>
      <c r="M88" s="185">
        <v>0.53111388888888889</v>
      </c>
      <c r="N88" s="185">
        <v>1.6165277777777778E-2</v>
      </c>
      <c r="O88" s="185">
        <v>0.53111388888888889</v>
      </c>
      <c r="P88" s="185">
        <v>1.6165277777777778E-2</v>
      </c>
      <c r="Q88" s="81"/>
      <c r="R88" s="81"/>
      <c r="S88" s="81"/>
      <c r="T88" s="81"/>
      <c r="U88" s="81"/>
      <c r="V88" s="81"/>
      <c r="W88" s="81"/>
      <c r="X88" s="81"/>
      <c r="Y88" s="81"/>
      <c r="Z88" s="25"/>
    </row>
    <row r="89" spans="3:26" x14ac:dyDescent="0.3">
      <c r="C89" s="7">
        <v>84</v>
      </c>
      <c r="D89" s="12" t="s">
        <v>860</v>
      </c>
      <c r="E89" s="12" t="s">
        <v>860</v>
      </c>
      <c r="F89" s="12">
        <v>34.5</v>
      </c>
      <c r="G89" s="12" t="s">
        <v>0</v>
      </c>
      <c r="H89" s="12" t="s">
        <v>520</v>
      </c>
      <c r="I89" s="9" t="s">
        <v>113</v>
      </c>
      <c r="J89" s="60"/>
      <c r="K89" s="185">
        <v>1.7870583333333334</v>
      </c>
      <c r="L89" s="185">
        <v>7.9583333333333329E-4</v>
      </c>
      <c r="M89" s="185">
        <v>1.7870583333333334</v>
      </c>
      <c r="N89" s="185">
        <v>7.9583333333333329E-4</v>
      </c>
      <c r="O89" s="185">
        <v>1.7870583333333334</v>
      </c>
      <c r="P89" s="185">
        <v>7.9583333333333329E-4</v>
      </c>
      <c r="Q89" s="81"/>
      <c r="R89" s="81"/>
      <c r="S89" s="81"/>
      <c r="T89" s="81"/>
      <c r="U89" s="81"/>
      <c r="V89" s="81"/>
      <c r="W89" s="81"/>
      <c r="X89" s="81"/>
      <c r="Y89" s="81"/>
      <c r="Z89" s="25"/>
    </row>
    <row r="90" spans="3:26" x14ac:dyDescent="0.3">
      <c r="C90" s="7">
        <v>85</v>
      </c>
      <c r="D90" s="12" t="s">
        <v>861</v>
      </c>
      <c r="E90" s="12" t="s">
        <v>861</v>
      </c>
      <c r="F90" s="12">
        <v>34.5</v>
      </c>
      <c r="G90" s="12" t="s">
        <v>0</v>
      </c>
      <c r="H90" s="12" t="s">
        <v>520</v>
      </c>
      <c r="I90" s="9" t="s">
        <v>113</v>
      </c>
      <c r="J90" s="60"/>
      <c r="K90" s="185">
        <v>2E-3</v>
      </c>
      <c r="L90" s="185">
        <v>1E-3</v>
      </c>
      <c r="M90" s="185">
        <v>2E-3</v>
      </c>
      <c r="N90" s="185">
        <v>1E-3</v>
      </c>
      <c r="O90" s="185">
        <v>2E-3</v>
      </c>
      <c r="P90" s="185">
        <v>1E-3</v>
      </c>
      <c r="Q90" s="81"/>
      <c r="R90" s="81"/>
      <c r="S90" s="81"/>
      <c r="T90" s="81"/>
      <c r="U90" s="81"/>
      <c r="V90" s="81"/>
      <c r="W90" s="81"/>
      <c r="X90" s="81"/>
      <c r="Y90" s="81"/>
      <c r="Z90" s="25"/>
    </row>
    <row r="91" spans="3:26" x14ac:dyDescent="0.3">
      <c r="C91" s="7">
        <v>86</v>
      </c>
      <c r="D91" s="12" t="s">
        <v>862</v>
      </c>
      <c r="E91" s="12" t="s">
        <v>862</v>
      </c>
      <c r="F91" s="12">
        <v>34.5</v>
      </c>
      <c r="G91" s="12" t="s">
        <v>0</v>
      </c>
      <c r="H91" s="12" t="s">
        <v>520</v>
      </c>
      <c r="I91" s="9" t="s">
        <v>113</v>
      </c>
      <c r="J91" s="60"/>
      <c r="K91" s="185">
        <v>2E-3</v>
      </c>
      <c r="L91" s="185">
        <v>1E-3</v>
      </c>
      <c r="M91" s="185">
        <v>2E-3</v>
      </c>
      <c r="N91" s="185">
        <v>1E-3</v>
      </c>
      <c r="O91" s="185">
        <v>2E-3</v>
      </c>
      <c r="P91" s="185">
        <v>1E-3</v>
      </c>
      <c r="Q91" s="81"/>
      <c r="R91" s="81"/>
      <c r="S91" s="81"/>
      <c r="T91" s="81"/>
      <c r="U91" s="81"/>
      <c r="V91" s="81"/>
      <c r="W91" s="81"/>
      <c r="X91" s="81"/>
      <c r="Y91" s="81"/>
      <c r="Z91" s="25"/>
    </row>
    <row r="92" spans="3:26" x14ac:dyDescent="0.3">
      <c r="C92" s="7">
        <v>87</v>
      </c>
      <c r="D92" s="12" t="s">
        <v>863</v>
      </c>
      <c r="E92" s="12" t="s">
        <v>863</v>
      </c>
      <c r="F92" s="12">
        <v>34.5</v>
      </c>
      <c r="G92" s="12" t="s">
        <v>0</v>
      </c>
      <c r="H92" s="12" t="s">
        <v>520</v>
      </c>
      <c r="I92" s="9" t="s">
        <v>113</v>
      </c>
      <c r="J92" s="60"/>
      <c r="K92" s="185">
        <v>0.27676666666666666</v>
      </c>
      <c r="L92" s="185">
        <v>6.5541666666666673E-3</v>
      </c>
      <c r="M92" s="185">
        <v>0.27676666666666666</v>
      </c>
      <c r="N92" s="185">
        <v>6.5541666666666673E-3</v>
      </c>
      <c r="O92" s="185">
        <v>0.27676666666666666</v>
      </c>
      <c r="P92" s="185">
        <v>6.5541666666666673E-3</v>
      </c>
      <c r="Q92" s="81"/>
      <c r="R92" s="81"/>
      <c r="S92" s="81"/>
      <c r="T92" s="81"/>
      <c r="U92" s="81"/>
      <c r="V92" s="81"/>
      <c r="W92" s="81"/>
      <c r="X92" s="81"/>
      <c r="Y92" s="81"/>
      <c r="Z92" s="25"/>
    </row>
    <row r="93" spans="3:26" x14ac:dyDescent="0.3">
      <c r="C93" s="7">
        <v>88</v>
      </c>
      <c r="D93" s="12" t="s">
        <v>864</v>
      </c>
      <c r="E93" s="12" t="s">
        <v>864</v>
      </c>
      <c r="F93" s="12">
        <v>34.5</v>
      </c>
      <c r="G93" s="12" t="s">
        <v>0</v>
      </c>
      <c r="H93" s="12" t="s">
        <v>520</v>
      </c>
      <c r="I93" s="9" t="s">
        <v>113</v>
      </c>
      <c r="J93" s="60"/>
      <c r="K93" s="185">
        <v>1E-3</v>
      </c>
      <c r="L93" s="185">
        <v>1E-3</v>
      </c>
      <c r="M93" s="185">
        <v>1E-3</v>
      </c>
      <c r="N93" s="185">
        <v>1E-3</v>
      </c>
      <c r="O93" s="185">
        <v>1E-3</v>
      </c>
      <c r="P93" s="185">
        <v>1E-3</v>
      </c>
      <c r="Q93" s="81"/>
      <c r="R93" s="81"/>
      <c r="S93" s="81"/>
      <c r="T93" s="81"/>
      <c r="U93" s="81"/>
      <c r="V93" s="81"/>
      <c r="W93" s="81"/>
      <c r="X93" s="81"/>
      <c r="Y93" s="81"/>
      <c r="Z93" s="25"/>
    </row>
    <row r="94" spans="3:26" x14ac:dyDescent="0.3">
      <c r="C94" s="7">
        <v>89</v>
      </c>
      <c r="D94" s="12" t="s">
        <v>402</v>
      </c>
      <c r="E94" s="12" t="s">
        <v>402</v>
      </c>
      <c r="F94" s="12">
        <v>34.5</v>
      </c>
      <c r="G94" s="12" t="s">
        <v>209</v>
      </c>
      <c r="H94" s="12" t="s">
        <v>868</v>
      </c>
      <c r="I94" s="9" t="s">
        <v>113</v>
      </c>
      <c r="J94" s="60"/>
      <c r="K94" s="12">
        <v>0.107</v>
      </c>
      <c r="L94" s="12">
        <v>3.7999999999999999E-2</v>
      </c>
      <c r="M94" s="12">
        <v>0.127</v>
      </c>
      <c r="N94" s="12">
        <v>2.3E-2</v>
      </c>
      <c r="O94" s="12">
        <v>0.1946</v>
      </c>
      <c r="P94" s="12">
        <v>7.0800000000000002E-2</v>
      </c>
      <c r="Q94" s="81"/>
      <c r="R94" s="81"/>
      <c r="S94" s="81"/>
      <c r="T94" s="81"/>
      <c r="U94" s="81"/>
      <c r="V94" s="81"/>
      <c r="W94" s="81"/>
      <c r="X94" s="81"/>
      <c r="Y94" s="81"/>
      <c r="Z94" s="25"/>
    </row>
    <row r="95" spans="3:26" x14ac:dyDescent="0.3">
      <c r="C95" s="7">
        <v>90</v>
      </c>
      <c r="D95" s="12" t="s">
        <v>766</v>
      </c>
      <c r="E95" s="12" t="s">
        <v>766</v>
      </c>
      <c r="F95" s="12">
        <v>34.5</v>
      </c>
      <c r="G95" s="12" t="s">
        <v>209</v>
      </c>
      <c r="H95" s="12" t="s">
        <v>868</v>
      </c>
      <c r="I95" s="9" t="s">
        <v>113</v>
      </c>
      <c r="J95" s="60"/>
      <c r="K95" s="12">
        <v>0.20599999999999999</v>
      </c>
      <c r="L95" s="12">
        <v>0.107</v>
      </c>
      <c r="M95" s="12">
        <v>0.2369</v>
      </c>
      <c r="N95" s="12">
        <v>0.11</v>
      </c>
      <c r="O95" s="12">
        <v>0.43451999999999996</v>
      </c>
      <c r="P95" s="12">
        <v>0.2104476409941437</v>
      </c>
      <c r="Q95" s="81"/>
      <c r="R95" s="81"/>
      <c r="S95" s="81"/>
      <c r="T95" s="81"/>
      <c r="U95" s="81"/>
      <c r="V95" s="81"/>
      <c r="W95" s="81"/>
      <c r="X95" s="81"/>
      <c r="Y95" s="81"/>
      <c r="Z95" s="25"/>
    </row>
    <row r="96" spans="3:26" x14ac:dyDescent="0.3">
      <c r="C96" s="7">
        <v>91</v>
      </c>
      <c r="D96" s="12" t="s">
        <v>417</v>
      </c>
      <c r="E96" s="12" t="s">
        <v>417</v>
      </c>
      <c r="F96" s="12">
        <v>34.5</v>
      </c>
      <c r="G96" s="12" t="s">
        <v>209</v>
      </c>
      <c r="H96" s="12" t="s">
        <v>868</v>
      </c>
      <c r="I96" s="9" t="s">
        <v>113</v>
      </c>
      <c r="J96" s="60"/>
      <c r="K96" s="12">
        <v>0.23</v>
      </c>
      <c r="L96" s="12">
        <v>0.14299999999999999</v>
      </c>
      <c r="M96" s="12">
        <v>0.28699999999999998</v>
      </c>
      <c r="N96" s="12">
        <v>0.17799999999999999</v>
      </c>
      <c r="O96" s="12">
        <v>0.47493000000000002</v>
      </c>
      <c r="P96" s="12">
        <v>0.2300190972506414</v>
      </c>
      <c r="Q96" s="81"/>
      <c r="R96" s="81"/>
      <c r="S96" s="81"/>
      <c r="T96" s="81"/>
      <c r="U96" s="81"/>
      <c r="V96" s="81"/>
      <c r="W96" s="81"/>
      <c r="X96" s="81"/>
      <c r="Y96" s="81"/>
      <c r="Z96" s="25"/>
    </row>
    <row r="97" spans="3:26" x14ac:dyDescent="0.3">
      <c r="C97" s="7">
        <v>92</v>
      </c>
      <c r="D97" s="12" t="s">
        <v>419</v>
      </c>
      <c r="E97" s="12" t="s">
        <v>419</v>
      </c>
      <c r="F97" s="12">
        <v>34.5</v>
      </c>
      <c r="G97" s="12" t="s">
        <v>209</v>
      </c>
      <c r="H97" s="12" t="s">
        <v>868</v>
      </c>
      <c r="I97" s="9" t="s">
        <v>113</v>
      </c>
      <c r="J97" s="60"/>
      <c r="K97" s="12">
        <v>0.16500000000000001</v>
      </c>
      <c r="L97" s="12">
        <v>0.10199999999999999</v>
      </c>
      <c r="M97" s="12">
        <v>0.20899999999999999</v>
      </c>
      <c r="N97" s="12">
        <v>0.13</v>
      </c>
      <c r="O97" s="12">
        <v>0.38177999999999995</v>
      </c>
      <c r="P97" s="12">
        <v>0.1849044931849953</v>
      </c>
      <c r="Q97" s="81"/>
      <c r="R97" s="81"/>
      <c r="S97" s="81"/>
      <c r="T97" s="81"/>
      <c r="U97" s="81"/>
      <c r="V97" s="81"/>
      <c r="W97" s="81"/>
      <c r="X97" s="81"/>
      <c r="Y97" s="81"/>
      <c r="Z97" s="25"/>
    </row>
    <row r="98" spans="3:26" x14ac:dyDescent="0.3">
      <c r="C98" s="7">
        <v>93</v>
      </c>
      <c r="D98" s="12" t="s">
        <v>865</v>
      </c>
      <c r="E98" s="12" t="s">
        <v>865</v>
      </c>
      <c r="F98" s="12">
        <v>34.5</v>
      </c>
      <c r="G98" s="12" t="s">
        <v>209</v>
      </c>
      <c r="H98" s="12" t="s">
        <v>868</v>
      </c>
      <c r="I98" s="9" t="s">
        <v>113</v>
      </c>
      <c r="J98" s="60"/>
      <c r="K98" s="12">
        <v>4.5789999999999997</v>
      </c>
      <c r="L98" s="12">
        <v>1.917</v>
      </c>
      <c r="M98" s="12">
        <v>5.569</v>
      </c>
      <c r="N98" s="12">
        <v>1.853</v>
      </c>
      <c r="O98" s="12">
        <v>5.7515000976563</v>
      </c>
      <c r="P98" s="12">
        <v>1.5868200683594</v>
      </c>
      <c r="Q98" s="81"/>
      <c r="R98" s="81"/>
      <c r="S98" s="81"/>
      <c r="T98" s="81"/>
      <c r="U98" s="81"/>
      <c r="V98" s="81"/>
      <c r="W98" s="81"/>
      <c r="X98" s="81"/>
      <c r="Y98" s="81"/>
      <c r="Z98" s="25"/>
    </row>
    <row r="99" spans="3:26" x14ac:dyDescent="0.3">
      <c r="C99" s="7">
        <v>94</v>
      </c>
      <c r="D99" s="12" t="s">
        <v>435</v>
      </c>
      <c r="E99" s="12" t="s">
        <v>435</v>
      </c>
      <c r="F99" s="12">
        <v>34.5</v>
      </c>
      <c r="G99" s="12" t="s">
        <v>209</v>
      </c>
      <c r="H99" s="12" t="s">
        <v>868</v>
      </c>
      <c r="I99" s="9" t="s">
        <v>113</v>
      </c>
      <c r="J99" s="60"/>
      <c r="K99" s="12">
        <v>3.4000000000000002E-2</v>
      </c>
      <c r="L99" s="12">
        <v>2.1000000000000001E-2</v>
      </c>
      <c r="M99" s="12">
        <v>4.3999999999999997E-2</v>
      </c>
      <c r="N99" s="12">
        <v>2.7E-2</v>
      </c>
      <c r="O99" s="12">
        <v>6.9599999999999995E-2</v>
      </c>
      <c r="P99" s="12">
        <v>3.3708818496714525E-2</v>
      </c>
      <c r="Q99" s="81"/>
      <c r="R99" s="81"/>
      <c r="S99" s="81"/>
      <c r="T99" s="81"/>
      <c r="U99" s="81"/>
      <c r="V99" s="81"/>
      <c r="W99" s="81"/>
      <c r="X99" s="81"/>
      <c r="Y99" s="81"/>
      <c r="Z99" s="25"/>
    </row>
    <row r="100" spans="3:26" x14ac:dyDescent="0.3">
      <c r="C100" s="7">
        <v>95</v>
      </c>
      <c r="D100" s="12" t="s">
        <v>443</v>
      </c>
      <c r="E100" s="12" t="s">
        <v>443</v>
      </c>
      <c r="F100" s="12">
        <v>34.5</v>
      </c>
      <c r="G100" s="12" t="s">
        <v>209</v>
      </c>
      <c r="H100" s="12" t="s">
        <v>868</v>
      </c>
      <c r="I100" s="9" t="s">
        <v>113</v>
      </c>
      <c r="J100" s="60"/>
      <c r="K100" s="12">
        <v>0.12576920547945197</v>
      </c>
      <c r="L100" s="12">
        <v>7.7944753041346806E-2</v>
      </c>
      <c r="M100" s="12">
        <v>0.12507928767123308</v>
      </c>
      <c r="N100" s="12">
        <v>7.7517180385739681E-2</v>
      </c>
      <c r="O100" s="12">
        <v>0.26153999999999999</v>
      </c>
      <c r="P100" s="12">
        <v>0.12666960329929194</v>
      </c>
      <c r="Q100" s="81"/>
      <c r="R100" s="81"/>
      <c r="S100" s="81"/>
      <c r="T100" s="81"/>
      <c r="U100" s="81"/>
      <c r="V100" s="81"/>
      <c r="W100" s="81"/>
      <c r="X100" s="81"/>
      <c r="Y100" s="81"/>
      <c r="Z100" s="25"/>
    </row>
    <row r="101" spans="3:26" x14ac:dyDescent="0.3">
      <c r="C101" s="7">
        <v>96</v>
      </c>
      <c r="D101" s="12" t="s">
        <v>439</v>
      </c>
      <c r="E101" s="12" t="s">
        <v>439</v>
      </c>
      <c r="F101" s="12">
        <v>34.5</v>
      </c>
      <c r="G101" s="12" t="s">
        <v>209</v>
      </c>
      <c r="H101" s="12" t="s">
        <v>868</v>
      </c>
      <c r="I101" s="9" t="s">
        <v>113</v>
      </c>
      <c r="J101" s="60"/>
      <c r="K101" s="12">
        <v>0.59869364041096051</v>
      </c>
      <c r="L101" s="12">
        <v>0.37103699408263568</v>
      </c>
      <c r="M101" s="12">
        <v>0.70792641506849241</v>
      </c>
      <c r="N101" s="12">
        <v>0.43873338774470283</v>
      </c>
      <c r="O101" s="12">
        <v>1.07985</v>
      </c>
      <c r="P101" s="12">
        <v>0.52299522490915507</v>
      </c>
      <c r="Q101" s="81"/>
      <c r="R101" s="81"/>
      <c r="S101" s="81"/>
      <c r="T101" s="81"/>
      <c r="U101" s="81"/>
      <c r="V101" s="81"/>
      <c r="W101" s="81"/>
      <c r="X101" s="81"/>
      <c r="Y101" s="81"/>
      <c r="Z101" s="25"/>
    </row>
    <row r="102" spans="3:26" x14ac:dyDescent="0.3">
      <c r="C102" s="7">
        <v>97</v>
      </c>
      <c r="D102" s="12" t="s">
        <v>416</v>
      </c>
      <c r="E102" s="12" t="s">
        <v>416</v>
      </c>
      <c r="F102" s="12">
        <v>34.5</v>
      </c>
      <c r="G102" s="12" t="s">
        <v>209</v>
      </c>
      <c r="H102" s="12" t="s">
        <v>868</v>
      </c>
      <c r="I102" s="9" t="s">
        <v>113</v>
      </c>
      <c r="J102" s="60"/>
      <c r="K102" s="12">
        <v>0.16212256849315373</v>
      </c>
      <c r="L102" s="12">
        <v>0.10047454395100122</v>
      </c>
      <c r="M102" s="12">
        <v>0.20028195616438316</v>
      </c>
      <c r="N102" s="12">
        <v>0.12412360841717479</v>
      </c>
      <c r="O102" s="12">
        <v>0.42442000000000002</v>
      </c>
      <c r="P102" s="12">
        <v>0.102420408702852</v>
      </c>
      <c r="Q102" s="81"/>
      <c r="R102" s="81"/>
      <c r="S102" s="81"/>
      <c r="T102" s="81"/>
      <c r="U102" s="81"/>
      <c r="V102" s="81"/>
      <c r="W102" s="81"/>
      <c r="X102" s="81"/>
      <c r="Y102" s="81"/>
      <c r="Z102" s="25"/>
    </row>
    <row r="103" spans="3:26" x14ac:dyDescent="0.3">
      <c r="C103" s="7">
        <v>98</v>
      </c>
      <c r="D103" s="12" t="s">
        <v>442</v>
      </c>
      <c r="E103" s="12" t="s">
        <v>442</v>
      </c>
      <c r="F103" s="12">
        <v>34.5</v>
      </c>
      <c r="G103" s="12" t="s">
        <v>209</v>
      </c>
      <c r="H103" s="12" t="s">
        <v>868</v>
      </c>
      <c r="I103" s="9" t="s">
        <v>113</v>
      </c>
      <c r="J103" s="60"/>
      <c r="K103" s="12">
        <v>0.22600000000000001</v>
      </c>
      <c r="L103" s="12">
        <v>0.13200000000000001</v>
      </c>
      <c r="M103" s="12">
        <v>3.1800000000000002E-2</v>
      </c>
      <c r="N103" s="12">
        <v>2.0500000000000001E-2</v>
      </c>
      <c r="O103" s="12">
        <v>0.47195999999999999</v>
      </c>
      <c r="P103" s="12">
        <v>0.2285806605992729</v>
      </c>
      <c r="Q103" s="81"/>
      <c r="R103" s="81"/>
      <c r="S103" s="81"/>
      <c r="T103" s="81"/>
      <c r="U103" s="81"/>
      <c r="V103" s="81"/>
      <c r="W103" s="81"/>
      <c r="X103" s="81"/>
      <c r="Y103" s="81"/>
      <c r="Z103" s="25"/>
    </row>
    <row r="104" spans="3:26" x14ac:dyDescent="0.3">
      <c r="C104" s="7">
        <v>99</v>
      </c>
      <c r="D104" s="12" t="s">
        <v>438</v>
      </c>
      <c r="E104" s="12" t="s">
        <v>438</v>
      </c>
      <c r="F104" s="12">
        <v>34.5</v>
      </c>
      <c r="G104" s="12" t="s">
        <v>209</v>
      </c>
      <c r="H104" s="12" t="s">
        <v>868</v>
      </c>
      <c r="I104" s="9" t="s">
        <v>113</v>
      </c>
      <c r="J104" s="60"/>
      <c r="K104" s="12">
        <v>8.8780280821917842E-2</v>
      </c>
      <c r="L104" s="12">
        <v>5.5021076401221093E-2</v>
      </c>
      <c r="M104" s="12">
        <v>0.10378741369863016</v>
      </c>
      <c r="N104" s="12">
        <v>6.4321662037226626E-2</v>
      </c>
      <c r="O104" s="12">
        <v>0.32394000000000001</v>
      </c>
      <c r="P104" s="12">
        <v>0.15689130264117399</v>
      </c>
      <c r="Q104" s="81"/>
      <c r="R104" s="81"/>
      <c r="S104" s="81"/>
      <c r="T104" s="81"/>
      <c r="U104" s="81"/>
      <c r="V104" s="81"/>
      <c r="W104" s="81"/>
      <c r="X104" s="81"/>
      <c r="Y104" s="81"/>
      <c r="Z104" s="25"/>
    </row>
    <row r="105" spans="3:26" x14ac:dyDescent="0.3">
      <c r="C105" s="7">
        <v>100</v>
      </c>
      <c r="D105" s="12" t="s">
        <v>428</v>
      </c>
      <c r="E105" s="12" t="s">
        <v>428</v>
      </c>
      <c r="F105" s="12">
        <v>34.5</v>
      </c>
      <c r="G105" s="12" t="s">
        <v>209</v>
      </c>
      <c r="H105" s="12" t="s">
        <v>868</v>
      </c>
      <c r="I105" s="9" t="s">
        <v>113</v>
      </c>
      <c r="J105" s="60"/>
      <c r="K105" s="12">
        <v>0.20599999999999999</v>
      </c>
      <c r="L105" s="12">
        <v>0.107</v>
      </c>
      <c r="M105" s="12">
        <v>0.2369</v>
      </c>
      <c r="N105" s="12">
        <v>0.11</v>
      </c>
      <c r="O105" s="12">
        <v>0.2369</v>
      </c>
      <c r="P105" s="12">
        <v>0.11</v>
      </c>
      <c r="Q105" s="81"/>
      <c r="R105" s="81"/>
      <c r="S105" s="81"/>
      <c r="T105" s="81"/>
      <c r="U105" s="81"/>
      <c r="V105" s="81"/>
      <c r="W105" s="81"/>
      <c r="X105" s="81"/>
      <c r="Y105" s="81"/>
      <c r="Z105" s="25"/>
    </row>
    <row r="106" spans="3:26" x14ac:dyDescent="0.3">
      <c r="C106" s="7">
        <v>101</v>
      </c>
      <c r="D106" s="12" t="s">
        <v>430</v>
      </c>
      <c r="E106" s="12" t="s">
        <v>430</v>
      </c>
      <c r="F106" s="12">
        <v>34.5</v>
      </c>
      <c r="G106" s="12" t="s">
        <v>209</v>
      </c>
      <c r="H106" s="12" t="s">
        <v>868</v>
      </c>
      <c r="I106" s="9" t="s">
        <v>113</v>
      </c>
      <c r="J106" s="60"/>
      <c r="K106" s="12">
        <v>0.29299999999999998</v>
      </c>
      <c r="L106" s="12">
        <v>0.126</v>
      </c>
      <c r="M106" s="12">
        <v>0.36699999999999999</v>
      </c>
      <c r="N106" s="12">
        <v>0.11</v>
      </c>
      <c r="O106" s="12">
        <v>1.0454400000000001</v>
      </c>
      <c r="P106" s="12">
        <v>0.50632970128168486</v>
      </c>
      <c r="Q106" s="81"/>
      <c r="R106" s="81"/>
      <c r="S106" s="81"/>
      <c r="T106" s="81"/>
      <c r="U106" s="81"/>
      <c r="V106" s="81"/>
      <c r="W106" s="81"/>
      <c r="X106" s="81"/>
      <c r="Y106" s="81"/>
      <c r="Z106" s="25"/>
    </row>
    <row r="107" spans="3:26" x14ac:dyDescent="0.3">
      <c r="C107" s="7">
        <v>102</v>
      </c>
      <c r="D107" s="12" t="s">
        <v>866</v>
      </c>
      <c r="E107" s="12" t="s">
        <v>866</v>
      </c>
      <c r="F107" s="12">
        <v>34.5</v>
      </c>
      <c r="G107" s="12" t="s">
        <v>0</v>
      </c>
      <c r="H107" s="12" t="s">
        <v>868</v>
      </c>
      <c r="I107" s="9" t="s">
        <v>113</v>
      </c>
      <c r="J107" s="60"/>
      <c r="K107" s="12">
        <v>1E-4</v>
      </c>
      <c r="L107" s="12">
        <v>1E-4</v>
      </c>
      <c r="M107" s="12">
        <v>1E-4</v>
      </c>
      <c r="N107" s="12">
        <v>1E-4</v>
      </c>
      <c r="O107" s="12">
        <v>1E-4</v>
      </c>
      <c r="P107" s="12">
        <v>1E-4</v>
      </c>
      <c r="Q107" s="81"/>
      <c r="R107" s="81"/>
      <c r="S107" s="81"/>
      <c r="T107" s="81"/>
      <c r="U107" s="81"/>
      <c r="V107" s="81"/>
      <c r="W107" s="81"/>
      <c r="X107" s="81"/>
      <c r="Y107" s="81"/>
      <c r="Z107" s="25"/>
    </row>
    <row r="108" spans="3:26" x14ac:dyDescent="0.3">
      <c r="C108" s="7">
        <v>103</v>
      </c>
      <c r="D108" s="12" t="s">
        <v>867</v>
      </c>
      <c r="E108" s="12" t="s">
        <v>867</v>
      </c>
      <c r="F108" s="12">
        <v>34.5</v>
      </c>
      <c r="G108" s="12" t="s">
        <v>0</v>
      </c>
      <c r="H108" s="12" t="s">
        <v>868</v>
      </c>
      <c r="I108" s="9" t="s">
        <v>113</v>
      </c>
      <c r="J108" s="60"/>
      <c r="K108" s="12">
        <v>0.01</v>
      </c>
      <c r="L108" s="12">
        <v>5.0000000000000001E-3</v>
      </c>
      <c r="M108" s="12">
        <v>0.01</v>
      </c>
      <c r="N108" s="12">
        <v>5.0000000000000001E-3</v>
      </c>
      <c r="O108" s="12">
        <v>0.01</v>
      </c>
      <c r="P108" s="12">
        <v>5.0000000000000001E-3</v>
      </c>
      <c r="Q108" s="81"/>
      <c r="R108" s="81"/>
      <c r="S108" s="81"/>
      <c r="T108" s="81"/>
      <c r="U108" s="81"/>
      <c r="V108" s="81"/>
      <c r="W108" s="81"/>
      <c r="X108" s="81"/>
      <c r="Y108" s="81"/>
      <c r="Z108" s="25"/>
    </row>
    <row r="109" spans="3:26" x14ac:dyDescent="0.3">
      <c r="C109" s="7">
        <v>104</v>
      </c>
      <c r="D109" s="12" t="s">
        <v>869</v>
      </c>
      <c r="E109" s="12" t="s">
        <v>869</v>
      </c>
      <c r="F109" s="12">
        <v>34.5</v>
      </c>
      <c r="G109" s="12" t="s">
        <v>0</v>
      </c>
      <c r="H109" s="12" t="s">
        <v>304</v>
      </c>
      <c r="I109" s="9" t="s">
        <v>113</v>
      </c>
      <c r="J109" s="60"/>
      <c r="K109" s="185">
        <v>0.3</v>
      </c>
      <c r="L109" s="185">
        <v>0.01</v>
      </c>
      <c r="M109" s="185">
        <v>0.3</v>
      </c>
      <c r="N109" s="185">
        <v>0.01</v>
      </c>
      <c r="O109" s="185">
        <v>0.3</v>
      </c>
      <c r="P109" s="185">
        <v>0.01</v>
      </c>
      <c r="Q109" s="81"/>
      <c r="R109" s="81"/>
      <c r="S109" s="81"/>
      <c r="T109" s="81"/>
      <c r="U109" s="81"/>
      <c r="V109" s="81"/>
      <c r="W109" s="81"/>
      <c r="X109" s="81"/>
      <c r="Y109" s="81"/>
      <c r="Z109" s="25"/>
    </row>
    <row r="110" spans="3:26" x14ac:dyDescent="0.3">
      <c r="C110" s="7">
        <v>105</v>
      </c>
      <c r="D110" s="12" t="s">
        <v>870</v>
      </c>
      <c r="E110" s="12" t="s">
        <v>870</v>
      </c>
      <c r="F110" s="12">
        <v>34.5</v>
      </c>
      <c r="G110" s="12" t="s">
        <v>0</v>
      </c>
      <c r="H110" s="12" t="s">
        <v>304</v>
      </c>
      <c r="I110" s="9" t="s">
        <v>113</v>
      </c>
      <c r="J110" s="60"/>
      <c r="K110" s="185">
        <v>0.54634166666666661</v>
      </c>
      <c r="L110" s="185">
        <v>8.4444444444444454E-3</v>
      </c>
      <c r="M110" s="185">
        <v>0.54634166666666661</v>
      </c>
      <c r="N110" s="185">
        <v>8.4444444444444454E-3</v>
      </c>
      <c r="O110" s="185">
        <v>0.54634166666666661</v>
      </c>
      <c r="P110" s="185">
        <v>8.4444444444444454E-3</v>
      </c>
      <c r="Q110" s="81"/>
      <c r="R110" s="81"/>
      <c r="S110" s="81"/>
      <c r="T110" s="81"/>
      <c r="U110" s="81"/>
      <c r="V110" s="81"/>
      <c r="W110" s="81"/>
      <c r="X110" s="81"/>
      <c r="Y110" s="81"/>
      <c r="Z110" s="25"/>
    </row>
    <row r="111" spans="3:26" x14ac:dyDescent="0.3">
      <c r="C111" s="7">
        <v>106</v>
      </c>
      <c r="D111" s="12" t="s">
        <v>871</v>
      </c>
      <c r="E111" s="12" t="s">
        <v>871</v>
      </c>
      <c r="F111" s="12">
        <v>34.5</v>
      </c>
      <c r="G111" s="12" t="s">
        <v>0</v>
      </c>
      <c r="H111" s="12" t="s">
        <v>304</v>
      </c>
      <c r="I111" s="9" t="s">
        <v>113</v>
      </c>
      <c r="J111" s="60"/>
      <c r="K111" s="185">
        <v>1.2784430555555519</v>
      </c>
      <c r="L111" s="185">
        <v>3.450000000000003E-3</v>
      </c>
      <c r="M111" s="185">
        <v>1.2784430555555519</v>
      </c>
      <c r="N111" s="185">
        <v>3.450000000000003E-3</v>
      </c>
      <c r="O111" s="185">
        <v>1.2784430555555519</v>
      </c>
      <c r="P111" s="185">
        <v>3.450000000000003E-3</v>
      </c>
      <c r="Q111" s="81"/>
      <c r="R111" s="81"/>
      <c r="S111" s="81"/>
      <c r="T111" s="81"/>
      <c r="U111" s="81"/>
      <c r="V111" s="81"/>
      <c r="W111" s="81"/>
      <c r="X111" s="81"/>
      <c r="Y111" s="81"/>
      <c r="Z111" s="25"/>
    </row>
    <row r="112" spans="3:26" x14ac:dyDescent="0.3">
      <c r="C112" s="7">
        <v>107</v>
      </c>
      <c r="D112" s="12" t="s">
        <v>872</v>
      </c>
      <c r="E112" s="12" t="s">
        <v>872</v>
      </c>
      <c r="F112" s="12">
        <v>34.5</v>
      </c>
      <c r="G112" s="12" t="s">
        <v>0</v>
      </c>
      <c r="H112" s="12" t="s">
        <v>304</v>
      </c>
      <c r="I112" s="9" t="s">
        <v>113</v>
      </c>
      <c r="J112" s="60"/>
      <c r="K112" s="185">
        <v>0.01</v>
      </c>
      <c r="L112" s="185">
        <v>5.0000000000000001E-3</v>
      </c>
      <c r="M112" s="185">
        <v>0.01</v>
      </c>
      <c r="N112" s="185">
        <v>5.0000000000000001E-3</v>
      </c>
      <c r="O112" s="185">
        <v>0.01</v>
      </c>
      <c r="P112" s="185">
        <v>5.0000000000000001E-3</v>
      </c>
      <c r="Q112" s="81"/>
      <c r="R112" s="81"/>
      <c r="S112" s="81"/>
      <c r="T112" s="81"/>
      <c r="U112" s="81"/>
      <c r="V112" s="81"/>
      <c r="W112" s="81"/>
      <c r="X112" s="81"/>
      <c r="Y112" s="81"/>
      <c r="Z112" s="25"/>
    </row>
    <row r="113" spans="3:26" x14ac:dyDescent="0.3">
      <c r="C113" s="7">
        <v>108</v>
      </c>
      <c r="D113" s="12" t="s">
        <v>873</v>
      </c>
      <c r="E113" s="12" t="s">
        <v>873</v>
      </c>
      <c r="F113" s="12">
        <v>34.5</v>
      </c>
      <c r="G113" s="12" t="s">
        <v>0</v>
      </c>
      <c r="H113" s="12" t="s">
        <v>304</v>
      </c>
      <c r="I113" s="9" t="s">
        <v>113</v>
      </c>
      <c r="J113" s="60"/>
      <c r="K113" s="185">
        <v>1E-4</v>
      </c>
      <c r="L113" s="185">
        <v>1E-4</v>
      </c>
      <c r="M113" s="185">
        <v>1E-4</v>
      </c>
      <c r="N113" s="185">
        <v>1E-4</v>
      </c>
      <c r="O113" s="185">
        <v>1E-4</v>
      </c>
      <c r="P113" s="185">
        <v>1E-4</v>
      </c>
      <c r="Q113" s="81"/>
      <c r="R113" s="81"/>
      <c r="S113" s="81"/>
      <c r="T113" s="81"/>
      <c r="U113" s="81"/>
      <c r="V113" s="81"/>
      <c r="W113" s="81"/>
      <c r="X113" s="81"/>
      <c r="Y113" s="81"/>
      <c r="Z113" s="25"/>
    </row>
    <row r="114" spans="3:26" x14ac:dyDescent="0.3">
      <c r="C114" s="7">
        <v>109</v>
      </c>
      <c r="D114" s="12" t="s">
        <v>874</v>
      </c>
      <c r="E114" s="12" t="s">
        <v>874</v>
      </c>
      <c r="F114" s="12">
        <v>34.5</v>
      </c>
      <c r="G114" s="12" t="s">
        <v>209</v>
      </c>
      <c r="H114" s="12" t="s">
        <v>304</v>
      </c>
      <c r="I114" s="9" t="s">
        <v>113</v>
      </c>
      <c r="J114" s="60"/>
      <c r="K114" s="185">
        <v>6.765631506849272E-2</v>
      </c>
      <c r="L114" s="185">
        <v>4.1929618220914872E-2</v>
      </c>
      <c r="M114" s="185">
        <v>7.8906936986301343E-2</v>
      </c>
      <c r="N114" s="185">
        <v>4.8902127457990628E-2</v>
      </c>
      <c r="O114" s="185">
        <v>0.11241</v>
      </c>
      <c r="P114" s="185">
        <v>5.4442647804823018E-2</v>
      </c>
      <c r="Q114" s="81"/>
      <c r="R114" s="81"/>
      <c r="S114" s="81"/>
      <c r="T114" s="81"/>
      <c r="U114" s="81"/>
      <c r="V114" s="81"/>
      <c r="W114" s="81"/>
      <c r="X114" s="81"/>
      <c r="Y114" s="81"/>
      <c r="Z114" s="25"/>
    </row>
    <row r="115" spans="3:26" x14ac:dyDescent="0.3">
      <c r="C115" s="7">
        <v>110</v>
      </c>
      <c r="D115" s="12" t="s">
        <v>529</v>
      </c>
      <c r="E115" s="12" t="s">
        <v>529</v>
      </c>
      <c r="F115" s="12">
        <v>34.5</v>
      </c>
      <c r="G115" s="12" t="s">
        <v>209</v>
      </c>
      <c r="H115" s="12" t="s">
        <v>304</v>
      </c>
      <c r="I115" s="9" t="s">
        <v>113</v>
      </c>
      <c r="J115" s="60"/>
      <c r="K115" s="185">
        <v>0.33346680821917979</v>
      </c>
      <c r="L115" s="185">
        <v>0.20666416643918975</v>
      </c>
      <c r="M115" s="185">
        <v>0.36574619178082152</v>
      </c>
      <c r="N115" s="185">
        <v>0.22666913164865946</v>
      </c>
      <c r="O115" s="185">
        <v>0.54971999999999999</v>
      </c>
      <c r="P115" s="185">
        <v>0.26624154747146433</v>
      </c>
      <c r="Q115" s="81"/>
      <c r="R115" s="81"/>
      <c r="S115" s="81"/>
      <c r="T115" s="81"/>
      <c r="U115" s="81"/>
      <c r="V115" s="81"/>
      <c r="W115" s="81"/>
      <c r="X115" s="81"/>
      <c r="Y115" s="81"/>
      <c r="Z115" s="25"/>
    </row>
    <row r="116" spans="3:26" x14ac:dyDescent="0.3">
      <c r="C116" s="7">
        <v>111</v>
      </c>
      <c r="D116" s="12" t="s">
        <v>531</v>
      </c>
      <c r="E116" s="12" t="s">
        <v>531</v>
      </c>
      <c r="F116" s="12">
        <v>34.5</v>
      </c>
      <c r="G116" s="12" t="s">
        <v>209</v>
      </c>
      <c r="H116" s="12" t="s">
        <v>304</v>
      </c>
      <c r="I116" s="9" t="s">
        <v>113</v>
      </c>
      <c r="J116" s="60"/>
      <c r="K116" s="185">
        <v>0.21550810192468015</v>
      </c>
      <c r="L116" s="185">
        <v>0.1508338090199266</v>
      </c>
      <c r="M116" s="185">
        <v>0.2663878477145184</v>
      </c>
      <c r="N116" s="185">
        <v>0.16065497831708722</v>
      </c>
      <c r="O116" s="185">
        <v>0.38200000000000001</v>
      </c>
      <c r="P116" s="185">
        <v>0.25900000000000001</v>
      </c>
      <c r="Q116" s="81"/>
      <c r="R116" s="81"/>
      <c r="S116" s="81"/>
      <c r="T116" s="81"/>
      <c r="U116" s="81"/>
      <c r="V116" s="81"/>
      <c r="W116" s="81"/>
      <c r="X116" s="81"/>
      <c r="Y116" s="81"/>
      <c r="Z116" s="25"/>
    </row>
    <row r="117" spans="3:26" x14ac:dyDescent="0.3">
      <c r="C117" s="7">
        <v>112</v>
      </c>
      <c r="D117" s="12" t="s">
        <v>500</v>
      </c>
      <c r="E117" s="12" t="s">
        <v>500</v>
      </c>
      <c r="F117" s="12">
        <v>34.5</v>
      </c>
      <c r="G117" s="12" t="s">
        <v>209</v>
      </c>
      <c r="H117" s="12" t="s">
        <v>410</v>
      </c>
      <c r="I117" s="9" t="s">
        <v>113</v>
      </c>
      <c r="J117" s="60"/>
      <c r="K117" s="12">
        <v>0.20100000000000001</v>
      </c>
      <c r="L117" s="12">
        <v>0.124</v>
      </c>
      <c r="M117" s="12">
        <v>0.19900000000000001</v>
      </c>
      <c r="N117" s="12">
        <v>0.123</v>
      </c>
      <c r="O117" s="12">
        <v>0.43173</v>
      </c>
      <c r="P117" s="12">
        <v>0.20909638232164618</v>
      </c>
      <c r="Q117" s="81"/>
      <c r="R117" s="81"/>
      <c r="S117" s="81"/>
      <c r="T117" s="81"/>
      <c r="U117" s="81"/>
      <c r="V117" s="81"/>
      <c r="W117" s="81"/>
      <c r="X117" s="81"/>
      <c r="Y117" s="81"/>
      <c r="Z117" s="25"/>
    </row>
    <row r="118" spans="3:26" x14ac:dyDescent="0.3">
      <c r="C118" s="7">
        <v>113</v>
      </c>
      <c r="D118" s="12" t="s">
        <v>385</v>
      </c>
      <c r="E118" s="12" t="s">
        <v>385</v>
      </c>
      <c r="F118" s="12">
        <v>34.5</v>
      </c>
      <c r="G118" s="12" t="s">
        <v>209</v>
      </c>
      <c r="H118" s="12" t="s">
        <v>410</v>
      </c>
      <c r="I118" s="9" t="s">
        <v>113</v>
      </c>
      <c r="J118" s="60"/>
      <c r="K118" s="12">
        <v>2.0244434036543999</v>
      </c>
      <c r="L118" s="12">
        <v>0.58698265410620998</v>
      </c>
      <c r="M118" s="12">
        <v>2.0752244105232398</v>
      </c>
      <c r="N118" s="12">
        <v>0.59154290287834999</v>
      </c>
      <c r="O118" s="12">
        <v>2.7249999046325999</v>
      </c>
      <c r="P118" s="12">
        <v>1.0940001010895</v>
      </c>
      <c r="Q118" s="81"/>
      <c r="R118" s="81"/>
      <c r="S118" s="81"/>
      <c r="T118" s="81"/>
      <c r="U118" s="81"/>
      <c r="V118" s="81"/>
      <c r="W118" s="81"/>
      <c r="X118" s="81"/>
      <c r="Y118" s="81"/>
      <c r="Z118" s="25"/>
    </row>
    <row r="119" spans="3:26" x14ac:dyDescent="0.3">
      <c r="C119" s="7">
        <v>114</v>
      </c>
      <c r="D119" s="12" t="s">
        <v>499</v>
      </c>
      <c r="E119" s="12" t="s">
        <v>499</v>
      </c>
      <c r="F119" s="12">
        <v>34.5</v>
      </c>
      <c r="G119" s="12" t="s">
        <v>209</v>
      </c>
      <c r="H119" s="12" t="s">
        <v>410</v>
      </c>
      <c r="I119" s="9" t="s">
        <v>113</v>
      </c>
      <c r="J119" s="60"/>
      <c r="K119" s="12">
        <v>0.27</v>
      </c>
      <c r="L119" s="12">
        <v>0.16700000000000001</v>
      </c>
      <c r="M119" s="12">
        <v>0.16900000000000001</v>
      </c>
      <c r="N119" s="12">
        <v>0.105</v>
      </c>
      <c r="O119" s="12">
        <v>0.52529999999999999</v>
      </c>
      <c r="P119" s="12">
        <v>0.25441440167132401</v>
      </c>
      <c r="Q119" s="81"/>
      <c r="R119" s="81"/>
      <c r="S119" s="81"/>
      <c r="T119" s="81"/>
      <c r="U119" s="81"/>
      <c r="V119" s="81"/>
      <c r="W119" s="81"/>
      <c r="X119" s="81"/>
      <c r="Y119" s="81"/>
      <c r="Z119" s="25"/>
    </row>
    <row r="120" spans="3:26" x14ac:dyDescent="0.3">
      <c r="C120" s="7">
        <v>115</v>
      </c>
      <c r="D120" s="12" t="s">
        <v>512</v>
      </c>
      <c r="E120" s="12" t="s">
        <v>512</v>
      </c>
      <c r="F120" s="12">
        <v>34.5</v>
      </c>
      <c r="G120" s="12" t="s">
        <v>209</v>
      </c>
      <c r="H120" s="12" t="s">
        <v>410</v>
      </c>
      <c r="I120" s="9" t="s">
        <v>113</v>
      </c>
      <c r="J120" s="60"/>
      <c r="K120" s="12">
        <v>0.42299999999999999</v>
      </c>
      <c r="L120" s="12">
        <v>0.127</v>
      </c>
      <c r="M120" s="12">
        <v>0.41799999999999998</v>
      </c>
      <c r="N120" s="12">
        <v>0.11899999999999999</v>
      </c>
      <c r="O120" s="12">
        <v>0.76539999999999997</v>
      </c>
      <c r="P120" s="12">
        <v>0.27800000000000002</v>
      </c>
      <c r="Q120" s="81"/>
      <c r="R120" s="81"/>
      <c r="S120" s="81"/>
      <c r="T120" s="81"/>
      <c r="U120" s="81"/>
      <c r="V120" s="81"/>
      <c r="W120" s="81"/>
      <c r="X120" s="81"/>
      <c r="Y120" s="81"/>
      <c r="Z120" s="25"/>
    </row>
    <row r="121" spans="3:26" x14ac:dyDescent="0.3">
      <c r="C121" s="7">
        <v>116</v>
      </c>
      <c r="D121" s="12" t="s">
        <v>460</v>
      </c>
      <c r="E121" s="12" t="s">
        <v>460</v>
      </c>
      <c r="F121" s="12">
        <v>34.5</v>
      </c>
      <c r="G121" s="12" t="s">
        <v>209</v>
      </c>
      <c r="H121" s="12" t="s">
        <v>410</v>
      </c>
      <c r="I121" s="9" t="s">
        <v>113</v>
      </c>
      <c r="J121" s="60"/>
      <c r="K121" s="12">
        <v>8.3000000000000004E-2</v>
      </c>
      <c r="L121" s="12">
        <v>5.0999999999999997E-2</v>
      </c>
      <c r="M121" s="12">
        <v>6.5000000000000002E-2</v>
      </c>
      <c r="N121" s="12">
        <v>4.1000000000000002E-2</v>
      </c>
      <c r="O121" s="12">
        <v>0.35099999999999998</v>
      </c>
      <c r="P121" s="12">
        <v>0.16999705879808616</v>
      </c>
      <c r="Q121" s="81"/>
      <c r="R121" s="81"/>
      <c r="S121" s="81"/>
      <c r="T121" s="81"/>
      <c r="U121" s="81"/>
      <c r="V121" s="81"/>
      <c r="W121" s="81"/>
      <c r="X121" s="81"/>
      <c r="Y121" s="81"/>
      <c r="Z121" s="25"/>
    </row>
    <row r="122" spans="3:26" x14ac:dyDescent="0.3">
      <c r="C122" s="7">
        <v>117</v>
      </c>
      <c r="D122" s="12" t="s">
        <v>411</v>
      </c>
      <c r="E122" s="12" t="s">
        <v>411</v>
      </c>
      <c r="F122" s="12">
        <v>34.5</v>
      </c>
      <c r="G122" s="12" t="s">
        <v>209</v>
      </c>
      <c r="H122" s="12" t="s">
        <v>410</v>
      </c>
      <c r="I122" s="9" t="s">
        <v>113</v>
      </c>
      <c r="J122" s="60"/>
      <c r="K122" s="12">
        <v>0.77700000000000002</v>
      </c>
      <c r="L122" s="12">
        <v>0.40799999999999997</v>
      </c>
      <c r="M122" s="12">
        <v>0.95499999999999996</v>
      </c>
      <c r="N122" s="12">
        <v>0.36199999999999999</v>
      </c>
      <c r="O122" s="12">
        <v>1.1358001232146999</v>
      </c>
      <c r="P122" s="12">
        <v>0.44700000000000001</v>
      </c>
      <c r="Q122" s="81"/>
      <c r="R122" s="81"/>
      <c r="S122" s="81"/>
      <c r="T122" s="81"/>
      <c r="U122" s="81"/>
      <c r="V122" s="81"/>
      <c r="W122" s="81"/>
      <c r="X122" s="81"/>
      <c r="Y122" s="81"/>
      <c r="Z122" s="25"/>
    </row>
    <row r="123" spans="3:26" x14ac:dyDescent="0.3">
      <c r="C123" s="7">
        <v>118</v>
      </c>
      <c r="D123" s="12" t="s">
        <v>413</v>
      </c>
      <c r="E123" s="12" t="s">
        <v>413</v>
      </c>
      <c r="F123" s="12">
        <v>34.5</v>
      </c>
      <c r="G123" s="12" t="s">
        <v>209</v>
      </c>
      <c r="H123" s="12" t="s">
        <v>410</v>
      </c>
      <c r="I123" s="9" t="s">
        <v>113</v>
      </c>
      <c r="J123" s="60"/>
      <c r="K123" s="12">
        <v>0.76300000000000001</v>
      </c>
      <c r="L123" s="12">
        <v>0.33500000000000002</v>
      </c>
      <c r="M123" s="12">
        <v>0.81200000000000006</v>
      </c>
      <c r="N123" s="12">
        <v>0.32300000000000001</v>
      </c>
      <c r="O123" s="12">
        <v>1.0700000762940001</v>
      </c>
      <c r="P123" s="12">
        <v>0.42299999999999999</v>
      </c>
      <c r="Q123" s="81"/>
      <c r="R123" s="81"/>
      <c r="S123" s="81"/>
      <c r="T123" s="81"/>
      <c r="U123" s="81"/>
      <c r="V123" s="81"/>
      <c r="W123" s="81"/>
      <c r="X123" s="81"/>
      <c r="Y123" s="81"/>
      <c r="Z123" s="25"/>
    </row>
    <row r="124" spans="3:26" x14ac:dyDescent="0.3">
      <c r="C124" s="7">
        <v>119</v>
      </c>
      <c r="D124" s="12" t="s">
        <v>414</v>
      </c>
      <c r="E124" s="12" t="s">
        <v>414</v>
      </c>
      <c r="F124" s="12">
        <v>34.5</v>
      </c>
      <c r="G124" s="12" t="s">
        <v>209</v>
      </c>
      <c r="H124" s="12" t="s">
        <v>410</v>
      </c>
      <c r="I124" s="9" t="s">
        <v>113</v>
      </c>
      <c r="J124" s="60"/>
      <c r="K124" s="12">
        <v>0.22069333961223173</v>
      </c>
      <c r="L124" s="12">
        <v>0.12780937712071319</v>
      </c>
      <c r="M124" s="12">
        <v>0.28077776783717273</v>
      </c>
      <c r="N124" s="12">
        <v>0.1093898121225671</v>
      </c>
      <c r="O124" s="12">
        <v>0.45679999999999998</v>
      </c>
      <c r="P124" s="12">
        <v>0.17580000000000001</v>
      </c>
      <c r="Q124" s="81"/>
      <c r="R124" s="81"/>
      <c r="S124" s="81"/>
      <c r="T124" s="81"/>
      <c r="U124" s="81"/>
      <c r="V124" s="81"/>
      <c r="W124" s="81"/>
      <c r="X124" s="81"/>
      <c r="Y124" s="81"/>
      <c r="Z124" s="25"/>
    </row>
    <row r="125" spans="3:26" x14ac:dyDescent="0.3">
      <c r="C125" s="7">
        <v>120</v>
      </c>
      <c r="D125" s="12" t="s">
        <v>410</v>
      </c>
      <c r="E125" s="12" t="s">
        <v>410</v>
      </c>
      <c r="F125" s="12">
        <v>34.5</v>
      </c>
      <c r="G125" s="12" t="s">
        <v>209</v>
      </c>
      <c r="H125" s="12" t="s">
        <v>410</v>
      </c>
      <c r="I125" s="9" t="s">
        <v>113</v>
      </c>
      <c r="J125" s="60"/>
      <c r="K125" s="12">
        <v>0.78400000000000003</v>
      </c>
      <c r="L125" s="12">
        <v>0.31</v>
      </c>
      <c r="M125" s="12">
        <v>0.78700000000000003</v>
      </c>
      <c r="N125" s="12">
        <v>0.311</v>
      </c>
      <c r="O125" s="12">
        <v>1.0860000000000001</v>
      </c>
      <c r="P125" s="12">
        <v>0.42899999999999999</v>
      </c>
      <c r="Q125" s="81"/>
      <c r="R125" s="81"/>
      <c r="S125" s="81"/>
      <c r="T125" s="81"/>
      <c r="U125" s="81"/>
      <c r="V125" s="81"/>
      <c r="W125" s="81"/>
      <c r="X125" s="81"/>
      <c r="Y125" s="81"/>
      <c r="Z125" s="25"/>
    </row>
    <row r="126" spans="3:26" x14ac:dyDescent="0.3">
      <c r="C126" s="7">
        <v>121</v>
      </c>
      <c r="D126" s="12" t="s">
        <v>601</v>
      </c>
      <c r="E126" s="12" t="s">
        <v>601</v>
      </c>
      <c r="F126" s="12">
        <v>34.5</v>
      </c>
      <c r="G126" s="12" t="s">
        <v>209</v>
      </c>
      <c r="H126" s="12" t="s">
        <v>596</v>
      </c>
      <c r="I126" s="9" t="s">
        <v>113</v>
      </c>
      <c r="J126" s="60"/>
      <c r="K126" s="185">
        <v>0.34899999999999998</v>
      </c>
      <c r="L126" s="185">
        <v>0.20799999999999999</v>
      </c>
      <c r="M126" s="185">
        <v>0.41399999999999998</v>
      </c>
      <c r="N126" s="185">
        <v>0.183</v>
      </c>
      <c r="O126" s="185">
        <v>0.63549997806549996</v>
      </c>
      <c r="P126" s="185">
        <v>0.30759999156000001</v>
      </c>
      <c r="Q126" s="81"/>
      <c r="R126" s="81"/>
      <c r="S126" s="81"/>
      <c r="T126" s="81"/>
      <c r="U126" s="81"/>
      <c r="V126" s="81"/>
      <c r="W126" s="81"/>
      <c r="X126" s="81"/>
      <c r="Y126" s="81"/>
      <c r="Z126" s="25"/>
    </row>
    <row r="127" spans="3:26" x14ac:dyDescent="0.3">
      <c r="C127" s="7">
        <v>122</v>
      </c>
      <c r="D127" s="12" t="s">
        <v>594</v>
      </c>
      <c r="E127" s="12" t="s">
        <v>594</v>
      </c>
      <c r="F127" s="12">
        <v>34.5</v>
      </c>
      <c r="G127" s="12" t="s">
        <v>209</v>
      </c>
      <c r="H127" s="12" t="s">
        <v>596</v>
      </c>
      <c r="I127" s="9" t="s">
        <v>113</v>
      </c>
      <c r="J127" s="60"/>
      <c r="K127" s="185">
        <v>2.14</v>
      </c>
      <c r="L127" s="185">
        <v>1.204</v>
      </c>
      <c r="M127" s="185">
        <v>3.2490000000000001</v>
      </c>
      <c r="N127" s="185">
        <v>1.9790000000000001</v>
      </c>
      <c r="O127" s="185">
        <v>3.2483999729156001</v>
      </c>
      <c r="P127" s="185">
        <v>1.5934999465941999</v>
      </c>
      <c r="Q127" s="81"/>
      <c r="R127" s="81"/>
      <c r="S127" s="81"/>
      <c r="T127" s="81"/>
      <c r="U127" s="81"/>
      <c r="V127" s="81"/>
      <c r="W127" s="81"/>
      <c r="X127" s="81"/>
      <c r="Y127" s="81"/>
      <c r="Z127" s="25"/>
    </row>
    <row r="128" spans="3:26" x14ac:dyDescent="0.3">
      <c r="C128" s="7">
        <v>123</v>
      </c>
      <c r="D128" s="12" t="s">
        <v>608</v>
      </c>
      <c r="E128" s="12" t="s">
        <v>608</v>
      </c>
      <c r="F128" s="12">
        <v>34.5</v>
      </c>
      <c r="G128" s="12" t="s">
        <v>209</v>
      </c>
      <c r="H128" s="12" t="s">
        <v>596</v>
      </c>
      <c r="I128" s="9" t="s">
        <v>113</v>
      </c>
      <c r="J128" s="60"/>
      <c r="K128" s="185">
        <v>0.20379300137362538</v>
      </c>
      <c r="L128" s="185">
        <v>0.12629955880747998</v>
      </c>
      <c r="M128" s="185">
        <v>0.27185424725274776</v>
      </c>
      <c r="N128" s="185">
        <v>0.16848013060572756</v>
      </c>
      <c r="O128" s="185">
        <v>0.27185424725274776</v>
      </c>
      <c r="P128" s="185">
        <v>0.16848013060572756</v>
      </c>
      <c r="Q128" s="81"/>
      <c r="R128" s="81"/>
      <c r="S128" s="81"/>
      <c r="T128" s="81"/>
      <c r="U128" s="81"/>
      <c r="V128" s="81"/>
      <c r="W128" s="81"/>
      <c r="X128" s="81"/>
      <c r="Y128" s="81"/>
      <c r="Z128" s="25"/>
    </row>
    <row r="129" spans="3:26" x14ac:dyDescent="0.3">
      <c r="C129" s="7">
        <v>124</v>
      </c>
      <c r="D129" s="12" t="s">
        <v>599</v>
      </c>
      <c r="E129" s="12" t="s">
        <v>599</v>
      </c>
      <c r="F129" s="12">
        <v>34.5</v>
      </c>
      <c r="G129" s="12" t="s">
        <v>209</v>
      </c>
      <c r="H129" s="12" t="s">
        <v>596</v>
      </c>
      <c r="I129" s="9" t="s">
        <v>113</v>
      </c>
      <c r="J129" s="60"/>
      <c r="K129" s="185">
        <v>0.59499999999999997</v>
      </c>
      <c r="L129" s="185">
        <v>0.626</v>
      </c>
      <c r="M129" s="185">
        <v>0.74</v>
      </c>
      <c r="N129" s="185">
        <v>0.628</v>
      </c>
      <c r="O129" s="185">
        <v>1.1268000364304001</v>
      </c>
      <c r="P129" s="185">
        <v>0.97760003805160001</v>
      </c>
      <c r="Q129" s="81"/>
      <c r="R129" s="81"/>
      <c r="S129" s="81"/>
      <c r="T129" s="81"/>
      <c r="U129" s="81"/>
      <c r="V129" s="81"/>
      <c r="W129" s="81"/>
      <c r="X129" s="81"/>
      <c r="Y129" s="81"/>
      <c r="Z129" s="25"/>
    </row>
    <row r="130" spans="3:26" x14ac:dyDescent="0.3">
      <c r="C130" s="7">
        <v>125</v>
      </c>
      <c r="D130" s="12" t="s">
        <v>603</v>
      </c>
      <c r="E130" s="12" t="s">
        <v>603</v>
      </c>
      <c r="F130" s="12">
        <v>34.5</v>
      </c>
      <c r="G130" s="12" t="s">
        <v>209</v>
      </c>
      <c r="H130" s="12" t="s">
        <v>596</v>
      </c>
      <c r="I130" s="9" t="s">
        <v>113</v>
      </c>
      <c r="J130" s="60"/>
      <c r="K130" s="185">
        <v>0.23100000000000001</v>
      </c>
      <c r="L130" s="185">
        <v>0.14080000000000001</v>
      </c>
      <c r="M130" s="185">
        <v>0.23100000000000001</v>
      </c>
      <c r="N130" s="185">
        <v>0.13700000000000001</v>
      </c>
      <c r="O130" s="185">
        <v>0.65700000524519997</v>
      </c>
      <c r="P130" s="185">
        <v>0.28600001335140002</v>
      </c>
      <c r="Q130" s="81"/>
      <c r="R130" s="81"/>
      <c r="S130" s="81"/>
      <c r="T130" s="81"/>
      <c r="U130" s="81"/>
      <c r="V130" s="81"/>
      <c r="W130" s="81"/>
      <c r="X130" s="81"/>
      <c r="Y130" s="81"/>
      <c r="Z130" s="25"/>
    </row>
    <row r="131" spans="3:26" x14ac:dyDescent="0.3">
      <c r="C131" s="7">
        <v>126</v>
      </c>
      <c r="D131" s="12" t="s">
        <v>875</v>
      </c>
      <c r="E131" s="12" t="s">
        <v>875</v>
      </c>
      <c r="F131" s="12">
        <v>34.5</v>
      </c>
      <c r="G131" s="12" t="s">
        <v>135</v>
      </c>
      <c r="H131" s="12" t="s">
        <v>596</v>
      </c>
      <c r="I131" s="9" t="s">
        <v>113</v>
      </c>
      <c r="J131" s="60"/>
      <c r="K131" s="185">
        <v>3.5669444444444441E-2</v>
      </c>
      <c r="L131" s="185">
        <v>4.6666666666666672E-4</v>
      </c>
      <c r="M131" s="185">
        <v>3.5669444444444441E-2</v>
      </c>
      <c r="N131" s="185">
        <v>4.6666666666666672E-4</v>
      </c>
      <c r="O131" s="185">
        <v>3.5669444444444441E-2</v>
      </c>
      <c r="P131" s="185">
        <v>4.6666666666666672E-4</v>
      </c>
      <c r="Q131" s="81"/>
      <c r="R131" s="81"/>
      <c r="S131" s="81"/>
      <c r="T131" s="81"/>
      <c r="U131" s="81"/>
      <c r="V131" s="81"/>
      <c r="W131" s="81"/>
      <c r="X131" s="81"/>
      <c r="Y131" s="81"/>
      <c r="Z131" s="25"/>
    </row>
    <row r="132" spans="3:26" x14ac:dyDescent="0.3">
      <c r="C132" s="7">
        <v>127</v>
      </c>
      <c r="D132" s="12" t="s">
        <v>392</v>
      </c>
      <c r="E132" s="12" t="s">
        <v>392</v>
      </c>
      <c r="F132" s="12">
        <v>34.5</v>
      </c>
      <c r="G132" s="12" t="s">
        <v>209</v>
      </c>
      <c r="H132" s="12" t="s">
        <v>447</v>
      </c>
      <c r="I132" s="9" t="s">
        <v>113</v>
      </c>
      <c r="J132" s="60"/>
      <c r="K132" s="184">
        <v>0.19324736986301333</v>
      </c>
      <c r="L132" s="184">
        <v>0.11976396338389281</v>
      </c>
      <c r="M132" s="184">
        <v>0.22945130958904059</v>
      </c>
      <c r="N132" s="184">
        <v>0.14220115005698533</v>
      </c>
      <c r="O132" s="184">
        <v>0.41226000000000002</v>
      </c>
      <c r="P132" s="184">
        <v>0.19966663094045309</v>
      </c>
      <c r="Q132" s="81"/>
      <c r="R132" s="81"/>
      <c r="S132" s="81"/>
      <c r="T132" s="81"/>
      <c r="U132" s="81"/>
      <c r="V132" s="81"/>
      <c r="W132" s="81"/>
      <c r="X132" s="81"/>
      <c r="Y132" s="81"/>
      <c r="Z132" s="25"/>
    </row>
    <row r="133" spans="3:26" x14ac:dyDescent="0.3">
      <c r="C133" s="7">
        <v>128</v>
      </c>
      <c r="D133" s="12" t="s">
        <v>619</v>
      </c>
      <c r="E133" s="12" t="s">
        <v>619</v>
      </c>
      <c r="F133" s="12">
        <v>34.5</v>
      </c>
      <c r="G133" s="12" t="s">
        <v>209</v>
      </c>
      <c r="H133" s="12" t="s">
        <v>447</v>
      </c>
      <c r="I133" s="9" t="s">
        <v>113</v>
      </c>
      <c r="J133" s="60"/>
      <c r="K133" s="184">
        <v>0.1209021369863027</v>
      </c>
      <c r="L133" s="184">
        <v>7.4928414898097401E-2</v>
      </c>
      <c r="M133" s="184">
        <v>0.14458063561643836</v>
      </c>
      <c r="N133" s="184">
        <v>8.9603030366009598E-2</v>
      </c>
      <c r="O133" s="184">
        <v>1.2110399999999999</v>
      </c>
      <c r="P133" s="184">
        <v>0.58653344184283296</v>
      </c>
      <c r="Q133" s="81"/>
      <c r="R133" s="81"/>
      <c r="S133" s="81"/>
      <c r="T133" s="81"/>
      <c r="U133" s="81"/>
      <c r="V133" s="81"/>
      <c r="W133" s="81"/>
      <c r="X133" s="81"/>
      <c r="Y133" s="81"/>
      <c r="Z133" s="25"/>
    </row>
    <row r="134" spans="3:26" x14ac:dyDescent="0.3">
      <c r="C134" s="7">
        <v>129</v>
      </c>
      <c r="D134" s="12" t="s">
        <v>623</v>
      </c>
      <c r="E134" s="12" t="s">
        <v>623</v>
      </c>
      <c r="F134" s="12">
        <v>34.5</v>
      </c>
      <c r="G134" s="12" t="s">
        <v>209</v>
      </c>
      <c r="H134" s="12" t="s">
        <v>447</v>
      </c>
      <c r="I134" s="9" t="s">
        <v>113</v>
      </c>
      <c r="J134" s="60"/>
      <c r="K134" s="184">
        <v>0.39529613013697595</v>
      </c>
      <c r="L134" s="184">
        <v>0.24498253864504682</v>
      </c>
      <c r="M134" s="184">
        <v>0.48557337534246586</v>
      </c>
      <c r="N134" s="184">
        <v>0.30093135024777773</v>
      </c>
      <c r="O134" s="184">
        <v>1.1544300000000001</v>
      </c>
      <c r="P134" s="184">
        <v>0.55911596748796177</v>
      </c>
      <c r="Q134" s="81"/>
      <c r="R134" s="81"/>
      <c r="S134" s="81"/>
      <c r="T134" s="81"/>
      <c r="U134" s="81"/>
      <c r="V134" s="81"/>
      <c r="W134" s="81"/>
      <c r="X134" s="81"/>
      <c r="Y134" s="81"/>
      <c r="Z134" s="25"/>
    </row>
    <row r="135" spans="3:26" x14ac:dyDescent="0.3">
      <c r="C135" s="7">
        <v>130</v>
      </c>
      <c r="D135" s="12" t="s">
        <v>876</v>
      </c>
      <c r="E135" s="12" t="s">
        <v>876</v>
      </c>
      <c r="F135" s="12">
        <v>34.5</v>
      </c>
      <c r="G135" s="12" t="s">
        <v>209</v>
      </c>
      <c r="H135" s="12" t="s">
        <v>447</v>
      </c>
      <c r="I135" s="9" t="s">
        <v>113</v>
      </c>
      <c r="J135" s="60"/>
      <c r="K135" s="184">
        <v>1.7</v>
      </c>
      <c r="L135" s="184">
        <v>0.2</v>
      </c>
      <c r="M135" s="184">
        <v>1.7</v>
      </c>
      <c r="N135" s="184">
        <v>0.2</v>
      </c>
      <c r="O135" s="184">
        <v>1.7</v>
      </c>
      <c r="P135" s="184">
        <v>0.2</v>
      </c>
      <c r="Q135" s="81"/>
      <c r="R135" s="81"/>
      <c r="S135" s="81"/>
      <c r="T135" s="81"/>
      <c r="U135" s="81"/>
      <c r="V135" s="81"/>
      <c r="W135" s="81"/>
      <c r="X135" s="81"/>
      <c r="Y135" s="81"/>
      <c r="Z135" s="25"/>
    </row>
    <row r="136" spans="3:26" x14ac:dyDescent="0.3">
      <c r="C136" s="7">
        <v>131</v>
      </c>
      <c r="D136" s="12" t="s">
        <v>452</v>
      </c>
      <c r="E136" s="12" t="s">
        <v>452</v>
      </c>
      <c r="F136" s="12">
        <v>34.5</v>
      </c>
      <c r="G136" s="12" t="s">
        <v>209</v>
      </c>
      <c r="H136" s="12" t="s">
        <v>447</v>
      </c>
      <c r="I136" s="9" t="s">
        <v>113</v>
      </c>
      <c r="J136" s="60"/>
      <c r="K136" s="184">
        <v>0.52727832891965054</v>
      </c>
      <c r="L136" s="184">
        <v>1.1762095226019875</v>
      </c>
      <c r="M136" s="184">
        <v>0.50035130780269965</v>
      </c>
      <c r="N136" s="184">
        <v>1.3976458248173584</v>
      </c>
      <c r="O136" s="184">
        <v>0.68079999685290005</v>
      </c>
      <c r="P136" s="184">
        <v>1.8145400047302001</v>
      </c>
      <c r="Q136" s="81"/>
      <c r="R136" s="81"/>
      <c r="S136" s="81"/>
      <c r="T136" s="81"/>
      <c r="U136" s="81"/>
      <c r="V136" s="81"/>
      <c r="W136" s="81"/>
      <c r="X136" s="81"/>
      <c r="Y136" s="81"/>
      <c r="Z136" s="25"/>
    </row>
    <row r="137" spans="3:26" x14ac:dyDescent="0.3">
      <c r="C137" s="7">
        <v>132</v>
      </c>
      <c r="D137" s="12" t="s">
        <v>455</v>
      </c>
      <c r="E137" s="12" t="s">
        <v>455</v>
      </c>
      <c r="F137" s="12">
        <v>34.5</v>
      </c>
      <c r="G137" s="12" t="s">
        <v>209</v>
      </c>
      <c r="H137" s="12" t="s">
        <v>447</v>
      </c>
      <c r="I137" s="9" t="s">
        <v>113</v>
      </c>
      <c r="J137" s="60"/>
      <c r="K137" s="184">
        <v>0.17329898630137147</v>
      </c>
      <c r="L137" s="184">
        <v>0.10740106561127175</v>
      </c>
      <c r="M137" s="184">
        <v>0.1840885150684928</v>
      </c>
      <c r="N137" s="184">
        <v>0.11408781497873256</v>
      </c>
      <c r="O137" s="184">
        <v>0.25974000000000003</v>
      </c>
      <c r="P137" s="184">
        <v>0.1257978235105838</v>
      </c>
      <c r="Q137" s="81"/>
      <c r="R137" s="81"/>
      <c r="S137" s="81"/>
      <c r="T137" s="81"/>
      <c r="U137" s="81"/>
      <c r="V137" s="81"/>
      <c r="W137" s="81"/>
      <c r="X137" s="81"/>
      <c r="Y137" s="81"/>
      <c r="Z137" s="25"/>
    </row>
    <row r="138" spans="3:26" x14ac:dyDescent="0.3">
      <c r="C138" s="7">
        <v>133</v>
      </c>
      <c r="D138" s="12" t="s">
        <v>393</v>
      </c>
      <c r="E138" s="12" t="s">
        <v>393</v>
      </c>
      <c r="F138" s="12">
        <v>34.5</v>
      </c>
      <c r="G138" s="12" t="s">
        <v>209</v>
      </c>
      <c r="H138" s="12" t="s">
        <v>447</v>
      </c>
      <c r="I138" s="9" t="s">
        <v>113</v>
      </c>
      <c r="J138" s="60"/>
      <c r="K138" s="184">
        <v>0.27784419863014642</v>
      </c>
      <c r="L138" s="184">
        <v>0.17219236905918023</v>
      </c>
      <c r="M138" s="184">
        <v>0.30608299726027444</v>
      </c>
      <c r="N138" s="184">
        <v>0.18969320463350736</v>
      </c>
      <c r="O138" s="184">
        <v>0.59390999999999994</v>
      </c>
      <c r="P138" s="184">
        <v>0.28764374128424902</v>
      </c>
      <c r="Q138" s="81"/>
      <c r="R138" s="81"/>
      <c r="S138" s="81"/>
      <c r="T138" s="81"/>
      <c r="U138" s="81"/>
      <c r="V138" s="81"/>
      <c r="W138" s="81"/>
      <c r="X138" s="81"/>
      <c r="Y138" s="81"/>
      <c r="Z138" s="25"/>
    </row>
    <row r="139" spans="3:26" x14ac:dyDescent="0.3">
      <c r="C139" s="7">
        <v>134</v>
      </c>
      <c r="D139" s="12" t="s">
        <v>877</v>
      </c>
      <c r="E139" s="12" t="s">
        <v>877</v>
      </c>
      <c r="F139" s="12">
        <v>34.5</v>
      </c>
      <c r="G139" s="12" t="s">
        <v>209</v>
      </c>
      <c r="H139" s="12" t="s">
        <v>447</v>
      </c>
      <c r="I139" s="9" t="s">
        <v>113</v>
      </c>
      <c r="J139" s="60"/>
      <c r="K139" s="184">
        <v>0.11669305555555555</v>
      </c>
      <c r="L139" s="184">
        <v>2.5527777777777779E-3</v>
      </c>
      <c r="M139" s="184">
        <v>0.11669305555555555</v>
      </c>
      <c r="N139" s="184">
        <v>2.5527777777777779E-3</v>
      </c>
      <c r="O139" s="184">
        <v>0.11669305555555555</v>
      </c>
      <c r="P139" s="184">
        <v>2.5527777777777779E-3</v>
      </c>
      <c r="Q139" s="81"/>
      <c r="R139" s="81"/>
      <c r="S139" s="81"/>
      <c r="T139" s="81"/>
      <c r="U139" s="81"/>
      <c r="V139" s="81"/>
      <c r="W139" s="81"/>
      <c r="X139" s="81"/>
      <c r="Y139" s="81"/>
      <c r="Z139" s="25"/>
    </row>
    <row r="140" spans="3:26" x14ac:dyDescent="0.3">
      <c r="C140" s="7">
        <v>135</v>
      </c>
      <c r="D140" s="12" t="s">
        <v>447</v>
      </c>
      <c r="E140" s="12" t="s">
        <v>447</v>
      </c>
      <c r="F140" s="12">
        <v>34.5</v>
      </c>
      <c r="G140" s="12" t="s">
        <v>209</v>
      </c>
      <c r="H140" s="12" t="s">
        <v>447</v>
      </c>
      <c r="I140" s="9" t="s">
        <v>113</v>
      </c>
      <c r="J140" s="60"/>
      <c r="K140" s="184">
        <v>0.99465741388386242</v>
      </c>
      <c r="L140" s="184">
        <v>0.60086714012036213</v>
      </c>
      <c r="M140" s="184">
        <v>1.3743013323599753</v>
      </c>
      <c r="N140" s="184">
        <v>0.78337402582686821</v>
      </c>
      <c r="O140" s="184">
        <v>2.3234274387360001</v>
      </c>
      <c r="P140" s="184">
        <v>1.133751511574</v>
      </c>
      <c r="Q140" s="81"/>
      <c r="R140" s="81"/>
      <c r="S140" s="81"/>
      <c r="T140" s="81"/>
      <c r="U140" s="81"/>
      <c r="V140" s="81"/>
      <c r="W140" s="81"/>
      <c r="X140" s="81"/>
      <c r="Y140" s="81"/>
      <c r="Z140" s="25"/>
    </row>
    <row r="141" spans="3:26" x14ac:dyDescent="0.3">
      <c r="C141" s="7">
        <v>136</v>
      </c>
      <c r="D141" s="12" t="s">
        <v>546</v>
      </c>
      <c r="E141" s="12" t="s">
        <v>546</v>
      </c>
      <c r="F141" s="12">
        <v>34.5</v>
      </c>
      <c r="G141" s="12" t="s">
        <v>209</v>
      </c>
      <c r="H141" s="12" t="s">
        <v>447</v>
      </c>
      <c r="I141" s="9" t="s">
        <v>113</v>
      </c>
      <c r="J141" s="60"/>
      <c r="K141" s="184">
        <v>0.35007916666666755</v>
      </c>
      <c r="L141" s="184">
        <v>5.1055555555555576E-3</v>
      </c>
      <c r="M141" s="184">
        <v>0.35007916666666755</v>
      </c>
      <c r="N141" s="184">
        <v>5.1055555555555576E-3</v>
      </c>
      <c r="O141" s="184">
        <v>0.35007916666666755</v>
      </c>
      <c r="P141" s="184">
        <v>5.1055555555555576E-3</v>
      </c>
      <c r="Q141" s="81"/>
      <c r="R141" s="81"/>
      <c r="S141" s="81"/>
      <c r="T141" s="81"/>
      <c r="U141" s="81"/>
      <c r="V141" s="81"/>
      <c r="W141" s="81"/>
      <c r="X141" s="81"/>
      <c r="Y141" s="81"/>
      <c r="Z141" s="25"/>
    </row>
    <row r="142" spans="3:26" x14ac:dyDescent="0.3">
      <c r="C142" s="7">
        <v>137</v>
      </c>
      <c r="D142" s="12" t="s">
        <v>727</v>
      </c>
      <c r="E142" s="12" t="s">
        <v>727</v>
      </c>
      <c r="F142" s="12">
        <v>34.5</v>
      </c>
      <c r="G142" s="12" t="s">
        <v>209</v>
      </c>
      <c r="H142" s="12" t="s">
        <v>727</v>
      </c>
      <c r="I142" s="9" t="s">
        <v>113</v>
      </c>
      <c r="J142" s="60"/>
      <c r="K142" s="184">
        <v>0.17567643219575135</v>
      </c>
      <c r="L142" s="184">
        <v>4.3453150653728762E-2</v>
      </c>
      <c r="M142" s="184">
        <v>0.21012201020463087</v>
      </c>
      <c r="N142" s="184">
        <v>4.4394383794426805E-2</v>
      </c>
      <c r="O142" s="184">
        <v>0.47049999237059997</v>
      </c>
      <c r="P142" s="184">
        <v>0.109999999404</v>
      </c>
      <c r="Q142" s="81"/>
      <c r="R142" s="81"/>
      <c r="S142" s="81"/>
      <c r="T142" s="81"/>
      <c r="U142" s="81"/>
      <c r="V142" s="81"/>
      <c r="W142" s="81"/>
      <c r="X142" s="81"/>
      <c r="Y142" s="81"/>
      <c r="Z142" s="25"/>
    </row>
    <row r="143" spans="3:26" x14ac:dyDescent="0.3">
      <c r="C143" s="7">
        <v>138</v>
      </c>
      <c r="D143" s="12" t="s">
        <v>606</v>
      </c>
      <c r="E143" s="12" t="s">
        <v>606</v>
      </c>
      <c r="F143" s="12">
        <v>34.5</v>
      </c>
      <c r="G143" s="12" t="s">
        <v>209</v>
      </c>
      <c r="H143" s="12" t="s">
        <v>727</v>
      </c>
      <c r="I143" s="9" t="s">
        <v>113</v>
      </c>
      <c r="J143" s="60"/>
      <c r="K143" s="184">
        <v>0.87865713698630199</v>
      </c>
      <c r="L143" s="184">
        <v>0.47269618300287897</v>
      </c>
      <c r="M143" s="184">
        <v>0.93752372054794597</v>
      </c>
      <c r="N143" s="184">
        <v>0.50917841488633997</v>
      </c>
      <c r="O143" s="184">
        <v>0.93752372054794597</v>
      </c>
      <c r="P143" s="184">
        <v>0.50917841488633997</v>
      </c>
      <c r="Q143" s="81"/>
      <c r="R143" s="81"/>
      <c r="S143" s="81"/>
      <c r="T143" s="81"/>
      <c r="U143" s="81"/>
      <c r="V143" s="81"/>
      <c r="W143" s="81"/>
      <c r="X143" s="81"/>
      <c r="Y143" s="81"/>
      <c r="Z143" s="25"/>
    </row>
    <row r="144" spans="3:26" x14ac:dyDescent="0.3">
      <c r="C144" s="7">
        <v>139</v>
      </c>
      <c r="D144" s="12" t="s">
        <v>550</v>
      </c>
      <c r="E144" s="12" t="s">
        <v>550</v>
      </c>
      <c r="F144" s="12">
        <v>34.5</v>
      </c>
      <c r="G144" s="12" t="s">
        <v>209</v>
      </c>
      <c r="H144" s="12" t="s">
        <v>712</v>
      </c>
      <c r="I144" s="9" t="s">
        <v>113</v>
      </c>
      <c r="J144" s="60"/>
      <c r="K144" s="184">
        <v>6.0270000000000001</v>
      </c>
      <c r="L144" s="184">
        <v>2.4260000000000002</v>
      </c>
      <c r="M144" s="184">
        <v>6.76</v>
      </c>
      <c r="N144" s="184">
        <v>2.2690000000000001</v>
      </c>
      <c r="O144" s="184">
        <v>6.76</v>
      </c>
      <c r="P144" s="184">
        <v>2.2690000000000001</v>
      </c>
      <c r="Q144" s="81"/>
      <c r="R144" s="81"/>
      <c r="S144" s="81"/>
      <c r="T144" s="81"/>
      <c r="U144" s="81"/>
      <c r="V144" s="81"/>
      <c r="W144" s="81"/>
      <c r="X144" s="81"/>
      <c r="Y144" s="81"/>
      <c r="Z144" s="25"/>
    </row>
    <row r="145" spans="3:26" x14ac:dyDescent="0.3">
      <c r="C145" s="7">
        <v>140</v>
      </c>
      <c r="D145" s="12" t="s">
        <v>551</v>
      </c>
      <c r="E145" s="12" t="s">
        <v>551</v>
      </c>
      <c r="F145" s="12">
        <v>34.5</v>
      </c>
      <c r="G145" s="12" t="s">
        <v>209</v>
      </c>
      <c r="H145" s="12" t="s">
        <v>712</v>
      </c>
      <c r="I145" s="9" t="s">
        <v>113</v>
      </c>
      <c r="J145" s="60"/>
      <c r="K145" s="184">
        <v>0.28799999999999998</v>
      </c>
      <c r="L145" s="184">
        <v>0.29799999999999999</v>
      </c>
      <c r="M145" s="184">
        <v>0.34300000000000003</v>
      </c>
      <c r="N145" s="184">
        <v>0.34799999999999998</v>
      </c>
      <c r="O145" s="184">
        <v>0.45054</v>
      </c>
      <c r="P145" s="184">
        <v>0.21820648111364591</v>
      </c>
      <c r="Q145" s="81"/>
      <c r="R145" s="81"/>
      <c r="S145" s="81"/>
      <c r="T145" s="81"/>
      <c r="U145" s="81"/>
      <c r="V145" s="81"/>
      <c r="W145" s="81"/>
      <c r="X145" s="81"/>
      <c r="Y145" s="81"/>
      <c r="Z145" s="25"/>
    </row>
    <row r="146" spans="3:26" x14ac:dyDescent="0.3">
      <c r="C146" s="7">
        <v>141</v>
      </c>
      <c r="D146" s="12" t="s">
        <v>775</v>
      </c>
      <c r="E146" s="12" t="s">
        <v>775</v>
      </c>
      <c r="F146" s="12">
        <v>34.5</v>
      </c>
      <c r="G146" s="12" t="s">
        <v>209</v>
      </c>
      <c r="H146" s="12" t="s">
        <v>712</v>
      </c>
      <c r="I146" s="9" t="s">
        <v>113</v>
      </c>
      <c r="J146" s="60"/>
      <c r="K146" s="184">
        <v>0.29065795149340173</v>
      </c>
      <c r="L146" s="184">
        <v>0.18013361984987927</v>
      </c>
      <c r="M146" s="184">
        <v>0.36128358832762514</v>
      </c>
      <c r="N146" s="184">
        <v>0.22390345842400278</v>
      </c>
      <c r="O146" s="184">
        <v>0.45557999999999998</v>
      </c>
      <c r="P146" s="184">
        <v>0.22064746452202885</v>
      </c>
      <c r="Q146" s="81"/>
      <c r="R146" s="81"/>
      <c r="S146" s="81"/>
      <c r="T146" s="81"/>
      <c r="U146" s="81"/>
      <c r="V146" s="81"/>
      <c r="W146" s="81"/>
      <c r="X146" s="81"/>
      <c r="Y146" s="81"/>
      <c r="Z146" s="25"/>
    </row>
    <row r="147" spans="3:26" x14ac:dyDescent="0.3">
      <c r="C147" s="7">
        <v>142</v>
      </c>
      <c r="D147" s="12" t="s">
        <v>553</v>
      </c>
      <c r="E147" s="12" t="s">
        <v>553</v>
      </c>
      <c r="F147" s="12">
        <v>34.5</v>
      </c>
      <c r="G147" s="12" t="s">
        <v>209</v>
      </c>
      <c r="H147" s="12" t="s">
        <v>712</v>
      </c>
      <c r="I147" s="9" t="s">
        <v>113</v>
      </c>
      <c r="J147" s="60"/>
      <c r="K147" s="184">
        <v>0.28389252739726245</v>
      </c>
      <c r="L147" s="184">
        <v>0.17594078656940101</v>
      </c>
      <c r="M147" s="184">
        <v>0.34852393424657585</v>
      </c>
      <c r="N147" s="184">
        <v>0.2159957350472905</v>
      </c>
      <c r="O147" s="184">
        <v>0.80200000000000005</v>
      </c>
      <c r="P147" s="184">
        <v>0.317</v>
      </c>
      <c r="Q147" s="81"/>
      <c r="R147" s="81"/>
      <c r="S147" s="81"/>
      <c r="T147" s="81"/>
      <c r="U147" s="81"/>
      <c r="V147" s="81"/>
      <c r="W147" s="81"/>
      <c r="X147" s="81"/>
      <c r="Y147" s="81"/>
      <c r="Z147" s="25"/>
    </row>
    <row r="148" spans="3:26" x14ac:dyDescent="0.3">
      <c r="C148" s="7">
        <v>143</v>
      </c>
      <c r="D148" s="12" t="s">
        <v>653</v>
      </c>
      <c r="E148" s="12" t="s">
        <v>653</v>
      </c>
      <c r="F148" s="12">
        <v>34.5</v>
      </c>
      <c r="G148" s="12" t="s">
        <v>209</v>
      </c>
      <c r="H148" s="12" t="s">
        <v>712</v>
      </c>
      <c r="I148" s="9" t="s">
        <v>113</v>
      </c>
      <c r="J148" s="60"/>
      <c r="K148" s="184">
        <v>6.7084853395061803E-2</v>
      </c>
      <c r="L148" s="184">
        <v>4.1575458084191691E-2</v>
      </c>
      <c r="M148" s="184">
        <v>7.4040870370370312E-2</v>
      </c>
      <c r="N148" s="184">
        <v>4.5886410222475013E-2</v>
      </c>
      <c r="O148" s="184">
        <v>0.20157</v>
      </c>
      <c r="P148" s="184">
        <v>9.7624806672165929E-2</v>
      </c>
      <c r="Q148" s="81"/>
      <c r="R148" s="81"/>
      <c r="S148" s="81"/>
      <c r="T148" s="81"/>
      <c r="U148" s="81"/>
      <c r="V148" s="81"/>
      <c r="W148" s="81"/>
      <c r="X148" s="81"/>
      <c r="Y148" s="81"/>
      <c r="Z148" s="25"/>
    </row>
    <row r="149" spans="3:26" x14ac:dyDescent="0.3">
      <c r="C149" s="7">
        <v>144</v>
      </c>
      <c r="D149" s="12" t="s">
        <v>465</v>
      </c>
      <c r="E149" s="12" t="s">
        <v>465</v>
      </c>
      <c r="F149" s="12">
        <v>34.5</v>
      </c>
      <c r="G149" s="12" t="s">
        <v>209</v>
      </c>
      <c r="H149" s="12" t="s">
        <v>712</v>
      </c>
      <c r="I149" s="9" t="s">
        <v>113</v>
      </c>
      <c r="J149" s="60"/>
      <c r="K149" s="184">
        <v>6.7084853395061803E-2</v>
      </c>
      <c r="L149" s="184">
        <v>4.1575458084191691E-2</v>
      </c>
      <c r="M149" s="184">
        <v>7.4040870370370312E-2</v>
      </c>
      <c r="N149" s="184">
        <v>4.5886410222475013E-2</v>
      </c>
      <c r="O149" s="184">
        <v>0.20157</v>
      </c>
      <c r="P149" s="184">
        <v>9.7624806672165929E-2</v>
      </c>
      <c r="Q149" s="81"/>
      <c r="R149" s="81"/>
      <c r="S149" s="81"/>
      <c r="T149" s="81"/>
      <c r="U149" s="81"/>
      <c r="V149" s="81"/>
      <c r="W149" s="81"/>
      <c r="X149" s="81"/>
      <c r="Y149" s="81"/>
      <c r="Z149" s="25"/>
    </row>
    <row r="150" spans="3:26" x14ac:dyDescent="0.3">
      <c r="C150" s="7">
        <v>145</v>
      </c>
      <c r="D150" s="12" t="s">
        <v>878</v>
      </c>
      <c r="E150" s="12" t="s">
        <v>878</v>
      </c>
      <c r="F150" s="12">
        <v>34.5</v>
      </c>
      <c r="G150" s="12" t="s">
        <v>0</v>
      </c>
      <c r="H150" s="12" t="s">
        <v>712</v>
      </c>
      <c r="I150" s="9" t="s">
        <v>113</v>
      </c>
      <c r="J150" s="60"/>
      <c r="K150" s="184">
        <v>0.5</v>
      </c>
      <c r="L150" s="184">
        <v>5.0000000000000001E-4</v>
      </c>
      <c r="M150" s="184">
        <v>0.5</v>
      </c>
      <c r="N150" s="184">
        <v>5.0000000000000001E-4</v>
      </c>
      <c r="O150" s="184">
        <v>0.5</v>
      </c>
      <c r="P150" s="184">
        <v>5.0000000000000001E-4</v>
      </c>
      <c r="Q150" s="81"/>
      <c r="R150" s="81"/>
      <c r="S150" s="81"/>
      <c r="T150" s="81"/>
      <c r="U150" s="81"/>
      <c r="V150" s="81"/>
      <c r="W150" s="81"/>
      <c r="X150" s="81"/>
      <c r="Y150" s="81"/>
      <c r="Z150" s="25"/>
    </row>
    <row r="151" spans="3:26" x14ac:dyDescent="0.3">
      <c r="C151" s="7">
        <v>146</v>
      </c>
      <c r="D151" s="12" t="s">
        <v>879</v>
      </c>
      <c r="E151" s="12" t="s">
        <v>879</v>
      </c>
      <c r="F151" s="12">
        <v>34.5</v>
      </c>
      <c r="G151" s="12" t="s">
        <v>0</v>
      </c>
      <c r="H151" s="12" t="s">
        <v>712</v>
      </c>
      <c r="I151" s="9" t="s">
        <v>113</v>
      </c>
      <c r="J151" s="60"/>
      <c r="K151" s="184">
        <v>1</v>
      </c>
      <c r="L151" s="184">
        <v>5.0000000000000001E-4</v>
      </c>
      <c r="M151" s="184">
        <v>1</v>
      </c>
      <c r="N151" s="184">
        <v>5.0000000000000001E-4</v>
      </c>
      <c r="O151" s="184">
        <v>1</v>
      </c>
      <c r="P151" s="184">
        <v>5.0000000000000001E-4</v>
      </c>
      <c r="Q151" s="81"/>
      <c r="R151" s="81"/>
      <c r="S151" s="81"/>
      <c r="T151" s="81"/>
      <c r="U151" s="81"/>
      <c r="V151" s="81"/>
      <c r="W151" s="81"/>
      <c r="X151" s="81"/>
      <c r="Y151" s="81"/>
      <c r="Z151" s="25"/>
    </row>
    <row r="152" spans="3:26" x14ac:dyDescent="0.3">
      <c r="C152" s="7">
        <v>147</v>
      </c>
      <c r="D152" s="12" t="s">
        <v>880</v>
      </c>
      <c r="E152" s="12" t="s">
        <v>880</v>
      </c>
      <c r="F152" s="12">
        <v>34.5</v>
      </c>
      <c r="G152" s="12" t="s">
        <v>0</v>
      </c>
      <c r="H152" s="12" t="s">
        <v>712</v>
      </c>
      <c r="I152" s="9" t="s">
        <v>113</v>
      </c>
      <c r="J152" s="60"/>
      <c r="K152" s="184">
        <v>1E-3</v>
      </c>
      <c r="L152" s="184">
        <v>5.0000000000000001E-4</v>
      </c>
      <c r="M152" s="184">
        <v>1E-3</v>
      </c>
      <c r="N152" s="184">
        <v>5.0000000000000001E-4</v>
      </c>
      <c r="O152" s="184">
        <v>1E-3</v>
      </c>
      <c r="P152" s="184">
        <v>5.0000000000000001E-4</v>
      </c>
      <c r="Q152" s="81"/>
      <c r="R152" s="81"/>
      <c r="S152" s="81"/>
      <c r="T152" s="81"/>
      <c r="U152" s="81"/>
      <c r="V152" s="81"/>
      <c r="W152" s="81"/>
      <c r="X152" s="81"/>
      <c r="Y152" s="81"/>
      <c r="Z152" s="25"/>
    </row>
    <row r="153" spans="3:26" x14ac:dyDescent="0.3">
      <c r="C153" s="7">
        <v>148</v>
      </c>
      <c r="D153" s="12" t="s">
        <v>881</v>
      </c>
      <c r="E153" s="12" t="s">
        <v>881</v>
      </c>
      <c r="F153" s="12">
        <v>34.5</v>
      </c>
      <c r="G153" s="12" t="s">
        <v>0</v>
      </c>
      <c r="H153" s="12" t="s">
        <v>712</v>
      </c>
      <c r="I153" s="9" t="s">
        <v>113</v>
      </c>
      <c r="J153" s="60"/>
      <c r="K153" s="184">
        <v>1E-3</v>
      </c>
      <c r="L153" s="184">
        <v>5.0000000000000001E-4</v>
      </c>
      <c r="M153" s="184">
        <v>1E-3</v>
      </c>
      <c r="N153" s="184">
        <v>5.0000000000000001E-4</v>
      </c>
      <c r="O153" s="184">
        <v>1E-3</v>
      </c>
      <c r="P153" s="184">
        <v>5.0000000000000001E-4</v>
      </c>
      <c r="Q153" s="81"/>
      <c r="R153" s="81"/>
      <c r="S153" s="81"/>
      <c r="T153" s="81"/>
      <c r="U153" s="81"/>
      <c r="V153" s="81"/>
      <c r="W153" s="81"/>
      <c r="X153" s="81"/>
      <c r="Y153" s="81"/>
      <c r="Z153" s="25"/>
    </row>
    <row r="154" spans="3:26" x14ac:dyDescent="0.3">
      <c r="C154" s="7">
        <v>149</v>
      </c>
      <c r="D154" s="12" t="s">
        <v>882</v>
      </c>
      <c r="E154" s="12" t="s">
        <v>882</v>
      </c>
      <c r="F154" s="12">
        <v>34.5</v>
      </c>
      <c r="G154" s="12" t="s">
        <v>0</v>
      </c>
      <c r="H154" s="12" t="s">
        <v>712</v>
      </c>
      <c r="I154" s="9" t="s">
        <v>113</v>
      </c>
      <c r="J154" s="60"/>
      <c r="K154" s="184">
        <v>1E-3</v>
      </c>
      <c r="L154" s="184">
        <v>5.0000000000000001E-4</v>
      </c>
      <c r="M154" s="184">
        <v>1E-3</v>
      </c>
      <c r="N154" s="184">
        <v>5.0000000000000001E-4</v>
      </c>
      <c r="O154" s="184">
        <v>1E-3</v>
      </c>
      <c r="P154" s="184">
        <v>5.0000000000000001E-4</v>
      </c>
      <c r="Q154" s="81"/>
      <c r="R154" s="81"/>
      <c r="S154" s="81"/>
      <c r="T154" s="81"/>
      <c r="U154" s="81"/>
      <c r="V154" s="81"/>
      <c r="W154" s="81"/>
      <c r="X154" s="81"/>
      <c r="Y154" s="81"/>
      <c r="Z154" s="25"/>
    </row>
    <row r="155" spans="3:26" x14ac:dyDescent="0.3">
      <c r="C155" s="7">
        <v>150</v>
      </c>
      <c r="D155" s="12" t="s">
        <v>883</v>
      </c>
      <c r="E155" s="12" t="s">
        <v>883</v>
      </c>
      <c r="F155" s="12">
        <v>34.5</v>
      </c>
      <c r="G155" s="12" t="s">
        <v>0</v>
      </c>
      <c r="H155" s="12" t="s">
        <v>712</v>
      </c>
      <c r="I155" s="9" t="s">
        <v>113</v>
      </c>
      <c r="J155" s="60"/>
      <c r="K155" s="184">
        <v>1E-3</v>
      </c>
      <c r="L155" s="184">
        <v>5.0000000000000001E-4</v>
      </c>
      <c r="M155" s="184">
        <v>1E-3</v>
      </c>
      <c r="N155" s="184">
        <v>5.0000000000000001E-4</v>
      </c>
      <c r="O155" s="184">
        <v>1E-3</v>
      </c>
      <c r="P155" s="184">
        <v>5.0000000000000001E-4</v>
      </c>
      <c r="Q155" s="81"/>
      <c r="R155" s="81"/>
      <c r="S155" s="81"/>
      <c r="T155" s="81"/>
      <c r="U155" s="81"/>
      <c r="V155" s="81"/>
      <c r="W155" s="81"/>
      <c r="X155" s="81"/>
      <c r="Y155" s="81"/>
      <c r="Z155" s="25"/>
    </row>
    <row r="156" spans="3:26" x14ac:dyDescent="0.3">
      <c r="C156" s="7">
        <v>151</v>
      </c>
      <c r="D156" s="12" t="s">
        <v>884</v>
      </c>
      <c r="E156" s="12" t="s">
        <v>884</v>
      </c>
      <c r="F156" s="12">
        <v>34.5</v>
      </c>
      <c r="G156" s="12" t="s">
        <v>0</v>
      </c>
      <c r="H156" s="12" t="s">
        <v>712</v>
      </c>
      <c r="I156" s="9" t="s">
        <v>113</v>
      </c>
      <c r="J156" s="60"/>
      <c r="K156" s="184">
        <v>1E-3</v>
      </c>
      <c r="L156" s="184">
        <v>5.0000000000000001E-4</v>
      </c>
      <c r="M156" s="184">
        <v>1E-3</v>
      </c>
      <c r="N156" s="184">
        <v>5.0000000000000001E-4</v>
      </c>
      <c r="O156" s="184">
        <v>1E-3</v>
      </c>
      <c r="P156" s="184">
        <v>5.0000000000000001E-4</v>
      </c>
      <c r="Q156" s="81"/>
      <c r="R156" s="81"/>
      <c r="S156" s="81"/>
      <c r="T156" s="81"/>
      <c r="U156" s="81"/>
      <c r="V156" s="81"/>
      <c r="W156" s="81"/>
      <c r="X156" s="81"/>
      <c r="Y156" s="81"/>
      <c r="Z156" s="25"/>
    </row>
    <row r="157" spans="3:26" x14ac:dyDescent="0.3">
      <c r="C157" s="7">
        <v>152</v>
      </c>
      <c r="D157" s="12" t="s">
        <v>885</v>
      </c>
      <c r="E157" s="12" t="s">
        <v>885</v>
      </c>
      <c r="F157" s="12">
        <v>34.5</v>
      </c>
      <c r="G157" s="12" t="s">
        <v>0</v>
      </c>
      <c r="H157" s="12" t="s">
        <v>712</v>
      </c>
      <c r="I157" s="9" t="s">
        <v>113</v>
      </c>
      <c r="J157" s="60"/>
      <c r="K157" s="184">
        <v>1E-3</v>
      </c>
      <c r="L157" s="184">
        <v>5.0000000000000001E-4</v>
      </c>
      <c r="M157" s="184">
        <v>1E-3</v>
      </c>
      <c r="N157" s="184">
        <v>5.0000000000000001E-4</v>
      </c>
      <c r="O157" s="184">
        <v>1E-3</v>
      </c>
      <c r="P157" s="184">
        <v>5.0000000000000001E-4</v>
      </c>
      <c r="Q157" s="81"/>
      <c r="R157" s="81"/>
      <c r="S157" s="81"/>
      <c r="T157" s="81"/>
      <c r="U157" s="81"/>
      <c r="V157" s="81"/>
      <c r="W157" s="81"/>
      <c r="X157" s="81"/>
      <c r="Y157" s="81"/>
      <c r="Z157" s="25"/>
    </row>
    <row r="158" spans="3:26" x14ac:dyDescent="0.3">
      <c r="C158" s="7">
        <v>153</v>
      </c>
      <c r="D158" s="12" t="s">
        <v>886</v>
      </c>
      <c r="E158" s="12" t="s">
        <v>886</v>
      </c>
      <c r="F158" s="12">
        <v>34.5</v>
      </c>
      <c r="G158" s="12" t="s">
        <v>0</v>
      </c>
      <c r="H158" s="12" t="s">
        <v>712</v>
      </c>
      <c r="I158" s="9" t="s">
        <v>113</v>
      </c>
      <c r="J158" s="60"/>
      <c r="K158" s="184">
        <v>1E-3</v>
      </c>
      <c r="L158" s="184">
        <v>5.0000000000000001E-4</v>
      </c>
      <c r="M158" s="184">
        <v>1E-3</v>
      </c>
      <c r="N158" s="184">
        <v>5.0000000000000001E-4</v>
      </c>
      <c r="O158" s="184">
        <v>1E-3</v>
      </c>
      <c r="P158" s="184">
        <v>5.0000000000000001E-4</v>
      </c>
      <c r="Q158" s="81"/>
      <c r="R158" s="81"/>
      <c r="S158" s="81"/>
      <c r="T158" s="81"/>
      <c r="U158" s="81"/>
      <c r="V158" s="81"/>
      <c r="W158" s="81"/>
      <c r="X158" s="81"/>
      <c r="Y158" s="81"/>
      <c r="Z158" s="25"/>
    </row>
    <row r="159" spans="3:26" x14ac:dyDescent="0.3">
      <c r="C159" s="7">
        <v>154</v>
      </c>
      <c r="D159" s="12" t="s">
        <v>887</v>
      </c>
      <c r="E159" s="12" t="s">
        <v>887</v>
      </c>
      <c r="F159" s="12">
        <v>34.5</v>
      </c>
      <c r="G159" s="12" t="s">
        <v>0</v>
      </c>
      <c r="H159" s="12" t="s">
        <v>712</v>
      </c>
      <c r="I159" s="9" t="s">
        <v>113</v>
      </c>
      <c r="J159" s="60"/>
      <c r="K159" s="184">
        <v>1E-3</v>
      </c>
      <c r="L159" s="184">
        <v>5.0000000000000001E-4</v>
      </c>
      <c r="M159" s="184">
        <v>1E-3</v>
      </c>
      <c r="N159" s="184">
        <v>5.0000000000000001E-4</v>
      </c>
      <c r="O159" s="184">
        <v>1E-3</v>
      </c>
      <c r="P159" s="184">
        <v>5.0000000000000001E-4</v>
      </c>
      <c r="Q159" s="81"/>
      <c r="R159" s="81"/>
      <c r="S159" s="81"/>
      <c r="T159" s="81"/>
      <c r="U159" s="81"/>
      <c r="V159" s="81"/>
      <c r="W159" s="81"/>
      <c r="X159" s="81"/>
      <c r="Y159" s="81"/>
      <c r="Z159" s="25"/>
    </row>
    <row r="160" spans="3:26" x14ac:dyDescent="0.3">
      <c r="C160" s="7">
        <v>155</v>
      </c>
      <c r="D160" s="12" t="s">
        <v>770</v>
      </c>
      <c r="E160" s="12" t="s">
        <v>770</v>
      </c>
      <c r="F160" s="12">
        <v>34.5</v>
      </c>
      <c r="G160" s="12" t="s">
        <v>209</v>
      </c>
      <c r="H160" s="12" t="s">
        <v>591</v>
      </c>
      <c r="I160" s="9" t="s">
        <v>113</v>
      </c>
      <c r="J160" s="60"/>
      <c r="K160" s="184">
        <v>0.12075957534246641</v>
      </c>
      <c r="L160" s="184">
        <v>7.4840063126456455E-2</v>
      </c>
      <c r="M160" s="184">
        <v>0.15804024657534249</v>
      </c>
      <c r="N160" s="184">
        <v>9.7944548054898828E-2</v>
      </c>
      <c r="O160" s="184">
        <v>0.24290999999999999</v>
      </c>
      <c r="P160" s="184">
        <v>0.11764668248616275</v>
      </c>
      <c r="Q160" s="81"/>
      <c r="R160" s="81"/>
      <c r="S160" s="81"/>
      <c r="T160" s="81"/>
      <c r="U160" s="81"/>
      <c r="V160" s="81"/>
      <c r="W160" s="81"/>
      <c r="X160" s="81"/>
      <c r="Y160" s="81"/>
      <c r="Z160" s="25"/>
    </row>
    <row r="161" spans="3:26" x14ac:dyDescent="0.3">
      <c r="C161" s="7">
        <v>156</v>
      </c>
      <c r="D161" s="12" t="s">
        <v>774</v>
      </c>
      <c r="E161" s="12" t="s">
        <v>774</v>
      </c>
      <c r="F161" s="12">
        <v>34.5</v>
      </c>
      <c r="G161" s="12" t="s">
        <v>209</v>
      </c>
      <c r="H161" s="12" t="s">
        <v>591</v>
      </c>
      <c r="I161" s="9" t="s">
        <v>113</v>
      </c>
      <c r="J161" s="60"/>
      <c r="K161" s="184">
        <v>4.1940671232876862E-2</v>
      </c>
      <c r="L161" s="184">
        <v>2.5992493545401296E-2</v>
      </c>
      <c r="M161" s="184">
        <v>5.8332032876712403E-2</v>
      </c>
      <c r="N161" s="184">
        <v>3.6150947122886135E-2</v>
      </c>
      <c r="O161" s="184">
        <v>8.2439999999999999E-2</v>
      </c>
      <c r="P161" s="184">
        <v>3.992751432283257E-2</v>
      </c>
      <c r="Q161" s="81"/>
      <c r="R161" s="81"/>
      <c r="S161" s="81"/>
      <c r="T161" s="81"/>
      <c r="U161" s="81"/>
      <c r="V161" s="81"/>
      <c r="W161" s="81"/>
      <c r="X161" s="81"/>
      <c r="Y161" s="81"/>
      <c r="Z161" s="25"/>
    </row>
    <row r="162" spans="3:26" x14ac:dyDescent="0.3">
      <c r="C162" s="7">
        <v>157</v>
      </c>
      <c r="D162" s="12" t="s">
        <v>773</v>
      </c>
      <c r="E162" s="12" t="s">
        <v>773</v>
      </c>
      <c r="F162" s="12">
        <v>34.5</v>
      </c>
      <c r="G162" s="12" t="s">
        <v>209</v>
      </c>
      <c r="H162" s="12" t="s">
        <v>591</v>
      </c>
      <c r="I162" s="9" t="s">
        <v>113</v>
      </c>
      <c r="J162" s="60"/>
      <c r="K162" s="184">
        <v>4.821020547945213E-2</v>
      </c>
      <c r="L162" s="184">
        <v>2.987800189914068E-2</v>
      </c>
      <c r="M162" s="184">
        <v>6.823305205479463E-2</v>
      </c>
      <c r="N162" s="184">
        <v>4.2287047702923138E-2</v>
      </c>
      <c r="O162" s="184">
        <v>0.10374</v>
      </c>
      <c r="P162" s="184">
        <v>5.0243575155878802E-2</v>
      </c>
      <c r="Q162" s="81"/>
      <c r="R162" s="81"/>
      <c r="S162" s="81"/>
      <c r="T162" s="81"/>
      <c r="U162" s="81"/>
      <c r="V162" s="81"/>
      <c r="W162" s="81"/>
      <c r="X162" s="81"/>
      <c r="Y162" s="81"/>
      <c r="Z162" s="25"/>
    </row>
    <row r="163" spans="3:26" x14ac:dyDescent="0.3">
      <c r="C163" s="7">
        <v>158</v>
      </c>
      <c r="D163" s="12" t="s">
        <v>660</v>
      </c>
      <c r="E163" s="12" t="s">
        <v>660</v>
      </c>
      <c r="F163" s="12">
        <v>34.5</v>
      </c>
      <c r="G163" s="12" t="s">
        <v>209</v>
      </c>
      <c r="H163" s="12" t="s">
        <v>591</v>
      </c>
      <c r="I163" s="9" t="s">
        <v>113</v>
      </c>
      <c r="J163" s="60"/>
      <c r="K163" s="184">
        <v>0.2</v>
      </c>
      <c r="L163" s="184">
        <v>0.15</v>
      </c>
      <c r="M163" s="184">
        <v>0.2</v>
      </c>
      <c r="N163" s="184">
        <v>0.15</v>
      </c>
      <c r="O163" s="184">
        <v>0.4</v>
      </c>
      <c r="P163" s="184">
        <v>0.33</v>
      </c>
      <c r="Q163" s="81"/>
      <c r="R163" s="81"/>
      <c r="S163" s="81"/>
      <c r="T163" s="81"/>
      <c r="U163" s="81"/>
      <c r="V163" s="81"/>
      <c r="W163" s="81"/>
      <c r="X163" s="81"/>
      <c r="Y163" s="81"/>
      <c r="Z163" s="25"/>
    </row>
    <row r="164" spans="3:26" x14ac:dyDescent="0.3">
      <c r="C164" s="7">
        <v>159</v>
      </c>
      <c r="D164" s="12" t="s">
        <v>888</v>
      </c>
      <c r="E164" s="12" t="s">
        <v>888</v>
      </c>
      <c r="F164" s="12">
        <v>34.5</v>
      </c>
      <c r="G164" s="12" t="s">
        <v>209</v>
      </c>
      <c r="H164" s="12" t="s">
        <v>591</v>
      </c>
      <c r="I164" s="9" t="s">
        <v>113</v>
      </c>
      <c r="J164" s="60"/>
      <c r="K164" s="184">
        <v>0</v>
      </c>
      <c r="L164" s="184">
        <v>0</v>
      </c>
      <c r="M164" s="184">
        <v>0</v>
      </c>
      <c r="N164" s="184">
        <v>0</v>
      </c>
      <c r="O164" s="184">
        <v>0</v>
      </c>
      <c r="P164" s="184">
        <v>0</v>
      </c>
      <c r="Q164" s="81"/>
      <c r="R164" s="81"/>
      <c r="S164" s="81"/>
      <c r="T164" s="81"/>
      <c r="U164" s="81"/>
      <c r="V164" s="81"/>
      <c r="W164" s="81"/>
      <c r="X164" s="81"/>
      <c r="Y164" s="81"/>
      <c r="Z164" s="25"/>
    </row>
    <row r="165" spans="3:26" x14ac:dyDescent="0.3">
      <c r="C165" s="7">
        <v>160</v>
      </c>
      <c r="D165" s="12" t="s">
        <v>889</v>
      </c>
      <c r="E165" s="12" t="s">
        <v>889</v>
      </c>
      <c r="F165" s="12">
        <v>34.5</v>
      </c>
      <c r="G165" s="12" t="s">
        <v>209</v>
      </c>
      <c r="H165" s="12" t="s">
        <v>591</v>
      </c>
      <c r="I165" s="9" t="s">
        <v>113</v>
      </c>
      <c r="J165" s="60"/>
      <c r="K165" s="184">
        <v>0</v>
      </c>
      <c r="L165" s="184">
        <v>0</v>
      </c>
      <c r="M165" s="184">
        <v>0</v>
      </c>
      <c r="N165" s="184">
        <v>0</v>
      </c>
      <c r="O165" s="184">
        <v>0</v>
      </c>
      <c r="P165" s="184">
        <v>0</v>
      </c>
      <c r="Q165" s="81"/>
      <c r="R165" s="81"/>
      <c r="S165" s="81"/>
      <c r="T165" s="81"/>
      <c r="U165" s="81"/>
      <c r="V165" s="81"/>
      <c r="W165" s="81"/>
      <c r="X165" s="81"/>
      <c r="Y165" s="81"/>
      <c r="Z165" s="25"/>
    </row>
    <row r="166" spans="3:26" x14ac:dyDescent="0.3">
      <c r="C166" s="7">
        <v>161</v>
      </c>
      <c r="D166" s="12" t="s">
        <v>458</v>
      </c>
      <c r="E166" s="12" t="s">
        <v>458</v>
      </c>
      <c r="F166" s="12">
        <v>34.5</v>
      </c>
      <c r="G166" s="12" t="s">
        <v>209</v>
      </c>
      <c r="H166" s="12" t="s">
        <v>648</v>
      </c>
      <c r="I166" s="9" t="s">
        <v>113</v>
      </c>
      <c r="J166" s="60"/>
      <c r="K166" s="184">
        <v>0.50822314840181715</v>
      </c>
      <c r="L166" s="184">
        <v>0.31496841886742583</v>
      </c>
      <c r="M166" s="184">
        <v>0.61259375342465883</v>
      </c>
      <c r="N166" s="184">
        <v>0.37965151042603834</v>
      </c>
      <c r="O166" s="184">
        <v>0.88685999999999998</v>
      </c>
      <c r="P166" s="184">
        <v>0.42952590189649797</v>
      </c>
      <c r="Q166" s="81"/>
      <c r="R166" s="81"/>
      <c r="S166" s="81"/>
      <c r="T166" s="81"/>
      <c r="U166" s="81"/>
      <c r="V166" s="81"/>
      <c r="W166" s="81"/>
      <c r="X166" s="81"/>
      <c r="Y166" s="81"/>
      <c r="Z166" s="25"/>
    </row>
    <row r="167" spans="3:26" x14ac:dyDescent="0.3">
      <c r="C167" s="7">
        <v>162</v>
      </c>
      <c r="D167" s="12" t="s">
        <v>457</v>
      </c>
      <c r="E167" s="12" t="s">
        <v>457</v>
      </c>
      <c r="F167" s="12">
        <v>34.5</v>
      </c>
      <c r="G167" s="12" t="s">
        <v>209</v>
      </c>
      <c r="H167" s="12" t="s">
        <v>648</v>
      </c>
      <c r="I167" s="9" t="s">
        <v>113</v>
      </c>
      <c r="J167" s="60"/>
      <c r="K167" s="184">
        <v>0.68910078082192328</v>
      </c>
      <c r="L167" s="184">
        <v>0.42706630750354402</v>
      </c>
      <c r="M167" s="184">
        <v>0.72488475616438564</v>
      </c>
      <c r="N167" s="184">
        <v>0.44924322362759139</v>
      </c>
      <c r="O167" s="184">
        <v>1.2932999999999999</v>
      </c>
      <c r="P167" s="184">
        <v>0.62637377818679463</v>
      </c>
      <c r="Q167" s="81"/>
      <c r="R167" s="81"/>
      <c r="S167" s="81"/>
      <c r="T167" s="81"/>
      <c r="U167" s="81"/>
      <c r="V167" s="81"/>
      <c r="W167" s="81"/>
      <c r="X167" s="81"/>
      <c r="Y167" s="81"/>
      <c r="Z167" s="25"/>
    </row>
    <row r="168" spans="3:26" x14ac:dyDescent="0.3">
      <c r="C168" s="7">
        <v>163</v>
      </c>
      <c r="D168" s="12" t="s">
        <v>474</v>
      </c>
      <c r="E168" s="12" t="s">
        <v>474</v>
      </c>
      <c r="F168" s="12">
        <v>34.5</v>
      </c>
      <c r="G168" s="12" t="s">
        <v>209</v>
      </c>
      <c r="H168" s="12" t="s">
        <v>648</v>
      </c>
      <c r="I168" s="9" t="s">
        <v>113</v>
      </c>
      <c r="J168" s="60"/>
      <c r="K168" s="184">
        <v>5.0650000000000004</v>
      </c>
      <c r="L168" s="184">
        <v>1.425</v>
      </c>
      <c r="M168" s="184">
        <v>5.7759999999999998</v>
      </c>
      <c r="N168" s="184">
        <v>1.157</v>
      </c>
      <c r="O168" s="184">
        <v>6.03</v>
      </c>
      <c r="P168" s="184">
        <v>2.92</v>
      </c>
      <c r="Q168" s="81"/>
      <c r="R168" s="81"/>
      <c r="S168" s="81"/>
      <c r="T168" s="81"/>
      <c r="U168" s="81"/>
      <c r="V168" s="81"/>
      <c r="W168" s="81"/>
      <c r="X168" s="81"/>
      <c r="Y168" s="81"/>
      <c r="Z168" s="25"/>
    </row>
    <row r="169" spans="3:26" x14ac:dyDescent="0.3">
      <c r="C169" s="7">
        <v>164</v>
      </c>
      <c r="D169" s="12" t="s">
        <v>493</v>
      </c>
      <c r="E169" s="12" t="s">
        <v>493</v>
      </c>
      <c r="F169" s="12">
        <v>34.5</v>
      </c>
      <c r="G169" s="12" t="s">
        <v>209</v>
      </c>
      <c r="H169" s="12" t="s">
        <v>314</v>
      </c>
      <c r="I169" s="9" t="s">
        <v>113</v>
      </c>
      <c r="J169" s="60"/>
      <c r="K169" s="184">
        <v>3.9677660000000006</v>
      </c>
      <c r="L169" s="184">
        <v>1.6337860000000002</v>
      </c>
      <c r="M169" s="184">
        <v>4.8589220000000006</v>
      </c>
      <c r="N169" s="184">
        <v>1.4958689999999999</v>
      </c>
      <c r="O169" s="184">
        <v>4.2011640000000003</v>
      </c>
      <c r="P169" s="184">
        <v>2.026319</v>
      </c>
      <c r="Q169" s="81"/>
      <c r="R169" s="81"/>
      <c r="S169" s="81"/>
      <c r="T169" s="81"/>
      <c r="U169" s="81"/>
      <c r="V169" s="81"/>
      <c r="W169" s="81"/>
      <c r="X169" s="81"/>
      <c r="Y169" s="81"/>
      <c r="Z169" s="25"/>
    </row>
    <row r="170" spans="3:26" x14ac:dyDescent="0.3">
      <c r="C170" s="7">
        <v>165</v>
      </c>
      <c r="D170" s="12" t="s">
        <v>768</v>
      </c>
      <c r="E170" s="12" t="s">
        <v>768</v>
      </c>
      <c r="F170" s="12">
        <v>34.5</v>
      </c>
      <c r="G170" s="12" t="s">
        <v>209</v>
      </c>
      <c r="H170" s="12" t="s">
        <v>314</v>
      </c>
      <c r="I170" s="9" t="s">
        <v>113</v>
      </c>
      <c r="J170" s="60"/>
      <c r="K170" s="184">
        <v>4.6658381999999996</v>
      </c>
      <c r="L170" s="184">
        <v>2.5981440999999998</v>
      </c>
      <c r="M170" s="184">
        <v>4.7698064000000002</v>
      </c>
      <c r="N170" s="184">
        <v>2.5196375</v>
      </c>
      <c r="O170" s="184">
        <v>7.0762030000000005</v>
      </c>
      <c r="P170" s="184">
        <v>3.4267070000000004</v>
      </c>
      <c r="Q170" s="81"/>
      <c r="R170" s="81"/>
      <c r="S170" s="81"/>
      <c r="T170" s="81"/>
      <c r="U170" s="81"/>
      <c r="V170" s="81"/>
      <c r="W170" s="81"/>
      <c r="X170" s="81"/>
      <c r="Y170" s="81"/>
      <c r="Z170" s="25"/>
    </row>
    <row r="171" spans="3:26" x14ac:dyDescent="0.3">
      <c r="C171" s="7">
        <v>166</v>
      </c>
      <c r="D171" s="12" t="s">
        <v>765</v>
      </c>
      <c r="E171" s="12" t="s">
        <v>765</v>
      </c>
      <c r="F171" s="12">
        <v>34.5</v>
      </c>
      <c r="G171" s="12" t="s">
        <v>209</v>
      </c>
      <c r="H171" s="12" t="s">
        <v>314</v>
      </c>
      <c r="I171" s="9" t="s">
        <v>113</v>
      </c>
      <c r="J171" s="60"/>
      <c r="K171" s="184">
        <v>0.87099890000000002</v>
      </c>
      <c r="L171" s="184">
        <v>0.2270326</v>
      </c>
      <c r="M171" s="184">
        <v>1.0163422</v>
      </c>
      <c r="N171" s="184">
        <v>0.19520560000000001</v>
      </c>
      <c r="O171" s="184">
        <v>2.2756306315279424</v>
      </c>
      <c r="P171" s="184">
        <v>0.68746320202345457</v>
      </c>
      <c r="Q171" s="81"/>
      <c r="R171" s="81"/>
      <c r="S171" s="81"/>
      <c r="T171" s="81"/>
      <c r="U171" s="81"/>
      <c r="V171" s="81"/>
      <c r="W171" s="81"/>
      <c r="X171" s="81"/>
      <c r="Y171" s="81"/>
      <c r="Z171" s="25"/>
    </row>
    <row r="172" spans="3:26" x14ac:dyDescent="0.3">
      <c r="C172" s="7">
        <v>167</v>
      </c>
      <c r="D172" s="12"/>
      <c r="E172" s="12"/>
      <c r="F172" s="12"/>
      <c r="G172" s="12"/>
      <c r="H172" s="12"/>
      <c r="I172" s="12"/>
      <c r="J172" s="60"/>
      <c r="K172" s="12"/>
      <c r="L172" s="12"/>
      <c r="M172" s="12"/>
      <c r="N172" s="12"/>
      <c r="O172" s="12"/>
      <c r="P172" s="12"/>
      <c r="Q172" s="81"/>
      <c r="R172" s="81"/>
      <c r="S172" s="81"/>
      <c r="T172" s="81"/>
      <c r="U172" s="81"/>
      <c r="V172" s="81"/>
      <c r="W172" s="81"/>
      <c r="X172" s="81"/>
      <c r="Y172" s="81"/>
      <c r="Z172" s="25"/>
    </row>
    <row r="173" spans="3:26" x14ac:dyDescent="0.3">
      <c r="C173" s="7">
        <v>168</v>
      </c>
      <c r="D173" s="12"/>
      <c r="E173" s="12"/>
      <c r="F173" s="12"/>
      <c r="G173" s="12"/>
      <c r="H173" s="12"/>
      <c r="I173" s="12"/>
      <c r="J173" s="60"/>
      <c r="K173" s="12"/>
      <c r="L173" s="12"/>
      <c r="M173" s="12"/>
      <c r="N173" s="12"/>
      <c r="O173" s="12"/>
      <c r="P173" s="12"/>
      <c r="Q173" s="81"/>
      <c r="R173" s="81"/>
      <c r="S173" s="81"/>
      <c r="T173" s="81"/>
      <c r="U173" s="81"/>
      <c r="V173" s="81"/>
      <c r="W173" s="81"/>
      <c r="X173" s="81"/>
      <c r="Y173" s="81"/>
      <c r="Z173" s="25"/>
    </row>
    <row r="174" spans="3:26" x14ac:dyDescent="0.3">
      <c r="C174" s="7">
        <v>169</v>
      </c>
      <c r="D174" s="12"/>
      <c r="E174" s="12"/>
      <c r="F174" s="12"/>
      <c r="G174" s="12"/>
      <c r="H174" s="12"/>
      <c r="I174" s="12"/>
      <c r="J174" s="60"/>
      <c r="K174" s="12"/>
      <c r="L174" s="12"/>
      <c r="M174" s="12"/>
      <c r="N174" s="12"/>
      <c r="O174" s="12"/>
      <c r="P174" s="12"/>
      <c r="Q174" s="81"/>
      <c r="R174" s="81"/>
      <c r="S174" s="81"/>
      <c r="T174" s="81"/>
      <c r="U174" s="81"/>
      <c r="V174" s="81"/>
      <c r="W174" s="81"/>
      <c r="X174" s="81"/>
      <c r="Y174" s="81"/>
      <c r="Z174" s="25"/>
    </row>
    <row r="175" spans="3:26" x14ac:dyDescent="0.3">
      <c r="C175" s="7">
        <v>170</v>
      </c>
      <c r="D175" s="12"/>
      <c r="E175" s="12"/>
      <c r="F175" s="12"/>
      <c r="G175" s="12"/>
      <c r="H175" s="12"/>
      <c r="I175" s="12"/>
      <c r="J175" s="60"/>
      <c r="K175" s="12"/>
      <c r="L175" s="12"/>
      <c r="M175" s="12"/>
      <c r="N175" s="12"/>
      <c r="O175" s="12"/>
      <c r="P175" s="12"/>
      <c r="Q175" s="81"/>
      <c r="R175" s="81"/>
      <c r="S175" s="81"/>
      <c r="T175" s="81"/>
      <c r="U175" s="81"/>
      <c r="V175" s="81"/>
      <c r="W175" s="81"/>
      <c r="X175" s="81"/>
      <c r="Y175" s="81"/>
      <c r="Z175" s="25"/>
    </row>
    <row r="176" spans="3:26" x14ac:dyDescent="0.3">
      <c r="C176" s="7">
        <v>171</v>
      </c>
      <c r="D176" s="12"/>
      <c r="E176" s="12"/>
      <c r="F176" s="12"/>
      <c r="G176" s="12"/>
      <c r="H176" s="12"/>
      <c r="I176" s="12"/>
      <c r="J176" s="60"/>
      <c r="K176" s="12"/>
      <c r="L176" s="12"/>
      <c r="M176" s="12"/>
      <c r="N176" s="12"/>
      <c r="O176" s="12"/>
      <c r="P176" s="12"/>
      <c r="Q176" s="81"/>
      <c r="R176" s="81"/>
      <c r="S176" s="81"/>
      <c r="T176" s="81"/>
      <c r="U176" s="81"/>
      <c r="V176" s="81"/>
      <c r="W176" s="81"/>
      <c r="X176" s="81"/>
      <c r="Y176" s="81"/>
      <c r="Z176" s="25"/>
    </row>
    <row r="177" spans="3:26" x14ac:dyDescent="0.3">
      <c r="C177" s="7">
        <v>172</v>
      </c>
      <c r="D177" s="12"/>
      <c r="E177" s="12"/>
      <c r="F177" s="12"/>
      <c r="G177" s="12"/>
      <c r="H177" s="12"/>
      <c r="I177" s="12"/>
      <c r="J177" s="60"/>
      <c r="K177" s="12"/>
      <c r="L177" s="12"/>
      <c r="M177" s="12"/>
      <c r="N177" s="12"/>
      <c r="O177" s="12"/>
      <c r="P177" s="12"/>
      <c r="Q177" s="81"/>
      <c r="R177" s="81"/>
      <c r="S177" s="81"/>
      <c r="T177" s="81"/>
      <c r="U177" s="81"/>
      <c r="V177" s="81"/>
      <c r="W177" s="81"/>
      <c r="X177" s="81"/>
      <c r="Y177" s="81"/>
      <c r="Z177" s="25"/>
    </row>
    <row r="178" spans="3:26" x14ac:dyDescent="0.3">
      <c r="C178" s="7">
        <v>173</v>
      </c>
      <c r="D178" s="12"/>
      <c r="E178" s="12"/>
      <c r="F178" s="12"/>
      <c r="G178" s="12"/>
      <c r="H178" s="12"/>
      <c r="I178" s="12"/>
      <c r="J178" s="60"/>
      <c r="K178" s="12"/>
      <c r="L178" s="12"/>
      <c r="M178" s="12"/>
      <c r="N178" s="12"/>
      <c r="O178" s="12"/>
      <c r="P178" s="12"/>
      <c r="Q178" s="81"/>
      <c r="R178" s="81"/>
      <c r="S178" s="81"/>
      <c r="T178" s="81"/>
      <c r="U178" s="81"/>
      <c r="V178" s="81"/>
      <c r="W178" s="81"/>
      <c r="X178" s="81"/>
      <c r="Y178" s="81"/>
      <c r="Z178" s="25"/>
    </row>
    <row r="179" spans="3:26" x14ac:dyDescent="0.3">
      <c r="C179" s="7">
        <v>174</v>
      </c>
      <c r="D179" s="12"/>
      <c r="E179" s="12"/>
      <c r="F179" s="12"/>
      <c r="G179" s="12"/>
      <c r="H179" s="12"/>
      <c r="I179" s="12"/>
      <c r="J179" s="60"/>
      <c r="K179" s="12"/>
      <c r="L179" s="12"/>
      <c r="M179" s="12"/>
      <c r="N179" s="12"/>
      <c r="O179" s="12"/>
      <c r="P179" s="12"/>
      <c r="Q179" s="81"/>
      <c r="R179" s="81"/>
      <c r="S179" s="81"/>
      <c r="T179" s="81"/>
      <c r="U179" s="81"/>
      <c r="V179" s="81"/>
      <c r="W179" s="81"/>
      <c r="X179" s="81"/>
      <c r="Y179" s="81"/>
      <c r="Z179" s="25"/>
    </row>
    <row r="180" spans="3:26" x14ac:dyDescent="0.3">
      <c r="C180" s="7">
        <v>175</v>
      </c>
      <c r="D180" s="12"/>
      <c r="E180" s="12"/>
      <c r="F180" s="12"/>
      <c r="G180" s="12"/>
      <c r="H180" s="12"/>
      <c r="I180" s="12"/>
      <c r="J180" s="60"/>
      <c r="K180" s="12"/>
      <c r="L180" s="12"/>
      <c r="M180" s="12"/>
      <c r="N180" s="12"/>
      <c r="O180" s="12"/>
      <c r="P180" s="12"/>
      <c r="Q180" s="81"/>
      <c r="R180" s="81"/>
      <c r="S180" s="81"/>
      <c r="T180" s="81"/>
      <c r="U180" s="81"/>
      <c r="V180" s="81"/>
      <c r="W180" s="81"/>
      <c r="X180" s="81"/>
      <c r="Y180" s="81"/>
      <c r="Z180" s="25"/>
    </row>
    <row r="181" spans="3:26" x14ac:dyDescent="0.3">
      <c r="C181" s="7">
        <v>176</v>
      </c>
      <c r="D181" s="12"/>
      <c r="E181" s="12"/>
      <c r="F181" s="12"/>
      <c r="G181" s="12"/>
      <c r="H181" s="12"/>
      <c r="I181" s="12"/>
      <c r="J181" s="60"/>
      <c r="K181" s="12"/>
      <c r="L181" s="12"/>
      <c r="M181" s="12"/>
      <c r="N181" s="12"/>
      <c r="O181" s="12"/>
      <c r="P181" s="12"/>
      <c r="Q181" s="81"/>
      <c r="R181" s="81"/>
      <c r="S181" s="81"/>
      <c r="T181" s="81"/>
      <c r="U181" s="81"/>
      <c r="V181" s="81"/>
      <c r="W181" s="81"/>
      <c r="X181" s="81"/>
      <c r="Y181" s="81"/>
      <c r="Z181" s="25"/>
    </row>
    <row r="182" spans="3:26" x14ac:dyDescent="0.3">
      <c r="C182" s="7">
        <v>177</v>
      </c>
      <c r="D182" s="12"/>
      <c r="E182" s="12"/>
      <c r="F182" s="12"/>
      <c r="G182" s="12"/>
      <c r="H182" s="12"/>
      <c r="I182" s="12"/>
      <c r="J182" s="60"/>
      <c r="K182" s="12"/>
      <c r="L182" s="12"/>
      <c r="M182" s="12"/>
      <c r="N182" s="12"/>
      <c r="O182" s="12"/>
      <c r="P182" s="12"/>
      <c r="Q182" s="81"/>
      <c r="R182" s="81"/>
      <c r="S182" s="81"/>
      <c r="T182" s="81"/>
      <c r="U182" s="81"/>
      <c r="V182" s="81"/>
      <c r="W182" s="81"/>
      <c r="X182" s="81"/>
      <c r="Y182" s="81"/>
      <c r="Z182" s="25"/>
    </row>
    <row r="183" spans="3:26" x14ac:dyDescent="0.3">
      <c r="C183" s="7">
        <v>178</v>
      </c>
      <c r="D183" s="12"/>
      <c r="E183" s="12"/>
      <c r="F183" s="12"/>
      <c r="G183" s="12"/>
      <c r="H183" s="12"/>
      <c r="I183" s="12"/>
      <c r="J183" s="60"/>
      <c r="K183" s="12"/>
      <c r="L183" s="12"/>
      <c r="M183" s="12"/>
      <c r="N183" s="12"/>
      <c r="O183" s="12"/>
      <c r="P183" s="12"/>
      <c r="Q183" s="81"/>
      <c r="R183" s="81"/>
      <c r="S183" s="81"/>
      <c r="T183" s="81"/>
      <c r="U183" s="81"/>
      <c r="V183" s="81"/>
      <c r="W183" s="81"/>
      <c r="X183" s="81"/>
      <c r="Y183" s="81"/>
      <c r="Z183" s="25"/>
    </row>
    <row r="184" spans="3:26" x14ac:dyDescent="0.3">
      <c r="C184" s="7">
        <v>179</v>
      </c>
      <c r="D184" s="12"/>
      <c r="E184" s="12"/>
      <c r="F184" s="12"/>
      <c r="G184" s="12"/>
      <c r="H184" s="12"/>
      <c r="I184" s="12"/>
      <c r="J184" s="60"/>
      <c r="K184" s="12"/>
      <c r="L184" s="12"/>
      <c r="M184" s="12"/>
      <c r="N184" s="12"/>
      <c r="O184" s="12"/>
      <c r="P184" s="12"/>
      <c r="Q184" s="81"/>
      <c r="R184" s="81"/>
      <c r="S184" s="81"/>
      <c r="T184" s="81"/>
      <c r="U184" s="81"/>
      <c r="V184" s="81"/>
      <c r="W184" s="81"/>
      <c r="X184" s="81"/>
      <c r="Y184" s="81"/>
      <c r="Z184" s="25"/>
    </row>
    <row r="185" spans="3:26" x14ac:dyDescent="0.3">
      <c r="C185" s="7">
        <v>180</v>
      </c>
      <c r="D185" s="12"/>
      <c r="E185" s="12"/>
      <c r="F185" s="12"/>
      <c r="G185" s="12"/>
      <c r="H185" s="12"/>
      <c r="I185" s="12"/>
      <c r="J185" s="60"/>
      <c r="K185" s="12"/>
      <c r="L185" s="12"/>
      <c r="M185" s="12"/>
      <c r="N185" s="12"/>
      <c r="O185" s="12"/>
      <c r="P185" s="12"/>
      <c r="Q185" s="81"/>
      <c r="R185" s="81"/>
      <c r="S185" s="81"/>
      <c r="T185" s="81"/>
      <c r="U185" s="81"/>
      <c r="V185" s="81"/>
      <c r="W185" s="81"/>
      <c r="X185" s="81"/>
      <c r="Y185" s="81"/>
      <c r="Z185" s="25"/>
    </row>
    <row r="186" spans="3:26" x14ac:dyDescent="0.3">
      <c r="C186" s="7">
        <v>181</v>
      </c>
      <c r="D186" s="12"/>
      <c r="E186" s="12"/>
      <c r="F186" s="12"/>
      <c r="G186" s="12"/>
      <c r="H186" s="12"/>
      <c r="I186" s="12"/>
      <c r="J186" s="60"/>
      <c r="K186" s="12"/>
      <c r="L186" s="12"/>
      <c r="M186" s="12"/>
      <c r="N186" s="12"/>
      <c r="O186" s="12"/>
      <c r="P186" s="12"/>
      <c r="Q186" s="81"/>
      <c r="R186" s="81"/>
      <c r="S186" s="81"/>
      <c r="T186" s="81"/>
      <c r="U186" s="81"/>
      <c r="V186" s="81"/>
      <c r="W186" s="81"/>
      <c r="X186" s="81"/>
      <c r="Y186" s="81"/>
      <c r="Z186" s="25"/>
    </row>
    <row r="187" spans="3:26" x14ac:dyDescent="0.3">
      <c r="C187" s="7">
        <v>182</v>
      </c>
      <c r="D187" s="12"/>
      <c r="E187" s="12"/>
      <c r="F187" s="12"/>
      <c r="G187" s="12"/>
      <c r="H187" s="12"/>
      <c r="I187" s="12"/>
      <c r="J187" s="60"/>
      <c r="K187" s="12"/>
      <c r="L187" s="12"/>
      <c r="M187" s="12"/>
      <c r="N187" s="12"/>
      <c r="O187" s="12"/>
      <c r="P187" s="12"/>
      <c r="Q187" s="81"/>
      <c r="R187" s="81"/>
      <c r="S187" s="81"/>
      <c r="T187" s="81"/>
      <c r="U187" s="81"/>
      <c r="V187" s="81"/>
      <c r="W187" s="81"/>
      <c r="X187" s="81"/>
      <c r="Y187" s="81"/>
      <c r="Z187" s="25"/>
    </row>
    <row r="188" spans="3:26" x14ac:dyDescent="0.3">
      <c r="C188" s="7">
        <v>183</v>
      </c>
      <c r="D188" s="12"/>
      <c r="E188" s="12"/>
      <c r="F188" s="12"/>
      <c r="G188" s="12"/>
      <c r="H188" s="12"/>
      <c r="I188" s="12"/>
      <c r="J188" s="60"/>
      <c r="K188" s="12"/>
      <c r="L188" s="12"/>
      <c r="M188" s="12"/>
      <c r="N188" s="12"/>
      <c r="O188" s="12"/>
      <c r="P188" s="12"/>
      <c r="Q188" s="81"/>
      <c r="R188" s="81"/>
      <c r="S188" s="81"/>
      <c r="T188" s="81"/>
      <c r="U188" s="81"/>
      <c r="V188" s="81"/>
      <c r="W188" s="81"/>
      <c r="X188" s="81"/>
      <c r="Y188" s="81"/>
      <c r="Z188" s="25"/>
    </row>
    <row r="189" spans="3:26" x14ac:dyDescent="0.3">
      <c r="C189" s="7">
        <v>184</v>
      </c>
      <c r="D189" s="12"/>
      <c r="E189" s="12"/>
      <c r="F189" s="12"/>
      <c r="G189" s="12"/>
      <c r="H189" s="12"/>
      <c r="I189" s="12"/>
      <c r="J189" s="60"/>
      <c r="K189" s="12"/>
      <c r="L189" s="12"/>
      <c r="M189" s="12"/>
      <c r="N189" s="12"/>
      <c r="O189" s="12"/>
      <c r="P189" s="12"/>
      <c r="Q189" s="81"/>
      <c r="R189" s="81"/>
      <c r="S189" s="81"/>
      <c r="T189" s="81"/>
      <c r="U189" s="81"/>
      <c r="V189" s="81"/>
      <c r="W189" s="81"/>
      <c r="X189" s="81"/>
      <c r="Y189" s="81"/>
      <c r="Z189" s="25"/>
    </row>
    <row r="190" spans="3:26" x14ac:dyDescent="0.3">
      <c r="C190" s="7">
        <v>185</v>
      </c>
      <c r="D190" s="12"/>
      <c r="E190" s="12"/>
      <c r="F190" s="12"/>
      <c r="G190" s="12"/>
      <c r="H190" s="12"/>
      <c r="I190" s="12"/>
      <c r="J190" s="60"/>
      <c r="K190" s="12"/>
      <c r="L190" s="12"/>
      <c r="M190" s="12"/>
      <c r="N190" s="12"/>
      <c r="O190" s="12"/>
      <c r="P190" s="12"/>
      <c r="Q190" s="81"/>
      <c r="R190" s="81"/>
      <c r="S190" s="81"/>
      <c r="T190" s="81"/>
      <c r="U190" s="81"/>
      <c r="V190" s="81"/>
      <c r="W190" s="81"/>
      <c r="X190" s="81"/>
      <c r="Y190" s="81"/>
      <c r="Z190" s="25"/>
    </row>
    <row r="191" spans="3:26" x14ac:dyDescent="0.3">
      <c r="C191" s="7">
        <v>186</v>
      </c>
      <c r="D191" s="12"/>
      <c r="E191" s="12"/>
      <c r="F191" s="12"/>
      <c r="G191" s="12"/>
      <c r="H191" s="12"/>
      <c r="I191" s="12"/>
      <c r="J191" s="60"/>
      <c r="K191" s="12"/>
      <c r="L191" s="12"/>
      <c r="M191" s="12"/>
      <c r="N191" s="12"/>
      <c r="O191" s="12"/>
      <c r="P191" s="12"/>
      <c r="Q191" s="81"/>
      <c r="R191" s="81"/>
      <c r="S191" s="81"/>
      <c r="T191" s="81"/>
      <c r="U191" s="81"/>
      <c r="V191" s="81"/>
      <c r="W191" s="81"/>
      <c r="X191" s="81"/>
      <c r="Y191" s="81"/>
      <c r="Z191" s="25"/>
    </row>
    <row r="192" spans="3:26" x14ac:dyDescent="0.3">
      <c r="C192" s="7">
        <v>187</v>
      </c>
      <c r="D192" s="12"/>
      <c r="E192" s="12"/>
      <c r="F192" s="12"/>
      <c r="G192" s="12"/>
      <c r="H192" s="12"/>
      <c r="I192" s="12"/>
      <c r="J192" s="60"/>
      <c r="K192" s="12"/>
      <c r="L192" s="12"/>
      <c r="M192" s="12"/>
      <c r="N192" s="12"/>
      <c r="O192" s="12"/>
      <c r="P192" s="12"/>
      <c r="Q192" s="81"/>
      <c r="R192" s="81"/>
      <c r="S192" s="81"/>
      <c r="T192" s="81"/>
      <c r="U192" s="81"/>
      <c r="V192" s="81"/>
      <c r="W192" s="81"/>
      <c r="X192" s="81"/>
      <c r="Y192" s="81"/>
      <c r="Z192" s="25"/>
    </row>
    <row r="193" spans="3:26" x14ac:dyDescent="0.3">
      <c r="C193" s="7">
        <v>188</v>
      </c>
      <c r="D193" s="12"/>
      <c r="E193" s="12"/>
      <c r="F193" s="12"/>
      <c r="G193" s="12"/>
      <c r="H193" s="12"/>
      <c r="I193" s="12"/>
      <c r="J193" s="60"/>
      <c r="K193" s="12"/>
      <c r="L193" s="12"/>
      <c r="M193" s="12"/>
      <c r="N193" s="12"/>
      <c r="O193" s="12"/>
      <c r="P193" s="12"/>
      <c r="Q193" s="81"/>
      <c r="R193" s="81"/>
      <c r="S193" s="81"/>
      <c r="T193" s="81"/>
      <c r="U193" s="81"/>
      <c r="V193" s="81"/>
      <c r="W193" s="81"/>
      <c r="X193" s="81"/>
      <c r="Y193" s="81"/>
      <c r="Z193" s="25"/>
    </row>
    <row r="194" spans="3:26" x14ac:dyDescent="0.3">
      <c r="C194" s="7">
        <v>189</v>
      </c>
      <c r="D194" s="12"/>
      <c r="E194" s="12"/>
      <c r="F194" s="12"/>
      <c r="G194" s="12"/>
      <c r="H194" s="12"/>
      <c r="I194" s="12"/>
      <c r="J194" s="60"/>
      <c r="K194" s="12"/>
      <c r="L194" s="12"/>
      <c r="M194" s="12"/>
      <c r="N194" s="12"/>
      <c r="O194" s="12"/>
      <c r="P194" s="12"/>
      <c r="Q194" s="81"/>
      <c r="R194" s="81"/>
      <c r="S194" s="81"/>
      <c r="T194" s="81"/>
      <c r="U194" s="81"/>
      <c r="V194" s="81"/>
      <c r="W194" s="81"/>
      <c r="X194" s="81"/>
      <c r="Y194" s="81"/>
      <c r="Z194" s="25"/>
    </row>
    <row r="195" spans="3:26" x14ac:dyDescent="0.3">
      <c r="C195" s="7">
        <v>190</v>
      </c>
      <c r="D195" s="12"/>
      <c r="E195" s="12"/>
      <c r="F195" s="12"/>
      <c r="G195" s="12"/>
      <c r="H195" s="12"/>
      <c r="I195" s="12"/>
      <c r="J195" s="60"/>
      <c r="K195" s="12"/>
      <c r="L195" s="12"/>
      <c r="M195" s="12"/>
      <c r="N195" s="12"/>
      <c r="O195" s="12"/>
      <c r="P195" s="12"/>
      <c r="Q195" s="81"/>
      <c r="R195" s="81"/>
      <c r="S195" s="81"/>
      <c r="T195" s="81"/>
      <c r="U195" s="81"/>
      <c r="V195" s="81"/>
      <c r="W195" s="81"/>
      <c r="X195" s="81"/>
      <c r="Y195" s="81"/>
      <c r="Z195" s="25"/>
    </row>
    <row r="196" spans="3:26" x14ac:dyDescent="0.3">
      <c r="C196" s="7">
        <v>191</v>
      </c>
      <c r="D196" s="12"/>
      <c r="E196" s="12"/>
      <c r="F196" s="12"/>
      <c r="G196" s="12"/>
      <c r="H196" s="12"/>
      <c r="I196" s="12"/>
      <c r="J196" s="60"/>
      <c r="K196" s="12"/>
      <c r="L196" s="12"/>
      <c r="M196" s="12"/>
      <c r="N196" s="12"/>
      <c r="O196" s="12"/>
      <c r="P196" s="12"/>
      <c r="Q196" s="81"/>
      <c r="R196" s="81"/>
      <c r="S196" s="81"/>
      <c r="T196" s="81"/>
      <c r="U196" s="81"/>
      <c r="V196" s="81"/>
      <c r="W196" s="81"/>
      <c r="X196" s="81"/>
      <c r="Y196" s="81"/>
      <c r="Z196" s="25"/>
    </row>
    <row r="197" spans="3:26" x14ac:dyDescent="0.3">
      <c r="C197" s="7">
        <v>192</v>
      </c>
      <c r="D197" s="12"/>
      <c r="E197" s="12"/>
      <c r="F197" s="12"/>
      <c r="G197" s="12"/>
      <c r="H197" s="12"/>
      <c r="I197" s="12"/>
      <c r="J197" s="60"/>
      <c r="K197" s="12"/>
      <c r="L197" s="12"/>
      <c r="M197" s="12"/>
      <c r="N197" s="12"/>
      <c r="O197" s="12"/>
      <c r="P197" s="12"/>
      <c r="Q197" s="81"/>
      <c r="R197" s="81"/>
      <c r="S197" s="81"/>
      <c r="T197" s="81"/>
      <c r="U197" s="81"/>
      <c r="V197" s="81"/>
      <c r="W197" s="81"/>
      <c r="X197" s="81"/>
      <c r="Y197" s="81"/>
      <c r="Z197" s="25"/>
    </row>
    <row r="198" spans="3:26" x14ac:dyDescent="0.3">
      <c r="C198" s="7">
        <v>193</v>
      </c>
      <c r="D198" s="12"/>
      <c r="E198" s="12"/>
      <c r="F198" s="12"/>
      <c r="G198" s="12"/>
      <c r="H198" s="12"/>
      <c r="I198" s="12"/>
      <c r="J198" s="60"/>
      <c r="K198" s="12"/>
      <c r="L198" s="12"/>
      <c r="M198" s="12"/>
      <c r="N198" s="12"/>
      <c r="O198" s="12"/>
      <c r="P198" s="12"/>
      <c r="Q198" s="81"/>
      <c r="R198" s="81"/>
      <c r="S198" s="81"/>
      <c r="T198" s="81"/>
      <c r="U198" s="81"/>
      <c r="V198" s="81"/>
      <c r="W198" s="81"/>
      <c r="X198" s="81"/>
      <c r="Y198" s="81"/>
      <c r="Z198" s="25"/>
    </row>
    <row r="199" spans="3:26" x14ac:dyDescent="0.3">
      <c r="C199" s="7">
        <v>194</v>
      </c>
      <c r="D199" s="12"/>
      <c r="E199" s="12"/>
      <c r="F199" s="12"/>
      <c r="G199" s="12"/>
      <c r="H199" s="12"/>
      <c r="I199" s="12"/>
      <c r="J199" s="60"/>
      <c r="K199" s="12"/>
      <c r="L199" s="12"/>
      <c r="M199" s="12"/>
      <c r="N199" s="12"/>
      <c r="O199" s="12"/>
      <c r="P199" s="12"/>
      <c r="Q199" s="81"/>
      <c r="R199" s="81"/>
      <c r="S199" s="81"/>
      <c r="T199" s="81"/>
      <c r="U199" s="81"/>
      <c r="V199" s="81"/>
      <c r="W199" s="81"/>
      <c r="X199" s="81"/>
      <c r="Y199" s="81"/>
      <c r="Z199" s="25"/>
    </row>
    <row r="200" spans="3:26" x14ac:dyDescent="0.3">
      <c r="C200" s="7">
        <v>195</v>
      </c>
      <c r="D200" s="12"/>
      <c r="E200" s="12"/>
      <c r="F200" s="12"/>
      <c r="G200" s="12"/>
      <c r="H200" s="12"/>
      <c r="I200" s="12"/>
      <c r="J200" s="60"/>
      <c r="K200" s="12"/>
      <c r="L200" s="12"/>
      <c r="M200" s="12"/>
      <c r="N200" s="12"/>
      <c r="O200" s="12"/>
      <c r="P200" s="12"/>
      <c r="Q200" s="81"/>
      <c r="R200" s="81"/>
      <c r="S200" s="81"/>
      <c r="T200" s="81"/>
      <c r="U200" s="81"/>
      <c r="V200" s="81"/>
      <c r="W200" s="81"/>
      <c r="X200" s="81"/>
      <c r="Y200" s="81"/>
      <c r="Z200" s="25"/>
    </row>
    <row r="201" spans="3:26" x14ac:dyDescent="0.3">
      <c r="C201" s="7">
        <v>196</v>
      </c>
      <c r="D201" s="12"/>
      <c r="E201" s="12"/>
      <c r="F201" s="12"/>
      <c r="G201" s="12"/>
      <c r="H201" s="12"/>
      <c r="I201" s="12"/>
      <c r="J201" s="60"/>
      <c r="K201" s="12"/>
      <c r="L201" s="12"/>
      <c r="M201" s="12"/>
      <c r="N201" s="12"/>
      <c r="O201" s="12"/>
      <c r="P201" s="12"/>
      <c r="Q201" s="81"/>
      <c r="R201" s="81"/>
      <c r="S201" s="81"/>
      <c r="T201" s="81"/>
      <c r="U201" s="81"/>
      <c r="V201" s="81"/>
      <c r="W201" s="81"/>
      <c r="X201" s="81"/>
      <c r="Y201" s="81"/>
      <c r="Z201" s="25"/>
    </row>
    <row r="202" spans="3:26" x14ac:dyDescent="0.3">
      <c r="C202" s="7">
        <v>197</v>
      </c>
      <c r="D202" s="12"/>
      <c r="E202" s="12"/>
      <c r="F202" s="12"/>
      <c r="G202" s="12"/>
      <c r="H202" s="12"/>
      <c r="I202" s="12"/>
      <c r="J202" s="60"/>
      <c r="K202" s="12"/>
      <c r="L202" s="12"/>
      <c r="M202" s="12"/>
      <c r="N202" s="12"/>
      <c r="O202" s="12"/>
      <c r="P202" s="12"/>
      <c r="Q202" s="81"/>
      <c r="R202" s="81"/>
      <c r="S202" s="81"/>
      <c r="T202" s="81"/>
      <c r="U202" s="81"/>
      <c r="V202" s="81"/>
      <c r="W202" s="81"/>
      <c r="X202" s="81"/>
      <c r="Y202" s="81"/>
      <c r="Z202" s="25"/>
    </row>
    <row r="203" spans="3:26" x14ac:dyDescent="0.3">
      <c r="C203" s="7">
        <v>198</v>
      </c>
      <c r="D203" s="12"/>
      <c r="E203" s="12"/>
      <c r="F203" s="12"/>
      <c r="G203" s="12"/>
      <c r="H203" s="12"/>
      <c r="I203" s="12"/>
      <c r="J203" s="60"/>
      <c r="K203" s="12"/>
      <c r="L203" s="12"/>
      <c r="M203" s="12"/>
      <c r="N203" s="12"/>
      <c r="O203" s="12"/>
      <c r="P203" s="12"/>
      <c r="Q203" s="81"/>
      <c r="R203" s="81"/>
      <c r="S203" s="81"/>
      <c r="T203" s="81"/>
      <c r="U203" s="81"/>
      <c r="V203" s="81"/>
      <c r="W203" s="81"/>
      <c r="X203" s="81"/>
      <c r="Y203" s="81"/>
      <c r="Z203" s="25"/>
    </row>
    <row r="204" spans="3:26" x14ac:dyDescent="0.3">
      <c r="C204" s="7">
        <v>199</v>
      </c>
      <c r="D204" s="12"/>
      <c r="E204" s="12"/>
      <c r="F204" s="12"/>
      <c r="G204" s="12"/>
      <c r="H204" s="12"/>
      <c r="I204" s="12"/>
      <c r="J204" s="60"/>
      <c r="K204" s="12"/>
      <c r="L204" s="12"/>
      <c r="M204" s="12"/>
      <c r="N204" s="12"/>
      <c r="O204" s="12"/>
      <c r="P204" s="12"/>
      <c r="Q204" s="81"/>
      <c r="R204" s="81"/>
      <c r="S204" s="81"/>
      <c r="T204" s="81"/>
      <c r="U204" s="81"/>
      <c r="V204" s="81"/>
      <c r="W204" s="81"/>
      <c r="X204" s="81"/>
      <c r="Y204" s="81"/>
      <c r="Z204" s="25"/>
    </row>
    <row r="205" spans="3:26" x14ac:dyDescent="0.3">
      <c r="C205" s="7">
        <v>200</v>
      </c>
      <c r="D205" s="12"/>
      <c r="E205" s="12"/>
      <c r="F205" s="12"/>
      <c r="G205" s="12"/>
      <c r="H205" s="12"/>
      <c r="I205" s="12"/>
      <c r="J205" s="60"/>
      <c r="K205" s="12"/>
      <c r="L205" s="12"/>
      <c r="M205" s="12"/>
      <c r="N205" s="12"/>
      <c r="O205" s="12"/>
      <c r="P205" s="12"/>
      <c r="Q205" s="81"/>
      <c r="R205" s="81"/>
      <c r="S205" s="81"/>
      <c r="T205" s="81"/>
      <c r="U205" s="81"/>
      <c r="V205" s="81"/>
      <c r="W205" s="81"/>
      <c r="X205" s="81"/>
      <c r="Y205" s="81"/>
      <c r="Z205" s="25"/>
    </row>
    <row r="206" spans="3:26" x14ac:dyDescent="0.3">
      <c r="C206" s="7">
        <v>201</v>
      </c>
      <c r="D206" s="12"/>
      <c r="E206" s="12"/>
      <c r="F206" s="12"/>
      <c r="G206" s="12"/>
      <c r="H206" s="12"/>
      <c r="I206" s="12"/>
      <c r="J206" s="60"/>
      <c r="K206" s="12"/>
      <c r="L206" s="12"/>
      <c r="M206" s="12"/>
      <c r="N206" s="12"/>
      <c r="O206" s="12"/>
      <c r="P206" s="12"/>
      <c r="Q206" s="81"/>
      <c r="R206" s="81"/>
      <c r="S206" s="81"/>
      <c r="T206" s="81"/>
      <c r="U206" s="81"/>
      <c r="V206" s="81"/>
      <c r="W206" s="81"/>
      <c r="X206" s="81"/>
      <c r="Y206" s="81"/>
      <c r="Z206" s="25"/>
    </row>
    <row r="207" spans="3:26" x14ac:dyDescent="0.3">
      <c r="C207" s="7">
        <v>202</v>
      </c>
      <c r="D207" s="12"/>
      <c r="E207" s="12"/>
      <c r="F207" s="12"/>
      <c r="G207" s="12"/>
      <c r="H207" s="12"/>
      <c r="I207" s="12"/>
      <c r="J207" s="60"/>
      <c r="K207" s="12"/>
      <c r="L207" s="12"/>
      <c r="M207" s="12"/>
      <c r="N207" s="12"/>
      <c r="O207" s="12"/>
      <c r="P207" s="12"/>
      <c r="Q207" s="81"/>
      <c r="R207" s="81"/>
      <c r="S207" s="81"/>
      <c r="T207" s="81"/>
      <c r="U207" s="81"/>
      <c r="V207" s="81"/>
      <c r="W207" s="81"/>
      <c r="X207" s="81"/>
      <c r="Y207" s="81"/>
      <c r="Z207" s="25"/>
    </row>
    <row r="208" spans="3:26" x14ac:dyDescent="0.3">
      <c r="C208" s="7">
        <v>203</v>
      </c>
      <c r="D208" s="12"/>
      <c r="E208" s="12"/>
      <c r="F208" s="12"/>
      <c r="G208" s="12"/>
      <c r="H208" s="12"/>
      <c r="I208" s="12"/>
      <c r="J208" s="60"/>
      <c r="K208" s="12"/>
      <c r="L208" s="12"/>
      <c r="M208" s="12"/>
      <c r="N208" s="12"/>
      <c r="O208" s="12"/>
      <c r="P208" s="12"/>
      <c r="Q208" s="81"/>
      <c r="R208" s="81"/>
      <c r="S208" s="81"/>
      <c r="T208" s="81"/>
      <c r="U208" s="81"/>
      <c r="V208" s="81"/>
      <c r="W208" s="81"/>
      <c r="X208" s="81"/>
      <c r="Y208" s="81"/>
      <c r="Z208" s="25"/>
    </row>
    <row r="209" spans="3:26" x14ac:dyDescent="0.3">
      <c r="C209" s="7">
        <v>204</v>
      </c>
      <c r="D209" s="12"/>
      <c r="E209" s="12"/>
      <c r="F209" s="12"/>
      <c r="G209" s="12"/>
      <c r="H209" s="12"/>
      <c r="I209" s="12"/>
      <c r="J209" s="60"/>
      <c r="K209" s="12"/>
      <c r="L209" s="12"/>
      <c r="M209" s="12"/>
      <c r="N209" s="12"/>
      <c r="O209" s="12"/>
      <c r="P209" s="12"/>
      <c r="Q209" s="81"/>
      <c r="R209" s="81"/>
      <c r="S209" s="81"/>
      <c r="T209" s="81"/>
      <c r="U209" s="81"/>
      <c r="V209" s="81"/>
      <c r="W209" s="81"/>
      <c r="X209" s="81"/>
      <c r="Y209" s="81"/>
      <c r="Z209" s="25"/>
    </row>
    <row r="210" spans="3:26" x14ac:dyDescent="0.3">
      <c r="C210" s="7">
        <v>205</v>
      </c>
      <c r="D210" s="12"/>
      <c r="E210" s="12"/>
      <c r="F210" s="12"/>
      <c r="G210" s="12"/>
      <c r="H210" s="12"/>
      <c r="I210" s="12"/>
      <c r="J210" s="60"/>
      <c r="K210" s="12"/>
      <c r="L210" s="12"/>
      <c r="M210" s="12"/>
      <c r="N210" s="12"/>
      <c r="O210" s="12"/>
      <c r="P210" s="12"/>
      <c r="Q210" s="81"/>
      <c r="R210" s="81"/>
      <c r="S210" s="81"/>
      <c r="T210" s="81"/>
      <c r="U210" s="81"/>
      <c r="V210" s="81"/>
      <c r="W210" s="81"/>
      <c r="X210" s="81"/>
      <c r="Y210" s="81"/>
      <c r="Z210" s="25"/>
    </row>
    <row r="211" spans="3:26" x14ac:dyDescent="0.3">
      <c r="C211" s="7">
        <v>206</v>
      </c>
      <c r="D211" s="12"/>
      <c r="E211" s="12"/>
      <c r="F211" s="12"/>
      <c r="G211" s="12"/>
      <c r="H211" s="12"/>
      <c r="I211" s="12"/>
      <c r="J211" s="60"/>
      <c r="K211" s="12"/>
      <c r="L211" s="12"/>
      <c r="M211" s="12"/>
      <c r="N211" s="12"/>
      <c r="O211" s="12"/>
      <c r="P211" s="12"/>
      <c r="Q211" s="81"/>
      <c r="R211" s="81"/>
      <c r="S211" s="81"/>
      <c r="T211" s="81"/>
      <c r="U211" s="81"/>
      <c r="V211" s="81"/>
      <c r="W211" s="81"/>
      <c r="X211" s="81"/>
      <c r="Y211" s="81"/>
      <c r="Z211" s="25"/>
    </row>
    <row r="212" spans="3:26" x14ac:dyDescent="0.3">
      <c r="C212" s="7">
        <v>207</v>
      </c>
      <c r="D212" s="12"/>
      <c r="E212" s="12"/>
      <c r="F212" s="12"/>
      <c r="G212" s="12"/>
      <c r="H212" s="12"/>
      <c r="I212" s="12"/>
      <c r="J212" s="60"/>
      <c r="K212" s="12"/>
      <c r="L212" s="12"/>
      <c r="M212" s="12"/>
      <c r="N212" s="12"/>
      <c r="O212" s="12"/>
      <c r="P212" s="12"/>
      <c r="Q212" s="81"/>
      <c r="R212" s="81"/>
      <c r="S212" s="81"/>
      <c r="T212" s="81"/>
      <c r="U212" s="81"/>
      <c r="V212" s="81"/>
      <c r="W212" s="81"/>
      <c r="X212" s="81"/>
      <c r="Y212" s="81"/>
      <c r="Z212" s="25"/>
    </row>
    <row r="213" spans="3:26" x14ac:dyDescent="0.3">
      <c r="C213" s="7">
        <v>208</v>
      </c>
      <c r="D213" s="12"/>
      <c r="E213" s="12"/>
      <c r="F213" s="12"/>
      <c r="G213" s="12"/>
      <c r="H213" s="12"/>
      <c r="I213" s="12"/>
      <c r="J213" s="60"/>
      <c r="K213" s="12"/>
      <c r="L213" s="12"/>
      <c r="M213" s="12"/>
      <c r="N213" s="12"/>
      <c r="O213" s="12"/>
      <c r="P213" s="12"/>
      <c r="Q213" s="81"/>
      <c r="R213" s="81"/>
      <c r="S213" s="81"/>
      <c r="T213" s="81"/>
      <c r="U213" s="81"/>
      <c r="V213" s="81"/>
      <c r="W213" s="81"/>
      <c r="X213" s="81"/>
      <c r="Y213" s="81"/>
      <c r="Z213" s="25"/>
    </row>
    <row r="214" spans="3:26" x14ac:dyDescent="0.3">
      <c r="C214" s="7">
        <v>209</v>
      </c>
      <c r="D214" s="12"/>
      <c r="E214" s="12"/>
      <c r="F214" s="12"/>
      <c r="G214" s="12"/>
      <c r="H214" s="12"/>
      <c r="I214" s="12"/>
      <c r="J214" s="60"/>
      <c r="K214" s="12"/>
      <c r="L214" s="12"/>
      <c r="M214" s="12"/>
      <c r="N214" s="12"/>
      <c r="O214" s="12"/>
      <c r="P214" s="12"/>
      <c r="Q214" s="81"/>
      <c r="R214" s="81"/>
      <c r="S214" s="81"/>
      <c r="T214" s="81"/>
      <c r="U214" s="81"/>
      <c r="V214" s="81"/>
      <c r="W214" s="81"/>
      <c r="X214" s="81"/>
      <c r="Y214" s="81"/>
      <c r="Z214" s="25"/>
    </row>
    <row r="215" spans="3:26" x14ac:dyDescent="0.3">
      <c r="C215" s="8">
        <v>210</v>
      </c>
    </row>
  </sheetData>
  <mergeCells count="16">
    <mergeCell ref="Q4:S4"/>
    <mergeCell ref="T4:V4"/>
    <mergeCell ref="W4:Y4"/>
    <mergeCell ref="C3:Z3"/>
    <mergeCell ref="C4:C5"/>
    <mergeCell ref="D4:D5"/>
    <mergeCell ref="E4:E5"/>
    <mergeCell ref="F4:F5"/>
    <mergeCell ref="G4:G5"/>
    <mergeCell ref="H4:H5"/>
    <mergeCell ref="Z4:Z5"/>
    <mergeCell ref="K4:L4"/>
    <mergeCell ref="M4:N4"/>
    <mergeCell ref="O4:P4"/>
    <mergeCell ref="I4:I5"/>
    <mergeCell ref="J4:J5"/>
  </mergeCells>
  <dataValidations disablePrompts="1" count="4">
    <dataValidation type="decimal" allowBlank="1" showInputMessage="1" showErrorMessage="1" sqref="K6:Y1048576 K1:Y1 F1 F6:F1048576" xr:uid="{00000000-0002-0000-0500-000000000000}">
      <formula1>-100000000</formula1>
      <formula2>100000000000</formula2>
    </dataValidation>
    <dataValidation type="date" operator="greaterThan" allowBlank="1" showInputMessage="1" showErrorMessage="1" sqref="J1 J6:J1048576" xr:uid="{00000000-0002-0000-0500-000001000000}">
      <formula1>1</formula1>
    </dataValidation>
    <dataValidation type="list" allowBlank="1" showInputMessage="1" showErrorMessage="1" sqref="G172:G1048576" xr:uid="{00000000-0002-0000-0500-000002000000}">
      <formula1>$B$59:$B$62</formula1>
    </dataValidation>
    <dataValidation type="list" allowBlank="1" showInputMessage="1" showErrorMessage="1" sqref="I172:I1048576" xr:uid="{00000000-0002-0000-0500-000003000000}">
      <formula1>$B$64:$B$65</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disablePrompts="1" count="3">
        <x14:dataValidation type="list" allowBlank="1" showInputMessage="1" showErrorMessage="1" xr:uid="{00000000-0002-0000-0500-000004000000}">
          <x14:formula1>
            <xm:f>'C:\Users\aacosta\Downloads\[Circular_002_Anexo.xlsx]Listas Desplegables'!#REF!</xm:f>
          </x14:formula1>
          <xm:sqref>H65:H1048576 E172:E1048576</xm:sqref>
        </x14:dataValidation>
        <x14:dataValidation type="list" allowBlank="1" showInputMessage="1" showErrorMessage="1" xr:uid="{00000000-0002-0000-0500-000005000000}">
          <x14:formula1>
            <xm:f>'Listas Desplegables'!$B$53:$B$56</xm:f>
          </x14:formula1>
          <xm:sqref>G1 G6:G171</xm:sqref>
        </x14:dataValidation>
        <x14:dataValidation type="list" allowBlank="1" showInputMessage="1" showErrorMessage="1" xr:uid="{00000000-0002-0000-0500-000006000000}">
          <x14:formula1>
            <xm:f>'Listas Desplegables'!$B$58:$B$59</xm:f>
          </x14:formula1>
          <xm:sqref>I1 I6:I171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sheetPr>
  <dimension ref="A2:P57"/>
  <sheetViews>
    <sheetView showGridLines="0" topLeftCell="D1" zoomScaleNormal="100" workbookViewId="0">
      <selection activeCell="D2" sqref="D2"/>
    </sheetView>
  </sheetViews>
  <sheetFormatPr baseColWidth="10" defaultColWidth="11.5546875" defaultRowHeight="14.4" x14ac:dyDescent="0.3"/>
  <cols>
    <col min="1" max="2" width="3" style="3" customWidth="1"/>
    <col min="3" max="3" width="6.6640625" style="2" customWidth="1"/>
    <col min="4" max="4" width="33" customWidth="1"/>
    <col min="5" max="5" width="14.5546875" customWidth="1"/>
    <col min="6" max="6" width="12.6640625" customWidth="1"/>
    <col min="10" max="11" width="14.88671875" customWidth="1"/>
    <col min="13" max="15" width="11.5546875" style="55"/>
    <col min="16" max="16" width="29.44140625" customWidth="1"/>
  </cols>
  <sheetData>
    <row r="2" spans="1:16" ht="15" thickBot="1" x14ac:dyDescent="0.35">
      <c r="D2" s="187" t="s">
        <v>890</v>
      </c>
    </row>
    <row r="3" spans="1:16" s="1" customFormat="1" ht="15" thickBot="1" x14ac:dyDescent="0.35">
      <c r="A3" s="4"/>
      <c r="B3" s="4"/>
      <c r="C3" s="87" t="s">
        <v>53</v>
      </c>
      <c r="D3" s="88"/>
      <c r="E3" s="88"/>
      <c r="F3" s="88"/>
      <c r="G3" s="88"/>
      <c r="H3" s="88"/>
      <c r="I3" s="88"/>
      <c r="J3" s="88"/>
      <c r="K3" s="88"/>
      <c r="L3" s="88"/>
      <c r="M3" s="88"/>
      <c r="N3" s="88"/>
      <c r="O3" s="88"/>
      <c r="P3" s="89"/>
    </row>
    <row r="4" spans="1:16" s="6" customFormat="1" ht="12" customHeight="1" x14ac:dyDescent="0.3">
      <c r="A4" s="5"/>
      <c r="B4" s="5"/>
      <c r="C4" s="90" t="s">
        <v>3</v>
      </c>
      <c r="D4" s="85" t="str">
        <f>'Manual de Uso'!C138</f>
        <v>Nombre</v>
      </c>
      <c r="E4" s="85" t="str">
        <f>'Manual de Uso'!C139</f>
        <v>Subestación</v>
      </c>
      <c r="F4" s="85" t="str">
        <f>'Manual de Uso'!C140</f>
        <v>Nivel de tensión [kV]</v>
      </c>
      <c r="G4" s="85" t="str">
        <f>'Manual de Uso'!C141</f>
        <v>Capacidad [MVAr]</v>
      </c>
      <c r="H4" s="85" t="s">
        <v>215</v>
      </c>
      <c r="I4" s="85" t="str">
        <f>'Manual de Uso'!C143</f>
        <v>Número de pasos</v>
      </c>
      <c r="J4" s="85" t="str">
        <f>'Manual de Uso'!C144</f>
        <v>Tipo conexión</v>
      </c>
      <c r="K4" s="85" t="str">
        <f>'Manual de Uso'!C145</f>
        <v>Operabilidad</v>
      </c>
      <c r="L4" s="85" t="str">
        <f>'Manual de Uso'!C146</f>
        <v>En Operación</v>
      </c>
      <c r="M4" s="83" t="str">
        <f>'Manual de Uso'!C147</f>
        <v>FPO</v>
      </c>
      <c r="N4" s="83" t="str">
        <f>'Manual de Uso'!C148</f>
        <v>Operador</v>
      </c>
      <c r="O4" s="83" t="str">
        <f>'Manual de Uso'!C149</f>
        <v>Tipo activo Uso/Conexión</v>
      </c>
      <c r="P4" s="85" t="str">
        <f>'Manual de Uso'!C150</f>
        <v>Observaciones transportador</v>
      </c>
    </row>
    <row r="5" spans="1:16" s="6" customFormat="1" ht="24" customHeight="1" thickBot="1" x14ac:dyDescent="0.35">
      <c r="A5" s="5"/>
      <c r="B5" s="5"/>
      <c r="C5" s="91"/>
      <c r="D5" s="86"/>
      <c r="E5" s="86"/>
      <c r="F5" s="86"/>
      <c r="G5" s="86"/>
      <c r="H5" s="86"/>
      <c r="I5" s="86"/>
      <c r="J5" s="86"/>
      <c r="K5" s="86"/>
      <c r="L5" s="86"/>
      <c r="M5" s="84"/>
      <c r="N5" s="84"/>
      <c r="O5" s="84"/>
      <c r="P5" s="86"/>
    </row>
    <row r="6" spans="1:16" x14ac:dyDescent="0.3">
      <c r="A6" s="3" t="e">
        <f>VLOOKUP(E6,'[1]Listas Desplegables'!$H$3:$J$7,2,FALSE)</f>
        <v>#N/A</v>
      </c>
      <c r="B6" s="3" t="e">
        <f>VLOOKUP(E6,'[1]Listas Desplegables'!$H$3:$J$7,3,FALSE)</f>
        <v>#N/A</v>
      </c>
      <c r="C6" s="21">
        <v>1</v>
      </c>
      <c r="D6" s="22"/>
      <c r="E6" s="22"/>
      <c r="F6" s="22"/>
      <c r="G6" s="23"/>
      <c r="H6" s="23"/>
      <c r="I6" s="23"/>
      <c r="J6" s="23"/>
      <c r="K6" s="23"/>
      <c r="L6" s="23"/>
      <c r="M6" s="54"/>
      <c r="N6" s="54"/>
      <c r="O6" s="23"/>
      <c r="P6" s="24"/>
    </row>
    <row r="7" spans="1:16" x14ac:dyDescent="0.3">
      <c r="A7" s="3" t="e">
        <f>VLOOKUP(E7,'[1]Listas Desplegables'!$H$3:$J$7,2,FALSE)</f>
        <v>#N/A</v>
      </c>
      <c r="B7" s="3" t="e">
        <f>VLOOKUP(E7,'[1]Listas Desplegables'!$H$3:$J$7,3,FALSE)</f>
        <v>#N/A</v>
      </c>
      <c r="C7" s="8">
        <v>2</v>
      </c>
      <c r="D7" s="9"/>
      <c r="E7" s="9"/>
      <c r="F7" s="9"/>
      <c r="G7" s="10"/>
      <c r="H7" s="10"/>
      <c r="I7" s="10"/>
      <c r="J7" s="10"/>
      <c r="K7" s="10"/>
      <c r="L7" s="10"/>
      <c r="M7" s="56"/>
      <c r="N7" s="56"/>
      <c r="O7" s="10"/>
      <c r="P7" s="25"/>
    </row>
    <row r="8" spans="1:16" x14ac:dyDescent="0.3">
      <c r="A8" s="3" t="e">
        <f>VLOOKUP(E8,'[1]Listas Desplegables'!$H$3:$J$7,2,FALSE)</f>
        <v>#N/A</v>
      </c>
      <c r="B8" s="3" t="e">
        <f>VLOOKUP(E8,'[1]Listas Desplegables'!$H$3:$J$7,3,FALSE)</f>
        <v>#N/A</v>
      </c>
      <c r="C8" s="8">
        <v>3</v>
      </c>
      <c r="D8" s="9"/>
      <c r="E8" s="9"/>
      <c r="F8" s="9"/>
      <c r="G8" s="10"/>
      <c r="H8" s="10"/>
      <c r="I8" s="10"/>
      <c r="J8" s="10"/>
      <c r="K8" s="10"/>
      <c r="L8" s="10"/>
      <c r="M8" s="56"/>
      <c r="N8" s="56"/>
      <c r="O8" s="10"/>
      <c r="P8" s="25"/>
    </row>
    <row r="9" spans="1:16" x14ac:dyDescent="0.3">
      <c r="A9" s="3" t="e">
        <f>VLOOKUP(E9,'[1]Listas Desplegables'!$H$3:$J$7,2,FALSE)</f>
        <v>#N/A</v>
      </c>
      <c r="B9" s="3" t="e">
        <f>VLOOKUP(E9,'[1]Listas Desplegables'!$H$3:$J$7,3,FALSE)</f>
        <v>#N/A</v>
      </c>
      <c r="C9" s="8">
        <v>4</v>
      </c>
      <c r="D9" s="9"/>
      <c r="E9" s="9"/>
      <c r="F9" s="9"/>
      <c r="G9" s="10"/>
      <c r="H9" s="10"/>
      <c r="I9" s="10"/>
      <c r="J9" s="10"/>
      <c r="K9" s="10"/>
      <c r="L9" s="10"/>
      <c r="M9" s="56"/>
      <c r="N9" s="56"/>
      <c r="O9" s="10"/>
      <c r="P9" s="25"/>
    </row>
    <row r="10" spans="1:16" x14ac:dyDescent="0.3">
      <c r="A10" s="3" t="e">
        <f>VLOOKUP(E10,'[1]Listas Desplegables'!$H$3:$J$7,2,FALSE)</f>
        <v>#N/A</v>
      </c>
      <c r="B10" s="3" t="e">
        <f>VLOOKUP(E10,'[1]Listas Desplegables'!$H$3:$J$7,3,FALSE)</f>
        <v>#N/A</v>
      </c>
      <c r="C10" s="8">
        <v>5</v>
      </c>
      <c r="D10" s="9"/>
      <c r="E10" s="9"/>
      <c r="F10" s="9"/>
      <c r="G10" s="10"/>
      <c r="H10" s="10"/>
      <c r="I10" s="10"/>
      <c r="J10" s="10"/>
      <c r="K10" s="10"/>
      <c r="L10" s="10"/>
      <c r="M10" s="56"/>
      <c r="N10" s="56"/>
      <c r="O10" s="10"/>
      <c r="P10" s="25"/>
    </row>
    <row r="11" spans="1:16" x14ac:dyDescent="0.3">
      <c r="A11" s="3" t="e">
        <f>VLOOKUP(E11,'[1]Listas Desplegables'!$H$3:$J$7,2,FALSE)</f>
        <v>#N/A</v>
      </c>
      <c r="B11" s="3" t="e">
        <f>VLOOKUP(E11,'[1]Listas Desplegables'!$H$3:$J$7,3,FALSE)</f>
        <v>#N/A</v>
      </c>
      <c r="C11" s="8">
        <v>6</v>
      </c>
      <c r="D11" s="9"/>
      <c r="E11" s="9"/>
      <c r="F11" s="9"/>
      <c r="G11" s="10"/>
      <c r="H11" s="10"/>
      <c r="I11" s="10"/>
      <c r="J11" s="10"/>
      <c r="K11" s="10"/>
      <c r="L11" s="10"/>
      <c r="M11" s="56"/>
      <c r="N11" s="56"/>
      <c r="O11" s="10"/>
      <c r="P11" s="25"/>
    </row>
    <row r="12" spans="1:16" x14ac:dyDescent="0.3">
      <c r="A12" s="3" t="e">
        <f>VLOOKUP(E12,'[1]Listas Desplegables'!$H$3:$J$7,2,FALSE)</f>
        <v>#N/A</v>
      </c>
      <c r="B12" s="3" t="e">
        <f>VLOOKUP(E12,'[1]Listas Desplegables'!$H$3:$J$7,3,FALSE)</f>
        <v>#N/A</v>
      </c>
      <c r="C12" s="8">
        <v>7</v>
      </c>
      <c r="D12" s="9"/>
      <c r="E12" s="9"/>
      <c r="F12" s="9"/>
      <c r="G12" s="10"/>
      <c r="H12" s="10"/>
      <c r="I12" s="10"/>
      <c r="J12" s="10"/>
      <c r="K12" s="10"/>
      <c r="L12" s="10"/>
      <c r="M12" s="56"/>
      <c r="N12" s="56"/>
      <c r="O12" s="10"/>
      <c r="P12" s="25"/>
    </row>
    <row r="13" spans="1:16" x14ac:dyDescent="0.3">
      <c r="A13" s="3" t="e">
        <f>VLOOKUP(E13,'[1]Listas Desplegables'!$H$3:$J$7,2,FALSE)</f>
        <v>#N/A</v>
      </c>
      <c r="B13" s="3" t="e">
        <f>VLOOKUP(E13,'[1]Listas Desplegables'!$H$3:$J$7,3,FALSE)</f>
        <v>#N/A</v>
      </c>
      <c r="C13" s="8">
        <v>8</v>
      </c>
      <c r="D13" s="9"/>
      <c r="E13" s="9"/>
      <c r="F13" s="9"/>
      <c r="G13" s="10"/>
      <c r="H13" s="10"/>
      <c r="I13" s="10"/>
      <c r="J13" s="10"/>
      <c r="K13" s="10"/>
      <c r="L13" s="10"/>
      <c r="M13" s="56"/>
      <c r="N13" s="56"/>
      <c r="O13" s="10"/>
      <c r="P13" s="25"/>
    </row>
    <row r="14" spans="1:16" x14ac:dyDescent="0.3">
      <c r="A14" s="3" t="e">
        <f>VLOOKUP(E14,'[1]Listas Desplegables'!$H$3:$J$7,2,FALSE)</f>
        <v>#N/A</v>
      </c>
      <c r="B14" s="3" t="e">
        <f>VLOOKUP(E14,'[1]Listas Desplegables'!$H$3:$J$7,3,FALSE)</f>
        <v>#N/A</v>
      </c>
      <c r="C14" s="8">
        <v>9</v>
      </c>
      <c r="D14" s="9"/>
      <c r="E14" s="9"/>
      <c r="F14" s="9"/>
      <c r="G14" s="10"/>
      <c r="H14" s="10"/>
      <c r="I14" s="10"/>
      <c r="J14" s="10"/>
      <c r="K14" s="10"/>
      <c r="L14" s="10"/>
      <c r="M14" s="56"/>
      <c r="N14" s="56"/>
      <c r="O14" s="10"/>
      <c r="P14" s="25"/>
    </row>
    <row r="15" spans="1:16" x14ac:dyDescent="0.3">
      <c r="A15" s="3" t="e">
        <f>VLOOKUP(E15,'[1]Listas Desplegables'!$H$3:$J$7,2,FALSE)</f>
        <v>#N/A</v>
      </c>
      <c r="B15" s="3" t="e">
        <f>VLOOKUP(E15,'[1]Listas Desplegables'!$H$3:$J$7,3,FALSE)</f>
        <v>#N/A</v>
      </c>
      <c r="C15" s="7">
        <v>10</v>
      </c>
      <c r="D15" s="9"/>
      <c r="E15" s="9"/>
      <c r="F15" s="9"/>
      <c r="G15" s="10"/>
      <c r="H15" s="10"/>
      <c r="I15" s="10"/>
      <c r="J15" s="10"/>
      <c r="K15" s="10"/>
      <c r="L15" s="10"/>
      <c r="M15" s="56"/>
      <c r="N15" s="56"/>
      <c r="O15" s="10"/>
      <c r="P15" s="25"/>
    </row>
    <row r="16" spans="1:16" x14ac:dyDescent="0.3">
      <c r="A16" s="3" t="e">
        <f>VLOOKUP(E16,'[1]Listas Desplegables'!$H$3:$J$7,2,FALSE)</f>
        <v>#N/A</v>
      </c>
      <c r="B16" s="3" t="e">
        <f>VLOOKUP(E16,'[1]Listas Desplegables'!$H$3:$J$7,3,FALSE)</f>
        <v>#N/A</v>
      </c>
      <c r="C16" s="8">
        <v>11</v>
      </c>
      <c r="D16" s="9"/>
      <c r="E16" s="9"/>
      <c r="F16" s="9"/>
      <c r="G16" s="10"/>
      <c r="H16" s="10"/>
      <c r="I16" s="10"/>
      <c r="J16" s="10"/>
      <c r="K16" s="10"/>
      <c r="L16" s="10"/>
      <c r="M16" s="56"/>
      <c r="N16" s="56"/>
      <c r="O16" s="10"/>
      <c r="P16" s="25"/>
    </row>
    <row r="17" spans="1:16" x14ac:dyDescent="0.3">
      <c r="A17" s="3" t="e">
        <f>VLOOKUP(E17,'[1]Listas Desplegables'!$H$3:$J$7,2,FALSE)</f>
        <v>#N/A</v>
      </c>
      <c r="B17" s="3" t="e">
        <f>VLOOKUP(E17,'[1]Listas Desplegables'!$H$3:$J$7,3,FALSE)</f>
        <v>#N/A</v>
      </c>
      <c r="C17" s="8">
        <v>12</v>
      </c>
      <c r="D17" s="9"/>
      <c r="E17" s="9"/>
      <c r="F17" s="9"/>
      <c r="G17" s="10"/>
      <c r="H17" s="10"/>
      <c r="I17" s="10"/>
      <c r="J17" s="10"/>
      <c r="K17" s="10"/>
      <c r="L17" s="10"/>
      <c r="M17" s="56"/>
      <c r="N17" s="56"/>
      <c r="O17" s="10"/>
      <c r="P17" s="25"/>
    </row>
    <row r="18" spans="1:16" x14ac:dyDescent="0.3">
      <c r="A18" s="3" t="e">
        <f>VLOOKUP(E18,'[1]Listas Desplegables'!$H$3:$J$7,2,FALSE)</f>
        <v>#N/A</v>
      </c>
      <c r="B18" s="3" t="e">
        <f>VLOOKUP(E18,'[1]Listas Desplegables'!$H$3:$J$7,3,FALSE)</f>
        <v>#N/A</v>
      </c>
      <c r="C18" s="8">
        <v>13</v>
      </c>
      <c r="D18" s="9"/>
      <c r="E18" s="9"/>
      <c r="F18" s="9"/>
      <c r="G18" s="10"/>
      <c r="H18" s="10"/>
      <c r="I18" s="10"/>
      <c r="J18" s="10"/>
      <c r="K18" s="10"/>
      <c r="L18" s="10"/>
      <c r="M18" s="56"/>
      <c r="N18" s="56"/>
      <c r="O18" s="10"/>
      <c r="P18" s="25"/>
    </row>
    <row r="19" spans="1:16" x14ac:dyDescent="0.3">
      <c r="A19" s="3" t="e">
        <f>VLOOKUP(E19,'[1]Listas Desplegables'!$H$3:$J$7,2,FALSE)</f>
        <v>#N/A</v>
      </c>
      <c r="B19" s="3" t="e">
        <f>VLOOKUP(E19,'[1]Listas Desplegables'!$H$3:$J$7,3,FALSE)</f>
        <v>#N/A</v>
      </c>
      <c r="C19" s="8">
        <v>14</v>
      </c>
      <c r="D19" s="9"/>
      <c r="E19" s="9"/>
      <c r="F19" s="9"/>
      <c r="G19" s="10"/>
      <c r="H19" s="10"/>
      <c r="I19" s="10"/>
      <c r="J19" s="10"/>
      <c r="K19" s="10"/>
      <c r="L19" s="10"/>
      <c r="M19" s="56"/>
      <c r="N19" s="56"/>
      <c r="O19" s="10"/>
      <c r="P19" s="25"/>
    </row>
    <row r="20" spans="1:16" x14ac:dyDescent="0.3">
      <c r="A20" s="3" t="e">
        <f>VLOOKUP(E20,'[1]Listas Desplegables'!$H$3:$J$7,2,FALSE)</f>
        <v>#N/A</v>
      </c>
      <c r="B20" s="3" t="e">
        <f>VLOOKUP(E20,'[1]Listas Desplegables'!$H$3:$J$7,3,FALSE)</f>
        <v>#N/A</v>
      </c>
      <c r="C20" s="8">
        <v>15</v>
      </c>
      <c r="D20" s="9"/>
      <c r="E20" s="9"/>
      <c r="F20" s="9"/>
      <c r="G20" s="10"/>
      <c r="H20" s="10"/>
      <c r="I20" s="10"/>
      <c r="J20" s="10"/>
      <c r="K20" s="10"/>
      <c r="L20" s="10"/>
      <c r="M20" s="56"/>
      <c r="N20" s="56"/>
      <c r="O20" s="10"/>
      <c r="P20" s="25"/>
    </row>
    <row r="21" spans="1:16" x14ac:dyDescent="0.3">
      <c r="A21" s="3" t="e">
        <f>VLOOKUP(E21,'[1]Listas Desplegables'!$H$3:$J$7,2,FALSE)</f>
        <v>#N/A</v>
      </c>
      <c r="B21" s="3" t="e">
        <f>VLOOKUP(E21,'[1]Listas Desplegables'!$H$3:$J$7,3,FALSE)</f>
        <v>#N/A</v>
      </c>
      <c r="C21" s="8">
        <v>16</v>
      </c>
      <c r="D21" s="9"/>
      <c r="E21" s="9"/>
      <c r="F21" s="9"/>
      <c r="G21" s="10"/>
      <c r="H21" s="10"/>
      <c r="I21" s="10"/>
      <c r="J21" s="10"/>
      <c r="K21" s="10"/>
      <c r="L21" s="10"/>
      <c r="M21" s="56"/>
      <c r="N21" s="56"/>
      <c r="O21" s="10"/>
      <c r="P21" s="25"/>
    </row>
    <row r="22" spans="1:16" x14ac:dyDescent="0.3">
      <c r="A22" s="3" t="e">
        <f>VLOOKUP(E22,'[1]Listas Desplegables'!$H$3:$J$7,2,FALSE)</f>
        <v>#N/A</v>
      </c>
      <c r="B22" s="3" t="e">
        <f>VLOOKUP(E22,'[1]Listas Desplegables'!$H$3:$J$7,3,FALSE)</f>
        <v>#N/A</v>
      </c>
      <c r="C22" s="8">
        <v>17</v>
      </c>
      <c r="D22" s="9"/>
      <c r="E22" s="9"/>
      <c r="F22" s="9"/>
      <c r="G22" s="10"/>
      <c r="H22" s="10"/>
      <c r="I22" s="10"/>
      <c r="J22" s="10"/>
      <c r="K22" s="10"/>
      <c r="L22" s="10"/>
      <c r="M22" s="56"/>
      <c r="N22" s="56"/>
      <c r="O22" s="10"/>
      <c r="P22" s="25"/>
    </row>
    <row r="23" spans="1:16" x14ac:dyDescent="0.3">
      <c r="A23" s="3" t="e">
        <f>VLOOKUP(E23,'[1]Listas Desplegables'!$H$3:$J$7,2,FALSE)</f>
        <v>#N/A</v>
      </c>
      <c r="B23" s="3" t="e">
        <f>VLOOKUP(E23,'[1]Listas Desplegables'!$H$3:$J$7,3,FALSE)</f>
        <v>#N/A</v>
      </c>
      <c r="C23" s="8">
        <v>18</v>
      </c>
      <c r="D23" s="9"/>
      <c r="E23" s="9"/>
      <c r="F23" s="9"/>
      <c r="G23" s="10"/>
      <c r="H23" s="10"/>
      <c r="I23" s="10"/>
      <c r="J23" s="10"/>
      <c r="K23" s="10"/>
      <c r="L23" s="10"/>
      <c r="M23" s="56"/>
      <c r="N23" s="56"/>
      <c r="O23" s="10"/>
      <c r="P23" s="25"/>
    </row>
    <row r="24" spans="1:16" x14ac:dyDescent="0.3">
      <c r="A24" s="3" t="e">
        <f>VLOOKUP(E24,'[1]Listas Desplegables'!$H$3:$J$7,2,FALSE)</f>
        <v>#N/A</v>
      </c>
      <c r="B24" s="3" t="e">
        <f>VLOOKUP(E24,'[1]Listas Desplegables'!$H$3:$J$7,3,FALSE)</f>
        <v>#N/A</v>
      </c>
      <c r="C24" s="7">
        <v>19</v>
      </c>
      <c r="D24" s="9"/>
      <c r="E24" s="9"/>
      <c r="F24" s="9"/>
      <c r="G24" s="10"/>
      <c r="H24" s="10"/>
      <c r="I24" s="10"/>
      <c r="J24" s="10"/>
      <c r="K24" s="10"/>
      <c r="L24" s="10"/>
      <c r="M24" s="56"/>
      <c r="N24" s="56"/>
      <c r="O24" s="10"/>
      <c r="P24" s="25"/>
    </row>
    <row r="25" spans="1:16" x14ac:dyDescent="0.3">
      <c r="A25" s="3" t="e">
        <f>VLOOKUP(E25,'[1]Listas Desplegables'!$H$3:$J$7,2,FALSE)</f>
        <v>#N/A</v>
      </c>
      <c r="B25" s="3" t="e">
        <f>VLOOKUP(E25,'[1]Listas Desplegables'!$H$3:$J$7,3,FALSE)</f>
        <v>#N/A</v>
      </c>
      <c r="C25" s="11">
        <v>20</v>
      </c>
      <c r="D25" s="12"/>
      <c r="E25" s="12"/>
      <c r="F25" s="12"/>
      <c r="G25" s="10"/>
      <c r="H25" s="10"/>
      <c r="I25" s="10"/>
      <c r="J25" s="10"/>
      <c r="K25" s="10"/>
      <c r="L25" s="10"/>
      <c r="M25" s="56"/>
      <c r="N25" s="56"/>
      <c r="O25" s="10"/>
      <c r="P25" s="25"/>
    </row>
    <row r="26" spans="1:16" x14ac:dyDescent="0.3">
      <c r="A26" s="3" t="e">
        <f>VLOOKUP(E26,'[1]Listas Desplegables'!$H$3:$J$7,2,FALSE)</f>
        <v>#N/A</v>
      </c>
      <c r="B26" s="3" t="e">
        <f>VLOOKUP(E26,'[1]Listas Desplegables'!$H$3:$J$7,3,FALSE)</f>
        <v>#N/A</v>
      </c>
      <c r="C26" s="7">
        <v>21</v>
      </c>
      <c r="D26" s="12"/>
      <c r="E26" s="12"/>
      <c r="F26" s="12"/>
      <c r="G26" s="10"/>
      <c r="H26" s="10"/>
      <c r="I26" s="10"/>
      <c r="J26" s="10"/>
      <c r="K26" s="10"/>
      <c r="L26" s="10"/>
      <c r="M26" s="56"/>
      <c r="N26" s="56"/>
      <c r="O26" s="10"/>
      <c r="P26" s="25"/>
    </row>
    <row r="27" spans="1:16" x14ac:dyDescent="0.3">
      <c r="A27" s="3" t="e">
        <f>VLOOKUP(E27,'[1]Listas Desplegables'!$H$3:$J$7,2,FALSE)</f>
        <v>#N/A</v>
      </c>
      <c r="B27" s="3" t="e">
        <f>VLOOKUP(E27,'[1]Listas Desplegables'!$H$3:$J$7,3,FALSE)</f>
        <v>#N/A</v>
      </c>
      <c r="C27" s="8">
        <v>22</v>
      </c>
      <c r="D27" s="12"/>
      <c r="E27" s="12"/>
      <c r="F27" s="12"/>
      <c r="G27" s="10"/>
      <c r="H27" s="10"/>
      <c r="I27" s="10"/>
      <c r="J27" s="10"/>
      <c r="K27" s="10"/>
      <c r="L27" s="10"/>
      <c r="M27" s="56"/>
      <c r="N27" s="56"/>
      <c r="O27" s="10"/>
      <c r="P27" s="25"/>
    </row>
    <row r="28" spans="1:16" x14ac:dyDescent="0.3">
      <c r="A28" s="3" t="e">
        <f>VLOOKUP(E28,'[1]Listas Desplegables'!$H$3:$J$7,2,FALSE)</f>
        <v>#N/A</v>
      </c>
      <c r="B28" s="3" t="e">
        <f>VLOOKUP(E28,'[1]Listas Desplegables'!$H$3:$J$7,3,FALSE)</f>
        <v>#N/A</v>
      </c>
      <c r="C28" s="8">
        <v>23</v>
      </c>
      <c r="D28" s="12"/>
      <c r="E28" s="12"/>
      <c r="F28" s="12"/>
      <c r="G28" s="10"/>
      <c r="H28" s="10"/>
      <c r="I28" s="10"/>
      <c r="J28" s="10"/>
      <c r="K28" s="10"/>
      <c r="L28" s="10"/>
      <c r="M28" s="56"/>
      <c r="N28" s="56"/>
      <c r="O28" s="10"/>
      <c r="P28" s="25"/>
    </row>
    <row r="29" spans="1:16" x14ac:dyDescent="0.3">
      <c r="A29" s="3" t="e">
        <f>VLOOKUP(E29,'[1]Listas Desplegables'!$H$3:$J$7,2,FALSE)</f>
        <v>#N/A</v>
      </c>
      <c r="B29" s="3" t="e">
        <f>VLOOKUP(E29,'[1]Listas Desplegables'!$H$3:$J$7,3,FALSE)</f>
        <v>#N/A</v>
      </c>
      <c r="C29" s="8">
        <v>24</v>
      </c>
      <c r="D29" s="12"/>
      <c r="E29" s="12"/>
      <c r="F29" s="12"/>
      <c r="G29" s="10"/>
      <c r="H29" s="10"/>
      <c r="I29" s="10"/>
      <c r="J29" s="10"/>
      <c r="K29" s="10"/>
      <c r="L29" s="10"/>
      <c r="M29" s="56"/>
      <c r="N29" s="56"/>
      <c r="O29" s="10"/>
      <c r="P29" s="25"/>
    </row>
    <row r="30" spans="1:16" x14ac:dyDescent="0.3">
      <c r="A30" s="3" t="e">
        <f>VLOOKUP(E30,'[1]Listas Desplegables'!$H$3:$J$7,2,FALSE)</f>
        <v>#N/A</v>
      </c>
      <c r="B30" s="3" t="e">
        <f>VLOOKUP(E30,'[1]Listas Desplegables'!$H$3:$J$7,3,FALSE)</f>
        <v>#N/A</v>
      </c>
      <c r="C30" s="8">
        <v>25</v>
      </c>
      <c r="D30" s="12"/>
      <c r="E30" s="12"/>
      <c r="F30" s="12"/>
      <c r="G30" s="10"/>
      <c r="H30" s="10"/>
      <c r="I30" s="10"/>
      <c r="J30" s="10"/>
      <c r="K30" s="10"/>
      <c r="L30" s="10"/>
      <c r="M30" s="56"/>
      <c r="N30" s="56"/>
      <c r="O30" s="10"/>
      <c r="P30" s="25"/>
    </row>
    <row r="31" spans="1:16" x14ac:dyDescent="0.3">
      <c r="A31" s="3" t="e">
        <f>VLOOKUP(E31,'[1]Listas Desplegables'!$H$3:$J$7,2,FALSE)</f>
        <v>#N/A</v>
      </c>
      <c r="B31" s="3" t="e">
        <f>VLOOKUP(E31,'[1]Listas Desplegables'!$H$3:$J$7,3,FALSE)</f>
        <v>#N/A</v>
      </c>
      <c r="C31" s="8">
        <v>26</v>
      </c>
      <c r="D31" s="12"/>
      <c r="E31" s="12"/>
      <c r="F31" s="12"/>
      <c r="G31" s="10"/>
      <c r="H31" s="10"/>
      <c r="I31" s="10"/>
      <c r="J31" s="10"/>
      <c r="K31" s="10"/>
      <c r="L31" s="10"/>
      <c r="M31" s="56"/>
      <c r="N31" s="56"/>
      <c r="O31" s="10"/>
      <c r="P31" s="25"/>
    </row>
    <row r="32" spans="1:16" x14ac:dyDescent="0.3">
      <c r="A32" s="3" t="e">
        <f>VLOOKUP(E32,'[1]Listas Desplegables'!$H$3:$J$7,2,FALSE)</f>
        <v>#N/A</v>
      </c>
      <c r="B32" s="3" t="e">
        <f>VLOOKUP(E32,'[1]Listas Desplegables'!$H$3:$J$7,3,FALSE)</f>
        <v>#N/A</v>
      </c>
      <c r="C32" s="8">
        <v>27</v>
      </c>
      <c r="D32" s="12"/>
      <c r="E32" s="12"/>
      <c r="F32" s="12"/>
      <c r="G32" s="10"/>
      <c r="H32" s="10"/>
      <c r="I32" s="10"/>
      <c r="J32" s="10"/>
      <c r="K32" s="10"/>
      <c r="L32" s="10"/>
      <c r="M32" s="56"/>
      <c r="N32" s="56"/>
      <c r="O32" s="10"/>
      <c r="P32" s="25"/>
    </row>
    <row r="33" spans="1:16" x14ac:dyDescent="0.3">
      <c r="A33" s="3" t="e">
        <f>VLOOKUP(E33,'[1]Listas Desplegables'!$H$3:$J$7,2,FALSE)</f>
        <v>#N/A</v>
      </c>
      <c r="B33" s="3" t="e">
        <f>VLOOKUP(E33,'[1]Listas Desplegables'!$H$3:$J$7,3,FALSE)</f>
        <v>#N/A</v>
      </c>
      <c r="C33" s="8">
        <v>28</v>
      </c>
      <c r="D33" s="12"/>
      <c r="E33" s="12"/>
      <c r="F33" s="12"/>
      <c r="G33" s="10"/>
      <c r="H33" s="10"/>
      <c r="I33" s="10"/>
      <c r="J33" s="10"/>
      <c r="K33" s="10"/>
      <c r="L33" s="10"/>
      <c r="M33" s="56"/>
      <c r="N33" s="56"/>
      <c r="O33" s="10"/>
      <c r="P33" s="25"/>
    </row>
    <row r="34" spans="1:16" x14ac:dyDescent="0.3">
      <c r="A34" s="3" t="e">
        <f>VLOOKUP(E34,'[1]Listas Desplegables'!$H$3:$J$7,2,FALSE)</f>
        <v>#N/A</v>
      </c>
      <c r="B34" s="3" t="e">
        <f>VLOOKUP(E34,'[1]Listas Desplegables'!$H$3:$J$7,3,FALSE)</f>
        <v>#N/A</v>
      </c>
      <c r="C34" s="8">
        <v>29</v>
      </c>
      <c r="D34" s="12"/>
      <c r="E34" s="12"/>
      <c r="F34" s="12"/>
      <c r="G34" s="10"/>
      <c r="H34" s="10"/>
      <c r="I34" s="10"/>
      <c r="J34" s="10"/>
      <c r="K34" s="10"/>
      <c r="L34" s="10"/>
      <c r="M34" s="56"/>
      <c r="N34" s="56"/>
      <c r="O34" s="10"/>
      <c r="P34" s="25"/>
    </row>
    <row r="35" spans="1:16" x14ac:dyDescent="0.3">
      <c r="A35" s="3" t="e">
        <f>VLOOKUP(E35,'[1]Listas Desplegables'!$H$3:$J$7,2,FALSE)</f>
        <v>#N/A</v>
      </c>
      <c r="B35" s="3" t="e">
        <f>VLOOKUP(E35,'[1]Listas Desplegables'!$H$3:$J$7,3,FALSE)</f>
        <v>#N/A</v>
      </c>
      <c r="C35" s="7">
        <v>30</v>
      </c>
      <c r="D35" s="12"/>
      <c r="E35" s="12"/>
      <c r="F35" s="12"/>
      <c r="G35" s="10"/>
      <c r="H35" s="10"/>
      <c r="I35" s="10"/>
      <c r="J35" s="10"/>
      <c r="K35" s="10"/>
      <c r="L35" s="10"/>
      <c r="M35" s="56"/>
      <c r="N35" s="56"/>
      <c r="O35" s="10"/>
      <c r="P35" s="25"/>
    </row>
    <row r="36" spans="1:16" x14ac:dyDescent="0.3">
      <c r="A36" s="3" t="e">
        <f>VLOOKUP(E36,'[1]Listas Desplegables'!$H$3:$J$7,2,FALSE)</f>
        <v>#N/A</v>
      </c>
      <c r="B36" s="3" t="e">
        <f>VLOOKUP(E36,'[1]Listas Desplegables'!$H$3:$J$7,3,FALSE)</f>
        <v>#N/A</v>
      </c>
      <c r="C36" s="8">
        <v>31</v>
      </c>
      <c r="D36" s="12"/>
      <c r="E36" s="12"/>
      <c r="F36" s="12"/>
      <c r="G36" s="10"/>
      <c r="H36" s="10"/>
      <c r="I36" s="10"/>
      <c r="J36" s="10"/>
      <c r="K36" s="10"/>
      <c r="L36" s="10"/>
      <c r="M36" s="56"/>
      <c r="N36" s="56"/>
      <c r="O36" s="10"/>
      <c r="P36" s="25"/>
    </row>
    <row r="37" spans="1:16" x14ac:dyDescent="0.3">
      <c r="A37" s="3" t="e">
        <f>VLOOKUP(E37,'[1]Listas Desplegables'!$H$3:$J$7,2,FALSE)</f>
        <v>#N/A</v>
      </c>
      <c r="B37" s="3" t="e">
        <f>VLOOKUP(E37,'[1]Listas Desplegables'!$H$3:$J$7,3,FALSE)</f>
        <v>#N/A</v>
      </c>
      <c r="C37" s="8">
        <v>32</v>
      </c>
      <c r="D37" s="12"/>
      <c r="E37" s="12"/>
      <c r="F37" s="12"/>
      <c r="G37" s="10"/>
      <c r="H37" s="10"/>
      <c r="I37" s="10"/>
      <c r="J37" s="10"/>
      <c r="K37" s="10"/>
      <c r="L37" s="10"/>
      <c r="M37" s="56"/>
      <c r="N37" s="56"/>
      <c r="O37" s="10"/>
      <c r="P37" s="25"/>
    </row>
    <row r="38" spans="1:16" x14ac:dyDescent="0.3">
      <c r="A38" s="3" t="e">
        <f>VLOOKUP(E38,'[1]Listas Desplegables'!$H$3:$J$7,2,FALSE)</f>
        <v>#N/A</v>
      </c>
      <c r="B38" s="3" t="e">
        <f>VLOOKUP(E38,'[1]Listas Desplegables'!$H$3:$J$7,3,FALSE)</f>
        <v>#N/A</v>
      </c>
      <c r="C38" s="8">
        <v>33</v>
      </c>
      <c r="D38" s="12"/>
      <c r="E38" s="12"/>
      <c r="F38" s="12"/>
      <c r="G38" s="10"/>
      <c r="H38" s="10"/>
      <c r="I38" s="10"/>
      <c r="J38" s="10"/>
      <c r="K38" s="10"/>
      <c r="L38" s="10"/>
      <c r="M38" s="56"/>
      <c r="N38" s="56"/>
      <c r="O38" s="10"/>
      <c r="P38" s="25"/>
    </row>
    <row r="39" spans="1:16" x14ac:dyDescent="0.3">
      <c r="A39" s="3" t="e">
        <f>VLOOKUP(E39,'[1]Listas Desplegables'!$H$3:$J$7,2,FALSE)</f>
        <v>#N/A</v>
      </c>
      <c r="B39" s="3" t="e">
        <f>VLOOKUP(E39,'[1]Listas Desplegables'!$H$3:$J$7,3,FALSE)</f>
        <v>#N/A</v>
      </c>
      <c r="C39" s="8">
        <v>34</v>
      </c>
      <c r="D39" s="12"/>
      <c r="E39" s="12"/>
      <c r="F39" s="12"/>
      <c r="G39" s="10"/>
      <c r="H39" s="10"/>
      <c r="I39" s="10"/>
      <c r="J39" s="10"/>
      <c r="K39" s="10"/>
      <c r="L39" s="10"/>
      <c r="M39" s="56"/>
      <c r="N39" s="56"/>
      <c r="O39" s="10"/>
      <c r="P39" s="25"/>
    </row>
    <row r="40" spans="1:16" x14ac:dyDescent="0.3">
      <c r="A40" s="3" t="e">
        <f>VLOOKUP(E40,'[1]Listas Desplegables'!$H$3:$J$7,2,FALSE)</f>
        <v>#N/A</v>
      </c>
      <c r="B40" s="3" t="e">
        <f>VLOOKUP(E40,'[1]Listas Desplegables'!$H$3:$J$7,3,FALSE)</f>
        <v>#N/A</v>
      </c>
      <c r="C40" s="8">
        <v>35</v>
      </c>
      <c r="D40" s="12"/>
      <c r="E40" s="12"/>
      <c r="F40" s="12"/>
      <c r="G40" s="10"/>
      <c r="H40" s="10"/>
      <c r="I40" s="10"/>
      <c r="J40" s="10"/>
      <c r="K40" s="10"/>
      <c r="L40" s="10"/>
      <c r="M40" s="56"/>
      <c r="N40" s="56"/>
      <c r="O40" s="10"/>
      <c r="P40" s="25"/>
    </row>
    <row r="41" spans="1:16" x14ac:dyDescent="0.3">
      <c r="A41" s="3" t="e">
        <f>VLOOKUP(E41,'[1]Listas Desplegables'!$H$3:$J$7,2,FALSE)</f>
        <v>#N/A</v>
      </c>
      <c r="B41" s="3" t="e">
        <f>VLOOKUP(E41,'[1]Listas Desplegables'!$H$3:$J$7,3,FALSE)</f>
        <v>#N/A</v>
      </c>
      <c r="C41" s="8">
        <v>36</v>
      </c>
      <c r="D41" s="12"/>
      <c r="E41" s="12"/>
      <c r="F41" s="12"/>
      <c r="G41" s="10"/>
      <c r="H41" s="10"/>
      <c r="I41" s="10"/>
      <c r="J41" s="10"/>
      <c r="K41" s="10"/>
      <c r="L41" s="10"/>
      <c r="M41" s="56"/>
      <c r="N41" s="56"/>
      <c r="O41" s="10"/>
      <c r="P41" s="25"/>
    </row>
    <row r="42" spans="1:16" x14ac:dyDescent="0.3">
      <c r="A42" s="3" t="e">
        <f>VLOOKUP(E42,'[1]Listas Desplegables'!$H$3:$J$7,2,FALSE)</f>
        <v>#N/A</v>
      </c>
      <c r="B42" s="3" t="e">
        <f>VLOOKUP(E42,'[1]Listas Desplegables'!$H$3:$J$7,3,FALSE)</f>
        <v>#N/A</v>
      </c>
      <c r="C42" s="8">
        <v>37</v>
      </c>
      <c r="D42" s="12"/>
      <c r="E42" s="12"/>
      <c r="F42" s="12"/>
      <c r="G42" s="10"/>
      <c r="H42" s="10"/>
      <c r="I42" s="10"/>
      <c r="J42" s="10"/>
      <c r="K42" s="10"/>
      <c r="L42" s="10"/>
      <c r="M42" s="56"/>
      <c r="N42" s="56"/>
      <c r="O42" s="10"/>
      <c r="P42" s="25"/>
    </row>
    <row r="43" spans="1:16" x14ac:dyDescent="0.3">
      <c r="A43" s="3" t="e">
        <f>VLOOKUP(E43,'[1]Listas Desplegables'!$H$3:$J$7,2,FALSE)</f>
        <v>#N/A</v>
      </c>
      <c r="B43" s="3" t="e">
        <f>VLOOKUP(E43,'[1]Listas Desplegables'!$H$3:$J$7,3,FALSE)</f>
        <v>#N/A</v>
      </c>
      <c r="C43" s="8">
        <v>38</v>
      </c>
      <c r="D43" s="12"/>
      <c r="E43" s="12"/>
      <c r="F43" s="12"/>
      <c r="G43" s="10"/>
      <c r="H43" s="10"/>
      <c r="I43" s="10"/>
      <c r="J43" s="10"/>
      <c r="K43" s="10"/>
      <c r="L43" s="10"/>
      <c r="M43" s="56"/>
      <c r="N43" s="56"/>
      <c r="O43" s="10"/>
      <c r="P43" s="25"/>
    </row>
    <row r="44" spans="1:16" x14ac:dyDescent="0.3">
      <c r="A44" s="3" t="e">
        <f>VLOOKUP(E44,'[1]Listas Desplegables'!$H$3:$J$7,2,FALSE)</f>
        <v>#N/A</v>
      </c>
      <c r="B44" s="3" t="e">
        <f>VLOOKUP(E44,'[1]Listas Desplegables'!$H$3:$J$7,3,FALSE)</f>
        <v>#N/A</v>
      </c>
      <c r="C44" s="7">
        <v>39</v>
      </c>
      <c r="D44" s="12"/>
      <c r="E44" s="12"/>
      <c r="F44" s="12"/>
      <c r="G44" s="10"/>
      <c r="H44" s="10"/>
      <c r="I44" s="10"/>
      <c r="J44" s="10"/>
      <c r="K44" s="10"/>
      <c r="L44" s="10"/>
      <c r="M44" s="56"/>
      <c r="N44" s="56"/>
      <c r="O44" s="10"/>
      <c r="P44" s="25"/>
    </row>
    <row r="45" spans="1:16" x14ac:dyDescent="0.3">
      <c r="A45" s="3" t="e">
        <f>VLOOKUP(E45,'[1]Listas Desplegables'!$H$3:$J$7,2,FALSE)</f>
        <v>#N/A</v>
      </c>
      <c r="B45" s="3" t="e">
        <f>VLOOKUP(E45,'[1]Listas Desplegables'!$H$3:$J$7,3,FALSE)</f>
        <v>#N/A</v>
      </c>
      <c r="C45" s="11">
        <v>40</v>
      </c>
      <c r="D45" s="12"/>
      <c r="E45" s="12"/>
      <c r="F45" s="12"/>
      <c r="G45" s="10"/>
      <c r="H45" s="10"/>
      <c r="I45" s="10"/>
      <c r="J45" s="10"/>
      <c r="K45" s="10"/>
      <c r="L45" s="10"/>
      <c r="M45" s="56"/>
      <c r="N45" s="56"/>
      <c r="O45" s="10"/>
      <c r="P45" s="25"/>
    </row>
    <row r="46" spans="1:16" x14ac:dyDescent="0.3">
      <c r="A46" s="3" t="e">
        <f>VLOOKUP(E46,'[1]Listas Desplegables'!$H$3:$J$7,2,FALSE)</f>
        <v>#N/A</v>
      </c>
      <c r="B46" s="3" t="e">
        <f>VLOOKUP(E46,'[1]Listas Desplegables'!$H$3:$J$7,3,FALSE)</f>
        <v>#N/A</v>
      </c>
      <c r="C46" s="7">
        <v>41</v>
      </c>
      <c r="D46" s="12"/>
      <c r="E46" s="12"/>
      <c r="F46" s="12"/>
      <c r="G46" s="10"/>
      <c r="H46" s="10"/>
      <c r="I46" s="10"/>
      <c r="J46" s="10"/>
      <c r="K46" s="10"/>
      <c r="L46" s="10"/>
      <c r="M46" s="56"/>
      <c r="N46" s="56"/>
      <c r="O46" s="10"/>
      <c r="P46" s="25"/>
    </row>
    <row r="47" spans="1:16" x14ac:dyDescent="0.3">
      <c r="A47" s="3" t="e">
        <f>VLOOKUP(E47,'[1]Listas Desplegables'!$H$3:$J$7,2,FALSE)</f>
        <v>#N/A</v>
      </c>
      <c r="B47" s="3" t="e">
        <f>VLOOKUP(E47,'[1]Listas Desplegables'!$H$3:$J$7,3,FALSE)</f>
        <v>#N/A</v>
      </c>
      <c r="C47" s="8">
        <v>42</v>
      </c>
      <c r="D47" s="12"/>
      <c r="E47" s="12"/>
      <c r="F47" s="12"/>
      <c r="G47" s="10"/>
      <c r="H47" s="10"/>
      <c r="I47" s="10"/>
      <c r="J47" s="10"/>
      <c r="K47" s="10"/>
      <c r="L47" s="10"/>
      <c r="M47" s="56"/>
      <c r="N47" s="56"/>
      <c r="O47" s="10"/>
      <c r="P47" s="25"/>
    </row>
    <row r="48" spans="1:16" x14ac:dyDescent="0.3">
      <c r="A48" s="3" t="e">
        <f>VLOOKUP(E48,'[1]Listas Desplegables'!$H$3:$J$7,2,FALSE)</f>
        <v>#N/A</v>
      </c>
      <c r="B48" s="3" t="e">
        <f>VLOOKUP(E48,'[1]Listas Desplegables'!$H$3:$J$7,3,FALSE)</f>
        <v>#N/A</v>
      </c>
      <c r="C48" s="8">
        <v>43</v>
      </c>
      <c r="D48" s="12"/>
      <c r="E48" s="12"/>
      <c r="F48" s="12"/>
      <c r="G48" s="10"/>
      <c r="H48" s="10"/>
      <c r="I48" s="10"/>
      <c r="J48" s="10"/>
      <c r="K48" s="10"/>
      <c r="L48" s="10"/>
      <c r="M48" s="56"/>
      <c r="N48" s="56"/>
      <c r="O48" s="10"/>
      <c r="P48" s="25"/>
    </row>
    <row r="49" spans="1:16" x14ac:dyDescent="0.3">
      <c r="A49" s="3" t="e">
        <f>VLOOKUP(E49,'[1]Listas Desplegables'!$H$3:$J$7,2,FALSE)</f>
        <v>#N/A</v>
      </c>
      <c r="B49" s="3" t="e">
        <f>VLOOKUP(E49,'[1]Listas Desplegables'!$H$3:$J$7,3,FALSE)</f>
        <v>#N/A</v>
      </c>
      <c r="C49" s="8">
        <v>44</v>
      </c>
      <c r="D49" s="12"/>
      <c r="E49" s="12"/>
      <c r="F49" s="12"/>
      <c r="G49" s="10"/>
      <c r="H49" s="10"/>
      <c r="I49" s="10"/>
      <c r="J49" s="10"/>
      <c r="K49" s="10"/>
      <c r="L49" s="10"/>
      <c r="M49" s="56"/>
      <c r="N49" s="56"/>
      <c r="O49" s="10"/>
      <c r="P49" s="25"/>
    </row>
    <row r="50" spans="1:16" x14ac:dyDescent="0.3">
      <c r="A50" s="3" t="e">
        <f>VLOOKUP(E50,'[1]Listas Desplegables'!$H$3:$J$7,2,FALSE)</f>
        <v>#N/A</v>
      </c>
      <c r="B50" s="3" t="e">
        <f>VLOOKUP(E50,'[1]Listas Desplegables'!$H$3:$J$7,3,FALSE)</f>
        <v>#N/A</v>
      </c>
      <c r="C50" s="8">
        <v>45</v>
      </c>
      <c r="D50" s="12"/>
      <c r="E50" s="12"/>
      <c r="F50" s="12"/>
      <c r="G50" s="10"/>
      <c r="H50" s="10"/>
      <c r="I50" s="10"/>
      <c r="J50" s="10"/>
      <c r="K50" s="10"/>
      <c r="L50" s="10"/>
      <c r="M50" s="56"/>
      <c r="N50" s="56"/>
      <c r="O50" s="10"/>
      <c r="P50" s="25"/>
    </row>
    <row r="51" spans="1:16" x14ac:dyDescent="0.3">
      <c r="A51" s="3" t="e">
        <f>VLOOKUP(E51,'[1]Listas Desplegables'!$H$3:$J$7,2,FALSE)</f>
        <v>#N/A</v>
      </c>
      <c r="B51" s="3" t="e">
        <f>VLOOKUP(E51,'[1]Listas Desplegables'!$H$3:$J$7,3,FALSE)</f>
        <v>#N/A</v>
      </c>
      <c r="C51" s="8">
        <v>46</v>
      </c>
      <c r="D51" s="12"/>
      <c r="E51" s="12"/>
      <c r="F51" s="12"/>
      <c r="G51" s="10"/>
      <c r="H51" s="10"/>
      <c r="I51" s="10"/>
      <c r="J51" s="10"/>
      <c r="K51" s="10"/>
      <c r="L51" s="10"/>
      <c r="M51" s="56"/>
      <c r="N51" s="56"/>
      <c r="O51" s="10"/>
      <c r="P51" s="25"/>
    </row>
    <row r="52" spans="1:16" x14ac:dyDescent="0.3">
      <c r="A52" s="3" t="e">
        <f>VLOOKUP(E52,'[1]Listas Desplegables'!$H$3:$J$7,2,FALSE)</f>
        <v>#N/A</v>
      </c>
      <c r="B52" s="3" t="e">
        <f>VLOOKUP(E52,'[1]Listas Desplegables'!$H$3:$J$7,3,FALSE)</f>
        <v>#N/A</v>
      </c>
      <c r="C52" s="8">
        <v>47</v>
      </c>
      <c r="D52" s="12"/>
      <c r="E52" s="12"/>
      <c r="F52" s="12"/>
      <c r="G52" s="10"/>
      <c r="H52" s="10"/>
      <c r="I52" s="10"/>
      <c r="J52" s="10"/>
      <c r="K52" s="10"/>
      <c r="L52" s="10"/>
      <c r="M52" s="56"/>
      <c r="N52" s="56"/>
      <c r="O52" s="10"/>
      <c r="P52" s="25"/>
    </row>
    <row r="53" spans="1:16" x14ac:dyDescent="0.3">
      <c r="A53" s="3" t="e">
        <f>VLOOKUP(E53,'[1]Listas Desplegables'!$H$3:$J$7,2,FALSE)</f>
        <v>#N/A</v>
      </c>
      <c r="B53" s="3" t="e">
        <f>VLOOKUP(E53,'[1]Listas Desplegables'!$H$3:$J$7,3,FALSE)</f>
        <v>#N/A</v>
      </c>
      <c r="C53" s="8">
        <v>48</v>
      </c>
      <c r="D53" s="12"/>
      <c r="E53" s="12"/>
      <c r="F53" s="12"/>
      <c r="G53" s="10"/>
      <c r="H53" s="10"/>
      <c r="I53" s="10"/>
      <c r="J53" s="10"/>
      <c r="K53" s="10"/>
      <c r="L53" s="10"/>
      <c r="M53" s="56"/>
      <c r="N53" s="56"/>
      <c r="O53" s="10"/>
      <c r="P53" s="25"/>
    </row>
    <row r="54" spans="1:16" x14ac:dyDescent="0.3">
      <c r="A54" s="3" t="e">
        <f>VLOOKUP(E54,'[1]Listas Desplegables'!$H$3:$J$7,2,FALSE)</f>
        <v>#N/A</v>
      </c>
      <c r="B54" s="3" t="e">
        <f>VLOOKUP(E54,'[1]Listas Desplegables'!$H$3:$J$7,3,FALSE)</f>
        <v>#N/A</v>
      </c>
      <c r="C54" s="8">
        <v>49</v>
      </c>
      <c r="D54" s="12"/>
      <c r="E54" s="12"/>
      <c r="F54" s="12"/>
      <c r="G54" s="10"/>
      <c r="H54" s="10"/>
      <c r="I54" s="10"/>
      <c r="J54" s="10"/>
      <c r="K54" s="10"/>
      <c r="L54" s="10"/>
      <c r="M54" s="56"/>
      <c r="N54" s="56"/>
      <c r="O54" s="10"/>
      <c r="P54" s="25"/>
    </row>
    <row r="55" spans="1:16" x14ac:dyDescent="0.3">
      <c r="A55" s="3" t="e">
        <f>VLOOKUP(E55,'[1]Listas Desplegables'!$H$3:$J$7,2,FALSE)</f>
        <v>#N/A</v>
      </c>
      <c r="B55" s="3" t="e">
        <f>VLOOKUP(E55,'[1]Listas Desplegables'!$H$3:$J$7,3,FALSE)</f>
        <v>#N/A</v>
      </c>
      <c r="C55" s="7">
        <v>50</v>
      </c>
      <c r="D55" s="12"/>
      <c r="E55" s="12"/>
      <c r="F55" s="12"/>
      <c r="G55" s="10"/>
      <c r="H55" s="10"/>
      <c r="I55" s="10"/>
      <c r="J55" s="10"/>
      <c r="K55" s="10"/>
      <c r="L55" s="10"/>
      <c r="M55" s="56"/>
      <c r="N55" s="56"/>
      <c r="O55" s="10"/>
      <c r="P55" s="25"/>
    </row>
    <row r="56" spans="1:16" x14ac:dyDescent="0.3">
      <c r="A56" s="3" t="e">
        <f>VLOOKUP(E56,'[1]Listas Desplegables'!$H$3:$J$7,2,FALSE)</f>
        <v>#N/A</v>
      </c>
      <c r="B56" s="3" t="e">
        <f>VLOOKUP(E56,'[1]Listas Desplegables'!$H$3:$J$7,3,FALSE)</f>
        <v>#N/A</v>
      </c>
      <c r="C56" s="8">
        <v>51</v>
      </c>
      <c r="D56" s="12"/>
      <c r="E56" s="12"/>
      <c r="F56" s="12"/>
      <c r="G56" s="10"/>
      <c r="H56" s="10"/>
      <c r="I56" s="10"/>
      <c r="J56" s="10"/>
      <c r="K56" s="10"/>
      <c r="L56" s="10"/>
      <c r="M56" s="56"/>
      <c r="N56" s="56"/>
      <c r="O56" s="10"/>
      <c r="P56" s="25"/>
    </row>
    <row r="57" spans="1:16" ht="15" thickBot="1" x14ac:dyDescent="0.35">
      <c r="A57" s="3" t="e">
        <f>VLOOKUP(E57,'[1]Listas Desplegables'!$H$3:$J$7,2,FALSE)</f>
        <v>#N/A</v>
      </c>
      <c r="B57" s="3" t="e">
        <f>VLOOKUP(E57,'[1]Listas Desplegables'!$H$3:$J$7,3,FALSE)</f>
        <v>#N/A</v>
      </c>
      <c r="C57" s="13" t="s">
        <v>4</v>
      </c>
      <c r="D57" s="14"/>
      <c r="E57" s="14"/>
      <c r="F57" s="14"/>
      <c r="G57" s="15"/>
      <c r="H57" s="15"/>
      <c r="I57" s="15"/>
      <c r="J57" s="15"/>
      <c r="K57" s="15"/>
      <c r="L57" s="15"/>
      <c r="M57" s="57"/>
      <c r="N57" s="57"/>
      <c r="O57" s="15"/>
      <c r="P57" s="26"/>
    </row>
  </sheetData>
  <mergeCells count="15">
    <mergeCell ref="M4:M5"/>
    <mergeCell ref="P4:P5"/>
    <mergeCell ref="L4:L5"/>
    <mergeCell ref="C3:P3"/>
    <mergeCell ref="C4:C5"/>
    <mergeCell ref="D4:D5"/>
    <mergeCell ref="E4:E5"/>
    <mergeCell ref="F4:F5"/>
    <mergeCell ref="G4:G5"/>
    <mergeCell ref="I4:I5"/>
    <mergeCell ref="J4:J5"/>
    <mergeCell ref="K4:K5"/>
    <mergeCell ref="H4:H5"/>
    <mergeCell ref="N4:N5"/>
    <mergeCell ref="O4:O5"/>
  </mergeCells>
  <dataValidations count="2">
    <dataValidation type="decimal" allowBlank="1" showInputMessage="1" showErrorMessage="1" sqref="F6:G1048576 I6:I1048576 H52:H1048576" xr:uid="{00000000-0002-0000-0600-000000000000}">
      <formula1>-1000000</formula1>
      <formula2>10000000</formula2>
    </dataValidation>
    <dataValidation type="date" operator="greaterThan" allowBlank="1" showInputMessage="1" showErrorMessage="1" sqref="M6:N1048576 O58:O1048576" xr:uid="{00000000-0002-0000-0600-000001000000}">
      <formula1>1</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5">
        <x14:dataValidation type="list" allowBlank="1" showInputMessage="1" showErrorMessage="1" xr:uid="{00000000-0002-0000-0600-000002000000}">
          <x14:formula1>
            <xm:f>'Listas Desplegables'!$B$63:$B$64</xm:f>
          </x14:formula1>
          <xm:sqref>J6:J1048576</xm:sqref>
        </x14:dataValidation>
        <x14:dataValidation type="list" allowBlank="1" showInputMessage="1" showErrorMessage="1" xr:uid="{00000000-0002-0000-0600-000003000000}">
          <x14:formula1>
            <xm:f>'Listas Desplegables'!$B$66:$B$67</xm:f>
          </x14:formula1>
          <xm:sqref>K6:K1048576</xm:sqref>
        </x14:dataValidation>
        <x14:dataValidation type="list" allowBlank="1" showInputMessage="1" showErrorMessage="1" xr:uid="{00000000-0002-0000-0600-000004000000}">
          <x14:formula1>
            <xm:f>'Listas Desplegables'!$B$69:$B$70</xm:f>
          </x14:formula1>
          <xm:sqref>L6:L1048576</xm:sqref>
        </x14:dataValidation>
        <x14:dataValidation type="list" allowBlank="1" showInputMessage="1" showErrorMessage="1" xr:uid="{00000000-0002-0000-0600-000005000000}">
          <x14:formula1>
            <xm:f>'Listas Desplegables'!$B$72:$B$73</xm:f>
          </x14:formula1>
          <xm:sqref>H6:H51</xm:sqref>
        </x14:dataValidation>
        <x14:dataValidation type="list" allowBlank="1" showInputMessage="1" showErrorMessage="1" xr:uid="{13399F14-2002-4FEC-835B-73B1C9FB11B7}">
          <x14:formula1>
            <xm:f>'Listas Desplegables'!$B$90:$B$93</xm:f>
          </x14:formula1>
          <xm:sqref>O6:O57</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9"/>
  </sheetPr>
  <dimension ref="A2:N57"/>
  <sheetViews>
    <sheetView showGridLines="0" zoomScaleNormal="100" workbookViewId="0">
      <selection activeCell="K32" sqref="K32"/>
    </sheetView>
  </sheetViews>
  <sheetFormatPr baseColWidth="10" defaultColWidth="11.5546875" defaultRowHeight="14.4" x14ac:dyDescent="0.3"/>
  <cols>
    <col min="1" max="2" width="3" style="3" customWidth="1"/>
    <col min="3" max="3" width="6.6640625" style="2" customWidth="1"/>
    <col min="4" max="4" width="33" customWidth="1"/>
    <col min="5" max="5" width="20.5546875" customWidth="1"/>
    <col min="6" max="8" width="12.6640625" customWidth="1"/>
    <col min="9" max="9" width="12.6640625" style="55" customWidth="1"/>
    <col min="10" max="10" width="12.6640625" customWidth="1"/>
    <col min="14" max="14" width="29.44140625" customWidth="1"/>
  </cols>
  <sheetData>
    <row r="2" spans="1:14" ht="15" thickBot="1" x14ac:dyDescent="0.35">
      <c r="D2" s="187" t="s">
        <v>890</v>
      </c>
    </row>
    <row r="3" spans="1:14" s="1" customFormat="1" ht="15" thickBot="1" x14ac:dyDescent="0.35">
      <c r="A3" s="4"/>
      <c r="B3" s="4"/>
      <c r="C3" s="87" t="s">
        <v>64</v>
      </c>
      <c r="D3" s="88"/>
      <c r="E3" s="88"/>
      <c r="F3" s="88"/>
      <c r="G3" s="88"/>
      <c r="H3" s="88"/>
      <c r="I3" s="88"/>
      <c r="J3" s="88"/>
      <c r="K3" s="88"/>
      <c r="L3" s="88"/>
      <c r="M3" s="88"/>
      <c r="N3" s="89"/>
    </row>
    <row r="4" spans="1:14" s="6" customFormat="1" ht="12" customHeight="1" x14ac:dyDescent="0.3">
      <c r="A4" s="5"/>
      <c r="B4" s="5"/>
      <c r="C4" s="90" t="s">
        <v>3</v>
      </c>
      <c r="D4" s="85" t="str">
        <f>'Manual de Uso'!C151</f>
        <v>Nombre</v>
      </c>
      <c r="E4" s="85" t="str">
        <f>'Manual de Uso'!C152</f>
        <v>Subestación</v>
      </c>
      <c r="F4" s="85" t="str">
        <f>'Manual de Uso'!C153</f>
        <v>Nivel de tensión [kV]</v>
      </c>
      <c r="G4" s="85" t="str">
        <f>'Manual de Uso'!C154</f>
        <v>Tecnología</v>
      </c>
      <c r="H4" s="85" t="str">
        <f>'Manual de Uso'!C155</f>
        <v>En Operación</v>
      </c>
      <c r="I4" s="83" t="str">
        <f>'Manual de Uso'!C156</f>
        <v>FPO</v>
      </c>
      <c r="J4" s="85" t="str">
        <f>'Manual de Uso'!C157</f>
        <v>Qmin [MVAr]</v>
      </c>
      <c r="K4" s="85" t="str">
        <f>'Manual de Uso'!C158</f>
        <v>Qmax [MVAr]</v>
      </c>
      <c r="L4" s="85" t="str">
        <f>'Manual de Uso'!C159</f>
        <v>Operador</v>
      </c>
      <c r="M4" s="85" t="str">
        <f>'Manual de Uso'!C160</f>
        <v>Tipo activo Uso/Conexión</v>
      </c>
      <c r="N4" s="85" t="str">
        <f>'Manual de Uso'!C161</f>
        <v>Observaciones transportador</v>
      </c>
    </row>
    <row r="5" spans="1:14" s="6" customFormat="1" ht="24" customHeight="1" thickBot="1" x14ac:dyDescent="0.35">
      <c r="A5" s="5"/>
      <c r="B5" s="5"/>
      <c r="C5" s="91"/>
      <c r="D5" s="86"/>
      <c r="E5" s="86"/>
      <c r="F5" s="86"/>
      <c r="G5" s="86"/>
      <c r="H5" s="86"/>
      <c r="I5" s="84"/>
      <c r="J5" s="86"/>
      <c r="K5" s="86"/>
      <c r="L5" s="86"/>
      <c r="M5" s="86"/>
      <c r="N5" s="86"/>
    </row>
    <row r="6" spans="1:14" x14ac:dyDescent="0.3">
      <c r="A6" s="3" t="e">
        <f>VLOOKUP(#REF!,'[1]Listas Desplegables'!$H$3:$J$7,2,FALSE)</f>
        <v>#REF!</v>
      </c>
      <c r="B6" s="3" t="e">
        <f>VLOOKUP(#REF!,'[1]Listas Desplegables'!$H$3:$J$7,3,FALSE)</f>
        <v>#REF!</v>
      </c>
      <c r="C6" s="21">
        <v>1</v>
      </c>
      <c r="D6" s="22"/>
      <c r="E6" s="22"/>
      <c r="F6" s="22"/>
      <c r="G6" s="22"/>
      <c r="H6" s="23"/>
      <c r="I6" s="54"/>
      <c r="J6" s="23"/>
      <c r="K6" s="23"/>
      <c r="L6" s="23"/>
      <c r="M6" s="23"/>
      <c r="N6" s="24"/>
    </row>
    <row r="7" spans="1:14" x14ac:dyDescent="0.3">
      <c r="A7" s="3" t="e">
        <f>VLOOKUP(#REF!,'[1]Listas Desplegables'!$H$3:$J$7,2,FALSE)</f>
        <v>#REF!</v>
      </c>
      <c r="B7" s="3" t="e">
        <f>VLOOKUP(#REF!,'[1]Listas Desplegables'!$H$3:$J$7,3,FALSE)</f>
        <v>#REF!</v>
      </c>
      <c r="C7" s="8">
        <v>2</v>
      </c>
      <c r="D7" s="9"/>
      <c r="E7" s="9"/>
      <c r="F7" s="9"/>
      <c r="G7" s="9"/>
      <c r="H7" s="10"/>
      <c r="I7" s="56"/>
      <c r="J7" s="10"/>
      <c r="K7" s="10"/>
      <c r="L7" s="10"/>
      <c r="M7" s="10"/>
      <c r="N7" s="25"/>
    </row>
    <row r="8" spans="1:14" x14ac:dyDescent="0.3">
      <c r="A8" s="3" t="e">
        <f>VLOOKUP(#REF!,'[1]Listas Desplegables'!$H$3:$J$7,2,FALSE)</f>
        <v>#REF!</v>
      </c>
      <c r="B8" s="3" t="e">
        <f>VLOOKUP(#REF!,'[1]Listas Desplegables'!$H$3:$J$7,3,FALSE)</f>
        <v>#REF!</v>
      </c>
      <c r="C8" s="8">
        <v>3</v>
      </c>
      <c r="D8" s="9"/>
      <c r="E8" s="9"/>
      <c r="F8" s="9"/>
      <c r="G8" s="9"/>
      <c r="H8" s="10"/>
      <c r="I8" s="56"/>
      <c r="J8" s="10"/>
      <c r="K8" s="10"/>
      <c r="L8" s="10"/>
      <c r="M8" s="10"/>
      <c r="N8" s="25"/>
    </row>
    <row r="9" spans="1:14" x14ac:dyDescent="0.3">
      <c r="A9" s="3" t="e">
        <f>VLOOKUP(#REF!,'[1]Listas Desplegables'!$H$3:$J$7,2,FALSE)</f>
        <v>#REF!</v>
      </c>
      <c r="B9" s="3" t="e">
        <f>VLOOKUP(#REF!,'[1]Listas Desplegables'!$H$3:$J$7,3,FALSE)</f>
        <v>#REF!</v>
      </c>
      <c r="C9" s="8">
        <v>4</v>
      </c>
      <c r="D9" s="9"/>
      <c r="E9" s="9"/>
      <c r="F9" s="9"/>
      <c r="G9" s="9"/>
      <c r="H9" s="10"/>
      <c r="I9" s="56"/>
      <c r="J9" s="10"/>
      <c r="K9" s="10"/>
      <c r="L9" s="10"/>
      <c r="M9" s="10"/>
      <c r="N9" s="25"/>
    </row>
    <row r="10" spans="1:14" x14ac:dyDescent="0.3">
      <c r="A10" s="3" t="e">
        <f>VLOOKUP(#REF!,'[1]Listas Desplegables'!$H$3:$J$7,2,FALSE)</f>
        <v>#REF!</v>
      </c>
      <c r="B10" s="3" t="e">
        <f>VLOOKUP(#REF!,'[1]Listas Desplegables'!$H$3:$J$7,3,FALSE)</f>
        <v>#REF!</v>
      </c>
      <c r="C10" s="8">
        <v>5</v>
      </c>
      <c r="D10" s="9"/>
      <c r="E10" s="9"/>
      <c r="F10" s="9"/>
      <c r="G10" s="9"/>
      <c r="H10" s="10"/>
      <c r="I10" s="56"/>
      <c r="J10" s="10"/>
      <c r="K10" s="10"/>
      <c r="L10" s="10"/>
      <c r="M10" s="10"/>
      <c r="N10" s="25"/>
    </row>
    <row r="11" spans="1:14" x14ac:dyDescent="0.3">
      <c r="A11" s="3" t="e">
        <f>VLOOKUP(#REF!,'[1]Listas Desplegables'!$H$3:$J$7,2,FALSE)</f>
        <v>#REF!</v>
      </c>
      <c r="B11" s="3" t="e">
        <f>VLOOKUP(#REF!,'[1]Listas Desplegables'!$H$3:$J$7,3,FALSE)</f>
        <v>#REF!</v>
      </c>
      <c r="C11" s="8">
        <v>6</v>
      </c>
      <c r="D11" s="9"/>
      <c r="E11" s="9"/>
      <c r="F11" s="9"/>
      <c r="G11" s="9"/>
      <c r="H11" s="10"/>
      <c r="I11" s="56"/>
      <c r="J11" s="10"/>
      <c r="K11" s="10"/>
      <c r="L11" s="10"/>
      <c r="M11" s="10"/>
      <c r="N11" s="25"/>
    </row>
    <row r="12" spans="1:14" x14ac:dyDescent="0.3">
      <c r="A12" s="3" t="e">
        <f>VLOOKUP(#REF!,'[1]Listas Desplegables'!$H$3:$J$7,2,FALSE)</f>
        <v>#REF!</v>
      </c>
      <c r="B12" s="3" t="e">
        <f>VLOOKUP(#REF!,'[1]Listas Desplegables'!$H$3:$J$7,3,FALSE)</f>
        <v>#REF!</v>
      </c>
      <c r="C12" s="8">
        <v>7</v>
      </c>
      <c r="D12" s="9"/>
      <c r="E12" s="9"/>
      <c r="F12" s="9"/>
      <c r="G12" s="9"/>
      <c r="H12" s="10"/>
      <c r="I12" s="56"/>
      <c r="J12" s="10"/>
      <c r="K12" s="10"/>
      <c r="L12" s="10"/>
      <c r="M12" s="10"/>
      <c r="N12" s="25"/>
    </row>
    <row r="13" spans="1:14" x14ac:dyDescent="0.3">
      <c r="A13" s="3" t="e">
        <f>VLOOKUP(#REF!,'[1]Listas Desplegables'!$H$3:$J$7,2,FALSE)</f>
        <v>#REF!</v>
      </c>
      <c r="B13" s="3" t="e">
        <f>VLOOKUP(#REF!,'[1]Listas Desplegables'!$H$3:$J$7,3,FALSE)</f>
        <v>#REF!</v>
      </c>
      <c r="C13" s="8">
        <v>8</v>
      </c>
      <c r="D13" s="9"/>
      <c r="E13" s="9"/>
      <c r="F13" s="9"/>
      <c r="G13" s="9"/>
      <c r="H13" s="10"/>
      <c r="I13" s="56"/>
      <c r="J13" s="10"/>
      <c r="K13" s="10"/>
      <c r="L13" s="10"/>
      <c r="M13" s="10"/>
      <c r="N13" s="25"/>
    </row>
    <row r="14" spans="1:14" x14ac:dyDescent="0.3">
      <c r="A14" s="3" t="e">
        <f>VLOOKUP(#REF!,'[1]Listas Desplegables'!$H$3:$J$7,2,FALSE)</f>
        <v>#REF!</v>
      </c>
      <c r="B14" s="3" t="e">
        <f>VLOOKUP(#REF!,'[1]Listas Desplegables'!$H$3:$J$7,3,FALSE)</f>
        <v>#REF!</v>
      </c>
      <c r="C14" s="8">
        <v>9</v>
      </c>
      <c r="D14" s="9"/>
      <c r="E14" s="9"/>
      <c r="F14" s="9"/>
      <c r="G14" s="9"/>
      <c r="H14" s="10"/>
      <c r="I14" s="56"/>
      <c r="J14" s="10"/>
      <c r="K14" s="10"/>
      <c r="L14" s="10"/>
      <c r="M14" s="10"/>
      <c r="N14" s="25"/>
    </row>
    <row r="15" spans="1:14" x14ac:dyDescent="0.3">
      <c r="A15" s="3" t="e">
        <f>VLOOKUP(#REF!,'[1]Listas Desplegables'!$H$3:$J$7,2,FALSE)</f>
        <v>#REF!</v>
      </c>
      <c r="B15" s="3" t="e">
        <f>VLOOKUP(#REF!,'[1]Listas Desplegables'!$H$3:$J$7,3,FALSE)</f>
        <v>#REF!</v>
      </c>
      <c r="C15" s="7">
        <v>10</v>
      </c>
      <c r="D15" s="9"/>
      <c r="E15" s="9"/>
      <c r="F15" s="9"/>
      <c r="G15" s="9"/>
      <c r="H15" s="10"/>
      <c r="I15" s="56"/>
      <c r="J15" s="10"/>
      <c r="K15" s="10"/>
      <c r="L15" s="10"/>
      <c r="M15" s="10"/>
      <c r="N15" s="25"/>
    </row>
    <row r="16" spans="1:14" x14ac:dyDescent="0.3">
      <c r="A16" s="3" t="e">
        <f>VLOOKUP(#REF!,'[1]Listas Desplegables'!$H$3:$J$7,2,FALSE)</f>
        <v>#REF!</v>
      </c>
      <c r="B16" s="3" t="e">
        <f>VLOOKUP(#REF!,'[1]Listas Desplegables'!$H$3:$J$7,3,FALSE)</f>
        <v>#REF!</v>
      </c>
      <c r="C16" s="8">
        <v>11</v>
      </c>
      <c r="D16" s="9"/>
      <c r="E16" s="9"/>
      <c r="F16" s="9"/>
      <c r="G16" s="9"/>
      <c r="H16" s="10"/>
      <c r="I16" s="56"/>
      <c r="J16" s="10"/>
      <c r="K16" s="10"/>
      <c r="L16" s="10"/>
      <c r="M16" s="10"/>
      <c r="N16" s="25"/>
    </row>
    <row r="17" spans="1:14" x14ac:dyDescent="0.3">
      <c r="A17" s="3" t="e">
        <f>VLOOKUP(#REF!,'[1]Listas Desplegables'!$H$3:$J$7,2,FALSE)</f>
        <v>#REF!</v>
      </c>
      <c r="B17" s="3" t="e">
        <f>VLOOKUP(#REF!,'[1]Listas Desplegables'!$H$3:$J$7,3,FALSE)</f>
        <v>#REF!</v>
      </c>
      <c r="C17" s="8">
        <v>12</v>
      </c>
      <c r="D17" s="9"/>
      <c r="E17" s="9"/>
      <c r="F17" s="9"/>
      <c r="G17" s="9"/>
      <c r="H17" s="10"/>
      <c r="I17" s="56"/>
      <c r="J17" s="10"/>
      <c r="K17" s="10"/>
      <c r="L17" s="10"/>
      <c r="M17" s="10"/>
      <c r="N17" s="25"/>
    </row>
    <row r="18" spans="1:14" x14ac:dyDescent="0.3">
      <c r="A18" s="3" t="e">
        <f>VLOOKUP(#REF!,'[1]Listas Desplegables'!$H$3:$J$7,2,FALSE)</f>
        <v>#REF!</v>
      </c>
      <c r="B18" s="3" t="e">
        <f>VLOOKUP(#REF!,'[1]Listas Desplegables'!$H$3:$J$7,3,FALSE)</f>
        <v>#REF!</v>
      </c>
      <c r="C18" s="8">
        <v>13</v>
      </c>
      <c r="D18" s="9"/>
      <c r="E18" s="9"/>
      <c r="F18" s="9"/>
      <c r="G18" s="9"/>
      <c r="H18" s="10"/>
      <c r="I18" s="56"/>
      <c r="J18" s="10"/>
      <c r="K18" s="10"/>
      <c r="L18" s="10"/>
      <c r="M18" s="10"/>
      <c r="N18" s="25"/>
    </row>
    <row r="19" spans="1:14" x14ac:dyDescent="0.3">
      <c r="A19" s="3" t="e">
        <f>VLOOKUP(#REF!,'[1]Listas Desplegables'!$H$3:$J$7,2,FALSE)</f>
        <v>#REF!</v>
      </c>
      <c r="B19" s="3" t="e">
        <f>VLOOKUP(#REF!,'[1]Listas Desplegables'!$H$3:$J$7,3,FALSE)</f>
        <v>#REF!</v>
      </c>
      <c r="C19" s="8">
        <v>14</v>
      </c>
      <c r="D19" s="9"/>
      <c r="E19" s="9"/>
      <c r="F19" s="9"/>
      <c r="G19" s="9"/>
      <c r="H19" s="10"/>
      <c r="I19" s="56"/>
      <c r="J19" s="10"/>
      <c r="K19" s="10"/>
      <c r="L19" s="10"/>
      <c r="M19" s="10"/>
      <c r="N19" s="25"/>
    </row>
    <row r="20" spans="1:14" x14ac:dyDescent="0.3">
      <c r="A20" s="3" t="e">
        <f>VLOOKUP(#REF!,'[1]Listas Desplegables'!$H$3:$J$7,2,FALSE)</f>
        <v>#REF!</v>
      </c>
      <c r="B20" s="3" t="e">
        <f>VLOOKUP(#REF!,'[1]Listas Desplegables'!$H$3:$J$7,3,FALSE)</f>
        <v>#REF!</v>
      </c>
      <c r="C20" s="8">
        <v>15</v>
      </c>
      <c r="D20" s="9"/>
      <c r="E20" s="9"/>
      <c r="F20" s="9"/>
      <c r="G20" s="9"/>
      <c r="H20" s="10"/>
      <c r="I20" s="56"/>
      <c r="J20" s="10"/>
      <c r="K20" s="10"/>
      <c r="L20" s="10"/>
      <c r="M20" s="10"/>
      <c r="N20" s="25"/>
    </row>
    <row r="21" spans="1:14" x14ac:dyDescent="0.3">
      <c r="A21" s="3" t="e">
        <f>VLOOKUP(#REF!,'[1]Listas Desplegables'!$H$3:$J$7,2,FALSE)</f>
        <v>#REF!</v>
      </c>
      <c r="B21" s="3" t="e">
        <f>VLOOKUP(#REF!,'[1]Listas Desplegables'!$H$3:$J$7,3,FALSE)</f>
        <v>#REF!</v>
      </c>
      <c r="C21" s="8">
        <v>16</v>
      </c>
      <c r="D21" s="9"/>
      <c r="E21" s="9"/>
      <c r="F21" s="9"/>
      <c r="G21" s="9"/>
      <c r="H21" s="10"/>
      <c r="I21" s="56"/>
      <c r="J21" s="10"/>
      <c r="K21" s="10"/>
      <c r="L21" s="10"/>
      <c r="M21" s="10"/>
      <c r="N21" s="25"/>
    </row>
    <row r="22" spans="1:14" x14ac:dyDescent="0.3">
      <c r="A22" s="3" t="e">
        <f>VLOOKUP(#REF!,'[1]Listas Desplegables'!$H$3:$J$7,2,FALSE)</f>
        <v>#REF!</v>
      </c>
      <c r="B22" s="3" t="e">
        <f>VLOOKUP(#REF!,'[1]Listas Desplegables'!$H$3:$J$7,3,FALSE)</f>
        <v>#REF!</v>
      </c>
      <c r="C22" s="8">
        <v>17</v>
      </c>
      <c r="D22" s="9"/>
      <c r="E22" s="9"/>
      <c r="F22" s="9"/>
      <c r="G22" s="9"/>
      <c r="H22" s="10"/>
      <c r="I22" s="56"/>
      <c r="J22" s="10"/>
      <c r="K22" s="10"/>
      <c r="L22" s="10"/>
      <c r="M22" s="10"/>
      <c r="N22" s="25"/>
    </row>
    <row r="23" spans="1:14" x14ac:dyDescent="0.3">
      <c r="A23" s="3" t="e">
        <f>VLOOKUP(#REF!,'[1]Listas Desplegables'!$H$3:$J$7,2,FALSE)</f>
        <v>#REF!</v>
      </c>
      <c r="B23" s="3" t="e">
        <f>VLOOKUP(#REF!,'[1]Listas Desplegables'!$H$3:$J$7,3,FALSE)</f>
        <v>#REF!</v>
      </c>
      <c r="C23" s="8">
        <v>18</v>
      </c>
      <c r="D23" s="9"/>
      <c r="E23" s="9"/>
      <c r="F23" s="9"/>
      <c r="G23" s="9"/>
      <c r="H23" s="10"/>
      <c r="I23" s="56"/>
      <c r="J23" s="10"/>
      <c r="K23" s="10"/>
      <c r="L23" s="10"/>
      <c r="M23" s="10"/>
      <c r="N23" s="25"/>
    </row>
    <row r="24" spans="1:14" x14ac:dyDescent="0.3">
      <c r="A24" s="3" t="e">
        <f>VLOOKUP(#REF!,'[1]Listas Desplegables'!$H$3:$J$7,2,FALSE)</f>
        <v>#REF!</v>
      </c>
      <c r="B24" s="3" t="e">
        <f>VLOOKUP(#REF!,'[1]Listas Desplegables'!$H$3:$J$7,3,FALSE)</f>
        <v>#REF!</v>
      </c>
      <c r="C24" s="7">
        <v>19</v>
      </c>
      <c r="D24" s="9"/>
      <c r="E24" s="9"/>
      <c r="F24" s="9"/>
      <c r="G24" s="9"/>
      <c r="H24" s="10"/>
      <c r="I24" s="56"/>
      <c r="J24" s="10"/>
      <c r="K24" s="10"/>
      <c r="L24" s="10"/>
      <c r="M24" s="10"/>
      <c r="N24" s="25"/>
    </row>
    <row r="25" spans="1:14" x14ac:dyDescent="0.3">
      <c r="A25" s="3" t="e">
        <f>VLOOKUP(#REF!,'[1]Listas Desplegables'!$H$3:$J$7,2,FALSE)</f>
        <v>#REF!</v>
      </c>
      <c r="B25" s="3" t="e">
        <f>VLOOKUP(#REF!,'[1]Listas Desplegables'!$H$3:$J$7,3,FALSE)</f>
        <v>#REF!</v>
      </c>
      <c r="C25" s="11">
        <v>20</v>
      </c>
      <c r="D25" s="12"/>
      <c r="E25" s="12"/>
      <c r="F25" s="12"/>
      <c r="G25" s="9"/>
      <c r="H25" s="10"/>
      <c r="I25" s="56"/>
      <c r="J25" s="10"/>
      <c r="K25" s="10"/>
      <c r="L25" s="10"/>
      <c r="M25" s="10"/>
      <c r="N25" s="25"/>
    </row>
    <row r="26" spans="1:14" x14ac:dyDescent="0.3">
      <c r="A26" s="3" t="e">
        <f>VLOOKUP(#REF!,'[1]Listas Desplegables'!$H$3:$J$7,2,FALSE)</f>
        <v>#REF!</v>
      </c>
      <c r="B26" s="3" t="e">
        <f>VLOOKUP(#REF!,'[1]Listas Desplegables'!$H$3:$J$7,3,FALSE)</f>
        <v>#REF!</v>
      </c>
      <c r="C26" s="7">
        <v>21</v>
      </c>
      <c r="D26" s="12"/>
      <c r="E26" s="12"/>
      <c r="F26" s="12"/>
      <c r="G26" s="9"/>
      <c r="H26" s="10"/>
      <c r="I26" s="56"/>
      <c r="J26" s="10"/>
      <c r="K26" s="10"/>
      <c r="L26" s="10"/>
      <c r="M26" s="10"/>
      <c r="N26" s="25"/>
    </row>
    <row r="27" spans="1:14" x14ac:dyDescent="0.3">
      <c r="A27" s="3" t="e">
        <f>VLOOKUP(#REF!,'[1]Listas Desplegables'!$H$3:$J$7,2,FALSE)</f>
        <v>#REF!</v>
      </c>
      <c r="B27" s="3" t="e">
        <f>VLOOKUP(#REF!,'[1]Listas Desplegables'!$H$3:$J$7,3,FALSE)</f>
        <v>#REF!</v>
      </c>
      <c r="C27" s="8">
        <v>22</v>
      </c>
      <c r="D27" s="12"/>
      <c r="E27" s="12"/>
      <c r="F27" s="12"/>
      <c r="G27" s="9"/>
      <c r="H27" s="10"/>
      <c r="I27" s="56"/>
      <c r="J27" s="10"/>
      <c r="K27" s="10"/>
      <c r="L27" s="10"/>
      <c r="M27" s="10"/>
      <c r="N27" s="25"/>
    </row>
    <row r="28" spans="1:14" x14ac:dyDescent="0.3">
      <c r="A28" s="3" t="e">
        <f>VLOOKUP(#REF!,'[1]Listas Desplegables'!$H$3:$J$7,2,FALSE)</f>
        <v>#REF!</v>
      </c>
      <c r="B28" s="3" t="e">
        <f>VLOOKUP(#REF!,'[1]Listas Desplegables'!$H$3:$J$7,3,FALSE)</f>
        <v>#REF!</v>
      </c>
      <c r="C28" s="8">
        <v>23</v>
      </c>
      <c r="D28" s="12"/>
      <c r="E28" s="12"/>
      <c r="F28" s="12"/>
      <c r="G28" s="9"/>
      <c r="H28" s="10"/>
      <c r="I28" s="56"/>
      <c r="J28" s="10"/>
      <c r="K28" s="10"/>
      <c r="L28" s="10"/>
      <c r="M28" s="10"/>
      <c r="N28" s="25"/>
    </row>
    <row r="29" spans="1:14" x14ac:dyDescent="0.3">
      <c r="A29" s="3" t="e">
        <f>VLOOKUP(#REF!,'[1]Listas Desplegables'!$H$3:$J$7,2,FALSE)</f>
        <v>#REF!</v>
      </c>
      <c r="B29" s="3" t="e">
        <f>VLOOKUP(#REF!,'[1]Listas Desplegables'!$H$3:$J$7,3,FALSE)</f>
        <v>#REF!</v>
      </c>
      <c r="C29" s="8">
        <v>24</v>
      </c>
      <c r="D29" s="12"/>
      <c r="E29" s="12"/>
      <c r="F29" s="12"/>
      <c r="G29" s="9"/>
      <c r="H29" s="10"/>
      <c r="I29" s="56"/>
      <c r="J29" s="10"/>
      <c r="K29" s="10"/>
      <c r="L29" s="10"/>
      <c r="M29" s="10"/>
      <c r="N29" s="25"/>
    </row>
    <row r="30" spans="1:14" x14ac:dyDescent="0.3">
      <c r="A30" s="3" t="e">
        <f>VLOOKUP(#REF!,'[1]Listas Desplegables'!$H$3:$J$7,2,FALSE)</f>
        <v>#REF!</v>
      </c>
      <c r="B30" s="3" t="e">
        <f>VLOOKUP(#REF!,'[1]Listas Desplegables'!$H$3:$J$7,3,FALSE)</f>
        <v>#REF!</v>
      </c>
      <c r="C30" s="8">
        <v>25</v>
      </c>
      <c r="D30" s="12"/>
      <c r="E30" s="12"/>
      <c r="F30" s="12"/>
      <c r="G30" s="9"/>
      <c r="H30" s="10"/>
      <c r="I30" s="56"/>
      <c r="J30" s="10"/>
      <c r="K30" s="10"/>
      <c r="L30" s="10"/>
      <c r="M30" s="10"/>
      <c r="N30" s="25"/>
    </row>
    <row r="31" spans="1:14" x14ac:dyDescent="0.3">
      <c r="A31" s="3" t="e">
        <f>VLOOKUP(#REF!,'[1]Listas Desplegables'!$H$3:$J$7,2,FALSE)</f>
        <v>#REF!</v>
      </c>
      <c r="B31" s="3" t="e">
        <f>VLOOKUP(#REF!,'[1]Listas Desplegables'!$H$3:$J$7,3,FALSE)</f>
        <v>#REF!</v>
      </c>
      <c r="C31" s="8">
        <v>26</v>
      </c>
      <c r="D31" s="12"/>
      <c r="E31" s="12"/>
      <c r="F31" s="12"/>
      <c r="G31" s="9"/>
      <c r="H31" s="10"/>
      <c r="I31" s="56"/>
      <c r="J31" s="10"/>
      <c r="K31" s="10"/>
      <c r="L31" s="10"/>
      <c r="M31" s="10"/>
      <c r="N31" s="25"/>
    </row>
    <row r="32" spans="1:14" x14ac:dyDescent="0.3">
      <c r="A32" s="3" t="e">
        <f>VLOOKUP(#REF!,'[1]Listas Desplegables'!$H$3:$J$7,2,FALSE)</f>
        <v>#REF!</v>
      </c>
      <c r="B32" s="3" t="e">
        <f>VLOOKUP(#REF!,'[1]Listas Desplegables'!$H$3:$J$7,3,FALSE)</f>
        <v>#REF!</v>
      </c>
      <c r="C32" s="8">
        <v>27</v>
      </c>
      <c r="D32" s="12"/>
      <c r="E32" s="12"/>
      <c r="F32" s="12"/>
      <c r="G32" s="9"/>
      <c r="H32" s="10"/>
      <c r="I32" s="56"/>
      <c r="J32" s="10"/>
      <c r="K32" s="10"/>
      <c r="L32" s="10"/>
      <c r="M32" s="10"/>
      <c r="N32" s="25"/>
    </row>
    <row r="33" spans="1:14" x14ac:dyDescent="0.3">
      <c r="A33" s="3" t="e">
        <f>VLOOKUP(#REF!,'[1]Listas Desplegables'!$H$3:$J$7,2,FALSE)</f>
        <v>#REF!</v>
      </c>
      <c r="B33" s="3" t="e">
        <f>VLOOKUP(#REF!,'[1]Listas Desplegables'!$H$3:$J$7,3,FALSE)</f>
        <v>#REF!</v>
      </c>
      <c r="C33" s="8">
        <v>28</v>
      </c>
      <c r="D33" s="12"/>
      <c r="E33" s="12"/>
      <c r="F33" s="12"/>
      <c r="G33" s="9"/>
      <c r="H33" s="10"/>
      <c r="I33" s="56"/>
      <c r="J33" s="10"/>
      <c r="K33" s="10"/>
      <c r="L33" s="10"/>
      <c r="M33" s="10"/>
      <c r="N33" s="25"/>
    </row>
    <row r="34" spans="1:14" x14ac:dyDescent="0.3">
      <c r="A34" s="3" t="e">
        <f>VLOOKUP(#REF!,'[1]Listas Desplegables'!$H$3:$J$7,2,FALSE)</f>
        <v>#REF!</v>
      </c>
      <c r="B34" s="3" t="e">
        <f>VLOOKUP(#REF!,'[1]Listas Desplegables'!$H$3:$J$7,3,FALSE)</f>
        <v>#REF!</v>
      </c>
      <c r="C34" s="8">
        <v>29</v>
      </c>
      <c r="D34" s="12"/>
      <c r="E34" s="12"/>
      <c r="F34" s="12"/>
      <c r="G34" s="9"/>
      <c r="H34" s="10"/>
      <c r="I34" s="56"/>
      <c r="J34" s="10"/>
      <c r="K34" s="10"/>
      <c r="L34" s="10"/>
      <c r="M34" s="10"/>
      <c r="N34" s="25"/>
    </row>
    <row r="35" spans="1:14" x14ac:dyDescent="0.3">
      <c r="A35" s="3" t="e">
        <f>VLOOKUP(#REF!,'[1]Listas Desplegables'!$H$3:$J$7,2,FALSE)</f>
        <v>#REF!</v>
      </c>
      <c r="B35" s="3" t="e">
        <f>VLOOKUP(#REF!,'[1]Listas Desplegables'!$H$3:$J$7,3,FALSE)</f>
        <v>#REF!</v>
      </c>
      <c r="C35" s="7">
        <v>30</v>
      </c>
      <c r="D35" s="12"/>
      <c r="E35" s="12"/>
      <c r="F35" s="12"/>
      <c r="G35" s="9"/>
      <c r="H35" s="10"/>
      <c r="I35" s="56"/>
      <c r="J35" s="10"/>
      <c r="K35" s="10"/>
      <c r="L35" s="10"/>
      <c r="M35" s="10"/>
      <c r="N35" s="25"/>
    </row>
    <row r="36" spans="1:14" x14ac:dyDescent="0.3">
      <c r="A36" s="3" t="e">
        <f>VLOOKUP(#REF!,'[1]Listas Desplegables'!$H$3:$J$7,2,FALSE)</f>
        <v>#REF!</v>
      </c>
      <c r="B36" s="3" t="e">
        <f>VLOOKUP(#REF!,'[1]Listas Desplegables'!$H$3:$J$7,3,FALSE)</f>
        <v>#REF!</v>
      </c>
      <c r="C36" s="8">
        <v>31</v>
      </c>
      <c r="D36" s="12"/>
      <c r="E36" s="12"/>
      <c r="F36" s="12"/>
      <c r="G36" s="9"/>
      <c r="H36" s="10"/>
      <c r="I36" s="56"/>
      <c r="J36" s="10"/>
      <c r="K36" s="10"/>
      <c r="L36" s="10"/>
      <c r="M36" s="10"/>
      <c r="N36" s="25"/>
    </row>
    <row r="37" spans="1:14" x14ac:dyDescent="0.3">
      <c r="A37" s="3" t="e">
        <f>VLOOKUP(#REF!,'[1]Listas Desplegables'!$H$3:$J$7,2,FALSE)</f>
        <v>#REF!</v>
      </c>
      <c r="B37" s="3" t="e">
        <f>VLOOKUP(#REF!,'[1]Listas Desplegables'!$H$3:$J$7,3,FALSE)</f>
        <v>#REF!</v>
      </c>
      <c r="C37" s="8">
        <v>32</v>
      </c>
      <c r="D37" s="12"/>
      <c r="E37" s="12"/>
      <c r="F37" s="12"/>
      <c r="G37" s="9"/>
      <c r="H37" s="10"/>
      <c r="I37" s="56"/>
      <c r="J37" s="10"/>
      <c r="K37" s="10"/>
      <c r="L37" s="10"/>
      <c r="M37" s="10"/>
      <c r="N37" s="25"/>
    </row>
    <row r="38" spans="1:14" x14ac:dyDescent="0.3">
      <c r="A38" s="3" t="e">
        <f>VLOOKUP(#REF!,'[1]Listas Desplegables'!$H$3:$J$7,2,FALSE)</f>
        <v>#REF!</v>
      </c>
      <c r="B38" s="3" t="e">
        <f>VLOOKUP(#REF!,'[1]Listas Desplegables'!$H$3:$J$7,3,FALSE)</f>
        <v>#REF!</v>
      </c>
      <c r="C38" s="8">
        <v>33</v>
      </c>
      <c r="D38" s="12"/>
      <c r="E38" s="12"/>
      <c r="F38" s="12"/>
      <c r="G38" s="9"/>
      <c r="H38" s="10"/>
      <c r="I38" s="56"/>
      <c r="J38" s="10"/>
      <c r="K38" s="10"/>
      <c r="L38" s="10"/>
      <c r="M38" s="10"/>
      <c r="N38" s="25"/>
    </row>
    <row r="39" spans="1:14" x14ac:dyDescent="0.3">
      <c r="A39" s="3" t="e">
        <f>VLOOKUP(#REF!,'[1]Listas Desplegables'!$H$3:$J$7,2,FALSE)</f>
        <v>#REF!</v>
      </c>
      <c r="B39" s="3" t="e">
        <f>VLOOKUP(#REF!,'[1]Listas Desplegables'!$H$3:$J$7,3,FALSE)</f>
        <v>#REF!</v>
      </c>
      <c r="C39" s="8">
        <v>34</v>
      </c>
      <c r="D39" s="12"/>
      <c r="E39" s="12"/>
      <c r="F39" s="12"/>
      <c r="G39" s="9"/>
      <c r="H39" s="10"/>
      <c r="I39" s="56"/>
      <c r="J39" s="10"/>
      <c r="K39" s="10"/>
      <c r="L39" s="10"/>
      <c r="M39" s="10"/>
      <c r="N39" s="25"/>
    </row>
    <row r="40" spans="1:14" x14ac:dyDescent="0.3">
      <c r="A40" s="3" t="e">
        <f>VLOOKUP(#REF!,'[1]Listas Desplegables'!$H$3:$J$7,2,FALSE)</f>
        <v>#REF!</v>
      </c>
      <c r="B40" s="3" t="e">
        <f>VLOOKUP(#REF!,'[1]Listas Desplegables'!$H$3:$J$7,3,FALSE)</f>
        <v>#REF!</v>
      </c>
      <c r="C40" s="8">
        <v>35</v>
      </c>
      <c r="D40" s="12"/>
      <c r="E40" s="12"/>
      <c r="F40" s="12"/>
      <c r="G40" s="9"/>
      <c r="H40" s="10"/>
      <c r="I40" s="56"/>
      <c r="J40" s="10"/>
      <c r="K40" s="10"/>
      <c r="L40" s="10"/>
      <c r="M40" s="10"/>
      <c r="N40" s="25"/>
    </row>
    <row r="41" spans="1:14" x14ac:dyDescent="0.3">
      <c r="A41" s="3" t="e">
        <f>VLOOKUP(#REF!,'[1]Listas Desplegables'!$H$3:$J$7,2,FALSE)</f>
        <v>#REF!</v>
      </c>
      <c r="B41" s="3" t="e">
        <f>VLOOKUP(#REF!,'[1]Listas Desplegables'!$H$3:$J$7,3,FALSE)</f>
        <v>#REF!</v>
      </c>
      <c r="C41" s="8">
        <v>36</v>
      </c>
      <c r="D41" s="12"/>
      <c r="E41" s="12"/>
      <c r="F41" s="12"/>
      <c r="G41" s="9"/>
      <c r="H41" s="10"/>
      <c r="I41" s="56"/>
      <c r="J41" s="10"/>
      <c r="K41" s="10"/>
      <c r="L41" s="10"/>
      <c r="M41" s="10"/>
      <c r="N41" s="25"/>
    </row>
    <row r="42" spans="1:14" x14ac:dyDescent="0.3">
      <c r="A42" s="3" t="e">
        <f>VLOOKUP(#REF!,'[1]Listas Desplegables'!$H$3:$J$7,2,FALSE)</f>
        <v>#REF!</v>
      </c>
      <c r="B42" s="3" t="e">
        <f>VLOOKUP(#REF!,'[1]Listas Desplegables'!$H$3:$J$7,3,FALSE)</f>
        <v>#REF!</v>
      </c>
      <c r="C42" s="8">
        <v>37</v>
      </c>
      <c r="D42" s="12"/>
      <c r="E42" s="12"/>
      <c r="F42" s="12"/>
      <c r="G42" s="9"/>
      <c r="H42" s="10"/>
      <c r="I42" s="56"/>
      <c r="J42" s="10"/>
      <c r="K42" s="10"/>
      <c r="L42" s="10"/>
      <c r="M42" s="10"/>
      <c r="N42" s="25"/>
    </row>
    <row r="43" spans="1:14" x14ac:dyDescent="0.3">
      <c r="A43" s="3" t="e">
        <f>VLOOKUP(#REF!,'[1]Listas Desplegables'!$H$3:$J$7,2,FALSE)</f>
        <v>#REF!</v>
      </c>
      <c r="B43" s="3" t="e">
        <f>VLOOKUP(#REF!,'[1]Listas Desplegables'!$H$3:$J$7,3,FALSE)</f>
        <v>#REF!</v>
      </c>
      <c r="C43" s="8">
        <v>38</v>
      </c>
      <c r="D43" s="12"/>
      <c r="E43" s="12"/>
      <c r="F43" s="12"/>
      <c r="G43" s="9"/>
      <c r="H43" s="10"/>
      <c r="I43" s="56"/>
      <c r="J43" s="10"/>
      <c r="K43" s="10"/>
      <c r="L43" s="10"/>
      <c r="M43" s="10"/>
      <c r="N43" s="25"/>
    </row>
    <row r="44" spans="1:14" x14ac:dyDescent="0.3">
      <c r="A44" s="3" t="e">
        <f>VLOOKUP(#REF!,'[1]Listas Desplegables'!$H$3:$J$7,2,FALSE)</f>
        <v>#REF!</v>
      </c>
      <c r="B44" s="3" t="e">
        <f>VLOOKUP(#REF!,'[1]Listas Desplegables'!$H$3:$J$7,3,FALSE)</f>
        <v>#REF!</v>
      </c>
      <c r="C44" s="7">
        <v>39</v>
      </c>
      <c r="D44" s="12"/>
      <c r="E44" s="12"/>
      <c r="F44" s="12"/>
      <c r="G44" s="9"/>
      <c r="H44" s="10"/>
      <c r="I44" s="56"/>
      <c r="J44" s="10"/>
      <c r="K44" s="10"/>
      <c r="L44" s="10"/>
      <c r="M44" s="10"/>
      <c r="N44" s="25"/>
    </row>
    <row r="45" spans="1:14" x14ac:dyDescent="0.3">
      <c r="A45" s="3" t="e">
        <f>VLOOKUP(#REF!,'[1]Listas Desplegables'!$H$3:$J$7,2,FALSE)</f>
        <v>#REF!</v>
      </c>
      <c r="B45" s="3" t="e">
        <f>VLOOKUP(#REF!,'[1]Listas Desplegables'!$H$3:$J$7,3,FALSE)</f>
        <v>#REF!</v>
      </c>
      <c r="C45" s="11">
        <v>40</v>
      </c>
      <c r="D45" s="12"/>
      <c r="E45" s="12"/>
      <c r="F45" s="12"/>
      <c r="G45" s="9"/>
      <c r="H45" s="10"/>
      <c r="I45" s="56"/>
      <c r="J45" s="10"/>
      <c r="K45" s="10"/>
      <c r="L45" s="10"/>
      <c r="M45" s="10"/>
      <c r="N45" s="25"/>
    </row>
    <row r="46" spans="1:14" x14ac:dyDescent="0.3">
      <c r="A46" s="3" t="e">
        <f>VLOOKUP(#REF!,'[1]Listas Desplegables'!$H$3:$J$7,2,FALSE)</f>
        <v>#REF!</v>
      </c>
      <c r="B46" s="3" t="e">
        <f>VLOOKUP(#REF!,'[1]Listas Desplegables'!$H$3:$J$7,3,FALSE)</f>
        <v>#REF!</v>
      </c>
      <c r="C46" s="7">
        <v>41</v>
      </c>
      <c r="D46" s="12"/>
      <c r="E46" s="12"/>
      <c r="F46" s="12"/>
      <c r="G46" s="9"/>
      <c r="H46" s="10"/>
      <c r="I46" s="56"/>
      <c r="J46" s="10"/>
      <c r="K46" s="10"/>
      <c r="L46" s="10"/>
      <c r="M46" s="10"/>
      <c r="N46" s="25"/>
    </row>
    <row r="47" spans="1:14" x14ac:dyDescent="0.3">
      <c r="A47" s="3" t="e">
        <f>VLOOKUP(#REF!,'[1]Listas Desplegables'!$H$3:$J$7,2,FALSE)</f>
        <v>#REF!</v>
      </c>
      <c r="B47" s="3" t="e">
        <f>VLOOKUP(#REF!,'[1]Listas Desplegables'!$H$3:$J$7,3,FALSE)</f>
        <v>#REF!</v>
      </c>
      <c r="C47" s="8">
        <v>42</v>
      </c>
      <c r="D47" s="12"/>
      <c r="E47" s="12"/>
      <c r="F47" s="12"/>
      <c r="G47" s="9"/>
      <c r="H47" s="10"/>
      <c r="I47" s="56"/>
      <c r="J47" s="10"/>
      <c r="K47" s="10"/>
      <c r="L47" s="10"/>
      <c r="M47" s="10"/>
      <c r="N47" s="25"/>
    </row>
    <row r="48" spans="1:14" x14ac:dyDescent="0.3">
      <c r="A48" s="3" t="e">
        <f>VLOOKUP(#REF!,'[1]Listas Desplegables'!$H$3:$J$7,2,FALSE)</f>
        <v>#REF!</v>
      </c>
      <c r="B48" s="3" t="e">
        <f>VLOOKUP(#REF!,'[1]Listas Desplegables'!$H$3:$J$7,3,FALSE)</f>
        <v>#REF!</v>
      </c>
      <c r="C48" s="8">
        <v>43</v>
      </c>
      <c r="D48" s="12"/>
      <c r="E48" s="12"/>
      <c r="F48" s="12"/>
      <c r="G48" s="9"/>
      <c r="H48" s="10"/>
      <c r="I48" s="56"/>
      <c r="J48" s="10"/>
      <c r="K48" s="10"/>
      <c r="L48" s="10"/>
      <c r="M48" s="10"/>
      <c r="N48" s="25"/>
    </row>
    <row r="49" spans="1:14" x14ac:dyDescent="0.3">
      <c r="A49" s="3" t="e">
        <f>VLOOKUP(#REF!,'[1]Listas Desplegables'!$H$3:$J$7,2,FALSE)</f>
        <v>#REF!</v>
      </c>
      <c r="B49" s="3" t="e">
        <f>VLOOKUP(#REF!,'[1]Listas Desplegables'!$H$3:$J$7,3,FALSE)</f>
        <v>#REF!</v>
      </c>
      <c r="C49" s="8">
        <v>44</v>
      </c>
      <c r="D49" s="12"/>
      <c r="E49" s="12"/>
      <c r="F49" s="12"/>
      <c r="G49" s="9"/>
      <c r="H49" s="10"/>
      <c r="I49" s="56"/>
      <c r="J49" s="10"/>
      <c r="K49" s="10"/>
      <c r="L49" s="10"/>
      <c r="M49" s="10"/>
      <c r="N49" s="25"/>
    </row>
    <row r="50" spans="1:14" x14ac:dyDescent="0.3">
      <c r="A50" s="3" t="e">
        <f>VLOOKUP(#REF!,'[1]Listas Desplegables'!$H$3:$J$7,2,FALSE)</f>
        <v>#REF!</v>
      </c>
      <c r="B50" s="3" t="e">
        <f>VLOOKUP(#REF!,'[1]Listas Desplegables'!$H$3:$J$7,3,FALSE)</f>
        <v>#REF!</v>
      </c>
      <c r="C50" s="8">
        <v>45</v>
      </c>
      <c r="D50" s="12"/>
      <c r="E50" s="12"/>
      <c r="F50" s="12"/>
      <c r="G50" s="9"/>
      <c r="H50" s="10"/>
      <c r="I50" s="56"/>
      <c r="J50" s="10"/>
      <c r="K50" s="10"/>
      <c r="L50" s="10"/>
      <c r="M50" s="10"/>
      <c r="N50" s="25"/>
    </row>
    <row r="51" spans="1:14" x14ac:dyDescent="0.3">
      <c r="A51" s="3" t="e">
        <f>VLOOKUP(#REF!,'[1]Listas Desplegables'!$H$3:$J$7,2,FALSE)</f>
        <v>#REF!</v>
      </c>
      <c r="B51" s="3" t="e">
        <f>VLOOKUP(#REF!,'[1]Listas Desplegables'!$H$3:$J$7,3,FALSE)</f>
        <v>#REF!</v>
      </c>
      <c r="C51" s="8">
        <v>46</v>
      </c>
      <c r="D51" s="12"/>
      <c r="E51" s="12"/>
      <c r="F51" s="12"/>
      <c r="G51" s="9"/>
      <c r="H51" s="10"/>
      <c r="I51" s="56"/>
      <c r="J51" s="10"/>
      <c r="K51" s="10"/>
      <c r="L51" s="10"/>
      <c r="M51" s="10"/>
      <c r="N51" s="25"/>
    </row>
    <row r="52" spans="1:14" x14ac:dyDescent="0.3">
      <c r="A52" s="3" t="e">
        <f>VLOOKUP(#REF!,'[1]Listas Desplegables'!$H$3:$J$7,2,FALSE)</f>
        <v>#REF!</v>
      </c>
      <c r="B52" s="3" t="e">
        <f>VLOOKUP(#REF!,'[1]Listas Desplegables'!$H$3:$J$7,3,FALSE)</f>
        <v>#REF!</v>
      </c>
      <c r="C52" s="8">
        <v>47</v>
      </c>
      <c r="D52" s="12"/>
      <c r="E52" s="12"/>
      <c r="F52" s="12"/>
      <c r="G52" s="9"/>
      <c r="H52" s="10"/>
      <c r="I52" s="56"/>
      <c r="J52" s="10"/>
      <c r="K52" s="10"/>
      <c r="L52" s="10"/>
      <c r="M52" s="10"/>
      <c r="N52" s="25"/>
    </row>
    <row r="53" spans="1:14" x14ac:dyDescent="0.3">
      <c r="A53" s="3" t="e">
        <f>VLOOKUP(#REF!,'[1]Listas Desplegables'!$H$3:$J$7,2,FALSE)</f>
        <v>#REF!</v>
      </c>
      <c r="B53" s="3" t="e">
        <f>VLOOKUP(#REF!,'[1]Listas Desplegables'!$H$3:$J$7,3,FALSE)</f>
        <v>#REF!</v>
      </c>
      <c r="C53" s="8">
        <v>48</v>
      </c>
      <c r="D53" s="12"/>
      <c r="E53" s="12"/>
      <c r="F53" s="12"/>
      <c r="G53" s="9"/>
      <c r="H53" s="10"/>
      <c r="I53" s="56"/>
      <c r="J53" s="10"/>
      <c r="K53" s="10"/>
      <c r="L53" s="10"/>
      <c r="M53" s="10"/>
      <c r="N53" s="25"/>
    </row>
    <row r="54" spans="1:14" x14ac:dyDescent="0.3">
      <c r="A54" s="3" t="e">
        <f>VLOOKUP(#REF!,'[1]Listas Desplegables'!$H$3:$J$7,2,FALSE)</f>
        <v>#REF!</v>
      </c>
      <c r="B54" s="3" t="e">
        <f>VLOOKUP(#REF!,'[1]Listas Desplegables'!$H$3:$J$7,3,FALSE)</f>
        <v>#REF!</v>
      </c>
      <c r="C54" s="8">
        <v>49</v>
      </c>
      <c r="D54" s="12"/>
      <c r="E54" s="12"/>
      <c r="F54" s="12"/>
      <c r="G54" s="9"/>
      <c r="H54" s="10"/>
      <c r="I54" s="56"/>
      <c r="J54" s="10"/>
      <c r="K54" s="10"/>
      <c r="L54" s="10"/>
      <c r="M54" s="10"/>
      <c r="N54" s="25"/>
    </row>
    <row r="55" spans="1:14" x14ac:dyDescent="0.3">
      <c r="A55" s="3" t="e">
        <f>VLOOKUP(#REF!,'[1]Listas Desplegables'!$H$3:$J$7,2,FALSE)</f>
        <v>#REF!</v>
      </c>
      <c r="B55" s="3" t="e">
        <f>VLOOKUP(#REF!,'[1]Listas Desplegables'!$H$3:$J$7,3,FALSE)</f>
        <v>#REF!</v>
      </c>
      <c r="C55" s="7">
        <v>50</v>
      </c>
      <c r="D55" s="12"/>
      <c r="E55" s="12"/>
      <c r="F55" s="12"/>
      <c r="G55" s="9"/>
      <c r="H55" s="10"/>
      <c r="I55" s="56"/>
      <c r="J55" s="10"/>
      <c r="K55" s="10"/>
      <c r="L55" s="10"/>
      <c r="M55" s="10"/>
      <c r="N55" s="25"/>
    </row>
    <row r="56" spans="1:14" x14ac:dyDescent="0.3">
      <c r="A56" s="3" t="e">
        <f>VLOOKUP(#REF!,'[1]Listas Desplegables'!$H$3:$J$7,2,FALSE)</f>
        <v>#REF!</v>
      </c>
      <c r="B56" s="3" t="e">
        <f>VLOOKUP(#REF!,'[1]Listas Desplegables'!$H$3:$J$7,3,FALSE)</f>
        <v>#REF!</v>
      </c>
      <c r="C56" s="8">
        <v>51</v>
      </c>
      <c r="D56" s="12"/>
      <c r="E56" s="12"/>
      <c r="F56" s="12"/>
      <c r="G56" s="9"/>
      <c r="H56" s="10"/>
      <c r="I56" s="56"/>
      <c r="J56" s="10"/>
      <c r="K56" s="10"/>
      <c r="L56" s="10"/>
      <c r="M56" s="10"/>
      <c r="N56" s="25"/>
    </row>
    <row r="57" spans="1:14" ht="15" thickBot="1" x14ac:dyDescent="0.35">
      <c r="A57" s="3" t="e">
        <f>VLOOKUP(#REF!,'[1]Listas Desplegables'!$H$3:$J$7,2,FALSE)</f>
        <v>#REF!</v>
      </c>
      <c r="B57" s="3" t="e">
        <f>VLOOKUP(#REF!,'[1]Listas Desplegables'!$H$3:$J$7,3,FALSE)</f>
        <v>#REF!</v>
      </c>
      <c r="C57" s="13" t="s">
        <v>4</v>
      </c>
      <c r="D57" s="14"/>
      <c r="E57" s="14"/>
      <c r="F57" s="14"/>
      <c r="G57" s="14"/>
      <c r="H57" s="15"/>
      <c r="I57" s="57"/>
      <c r="J57" s="15"/>
      <c r="K57" s="15"/>
      <c r="L57" s="15"/>
      <c r="M57" s="15"/>
      <c r="N57" s="26"/>
    </row>
  </sheetData>
  <mergeCells count="13">
    <mergeCell ref="N4:N5"/>
    <mergeCell ref="C3:N3"/>
    <mergeCell ref="C4:C5"/>
    <mergeCell ref="D4:D5"/>
    <mergeCell ref="E4:E5"/>
    <mergeCell ref="F4:F5"/>
    <mergeCell ref="G4:G5"/>
    <mergeCell ref="J4:J5"/>
    <mergeCell ref="K4:K5"/>
    <mergeCell ref="H4:H5"/>
    <mergeCell ref="I4:I5"/>
    <mergeCell ref="L4:L5"/>
    <mergeCell ref="M4:M5"/>
  </mergeCells>
  <dataValidations count="4">
    <dataValidation type="decimal" allowBlank="1" showInputMessage="1" showErrorMessage="1" sqref="F6:F1048576 J1:M3 F1:F3 J6:L1048576 M58:M1048576" xr:uid="{00000000-0002-0000-0700-000000000000}">
      <formula1>-100000000</formula1>
      <formula2>100000</formula2>
    </dataValidation>
    <dataValidation type="date" operator="greaterThan" allowBlank="1" showInputMessage="1" showErrorMessage="1" sqref="I1:I3 I6:I1048576" xr:uid="{00000000-0002-0000-0700-000001000000}">
      <formula1>1</formula1>
    </dataValidation>
    <dataValidation type="list" allowBlank="1" showInputMessage="1" showErrorMessage="1" sqref="G58:G1048576" xr:uid="{00000000-0002-0000-0700-000002000000}">
      <formula1>$B$80:$B$82</formula1>
    </dataValidation>
    <dataValidation type="list" allowBlank="1" showInputMessage="1" showErrorMessage="1" sqref="G6:G57" xr:uid="{00000000-0002-0000-0700-000003000000}">
      <formula1>$B$81:$B$83</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700-000004000000}">
          <x14:formula1>
            <xm:f>'Listas Desplegables'!$B$77:$B$79</xm:f>
          </x14:formula1>
          <xm:sqref>G1:G3</xm:sqref>
        </x14:dataValidation>
        <x14:dataValidation type="list" allowBlank="1" showInputMessage="1" showErrorMessage="1" xr:uid="{00000000-0002-0000-0700-000005000000}">
          <x14:formula1>
            <xm:f>'Listas Desplegables'!$B$81:$B$82</xm:f>
          </x14:formula1>
          <xm:sqref>H6:H57</xm:sqref>
        </x14:dataValidation>
        <x14:dataValidation type="list" allowBlank="1" showInputMessage="1" showErrorMessage="1" xr:uid="{4EFACC7D-029B-4A4B-B6A9-7703AB2811CC}">
          <x14:formula1>
            <xm:f>'Listas Desplegables'!$B$90:$B$93</xm:f>
          </x14:formula1>
          <xm:sqref>M6:M57</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sheetPr>
  <dimension ref="A2:O57"/>
  <sheetViews>
    <sheetView showGridLines="0" zoomScaleNormal="100" workbookViewId="0">
      <selection activeCell="D18" sqref="D17:D18"/>
    </sheetView>
  </sheetViews>
  <sheetFormatPr baseColWidth="10" defaultColWidth="11.5546875" defaultRowHeight="14.4" x14ac:dyDescent="0.3"/>
  <cols>
    <col min="1" max="2" width="3" style="3" customWidth="1"/>
    <col min="3" max="3" width="6.6640625" style="2" customWidth="1"/>
    <col min="4" max="4" width="33" customWidth="1"/>
    <col min="5" max="5" width="20.5546875" customWidth="1"/>
    <col min="6" max="11" width="12.6640625" customWidth="1"/>
    <col min="15" max="15" width="29.44140625" customWidth="1"/>
  </cols>
  <sheetData>
    <row r="2" spans="1:15" ht="15" thickBot="1" x14ac:dyDescent="0.35">
      <c r="D2" s="187" t="s">
        <v>890</v>
      </c>
    </row>
    <row r="3" spans="1:15" s="1" customFormat="1" ht="15" thickBot="1" x14ac:dyDescent="0.35">
      <c r="A3" s="4"/>
      <c r="B3" s="4"/>
      <c r="C3" s="87" t="s">
        <v>224</v>
      </c>
      <c r="D3" s="88"/>
      <c r="E3" s="88"/>
      <c r="F3" s="88"/>
      <c r="G3" s="88"/>
      <c r="H3" s="88"/>
      <c r="I3" s="88"/>
      <c r="J3" s="88"/>
      <c r="K3" s="88"/>
      <c r="L3" s="88"/>
      <c r="M3" s="88"/>
      <c r="N3" s="88"/>
      <c r="O3" s="89"/>
    </row>
    <row r="4" spans="1:15" s="6" customFormat="1" ht="12" customHeight="1" x14ac:dyDescent="0.3">
      <c r="A4" s="5"/>
      <c r="B4" s="5"/>
      <c r="C4" s="90" t="s">
        <v>3</v>
      </c>
      <c r="D4" s="85" t="str">
        <f>'Manual de Uso'!C162</f>
        <v>Nombre</v>
      </c>
      <c r="E4" s="85" t="str">
        <f>'Manual de Uso'!C163</f>
        <v>Línea Intervenida</v>
      </c>
      <c r="F4" s="85" t="str">
        <f>'Manual de Uso'!C164</f>
        <v>Nivel de tensión [kV]</v>
      </c>
      <c r="G4" s="85" t="str">
        <f>'Manual de Uso'!C165</f>
        <v>En Operación</v>
      </c>
      <c r="H4" s="85" t="str">
        <f>'Manual de Uso'!C166</f>
        <v>FPO</v>
      </c>
      <c r="I4" s="85" t="str">
        <f>'Manual de Uso'!C167</f>
        <v>Conectado al lado de</v>
      </c>
      <c r="J4" s="85" t="str">
        <f>'Manual de Uso'!C168</f>
        <v>Tensión máxima aporte [V]</v>
      </c>
      <c r="K4" s="85" t="str">
        <f>'Manual de Uso'!C169</f>
        <v>Corriente máxima aporte [A]</v>
      </c>
      <c r="L4" s="85" t="str">
        <f>'Manual de Uso'!C170</f>
        <v>Modelo (si disponible)</v>
      </c>
      <c r="M4" s="85" t="str">
        <f>'Manual de Uso'!C171</f>
        <v>Operador</v>
      </c>
      <c r="N4" s="85" t="str">
        <f>'Manual de Uso'!C172</f>
        <v>Tipo activo Uso/Conexión</v>
      </c>
      <c r="O4" s="85" t="str">
        <f>'Manual de Uso'!C173</f>
        <v>Observaciones transportador</v>
      </c>
    </row>
    <row r="5" spans="1:15" s="6" customFormat="1" ht="24" customHeight="1" thickBot="1" x14ac:dyDescent="0.35">
      <c r="A5" s="5"/>
      <c r="B5" s="5"/>
      <c r="C5" s="91"/>
      <c r="D5" s="86"/>
      <c r="E5" s="86"/>
      <c r="F5" s="86"/>
      <c r="G5" s="86"/>
      <c r="H5" s="86"/>
      <c r="I5" s="86"/>
      <c r="J5" s="86"/>
      <c r="K5" s="86"/>
      <c r="L5" s="86"/>
      <c r="M5" s="86"/>
      <c r="N5" s="86"/>
      <c r="O5" s="86"/>
    </row>
    <row r="6" spans="1:15" x14ac:dyDescent="0.3">
      <c r="A6" s="3" t="e">
        <f>VLOOKUP(#REF!,'[1]Listas Desplegables'!$H$3:$J$7,2,FALSE)</f>
        <v>#REF!</v>
      </c>
      <c r="B6" s="3" t="e">
        <f>VLOOKUP(#REF!,'[1]Listas Desplegables'!$H$3:$J$7,3,FALSE)</f>
        <v>#REF!</v>
      </c>
      <c r="C6" s="21">
        <v>1</v>
      </c>
      <c r="D6" s="22"/>
      <c r="E6" s="22"/>
      <c r="F6" s="22"/>
      <c r="G6" s="22"/>
      <c r="H6" s="22"/>
      <c r="I6" s="22"/>
      <c r="J6" s="22"/>
      <c r="K6" s="23"/>
      <c r="L6" s="23"/>
      <c r="M6" s="23"/>
      <c r="N6" s="23"/>
      <c r="O6" s="24"/>
    </row>
    <row r="7" spans="1:15" x14ac:dyDescent="0.3">
      <c r="A7" s="3" t="e">
        <f>VLOOKUP(#REF!,'[1]Listas Desplegables'!$H$3:$J$7,2,FALSE)</f>
        <v>#REF!</v>
      </c>
      <c r="B7" s="3" t="e">
        <f>VLOOKUP(#REF!,'[1]Listas Desplegables'!$H$3:$J$7,3,FALSE)</f>
        <v>#REF!</v>
      </c>
      <c r="C7" s="8">
        <v>2</v>
      </c>
      <c r="D7" s="9"/>
      <c r="E7" s="9"/>
      <c r="F7" s="9"/>
      <c r="G7" s="9"/>
      <c r="H7" s="9"/>
      <c r="I7" s="9"/>
      <c r="J7" s="9"/>
      <c r="K7" s="10"/>
      <c r="L7" s="10"/>
      <c r="M7" s="10"/>
      <c r="N7" s="10"/>
      <c r="O7" s="25"/>
    </row>
    <row r="8" spans="1:15" x14ac:dyDescent="0.3">
      <c r="A8" s="3" t="e">
        <f>VLOOKUP(#REF!,'[1]Listas Desplegables'!$H$3:$J$7,2,FALSE)</f>
        <v>#REF!</v>
      </c>
      <c r="B8" s="3" t="e">
        <f>VLOOKUP(#REF!,'[1]Listas Desplegables'!$H$3:$J$7,3,FALSE)</f>
        <v>#REF!</v>
      </c>
      <c r="C8" s="8">
        <v>3</v>
      </c>
      <c r="D8" s="9"/>
      <c r="E8" s="9"/>
      <c r="F8" s="9"/>
      <c r="G8" s="9"/>
      <c r="H8" s="9"/>
      <c r="I8" s="9"/>
      <c r="J8" s="9"/>
      <c r="K8" s="10"/>
      <c r="L8" s="10"/>
      <c r="M8" s="10"/>
      <c r="N8" s="10"/>
      <c r="O8" s="25"/>
    </row>
    <row r="9" spans="1:15" x14ac:dyDescent="0.3">
      <c r="A9" s="3" t="e">
        <f>VLOOKUP(#REF!,'[1]Listas Desplegables'!$H$3:$J$7,2,FALSE)</f>
        <v>#REF!</v>
      </c>
      <c r="B9" s="3" t="e">
        <f>VLOOKUP(#REF!,'[1]Listas Desplegables'!$H$3:$J$7,3,FALSE)</f>
        <v>#REF!</v>
      </c>
      <c r="C9" s="8">
        <v>4</v>
      </c>
      <c r="D9" s="9"/>
      <c r="E9" s="9"/>
      <c r="F9" s="9"/>
      <c r="G9" s="9"/>
      <c r="H9" s="9"/>
      <c r="I9" s="9"/>
      <c r="J9" s="9"/>
      <c r="K9" s="10"/>
      <c r="L9" s="10"/>
      <c r="M9" s="10"/>
      <c r="N9" s="10"/>
      <c r="O9" s="25"/>
    </row>
    <row r="10" spans="1:15" x14ac:dyDescent="0.3">
      <c r="A10" s="3" t="e">
        <f>VLOOKUP(#REF!,'[1]Listas Desplegables'!$H$3:$J$7,2,FALSE)</f>
        <v>#REF!</v>
      </c>
      <c r="B10" s="3" t="e">
        <f>VLOOKUP(#REF!,'[1]Listas Desplegables'!$H$3:$J$7,3,FALSE)</f>
        <v>#REF!</v>
      </c>
      <c r="C10" s="8">
        <v>5</v>
      </c>
      <c r="D10" s="9"/>
      <c r="E10" s="9"/>
      <c r="F10" s="9"/>
      <c r="G10" s="9"/>
      <c r="H10" s="9"/>
      <c r="I10" s="9"/>
      <c r="J10" s="9"/>
      <c r="K10" s="10"/>
      <c r="L10" s="10"/>
      <c r="M10" s="10"/>
      <c r="N10" s="10"/>
      <c r="O10" s="25"/>
    </row>
    <row r="11" spans="1:15" x14ac:dyDescent="0.3">
      <c r="A11" s="3" t="e">
        <f>VLOOKUP(#REF!,'[1]Listas Desplegables'!$H$3:$J$7,2,FALSE)</f>
        <v>#REF!</v>
      </c>
      <c r="B11" s="3" t="e">
        <f>VLOOKUP(#REF!,'[1]Listas Desplegables'!$H$3:$J$7,3,FALSE)</f>
        <v>#REF!</v>
      </c>
      <c r="C11" s="8">
        <v>6</v>
      </c>
      <c r="D11" s="9"/>
      <c r="E11" s="9"/>
      <c r="F11" s="9"/>
      <c r="G11" s="9"/>
      <c r="H11" s="9"/>
      <c r="I11" s="9"/>
      <c r="J11" s="9"/>
      <c r="K11" s="10"/>
      <c r="L11" s="10"/>
      <c r="M11" s="10"/>
      <c r="N11" s="10"/>
      <c r="O11" s="25"/>
    </row>
    <row r="12" spans="1:15" x14ac:dyDescent="0.3">
      <c r="A12" s="3" t="e">
        <f>VLOOKUP(#REF!,'[1]Listas Desplegables'!$H$3:$J$7,2,FALSE)</f>
        <v>#REF!</v>
      </c>
      <c r="B12" s="3" t="e">
        <f>VLOOKUP(#REF!,'[1]Listas Desplegables'!$H$3:$J$7,3,FALSE)</f>
        <v>#REF!</v>
      </c>
      <c r="C12" s="8">
        <v>7</v>
      </c>
      <c r="D12" s="9"/>
      <c r="E12" s="9"/>
      <c r="F12" s="9"/>
      <c r="G12" s="9"/>
      <c r="H12" s="9"/>
      <c r="I12" s="9"/>
      <c r="J12" s="9"/>
      <c r="K12" s="10"/>
      <c r="L12" s="10"/>
      <c r="M12" s="10"/>
      <c r="N12" s="10"/>
      <c r="O12" s="25"/>
    </row>
    <row r="13" spans="1:15" x14ac:dyDescent="0.3">
      <c r="A13" s="3" t="e">
        <f>VLOOKUP(#REF!,'[1]Listas Desplegables'!$H$3:$J$7,2,FALSE)</f>
        <v>#REF!</v>
      </c>
      <c r="B13" s="3" t="e">
        <f>VLOOKUP(#REF!,'[1]Listas Desplegables'!$H$3:$J$7,3,FALSE)</f>
        <v>#REF!</v>
      </c>
      <c r="C13" s="8">
        <v>8</v>
      </c>
      <c r="D13" s="9"/>
      <c r="E13" s="9"/>
      <c r="F13" s="9"/>
      <c r="G13" s="9"/>
      <c r="H13" s="9"/>
      <c r="I13" s="9"/>
      <c r="J13" s="9"/>
      <c r="K13" s="10"/>
      <c r="L13" s="10"/>
      <c r="M13" s="10"/>
      <c r="N13" s="10"/>
      <c r="O13" s="25"/>
    </row>
    <row r="14" spans="1:15" x14ac:dyDescent="0.3">
      <c r="A14" s="3" t="e">
        <f>VLOOKUP(#REF!,'[1]Listas Desplegables'!$H$3:$J$7,2,FALSE)</f>
        <v>#REF!</v>
      </c>
      <c r="B14" s="3" t="e">
        <f>VLOOKUP(#REF!,'[1]Listas Desplegables'!$H$3:$J$7,3,FALSE)</f>
        <v>#REF!</v>
      </c>
      <c r="C14" s="8">
        <v>9</v>
      </c>
      <c r="D14" s="9"/>
      <c r="E14" s="9"/>
      <c r="F14" s="9"/>
      <c r="G14" s="9"/>
      <c r="H14" s="9"/>
      <c r="I14" s="9"/>
      <c r="J14" s="9"/>
      <c r="K14" s="10"/>
      <c r="L14" s="10"/>
      <c r="M14" s="10"/>
      <c r="N14" s="10"/>
      <c r="O14" s="25"/>
    </row>
    <row r="15" spans="1:15" x14ac:dyDescent="0.3">
      <c r="A15" s="3" t="e">
        <f>VLOOKUP(#REF!,'[1]Listas Desplegables'!$H$3:$J$7,2,FALSE)</f>
        <v>#REF!</v>
      </c>
      <c r="B15" s="3" t="e">
        <f>VLOOKUP(#REF!,'[1]Listas Desplegables'!$H$3:$J$7,3,FALSE)</f>
        <v>#REF!</v>
      </c>
      <c r="C15" s="7">
        <v>10</v>
      </c>
      <c r="D15" s="9"/>
      <c r="E15" s="9"/>
      <c r="F15" s="9"/>
      <c r="G15" s="9"/>
      <c r="H15" s="9"/>
      <c r="I15" s="9"/>
      <c r="J15" s="9"/>
      <c r="K15" s="10"/>
      <c r="L15" s="10"/>
      <c r="M15" s="10"/>
      <c r="N15" s="10"/>
      <c r="O15" s="25"/>
    </row>
    <row r="16" spans="1:15" x14ac:dyDescent="0.3">
      <c r="A16" s="3" t="e">
        <f>VLOOKUP(#REF!,'[1]Listas Desplegables'!$H$3:$J$7,2,FALSE)</f>
        <v>#REF!</v>
      </c>
      <c r="B16" s="3" t="e">
        <f>VLOOKUP(#REF!,'[1]Listas Desplegables'!$H$3:$J$7,3,FALSE)</f>
        <v>#REF!</v>
      </c>
      <c r="C16" s="8">
        <v>11</v>
      </c>
      <c r="D16" s="9"/>
      <c r="E16" s="9"/>
      <c r="F16" s="9"/>
      <c r="G16" s="9"/>
      <c r="H16" s="9"/>
      <c r="I16" s="9"/>
      <c r="J16" s="9"/>
      <c r="K16" s="10"/>
      <c r="L16" s="10"/>
      <c r="M16" s="10"/>
      <c r="N16" s="10"/>
      <c r="O16" s="25"/>
    </row>
    <row r="17" spans="1:15" x14ac:dyDescent="0.3">
      <c r="A17" s="3" t="e">
        <f>VLOOKUP(#REF!,'[1]Listas Desplegables'!$H$3:$J$7,2,FALSE)</f>
        <v>#REF!</v>
      </c>
      <c r="B17" s="3" t="e">
        <f>VLOOKUP(#REF!,'[1]Listas Desplegables'!$H$3:$J$7,3,FALSE)</f>
        <v>#REF!</v>
      </c>
      <c r="C17" s="8">
        <v>12</v>
      </c>
      <c r="D17" s="9"/>
      <c r="E17" s="9"/>
      <c r="F17" s="9"/>
      <c r="G17" s="9"/>
      <c r="H17" s="9"/>
      <c r="I17" s="9"/>
      <c r="J17" s="9"/>
      <c r="K17" s="10"/>
      <c r="L17" s="10"/>
      <c r="M17" s="10"/>
      <c r="N17" s="10"/>
      <c r="O17" s="25"/>
    </row>
    <row r="18" spans="1:15" x14ac:dyDescent="0.3">
      <c r="A18" s="3" t="e">
        <f>VLOOKUP(#REF!,'[1]Listas Desplegables'!$H$3:$J$7,2,FALSE)</f>
        <v>#REF!</v>
      </c>
      <c r="B18" s="3" t="e">
        <f>VLOOKUP(#REF!,'[1]Listas Desplegables'!$H$3:$J$7,3,FALSE)</f>
        <v>#REF!</v>
      </c>
      <c r="C18" s="8">
        <v>13</v>
      </c>
      <c r="D18" s="9"/>
      <c r="E18" s="9"/>
      <c r="F18" s="9"/>
      <c r="G18" s="9"/>
      <c r="H18" s="9"/>
      <c r="I18" s="9"/>
      <c r="J18" s="9"/>
      <c r="K18" s="10"/>
      <c r="L18" s="10"/>
      <c r="M18" s="10"/>
      <c r="N18" s="10"/>
      <c r="O18" s="25"/>
    </row>
    <row r="19" spans="1:15" x14ac:dyDescent="0.3">
      <c r="A19" s="3" t="e">
        <f>VLOOKUP(#REF!,'[1]Listas Desplegables'!$H$3:$J$7,2,FALSE)</f>
        <v>#REF!</v>
      </c>
      <c r="B19" s="3" t="e">
        <f>VLOOKUP(#REF!,'[1]Listas Desplegables'!$H$3:$J$7,3,FALSE)</f>
        <v>#REF!</v>
      </c>
      <c r="C19" s="8">
        <v>14</v>
      </c>
      <c r="D19" s="9"/>
      <c r="E19" s="9"/>
      <c r="F19" s="9"/>
      <c r="G19" s="9"/>
      <c r="H19" s="9"/>
      <c r="I19" s="9"/>
      <c r="J19" s="9"/>
      <c r="K19" s="10"/>
      <c r="L19" s="10"/>
      <c r="M19" s="10"/>
      <c r="N19" s="10"/>
      <c r="O19" s="25"/>
    </row>
    <row r="20" spans="1:15" x14ac:dyDescent="0.3">
      <c r="A20" s="3" t="e">
        <f>VLOOKUP(#REF!,'[1]Listas Desplegables'!$H$3:$J$7,2,FALSE)</f>
        <v>#REF!</v>
      </c>
      <c r="B20" s="3" t="e">
        <f>VLOOKUP(#REF!,'[1]Listas Desplegables'!$H$3:$J$7,3,FALSE)</f>
        <v>#REF!</v>
      </c>
      <c r="C20" s="8">
        <v>15</v>
      </c>
      <c r="D20" s="9"/>
      <c r="E20" s="9"/>
      <c r="F20" s="9"/>
      <c r="G20" s="9"/>
      <c r="H20" s="9"/>
      <c r="I20" s="9"/>
      <c r="J20" s="9"/>
      <c r="K20" s="10"/>
      <c r="L20" s="10"/>
      <c r="M20" s="10"/>
      <c r="N20" s="10"/>
      <c r="O20" s="25"/>
    </row>
    <row r="21" spans="1:15" x14ac:dyDescent="0.3">
      <c r="A21" s="3" t="e">
        <f>VLOOKUP(#REF!,'[1]Listas Desplegables'!$H$3:$J$7,2,FALSE)</f>
        <v>#REF!</v>
      </c>
      <c r="B21" s="3" t="e">
        <f>VLOOKUP(#REF!,'[1]Listas Desplegables'!$H$3:$J$7,3,FALSE)</f>
        <v>#REF!</v>
      </c>
      <c r="C21" s="8">
        <v>16</v>
      </c>
      <c r="D21" s="9"/>
      <c r="E21" s="9"/>
      <c r="F21" s="9"/>
      <c r="G21" s="9"/>
      <c r="H21" s="9"/>
      <c r="I21" s="9"/>
      <c r="J21" s="9"/>
      <c r="K21" s="10"/>
      <c r="L21" s="10"/>
      <c r="M21" s="10"/>
      <c r="N21" s="10"/>
      <c r="O21" s="25"/>
    </row>
    <row r="22" spans="1:15" x14ac:dyDescent="0.3">
      <c r="A22" s="3" t="e">
        <f>VLOOKUP(#REF!,'[1]Listas Desplegables'!$H$3:$J$7,2,FALSE)</f>
        <v>#REF!</v>
      </c>
      <c r="B22" s="3" t="e">
        <f>VLOOKUP(#REF!,'[1]Listas Desplegables'!$H$3:$J$7,3,FALSE)</f>
        <v>#REF!</v>
      </c>
      <c r="C22" s="8">
        <v>17</v>
      </c>
      <c r="D22" s="9"/>
      <c r="E22" s="9"/>
      <c r="F22" s="9"/>
      <c r="G22" s="9"/>
      <c r="H22" s="9"/>
      <c r="I22" s="9"/>
      <c r="J22" s="9"/>
      <c r="K22" s="10"/>
      <c r="L22" s="10"/>
      <c r="M22" s="10"/>
      <c r="N22" s="10"/>
      <c r="O22" s="25"/>
    </row>
    <row r="23" spans="1:15" x14ac:dyDescent="0.3">
      <c r="A23" s="3" t="e">
        <f>VLOOKUP(#REF!,'[1]Listas Desplegables'!$H$3:$J$7,2,FALSE)</f>
        <v>#REF!</v>
      </c>
      <c r="B23" s="3" t="e">
        <f>VLOOKUP(#REF!,'[1]Listas Desplegables'!$H$3:$J$7,3,FALSE)</f>
        <v>#REF!</v>
      </c>
      <c r="C23" s="8">
        <v>18</v>
      </c>
      <c r="D23" s="9"/>
      <c r="E23" s="9"/>
      <c r="F23" s="9"/>
      <c r="G23" s="9"/>
      <c r="H23" s="9"/>
      <c r="I23" s="9"/>
      <c r="J23" s="9"/>
      <c r="K23" s="10"/>
      <c r="L23" s="10"/>
      <c r="M23" s="10"/>
      <c r="N23" s="10"/>
      <c r="O23" s="25"/>
    </row>
    <row r="24" spans="1:15" x14ac:dyDescent="0.3">
      <c r="A24" s="3" t="e">
        <f>VLOOKUP(#REF!,'[1]Listas Desplegables'!$H$3:$J$7,2,FALSE)</f>
        <v>#REF!</v>
      </c>
      <c r="B24" s="3" t="e">
        <f>VLOOKUP(#REF!,'[1]Listas Desplegables'!$H$3:$J$7,3,FALSE)</f>
        <v>#REF!</v>
      </c>
      <c r="C24" s="7">
        <v>19</v>
      </c>
      <c r="D24" s="9"/>
      <c r="E24" s="9"/>
      <c r="F24" s="9"/>
      <c r="G24" s="9"/>
      <c r="H24" s="9"/>
      <c r="I24" s="9"/>
      <c r="J24" s="9"/>
      <c r="K24" s="10"/>
      <c r="L24" s="10"/>
      <c r="M24" s="10"/>
      <c r="N24" s="10"/>
      <c r="O24" s="25"/>
    </row>
    <row r="25" spans="1:15" x14ac:dyDescent="0.3">
      <c r="A25" s="3" t="e">
        <f>VLOOKUP(#REF!,'[1]Listas Desplegables'!$H$3:$J$7,2,FALSE)</f>
        <v>#REF!</v>
      </c>
      <c r="B25" s="3" t="e">
        <f>VLOOKUP(#REF!,'[1]Listas Desplegables'!$H$3:$J$7,3,FALSE)</f>
        <v>#REF!</v>
      </c>
      <c r="C25" s="11">
        <v>20</v>
      </c>
      <c r="D25" s="12"/>
      <c r="E25" s="12"/>
      <c r="F25" s="12"/>
      <c r="G25" s="12"/>
      <c r="H25" s="12"/>
      <c r="I25" s="12"/>
      <c r="J25" s="9"/>
      <c r="K25" s="10"/>
      <c r="L25" s="10"/>
      <c r="M25" s="10"/>
      <c r="N25" s="10"/>
      <c r="O25" s="25"/>
    </row>
    <row r="26" spans="1:15" x14ac:dyDescent="0.3">
      <c r="A26" s="3" t="e">
        <f>VLOOKUP(#REF!,'[1]Listas Desplegables'!$H$3:$J$7,2,FALSE)</f>
        <v>#REF!</v>
      </c>
      <c r="B26" s="3" t="e">
        <f>VLOOKUP(#REF!,'[1]Listas Desplegables'!$H$3:$J$7,3,FALSE)</f>
        <v>#REF!</v>
      </c>
      <c r="C26" s="7">
        <v>21</v>
      </c>
      <c r="D26" s="12"/>
      <c r="E26" s="12"/>
      <c r="F26" s="12"/>
      <c r="G26" s="12"/>
      <c r="H26" s="12"/>
      <c r="I26" s="12"/>
      <c r="J26" s="9"/>
      <c r="K26" s="10"/>
      <c r="L26" s="10"/>
      <c r="M26" s="10"/>
      <c r="N26" s="10"/>
      <c r="O26" s="25"/>
    </row>
    <row r="27" spans="1:15" x14ac:dyDescent="0.3">
      <c r="A27" s="3" t="e">
        <f>VLOOKUP(#REF!,'[1]Listas Desplegables'!$H$3:$J$7,2,FALSE)</f>
        <v>#REF!</v>
      </c>
      <c r="B27" s="3" t="e">
        <f>VLOOKUP(#REF!,'[1]Listas Desplegables'!$H$3:$J$7,3,FALSE)</f>
        <v>#REF!</v>
      </c>
      <c r="C27" s="8">
        <v>22</v>
      </c>
      <c r="D27" s="12"/>
      <c r="E27" s="12"/>
      <c r="F27" s="12"/>
      <c r="G27" s="12"/>
      <c r="H27" s="12"/>
      <c r="I27" s="12"/>
      <c r="J27" s="9"/>
      <c r="K27" s="10"/>
      <c r="L27" s="10"/>
      <c r="M27" s="10"/>
      <c r="N27" s="10"/>
      <c r="O27" s="25"/>
    </row>
    <row r="28" spans="1:15" x14ac:dyDescent="0.3">
      <c r="A28" s="3" t="e">
        <f>VLOOKUP(#REF!,'[1]Listas Desplegables'!$H$3:$J$7,2,FALSE)</f>
        <v>#REF!</v>
      </c>
      <c r="B28" s="3" t="e">
        <f>VLOOKUP(#REF!,'[1]Listas Desplegables'!$H$3:$J$7,3,FALSE)</f>
        <v>#REF!</v>
      </c>
      <c r="C28" s="8">
        <v>23</v>
      </c>
      <c r="D28" s="12"/>
      <c r="E28" s="12"/>
      <c r="F28" s="12"/>
      <c r="G28" s="12"/>
      <c r="H28" s="12"/>
      <c r="I28" s="12"/>
      <c r="J28" s="9"/>
      <c r="K28" s="10"/>
      <c r="L28" s="10"/>
      <c r="M28" s="10"/>
      <c r="N28" s="10"/>
      <c r="O28" s="25"/>
    </row>
    <row r="29" spans="1:15" x14ac:dyDescent="0.3">
      <c r="A29" s="3" t="e">
        <f>VLOOKUP(#REF!,'[1]Listas Desplegables'!$H$3:$J$7,2,FALSE)</f>
        <v>#REF!</v>
      </c>
      <c r="B29" s="3" t="e">
        <f>VLOOKUP(#REF!,'[1]Listas Desplegables'!$H$3:$J$7,3,FALSE)</f>
        <v>#REF!</v>
      </c>
      <c r="C29" s="8">
        <v>24</v>
      </c>
      <c r="D29" s="12"/>
      <c r="E29" s="12"/>
      <c r="F29" s="12"/>
      <c r="G29" s="12"/>
      <c r="H29" s="12"/>
      <c r="I29" s="12"/>
      <c r="J29" s="9"/>
      <c r="K29" s="10"/>
      <c r="L29" s="10"/>
      <c r="M29" s="10"/>
      <c r="N29" s="10"/>
      <c r="O29" s="25"/>
    </row>
    <row r="30" spans="1:15" x14ac:dyDescent="0.3">
      <c r="A30" s="3" t="e">
        <f>VLOOKUP(#REF!,'[1]Listas Desplegables'!$H$3:$J$7,2,FALSE)</f>
        <v>#REF!</v>
      </c>
      <c r="B30" s="3" t="e">
        <f>VLOOKUP(#REF!,'[1]Listas Desplegables'!$H$3:$J$7,3,FALSE)</f>
        <v>#REF!</v>
      </c>
      <c r="C30" s="8">
        <v>25</v>
      </c>
      <c r="D30" s="12"/>
      <c r="E30" s="12"/>
      <c r="F30" s="12"/>
      <c r="G30" s="12"/>
      <c r="H30" s="12"/>
      <c r="I30" s="12"/>
      <c r="J30" s="9"/>
      <c r="K30" s="10"/>
      <c r="L30" s="10"/>
      <c r="M30" s="10"/>
      <c r="N30" s="10"/>
      <c r="O30" s="25"/>
    </row>
    <row r="31" spans="1:15" x14ac:dyDescent="0.3">
      <c r="A31" s="3" t="e">
        <f>VLOOKUP(#REF!,'[1]Listas Desplegables'!$H$3:$J$7,2,FALSE)</f>
        <v>#REF!</v>
      </c>
      <c r="B31" s="3" t="e">
        <f>VLOOKUP(#REF!,'[1]Listas Desplegables'!$H$3:$J$7,3,FALSE)</f>
        <v>#REF!</v>
      </c>
      <c r="C31" s="8">
        <v>26</v>
      </c>
      <c r="D31" s="12"/>
      <c r="E31" s="12"/>
      <c r="F31" s="12"/>
      <c r="G31" s="12"/>
      <c r="H31" s="12"/>
      <c r="I31" s="12"/>
      <c r="J31" s="9"/>
      <c r="K31" s="10"/>
      <c r="L31" s="10"/>
      <c r="M31" s="10"/>
      <c r="N31" s="10"/>
      <c r="O31" s="25"/>
    </row>
    <row r="32" spans="1:15" x14ac:dyDescent="0.3">
      <c r="A32" s="3" t="e">
        <f>VLOOKUP(#REF!,'[1]Listas Desplegables'!$H$3:$J$7,2,FALSE)</f>
        <v>#REF!</v>
      </c>
      <c r="B32" s="3" t="e">
        <f>VLOOKUP(#REF!,'[1]Listas Desplegables'!$H$3:$J$7,3,FALSE)</f>
        <v>#REF!</v>
      </c>
      <c r="C32" s="8">
        <v>27</v>
      </c>
      <c r="D32" s="12"/>
      <c r="E32" s="12"/>
      <c r="F32" s="12"/>
      <c r="G32" s="12"/>
      <c r="H32" s="12"/>
      <c r="I32" s="12"/>
      <c r="J32" s="9"/>
      <c r="K32" s="10"/>
      <c r="L32" s="10"/>
      <c r="M32" s="10"/>
      <c r="N32" s="10"/>
      <c r="O32" s="25"/>
    </row>
    <row r="33" spans="1:15" x14ac:dyDescent="0.3">
      <c r="A33" s="3" t="e">
        <f>VLOOKUP(#REF!,'[1]Listas Desplegables'!$H$3:$J$7,2,FALSE)</f>
        <v>#REF!</v>
      </c>
      <c r="B33" s="3" t="e">
        <f>VLOOKUP(#REF!,'[1]Listas Desplegables'!$H$3:$J$7,3,FALSE)</f>
        <v>#REF!</v>
      </c>
      <c r="C33" s="8">
        <v>28</v>
      </c>
      <c r="D33" s="12"/>
      <c r="E33" s="12"/>
      <c r="F33" s="12"/>
      <c r="G33" s="12"/>
      <c r="H33" s="12"/>
      <c r="I33" s="12"/>
      <c r="J33" s="9"/>
      <c r="K33" s="10"/>
      <c r="L33" s="10"/>
      <c r="M33" s="10"/>
      <c r="N33" s="10"/>
      <c r="O33" s="25"/>
    </row>
    <row r="34" spans="1:15" x14ac:dyDescent="0.3">
      <c r="A34" s="3" t="e">
        <f>VLOOKUP(#REF!,'[1]Listas Desplegables'!$H$3:$J$7,2,FALSE)</f>
        <v>#REF!</v>
      </c>
      <c r="B34" s="3" t="e">
        <f>VLOOKUP(#REF!,'[1]Listas Desplegables'!$H$3:$J$7,3,FALSE)</f>
        <v>#REF!</v>
      </c>
      <c r="C34" s="8">
        <v>29</v>
      </c>
      <c r="D34" s="12"/>
      <c r="E34" s="12"/>
      <c r="F34" s="12"/>
      <c r="G34" s="12"/>
      <c r="H34" s="12"/>
      <c r="I34" s="12"/>
      <c r="J34" s="9"/>
      <c r="K34" s="10"/>
      <c r="L34" s="10"/>
      <c r="M34" s="10"/>
      <c r="N34" s="10"/>
      <c r="O34" s="25"/>
    </row>
    <row r="35" spans="1:15" x14ac:dyDescent="0.3">
      <c r="A35" s="3" t="e">
        <f>VLOOKUP(#REF!,'[1]Listas Desplegables'!$H$3:$J$7,2,FALSE)</f>
        <v>#REF!</v>
      </c>
      <c r="B35" s="3" t="e">
        <f>VLOOKUP(#REF!,'[1]Listas Desplegables'!$H$3:$J$7,3,FALSE)</f>
        <v>#REF!</v>
      </c>
      <c r="C35" s="7">
        <v>30</v>
      </c>
      <c r="D35" s="12"/>
      <c r="E35" s="12"/>
      <c r="F35" s="12"/>
      <c r="G35" s="12"/>
      <c r="H35" s="12"/>
      <c r="I35" s="12"/>
      <c r="J35" s="9"/>
      <c r="K35" s="10"/>
      <c r="L35" s="10"/>
      <c r="M35" s="10"/>
      <c r="N35" s="10"/>
      <c r="O35" s="25"/>
    </row>
    <row r="36" spans="1:15" x14ac:dyDescent="0.3">
      <c r="A36" s="3" t="e">
        <f>VLOOKUP(#REF!,'[1]Listas Desplegables'!$H$3:$J$7,2,FALSE)</f>
        <v>#REF!</v>
      </c>
      <c r="B36" s="3" t="e">
        <f>VLOOKUP(#REF!,'[1]Listas Desplegables'!$H$3:$J$7,3,FALSE)</f>
        <v>#REF!</v>
      </c>
      <c r="C36" s="8">
        <v>31</v>
      </c>
      <c r="D36" s="12"/>
      <c r="E36" s="12"/>
      <c r="F36" s="12"/>
      <c r="G36" s="12"/>
      <c r="H36" s="12"/>
      <c r="I36" s="12"/>
      <c r="J36" s="9"/>
      <c r="K36" s="10"/>
      <c r="L36" s="10"/>
      <c r="M36" s="10"/>
      <c r="N36" s="10"/>
      <c r="O36" s="25"/>
    </row>
    <row r="37" spans="1:15" x14ac:dyDescent="0.3">
      <c r="A37" s="3" t="e">
        <f>VLOOKUP(#REF!,'[1]Listas Desplegables'!$H$3:$J$7,2,FALSE)</f>
        <v>#REF!</v>
      </c>
      <c r="B37" s="3" t="e">
        <f>VLOOKUP(#REF!,'[1]Listas Desplegables'!$H$3:$J$7,3,FALSE)</f>
        <v>#REF!</v>
      </c>
      <c r="C37" s="8">
        <v>32</v>
      </c>
      <c r="D37" s="12"/>
      <c r="E37" s="12"/>
      <c r="F37" s="12"/>
      <c r="G37" s="12"/>
      <c r="H37" s="12"/>
      <c r="I37" s="12"/>
      <c r="J37" s="9"/>
      <c r="K37" s="10"/>
      <c r="L37" s="10"/>
      <c r="M37" s="10"/>
      <c r="N37" s="10"/>
      <c r="O37" s="25"/>
    </row>
    <row r="38" spans="1:15" x14ac:dyDescent="0.3">
      <c r="A38" s="3" t="e">
        <f>VLOOKUP(#REF!,'[1]Listas Desplegables'!$H$3:$J$7,2,FALSE)</f>
        <v>#REF!</v>
      </c>
      <c r="B38" s="3" t="e">
        <f>VLOOKUP(#REF!,'[1]Listas Desplegables'!$H$3:$J$7,3,FALSE)</f>
        <v>#REF!</v>
      </c>
      <c r="C38" s="8">
        <v>33</v>
      </c>
      <c r="D38" s="12"/>
      <c r="E38" s="12"/>
      <c r="F38" s="12"/>
      <c r="G38" s="12"/>
      <c r="H38" s="12"/>
      <c r="I38" s="12"/>
      <c r="J38" s="9"/>
      <c r="K38" s="10"/>
      <c r="L38" s="10"/>
      <c r="M38" s="10"/>
      <c r="N38" s="10"/>
      <c r="O38" s="25"/>
    </row>
    <row r="39" spans="1:15" x14ac:dyDescent="0.3">
      <c r="A39" s="3" t="e">
        <f>VLOOKUP(#REF!,'[1]Listas Desplegables'!$H$3:$J$7,2,FALSE)</f>
        <v>#REF!</v>
      </c>
      <c r="B39" s="3" t="e">
        <f>VLOOKUP(#REF!,'[1]Listas Desplegables'!$H$3:$J$7,3,FALSE)</f>
        <v>#REF!</v>
      </c>
      <c r="C39" s="8">
        <v>34</v>
      </c>
      <c r="D39" s="12"/>
      <c r="E39" s="12"/>
      <c r="F39" s="12"/>
      <c r="G39" s="12"/>
      <c r="H39" s="12"/>
      <c r="I39" s="12"/>
      <c r="J39" s="9"/>
      <c r="K39" s="10"/>
      <c r="L39" s="10"/>
      <c r="M39" s="10"/>
      <c r="N39" s="10"/>
      <c r="O39" s="25"/>
    </row>
    <row r="40" spans="1:15" x14ac:dyDescent="0.3">
      <c r="A40" s="3" t="e">
        <f>VLOOKUP(#REF!,'[1]Listas Desplegables'!$H$3:$J$7,2,FALSE)</f>
        <v>#REF!</v>
      </c>
      <c r="B40" s="3" t="e">
        <f>VLOOKUP(#REF!,'[1]Listas Desplegables'!$H$3:$J$7,3,FALSE)</f>
        <v>#REF!</v>
      </c>
      <c r="C40" s="8">
        <v>35</v>
      </c>
      <c r="D40" s="12"/>
      <c r="E40" s="12"/>
      <c r="F40" s="12"/>
      <c r="G40" s="12"/>
      <c r="H40" s="12"/>
      <c r="I40" s="12"/>
      <c r="J40" s="9"/>
      <c r="K40" s="10"/>
      <c r="L40" s="10"/>
      <c r="M40" s="10"/>
      <c r="N40" s="10"/>
      <c r="O40" s="25"/>
    </row>
    <row r="41" spans="1:15" x14ac:dyDescent="0.3">
      <c r="A41" s="3" t="e">
        <f>VLOOKUP(#REF!,'[1]Listas Desplegables'!$H$3:$J$7,2,FALSE)</f>
        <v>#REF!</v>
      </c>
      <c r="B41" s="3" t="e">
        <f>VLOOKUP(#REF!,'[1]Listas Desplegables'!$H$3:$J$7,3,FALSE)</f>
        <v>#REF!</v>
      </c>
      <c r="C41" s="8">
        <v>36</v>
      </c>
      <c r="D41" s="12"/>
      <c r="E41" s="12"/>
      <c r="F41" s="12"/>
      <c r="G41" s="12"/>
      <c r="H41" s="12"/>
      <c r="I41" s="12"/>
      <c r="J41" s="9"/>
      <c r="K41" s="10"/>
      <c r="L41" s="10"/>
      <c r="M41" s="10"/>
      <c r="N41" s="10"/>
      <c r="O41" s="25"/>
    </row>
    <row r="42" spans="1:15" x14ac:dyDescent="0.3">
      <c r="A42" s="3" t="e">
        <f>VLOOKUP(#REF!,'[1]Listas Desplegables'!$H$3:$J$7,2,FALSE)</f>
        <v>#REF!</v>
      </c>
      <c r="B42" s="3" t="e">
        <f>VLOOKUP(#REF!,'[1]Listas Desplegables'!$H$3:$J$7,3,FALSE)</f>
        <v>#REF!</v>
      </c>
      <c r="C42" s="8">
        <v>37</v>
      </c>
      <c r="D42" s="12"/>
      <c r="E42" s="12"/>
      <c r="F42" s="12"/>
      <c r="G42" s="12"/>
      <c r="H42" s="12"/>
      <c r="I42" s="12"/>
      <c r="J42" s="9"/>
      <c r="K42" s="10"/>
      <c r="L42" s="10"/>
      <c r="M42" s="10"/>
      <c r="N42" s="10"/>
      <c r="O42" s="25"/>
    </row>
    <row r="43" spans="1:15" x14ac:dyDescent="0.3">
      <c r="A43" s="3" t="e">
        <f>VLOOKUP(#REF!,'[1]Listas Desplegables'!$H$3:$J$7,2,FALSE)</f>
        <v>#REF!</v>
      </c>
      <c r="B43" s="3" t="e">
        <f>VLOOKUP(#REF!,'[1]Listas Desplegables'!$H$3:$J$7,3,FALSE)</f>
        <v>#REF!</v>
      </c>
      <c r="C43" s="8">
        <v>38</v>
      </c>
      <c r="D43" s="12"/>
      <c r="E43" s="12"/>
      <c r="F43" s="12"/>
      <c r="G43" s="12"/>
      <c r="H43" s="12"/>
      <c r="I43" s="12"/>
      <c r="J43" s="9"/>
      <c r="K43" s="10"/>
      <c r="L43" s="10"/>
      <c r="M43" s="10"/>
      <c r="N43" s="10"/>
      <c r="O43" s="25"/>
    </row>
    <row r="44" spans="1:15" x14ac:dyDescent="0.3">
      <c r="A44" s="3" t="e">
        <f>VLOOKUP(#REF!,'[1]Listas Desplegables'!$H$3:$J$7,2,FALSE)</f>
        <v>#REF!</v>
      </c>
      <c r="B44" s="3" t="e">
        <f>VLOOKUP(#REF!,'[1]Listas Desplegables'!$H$3:$J$7,3,FALSE)</f>
        <v>#REF!</v>
      </c>
      <c r="C44" s="7">
        <v>39</v>
      </c>
      <c r="D44" s="12"/>
      <c r="E44" s="12"/>
      <c r="F44" s="12"/>
      <c r="G44" s="12"/>
      <c r="H44" s="12"/>
      <c r="I44" s="12"/>
      <c r="J44" s="9"/>
      <c r="K44" s="10"/>
      <c r="L44" s="10"/>
      <c r="M44" s="10"/>
      <c r="N44" s="10"/>
      <c r="O44" s="25"/>
    </row>
    <row r="45" spans="1:15" x14ac:dyDescent="0.3">
      <c r="A45" s="3" t="e">
        <f>VLOOKUP(#REF!,'[1]Listas Desplegables'!$H$3:$J$7,2,FALSE)</f>
        <v>#REF!</v>
      </c>
      <c r="B45" s="3" t="e">
        <f>VLOOKUP(#REF!,'[1]Listas Desplegables'!$H$3:$J$7,3,FALSE)</f>
        <v>#REF!</v>
      </c>
      <c r="C45" s="11">
        <v>40</v>
      </c>
      <c r="D45" s="12"/>
      <c r="E45" s="12"/>
      <c r="F45" s="12"/>
      <c r="G45" s="12"/>
      <c r="H45" s="12"/>
      <c r="I45" s="12"/>
      <c r="J45" s="9"/>
      <c r="K45" s="10"/>
      <c r="L45" s="10"/>
      <c r="M45" s="10"/>
      <c r="N45" s="10"/>
      <c r="O45" s="25"/>
    </row>
    <row r="46" spans="1:15" x14ac:dyDescent="0.3">
      <c r="A46" s="3" t="e">
        <f>VLOOKUP(#REF!,'[1]Listas Desplegables'!$H$3:$J$7,2,FALSE)</f>
        <v>#REF!</v>
      </c>
      <c r="B46" s="3" t="e">
        <f>VLOOKUP(#REF!,'[1]Listas Desplegables'!$H$3:$J$7,3,FALSE)</f>
        <v>#REF!</v>
      </c>
      <c r="C46" s="7">
        <v>41</v>
      </c>
      <c r="D46" s="12"/>
      <c r="E46" s="12"/>
      <c r="F46" s="12"/>
      <c r="G46" s="12"/>
      <c r="H46" s="12"/>
      <c r="I46" s="12"/>
      <c r="J46" s="9"/>
      <c r="K46" s="10"/>
      <c r="L46" s="10"/>
      <c r="M46" s="10"/>
      <c r="N46" s="10"/>
      <c r="O46" s="25"/>
    </row>
    <row r="47" spans="1:15" x14ac:dyDescent="0.3">
      <c r="A47" s="3" t="e">
        <f>VLOOKUP(#REF!,'[1]Listas Desplegables'!$H$3:$J$7,2,FALSE)</f>
        <v>#REF!</v>
      </c>
      <c r="B47" s="3" t="e">
        <f>VLOOKUP(#REF!,'[1]Listas Desplegables'!$H$3:$J$7,3,FALSE)</f>
        <v>#REF!</v>
      </c>
      <c r="C47" s="8">
        <v>42</v>
      </c>
      <c r="D47" s="12"/>
      <c r="E47" s="12"/>
      <c r="F47" s="12"/>
      <c r="G47" s="12"/>
      <c r="H47" s="12"/>
      <c r="I47" s="12"/>
      <c r="J47" s="9"/>
      <c r="K47" s="10"/>
      <c r="L47" s="10"/>
      <c r="M47" s="10"/>
      <c r="N47" s="10"/>
      <c r="O47" s="25"/>
    </row>
    <row r="48" spans="1:15" x14ac:dyDescent="0.3">
      <c r="A48" s="3" t="e">
        <f>VLOOKUP(#REF!,'[1]Listas Desplegables'!$H$3:$J$7,2,FALSE)</f>
        <v>#REF!</v>
      </c>
      <c r="B48" s="3" t="e">
        <f>VLOOKUP(#REF!,'[1]Listas Desplegables'!$H$3:$J$7,3,FALSE)</f>
        <v>#REF!</v>
      </c>
      <c r="C48" s="8">
        <v>43</v>
      </c>
      <c r="D48" s="12"/>
      <c r="E48" s="12"/>
      <c r="F48" s="12"/>
      <c r="G48" s="12"/>
      <c r="H48" s="12"/>
      <c r="I48" s="12"/>
      <c r="J48" s="9"/>
      <c r="K48" s="10"/>
      <c r="L48" s="10"/>
      <c r="M48" s="10"/>
      <c r="N48" s="10"/>
      <c r="O48" s="25"/>
    </row>
    <row r="49" spans="1:15" x14ac:dyDescent="0.3">
      <c r="A49" s="3" t="e">
        <f>VLOOKUP(#REF!,'[1]Listas Desplegables'!$H$3:$J$7,2,FALSE)</f>
        <v>#REF!</v>
      </c>
      <c r="B49" s="3" t="e">
        <f>VLOOKUP(#REF!,'[1]Listas Desplegables'!$H$3:$J$7,3,FALSE)</f>
        <v>#REF!</v>
      </c>
      <c r="C49" s="8">
        <v>44</v>
      </c>
      <c r="D49" s="12"/>
      <c r="E49" s="12"/>
      <c r="F49" s="12"/>
      <c r="G49" s="12"/>
      <c r="H49" s="12"/>
      <c r="I49" s="12"/>
      <c r="J49" s="9"/>
      <c r="K49" s="10"/>
      <c r="L49" s="10"/>
      <c r="M49" s="10"/>
      <c r="N49" s="10"/>
      <c r="O49" s="25"/>
    </row>
    <row r="50" spans="1:15" x14ac:dyDescent="0.3">
      <c r="A50" s="3" t="e">
        <f>VLOOKUP(#REF!,'[1]Listas Desplegables'!$H$3:$J$7,2,FALSE)</f>
        <v>#REF!</v>
      </c>
      <c r="B50" s="3" t="e">
        <f>VLOOKUP(#REF!,'[1]Listas Desplegables'!$H$3:$J$7,3,FALSE)</f>
        <v>#REF!</v>
      </c>
      <c r="C50" s="8">
        <v>45</v>
      </c>
      <c r="D50" s="12"/>
      <c r="E50" s="12"/>
      <c r="F50" s="12"/>
      <c r="G50" s="12"/>
      <c r="H50" s="12"/>
      <c r="I50" s="12"/>
      <c r="J50" s="9"/>
      <c r="K50" s="10"/>
      <c r="L50" s="10"/>
      <c r="M50" s="10"/>
      <c r="N50" s="10"/>
      <c r="O50" s="25"/>
    </row>
    <row r="51" spans="1:15" x14ac:dyDescent="0.3">
      <c r="A51" s="3" t="e">
        <f>VLOOKUP(#REF!,'[1]Listas Desplegables'!$H$3:$J$7,2,FALSE)</f>
        <v>#REF!</v>
      </c>
      <c r="B51" s="3" t="e">
        <f>VLOOKUP(#REF!,'[1]Listas Desplegables'!$H$3:$J$7,3,FALSE)</f>
        <v>#REF!</v>
      </c>
      <c r="C51" s="8">
        <v>46</v>
      </c>
      <c r="D51" s="12"/>
      <c r="E51" s="12"/>
      <c r="F51" s="12"/>
      <c r="G51" s="12"/>
      <c r="H51" s="12"/>
      <c r="I51" s="12"/>
      <c r="J51" s="9"/>
      <c r="K51" s="10"/>
      <c r="L51" s="10"/>
      <c r="M51" s="10"/>
      <c r="N51" s="10"/>
      <c r="O51" s="25"/>
    </row>
    <row r="52" spans="1:15" x14ac:dyDescent="0.3">
      <c r="A52" s="3" t="e">
        <f>VLOOKUP(#REF!,'[1]Listas Desplegables'!$H$3:$J$7,2,FALSE)</f>
        <v>#REF!</v>
      </c>
      <c r="B52" s="3" t="e">
        <f>VLOOKUP(#REF!,'[1]Listas Desplegables'!$H$3:$J$7,3,FALSE)</f>
        <v>#REF!</v>
      </c>
      <c r="C52" s="8">
        <v>47</v>
      </c>
      <c r="D52" s="12"/>
      <c r="E52" s="12"/>
      <c r="F52" s="12"/>
      <c r="G52" s="12"/>
      <c r="H52" s="12"/>
      <c r="I52" s="12"/>
      <c r="J52" s="9"/>
      <c r="K52" s="10"/>
      <c r="L52" s="10"/>
      <c r="M52" s="10"/>
      <c r="N52" s="10"/>
      <c r="O52" s="25"/>
    </row>
    <row r="53" spans="1:15" x14ac:dyDescent="0.3">
      <c r="A53" s="3" t="e">
        <f>VLOOKUP(#REF!,'[1]Listas Desplegables'!$H$3:$J$7,2,FALSE)</f>
        <v>#REF!</v>
      </c>
      <c r="B53" s="3" t="e">
        <f>VLOOKUP(#REF!,'[1]Listas Desplegables'!$H$3:$J$7,3,FALSE)</f>
        <v>#REF!</v>
      </c>
      <c r="C53" s="8">
        <v>48</v>
      </c>
      <c r="D53" s="12"/>
      <c r="E53" s="12"/>
      <c r="F53" s="12"/>
      <c r="G53" s="12"/>
      <c r="H53" s="12"/>
      <c r="I53" s="12"/>
      <c r="J53" s="9"/>
      <c r="K53" s="10"/>
      <c r="L53" s="10"/>
      <c r="M53" s="10"/>
      <c r="N53" s="10"/>
      <c r="O53" s="25"/>
    </row>
    <row r="54" spans="1:15" x14ac:dyDescent="0.3">
      <c r="A54" s="3" t="e">
        <f>VLOOKUP(#REF!,'[1]Listas Desplegables'!$H$3:$J$7,2,FALSE)</f>
        <v>#REF!</v>
      </c>
      <c r="B54" s="3" t="e">
        <f>VLOOKUP(#REF!,'[1]Listas Desplegables'!$H$3:$J$7,3,FALSE)</f>
        <v>#REF!</v>
      </c>
      <c r="C54" s="8">
        <v>49</v>
      </c>
      <c r="D54" s="12"/>
      <c r="E54" s="12"/>
      <c r="F54" s="12"/>
      <c r="G54" s="12"/>
      <c r="H54" s="12"/>
      <c r="I54" s="12"/>
      <c r="J54" s="9"/>
      <c r="K54" s="10"/>
      <c r="L54" s="10"/>
      <c r="M54" s="10"/>
      <c r="N54" s="10"/>
      <c r="O54" s="25"/>
    </row>
    <row r="55" spans="1:15" x14ac:dyDescent="0.3">
      <c r="A55" s="3" t="e">
        <f>VLOOKUP(#REF!,'[1]Listas Desplegables'!$H$3:$J$7,2,FALSE)</f>
        <v>#REF!</v>
      </c>
      <c r="B55" s="3" t="e">
        <f>VLOOKUP(#REF!,'[1]Listas Desplegables'!$H$3:$J$7,3,FALSE)</f>
        <v>#REF!</v>
      </c>
      <c r="C55" s="7">
        <v>50</v>
      </c>
      <c r="D55" s="12"/>
      <c r="E55" s="12"/>
      <c r="F55" s="12"/>
      <c r="G55" s="12"/>
      <c r="H55" s="12"/>
      <c r="I55" s="12"/>
      <c r="J55" s="9"/>
      <c r="K55" s="10"/>
      <c r="L55" s="10"/>
      <c r="M55" s="10"/>
      <c r="N55" s="10"/>
      <c r="O55" s="25"/>
    </row>
    <row r="56" spans="1:15" x14ac:dyDescent="0.3">
      <c r="A56" s="3" t="e">
        <f>VLOOKUP(#REF!,'[1]Listas Desplegables'!$H$3:$J$7,2,FALSE)</f>
        <v>#REF!</v>
      </c>
      <c r="B56" s="3" t="e">
        <f>VLOOKUP(#REF!,'[1]Listas Desplegables'!$H$3:$J$7,3,FALSE)</f>
        <v>#REF!</v>
      </c>
      <c r="C56" s="8">
        <v>51</v>
      </c>
      <c r="D56" s="12"/>
      <c r="E56" s="12"/>
      <c r="F56" s="12"/>
      <c r="G56" s="12"/>
      <c r="H56" s="12"/>
      <c r="I56" s="12"/>
      <c r="J56" s="9"/>
      <c r="K56" s="10"/>
      <c r="L56" s="10"/>
      <c r="M56" s="10"/>
      <c r="N56" s="10"/>
      <c r="O56" s="25"/>
    </row>
    <row r="57" spans="1:15" ht="15" thickBot="1" x14ac:dyDescent="0.35">
      <c r="A57" s="3" t="e">
        <f>VLOOKUP(#REF!,'[1]Listas Desplegables'!$H$3:$J$7,2,FALSE)</f>
        <v>#REF!</v>
      </c>
      <c r="B57" s="3" t="e">
        <f>VLOOKUP(#REF!,'[1]Listas Desplegables'!$H$3:$J$7,3,FALSE)</f>
        <v>#REF!</v>
      </c>
      <c r="C57" s="13" t="s">
        <v>4</v>
      </c>
      <c r="D57" s="14"/>
      <c r="E57" s="14"/>
      <c r="F57" s="14"/>
      <c r="G57" s="14"/>
      <c r="H57" s="14"/>
      <c r="I57" s="14"/>
      <c r="J57" s="14"/>
      <c r="K57" s="15"/>
      <c r="L57" s="15"/>
      <c r="M57" s="15"/>
      <c r="N57" s="15"/>
      <c r="O57" s="26"/>
    </row>
  </sheetData>
  <mergeCells count="14">
    <mergeCell ref="C3:O3"/>
    <mergeCell ref="C4:C5"/>
    <mergeCell ref="D4:D5"/>
    <mergeCell ref="E4:E5"/>
    <mergeCell ref="F4:F5"/>
    <mergeCell ref="J4:J5"/>
    <mergeCell ref="K4:K5"/>
    <mergeCell ref="L4:L5"/>
    <mergeCell ref="O4:O5"/>
    <mergeCell ref="I4:I5"/>
    <mergeCell ref="G4:G5"/>
    <mergeCell ref="H4:H5"/>
    <mergeCell ref="M4:M5"/>
    <mergeCell ref="N4:N5"/>
  </mergeCells>
  <dataValidations count="3">
    <dataValidation type="date" operator="greaterThan" allowBlank="1" showInputMessage="1" showErrorMessage="1" sqref="H6:H1048576" xr:uid="{00000000-0002-0000-0800-000000000000}">
      <formula1>36526</formula1>
    </dataValidation>
    <dataValidation type="decimal" allowBlank="1" showInputMessage="1" showErrorMessage="1" sqref="J6:K1048576" xr:uid="{00000000-0002-0000-0800-000001000000}">
      <formula1>-1000000000</formula1>
      <formula2>10000000000000</formula2>
    </dataValidation>
    <dataValidation type="decimal" allowBlank="1" showInputMessage="1" showErrorMessage="1" sqref="F6:F1048576" xr:uid="{00000000-0002-0000-0800-000002000000}">
      <formula1>-10000000</formula1>
      <formula2>1000000000</formula2>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800-000003000000}">
          <x14:formula1>
            <xm:f>'C:\Users\aacosta\Downloads\[Circular_002_Anexo.xlsx]Listas Desplegables'!#REF!</xm:f>
          </x14:formula1>
          <xm:sqref>I58:I1048576</xm:sqref>
        </x14:dataValidation>
        <x14:dataValidation type="list" allowBlank="1" showInputMessage="1" showErrorMessage="1" xr:uid="{00000000-0002-0000-0800-000004000000}">
          <x14:formula1>
            <xm:f>'Listas Desplegables'!$B$86:$B$87</xm:f>
          </x14:formula1>
          <xm:sqref>G6:G1048576</xm:sqref>
        </x14:dataValidation>
        <x14:dataValidation type="list" allowBlank="1" showInputMessage="1" showErrorMessage="1" xr:uid="{8B371786-2195-4D19-A6A4-AE09A43604F4}">
          <x14:formula1>
            <xm:f>'Listas Desplegables'!$B$90:$B$93</xm:f>
          </x14:formula1>
          <xm:sqref>N6:N57</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2:S93"/>
  <sheetViews>
    <sheetView showGridLines="0" topLeftCell="A37" zoomScale="85" zoomScaleNormal="85" workbookViewId="0">
      <selection activeCell="B5" sqref="B5"/>
    </sheetView>
  </sheetViews>
  <sheetFormatPr baseColWidth="10" defaultColWidth="11.5546875" defaultRowHeight="14.4" x14ac:dyDescent="0.3"/>
  <cols>
    <col min="1" max="1" width="3.6640625" customWidth="1"/>
    <col min="2" max="2" width="49.109375" bestFit="1" customWidth="1"/>
    <col min="3" max="3" width="4.88671875" customWidth="1"/>
    <col min="5" max="5" width="20.33203125" style="3" bestFit="1" customWidth="1"/>
    <col min="6" max="7" width="11.44140625" style="3"/>
    <col min="8" max="8" width="32.5546875" style="3" bestFit="1" customWidth="1"/>
    <col min="9" max="9" width="12.44140625" style="3" bestFit="1" customWidth="1"/>
    <col min="10" max="10" width="22.109375" style="3" bestFit="1" customWidth="1"/>
    <col min="11" max="19" width="11.44140625" style="3"/>
  </cols>
  <sheetData>
    <row r="2" spans="2:10" x14ac:dyDescent="0.3">
      <c r="B2" s="51" t="s">
        <v>116</v>
      </c>
    </row>
    <row r="3" spans="2:10" x14ac:dyDescent="0.3">
      <c r="B3" s="52" t="s">
        <v>107</v>
      </c>
      <c r="E3" s="46" t="s">
        <v>86</v>
      </c>
      <c r="F3" s="3">
        <v>0</v>
      </c>
      <c r="G3" s="3">
        <v>100</v>
      </c>
    </row>
    <row r="4" spans="2:10" x14ac:dyDescent="0.3">
      <c r="B4" s="50" t="s">
        <v>104</v>
      </c>
      <c r="E4" s="3" t="s">
        <v>87</v>
      </c>
      <c r="F4" s="3">
        <v>0</v>
      </c>
      <c r="G4" s="3">
        <v>1000</v>
      </c>
    </row>
    <row r="5" spans="2:10" x14ac:dyDescent="0.3">
      <c r="B5" s="49" t="s">
        <v>105</v>
      </c>
      <c r="E5" s="3" t="s">
        <v>89</v>
      </c>
      <c r="F5" s="3">
        <v>0</v>
      </c>
      <c r="G5" s="3">
        <v>1000</v>
      </c>
    </row>
    <row r="6" spans="2:10" s="3" customFormat="1" x14ac:dyDescent="0.3">
      <c r="B6" s="49" t="s">
        <v>106</v>
      </c>
      <c r="C6"/>
      <c r="D6"/>
    </row>
    <row r="7" spans="2:10" s="3" customFormat="1" x14ac:dyDescent="0.3">
      <c r="B7" s="53" t="s">
        <v>117</v>
      </c>
      <c r="C7"/>
      <c r="D7"/>
      <c r="E7" s="3" t="s">
        <v>90</v>
      </c>
    </row>
    <row r="8" spans="2:10" s="3" customFormat="1" x14ac:dyDescent="0.3">
      <c r="B8" s="48" t="s">
        <v>108</v>
      </c>
      <c r="C8"/>
      <c r="D8"/>
      <c r="E8" s="3" t="s">
        <v>91</v>
      </c>
      <c r="F8" s="3" t="s">
        <v>92</v>
      </c>
      <c r="G8" s="3" t="s">
        <v>93</v>
      </c>
      <c r="H8" s="3" t="s">
        <v>94</v>
      </c>
      <c r="I8" s="3" t="s">
        <v>95</v>
      </c>
      <c r="J8" s="3" t="s">
        <v>96</v>
      </c>
    </row>
    <row r="9" spans="2:10" s="3" customFormat="1" x14ac:dyDescent="0.3">
      <c r="B9" s="48" t="s">
        <v>109</v>
      </c>
      <c r="C9"/>
      <c r="D9"/>
      <c r="E9" s="3" t="s">
        <v>97</v>
      </c>
      <c r="F9" s="3" t="s">
        <v>98</v>
      </c>
      <c r="G9" s="3" t="s">
        <v>99</v>
      </c>
      <c r="H9" s="3" t="s">
        <v>100</v>
      </c>
      <c r="I9" s="3" t="s">
        <v>101</v>
      </c>
      <c r="J9" s="3" t="s">
        <v>102</v>
      </c>
    </row>
    <row r="10" spans="2:10" s="3" customFormat="1" x14ac:dyDescent="0.3">
      <c r="B10" s="53" t="s">
        <v>22</v>
      </c>
      <c r="C10"/>
      <c r="D10"/>
      <c r="H10" s="3" t="s">
        <v>103</v>
      </c>
    </row>
    <row r="11" spans="2:10" s="3" customFormat="1" x14ac:dyDescent="0.3">
      <c r="B11" s="48" t="s">
        <v>113</v>
      </c>
      <c r="C11"/>
      <c r="D11"/>
    </row>
    <row r="12" spans="2:10" s="3" customFormat="1" x14ac:dyDescent="0.3">
      <c r="B12" s="48" t="s">
        <v>88</v>
      </c>
      <c r="C12"/>
      <c r="D12"/>
    </row>
    <row r="13" spans="2:10" s="3" customFormat="1" x14ac:dyDescent="0.3">
      <c r="C13"/>
      <c r="D13"/>
    </row>
    <row r="14" spans="2:10" x14ac:dyDescent="0.3">
      <c r="B14" s="51" t="s">
        <v>118</v>
      </c>
    </row>
    <row r="15" spans="2:10" x14ac:dyDescent="0.3">
      <c r="B15" s="52" t="s">
        <v>22</v>
      </c>
    </row>
    <row r="16" spans="2:10" x14ac:dyDescent="0.3">
      <c r="B16" s="48" t="s">
        <v>113</v>
      </c>
    </row>
    <row r="17" spans="2:2" x14ac:dyDescent="0.3">
      <c r="B17" s="48" t="s">
        <v>88</v>
      </c>
    </row>
    <row r="18" spans="2:2" x14ac:dyDescent="0.3">
      <c r="B18" s="52" t="s">
        <v>119</v>
      </c>
    </row>
    <row r="19" spans="2:2" x14ac:dyDescent="0.3">
      <c r="B19" s="48" t="s">
        <v>104</v>
      </c>
    </row>
    <row r="20" spans="2:2" x14ac:dyDescent="0.3">
      <c r="B20" s="48" t="s">
        <v>105</v>
      </c>
    </row>
    <row r="21" spans="2:2" x14ac:dyDescent="0.3">
      <c r="B21" s="48" t="s">
        <v>106</v>
      </c>
    </row>
    <row r="23" spans="2:2" x14ac:dyDescent="0.3">
      <c r="B23" s="51" t="s">
        <v>120</v>
      </c>
    </row>
    <row r="24" spans="2:2" x14ac:dyDescent="0.3">
      <c r="B24" s="52" t="s">
        <v>22</v>
      </c>
    </row>
    <row r="25" spans="2:2" x14ac:dyDescent="0.3">
      <c r="B25" s="48" t="s">
        <v>113</v>
      </c>
    </row>
    <row r="26" spans="2:2" x14ac:dyDescent="0.3">
      <c r="B26" s="48" t="s">
        <v>88</v>
      </c>
    </row>
    <row r="27" spans="2:2" x14ac:dyDescent="0.3">
      <c r="B27" s="52" t="s">
        <v>119</v>
      </c>
    </row>
    <row r="28" spans="2:2" x14ac:dyDescent="0.3">
      <c r="B28" s="48" t="s">
        <v>104</v>
      </c>
    </row>
    <row r="29" spans="2:2" x14ac:dyDescent="0.3">
      <c r="B29" s="48" t="s">
        <v>105</v>
      </c>
    </row>
    <row r="30" spans="2:2" x14ac:dyDescent="0.3">
      <c r="B30" s="48" t="s">
        <v>106</v>
      </c>
    </row>
    <row r="32" spans="2:2" x14ac:dyDescent="0.3">
      <c r="B32" s="51" t="s">
        <v>121</v>
      </c>
    </row>
    <row r="33" spans="2:2" x14ac:dyDescent="0.3">
      <c r="B33" s="52" t="s">
        <v>55</v>
      </c>
    </row>
    <row r="34" spans="2:2" x14ac:dyDescent="0.3">
      <c r="B34" s="48" t="s">
        <v>126</v>
      </c>
    </row>
    <row r="35" spans="2:2" x14ac:dyDescent="0.3">
      <c r="B35" s="48" t="s">
        <v>125</v>
      </c>
    </row>
    <row r="36" spans="2:2" x14ac:dyDescent="0.3">
      <c r="B36" s="48" t="s">
        <v>127</v>
      </c>
    </row>
    <row r="37" spans="2:2" x14ac:dyDescent="0.3">
      <c r="B37" s="48" t="s">
        <v>129</v>
      </c>
    </row>
    <row r="38" spans="2:2" x14ac:dyDescent="0.3">
      <c r="B38" s="48" t="s">
        <v>128</v>
      </c>
    </row>
    <row r="39" spans="2:2" x14ac:dyDescent="0.3">
      <c r="B39" s="48" t="s">
        <v>130</v>
      </c>
    </row>
    <row r="40" spans="2:2" x14ac:dyDescent="0.3">
      <c r="B40" s="48" t="s">
        <v>131</v>
      </c>
    </row>
    <row r="41" spans="2:2" x14ac:dyDescent="0.3">
      <c r="B41" s="48" t="s">
        <v>132</v>
      </c>
    </row>
    <row r="42" spans="2:2" x14ac:dyDescent="0.3">
      <c r="B42" s="48" t="s">
        <v>133</v>
      </c>
    </row>
    <row r="43" spans="2:2" x14ac:dyDescent="0.3">
      <c r="B43" s="52" t="s">
        <v>56</v>
      </c>
    </row>
    <row r="44" spans="2:2" x14ac:dyDescent="0.3">
      <c r="B44" s="48" t="s">
        <v>122</v>
      </c>
    </row>
    <row r="45" spans="2:2" x14ac:dyDescent="0.3">
      <c r="B45" s="48" t="s">
        <v>123</v>
      </c>
    </row>
    <row r="46" spans="2:2" x14ac:dyDescent="0.3">
      <c r="B46" s="48" t="s">
        <v>124</v>
      </c>
    </row>
    <row r="47" spans="2:2" x14ac:dyDescent="0.3">
      <c r="B47" s="52" t="s">
        <v>22</v>
      </c>
    </row>
    <row r="48" spans="2:2" x14ac:dyDescent="0.3">
      <c r="B48" s="48" t="s">
        <v>113</v>
      </c>
    </row>
    <row r="49" spans="2:2" x14ac:dyDescent="0.3">
      <c r="B49" s="48" t="s">
        <v>88</v>
      </c>
    </row>
    <row r="51" spans="2:2" x14ac:dyDescent="0.3">
      <c r="B51" s="51" t="s">
        <v>134</v>
      </c>
    </row>
    <row r="52" spans="2:2" x14ac:dyDescent="0.3">
      <c r="B52" s="52" t="s">
        <v>56</v>
      </c>
    </row>
    <row r="53" spans="2:2" x14ac:dyDescent="0.3">
      <c r="B53" s="48" t="s">
        <v>0</v>
      </c>
    </row>
    <row r="54" spans="2:2" x14ac:dyDescent="0.3">
      <c r="B54" s="48" t="s">
        <v>135</v>
      </c>
    </row>
    <row r="55" spans="2:2" x14ac:dyDescent="0.3">
      <c r="B55" s="48" t="s">
        <v>209</v>
      </c>
    </row>
    <row r="56" spans="2:2" x14ac:dyDescent="0.3">
      <c r="B56" s="48" t="s">
        <v>210</v>
      </c>
    </row>
    <row r="57" spans="2:2" x14ac:dyDescent="0.3">
      <c r="B57" s="52" t="s">
        <v>22</v>
      </c>
    </row>
    <row r="58" spans="2:2" x14ac:dyDescent="0.3">
      <c r="B58" s="48" t="s">
        <v>113</v>
      </c>
    </row>
    <row r="59" spans="2:2" x14ac:dyDescent="0.3">
      <c r="B59" s="48" t="s">
        <v>88</v>
      </c>
    </row>
    <row r="61" spans="2:2" x14ac:dyDescent="0.3">
      <c r="B61" s="51" t="s">
        <v>136</v>
      </c>
    </row>
    <row r="62" spans="2:2" x14ac:dyDescent="0.3">
      <c r="B62" s="52" t="s">
        <v>137</v>
      </c>
    </row>
    <row r="63" spans="2:2" x14ac:dyDescent="0.3">
      <c r="B63" s="48" t="s">
        <v>138</v>
      </c>
    </row>
    <row r="64" spans="2:2" x14ac:dyDescent="0.3">
      <c r="B64" s="48" t="s">
        <v>139</v>
      </c>
    </row>
    <row r="65" spans="2:2" x14ac:dyDescent="0.3">
      <c r="B65" s="52" t="s">
        <v>141</v>
      </c>
    </row>
    <row r="66" spans="2:2" x14ac:dyDescent="0.3">
      <c r="B66" s="48" t="s">
        <v>142</v>
      </c>
    </row>
    <row r="67" spans="2:2" x14ac:dyDescent="0.3">
      <c r="B67" s="48" t="s">
        <v>143</v>
      </c>
    </row>
    <row r="68" spans="2:2" x14ac:dyDescent="0.3">
      <c r="B68" s="52" t="s">
        <v>144</v>
      </c>
    </row>
    <row r="69" spans="2:2" x14ac:dyDescent="0.3">
      <c r="B69" s="48" t="s">
        <v>113</v>
      </c>
    </row>
    <row r="70" spans="2:2" x14ac:dyDescent="0.3">
      <c r="B70" s="48" t="s">
        <v>88</v>
      </c>
    </row>
    <row r="71" spans="2:2" x14ac:dyDescent="0.3">
      <c r="B71" s="52" t="s">
        <v>215</v>
      </c>
    </row>
    <row r="72" spans="2:2" x14ac:dyDescent="0.3">
      <c r="B72" s="48" t="s">
        <v>217</v>
      </c>
    </row>
    <row r="73" spans="2:2" x14ac:dyDescent="0.3">
      <c r="B73" s="48" t="s">
        <v>218</v>
      </c>
    </row>
    <row r="75" spans="2:2" x14ac:dyDescent="0.3">
      <c r="B75" s="51" t="s">
        <v>145</v>
      </c>
    </row>
    <row r="76" spans="2:2" x14ac:dyDescent="0.3">
      <c r="B76" s="52" t="s">
        <v>148</v>
      </c>
    </row>
    <row r="77" spans="2:2" x14ac:dyDescent="0.3">
      <c r="B77" s="48" t="s">
        <v>146</v>
      </c>
    </row>
    <row r="78" spans="2:2" x14ac:dyDescent="0.3">
      <c r="B78" s="48" t="s">
        <v>147</v>
      </c>
    </row>
    <row r="79" spans="2:2" x14ac:dyDescent="0.3">
      <c r="B79" s="48" t="s">
        <v>211</v>
      </c>
    </row>
    <row r="80" spans="2:2" x14ac:dyDescent="0.3">
      <c r="B80" s="52" t="s">
        <v>144</v>
      </c>
    </row>
    <row r="81" spans="2:2" x14ac:dyDescent="0.3">
      <c r="B81" s="48" t="s">
        <v>113</v>
      </c>
    </row>
    <row r="82" spans="2:2" x14ac:dyDescent="0.3">
      <c r="B82" s="48" t="s">
        <v>88</v>
      </c>
    </row>
    <row r="84" spans="2:2" x14ac:dyDescent="0.3">
      <c r="B84" s="51" t="s">
        <v>149</v>
      </c>
    </row>
    <row r="85" spans="2:2" x14ac:dyDescent="0.3">
      <c r="B85" s="52" t="s">
        <v>144</v>
      </c>
    </row>
    <row r="86" spans="2:2" x14ac:dyDescent="0.3">
      <c r="B86" s="48" t="s">
        <v>150</v>
      </c>
    </row>
    <row r="87" spans="2:2" x14ac:dyDescent="0.3">
      <c r="B87" s="48" t="s">
        <v>88</v>
      </c>
    </row>
    <row r="89" spans="2:2" x14ac:dyDescent="0.3">
      <c r="B89" s="51" t="s">
        <v>253</v>
      </c>
    </row>
    <row r="90" spans="2:2" x14ac:dyDescent="0.3">
      <c r="B90" s="48" t="s">
        <v>269</v>
      </c>
    </row>
    <row r="91" spans="2:2" x14ac:dyDescent="0.3">
      <c r="B91" s="48" t="s">
        <v>270</v>
      </c>
    </row>
    <row r="92" spans="2:2" x14ac:dyDescent="0.3">
      <c r="B92" s="48" t="s">
        <v>271</v>
      </c>
    </row>
    <row r="93" spans="2:2" x14ac:dyDescent="0.3">
      <c r="B93" s="48" t="s">
        <v>272</v>
      </c>
    </row>
  </sheetData>
  <pageMargins left="0.7" right="0.7" top="0.75" bottom="0.75" header="0.3" footer="0.3"/>
  <pageSetup orientation="portrait" r:id="rId1"/>
</worksheet>
</file>

<file path=docMetadata/LabelInfo.xml><?xml version="1.0" encoding="utf-8"?>
<clbl:labelList xmlns:clbl="http://schemas.microsoft.com/office/2020/mipLabelMetadata">
  <clbl:label id="{536b49af-fd5c-458b-927c-e70b560f45dc}" enabled="1" method="Privileged" siteId="{9afbb4bb-b0bf-40eb-9f12-e3fa076144ba}"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10</vt:i4>
      </vt:variant>
      <vt:variant>
        <vt:lpstr>Rangos con nombre</vt:lpstr>
      </vt:variant>
      <vt:variant>
        <vt:i4>9</vt:i4>
      </vt:variant>
    </vt:vector>
  </HeadingPairs>
  <TitlesOfParts>
    <vt:vector size="19" baseType="lpstr">
      <vt:lpstr>Manual de Uso</vt:lpstr>
      <vt:lpstr>1. Líneas</vt:lpstr>
      <vt:lpstr>2. Tr3</vt:lpstr>
      <vt:lpstr>3. Tr2</vt:lpstr>
      <vt:lpstr>4. Subestaciones</vt:lpstr>
      <vt:lpstr>5. Demanda</vt:lpstr>
      <vt:lpstr>6. Compensacion</vt:lpstr>
      <vt:lpstr>7. Compensacion dinamica</vt:lpstr>
      <vt:lpstr>8. DFACTS</vt:lpstr>
      <vt:lpstr>Listas Desplegables</vt:lpstr>
      <vt:lpstr>Biomasa</vt:lpstr>
      <vt:lpstr>Eólica</vt:lpstr>
      <vt:lpstr>Geotérmica</vt:lpstr>
      <vt:lpstr>Hidráulico</vt:lpstr>
      <vt:lpstr>Recurso</vt:lpstr>
      <vt:lpstr>Solar</vt:lpstr>
      <vt:lpstr>Térmica</vt:lpstr>
      <vt:lpstr>'Listas Desplegables'!TGenerador</vt:lpstr>
      <vt:lpstr>TProyecto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Carlos Andrés Torres</dc:creator>
  <cp:lastModifiedBy>Pedro Leonardo Martinez Rivera</cp:lastModifiedBy>
  <dcterms:created xsi:type="dcterms:W3CDTF">2021-11-10T19:20:41Z</dcterms:created>
  <dcterms:modified xsi:type="dcterms:W3CDTF">2026-03-20T15:28:58Z</dcterms:modified>
</cp:coreProperties>
</file>