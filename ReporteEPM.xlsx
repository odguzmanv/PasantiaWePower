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4.xml.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4.xml" ContentType="application/xml"/>
  <Override PartName="/customXml/itemProps4.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Relationship Id="rId9"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Manual de Uso" sheetId="1" state="visible" r:id="rId2"/>
    <sheet name="1. Líneas" sheetId="2" state="visible" r:id="rId3"/>
    <sheet name="2. Tr3" sheetId="3" state="visible" r:id="rId4"/>
    <sheet name="3. Tr2" sheetId="4" state="visible" r:id="rId5"/>
    <sheet name="4. Subestaciones" sheetId="5" state="visible" r:id="rId6"/>
    <sheet name="5. Demanda" sheetId="6" state="visible" r:id="rId7"/>
    <sheet name="6. Compensacion" sheetId="7" state="visible" r:id="rId8"/>
    <sheet name="7. Compensacion dinamica" sheetId="8" state="visible" r:id="rId9"/>
    <sheet name="8. DFACTS" sheetId="9" state="visible" r:id="rId10"/>
    <sheet name="9. Formato espacio físico" sheetId="10" state="visible" r:id="rId11"/>
    <sheet name="Listas Desplegables" sheetId="11" state="visible" r:id="rId12"/>
  </sheets>
  <externalReferences>
    <externalReference r:id="rId13"/>
    <externalReference r:id="rId14"/>
  </externalReferences>
  <definedNames>
    <definedName function="false" hidden="false" name="Agua" vbProcedure="false">'listas desplegables'!#ref!</definedName>
    <definedName function="false" hidden="false" name="Biomasa" vbProcedure="false">'Listas Desplegables'!$H$9:$H$10</definedName>
    <definedName function="false" hidden="false" name="Carbón" vbProcedure="false">'listas desplegables'!#ref!</definedName>
    <definedName function="false" hidden="false" name="Crudo_Pesado" vbProcedure="false">'listas desplegables'!#ref!</definedName>
    <definedName function="false" hidden="false" name="Cultivo_Energético" vbProcedure="false">'listas desplegables'!#ref!</definedName>
    <definedName function="false" hidden="false" name="Eólica" vbProcedure="false">'Listas Desplegables'!$F$9:$F$9</definedName>
    <definedName function="false" hidden="false" name="Fuil_Oil" vbProcedure="false">'listas desplegables'!#ref!</definedName>
    <definedName function="false" hidden="false" name="Gas" vbProcedure="false">'listas desplegables'!#ref!</definedName>
    <definedName function="false" hidden="false" name="Geotérmica" vbProcedure="false">'Listas Desplegables'!$I$9:$I$9</definedName>
    <definedName function="false" hidden="false" name="Hidráulico" vbProcedure="false">'Listas Desplegables'!$G$9:$G$9</definedName>
    <definedName function="false" hidden="false" name="Otro" vbProcedure="false">'listas desplegables'!#ref!</definedName>
    <definedName function="false" hidden="false" name="Recurso" vbProcedure="false">'Listas Desplegables'!$B$11:$B$12</definedName>
    <definedName function="false" hidden="false" name="Residuos_Agrícolas_Cultivo" vbProcedure="false">'listas desplegables'!#ref!</definedName>
    <definedName function="false" hidden="false" name="Residuos_Agrícolas_Industriales" vbProcedure="false">'listas desplegables'!#ref!</definedName>
    <definedName function="false" hidden="false" name="Residuos_Pecuarios" vbProcedure="false">'listas desplegables'!#ref!</definedName>
    <definedName function="false" hidden="false" name="Residuos_Solidos_Urbanos" vbProcedure="false">'listas desplegables'!#ref!</definedName>
    <definedName function="false" hidden="false" name="Sol" vbProcedure="false">'listas desplegables'!#ref!</definedName>
    <definedName function="false" hidden="false" name="Solar" vbProcedure="false">'Listas Desplegables'!$E$9:$E$9</definedName>
    <definedName function="false" hidden="false" name="Tecnologia" vbProcedure="false">'listas desplegables'!#ref!</definedName>
    <definedName function="false" hidden="false" name="TGenerador" vbProcedure="false">'[2]Listas Desplegables'!$B$3:$B$7</definedName>
    <definedName function="false" hidden="false" name="TProyecto" vbProcedure="false">'Listas Desplegables'!$B$8:$B$9</definedName>
    <definedName function="false" hidden="false" name="Térmica" vbProcedure="false">'Listas Desplegables'!$J$9:$J$9</definedName>
    <definedName function="false" hidden="false" name="Vapor" vbProcedure="false">'listas desplegables'!#ref!</definedName>
    <definedName function="false" hidden="false" name="Viento" vbProcedure="false">'listas desplegables'!#ref!</definedName>
    <definedName function="false" hidden="false" name="zona" vbProcedure="false">'listas desplegables'!#ref!</definedName>
    <definedName function="false" hidden="false" localSheetId="9" name="Agua" vbProcedure="false">'[1]listas desplegables'!#ref!</definedName>
    <definedName function="false" hidden="false" localSheetId="9" name="Carbón" vbProcedure="false">'[1]listas desplegables'!#ref!</definedName>
    <definedName function="false" hidden="false" localSheetId="9" name="Crudo_Pesado" vbProcedure="false">'[1]listas desplegables'!#ref!</definedName>
    <definedName function="false" hidden="false" localSheetId="9" name="Cultivo_Energético" vbProcedure="false">'[1]listas desplegables'!#ref!</definedName>
    <definedName function="false" hidden="false" localSheetId="9" name="Fuil_Oil" vbProcedure="false">'[1]listas desplegables'!#ref!</definedName>
    <definedName function="false" hidden="false" localSheetId="9" name="Gas" vbProcedure="false">'[1]listas desplegables'!#ref!</definedName>
    <definedName function="false" hidden="false" localSheetId="9" name="Otro" vbProcedure="false">'[1]listas desplegables'!#ref!</definedName>
    <definedName function="false" hidden="false" localSheetId="9" name="Recurso" vbProcedure="false">'[1]Listas Desplegables'!$B$11:$B$12</definedName>
    <definedName function="false" hidden="false" localSheetId="9" name="Residuos_Agrícolas_Cultivo" vbProcedure="false">'[1]listas desplegables'!#ref!</definedName>
    <definedName function="false" hidden="false" localSheetId="9" name="Residuos_Agrícolas_Industriales" vbProcedure="false">'[1]listas desplegables'!#ref!</definedName>
    <definedName function="false" hidden="false" localSheetId="9" name="Residuos_Pecuarios" vbProcedure="false">'[1]listas desplegables'!#ref!</definedName>
    <definedName function="false" hidden="false" localSheetId="9" name="Residuos_Solidos_Urbanos" vbProcedure="false">'[1]listas desplegables'!#ref!</definedName>
    <definedName function="false" hidden="false" localSheetId="9" name="Sol" vbProcedure="false">'[1]listas desplegables'!#ref!</definedName>
    <definedName function="false" hidden="false" localSheetId="9" name="Tecnologia" vbProcedure="false">'[1]listas desplegables'!#ref!</definedName>
    <definedName function="false" hidden="false" localSheetId="9" name="TProyecto" vbProcedure="false">'[1]Listas Desplegables'!$B$8:$B$9</definedName>
    <definedName function="false" hidden="false" localSheetId="9" name="Vapor" vbProcedure="false">'[1]listas desplegables'!#ref!</definedName>
    <definedName function="false" hidden="false" localSheetId="9" name="Viento" vbProcedure="false">'[1]listas desplegables'!#ref!</definedName>
    <definedName function="false" hidden="false" localSheetId="9" name="zona" vbProcedure="false">'[1]listas desplegables'!#ref!</definedName>
    <definedName function="false" hidden="false" localSheetId="10" name="TGenerador" vbProcedure="false">'Listas Desplegables'!$B$4:$B$6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<sst xmlns="http://schemas.openxmlformats.org/spreadsheetml/2006/main" count="10066" uniqueCount="2294">
  <si>
    <t xml:space="preserve">MANUAL DE USO PARA EL REPORTE DE INFORMACIÓN REQUERIDA DE LOS TRANSPORTADORES</t>
  </si>
  <si>
    <t xml:space="preserve">INTRODUCCIÓN</t>
  </si>
  <si>
    <t xml:space="preserve">El presente formato se establece en cumplimiento de lo establecido en el articulo 7 de la Resolución CREG 075 de 2021, para facilitar el reporte uniforme de la información que los transportadores deben entregar para la realización de los estudios de conexión y disponibilidad de espacio físico. 
El uso del presente formato es transitorio, y se requerirá hasta que entre en funcionamiento el sistema de información de la ventanilla única de la UPME, a través del cual se reportará y actualizará la información requerida para estudios de conexión.</t>
  </si>
  <si>
    <t xml:space="preserve">CONTENIDO</t>
  </si>
  <si>
    <t xml:space="preserve">El Formato se encuentra dividido en 9 secciones según el tipo de activo a reportar: 
1. Información de líneas de transmisión y distribución
2. Información de transformadores tridevanados
3. Información de transformadores bidevanados
4. Información de subestaciones
5. Información de demandas
6. Información de compensaciones
7. Información de compensaciones dinámicas
8. Información de dispositivos DFACTS
9. Información de disponibilidad de espacio físico</t>
  </si>
  <si>
    <t xml:space="preserve">MANUAL DE USO</t>
  </si>
  <si>
    <t xml:space="preserve">Dentro de cada sección se solicita que el Transportador compile información característica de cada uno de los tipos de activo. A continuación, se presenta la información y una descripción de lo requerido:</t>
  </si>
  <si>
    <t xml:space="preserve">Líneas de transmisión y distribución</t>
  </si>
  <si>
    <t xml:space="preserve">Nombre</t>
  </si>
  <si>
    <t xml:space="preserve">Nombre de línea de transmisión o distribución.</t>
  </si>
  <si>
    <t xml:space="preserve">Subestación 1</t>
  </si>
  <si>
    <t xml:space="preserve">Subestación o punto de la red a la cual se conecta uno de los extremos de la línea</t>
  </si>
  <si>
    <t xml:space="preserve">Subestación 2</t>
  </si>
  <si>
    <t xml:space="preserve">Subestación o punto de la red a la cual se conecta el otro extremo de la línea</t>
  </si>
  <si>
    <t xml:space="preserve">Nivel de tensión [kV]</t>
  </si>
  <si>
    <t xml:space="preserve">Nivel de tensión nominal en kilovoltios al cual opera la línea</t>
  </si>
  <si>
    <t xml:space="preserve">Longitud [km]</t>
  </si>
  <si>
    <t xml:space="preserve">Longitud en kilometros de la línea</t>
  </si>
  <si>
    <t xml:space="preserve">Capacidad transporte nominal [A]</t>
  </si>
  <si>
    <t xml:space="preserve">Capacidad de transporte de corriente nominal de la línea de transmisión en estado estable en amperios</t>
  </si>
  <si>
    <t xml:space="preserve">Capacidad transporte térmico [A]</t>
  </si>
  <si>
    <t xml:space="preserve">Capacidad nominal de transporte de corriente del conductor de menor capacidad utilizado en la línea de transmisión en amperios</t>
  </si>
  <si>
    <t xml:space="preserve">Capacidad transporte emergencia [A]</t>
  </si>
  <si>
    <t xml:space="preserve">Capacidad de corriente máxima que puede soportar la línea ante condiciones de emergencia en amperios</t>
  </si>
  <si>
    <t xml:space="preserve">Causa límite de capacidad</t>
  </si>
  <si>
    <t xml:space="preserve">Indicar la razón por la cual se limita la capacidad de transporte de la línea. Ej: Topología, capacidad conductor, configuración CTs,etc.</t>
  </si>
  <si>
    <t xml:space="preserve">R1 [Ohm/km]</t>
  </si>
  <si>
    <t xml:space="preserve">Resistencia de secuencia positiva por unidad de longitud en ohmios por kilometro</t>
  </si>
  <si>
    <t xml:space="preserve">X1 [Ohm/km]</t>
  </si>
  <si>
    <t xml:space="preserve">Reactancia de secuencia positiva por unidad de longitud en ohmios por kilometro</t>
  </si>
  <si>
    <t xml:space="preserve">B1 [uS/km]</t>
  </si>
  <si>
    <t xml:space="preserve">Susceptancia de secuancia positiva por unidad de longitud en microsiemens por kilometro</t>
  </si>
  <si>
    <t xml:space="preserve">R0 [Ohm/km]</t>
  </si>
  <si>
    <t xml:space="preserve">Resistencia de secuencia cero por unidad de longitud en ohmios por kilometro</t>
  </si>
  <si>
    <t xml:space="preserve">X0 [Ohm/km]</t>
  </si>
  <si>
    <t xml:space="preserve">Reactancia de secuencia cero por unidad de longitud en ohmios por kilometro</t>
  </si>
  <si>
    <t xml:space="preserve">B0 [uS/km]</t>
  </si>
  <si>
    <t xml:space="preserve">Susceptancia de secuancia cero por unidad de longitud en microsiemens por kilometro</t>
  </si>
  <si>
    <t xml:space="preserve">Sistema</t>
  </si>
  <si>
    <t xml:space="preserve">Sistema al cual pertenece la línea. Se debe escoger en la lista desplegable entre: STN, STR y SDL. </t>
  </si>
  <si>
    <t xml:space="preserve">Tipo</t>
  </si>
  <si>
    <t xml:space="preserve">Tipo de línea. Se debe escoger en la lista desplegable entre: Áerea o Subterranea</t>
  </si>
  <si>
    <t xml:space="preserve">En Operación</t>
  </si>
  <si>
    <t xml:space="preserve">Se debe escoger en la lista desplegable entre: Sí, cuando el activo se encuentre en operación al momento de realizar la entrega de la información, o No, si el activo tiene una fecha de puesta en operación futura</t>
  </si>
  <si>
    <t xml:space="preserve">FPO</t>
  </si>
  <si>
    <t xml:space="preserve">Si el activo no se encuentra en operación, se debe especificar la Fecha de Puesta en Operación planteada en formato dd/mm/aaaa.</t>
  </si>
  <si>
    <t xml:space="preserve">Conductor</t>
  </si>
  <si>
    <t xml:space="preserve">Se debe indicar el calibre y material del conductor predominante en la línea de transmisión o distribución</t>
  </si>
  <si>
    <t xml:space="preserve">Tiempo medio de reparación por evento [h]</t>
  </si>
  <si>
    <t xml:space="preserve">Tiempo de medio en horas que puede durar cada evento de indisponibilidad del activo</t>
  </si>
  <si>
    <t xml:space="preserve">Horas anuales de indisponibilidad [h]</t>
  </si>
  <si>
    <t xml:space="preserve">Tiempo anual de indisponibilidad del activo en horas</t>
  </si>
  <si>
    <t xml:space="preserve">Eventos anuales de indisponibilidad</t>
  </si>
  <si>
    <t xml:space="preserve">Número de eventos de indisponibilidad del activo</t>
  </si>
  <si>
    <t xml:space="preserve">Observaciones transportador</t>
  </si>
  <si>
    <t xml:space="preserve">Sección de libre diligenciamiento, donde el transportador debe indicar explicítamente cualquier condición operativa o de planeación que no este incluida en las demás variables. Ejemplo: La línea opera normalmente abierta al lado de la subestación A o se tiene planeado una repotenciación de la línea hasta una capacidad de X Amperios, la cual entrará en operación desde dd/mm/aaaa.</t>
  </si>
  <si>
    <t xml:space="preserve">Transformadores tridevanados</t>
  </si>
  <si>
    <t xml:space="preserve">Nombre del transformador tridevanado. Se sugiere sea nombre de la subestación seguido de los niveles de tensión del transformador</t>
  </si>
  <si>
    <t xml:space="preserve">Subestación</t>
  </si>
  <si>
    <t xml:space="preserve">Subestación en la cual se encuentra ubicado el transformador</t>
  </si>
  <si>
    <t xml:space="preserve">Nivel de tensión HV [kV]</t>
  </si>
  <si>
    <t xml:space="preserve">Nivel de tensión nominal de diseño de los bornes de alta tensión del transformador en kilovoltios</t>
  </si>
  <si>
    <t xml:space="preserve">Nivel de tensión MV [kV]</t>
  </si>
  <si>
    <t xml:space="preserve">Nivel de tensión nominal de diseño de los bornes de media tensión del transformador en kilovoltios</t>
  </si>
  <si>
    <t xml:space="preserve">Nivel de tensión LV [kV]</t>
  </si>
  <si>
    <t xml:space="preserve">Nivel de tensión nominal de diseño de los bornes de baja tensión del transformador en kilovoltios</t>
  </si>
  <si>
    <t xml:space="preserve">Capacidad HV [MVA]</t>
  </si>
  <si>
    <t xml:space="preserve">Capacidad nominal en el devanado de alta tensión del transformador en MVA</t>
  </si>
  <si>
    <t xml:space="preserve">Capacidad MV [MVA]</t>
  </si>
  <si>
    <t xml:space="preserve">Capacidad nominal en el devanado de media tensión del transformador en MVA</t>
  </si>
  <si>
    <t xml:space="preserve">Capacidad LV [MVA]</t>
  </si>
  <si>
    <t xml:space="preserve">Capacidad nominal en el devanado de baja tensión del transformador en MVA</t>
  </si>
  <si>
    <t xml:space="preserve">Grupo de conexión</t>
  </si>
  <si>
    <t xml:space="preserve">Convención utilizada para describir las configuraciones de los distintos devanados del transformador y el desfase en los angulos de fase según norma IEC 60076-1 2011. Ejemplo: YNyn0d5 </t>
  </si>
  <si>
    <t xml:space="preserve">Impedancia HV-MV Secuencia +[%]</t>
  </si>
  <si>
    <t xml:space="preserve">Impedancia de corto circuito entre los devanados de alta y media tensión en secuencia positiva como porcentaje de la impedancia de referencia</t>
  </si>
  <si>
    <t xml:space="preserve">Impedancia HV-LV Secuencia +[%]</t>
  </si>
  <si>
    <t xml:space="preserve">Impedancia de corto circuito entre los devanados de alta y baja tensión en secuencia positiva como porcentaje de la impedancia de referencia</t>
  </si>
  <si>
    <t xml:space="preserve">Impedancia MV-LV Secuencia +[%]</t>
  </si>
  <si>
    <t xml:space="preserve">Impedancia de corto circuito entre los devanados de media y baja tensión en secuencia positiva como porcentaje de la impedancia de referencia</t>
  </si>
  <si>
    <t xml:space="preserve">Impedancia HV-MV Secuencia 0[%]</t>
  </si>
  <si>
    <t xml:space="preserve">Impedancia de corto circuito entre los devanados de alta y media tensión en secuencia cero como porcentaje de la impedancia de referencia</t>
  </si>
  <si>
    <t xml:space="preserve">Impedancia HV-LV Secuencia 0[%]</t>
  </si>
  <si>
    <t xml:space="preserve">Impedancia de corto circuito entre los devanados de alta y baja tensión en secuencia cero como porcentaje de la impedancia de referencia</t>
  </si>
  <si>
    <t xml:space="preserve">Impedancia MV-LV Secuencia 0[%]</t>
  </si>
  <si>
    <t xml:space="preserve">Impedancia de corto circuito entre los devanados de media y baja tensión en secuencia cero como porcentaje de la impedancia de referencia</t>
  </si>
  <si>
    <t xml:space="preserve">Posición Neutral Tap</t>
  </si>
  <si>
    <t xml:space="preserve">Valor del cambiador de tomas como número entero que permite alcanzar los valores nominales de tensión en el transformador</t>
  </si>
  <si>
    <t xml:space="preserve">Posición Máxima Tap</t>
  </si>
  <si>
    <t xml:space="preserve">Máximo valor posible del cambiador de tomas como número entero</t>
  </si>
  <si>
    <t xml:space="preserve">Posición Mínima Tap</t>
  </si>
  <si>
    <t xml:space="preserve">Mínimo valor posible del cambiador de tomas como número entero</t>
  </si>
  <si>
    <t xml:space="preserve">Delta Tap [%]</t>
  </si>
  <si>
    <t xml:space="preserve">La diferencia entre dos pasos adyacentes del cambiador de tomas expresada como un porcentaje.</t>
  </si>
  <si>
    <t xml:space="preserve">Sobrecarga en emergencia</t>
  </si>
  <si>
    <t xml:space="preserve">Valor de sobrecarga aceptable en el transformador ante condiciones de emergencia expresado como porcentaje respecto a la capacidad del transformador y en la cantidad de tiempo en minutos en que el transformador puede soportar dicha condición</t>
  </si>
  <si>
    <t xml:space="preserve">Sistema al cual pertenece el transformador. Se debe escoger en la lista desplegable entre: STN, STR y SDL</t>
  </si>
  <si>
    <t xml:space="preserve">Pérdidas Cu HV-MV [kW]</t>
  </si>
  <si>
    <t xml:space="preserve">Pérdidas de potencia activa en kW de los devanados de alta tensión y media tensión del transformador bidevanado</t>
  </si>
  <si>
    <t xml:space="preserve">Pérdidas Cu HV-LV [kW]</t>
  </si>
  <si>
    <t xml:space="preserve">Pérdidas de potencia activa en kW de los devanados de alta tensión y baja tensión del transformador bidevanado</t>
  </si>
  <si>
    <t xml:space="preserve">Pérdidas Cu MV-LV [kW]</t>
  </si>
  <si>
    <t xml:space="preserve">Pérdidas de potencia activa en kW de los devanados de media tensión y baja tensión del transformador bidevanado</t>
  </si>
  <si>
    <t xml:space="preserve">Sección de libre diligenciamiento, donde el transportador debe indicar explicítamente cualquier condición operativa o de planeación que no este incluida en las demás variables.</t>
  </si>
  <si>
    <t xml:space="preserve">Tranformadores bidevanados</t>
  </si>
  <si>
    <t xml:space="preserve">Capacidad [MVA]</t>
  </si>
  <si>
    <t xml:space="preserve">Capacidad nominal del transformador en MVA</t>
  </si>
  <si>
    <t xml:space="preserve">Convención utilizada para describir las configuraciones de los distintos devanados del transformador y el desfase en los angulos de fase según norma IEC 60076-1 2011. Ejemplo: Dyn11 </t>
  </si>
  <si>
    <t xml:space="preserve">Impedancia Secuencia +[%]</t>
  </si>
  <si>
    <t xml:space="preserve">Impedancia de corto circuito en secuencia positiva como porcentaje de la impedancia de referencia</t>
  </si>
  <si>
    <t xml:space="preserve">Impedancia Secuencia 0[%]</t>
  </si>
  <si>
    <t xml:space="preserve">Impedancia de corto circuito en secuencia cero como porcentaje de la impedancia de referencia</t>
  </si>
  <si>
    <t xml:space="preserve">Pérdidas Cu [kW]</t>
  </si>
  <si>
    <t xml:space="preserve">Pérdidas de potencia activa en kW de los devanados del transformador bidevanado</t>
  </si>
  <si>
    <t xml:space="preserve">Subestaciones
NOTA. En caso de que una subestación tenga en su predio patios de distintos niveles de tensión, se debe realizar un reporte por cada nivel de tensión.</t>
  </si>
  <si>
    <t xml:space="preserve">Nombre de la subestación</t>
  </si>
  <si>
    <t xml:space="preserve">Agente Administrador</t>
  </si>
  <si>
    <t xml:space="preserve">Razón social del transportador con el mayor porcentaje de propiedad de los activos de la subestación</t>
  </si>
  <si>
    <t xml:space="preserve">Nivel de tensión nominal de la(s) barra(s) de la subestación en kilovoltios</t>
  </si>
  <si>
    <t xml:space="preserve">Capacidad de interrupción [kA]</t>
  </si>
  <si>
    <t xml:space="preserve">Capacidad de interrupción en kiloamperios de los interruptores de potencia en la subestación. En caso de haber múltiples interruptores se debe incluir únicamente l capacidad de interrupción de menor magnitud y dejar constancia de esto en el campo de observaciones del transportador.</t>
  </si>
  <si>
    <t xml:space="preserve">Configuración</t>
  </si>
  <si>
    <t xml:space="preserve">Configuración de barras de la subestación. Se debe escoger en la lista desplegable entre: barra sencilla, barra principal y transferencia, barra sencilla seccionada, barra seccionada con barra de transferencia, doble barra, doble barra con transferencia, doble barra con doble interruptor, interruptor y medio o anillo.</t>
  </si>
  <si>
    <t xml:space="preserve">Se debe escoger de la lista despelegable entre: Convencional, Encapsulada y Mixta.</t>
  </si>
  <si>
    <t xml:space="preserve">Departamento</t>
  </si>
  <si>
    <t xml:space="preserve">Nombre del departamento en que se ubica o ubicará la subestación</t>
  </si>
  <si>
    <t xml:space="preserve">Municipio</t>
  </si>
  <si>
    <t xml:space="preserve">Nombre del municipio en que se ubica o ubicará la subestación</t>
  </si>
  <si>
    <t xml:space="preserve">Demandas</t>
  </si>
  <si>
    <t xml:space="preserve">Nombre de la demanda</t>
  </si>
  <si>
    <t xml:space="preserve">Subestación en la que se encuentra conectada la demanda. Para demandas conectadas a niveles de tensión inferiores a 11.4 kV se debe referir a nivel de tensión superior.</t>
  </si>
  <si>
    <t xml:space="preserve">Nivel de tensión en kilovoltios al que se conecta o refiere la demanda.</t>
  </si>
  <si>
    <t xml:space="preserve">Se debe escoger en la lista desplegable entre: Industrial, Comercial, Residencial y Oficial. En caso de que la demanda incluya varios tipos se debe seleccionar el tipo de mayor magnitud.</t>
  </si>
  <si>
    <t xml:space="preserve">Atendida Subestación Nivel IV</t>
  </si>
  <si>
    <t xml:space="preserve">Subestación de nivel de tensión IV o superior que atiende a la demanda.</t>
  </si>
  <si>
    <t xml:space="preserve">Demanda Mínima</t>
  </si>
  <si>
    <t xml:space="preserve">Valor mínimo de demanda de potencia activa en MW y reactiva en MVAr esperado para la demanda en el año 2021, hora 03:00. </t>
  </si>
  <si>
    <t xml:space="preserve">Demanda Media</t>
  </si>
  <si>
    <t xml:space="preserve">Valor medio de demanda de potencia activa en MW y reactiva en MVAr esperado para la demanda en el año 2021, hora 12:00.</t>
  </si>
  <si>
    <t xml:space="preserve">Demanda Máxima</t>
  </si>
  <si>
    <t xml:space="preserve">Valor máximo de demanda de potencia activa en MW y reactiva en MVAr esperado para la demanda en el año 2021, hora 19:00.</t>
  </si>
  <si>
    <t xml:space="preserve">Compensación estática</t>
  </si>
  <si>
    <t xml:space="preserve">Nombre de la compensación. Se sugiere usar el nombre de la subestación a la que se conecta.</t>
  </si>
  <si>
    <t xml:space="preserve">Nombre de la subestación a la que se conecta la compensación.</t>
  </si>
  <si>
    <t xml:space="preserve">Nivel de tensión de la subestación en kilovoltios</t>
  </si>
  <si>
    <t xml:space="preserve">Capacidad [MVAr]</t>
  </si>
  <si>
    <t xml:space="preserve">Capacidad de la compensación en MVAr</t>
  </si>
  <si>
    <t xml:space="preserve">Tipo activo</t>
  </si>
  <si>
    <t xml:space="preserve">Se debe escoger en la lista desplegable entre: Capcitor o reactor</t>
  </si>
  <si>
    <t xml:space="preserve">Número de pasos</t>
  </si>
  <si>
    <t xml:space="preserve">Número de pasos posibles para alcanzar la capacidad de la compensación</t>
  </si>
  <si>
    <t xml:space="preserve">Tipo conexión</t>
  </si>
  <si>
    <t xml:space="preserve">Se debe escoger en la lista desplegable entre: Serie y Paralelo</t>
  </si>
  <si>
    <t xml:space="preserve">Operabilidad</t>
  </si>
  <si>
    <t xml:space="preserve">Se debe escoger en la lista desplegable entre: Fijo y Maniobrable</t>
  </si>
  <si>
    <t xml:space="preserve">Compensación dinámica</t>
  </si>
  <si>
    <t xml:space="preserve">Nombre de la compensación dinámica. Se sugiere usar el nombre de la subestación a la que se conecta.</t>
  </si>
  <si>
    <t xml:space="preserve">Nombre de la subestación a la que se conecta la compensación dinámica.</t>
  </si>
  <si>
    <t xml:space="preserve">Tecnología</t>
  </si>
  <si>
    <r>
      <rPr>
        <sz val="11"/>
        <rFont val="Calibri"/>
        <family val="2"/>
        <charset val="1"/>
      </rPr>
      <t xml:space="preserve">Se debe escoger en la lista desplegable entre: STATCOM (</t>
    </r>
    <r>
      <rPr>
        <i val="true"/>
        <sz val="11"/>
        <rFont val="Calibri"/>
        <family val="2"/>
        <charset val="1"/>
      </rPr>
      <t xml:space="preserve">Synchronous Static Compensator</t>
    </r>
    <r>
      <rPr>
        <sz val="11"/>
        <rFont val="Calibri"/>
        <family val="2"/>
        <charset val="1"/>
      </rPr>
      <t xml:space="preserve">), SVC (</t>
    </r>
    <r>
      <rPr>
        <i val="true"/>
        <sz val="11"/>
        <rFont val="Calibri"/>
        <family val="2"/>
        <charset val="1"/>
      </rPr>
      <t xml:space="preserve">Static Var compensation</t>
    </r>
    <r>
      <rPr>
        <sz val="11"/>
        <rFont val="Calibri"/>
        <family val="2"/>
        <charset val="1"/>
      </rPr>
      <t xml:space="preserve">) o SC (</t>
    </r>
    <r>
      <rPr>
        <i val="true"/>
        <sz val="11"/>
        <rFont val="Calibri"/>
        <family val="2"/>
        <charset val="1"/>
      </rPr>
      <t xml:space="preserve">Synchronous condensers</t>
    </r>
    <r>
      <rPr>
        <sz val="11"/>
        <rFont val="Calibri"/>
        <family val="2"/>
        <charset val="1"/>
      </rPr>
      <t xml:space="preserve">)</t>
    </r>
  </si>
  <si>
    <t xml:space="preserve">Qmin [MVAr]</t>
  </si>
  <si>
    <t xml:space="preserve">Capacidad máxima de absorción de potencia reactiva en MVAr</t>
  </si>
  <si>
    <t xml:space="preserve">Qmax [MVAr]</t>
  </si>
  <si>
    <t xml:space="preserve">Capacidad máxima de aporte de potencia reactiva en MVAr</t>
  </si>
  <si>
    <t xml:space="preserve">DFACTS
NOTA. En el campo de observaciones del transportador se debe señalar si se consideran múltiples dispositivos FACTS en serie.</t>
  </si>
  <si>
    <t xml:space="preserve">Nombre del dispositivo FACTS. Se sugiere que contenga el nombre de la línea a intervenir</t>
  </si>
  <si>
    <t xml:space="preserve">Línea Intervenida</t>
  </si>
  <si>
    <t xml:space="preserve">Nombre de la línea de transmisión o distribución que se interviene para la conexión del dispositivo FACTS</t>
  </si>
  <si>
    <t xml:space="preserve">Nivel de tensión de la línea intervenida en kilovoltios</t>
  </si>
  <si>
    <t xml:space="preserve">Conectado al lado de</t>
  </si>
  <si>
    <t xml:space="preserve">Lado de la línea de transmisión en la que se conectan los dispositivos FACTS</t>
  </si>
  <si>
    <t xml:space="preserve">Tensión máxima aporte [V]</t>
  </si>
  <si>
    <t xml:space="preserve">Tensión máxima que puede inyectar cada dispositivo FACTS en voltios</t>
  </si>
  <si>
    <t xml:space="preserve">Corriente máxima aporte [A]</t>
  </si>
  <si>
    <t xml:space="preserve">Corriente máxima que puede inyectar cada dispositivo FACTS en amperios</t>
  </si>
  <si>
    <t xml:space="preserve">Modelo (si disponible)</t>
  </si>
  <si>
    <t xml:space="preserve">Referencia o modelo del dispositivo instalado o adquirido.</t>
  </si>
  <si>
    <t xml:space="preserve">Subestación espacio físico</t>
  </si>
  <si>
    <t xml:space="preserve">Planos de vista y planta de la subestación</t>
  </si>
  <si>
    <t xml:space="preserve">Se sugiere se presente en formato editable .dwg o archivo .pdf</t>
  </si>
  <si>
    <t xml:space="preserve">Diagrama Unifilar General</t>
  </si>
  <si>
    <t xml:space="preserve">Debe permitir observar los elementos, las conexiones y la configuración</t>
  </si>
  <si>
    <t xml:space="preserve">Diagrama Unifilar Servicios auxiliares</t>
  </si>
  <si>
    <t xml:space="preserve">Espacio disponible para servicios auxiliares</t>
  </si>
  <si>
    <t xml:space="preserve">Descripción del espacio disponible para las conexiones y posibilidades de ampliaciones en servicios auxiliares que pueda tener un proyecto</t>
  </si>
  <si>
    <t xml:space="preserve">Planos Arquitectonicos predio</t>
  </si>
  <si>
    <t xml:space="preserve">Debe incluir la disposición de los equipos en la casa de control de la subestación en formato editable .dwg o archivo .pdf</t>
  </si>
  <si>
    <t xml:space="preserve">Expansiones proyectadas en la subestación</t>
  </si>
  <si>
    <t xml:space="preserve">Descripción de futuras obras en la subestación que afecten el espacio disponible que se observa en los planos y diagramas unifilares</t>
  </si>
  <si>
    <t xml:space="preserve">Disponibilidad de espacio para salidas de líneas</t>
  </si>
  <si>
    <t xml:space="preserve">Descripción del espacio disponible para nuevas líneas de conexión o uso y sus posible conflictos con líneas existentes.</t>
  </si>
  <si>
    <t xml:space="preserve">Disponibilidad de terrenos contiguos</t>
  </si>
  <si>
    <t xml:space="preserve">Descripción del estado de los lotes contiguos a la subestación y su disponibilidad para expansiones</t>
  </si>
  <si>
    <t xml:space="preserve">Archivo fotografico subestación y lotes circundantes</t>
  </si>
  <si>
    <t xml:space="preserve">Información General de Líneas</t>
  </si>
  <si>
    <t xml:space="preserve">No.</t>
  </si>
  <si>
    <t xml:space="preserve">ITALCOL DE OCCIDENTE LTDA(2)</t>
  </si>
  <si>
    <t xml:space="preserve">  R17-41(1)</t>
  </si>
  <si>
    <t xml:space="preserve">  ITALCOL DE OCCIDENTE LTDA(1)</t>
  </si>
  <si>
    <t xml:space="preserve">Capacidad del conductor</t>
  </si>
  <si>
    <t xml:space="preserve">SDL</t>
  </si>
  <si>
    <t xml:space="preserve">Áerea</t>
  </si>
  <si>
    <t xml:space="preserve">Sí</t>
  </si>
  <si>
    <t xml:space="preserve">A-4/0-4/0-ACSR-DES-3-44</t>
  </si>
  <si>
    <t xml:space="preserve">R10-40_a</t>
  </si>
  <si>
    <t xml:space="preserve">  R10-40(1)</t>
  </si>
  <si>
    <t xml:space="preserve">  Colombia 44 1</t>
  </si>
  <si>
    <t xml:space="preserve">A-266.8-1/0-ACSR-CUB-3-44</t>
  </si>
  <si>
    <t xml:space="preserve">R11-40</t>
  </si>
  <si>
    <t xml:space="preserve">  Zamora 44 2</t>
  </si>
  <si>
    <t xml:space="preserve">  ALMACAFE S.A 44</t>
  </si>
  <si>
    <t xml:space="preserve">S-500-SIN-CU-AIS-3-44</t>
  </si>
  <si>
    <t xml:space="preserve">R11-40A</t>
  </si>
  <si>
    <t xml:space="preserve">  INCA METAL 44(1)</t>
  </si>
  <si>
    <t xml:space="preserve">A-1/0-1/0-ACSR-DES-3-44</t>
  </si>
  <si>
    <t xml:space="preserve">R11-40A_a</t>
  </si>
  <si>
    <t xml:space="preserve">  CANTERAS DE COLOMBIA 44</t>
  </si>
  <si>
    <t xml:space="preserve">  Manantiales 44</t>
  </si>
  <si>
    <t xml:space="preserve">R11-40A_a(1)</t>
  </si>
  <si>
    <t xml:space="preserve">R11-40B</t>
  </si>
  <si>
    <t xml:space="preserve">  SOLLA S.A. 44</t>
  </si>
  <si>
    <t xml:space="preserve">R11-40B_a</t>
  </si>
  <si>
    <t xml:space="preserve">  NOEL 44(1)</t>
  </si>
  <si>
    <t xml:space="preserve">  T Castilla-Cabañas-Zamora 44</t>
  </si>
  <si>
    <t xml:space="preserve">R11-40B_a(1)</t>
  </si>
  <si>
    <t xml:space="preserve">R11-40C</t>
  </si>
  <si>
    <t xml:space="preserve">  T R11-40(1)</t>
  </si>
  <si>
    <t xml:space="preserve">R11-40C_a</t>
  </si>
  <si>
    <t xml:space="preserve">  T Castilla-Cabañas 44</t>
  </si>
  <si>
    <t xml:space="preserve">R11-40D</t>
  </si>
  <si>
    <t xml:space="preserve"> - R06-40(1)</t>
  </si>
  <si>
    <t xml:space="preserve">Condición operativa: cerrado-abierto</t>
  </si>
  <si>
    <t xml:space="preserve">R11-41</t>
  </si>
  <si>
    <t xml:space="preserve">  Zamora 44 1</t>
  </si>
  <si>
    <t xml:space="preserve">  FABRICATO-TEJICONDOR 44</t>
  </si>
  <si>
    <t xml:space="preserve">R11-41(1)</t>
  </si>
  <si>
    <t xml:space="preserve"> - ALMACAFE S.A 44</t>
  </si>
  <si>
    <t xml:space="preserve">Condición operativa: abierto-cerrado</t>
  </si>
  <si>
    <t xml:space="preserve">R11-41A</t>
  </si>
  <si>
    <t xml:space="preserve">  PANTEX 44</t>
  </si>
  <si>
    <t xml:space="preserve">R13-47</t>
  </si>
  <si>
    <t xml:space="preserve">  Barbosa 44(1)</t>
  </si>
  <si>
    <t xml:space="preserve">  R13-47(2)</t>
  </si>
  <si>
    <t xml:space="preserve">R13-47_a</t>
  </si>
  <si>
    <t xml:space="preserve">  R13-47(3)</t>
  </si>
  <si>
    <t xml:space="preserve">R13-47_b</t>
  </si>
  <si>
    <t xml:space="preserve">  R13-47(1)</t>
  </si>
  <si>
    <t xml:space="preserve">  PROCELCOSA-CRYOGAS-FILESA 44</t>
  </si>
  <si>
    <t xml:space="preserve">R13-47_b(1)</t>
  </si>
  <si>
    <t xml:space="preserve">R13-47_c</t>
  </si>
  <si>
    <t xml:space="preserve">  R13-47(4)</t>
  </si>
  <si>
    <t xml:space="preserve">R13-48</t>
  </si>
  <si>
    <t xml:space="preserve">  Barbosa 44(2)</t>
  </si>
  <si>
    <t xml:space="preserve">  R13-48(1)</t>
  </si>
  <si>
    <t xml:space="preserve">R13-48_a</t>
  </si>
  <si>
    <t xml:space="preserve">  ENKA 44</t>
  </si>
  <si>
    <t xml:space="preserve">R13-49</t>
  </si>
  <si>
    <t xml:space="preserve">  Barbosa-R13-49_ 44</t>
  </si>
  <si>
    <t xml:space="preserve">R13-49A</t>
  </si>
  <si>
    <t xml:space="preserve">  Colombiana Kimberly y Colpapel S.A. 44</t>
  </si>
  <si>
    <t xml:space="preserve">R13-49B</t>
  </si>
  <si>
    <t xml:space="preserve">  PAPELSA 44</t>
  </si>
  <si>
    <t xml:space="preserve">R17-40</t>
  </si>
  <si>
    <t xml:space="preserve">  Girardota 44</t>
  </si>
  <si>
    <t xml:space="preserve">  R17-40(4)</t>
  </si>
  <si>
    <t xml:space="preserve">R17-40(5)</t>
  </si>
  <si>
    <t xml:space="preserve">  Aridos de Antioquia-Agreg. Norte 44</t>
  </si>
  <si>
    <t xml:space="preserve"> - INTERQUIM S.A. 44</t>
  </si>
  <si>
    <t xml:space="preserve">R17-40A</t>
  </si>
  <si>
    <t xml:space="preserve">  Barbosa-Tasajera 44</t>
  </si>
  <si>
    <t xml:space="preserve">  R17-40(2)</t>
  </si>
  <si>
    <t xml:space="preserve">R17-40A_a</t>
  </si>
  <si>
    <t xml:space="preserve">  Procelcosa</t>
  </si>
  <si>
    <t xml:space="preserve">R17-40A_b</t>
  </si>
  <si>
    <t xml:space="preserve">  R17-40(1)</t>
  </si>
  <si>
    <t xml:space="preserve">R17-40B</t>
  </si>
  <si>
    <t xml:space="preserve">R17-40C</t>
  </si>
  <si>
    <t xml:space="preserve">  Tasajera 44</t>
  </si>
  <si>
    <t xml:space="preserve">R17-40_a</t>
  </si>
  <si>
    <t xml:space="preserve">  R17-40(3)</t>
  </si>
  <si>
    <t xml:space="preserve">R17-40_a(1)</t>
  </si>
  <si>
    <t xml:space="preserve">R17-41</t>
  </si>
  <si>
    <t xml:space="preserve">  R17-41(4)</t>
  </si>
  <si>
    <t xml:space="preserve">R17-41A</t>
  </si>
  <si>
    <t xml:space="preserve">  COLCERAMICA-MANCESA 44</t>
  </si>
  <si>
    <t xml:space="preserve">  PIGMENTOS Y PROD QUIM S.A. 44</t>
  </si>
  <si>
    <t xml:space="preserve">R17-41A_a</t>
  </si>
  <si>
    <t xml:space="preserve">R17-41B_a</t>
  </si>
  <si>
    <t xml:space="preserve">  INTERQUIM S.A. 44</t>
  </si>
  <si>
    <t xml:space="preserve">R17-41C_a</t>
  </si>
  <si>
    <t xml:space="preserve">  Pavimentar S.A.44</t>
  </si>
  <si>
    <t xml:space="preserve">R17-41_a</t>
  </si>
  <si>
    <t xml:space="preserve">R2-40</t>
  </si>
  <si>
    <t xml:space="preserve">  Central 44 1</t>
  </si>
  <si>
    <t xml:space="preserve">  T Colombia-Central 44</t>
  </si>
  <si>
    <t xml:space="preserve">R2-40A</t>
  </si>
  <si>
    <t xml:space="preserve">  FEMSA - COCA COLA 44</t>
  </si>
  <si>
    <t xml:space="preserve">R2-40A_a</t>
  </si>
  <si>
    <t xml:space="preserve">  T PROLECHE 44</t>
  </si>
  <si>
    <t xml:space="preserve">  COLANTA 44</t>
  </si>
  <si>
    <t xml:space="preserve">R2-40A_a(1)</t>
  </si>
  <si>
    <t xml:space="preserve">R2-40A_b</t>
  </si>
  <si>
    <t xml:space="preserve">  T Castilla-Horizonte 44</t>
  </si>
  <si>
    <t xml:space="preserve">R2-40C</t>
  </si>
  <si>
    <t xml:space="preserve">  CONFECC COLOMBIA 44</t>
  </si>
  <si>
    <t xml:space="preserve">R22-42</t>
  </si>
  <si>
    <t xml:space="preserve"> - R8-40(1)</t>
  </si>
  <si>
    <t xml:space="preserve">  R22-43_R22-42</t>
  </si>
  <si>
    <t xml:space="preserve">Villa Hermosa - T Villa Hermosa</t>
  </si>
  <si>
    <t xml:space="preserve">Villa Hermosa 44</t>
  </si>
  <si>
    <t xml:space="preserve">T Villa Hermosa-Miraflores 44</t>
  </si>
  <si>
    <t xml:space="preserve">R27-40B</t>
  </si>
  <si>
    <t xml:space="preserve">  V Hermosa-Miraflores 44</t>
  </si>
  <si>
    <t xml:space="preserve">  R4-41(1)</t>
  </si>
  <si>
    <t xml:space="preserve">R3-40</t>
  </si>
  <si>
    <t xml:space="preserve">  R3-40(1)</t>
  </si>
  <si>
    <t xml:space="preserve">  Bello 44</t>
  </si>
  <si>
    <t xml:space="preserve">R3-40A</t>
  </si>
  <si>
    <t xml:space="preserve"> - Pavimentar S.A.44</t>
  </si>
  <si>
    <t xml:space="preserve">  IMUSA-HACEB 44</t>
  </si>
  <si>
    <t xml:space="preserve">R3-40A_a</t>
  </si>
  <si>
    <t xml:space="preserve">  CONASFALTOS SA 44</t>
  </si>
  <si>
    <t xml:space="preserve">R3-40A_b</t>
  </si>
  <si>
    <t xml:space="preserve">  R03-40</t>
  </si>
  <si>
    <t xml:space="preserve">R3-40A_c</t>
  </si>
  <si>
    <t xml:space="preserve">R3-40B</t>
  </si>
  <si>
    <t xml:space="preserve">  Posada Tobon 44</t>
  </si>
  <si>
    <t xml:space="preserve">R3-41</t>
  </si>
  <si>
    <t xml:space="preserve">  Bancolombia 44</t>
  </si>
  <si>
    <t xml:space="preserve">R3-42</t>
  </si>
  <si>
    <t xml:space="preserve"> - Bello 44</t>
  </si>
  <si>
    <t xml:space="preserve">  Generación Niquia 44</t>
  </si>
  <si>
    <t xml:space="preserve">R3-50</t>
  </si>
  <si>
    <t xml:space="preserve">  R3-50(1)</t>
  </si>
  <si>
    <t xml:space="preserve">R3-50_a</t>
  </si>
  <si>
    <t xml:space="preserve">  San Pedro Milagros 44</t>
  </si>
  <si>
    <t xml:space="preserve">R31-40</t>
  </si>
  <si>
    <t xml:space="preserve">  Horizonte 44</t>
  </si>
  <si>
    <t xml:space="preserve">  T Horizonte-T Castilla-Colombia 44</t>
  </si>
  <si>
    <t xml:space="preserve">R31-40(1)</t>
  </si>
  <si>
    <t xml:space="preserve"> - CONFECC COLOMBIA 44</t>
  </si>
  <si>
    <t xml:space="preserve">R4-41_a</t>
  </si>
  <si>
    <t xml:space="preserve">  R4-41(4)</t>
  </si>
  <si>
    <t xml:space="preserve">  Miraflores 44 _T1</t>
  </si>
  <si>
    <t xml:space="preserve">R6-40</t>
  </si>
  <si>
    <t xml:space="preserve">  R06-40(1)</t>
  </si>
  <si>
    <t xml:space="preserve">  Castilla 44 1</t>
  </si>
  <si>
    <t xml:space="preserve">R6-40A</t>
  </si>
  <si>
    <t xml:space="preserve">  R6-40(2)</t>
  </si>
  <si>
    <t xml:space="preserve">  R6-40(1)</t>
  </si>
  <si>
    <t xml:space="preserve">R6-40AB</t>
  </si>
  <si>
    <t xml:space="preserve">  PRODENVASES 44</t>
  </si>
  <si>
    <t xml:space="preserve">R6-40AB_a</t>
  </si>
  <si>
    <t xml:space="preserve">  PINTUCO 44</t>
  </si>
  <si>
    <t xml:space="preserve">R6-40AB_b</t>
  </si>
  <si>
    <t xml:space="preserve">  TERMINAL DE TRANSPORTE 44</t>
  </si>
  <si>
    <t xml:space="preserve">R6-40AB_b(1)</t>
  </si>
  <si>
    <t xml:space="preserve">  T ECOPETROL SA 44</t>
  </si>
  <si>
    <t xml:space="preserve">R6-40AB_c</t>
  </si>
  <si>
    <t xml:space="preserve">R6-40AB_c(1)</t>
  </si>
  <si>
    <t xml:space="preserve"> - T Castilla-Horizonte 44</t>
  </si>
  <si>
    <t xml:space="preserve">R8-40</t>
  </si>
  <si>
    <t xml:space="preserve">  Piedras Blancas 44 1</t>
  </si>
  <si>
    <t xml:space="preserve">  R8-40(2)</t>
  </si>
  <si>
    <t xml:space="preserve">R8-40A</t>
  </si>
  <si>
    <t xml:space="preserve">  T BOMBEO BERLIN</t>
  </si>
  <si>
    <t xml:space="preserve">  R08-40 44</t>
  </si>
  <si>
    <t xml:space="preserve">R8-40A_a</t>
  </si>
  <si>
    <t xml:space="preserve">R8-40B</t>
  </si>
  <si>
    <t xml:space="preserve">  R8-40(1)</t>
  </si>
  <si>
    <t xml:space="preserve">R8-40C</t>
  </si>
  <si>
    <t xml:space="preserve"> - T Villa Hermosa-Miraflores 44</t>
  </si>
  <si>
    <t xml:space="preserve">R8-40D</t>
  </si>
  <si>
    <t xml:space="preserve">  BOMBEO BERLIN 44</t>
  </si>
  <si>
    <t xml:space="preserve">R8-40E</t>
  </si>
  <si>
    <t xml:space="preserve">44 Transf R5-40_R5-41</t>
  </si>
  <si>
    <t xml:space="preserve">  FCA NOEL 44</t>
  </si>
  <si>
    <t xml:space="preserve"> - R5-41(1)</t>
  </si>
  <si>
    <t xml:space="preserve">R10-40</t>
  </si>
  <si>
    <t xml:space="preserve"> - T Colombia-Central 44</t>
  </si>
  <si>
    <t xml:space="preserve">R10-50</t>
  </si>
  <si>
    <t xml:space="preserve">  Colombia 44 2</t>
  </si>
  <si>
    <t xml:space="preserve">  R10-50(2)</t>
  </si>
  <si>
    <t xml:space="preserve">R10-50_a</t>
  </si>
  <si>
    <t xml:space="preserve">  R10-50(1)</t>
  </si>
  <si>
    <t xml:space="preserve">  San Cristobal 44</t>
  </si>
  <si>
    <t xml:space="preserve">R10-50_a(1)</t>
  </si>
  <si>
    <t xml:space="preserve">R15-40</t>
  </si>
  <si>
    <t xml:space="preserve">  R15-40(1)</t>
  </si>
  <si>
    <t xml:space="preserve">  San Diego 44 1</t>
  </si>
  <si>
    <t xml:space="preserve">R15-40B</t>
  </si>
  <si>
    <t xml:space="preserve">  T TEXTILES MODERNOS 44</t>
  </si>
  <si>
    <t xml:space="preserve">  T SIDERURGICA 44</t>
  </si>
  <si>
    <t xml:space="preserve">R15-40BF</t>
  </si>
  <si>
    <t xml:space="preserve">  BANCOLOMBIA 44</t>
  </si>
  <si>
    <t xml:space="preserve">R15-40BF_a</t>
  </si>
  <si>
    <t xml:space="preserve">R15-40C</t>
  </si>
  <si>
    <t xml:space="preserve"> - San Diego-Guayabal 44</t>
  </si>
  <si>
    <t xml:space="preserve">R15-40D</t>
  </si>
  <si>
    <t xml:space="preserve">  TEXTILES MODERNOS 44</t>
  </si>
  <si>
    <t xml:space="preserve">R15-40E</t>
  </si>
  <si>
    <t xml:space="preserve">  CARTON DE COLOMBIA 44</t>
  </si>
  <si>
    <t xml:space="preserve">R15-40E_a</t>
  </si>
  <si>
    <t xml:space="preserve">  SIDERURGICA 44</t>
  </si>
  <si>
    <t xml:space="preserve">R19-40</t>
  </si>
  <si>
    <t xml:space="preserve">  R22-43_R19-40</t>
  </si>
  <si>
    <t xml:space="preserve">  R19-40_R22-43</t>
  </si>
  <si>
    <t xml:space="preserve">44KV-1/0CU_F_HOR-1/4N_SUP</t>
  </si>
  <si>
    <t xml:space="preserve">R2-41</t>
  </si>
  <si>
    <t xml:space="preserve">  Central 44 3</t>
  </si>
  <si>
    <t xml:space="preserve">  R2-41(1)</t>
  </si>
  <si>
    <t xml:space="preserve">R2-41A</t>
  </si>
  <si>
    <t xml:space="preserve">  T Central-Belen-San Diego 44</t>
  </si>
  <si>
    <t xml:space="preserve"> - Central-Belen 44</t>
  </si>
  <si>
    <t xml:space="preserve">R2-41B</t>
  </si>
  <si>
    <t xml:space="preserve">  IND ESTRA-LANDERS 44</t>
  </si>
  <si>
    <t xml:space="preserve">R2-41B_a</t>
  </si>
  <si>
    <t xml:space="preserve">  R2-41(2)</t>
  </si>
  <si>
    <t xml:space="preserve">R2-41C</t>
  </si>
  <si>
    <t xml:space="preserve">  BANCOLOMBIA1 44</t>
  </si>
  <si>
    <t xml:space="preserve">R2-41D</t>
  </si>
  <si>
    <t xml:space="preserve">  IND KENT-SORRENTO SA 44</t>
  </si>
  <si>
    <t xml:space="preserve">R2-41_a</t>
  </si>
  <si>
    <t xml:space="preserve">R22-40</t>
  </si>
  <si>
    <t xml:space="preserve">  Rionegro 44_2</t>
  </si>
  <si>
    <t xml:space="preserve">  R22-40_R22-50</t>
  </si>
  <si>
    <t xml:space="preserve">R22-40(1)</t>
  </si>
  <si>
    <t xml:space="preserve">  CIA. NAL DE CHOCOLATES 44</t>
  </si>
  <si>
    <t xml:space="preserve">A-4/0-4-ACSR-DES-3-44</t>
  </si>
  <si>
    <t xml:space="preserve">R22-40(2)</t>
  </si>
  <si>
    <t xml:space="preserve">  TEXT Y SERV-CA MEJIA-INRAVIS 44</t>
  </si>
  <si>
    <t xml:space="preserve">R22-40_a</t>
  </si>
  <si>
    <t xml:space="preserve">  R22-40_R22-43</t>
  </si>
  <si>
    <t xml:space="preserve">R22-40_b</t>
  </si>
  <si>
    <t xml:space="preserve">  FCA RIOTEX 44</t>
  </si>
  <si>
    <t xml:space="preserve">  Transf R22-40_R16-40</t>
  </si>
  <si>
    <t xml:space="preserve">R22-41</t>
  </si>
  <si>
    <t xml:space="preserve">  COLTEJER RIONEGRO 44</t>
  </si>
  <si>
    <t xml:space="preserve">R22-43</t>
  </si>
  <si>
    <t xml:space="preserve">  PINTUCO-IMUSA 44</t>
  </si>
  <si>
    <t xml:space="preserve">R22-43(1)</t>
  </si>
  <si>
    <t xml:space="preserve">R22-43(2)</t>
  </si>
  <si>
    <t xml:space="preserve">  IND ARCLAD 44</t>
  </si>
  <si>
    <t xml:space="preserve">R22-43(3)</t>
  </si>
  <si>
    <t xml:space="preserve"> - Pta Pintuco</t>
  </si>
  <si>
    <t xml:space="preserve">R22-43_a</t>
  </si>
  <si>
    <t xml:space="preserve">  CORLANC S.A. 44</t>
  </si>
  <si>
    <t xml:space="preserve">R22-43_b</t>
  </si>
  <si>
    <t xml:space="preserve">  COLPAPEL-PAP SUAV COL-TINTORIEN 44</t>
  </si>
  <si>
    <t xml:space="preserve">R22-43_c</t>
  </si>
  <si>
    <t xml:space="preserve">  OMYA DE COLOM-COLOIDALES 44</t>
  </si>
  <si>
    <t xml:space="preserve">R22-43_c(1)</t>
  </si>
  <si>
    <t xml:space="preserve">R22-43_d</t>
  </si>
  <si>
    <t xml:space="preserve">  AVON COLOMBIA LTDA. 44</t>
  </si>
  <si>
    <t xml:space="preserve">R22-43_e</t>
  </si>
  <si>
    <t xml:space="preserve">  R22-43 T Guarne</t>
  </si>
  <si>
    <t xml:space="preserve">R22-43_e(1)</t>
  </si>
  <si>
    <t xml:space="preserve">  EuroCerámica</t>
  </si>
  <si>
    <t xml:space="preserve">R22-43_f</t>
  </si>
  <si>
    <t xml:space="preserve"> - Guarne 44</t>
  </si>
  <si>
    <t xml:space="preserve">R26-40</t>
  </si>
  <si>
    <t xml:space="preserve">  R26-40(1)</t>
  </si>
  <si>
    <t xml:space="preserve">  Poblado 44</t>
  </si>
  <si>
    <t xml:space="preserve">R26-40A</t>
  </si>
  <si>
    <t xml:space="preserve">  R26-40(4)</t>
  </si>
  <si>
    <t xml:space="preserve">R26-40B</t>
  </si>
  <si>
    <t xml:space="preserve">  R26-40(3)</t>
  </si>
  <si>
    <t xml:space="preserve">R26-40B_a</t>
  </si>
  <si>
    <t xml:space="preserve">  R26-40(2)</t>
  </si>
  <si>
    <t xml:space="preserve">R26-40C</t>
  </si>
  <si>
    <t xml:space="preserve">  San Diego-Guayabal 44</t>
  </si>
  <si>
    <t xml:space="preserve">R26-40D</t>
  </si>
  <si>
    <t xml:space="preserve">R27-40A</t>
  </si>
  <si>
    <t xml:space="preserve">  T Villa Hermosa-Miraflores 44</t>
  </si>
  <si>
    <t xml:space="preserve">R4-40</t>
  </si>
  <si>
    <t xml:space="preserve">  Miraflores2_44</t>
  </si>
  <si>
    <t xml:space="preserve">  ISA 44</t>
  </si>
  <si>
    <t xml:space="preserve">R4-40(1)</t>
  </si>
  <si>
    <t xml:space="preserve"> - R26-40(4)</t>
  </si>
  <si>
    <t xml:space="preserve">T Miraflores - R4-41(1)</t>
  </si>
  <si>
    <t xml:space="preserve"> - R4-41(1)</t>
  </si>
  <si>
    <t xml:space="preserve">La Fe - Juanito Laguna</t>
  </si>
  <si>
    <t xml:space="preserve">  La Fe 44</t>
  </si>
  <si>
    <t xml:space="preserve">  Juanito Laguna</t>
  </si>
  <si>
    <t xml:space="preserve">44KV-4/0F_HOR-1/0N_SUP</t>
  </si>
  <si>
    <t xml:space="preserve">Juanito Laguna - T Palmas</t>
  </si>
  <si>
    <t xml:space="preserve"> - Juanito Laguna</t>
  </si>
  <si>
    <t xml:space="preserve">  Palmas Y</t>
  </si>
  <si>
    <t xml:space="preserve">lnetyp 44 kV - 4/0</t>
  </si>
  <si>
    <t xml:space="preserve">T Plamas - Palmas</t>
  </si>
  <si>
    <t xml:space="preserve">  Palmas 44</t>
  </si>
  <si>
    <t xml:space="preserve">T Palmas - T Miraflores</t>
  </si>
  <si>
    <t xml:space="preserve">T Miraflores - Miraflores</t>
  </si>
  <si>
    <t xml:space="preserve">R5-40</t>
  </si>
  <si>
    <t xml:space="preserve">  COLOMBIANA TABACO 44</t>
  </si>
  <si>
    <t xml:space="preserve">  Guayabal 44</t>
  </si>
  <si>
    <t xml:space="preserve">R5-40(2)</t>
  </si>
  <si>
    <t xml:space="preserve">  R5-40(1)</t>
  </si>
  <si>
    <t xml:space="preserve">R5-40A</t>
  </si>
  <si>
    <t xml:space="preserve">  T-AMTEX LTDA-LINDALANA-LEONISA 44</t>
  </si>
  <si>
    <t xml:space="preserve">  T INCOAL 44</t>
  </si>
  <si>
    <t xml:space="preserve">R5-40B</t>
  </si>
  <si>
    <t xml:space="preserve">  POSADA TOBON 44</t>
  </si>
  <si>
    <t xml:space="preserve">R5-40B_a</t>
  </si>
  <si>
    <t xml:space="preserve">  GASEOSAS LUZ 44</t>
  </si>
  <si>
    <t xml:space="preserve">R5-40C</t>
  </si>
  <si>
    <t xml:space="preserve">  R5-40(3)</t>
  </si>
  <si>
    <t xml:space="preserve">R5-40D</t>
  </si>
  <si>
    <t xml:space="preserve">  FAB. CALCETINES CRISTAL 44</t>
  </si>
  <si>
    <t xml:space="preserve">R5-40E</t>
  </si>
  <si>
    <t xml:space="preserve">  INCOAL 44</t>
  </si>
  <si>
    <t xml:space="preserve">R5-40F</t>
  </si>
  <si>
    <t xml:space="preserve">  LINDALANA SA 44</t>
  </si>
  <si>
    <t xml:space="preserve">R5-40F_a</t>
  </si>
  <si>
    <t xml:space="preserve">  QUIMICA AMTEX LTDA-LEONISA-LEONISA 44</t>
  </si>
  <si>
    <t xml:space="preserve">R5-40H</t>
  </si>
  <si>
    <t xml:space="preserve">R5-40H_a</t>
  </si>
  <si>
    <t xml:space="preserve">  INEXTRA SA 44</t>
  </si>
  <si>
    <t xml:space="preserve">R5-40H_a(1)</t>
  </si>
  <si>
    <t xml:space="preserve">R5-41</t>
  </si>
  <si>
    <t xml:space="preserve">  R5-41(1)</t>
  </si>
  <si>
    <t xml:space="preserve">R7-40</t>
  </si>
  <si>
    <t xml:space="preserve">  Central-Belen 44</t>
  </si>
  <si>
    <t xml:space="preserve">  INMUEBLES COMERCIALES SA 44(1)</t>
  </si>
  <si>
    <t xml:space="preserve">R7-40_a</t>
  </si>
  <si>
    <t xml:space="preserve">  Belen 44 1</t>
  </si>
  <si>
    <t xml:space="preserve">44 Transf R14-40_R12-53</t>
  </si>
  <si>
    <t xml:space="preserve">  R14-40(2)</t>
  </si>
  <si>
    <t xml:space="preserve"> - R12-53</t>
  </si>
  <si>
    <t xml:space="preserve">R12-44</t>
  </si>
  <si>
    <t xml:space="preserve">  R12-44(5)</t>
  </si>
  <si>
    <t xml:space="preserve">  Ancon EPM 44 Barra 1B</t>
  </si>
  <si>
    <t xml:space="preserve">R12-44A</t>
  </si>
  <si>
    <t xml:space="preserve">  CERAMITA 44</t>
  </si>
  <si>
    <t xml:space="preserve">R12-44B</t>
  </si>
  <si>
    <t xml:space="preserve">  R12-44(7)</t>
  </si>
  <si>
    <t xml:space="preserve">R12-44C</t>
  </si>
  <si>
    <t xml:space="preserve">  T INVERJEANS S.A. 44</t>
  </si>
  <si>
    <t xml:space="preserve">R12-44D</t>
  </si>
  <si>
    <t xml:space="preserve">  INVERJEANS S.A. 44</t>
  </si>
  <si>
    <t xml:space="preserve">R12-44E</t>
  </si>
  <si>
    <t xml:space="preserve">  R12-44(11)</t>
  </si>
  <si>
    <t xml:space="preserve">R12-44E_a</t>
  </si>
  <si>
    <t xml:space="preserve">  PROPAC S.A. 44</t>
  </si>
  <si>
    <t xml:space="preserve">A-2-1/0-ACSR-DES-3-44</t>
  </si>
  <si>
    <t xml:space="preserve">R12-44F</t>
  </si>
  <si>
    <t xml:space="preserve">  R12-44(2)</t>
  </si>
  <si>
    <t xml:space="preserve">R12-44G</t>
  </si>
  <si>
    <t xml:space="preserve">  R12-44(3)</t>
  </si>
  <si>
    <t xml:space="preserve">R12-44H</t>
  </si>
  <si>
    <t xml:space="preserve">  R12-44(4)</t>
  </si>
  <si>
    <t xml:space="preserve">R12-44I</t>
  </si>
  <si>
    <t xml:space="preserve">  ELECTROQUIMICA COL 44</t>
  </si>
  <si>
    <t xml:space="preserve">R12-44J</t>
  </si>
  <si>
    <t xml:space="preserve"> - R9-42(16)</t>
  </si>
  <si>
    <t xml:space="preserve">R12-44K</t>
  </si>
  <si>
    <t xml:space="preserve"> - R9-42(9)</t>
  </si>
  <si>
    <t xml:space="preserve">  R12-44(19)</t>
  </si>
  <si>
    <t xml:space="preserve">R12-44L</t>
  </si>
  <si>
    <t xml:space="preserve">  R12-44(15)</t>
  </si>
  <si>
    <t xml:space="preserve">R12-44M</t>
  </si>
  <si>
    <t xml:space="preserve">  T MOLDES MEDELLIN 44</t>
  </si>
  <si>
    <t xml:space="preserve">R12-44N</t>
  </si>
  <si>
    <t xml:space="preserve">  MOLDES MEDELLIN 44</t>
  </si>
  <si>
    <t xml:space="preserve">R12-44O</t>
  </si>
  <si>
    <t xml:space="preserve">  T CERAMICAS SABANETA 44</t>
  </si>
  <si>
    <t xml:space="preserve">R12-44P</t>
  </si>
  <si>
    <t xml:space="preserve">  CERAMICAS SABANETA-GAMA 44</t>
  </si>
  <si>
    <t xml:space="preserve">R12-44Q</t>
  </si>
  <si>
    <t xml:space="preserve">  R12-44(12)</t>
  </si>
  <si>
    <t xml:space="preserve">R12-44R</t>
  </si>
  <si>
    <t xml:space="preserve">  PLASTICOS TRUHER S.A 44</t>
  </si>
  <si>
    <t xml:space="preserve">R12-44S</t>
  </si>
  <si>
    <t xml:space="preserve">  SUMICOL S.A. 44</t>
  </si>
  <si>
    <t xml:space="preserve">R12-44T</t>
  </si>
  <si>
    <t xml:space="preserve">R12-44U</t>
  </si>
  <si>
    <t xml:space="preserve"> - R35-04(3)</t>
  </si>
  <si>
    <t xml:space="preserve">R12-50</t>
  </si>
  <si>
    <t xml:space="preserve">  Ancon EPM 44 Barra 1A</t>
  </si>
  <si>
    <t xml:space="preserve">  R12-50(1)</t>
  </si>
  <si>
    <t xml:space="preserve">R12-50_a</t>
  </si>
  <si>
    <t xml:space="preserve">  Caldas 44</t>
  </si>
  <si>
    <t xml:space="preserve">R12-51</t>
  </si>
  <si>
    <t xml:space="preserve">  R12-51(1)</t>
  </si>
  <si>
    <t xml:space="preserve">Ancon Sur - Ayura 1 44</t>
  </si>
  <si>
    <t xml:space="preserve">R12-51_a</t>
  </si>
  <si>
    <t xml:space="preserve">  Ayura 44</t>
  </si>
  <si>
    <t xml:space="preserve">R12-52</t>
  </si>
  <si>
    <t xml:space="preserve">  Ancon EPM 44 Barra 1C</t>
  </si>
  <si>
    <t xml:space="preserve">  R12-52(1)</t>
  </si>
  <si>
    <t xml:space="preserve">lnetyp 44 kV - 266</t>
  </si>
  <si>
    <t xml:space="preserve">R12-52_a</t>
  </si>
  <si>
    <t xml:space="preserve">  San Antonio 44</t>
  </si>
  <si>
    <t xml:space="preserve">R12-53</t>
  </si>
  <si>
    <t xml:space="preserve">  R12-53(1)</t>
  </si>
  <si>
    <t xml:space="preserve">  R12-53(2)</t>
  </si>
  <si>
    <t xml:space="preserve">R12-53A</t>
  </si>
  <si>
    <t xml:space="preserve">  R12-53</t>
  </si>
  <si>
    <t xml:space="preserve">R12-53A_a</t>
  </si>
  <si>
    <t xml:space="preserve">R12-53B</t>
  </si>
  <si>
    <t xml:space="preserve"> - R12-44(3)</t>
  </si>
  <si>
    <t xml:space="preserve">R12-53_a</t>
  </si>
  <si>
    <t xml:space="preserve">Caldas - Loceria</t>
  </si>
  <si>
    <t xml:space="preserve">Caldas</t>
  </si>
  <si>
    <t xml:space="preserve">  LOCERÍA 44</t>
  </si>
  <si>
    <t xml:space="preserve">Locería - Agrosán</t>
  </si>
  <si>
    <t xml:space="preserve">Agrosán 44</t>
  </si>
  <si>
    <t xml:space="preserve">44kV-4/0F_4/0N</t>
  </si>
  <si>
    <t xml:space="preserve">Agrosán - Carbones San Fdo</t>
  </si>
  <si>
    <t xml:space="preserve">Carbones San Fernando</t>
  </si>
  <si>
    <t xml:space="preserve">Carbones San Fdo - Derivación Caldas</t>
  </si>
  <si>
    <t xml:space="preserve">Derivación Caldas</t>
  </si>
  <si>
    <t xml:space="preserve">R29-40</t>
  </si>
  <si>
    <t xml:space="preserve">  El Rodeo 44</t>
  </si>
  <si>
    <t xml:space="preserve">  R5-41(9)</t>
  </si>
  <si>
    <t xml:space="preserve">R35-40</t>
  </si>
  <si>
    <t xml:space="preserve">  Itagui 44</t>
  </si>
  <si>
    <t xml:space="preserve">  FINCA S.A. 44</t>
  </si>
  <si>
    <t xml:space="preserve">R35-40A</t>
  </si>
  <si>
    <t xml:space="preserve">  T CERVECERIA UNION S.A. 44</t>
  </si>
  <si>
    <t xml:space="preserve">R35-40B</t>
  </si>
  <si>
    <t xml:space="preserve">  CERVECERIA UNION S.A. 44</t>
  </si>
  <si>
    <t xml:space="preserve">R35-40C</t>
  </si>
  <si>
    <t xml:space="preserve">  R35-40(1)</t>
  </si>
  <si>
    <t xml:space="preserve">R35-40C_a</t>
  </si>
  <si>
    <t xml:space="preserve">  R35-40(5)</t>
  </si>
  <si>
    <t xml:space="preserve">R35-40D</t>
  </si>
  <si>
    <t xml:space="preserve">  R35-40D(1)</t>
  </si>
  <si>
    <t xml:space="preserve">R35-40D_a</t>
  </si>
  <si>
    <t xml:space="preserve">  R35-40(6)</t>
  </si>
  <si>
    <t xml:space="preserve">R35-40E</t>
  </si>
  <si>
    <t xml:space="preserve">  PLASDECOL S.A 44</t>
  </si>
  <si>
    <t xml:space="preserve">R35-40E_a</t>
  </si>
  <si>
    <t xml:space="preserve">  R35-04(3)</t>
  </si>
  <si>
    <t xml:space="preserve">R5-41A</t>
  </si>
  <si>
    <t xml:space="preserve">  R5-41(8)</t>
  </si>
  <si>
    <t xml:space="preserve">R5-41A_a</t>
  </si>
  <si>
    <t xml:space="preserve">  T MICROPLAST LTDA 44</t>
  </si>
  <si>
    <t xml:space="preserve">R5-41B</t>
  </si>
  <si>
    <t xml:space="preserve">  T FAMIILIA 44</t>
  </si>
  <si>
    <t xml:space="preserve">R5-41C</t>
  </si>
  <si>
    <t xml:space="preserve">  T R5-41</t>
  </si>
  <si>
    <t xml:space="preserve">R5-41D</t>
  </si>
  <si>
    <t xml:space="preserve">  FCA LICORES ANTIOQUIA 44</t>
  </si>
  <si>
    <t xml:space="preserve">R5-41E</t>
  </si>
  <si>
    <t xml:space="preserve">  T R5-41(1)</t>
  </si>
  <si>
    <t xml:space="preserve">R5-41F</t>
  </si>
  <si>
    <t xml:space="preserve"> - R5-41(9)</t>
  </si>
  <si>
    <t xml:space="preserve">R5-41G</t>
  </si>
  <si>
    <t xml:space="preserve">  COLCAFE 44</t>
  </si>
  <si>
    <t xml:space="preserve">R5-41G_a</t>
  </si>
  <si>
    <t xml:space="preserve">  MICROPLAST LTDA 44</t>
  </si>
  <si>
    <t xml:space="preserve">R5-41H</t>
  </si>
  <si>
    <t xml:space="preserve">  FAMIILIA-SCOTT-SANCELA 44</t>
  </si>
  <si>
    <t xml:space="preserve">R5-41I</t>
  </si>
  <si>
    <t xml:space="preserve">  R5-41(2)</t>
  </si>
  <si>
    <t xml:space="preserve">R5-41I_a</t>
  </si>
  <si>
    <t xml:space="preserve">  R5-41(6)</t>
  </si>
  <si>
    <t xml:space="preserve">R9-40</t>
  </si>
  <si>
    <t xml:space="preserve">  Envigado 44_R09-40</t>
  </si>
  <si>
    <t xml:space="preserve">  R9-40(1)</t>
  </si>
  <si>
    <t xml:space="preserve">R9-40(2)</t>
  </si>
  <si>
    <t xml:space="preserve">  R9-40(4)</t>
  </si>
  <si>
    <t xml:space="preserve">  R12-44(20)</t>
  </si>
  <si>
    <t xml:space="preserve">R9-40(6)</t>
  </si>
  <si>
    <t xml:space="preserve">  R12-44(21)</t>
  </si>
  <si>
    <t xml:space="preserve">R9-40(7)</t>
  </si>
  <si>
    <t xml:space="preserve"> - R12-44(19)</t>
  </si>
  <si>
    <t xml:space="preserve">R9-40A</t>
  </si>
  <si>
    <t xml:space="preserve">  EL COLOMBIANO 44</t>
  </si>
  <si>
    <t xml:space="preserve">R9-40A_a</t>
  </si>
  <si>
    <t xml:space="preserve">  CONTEGRAL 44</t>
  </si>
  <si>
    <t xml:space="preserve">R9-40B</t>
  </si>
  <si>
    <t xml:space="preserve">  R9-40(3)</t>
  </si>
  <si>
    <t xml:space="preserve">R9-40C</t>
  </si>
  <si>
    <t xml:space="preserve"> - R09-40_R09-42</t>
  </si>
  <si>
    <t xml:space="preserve">R9-40D</t>
  </si>
  <si>
    <t xml:space="preserve">  T ALMACENES EXITO S.A. 44</t>
  </si>
  <si>
    <t xml:space="preserve">R9-40E</t>
  </si>
  <si>
    <t xml:space="preserve">  ALMACENES EXITO S.A. 44</t>
  </si>
  <si>
    <t xml:space="preserve">R9-40F</t>
  </si>
  <si>
    <t xml:space="preserve">  T HILATURAS CRYSTAL S.A 44</t>
  </si>
  <si>
    <t xml:space="preserve">R9-40G</t>
  </si>
  <si>
    <t xml:space="preserve">  HILATURAS CRYSTAL S.A 44</t>
  </si>
  <si>
    <t xml:space="preserve">R9-40H</t>
  </si>
  <si>
    <t xml:space="preserve">  R9-40(10)</t>
  </si>
  <si>
    <t xml:space="preserve">R9-40I</t>
  </si>
  <si>
    <t xml:space="preserve">R9-40J</t>
  </si>
  <si>
    <t xml:space="preserve">  R9-40(5)</t>
  </si>
  <si>
    <t xml:space="preserve">R9-40K</t>
  </si>
  <si>
    <t xml:space="preserve">  R9-40(11)</t>
  </si>
  <si>
    <t xml:space="preserve">R9-41</t>
  </si>
  <si>
    <t xml:space="preserve">  Envigado-R09-41</t>
  </si>
  <si>
    <t xml:space="preserve">  PELDAR 44</t>
  </si>
  <si>
    <t xml:space="preserve">R9-42</t>
  </si>
  <si>
    <t xml:space="preserve">  Envigado-R09-42</t>
  </si>
  <si>
    <t xml:space="preserve">  R9-42(10)</t>
  </si>
  <si>
    <t xml:space="preserve">R9-42A</t>
  </si>
  <si>
    <t xml:space="preserve">  T SOFASA 44</t>
  </si>
  <si>
    <t xml:space="preserve">R9-42B</t>
  </si>
  <si>
    <t xml:space="preserve">  T RODRIGO ARROYAVE 44</t>
  </si>
  <si>
    <t xml:space="preserve">R9-42C</t>
  </si>
  <si>
    <t xml:space="preserve">  R9-42(2)</t>
  </si>
  <si>
    <t xml:space="preserve">R9-42D</t>
  </si>
  <si>
    <t xml:space="preserve">  R9-42(6)</t>
  </si>
  <si>
    <t xml:space="preserve">R9-42E</t>
  </si>
  <si>
    <t xml:space="preserve">  R9-42(7)</t>
  </si>
  <si>
    <t xml:space="preserve">R9-42F</t>
  </si>
  <si>
    <t xml:space="preserve">  R9-42(9)</t>
  </si>
  <si>
    <t xml:space="preserve">R9-42G</t>
  </si>
  <si>
    <t xml:space="preserve">  R9-42(15)</t>
  </si>
  <si>
    <t xml:space="preserve">R9-42H</t>
  </si>
  <si>
    <t xml:space="preserve">  R9-43(3)</t>
  </si>
  <si>
    <t xml:space="preserve">R9-42I</t>
  </si>
  <si>
    <t xml:space="preserve">  POSADAS TOBON SA 44</t>
  </si>
  <si>
    <t xml:space="preserve">R9-42I_a</t>
  </si>
  <si>
    <t xml:space="preserve">  R9-42(16)</t>
  </si>
  <si>
    <t xml:space="preserve">R9-42J</t>
  </si>
  <si>
    <t xml:space="preserve">  Terminal(2)</t>
  </si>
  <si>
    <t xml:space="preserve">R9-42J_a</t>
  </si>
  <si>
    <t xml:space="preserve">  R09-40_R09-42</t>
  </si>
  <si>
    <t xml:space="preserve">R9-42K</t>
  </si>
  <si>
    <t xml:space="preserve">  SOFASA 44</t>
  </si>
  <si>
    <t xml:space="preserve">R9-42K_a</t>
  </si>
  <si>
    <t xml:space="preserve">  SOFASA 44(1)</t>
  </si>
  <si>
    <t xml:space="preserve">R9-42L</t>
  </si>
  <si>
    <t xml:space="preserve">  RODRIGO ARROYAVE 44</t>
  </si>
  <si>
    <t xml:space="preserve">R9-42M</t>
  </si>
  <si>
    <t xml:space="preserve">  R9-42(3)</t>
  </si>
  <si>
    <t xml:space="preserve">R9-42N</t>
  </si>
  <si>
    <t xml:space="preserve">  R9-42(5)</t>
  </si>
  <si>
    <t xml:space="preserve">R9-42O</t>
  </si>
  <si>
    <t xml:space="preserve">  COMESTIBLES DAN 44</t>
  </si>
  <si>
    <t xml:space="preserve">R9-42P</t>
  </si>
  <si>
    <t xml:space="preserve">  BASF QUIMICA COLOMB 44</t>
  </si>
  <si>
    <t xml:space="preserve">R9-43</t>
  </si>
  <si>
    <t xml:space="preserve">  Envigado-R09-43</t>
  </si>
  <si>
    <t xml:space="preserve">  R9-43(1)</t>
  </si>
  <si>
    <t xml:space="preserve">R9-43A</t>
  </si>
  <si>
    <t xml:space="preserve">  T CURTIMBRE ITAGUI 44</t>
  </si>
  <si>
    <t xml:space="preserve">  CURTIMBRE ITAGUI 44</t>
  </si>
  <si>
    <t xml:space="preserve">R9-43B</t>
  </si>
  <si>
    <t xml:space="preserve"> - R9-43(3)</t>
  </si>
  <si>
    <t xml:space="preserve">R9-43_a</t>
  </si>
  <si>
    <t xml:space="preserve">R9-44</t>
  </si>
  <si>
    <t xml:space="preserve">  Envigado-R09-44</t>
  </si>
  <si>
    <t xml:space="preserve">  EXITO SA 44</t>
  </si>
  <si>
    <t xml:space="preserve">R9-44(14)</t>
  </si>
  <si>
    <t xml:space="preserve">  IND DE ACERO 44</t>
  </si>
  <si>
    <t xml:space="preserve">  T IND DE ACERO 44</t>
  </si>
  <si>
    <t xml:space="preserve">R9-44A</t>
  </si>
  <si>
    <t xml:space="preserve">  R9-44(2)</t>
  </si>
  <si>
    <t xml:space="preserve">  T COMPAÑIA DE EMPAQUES 44</t>
  </si>
  <si>
    <t xml:space="preserve">R9-44A_a</t>
  </si>
  <si>
    <t xml:space="preserve"> - T R5-41</t>
  </si>
  <si>
    <t xml:space="preserve">R9-44B</t>
  </si>
  <si>
    <t xml:space="preserve">  R9-44(1)</t>
  </si>
  <si>
    <t xml:space="preserve">R9-44C</t>
  </si>
  <si>
    <t xml:space="preserve">  COMPAÑIA DE EMPAQUES 44</t>
  </si>
  <si>
    <t xml:space="preserve">R9-44_a</t>
  </si>
  <si>
    <t xml:space="preserve">R9-44_a(1)</t>
  </si>
  <si>
    <t xml:space="preserve">  R9-44(15)</t>
  </si>
  <si>
    <t xml:space="preserve">R9-44_b</t>
  </si>
  <si>
    <t xml:space="preserve">Apartadó - Urabá</t>
  </si>
  <si>
    <t xml:space="preserve">Apartadó</t>
  </si>
  <si>
    <t xml:space="preserve">Urabá</t>
  </si>
  <si>
    <t xml:space="preserve">Configuración CTs</t>
  </si>
  <si>
    <t xml:space="preserve">STR</t>
  </si>
  <si>
    <t xml:space="preserve">Esta línea cambiará sus CTs para aumentar su capacidad a 500 A en el año 2023. Antes 409.45 A</t>
  </si>
  <si>
    <t xml:space="preserve">Apartadó - Nueva Colonia</t>
  </si>
  <si>
    <t xml:space="preserve">Nueva Colonia</t>
  </si>
  <si>
    <t xml:space="preserve">No</t>
  </si>
  <si>
    <t xml:space="preserve">Nueva Colonia - Urabá</t>
  </si>
  <si>
    <t xml:space="preserve">Apartadó - Caucheras</t>
  </si>
  <si>
    <t xml:space="preserve">Caucheras</t>
  </si>
  <si>
    <t xml:space="preserve">Condición operativa: abierto-cerrado.</t>
  </si>
  <si>
    <t xml:space="preserve">Apartadó - Carepa</t>
  </si>
  <si>
    <t xml:space="preserve">Carepa</t>
  </si>
  <si>
    <t xml:space="preserve">266.8</t>
  </si>
  <si>
    <t xml:space="preserve">Apartado -  Chigorodó</t>
  </si>
  <si>
    <t xml:space="preserve">Apartado</t>
  </si>
  <si>
    <t xml:space="preserve"> Chigorodó</t>
  </si>
  <si>
    <t xml:space="preserve">4/0</t>
  </si>
  <si>
    <t xml:space="preserve">Apartadó - Corrugados</t>
  </si>
  <si>
    <t xml:space="preserve">Corrugados</t>
  </si>
  <si>
    <t xml:space="preserve">Corrugados - T Nueva Colonia</t>
  </si>
  <si>
    <t xml:space="preserve">T Nueva Colonia</t>
  </si>
  <si>
    <t xml:space="preserve">Condición operativa: abierto-cerrado. La condición operativa cambia a cerrado-cerrado con la entrada del proyecto Nueva Colonia 110 en el año 2023</t>
  </si>
  <si>
    <t xml:space="preserve">T Nueva Colonia - Urabá</t>
  </si>
  <si>
    <t xml:space="preserve">La condición operativa cambia a cerrado-abierto con la entrada del proyecto Nueva Colonia 110 en el año 2023</t>
  </si>
  <si>
    <t xml:space="preserve">T Nueva Colonia - Nueva Colonia</t>
  </si>
  <si>
    <t xml:space="preserve">Carepa - Uniban</t>
  </si>
  <si>
    <t xml:space="preserve">Uniban</t>
  </si>
  <si>
    <t xml:space="preserve">Uniban - Zungo</t>
  </si>
  <si>
    <t xml:space="preserve">Zungo</t>
  </si>
  <si>
    <t xml:space="preserve">Cirilo - Necoclí</t>
  </si>
  <si>
    <t xml:space="preserve">Cirilo</t>
  </si>
  <si>
    <t xml:space="preserve">Necoclí</t>
  </si>
  <si>
    <t xml:space="preserve">4/0 Cu</t>
  </si>
  <si>
    <t xml:space="preserve">La Atoyosa -  Arboletes </t>
  </si>
  <si>
    <t xml:space="preserve">La Atoyosa</t>
  </si>
  <si>
    <t xml:space="preserve"> Arboletes </t>
  </si>
  <si>
    <t xml:space="preserve">Pueblo Bello - San Pedro Urabá</t>
  </si>
  <si>
    <t xml:space="preserve">Pueblo Bello</t>
  </si>
  <si>
    <t xml:space="preserve">San Pedro Urabá</t>
  </si>
  <si>
    <t xml:space="preserve">San Pedro Urabá -  La Atoyosa </t>
  </si>
  <si>
    <t xml:space="preserve"> La Atoyosa </t>
  </si>
  <si>
    <t xml:space="preserve">Urabá -  Cirilo</t>
  </si>
  <si>
    <t xml:space="preserve"> Cirilo</t>
  </si>
  <si>
    <t xml:space="preserve">Urabá - Pueblo Bello </t>
  </si>
  <si>
    <t xml:space="preserve">Pueblo Bello </t>
  </si>
  <si>
    <t xml:space="preserve">Urabá - Turbo </t>
  </si>
  <si>
    <t xml:space="preserve">Turbo </t>
  </si>
  <si>
    <t xml:space="preserve">Chorodó - Lagunas 2 110 kV</t>
  </si>
  <si>
    <t xml:space="preserve">Chorodó</t>
  </si>
  <si>
    <t xml:space="preserve">Lagunas</t>
  </si>
  <si>
    <t xml:space="preserve">Caucheras - Lagunas</t>
  </si>
  <si>
    <t xml:space="preserve">Chorodó - Lagunas 1 110 kV</t>
  </si>
  <si>
    <t xml:space="preserve">Occidente - San Jerónimo</t>
  </si>
  <si>
    <t xml:space="preserve">Occidente</t>
  </si>
  <si>
    <t xml:space="preserve">San Jerónimo</t>
  </si>
  <si>
    <t xml:space="preserve">Sta Fé Antioquia - San Jerónimo</t>
  </si>
  <si>
    <t xml:space="preserve">Sta Fé Antioquia</t>
  </si>
  <si>
    <t xml:space="preserve">Sta Fé Antioquia - Chorodó</t>
  </si>
  <si>
    <t xml:space="preserve">Con la entrada de Lagunas 110kV la Capacidad transporte nominal y emergencia cambiara a 467</t>
  </si>
  <si>
    <t xml:space="preserve">Chorodó - Cañasgordas</t>
  </si>
  <si>
    <t xml:space="preserve">Cañasgordas</t>
  </si>
  <si>
    <t xml:space="preserve">1/0</t>
  </si>
  <si>
    <t xml:space="preserve">Chorodó - Paso Ancho</t>
  </si>
  <si>
    <t xml:space="preserve">Paso Ancho</t>
  </si>
  <si>
    <t xml:space="preserve">Paso Ancho - Dabeiba</t>
  </si>
  <si>
    <t xml:space="preserve">Dabeiba</t>
  </si>
  <si>
    <t xml:space="preserve">La condición operativa cambia a cerrado-abierto con la entrada del proyecto Lagunas en el año 2025</t>
  </si>
  <si>
    <t xml:space="preserve">Lagunas - Dabeiba</t>
  </si>
  <si>
    <t xml:space="preserve">San Jerónimo - Ebéjico</t>
  </si>
  <si>
    <t xml:space="preserve">Ebéjico</t>
  </si>
  <si>
    <t xml:space="preserve">Sta Fé Antioquia - Liborina</t>
  </si>
  <si>
    <t xml:space="preserve">Liborina</t>
  </si>
  <si>
    <t xml:space="preserve">Sta Fé Antioquia - T Tonusco</t>
  </si>
  <si>
    <t xml:space="preserve">T Tonusco</t>
  </si>
  <si>
    <t xml:space="preserve">T Tonusco - San Jerónimo</t>
  </si>
  <si>
    <t xml:space="preserve">Condiicón operativa: cerrado-abierto. Este tramo se repotencia a calibre 266,8 en el año 2025</t>
  </si>
  <si>
    <t xml:space="preserve">T Tonusco - Urrao</t>
  </si>
  <si>
    <t xml:space="preserve">Urrao</t>
  </si>
  <si>
    <t xml:space="preserve">Condiicón operativa: cerrado-abierto. Esta línea se abre en la mitad para permitir la conexión de la SE Maderos, conformando así las líneas T Tonusco - Maderos y Maderos - Urrao</t>
  </si>
  <si>
    <t xml:space="preserve">T Tonusco - Maderos</t>
  </si>
  <si>
    <t xml:space="preserve">Maderos</t>
  </si>
  <si>
    <t xml:space="preserve">Maderos - Urrao</t>
  </si>
  <si>
    <t xml:space="preserve">Santa Fe Antioquia - Maderos</t>
  </si>
  <si>
    <t xml:space="preserve">Santa Fe Antioquia</t>
  </si>
  <si>
    <t xml:space="preserve">Ancón Sur - Amagá 1 </t>
  </si>
  <si>
    <t xml:space="preserve">Ancón Sur</t>
  </si>
  <si>
    <t xml:space="preserve">Amagá </t>
  </si>
  <si>
    <t xml:space="preserve">Esta línea se abre para permitir la conexión de la SE Caldas, conformando así las líneas Ancón Sur - Caldas y Caldas - Amagá</t>
  </si>
  <si>
    <t xml:space="preserve">Ancón Sur - Amagá 2 </t>
  </si>
  <si>
    <t xml:space="preserve">Amagá</t>
  </si>
  <si>
    <t xml:space="preserve">Ancón Sur - Caldas </t>
  </si>
  <si>
    <t xml:space="preserve">Caldas </t>
  </si>
  <si>
    <t xml:space="preserve">La conexión de Caldas 110 kV se da mediante la apertura de la línea Ancón Sur - Amagá 1 110 kV</t>
  </si>
  <si>
    <t xml:space="preserve">Caldas - Amagá </t>
  </si>
  <si>
    <t xml:space="preserve">Amagá - Bolombolo 1</t>
  </si>
  <si>
    <t xml:space="preserve">Bolombolo</t>
  </si>
  <si>
    <t xml:space="preserve">Amagá - T La Clara</t>
  </si>
  <si>
    <t xml:space="preserve">T La Clara</t>
  </si>
  <si>
    <t xml:space="preserve">La T La Clara se elimina con el proyecto Carrieles, conformando las líneas Bolombolo - Hispania y Amagá - Carrieles</t>
  </si>
  <si>
    <t xml:space="preserve">T La Clara - Bolombolo</t>
  </si>
  <si>
    <t xml:space="preserve">T La Clara - Hispania</t>
  </si>
  <si>
    <t xml:space="preserve">Hispania</t>
  </si>
  <si>
    <t xml:space="preserve">Bolombolo - Hispania</t>
  </si>
  <si>
    <t xml:space="preserve">Amagá - Carrieles</t>
  </si>
  <si>
    <t xml:space="preserve">Carrieles</t>
  </si>
  <si>
    <t xml:space="preserve">Mediante el radicado UPME 20231110120112 fue modificada la FPO de esta línea a 2030</t>
  </si>
  <si>
    <t xml:space="preserve">Carrieles - Hispania</t>
  </si>
  <si>
    <t xml:space="preserve">Mediante el radicado UPME 20231110120112 fue modificada la FPO de esta línea a 2029</t>
  </si>
  <si>
    <t xml:space="preserve">Barroso - El Siete</t>
  </si>
  <si>
    <t xml:space="preserve">Barroso</t>
  </si>
  <si>
    <t xml:space="preserve">El Siete</t>
  </si>
  <si>
    <t xml:space="preserve">Esta línea se reporta para dar claridad de la interconexión entre DISPAC y EPM, sin embargo el responsable de la información es DISPAC.</t>
  </si>
  <si>
    <t xml:space="preserve">Bolombolo - Barroso</t>
  </si>
  <si>
    <t xml:space="preserve">Carrieles - Fredonia</t>
  </si>
  <si>
    <t xml:space="preserve">Fredonia</t>
  </si>
  <si>
    <t xml:space="preserve">Mediante el radicado UPME 20231110120112 fue modificada la FPO de esta línea a 2026</t>
  </si>
  <si>
    <t xml:space="preserve">Carrieles - Jericó</t>
  </si>
  <si>
    <t xml:space="preserve">Jericó</t>
  </si>
  <si>
    <t xml:space="preserve">Mediante el radicado UPME 20231110120112 fue modificada la FPO de esta línea a 2027</t>
  </si>
  <si>
    <t xml:space="preserve">Amagá - Derivaciòn Caldas</t>
  </si>
  <si>
    <t xml:space="preserve">Derivaciòn Caldas</t>
  </si>
  <si>
    <t xml:space="preserve">Derivaciòn Caldas - Angelópolis</t>
  </si>
  <si>
    <t xml:space="preserve">Angelópolis</t>
  </si>
  <si>
    <t xml:space="preserve">Amagá - Fredonia</t>
  </si>
  <si>
    <t xml:space="preserve">Amagá - Titiribí</t>
  </si>
  <si>
    <t xml:space="preserve">Titiribí</t>
  </si>
  <si>
    <t xml:space="preserve">Betulia - Urrao</t>
  </si>
  <si>
    <t xml:space="preserve">Betulia</t>
  </si>
  <si>
    <t xml:space="preserve">Bolombolo - Concordia</t>
  </si>
  <si>
    <t xml:space="preserve">Concordia</t>
  </si>
  <si>
    <t xml:space="preserve">Bolombolo - Salgar</t>
  </si>
  <si>
    <t xml:space="preserve">Salgar</t>
  </si>
  <si>
    <t xml:space="preserve">Bolombolo - T Tarso</t>
  </si>
  <si>
    <t xml:space="preserve">T Tarso</t>
  </si>
  <si>
    <t xml:space="preserve">Concordia - Betulia</t>
  </si>
  <si>
    <t xml:space="preserve">Fredonia - Santa Bárbara</t>
  </si>
  <si>
    <t xml:space="preserve">Santa Bárbara</t>
  </si>
  <si>
    <t xml:space="preserve">Hispania - Andes</t>
  </si>
  <si>
    <t xml:space="preserve">Andes</t>
  </si>
  <si>
    <t xml:space="preserve">Hispania - Ciudad Bolivar</t>
  </si>
  <si>
    <t xml:space="preserve">Ciudad Bolivar</t>
  </si>
  <si>
    <t xml:space="preserve">Hispania - Jericó</t>
  </si>
  <si>
    <t xml:space="preserve">336.4</t>
  </si>
  <si>
    <t xml:space="preserve">Hispania - Tapartó</t>
  </si>
  <si>
    <t xml:space="preserve">Tapartó</t>
  </si>
  <si>
    <t xml:space="preserve">Tapartó  - Andes</t>
  </si>
  <si>
    <t xml:space="preserve">Tapartó </t>
  </si>
  <si>
    <t xml:space="preserve">Jericó - Támesis</t>
  </si>
  <si>
    <t xml:space="preserve">Támesis</t>
  </si>
  <si>
    <t xml:space="preserve">La Pintada - Támesis</t>
  </si>
  <si>
    <t xml:space="preserve">La Pintada</t>
  </si>
  <si>
    <t xml:space="preserve">Santa Bárbara - La Pintada</t>
  </si>
  <si>
    <t xml:space="preserve">Támesis - Valparaíso</t>
  </si>
  <si>
    <t xml:space="preserve">Valparaíso</t>
  </si>
  <si>
    <t xml:space="preserve">T Tarso - Jericó</t>
  </si>
  <si>
    <t xml:space="preserve">T Tarso - Tarso</t>
  </si>
  <si>
    <t xml:space="preserve">Tarso</t>
  </si>
  <si>
    <t xml:space="preserve">Yarumal 1 - Yarumal 2</t>
  </si>
  <si>
    <t xml:space="preserve">Yarumal 1</t>
  </si>
  <si>
    <t xml:space="preserve">Yarumal 2</t>
  </si>
  <si>
    <t xml:space="preserve">El Salto - Yarumal 2</t>
  </si>
  <si>
    <t xml:space="preserve">El Salto</t>
  </si>
  <si>
    <t xml:space="preserve">Riogrande - Nueva Santa Rosa</t>
  </si>
  <si>
    <t xml:space="preserve">Riogrande</t>
  </si>
  <si>
    <t xml:space="preserve">Nueva Santa Rosa</t>
  </si>
  <si>
    <t xml:space="preserve">transformadores de corriente</t>
  </si>
  <si>
    <t xml:space="preserve">Nueva Santa Rosa - Yarumal 2</t>
  </si>
  <si>
    <t xml:space="preserve">Esta línea se abre para permitir la conexión de la SE Guárcama, conformando así las líneas Nueva Santa Rosa - Guárcama y Guárcama - Yarumal 2</t>
  </si>
  <si>
    <t xml:space="preserve">Guárcama - Nueva Santa Rosa</t>
  </si>
  <si>
    <t xml:space="preserve">Guárcama</t>
  </si>
  <si>
    <t xml:space="preserve">Guárcama - Yarumal 2</t>
  </si>
  <si>
    <t xml:space="preserve">Guárcama - Santa Fe de Antioquia</t>
  </si>
  <si>
    <t xml:space="preserve">Santa Fe de Antioquia</t>
  </si>
  <si>
    <t xml:space="preserve">Esta línea tiene concepto aprobatorio, sin embargo EPM envió estudio de conexión a la UPME en el que solicita retirarla, por lo cual recomendamos no considerarla en los analisis</t>
  </si>
  <si>
    <t xml:space="preserve">Riogrande - Santa Rosa</t>
  </si>
  <si>
    <t xml:space="preserve">Santa Rosa</t>
  </si>
  <si>
    <t xml:space="preserve">El Valle - TVilla Luz</t>
  </si>
  <si>
    <t xml:space="preserve">El Valle</t>
  </si>
  <si>
    <t xml:space="preserve">TVilla Luz</t>
  </si>
  <si>
    <t xml:space="preserve">Si</t>
  </si>
  <si>
    <t xml:space="preserve">Yarumal 1 - Setas</t>
  </si>
  <si>
    <t xml:space="preserve">Setas</t>
  </si>
  <si>
    <t xml:space="preserve">Condición operativa: abierto en la derivación hacia Setas y cerrado hacia la SE El Valle</t>
  </si>
  <si>
    <t xml:space="preserve">Setas - El Valle</t>
  </si>
  <si>
    <t xml:space="preserve">Esta línea se abre para permitir la conexión de la SE Guárcama 44, conformando así las líneas Setas - Guárcama y Guárcama - El Valle</t>
  </si>
  <si>
    <t xml:space="preserve">Setas - Guárcama</t>
  </si>
  <si>
    <t xml:space="preserve">Guárcama - El Valle</t>
  </si>
  <si>
    <t xml:space="preserve">Setas - Nueva Santa Rosa</t>
  </si>
  <si>
    <t xml:space="preserve">Santa Rosa - Nueva Santa Rosa</t>
  </si>
  <si>
    <t xml:space="preserve">TVilla Luz - Ituango</t>
  </si>
  <si>
    <t xml:space="preserve">Ituango</t>
  </si>
  <si>
    <t xml:space="preserve">TVilla Luz - Villa Luz</t>
  </si>
  <si>
    <t xml:space="preserve">Villa Luz</t>
  </si>
  <si>
    <t xml:space="preserve">Yarumal - El Valle</t>
  </si>
  <si>
    <t xml:space="preserve">Yarumal</t>
  </si>
  <si>
    <t xml:space="preserve">Yarumal - Valdivia</t>
  </si>
  <si>
    <t xml:space="preserve">Valdivia</t>
  </si>
  <si>
    <t xml:space="preserve">Liborina - T Villa Luz</t>
  </si>
  <si>
    <t xml:space="preserve">T Villa Luz</t>
  </si>
  <si>
    <t xml:space="preserve">Guárcama - T Guárcama</t>
  </si>
  <si>
    <t xml:space="preserve">T Guárcama</t>
  </si>
  <si>
    <t xml:space="preserve">Nueva línea desde la SE Guárcama 44 hasta interceptar la línea Liborina - T Villa Luz a 25,7 km de la T Villa Luz. La línea T Guárcama - Liborina opera abierta-cerrada</t>
  </si>
  <si>
    <t xml:space="preserve">El Salto - Amalfi</t>
  </si>
  <si>
    <t xml:space="preserve">Amalfi</t>
  </si>
  <si>
    <t xml:space="preserve">El Salto - Porce </t>
  </si>
  <si>
    <t xml:space="preserve">Porce </t>
  </si>
  <si>
    <t xml:space="preserve">477</t>
  </si>
  <si>
    <t xml:space="preserve">Amalfi - La Cruzada</t>
  </si>
  <si>
    <t xml:space="preserve">La Cruzada</t>
  </si>
  <si>
    <t xml:space="preserve">El Salto - El Tigre</t>
  </si>
  <si>
    <t xml:space="preserve">El Tigre</t>
  </si>
  <si>
    <t xml:space="preserve">El Tigre - La Cruzada</t>
  </si>
  <si>
    <t xml:space="preserve">G La Cascada - San José del Nus</t>
  </si>
  <si>
    <t xml:space="preserve">G La Cascada</t>
  </si>
  <si>
    <t xml:space="preserve">San José del Nus</t>
  </si>
  <si>
    <t xml:space="preserve">2/0</t>
  </si>
  <si>
    <t xml:space="preserve">El Limón - Est. Cisneros</t>
  </si>
  <si>
    <t xml:space="preserve">El Limón</t>
  </si>
  <si>
    <t xml:space="preserve">Est. Cisneros</t>
  </si>
  <si>
    <t xml:space="preserve">Est. Cisneros - G Cantayus</t>
  </si>
  <si>
    <t xml:space="preserve">G Cantayus</t>
  </si>
  <si>
    <t xml:space="preserve">G Cantayus -  T La Rebusca</t>
  </si>
  <si>
    <t xml:space="preserve"> T La Rebusca</t>
  </si>
  <si>
    <t xml:space="preserve">T La Rebusca - San Roque</t>
  </si>
  <si>
    <t xml:space="preserve">T La Rebusca</t>
  </si>
  <si>
    <t xml:space="preserve">San Roque</t>
  </si>
  <si>
    <t xml:space="preserve">T La Rebusca - T La Mina</t>
  </si>
  <si>
    <t xml:space="preserve">T La Mina</t>
  </si>
  <si>
    <t xml:space="preserve">T La Mina - Yolombó</t>
  </si>
  <si>
    <t xml:space="preserve">Yolombó</t>
  </si>
  <si>
    <t xml:space="preserve">T la Mina - G La Cascada</t>
  </si>
  <si>
    <t xml:space="preserve">T la Mina</t>
  </si>
  <si>
    <t xml:space="preserve">El Tigre - Vegachí</t>
  </si>
  <si>
    <t xml:space="preserve">Vegachí</t>
  </si>
  <si>
    <t xml:space="preserve">El Salto - Guadalupe </t>
  </si>
  <si>
    <t xml:space="preserve">Guadalupe </t>
  </si>
  <si>
    <t xml:space="preserve">Guadalupe - Amalfi </t>
  </si>
  <si>
    <t xml:space="preserve">Guadalupe</t>
  </si>
  <si>
    <t xml:space="preserve">Amalfi </t>
  </si>
  <si>
    <t xml:space="preserve">Guadalupe - Brisas</t>
  </si>
  <si>
    <t xml:space="preserve">Brisas</t>
  </si>
  <si>
    <t xml:space="preserve">La Cruzada - Otú</t>
  </si>
  <si>
    <t xml:space="preserve">Otú</t>
  </si>
  <si>
    <t xml:space="preserve">La Cruzada - Zaragoza</t>
  </si>
  <si>
    <t xml:space="preserve">Zaragoza</t>
  </si>
  <si>
    <t xml:space="preserve">Maceo - San José del Nus</t>
  </si>
  <si>
    <t xml:space="preserve">Maceo</t>
  </si>
  <si>
    <t xml:space="preserve">Malena - Batallón Bomboná</t>
  </si>
  <si>
    <t xml:space="preserve">Malena</t>
  </si>
  <si>
    <t xml:space="preserve">Batallón Bomboná</t>
  </si>
  <si>
    <t xml:space="preserve">Batallón Bomboná - Minas de Vapor</t>
  </si>
  <si>
    <t xml:space="preserve">Minas de Vapor</t>
  </si>
  <si>
    <t xml:space="preserve">Minas Vapor - San José del Nus</t>
  </si>
  <si>
    <t xml:space="preserve">Minas Vapor</t>
  </si>
  <si>
    <t xml:space="preserve">Otu - Santa Isabel</t>
  </si>
  <si>
    <t xml:space="preserve">Otu</t>
  </si>
  <si>
    <t xml:space="preserve">Santa Isabel</t>
  </si>
  <si>
    <t xml:space="preserve">Porce - El Limón</t>
  </si>
  <si>
    <t xml:space="preserve">Porce</t>
  </si>
  <si>
    <t xml:space="preserve">San José del Nus - Caracolí</t>
  </si>
  <si>
    <t xml:space="preserve">Caracolí</t>
  </si>
  <si>
    <t xml:space="preserve">Santa Isabel - El Tigre</t>
  </si>
  <si>
    <t xml:space="preserve">Vegachí - Yalí</t>
  </si>
  <si>
    <t xml:space="preserve">Yalí</t>
  </si>
  <si>
    <t xml:space="preserve">Yalí - Maceo</t>
  </si>
  <si>
    <t xml:space="preserve">Córdova - Miraflores</t>
  </si>
  <si>
    <t xml:space="preserve">Córdova</t>
  </si>
  <si>
    <t xml:space="preserve">Miraflores</t>
  </si>
  <si>
    <t xml:space="preserve">Esta línea se abre para permitir la conexión de la SE Ayurá, conformando así las líneas Córdoba - Ayurá y Ayurá - Miraflores</t>
  </si>
  <si>
    <t xml:space="preserve">Córdova - Ayurá</t>
  </si>
  <si>
    <t xml:space="preserve">Ayurá</t>
  </si>
  <si>
    <t xml:space="preserve">Ayurá - Miraflores</t>
  </si>
  <si>
    <t xml:space="preserve">Córdova - Oriente</t>
  </si>
  <si>
    <t xml:space="preserve">Oriente</t>
  </si>
  <si>
    <t xml:space="preserve">Córdova - Rionegro</t>
  </si>
  <si>
    <t xml:space="preserve">Rionegro</t>
  </si>
  <si>
    <t xml:space="preserve">Oriente - La Ceja </t>
  </si>
  <si>
    <t xml:space="preserve">La Ceja </t>
  </si>
  <si>
    <t xml:space="preserve">Oriente - Rionegro</t>
  </si>
  <si>
    <t xml:space="preserve">La Ceja - Sonsón</t>
  </si>
  <si>
    <t xml:space="preserve">La Ceja</t>
  </si>
  <si>
    <t xml:space="preserve">Sonsón</t>
  </si>
  <si>
    <t xml:space="preserve">Abejorral - Sonsón</t>
  </si>
  <si>
    <t xml:space="preserve">Abejorral</t>
  </si>
  <si>
    <t xml:space="preserve">El Carmen - Santuario</t>
  </si>
  <si>
    <t xml:space="preserve">El Carmen</t>
  </si>
  <si>
    <t xml:space="preserve">Santuario</t>
  </si>
  <si>
    <t xml:space="preserve">Granada - Cocorná</t>
  </si>
  <si>
    <t xml:space="preserve">Granada</t>
  </si>
  <si>
    <t xml:space="preserve">Cocorna Regional 219</t>
  </si>
  <si>
    <t xml:space="preserve">La Ceja - La Unión</t>
  </si>
  <si>
    <t xml:space="preserve">La Unión</t>
  </si>
  <si>
    <t xml:space="preserve">La Unión - Abejorral</t>
  </si>
  <si>
    <t xml:space="preserve">Marinilla - Santuario</t>
  </si>
  <si>
    <t xml:space="preserve">Marinilla</t>
  </si>
  <si>
    <t xml:space="preserve">Oriente -  La Fé </t>
  </si>
  <si>
    <t xml:space="preserve"> La Fé </t>
  </si>
  <si>
    <t xml:space="preserve">Oriente - El Carmen</t>
  </si>
  <si>
    <t xml:space="preserve">Oriente - El Chucho</t>
  </si>
  <si>
    <t xml:space="preserve">El Chucho</t>
  </si>
  <si>
    <t xml:space="preserve">El Chucho - Marinilla</t>
  </si>
  <si>
    <t xml:space="preserve">Oriente - T Rio Abajo</t>
  </si>
  <si>
    <t xml:space="preserve">T Rio Abajo</t>
  </si>
  <si>
    <t xml:space="preserve">T Rio Abajo - Marinilla</t>
  </si>
  <si>
    <t xml:space="preserve">Piedras Blancas - Guarne </t>
  </si>
  <si>
    <t xml:space="preserve">Piedras Blancas</t>
  </si>
  <si>
    <t xml:space="preserve">Guarne </t>
  </si>
  <si>
    <t xml:space="preserve">Rionegro -  Guarne (R22-42)</t>
  </si>
  <si>
    <t xml:space="preserve">Guarne</t>
  </si>
  <si>
    <t xml:space="preserve">Rionegro -  Nuevo Peñol (R22-50)</t>
  </si>
  <si>
    <t xml:space="preserve">Nuevo Peñol</t>
  </si>
  <si>
    <t xml:space="preserve">Santuario  - Granada</t>
  </si>
  <si>
    <t xml:space="preserve">Santuario </t>
  </si>
  <si>
    <t xml:space="preserve">Condición operativa: abierto en Santuario y cerrado Granada. Esta condición se dará a partir del 31/12/2027, siempre y cuando esté operando el transformador 110/44 kV en San Lorenzo y la Línea San Lorenzo - Cocorna Regional 44 kV</t>
  </si>
  <si>
    <t xml:space="preserve">Sonsón - Nariño</t>
  </si>
  <si>
    <t xml:space="preserve">Nariño</t>
  </si>
  <si>
    <t xml:space="preserve">El Canadá - Flor Caribe</t>
  </si>
  <si>
    <t xml:space="preserve">El Canadá</t>
  </si>
  <si>
    <t xml:space="preserve">Flor Caribe</t>
  </si>
  <si>
    <t xml:space="preserve">Flor Caribe - El Chucho</t>
  </si>
  <si>
    <t xml:space="preserve">La Ceja - El Canadá</t>
  </si>
  <si>
    <t xml:space="preserve">El Canadá -  El Carmen</t>
  </si>
  <si>
    <t xml:space="preserve"> El Carmen</t>
  </si>
  <si>
    <t xml:space="preserve">T Rio Abajo - Rio Abajo</t>
  </si>
  <si>
    <t xml:space="preserve">Rio Abajo</t>
  </si>
  <si>
    <t xml:space="preserve">Calderas - San Lorenzo</t>
  </si>
  <si>
    <t xml:space="preserve">Calderas</t>
  </si>
  <si>
    <t xml:space="preserve">San Lorenzo</t>
  </si>
  <si>
    <t xml:space="preserve">En 2025 el extremo de conexión en San Lorenzo pasa a San Lorenzo II, quedando la línea Calderas - San Lorenzo II</t>
  </si>
  <si>
    <t xml:space="preserve">San Lorenzo - Calizas</t>
  </si>
  <si>
    <t xml:space="preserve">Calizas</t>
  </si>
  <si>
    <t xml:space="preserve">Esta línea se abre para permitir la conexión de la SE San Lorenzo II, conformando así las líneas San Lorenzo - San Lorenzo II y San Lorenzo II - Calizas</t>
  </si>
  <si>
    <t xml:space="preserve">San Lorenzo - Corrientes</t>
  </si>
  <si>
    <t xml:space="preserve">Corrientes</t>
  </si>
  <si>
    <t xml:space="preserve">Corrientes - Calizas</t>
  </si>
  <si>
    <t xml:space="preserve">San Lorenzo - Calizas 2</t>
  </si>
  <si>
    <t xml:space="preserve">Esta línea se abre para permitir la conexión de la SE San Lorenzo II, conformando así las líneas San Lorenzo - San Lorenzo II 2 y San Lorenzo II - Calizas 2</t>
  </si>
  <si>
    <t xml:space="preserve">San Lorenzo - Corrientes 2</t>
  </si>
  <si>
    <t xml:space="preserve">Corrientes - Calizas 2</t>
  </si>
  <si>
    <t xml:space="preserve">Calizas - Rio Claro </t>
  </si>
  <si>
    <t xml:space="preserve">Rio Claro </t>
  </si>
  <si>
    <t xml:space="preserve">Sonsón - San Lorenzo</t>
  </si>
  <si>
    <t xml:space="preserve">En 2025 el extremo de conexión en San Lorenzo pasa a San Lorenzo II, quedando la línea Sonson - San Lorenzo II</t>
  </si>
  <si>
    <t xml:space="preserve">La Sierra - Cocorná</t>
  </si>
  <si>
    <t xml:space="preserve">La Sierra</t>
  </si>
  <si>
    <t xml:space="preserve">Cocorná</t>
  </si>
  <si>
    <t xml:space="preserve">Calderas - Guatape </t>
  </si>
  <si>
    <t xml:space="preserve">Guatape </t>
  </si>
  <si>
    <t xml:space="preserve">Cocorná - Pto Boyaca</t>
  </si>
  <si>
    <t xml:space="preserve">Pto Boyaca</t>
  </si>
  <si>
    <t xml:space="preserve">Esta línea se reporta para dar claridad de la interconexión entre EBSA y EPM, sin embargo el responsable de la información es EBSA</t>
  </si>
  <si>
    <t xml:space="preserve">Cocorná - Pto Nare</t>
  </si>
  <si>
    <t xml:space="preserve">Pto Nare</t>
  </si>
  <si>
    <t xml:space="preserve">Cocorná - Rio Claro </t>
  </si>
  <si>
    <t xml:space="preserve">Cocorná - Teca</t>
  </si>
  <si>
    <t xml:space="preserve">Teca</t>
  </si>
  <si>
    <t xml:space="preserve">Guatapé - Playas</t>
  </si>
  <si>
    <t xml:space="preserve">Guatapé</t>
  </si>
  <si>
    <t xml:space="preserve">Playas</t>
  </si>
  <si>
    <t xml:space="preserve">Jazmín - Girasol </t>
  </si>
  <si>
    <t xml:space="preserve">Jazmín</t>
  </si>
  <si>
    <t xml:space="preserve">Girasol </t>
  </si>
  <si>
    <t xml:space="preserve">Playas - Pto Nare </t>
  </si>
  <si>
    <t xml:space="preserve">Pto Nare </t>
  </si>
  <si>
    <t xml:space="preserve">Pto Boyacá - Vasconia</t>
  </si>
  <si>
    <t xml:space="preserve">Pto Boyacá</t>
  </si>
  <si>
    <t xml:space="preserve">Vasconia</t>
  </si>
  <si>
    <t xml:space="preserve">Pto Nare - Pto inmarco</t>
  </si>
  <si>
    <t xml:space="preserve">Pto inmarco</t>
  </si>
  <si>
    <t xml:space="preserve">Pto Nare - Moriche</t>
  </si>
  <si>
    <t xml:space="preserve">Moriche</t>
  </si>
  <si>
    <t xml:space="preserve">Teca - Vasconia</t>
  </si>
  <si>
    <t xml:space="preserve">Vasconia - Jazmín</t>
  </si>
  <si>
    <t xml:space="preserve">Calizas - Doradal</t>
  </si>
  <si>
    <t xml:space="preserve">Doradal</t>
  </si>
  <si>
    <t xml:space="preserve">Cocorná - T Santiago</t>
  </si>
  <si>
    <t xml:space="preserve">T Santiago</t>
  </si>
  <si>
    <t xml:space="preserve">T Santiago - Puerto Triunfo</t>
  </si>
  <si>
    <t xml:space="preserve">Puerto Triunfo</t>
  </si>
  <si>
    <t xml:space="preserve">Playas - T San Carlos</t>
  </si>
  <si>
    <t xml:space="preserve">T San Carlos</t>
  </si>
  <si>
    <t xml:space="preserve">T San Carlos - Juanes</t>
  </si>
  <si>
    <t xml:space="preserve">Juanes</t>
  </si>
  <si>
    <t xml:space="preserve">T Santiago - Carcel Nápoles</t>
  </si>
  <si>
    <t xml:space="preserve">Carcel Nápoles</t>
  </si>
  <si>
    <t xml:space="preserve">Carcel Napoles - Doradal</t>
  </si>
  <si>
    <t xml:space="preserve">Carcel Napoles</t>
  </si>
  <si>
    <t xml:space="preserve">T San Carlos - San Carlos</t>
  </si>
  <si>
    <t xml:space="preserve">San Carlos</t>
  </si>
  <si>
    <t xml:space="preserve">Caucasia - Cerromatoso 1 </t>
  </si>
  <si>
    <t xml:space="preserve">Caucasia</t>
  </si>
  <si>
    <t xml:space="preserve">Cerromatoso</t>
  </si>
  <si>
    <t xml:space="preserve">Caucasia - Cerromatoso 2 </t>
  </si>
  <si>
    <t xml:space="preserve">Cacerí - Bijagual </t>
  </si>
  <si>
    <t xml:space="preserve">Cacerí</t>
  </si>
  <si>
    <t xml:space="preserve">Bijagual </t>
  </si>
  <si>
    <t xml:space="preserve">Cacerí - La Apartada </t>
  </si>
  <si>
    <t xml:space="preserve">La Apartada </t>
  </si>
  <si>
    <t xml:space="preserve">Caucasia - Batallón Rifles</t>
  </si>
  <si>
    <t xml:space="preserve">Batallón Rifles</t>
  </si>
  <si>
    <t xml:space="preserve">Batallón Rifles - Guarumo </t>
  </si>
  <si>
    <t xml:space="preserve">Guarumo </t>
  </si>
  <si>
    <t xml:space="preserve">Caucasia - La Palmera </t>
  </si>
  <si>
    <t xml:space="preserve">La Palmera </t>
  </si>
  <si>
    <t xml:space="preserve">Caucasia - Margento </t>
  </si>
  <si>
    <t xml:space="preserve">Margento </t>
  </si>
  <si>
    <t xml:space="preserve">Colorado - Nechí </t>
  </si>
  <si>
    <t xml:space="preserve">Colorado</t>
  </si>
  <si>
    <t xml:space="preserve">Nechí </t>
  </si>
  <si>
    <t xml:space="preserve">El Bagre - Zaragoza </t>
  </si>
  <si>
    <t xml:space="preserve">El Bagre</t>
  </si>
  <si>
    <t xml:space="preserve">Zaragoza </t>
  </si>
  <si>
    <t xml:space="preserve">El Jardín - Tarazá </t>
  </si>
  <si>
    <t xml:space="preserve">El Jardín</t>
  </si>
  <si>
    <t xml:space="preserve">Tarazá </t>
  </si>
  <si>
    <t xml:space="preserve">Guarumo - Jardín </t>
  </si>
  <si>
    <t xml:space="preserve">Guarumo</t>
  </si>
  <si>
    <t xml:space="preserve">Jardín </t>
  </si>
  <si>
    <t xml:space="preserve">La Apartada - Cuturú</t>
  </si>
  <si>
    <t xml:space="preserve">La Apartada</t>
  </si>
  <si>
    <t xml:space="preserve">Cuturú</t>
  </si>
  <si>
    <t xml:space="preserve">La Apartada - El Bagre</t>
  </si>
  <si>
    <t xml:space="preserve">La Palmera - Cacerí</t>
  </si>
  <si>
    <t xml:space="preserve">La Palmera</t>
  </si>
  <si>
    <t xml:space="preserve">Margento - Colorado </t>
  </si>
  <si>
    <t xml:space="preserve">Margento</t>
  </si>
  <si>
    <t xml:space="preserve">Colorado </t>
  </si>
  <si>
    <t xml:space="preserve">Ancon Sur - Belen 1 </t>
  </si>
  <si>
    <t xml:space="preserve">Ancon Sur</t>
  </si>
  <si>
    <t xml:space="preserve">Belen</t>
  </si>
  <si>
    <t xml:space="preserve">Ancon Sur - Envigado 1 </t>
  </si>
  <si>
    <t xml:space="preserve">Envigado</t>
  </si>
  <si>
    <t xml:space="preserve">Ancon Sur - Guayabal 1 </t>
  </si>
  <si>
    <t xml:space="preserve">Guayabal</t>
  </si>
  <si>
    <t xml:space="preserve">Esta línea se abre para conectarse a la SE Rodeo, conformando así las líneas Ancón Sur - Rodeo y Rodeo - Guayabal</t>
  </si>
  <si>
    <t xml:space="preserve">Ancon Sur - Rodeo</t>
  </si>
  <si>
    <t xml:space="preserve">Rodeo</t>
  </si>
  <si>
    <t xml:space="preserve">Rodeo - Guayabal</t>
  </si>
  <si>
    <t xml:space="preserve">Barbosa - El Salto 1 </t>
  </si>
  <si>
    <t xml:space="preserve">Barbosa</t>
  </si>
  <si>
    <t xml:space="preserve">Barbosa - Girardota 1 </t>
  </si>
  <si>
    <t xml:space="preserve">Girardota</t>
  </si>
  <si>
    <t xml:space="preserve">Belen - Colombia 1 </t>
  </si>
  <si>
    <t xml:space="preserve">Colombia</t>
  </si>
  <si>
    <t xml:space="preserve">Belen - El Rodeo 1 </t>
  </si>
  <si>
    <t xml:space="preserve">El Rodeo</t>
  </si>
  <si>
    <t xml:space="preserve">Belen - Occidente 1 </t>
  </si>
  <si>
    <t xml:space="preserve">Bello - Castilla 1 </t>
  </si>
  <si>
    <t xml:space="preserve">Bello</t>
  </si>
  <si>
    <t xml:space="preserve">Castilla</t>
  </si>
  <si>
    <t xml:space="preserve">Bello - Castilla 2 </t>
  </si>
  <si>
    <t xml:space="preserve">Bello - Central 1 </t>
  </si>
  <si>
    <t xml:space="preserve">Central</t>
  </si>
  <si>
    <t xml:space="preserve">Bello - Central 2 </t>
  </si>
  <si>
    <t xml:space="preserve">Bello - P Blancas 1 </t>
  </si>
  <si>
    <t xml:space="preserve">P Blancas</t>
  </si>
  <si>
    <t xml:space="preserve">Bello - Riogrande 1 </t>
  </si>
  <si>
    <t xml:space="preserve">Cabañas - Colombia </t>
  </si>
  <si>
    <t xml:space="preserve">Cabañas</t>
  </si>
  <si>
    <t xml:space="preserve">Colombia </t>
  </si>
  <si>
    <t xml:space="preserve">Cabañas - Occidente </t>
  </si>
  <si>
    <t xml:space="preserve">Occidente </t>
  </si>
  <si>
    <t xml:space="preserve">Castilla - Central 1 </t>
  </si>
  <si>
    <t xml:space="preserve">Castilla - Central 2 </t>
  </si>
  <si>
    <t xml:space="preserve">Central - Guayabal 1 </t>
  </si>
  <si>
    <t xml:space="preserve">Central - Guayabal 2 </t>
  </si>
  <si>
    <t xml:space="preserve">Colombia - Horizonte 1 </t>
  </si>
  <si>
    <t xml:space="preserve">Horizonte</t>
  </si>
  <si>
    <t xml:space="preserve">Colombia - Occidente 1 </t>
  </si>
  <si>
    <t xml:space="preserve">El Rodeo - Itagui 1 </t>
  </si>
  <si>
    <t xml:space="preserve">Itagui</t>
  </si>
  <si>
    <t xml:space="preserve">El Salto - Zamora 1 </t>
  </si>
  <si>
    <t xml:space="preserve">Zamora</t>
  </si>
  <si>
    <t xml:space="preserve">Envigado - Guayabal 1 </t>
  </si>
  <si>
    <t xml:space="preserve">Envigado - Itagui 1 </t>
  </si>
  <si>
    <t xml:space="preserve">Girardota - P Blancas 1 </t>
  </si>
  <si>
    <t xml:space="preserve">Girardota - Riogrande 1 </t>
  </si>
  <si>
    <t xml:space="preserve">Girardota - Zamora 1 </t>
  </si>
  <si>
    <t xml:space="preserve">Guayabal - Poblado 1 </t>
  </si>
  <si>
    <t xml:space="preserve">Poblado</t>
  </si>
  <si>
    <t xml:space="preserve">Guayabal - San Diego 1 </t>
  </si>
  <si>
    <t xml:space="preserve">San Diego</t>
  </si>
  <si>
    <t xml:space="preserve">Esta línea se abre para permitir la conexión de la SE Industriales, conformando así las líneas Guayabal - Industriales e Industriales - San Diego</t>
  </si>
  <si>
    <t xml:space="preserve">Guayabal - Industriales</t>
  </si>
  <si>
    <t xml:space="preserve">Industriales</t>
  </si>
  <si>
    <t xml:space="preserve">Industriales - San Diego 1 </t>
  </si>
  <si>
    <t xml:space="preserve">Horizonte - Zamora 1 </t>
  </si>
  <si>
    <t xml:space="preserve">Miraflores - P Blancas 1 </t>
  </si>
  <si>
    <t xml:space="preserve">Miraflores - San Diego 1 </t>
  </si>
  <si>
    <t xml:space="preserve">Miraflores - San Diego 2 </t>
  </si>
  <si>
    <t xml:space="preserve">Miraflores - Villa Hermosa 1 </t>
  </si>
  <si>
    <t xml:space="preserve">Villa Hermosa</t>
  </si>
  <si>
    <t xml:space="preserve">Occidente - Zamora 1 </t>
  </si>
  <si>
    <t xml:space="preserve">P. Blancas - Villa Hermosa 1 </t>
  </si>
  <si>
    <t xml:space="preserve">P. Blancas</t>
  </si>
  <si>
    <t xml:space="preserve">Poblado - San Diego 1 </t>
  </si>
  <si>
    <t xml:space="preserve">Esta línea se abre para permitir la conexión de la SE Industriales, conformando así las líneas Poblado - Industriales e Industriales - San Diego</t>
  </si>
  <si>
    <t xml:space="preserve">Poblado - Industriales</t>
  </si>
  <si>
    <t xml:space="preserve">Industriales - San Diego 2</t>
  </si>
  <si>
    <t xml:space="preserve">Chorodó - Buritica 110</t>
  </si>
  <si>
    <t xml:space="preserve">Buriticá</t>
  </si>
  <si>
    <t xml:space="preserve">Termobatrranca - Yondó</t>
  </si>
  <si>
    <t xml:space="preserve">Termobatrranca</t>
  </si>
  <si>
    <t xml:space="preserve">Yondó</t>
  </si>
  <si>
    <t xml:space="preserve">Corrientes - Cocorna Regional</t>
  </si>
  <si>
    <t xml:space="preserve">Información General de Transformadores Tridevanados</t>
  </si>
  <si>
    <t xml:space="preserve">Magnitud [%]</t>
  </si>
  <si>
    <t xml:space="preserve">Tiempo [minutos]</t>
  </si>
  <si>
    <t xml:space="preserve">Amagá 110/44/13,2</t>
  </si>
  <si>
    <t xml:space="preserve">YN0yn0d11</t>
  </si>
  <si>
    <t xml:space="preserve">Este trafo se repone por uno de características similares pero con grupo YNyn0yn0 y tensión de alta de 110 kV y 20 MVA en baja en el año 2027</t>
  </si>
  <si>
    <t xml:space="preserve">YN0yn0yn0</t>
  </si>
  <si>
    <t xml:space="preserve">Ancon Sur 1 110/44/13,2</t>
  </si>
  <si>
    <t xml:space="preserve">Ancon Sur 1 220/110</t>
  </si>
  <si>
    <t xml:space="preserve">Ancon Sur 2 110/44/13,2</t>
  </si>
  <si>
    <t xml:space="preserve">YN0d11yn0</t>
  </si>
  <si>
    <t xml:space="preserve">Ancon Sur 2 214.5/110</t>
  </si>
  <si>
    <t xml:space="preserve">Ayurá 110/44/13,2</t>
  </si>
  <si>
    <t xml:space="preserve">Barbosa 1 110/44</t>
  </si>
  <si>
    <t xml:space="preserve">Barbosa 2 110/44/13,2</t>
  </si>
  <si>
    <t xml:space="preserve">Barbosa 220/110</t>
  </si>
  <si>
    <t xml:space="preserve">YN0yn0d5</t>
  </si>
  <si>
    <t xml:space="preserve">Belen 1 110/44/13,2</t>
  </si>
  <si>
    <t xml:space="preserve">Belén</t>
  </si>
  <si>
    <t xml:space="preserve">Belen 2 110/44/13,2</t>
  </si>
  <si>
    <t xml:space="preserve">Bello 1 110/44/13,2</t>
  </si>
  <si>
    <t xml:space="preserve">Bello 1 214.5/110</t>
  </si>
  <si>
    <t xml:space="preserve">Bello 2 110/44/13,2</t>
  </si>
  <si>
    <t xml:space="preserve">Bello 2 214.5/110</t>
  </si>
  <si>
    <t xml:space="preserve">Bolombolo 110/44/13,2</t>
  </si>
  <si>
    <t xml:space="preserve">Caldas 110/44/13,2</t>
  </si>
  <si>
    <t xml:space="preserve">Carrieles 1 220/110/44</t>
  </si>
  <si>
    <t xml:space="preserve">YNyn0d1</t>
  </si>
  <si>
    <t xml:space="preserve">Carrieles 2 220/110/44</t>
  </si>
  <si>
    <t xml:space="preserve">Castilla 1 110/44/13,2</t>
  </si>
  <si>
    <t xml:space="preserve">Castilla 2 110/44/13,2</t>
  </si>
  <si>
    <t xml:space="preserve">Caucheras 110/44/13.2</t>
  </si>
  <si>
    <t xml:space="preserve">Central 1 110/44/13,2</t>
  </si>
  <si>
    <t xml:space="preserve">Central 2 110/44/13,2</t>
  </si>
  <si>
    <t xml:space="preserve">Central 3 110/44/13,2</t>
  </si>
  <si>
    <t xml:space="preserve">Central 4 110/44/13,2</t>
  </si>
  <si>
    <t xml:space="preserve">Colombia 1 110/44/13,2</t>
  </si>
  <si>
    <t xml:space="preserve">Colombia 2 110/44/13,2</t>
  </si>
  <si>
    <t xml:space="preserve">Córdoba 110/45.94/14.4</t>
  </si>
  <si>
    <t xml:space="preserve">Córdoba</t>
  </si>
  <si>
    <t xml:space="preserve">YNd11yn0</t>
  </si>
  <si>
    <t xml:space="preserve">Este trafo se repone por uno de características similares pero con tensiones 110/44/13,8 kV y grupo YNyn0yn0 en el año 2023</t>
  </si>
  <si>
    <t xml:space="preserve">Córdoba 110/44/13,2</t>
  </si>
  <si>
    <t xml:space="preserve">Envigado 1 110/44/13,2</t>
  </si>
  <si>
    <t xml:space="preserve">Envigado 1 220/110</t>
  </si>
  <si>
    <t xml:space="preserve">Envigado 2 110/44/13,2</t>
  </si>
  <si>
    <t xml:space="preserve">Envigado 2 220/110</t>
  </si>
  <si>
    <t xml:space="preserve">Girardota 1 110/44/13,2</t>
  </si>
  <si>
    <t xml:space="preserve">Guatape 220/110/44</t>
  </si>
  <si>
    <t xml:space="preserve">Guayabal 1 110/44/13,2</t>
  </si>
  <si>
    <t xml:space="preserve">Guayabal 2 110/44/13,2</t>
  </si>
  <si>
    <t xml:space="preserve">Guayabal 4 110/44/13,2</t>
  </si>
  <si>
    <t xml:space="preserve">Guayabal 1 220/110</t>
  </si>
  <si>
    <t xml:space="preserve">Guayabal 2 220/110</t>
  </si>
  <si>
    <t xml:space="preserve">Hispania 110/44/13,2</t>
  </si>
  <si>
    <t xml:space="preserve">Este trafo se repone por uno de características similares pero con grupo YNyn0yn0 y tensión de alta de 110 kV en el año 2027</t>
  </si>
  <si>
    <t xml:space="preserve">Horizonte 1 110/44</t>
  </si>
  <si>
    <t xml:space="preserve">Industriales 110/44/13,2</t>
  </si>
  <si>
    <t xml:space="preserve">Itagüi 1 110/44</t>
  </si>
  <si>
    <t xml:space="preserve">Itagüi</t>
  </si>
  <si>
    <t xml:space="preserve">La Cruzada 110/44/13,2</t>
  </si>
  <si>
    <t xml:space="preserve">Dyn5yn5</t>
  </si>
  <si>
    <t xml:space="preserve">La Sierra 220/110/44</t>
  </si>
  <si>
    <t xml:space="preserve">Miraflores 1 110/44</t>
  </si>
  <si>
    <t xml:space="preserve">Miraflores 1 220/110</t>
  </si>
  <si>
    <t xml:space="preserve">Normalmente abierto en el nivel de 44 kV</t>
  </si>
  <si>
    <t xml:space="preserve">Miraflores 2 220/110</t>
  </si>
  <si>
    <t xml:space="preserve">La barra de 44 kV se llama Miraflores2_44 y atiende el circuito R4-40</t>
  </si>
  <si>
    <t xml:space="preserve">Occidente 1 220/110/13,2</t>
  </si>
  <si>
    <t xml:space="preserve">Occidente 2 220/110/13,2</t>
  </si>
  <si>
    <t xml:space="preserve">Oriente 110/44/13.2</t>
  </si>
  <si>
    <t xml:space="preserve">Oriente 1 214/110/46</t>
  </si>
  <si>
    <t xml:space="preserve">Oriente 2 220/110/46.2</t>
  </si>
  <si>
    <t xml:space="preserve">P. Blancas 1 110/44/13,2</t>
  </si>
  <si>
    <t xml:space="preserve">P. Blancas 2 110/44/13,2</t>
  </si>
  <si>
    <t xml:space="preserve">Playas 220/110/44</t>
  </si>
  <si>
    <t xml:space="preserve">Poblado 1 110/44/13,2</t>
  </si>
  <si>
    <t xml:space="preserve">Riogrande 2 110/44</t>
  </si>
  <si>
    <t xml:space="preserve">Rionegro 1 110/44/13.2</t>
  </si>
  <si>
    <t xml:space="preserve">Rionegro 2 110/44/13.2</t>
  </si>
  <si>
    <t xml:space="preserve">Rodeo 1 110/44/13,2</t>
  </si>
  <si>
    <t xml:space="preserve">Rodeo 2 110/44/13,2</t>
  </si>
  <si>
    <t xml:space="preserve">Salto 1 220/110</t>
  </si>
  <si>
    <t xml:space="preserve">Salto</t>
  </si>
  <si>
    <t xml:space="preserve">Salto 2 214.5/110</t>
  </si>
  <si>
    <t xml:space="preserve">San Diego 1 110/44/13,2</t>
  </si>
  <si>
    <t xml:space="preserve">San Diego 2 110/44/13,2</t>
  </si>
  <si>
    <t xml:space="preserve">Corrientes 220/110/44</t>
  </si>
  <si>
    <t xml:space="preserve">San Lorenzo II</t>
  </si>
  <si>
    <t xml:space="preserve">Uraba 1 220/110/44</t>
  </si>
  <si>
    <t xml:space="preserve">Uraba 2 220/110/44</t>
  </si>
  <si>
    <t xml:space="preserve">Villa Hermosa 1 110/44/13,2</t>
  </si>
  <si>
    <t xml:space="preserve">Yarumal 1 110/44</t>
  </si>
  <si>
    <t xml:space="preserve">Zamora 1 110/44/13,2</t>
  </si>
  <si>
    <t xml:space="preserve">Zamora 2 110/44/13,2</t>
  </si>
  <si>
    <t xml:space="preserve">Información General de Transformadores Bidevanados</t>
  </si>
  <si>
    <t xml:space="preserve">Abejorral 44/13.2</t>
  </si>
  <si>
    <t xml:space="preserve">Dyn5</t>
  </si>
  <si>
    <t xml:space="preserve">Amalfi 44/13.2</t>
  </si>
  <si>
    <t xml:space="preserve">Ancón Sur 110/44</t>
  </si>
  <si>
    <t xml:space="preserve">Dyn11</t>
  </si>
  <si>
    <t xml:space="preserve">Una vez en operación la subestación Caldas 110 kV en el año 2025, este transformador asume toda de Ancón Sur 44 kV. Se destaca que las cargas Caldas 1, Caldas 2 y LOCERÍA 44 serán atendidas desde Caldas y no desde Ancón Sur como está actualmente</t>
  </si>
  <si>
    <t xml:space="preserve">Andes 44/13.2</t>
  </si>
  <si>
    <t xml:space="preserve">Este trafo se repone por uno de características similares pero con capacidad de 20 MVA en el año 2023</t>
  </si>
  <si>
    <t xml:space="preserve">Angelópolis 44/13.2</t>
  </si>
  <si>
    <t xml:space="preserve">Apartadó 110/13.2</t>
  </si>
  <si>
    <t xml:space="preserve">Apartadó 110/44</t>
  </si>
  <si>
    <t xml:space="preserve">Apartadó 44/13.2</t>
  </si>
  <si>
    <t xml:space="preserve">Opera normalmente abierto y se cierra ante la contingencia de alguno de los otros trafos</t>
  </si>
  <si>
    <t xml:space="preserve">Arboletes 34.5/13.2</t>
  </si>
  <si>
    <t xml:space="preserve">Arboletes</t>
  </si>
  <si>
    <t xml:space="preserve">Opera normalmente abierto</t>
  </si>
  <si>
    <t xml:space="preserve">Arboletes 44/13.2</t>
  </si>
  <si>
    <t xml:space="preserve">Betulia 44/13.2</t>
  </si>
  <si>
    <t xml:space="preserve">Bijagual 44/13.2</t>
  </si>
  <si>
    <t xml:space="preserve">Bijagual</t>
  </si>
  <si>
    <t xml:space="preserve">Brisas 44/13.2</t>
  </si>
  <si>
    <t xml:space="preserve">Dyn1</t>
  </si>
  <si>
    <t xml:space="preserve">Cabañas 110/13,2</t>
  </si>
  <si>
    <t xml:space="preserve">YNyn0</t>
  </si>
  <si>
    <t xml:space="preserve">Cacerí 44/13.2</t>
  </si>
  <si>
    <t xml:space="preserve">Caldas 1 44/13.2</t>
  </si>
  <si>
    <t xml:space="preserve">Caldas 2 44/13.2</t>
  </si>
  <si>
    <t xml:space="preserve">Calizas 110/44</t>
  </si>
  <si>
    <t xml:space="preserve">Calizas 44/13.2</t>
  </si>
  <si>
    <t xml:space="preserve">Cañasgordas 44/13.2</t>
  </si>
  <si>
    <t xml:space="preserve">Caracolí 44/13.2</t>
  </si>
  <si>
    <t xml:space="preserve">Carepa 44/13.2</t>
  </si>
  <si>
    <t xml:space="preserve">Carrieles 110/44</t>
  </si>
  <si>
    <t xml:space="preserve">Carrieles 44/13,2</t>
  </si>
  <si>
    <t xml:space="preserve">Caucasia 1 110/44</t>
  </si>
  <si>
    <t xml:space="preserve">Caucasia 2 110/44</t>
  </si>
  <si>
    <t xml:space="preserve">Caucasia 1 44/13.2</t>
  </si>
  <si>
    <t xml:space="preserve">Caucasia 2 44/13.2</t>
  </si>
  <si>
    <t xml:space="preserve">Chigorodó 44/13.2</t>
  </si>
  <si>
    <t xml:space="preserve">Chigorodó</t>
  </si>
  <si>
    <t xml:space="preserve">Chorodó 110/44</t>
  </si>
  <si>
    <t xml:space="preserve">Chorodó 44/13.2</t>
  </si>
  <si>
    <t xml:space="preserve">Cirilo 44/13.2</t>
  </si>
  <si>
    <t xml:space="preserve">Este trafo se repone por uno de características similares pero con capacidad de 2 MVA en el año 2023</t>
  </si>
  <si>
    <t xml:space="preserve">Ciudad Bolivar 44/13.2</t>
  </si>
  <si>
    <t xml:space="preserve">Cocorná 110/44</t>
  </si>
  <si>
    <t xml:space="preserve">Estación Cocorná</t>
  </si>
  <si>
    <t xml:space="preserve">Cocorná Regional 44/13.2</t>
  </si>
  <si>
    <t xml:space="preserve">Regional Cocorná</t>
  </si>
  <si>
    <t xml:space="preserve">Cocorná Estación 44/13.2</t>
  </si>
  <si>
    <t xml:space="preserve">Colorado 44/13.2</t>
  </si>
  <si>
    <t xml:space="preserve">Concordia 44/13.2</t>
  </si>
  <si>
    <t xml:space="preserve">Cuturú 44/13.2</t>
  </si>
  <si>
    <t xml:space="preserve">Dabeiba 44/13.2</t>
  </si>
  <si>
    <t xml:space="preserve">Doradal 44/13.2</t>
  </si>
  <si>
    <t xml:space="preserve">Este trafo se repone por uno de características similares pero con capacidad de 12,5 MVA en el año 2025</t>
  </si>
  <si>
    <t xml:space="preserve">Ebéjico 44/13.2</t>
  </si>
  <si>
    <t xml:space="preserve">El Bagre 44/13.2</t>
  </si>
  <si>
    <t xml:space="preserve">El Carmen 44/13.2</t>
  </si>
  <si>
    <t xml:space="preserve">El Limón  44/13.2</t>
  </si>
  <si>
    <t xml:space="preserve">El Peñol 44/13.2</t>
  </si>
  <si>
    <t xml:space="preserve">El Peñol</t>
  </si>
  <si>
    <t xml:space="preserve">El Salto 44/13.2</t>
  </si>
  <si>
    <t xml:space="preserve">Fredonia 44/13.2</t>
  </si>
  <si>
    <t xml:space="preserve">Este trafo se repone por uno de características similares pero con capacidad de 20 MVA en el año 2030</t>
  </si>
  <si>
    <t xml:space="preserve">Girasol 110/13.2</t>
  </si>
  <si>
    <t xml:space="preserve">Girasol</t>
  </si>
  <si>
    <t xml:space="preserve">Granada 44/13.2</t>
  </si>
  <si>
    <t xml:space="preserve">Guadalupe 220/44</t>
  </si>
  <si>
    <t xml:space="preserve">Ynyn0</t>
  </si>
  <si>
    <t xml:space="preserve">Guadalupe 44/13.2</t>
  </si>
  <si>
    <t xml:space="preserve">Guárcama 110/44</t>
  </si>
  <si>
    <t xml:space="preserve">Guárcama 44/13.2</t>
  </si>
  <si>
    <t xml:space="preserve">Guarne 44/13.2</t>
  </si>
  <si>
    <t xml:space="preserve">Guarumo 44/13.2</t>
  </si>
  <si>
    <t xml:space="preserve">Guatapé 110/13.2</t>
  </si>
  <si>
    <t xml:space="preserve">Guatapé 44/13.2</t>
  </si>
  <si>
    <t xml:space="preserve">Opera normalmente abierto y se cierra ante la contingencia del trafo 110/13,2</t>
  </si>
  <si>
    <t xml:space="preserve">Guayabal 3 110/44</t>
  </si>
  <si>
    <t xml:space="preserve">Ituango 44/13.2</t>
  </si>
  <si>
    <t xml:space="preserve">Jardín 44/13.2</t>
  </si>
  <si>
    <t xml:space="preserve">Jardín</t>
  </si>
  <si>
    <t xml:space="preserve">Jericó 44/13.2</t>
  </si>
  <si>
    <t xml:space="preserve">Este trafo se cambia por uno de características similares pero 13.3 MVA en el año 2030</t>
  </si>
  <si>
    <t xml:space="preserve">Juanes 44/13.2</t>
  </si>
  <si>
    <t xml:space="preserve">La Atoyosa 44/13.2</t>
  </si>
  <si>
    <t xml:space="preserve">La Ceja 110/44</t>
  </si>
  <si>
    <t xml:space="preserve">La Ceja 110/13.2</t>
  </si>
  <si>
    <t xml:space="preserve">La Ceja 44/13.2</t>
  </si>
  <si>
    <t xml:space="preserve">La Cruzada 44/13.2</t>
  </si>
  <si>
    <t xml:space="preserve">La Fe 44/13.2</t>
  </si>
  <si>
    <t xml:space="preserve">La Fe</t>
  </si>
  <si>
    <t xml:space="preserve">La Palmera 44/13.2</t>
  </si>
  <si>
    <t xml:space="preserve">La Pintada 44/13.2</t>
  </si>
  <si>
    <t xml:space="preserve">La Unión 44/13.2</t>
  </si>
  <si>
    <t xml:space="preserve">Lagunas 110/44</t>
  </si>
  <si>
    <t xml:space="preserve">Lagunas 44/13.2</t>
  </si>
  <si>
    <t xml:space="preserve">Liborina 44/13.2</t>
  </si>
  <si>
    <t xml:space="preserve">Maceo 44/13.2</t>
  </si>
  <si>
    <t xml:space="preserve">Maderos 44/13.2</t>
  </si>
  <si>
    <t xml:space="preserve">Malena 220/44</t>
  </si>
  <si>
    <t xml:space="preserve">Malena 44/13.2</t>
  </si>
  <si>
    <t xml:space="preserve">Malena 2 44/13.2</t>
  </si>
  <si>
    <t xml:space="preserve">Margento 44/13.2</t>
  </si>
  <si>
    <t xml:space="preserve">Marinilla 44/13.2</t>
  </si>
  <si>
    <t xml:space="preserve">Minas Vapor 44/13.2</t>
  </si>
  <si>
    <t xml:space="preserve">Nariño 44/13.2</t>
  </si>
  <si>
    <t xml:space="preserve">Nechí 44/13.2</t>
  </si>
  <si>
    <t xml:space="preserve">Nechí</t>
  </si>
  <si>
    <t xml:space="preserve">Necoclí 44/13.2</t>
  </si>
  <si>
    <t xml:space="preserve">Nueva Colonia 110/44</t>
  </si>
  <si>
    <t xml:space="preserve">Nueva Colonia 44/13.2</t>
  </si>
  <si>
    <t xml:space="preserve">Otú 44/13.2</t>
  </si>
  <si>
    <t xml:space="preserve">Paso Ancho 44/13.2</t>
  </si>
  <si>
    <t xml:space="preserve">Playas 44/13.2</t>
  </si>
  <si>
    <t xml:space="preserve">Porce 110/44</t>
  </si>
  <si>
    <t xml:space="preserve">Porce 44/13.2</t>
  </si>
  <si>
    <t xml:space="preserve">Pto Nare 110/13.2</t>
  </si>
  <si>
    <t xml:space="preserve">Puerto Nare</t>
  </si>
  <si>
    <t xml:space="preserve">Pto Triunfo 44/13.2</t>
  </si>
  <si>
    <t xml:space="preserve">Pueblo Bello 44/13.2</t>
  </si>
  <si>
    <t xml:space="preserve">Rio Abajo 44/13.2</t>
  </si>
  <si>
    <t xml:space="preserve">Riogrande 44/13.2</t>
  </si>
  <si>
    <t xml:space="preserve">Salgar 44/13.2</t>
  </si>
  <si>
    <t xml:space="preserve">San Antonio de Prado 44/13.2</t>
  </si>
  <si>
    <t xml:space="preserve">San Antonio de Prado</t>
  </si>
  <si>
    <t xml:space="preserve">San Carlos 44/13.2</t>
  </si>
  <si>
    <t xml:space="preserve">San Cristobal 44/13.2</t>
  </si>
  <si>
    <t xml:space="preserve">San Cristobal</t>
  </si>
  <si>
    <t xml:space="preserve">San Jerónimo 110/44</t>
  </si>
  <si>
    <t xml:space="preserve">San Jerónimo 1 44/13.2</t>
  </si>
  <si>
    <t xml:space="preserve">San Jerónimo 2 44/13.2</t>
  </si>
  <si>
    <t xml:space="preserve">San Pedro Milagros 44/13.2</t>
  </si>
  <si>
    <t xml:space="preserve">San Pedro</t>
  </si>
  <si>
    <t xml:space="preserve">San Pedro Urabá 44/13.2</t>
  </si>
  <si>
    <t xml:space="preserve">San Pedro de Urabá</t>
  </si>
  <si>
    <t xml:space="preserve">San Roque 44/13.2</t>
  </si>
  <si>
    <t xml:space="preserve">Santa Bárbara 44/13.2</t>
  </si>
  <si>
    <t xml:space="preserve">Santa Rosa 2 110/13,2</t>
  </si>
  <si>
    <t xml:space="preserve">Santa Rosa 2 110/44</t>
  </si>
  <si>
    <t xml:space="preserve">Santa Rosa 44/13.6</t>
  </si>
  <si>
    <t xml:space="preserve">Santuario 44/13.2</t>
  </si>
  <si>
    <t xml:space="preserve">Sn José Nus 44/13.2</t>
  </si>
  <si>
    <t xml:space="preserve">Sonsón 110/44</t>
  </si>
  <si>
    <t xml:space="preserve">Sonsón 44/13.2</t>
  </si>
  <si>
    <t xml:space="preserve">Sta Fé Antioquia 110/44</t>
  </si>
  <si>
    <t xml:space="preserve">Sta Fé Antioquia 44/13.2</t>
  </si>
  <si>
    <t xml:space="preserve">Sta Isabel  44/13.2</t>
  </si>
  <si>
    <t xml:space="preserve">Támesis 44/13.2</t>
  </si>
  <si>
    <t xml:space="preserve">Tapartó 44/13.2</t>
  </si>
  <si>
    <t xml:space="preserve">Tarazá 44/13.2</t>
  </si>
  <si>
    <t xml:space="preserve">Tarazá</t>
  </si>
  <si>
    <t xml:space="preserve">Tarso 44/13.2 </t>
  </si>
  <si>
    <t xml:space="preserve">Tigre 110/44</t>
  </si>
  <si>
    <t xml:space="preserve">Ynd5</t>
  </si>
  <si>
    <t xml:space="preserve">Tigre 44/13.2</t>
  </si>
  <si>
    <t xml:space="preserve">Titiribí 44/13,2</t>
  </si>
  <si>
    <t xml:space="preserve">Turbo 44/13.2</t>
  </si>
  <si>
    <t xml:space="preserve">Turbo</t>
  </si>
  <si>
    <t xml:space="preserve">Urabá 110/44</t>
  </si>
  <si>
    <t xml:space="preserve">Urabá 44/13.2</t>
  </si>
  <si>
    <t xml:space="preserve">Urrao 44/13.2</t>
  </si>
  <si>
    <t xml:space="preserve">Valdivia 44/13.2</t>
  </si>
  <si>
    <t xml:space="preserve">Valle 44/13.2</t>
  </si>
  <si>
    <t xml:space="preserve">Valparaiso 44/13.2</t>
  </si>
  <si>
    <t xml:space="preserve">Este trafo se repone por uno de características similares en el año 2026</t>
  </si>
  <si>
    <t xml:space="preserve">Vegachí  44/13.2</t>
  </si>
  <si>
    <t xml:space="preserve">Villa Luz 44/13.2</t>
  </si>
  <si>
    <t xml:space="preserve">Yalí 44/13.2</t>
  </si>
  <si>
    <t xml:space="preserve">Yolombó 44/13.2</t>
  </si>
  <si>
    <t xml:space="preserve">Yondó 44/13,2</t>
  </si>
  <si>
    <t xml:space="preserve">Zaragoza 44/13.2</t>
  </si>
  <si>
    <t xml:space="preserve">Zungo 44/13.2</t>
  </si>
  <si>
    <t xml:space="preserve">Las Palmas 44/13,2</t>
  </si>
  <si>
    <t xml:space="preserve">Las Palmas</t>
  </si>
  <si>
    <t xml:space="preserve">San Lorenzo 110/44</t>
  </si>
  <si>
    <t xml:space="preserve">Información General de Subestaciones</t>
  </si>
  <si>
    <t xml:space="preserve">EPM</t>
  </si>
  <si>
    <t xml:space="preserve">Barra Sencilla</t>
  </si>
  <si>
    <t xml:space="preserve">Convencional</t>
  </si>
  <si>
    <t xml:space="preserve">Antioquia</t>
  </si>
  <si>
    <t xml:space="preserve">Celdas MT</t>
  </si>
  <si>
    <t xml:space="preserve">Interior</t>
  </si>
  <si>
    <t xml:space="preserve">Amalfi 110 kV</t>
  </si>
  <si>
    <t xml:space="preserve">Amalfi 44/13,2 kV</t>
  </si>
  <si>
    <t xml:space="preserve">No barra</t>
  </si>
  <si>
    <t xml:space="preserve">Ancón Sur </t>
  </si>
  <si>
    <t xml:space="preserve">La Estrella</t>
  </si>
  <si>
    <t xml:space="preserve">No Barra</t>
  </si>
  <si>
    <t xml:space="preserve">Angelopolis</t>
  </si>
  <si>
    <t xml:space="preserve">Reducida</t>
  </si>
  <si>
    <t xml:space="preserve">Encapsulado</t>
  </si>
  <si>
    <t xml:space="preserve">Medellín</t>
  </si>
  <si>
    <t xml:space="preserve">Bello </t>
  </si>
  <si>
    <t xml:space="preserve">Doble Barra</t>
  </si>
  <si>
    <t xml:space="preserve">44 AT</t>
  </si>
  <si>
    <t xml:space="preserve">Bolivar</t>
  </si>
  <si>
    <t xml:space="preserve">Venecia</t>
  </si>
  <si>
    <t xml:space="preserve">Caceri</t>
  </si>
  <si>
    <t xml:space="preserve">Una vez en operación la subestación Caldas 110 kV en el año 2025, este nodo alimentará las cargas Caldas 1, Caldas 2 y LOCERÍA 44. Actualmente estas cargas son atendidas desde Ancón Sur</t>
  </si>
  <si>
    <t xml:space="preserve">Celdas 44 kV</t>
  </si>
  <si>
    <t xml:space="preserve">Caracoli</t>
  </si>
  <si>
    <t xml:space="preserve">Barra Principal y Barra de Transferencia</t>
  </si>
  <si>
    <t xml:space="preserve">Barra Principal más transferencia</t>
  </si>
  <si>
    <t xml:space="preserve">Mutatá</t>
  </si>
  <si>
    <t xml:space="preserve">Cordoba</t>
  </si>
  <si>
    <t xml:space="preserve">Cuturu</t>
  </si>
  <si>
    <t xml:space="preserve">Ebejico</t>
  </si>
  <si>
    <t xml:space="preserve">El Carmen de Viboral</t>
  </si>
  <si>
    <t xml:space="preserve">El  Carmen de Viboral</t>
  </si>
  <si>
    <t xml:space="preserve">El Limon</t>
  </si>
  <si>
    <t xml:space="preserve">Santo Domingo</t>
  </si>
  <si>
    <t xml:space="preserve">Itaguí</t>
  </si>
  <si>
    <t xml:space="preserve">El Salto I - II - III</t>
  </si>
  <si>
    <t xml:space="preserve">Gomez Plata</t>
  </si>
  <si>
    <t xml:space="preserve">44AT</t>
  </si>
  <si>
    <t xml:space="preserve">El Salto IV</t>
  </si>
  <si>
    <t xml:space="preserve">El Tres Uraba</t>
  </si>
  <si>
    <t xml:space="preserve">Toledo</t>
  </si>
  <si>
    <t xml:space="preserve">Estación Cocorna R32</t>
  </si>
  <si>
    <t xml:space="preserve">Guadalupe IV</t>
  </si>
  <si>
    <t xml:space="preserve">San José de la Montaña</t>
  </si>
  <si>
    <t xml:space="preserve">Cáceres</t>
  </si>
  <si>
    <t xml:space="preserve">Doble Barra + By Pass</t>
  </si>
  <si>
    <t xml:space="preserve">San Rafael</t>
  </si>
  <si>
    <t xml:space="preserve">Interruptor y Medio</t>
  </si>
  <si>
    <t xml:space="preserve">Jardin</t>
  </si>
  <si>
    <t xml:space="preserve">Jerico</t>
  </si>
  <si>
    <t xml:space="preserve">Remedios</t>
  </si>
  <si>
    <t xml:space="preserve">La Toyosa</t>
  </si>
  <si>
    <t xml:space="preserve">La Union</t>
  </si>
  <si>
    <t xml:space="preserve">Las Brisas</t>
  </si>
  <si>
    <t xml:space="preserve">Anorí</t>
  </si>
  <si>
    <t xml:space="preserve">Caicedo</t>
  </si>
  <si>
    <t xml:space="preserve">Puerto Berrío</t>
  </si>
  <si>
    <t xml:space="preserve">Minas del Vapor</t>
  </si>
  <si>
    <t xml:space="preserve">Doble Barra y barra cambio rapido</t>
  </si>
  <si>
    <t xml:space="preserve">Nechi</t>
  </si>
  <si>
    <t xml:space="preserve">Necocli</t>
  </si>
  <si>
    <t xml:space="preserve">Barra sencilla</t>
  </si>
  <si>
    <t xml:space="preserve">Nueva Esperanza</t>
  </si>
  <si>
    <t xml:space="preserve">Cundinamarca</t>
  </si>
  <si>
    <t xml:space="preserve">Soacha</t>
  </si>
  <si>
    <t xml:space="preserve">Santa Rosa de Osos</t>
  </si>
  <si>
    <t xml:space="preserve">Nuevo Penol</t>
  </si>
  <si>
    <t xml:space="preserve">Peñol</t>
  </si>
  <si>
    <t xml:space="preserve">Anillo</t>
  </si>
  <si>
    <t xml:space="preserve">Interruptor y medio</t>
  </si>
  <si>
    <t xml:space="preserve">Pantanillo la Fe</t>
  </si>
  <si>
    <t xml:space="preserve">El Retiro</t>
  </si>
  <si>
    <t xml:space="preserve">Frontino</t>
  </si>
  <si>
    <t xml:space="preserve">Pintada</t>
  </si>
  <si>
    <t xml:space="preserve">Porce II R57</t>
  </si>
  <si>
    <t xml:space="preserve">Porcecito 101</t>
  </si>
  <si>
    <t xml:space="preserve">Rio Claro</t>
  </si>
  <si>
    <t xml:space="preserve">Rioabajo</t>
  </si>
  <si>
    <t xml:space="preserve">San Vicente Ferrer</t>
  </si>
  <si>
    <t xml:space="preserve">Don Matias</t>
  </si>
  <si>
    <t xml:space="preserve">San Jeronimo</t>
  </si>
  <si>
    <t xml:space="preserve">San Jose del Nus</t>
  </si>
  <si>
    <t xml:space="preserve">San Pedro de los milagros</t>
  </si>
  <si>
    <t xml:space="preserve">San Pedro de Uraba</t>
  </si>
  <si>
    <t xml:space="preserve">Santa Barbara</t>
  </si>
  <si>
    <t xml:space="preserve">El Santuario</t>
  </si>
  <si>
    <t xml:space="preserve">Sonson</t>
  </si>
  <si>
    <t xml:space="preserve">Tamesis</t>
  </si>
  <si>
    <t xml:space="preserve">Tasajera</t>
  </si>
  <si>
    <t xml:space="preserve">Valparaiso</t>
  </si>
  <si>
    <t xml:space="preserve">Vegachi</t>
  </si>
  <si>
    <t xml:space="preserve">Yali</t>
  </si>
  <si>
    <t xml:space="preserve">Información General de Demandas</t>
  </si>
  <si>
    <t xml:space="preserve">P [MW]</t>
  </si>
  <si>
    <t xml:space="preserve">Q [MVAr]</t>
  </si>
  <si>
    <t xml:space="preserve">Industrial</t>
  </si>
  <si>
    <t xml:space="preserve">TACC: 0%</t>
  </si>
  <si>
    <t xml:space="preserve">Comercial</t>
  </si>
  <si>
    <t xml:space="preserve">TACC: 2,00%</t>
  </si>
  <si>
    <t xml:space="preserve">TACC: 1,2%</t>
  </si>
  <si>
    <t xml:space="preserve">  ECOPETROL SA 44</t>
  </si>
  <si>
    <t xml:space="preserve">  Horizonte-T Castilla-Colombia 44</t>
  </si>
  <si>
    <t xml:space="preserve">  INCA METAL 44</t>
  </si>
  <si>
    <t xml:space="preserve">Aridos de Antioquia</t>
  </si>
  <si>
    <t xml:space="preserve">Aridos de Antioquia-Agreg. Norte 44</t>
  </si>
  <si>
    <t xml:space="preserve">  NOEL 44</t>
  </si>
  <si>
    <t xml:space="preserve">Italcol de Occidente</t>
  </si>
  <si>
    <t xml:space="preserve">ITALCOL DE OCCIDENTE LTDA(1)</t>
  </si>
  <si>
    <t xml:space="preserve">Pavimentar SA</t>
  </si>
  <si>
    <t xml:space="preserve">Pavimentar S.A.44</t>
  </si>
  <si>
    <t xml:space="preserve">  PROLECHE</t>
  </si>
  <si>
    <t xml:space="preserve">  PROLECHE(3)</t>
  </si>
  <si>
    <t xml:space="preserve">  R11-40(1) 44</t>
  </si>
  <si>
    <t xml:space="preserve">  SOLLA 44</t>
  </si>
  <si>
    <t xml:space="preserve">TACC: 3,08%</t>
  </si>
  <si>
    <t xml:space="preserve">  BANCOLOMBIA 44 R15</t>
  </si>
  <si>
    <t xml:space="preserve">  POSADA TOBON 44 R05</t>
  </si>
  <si>
    <t xml:space="preserve">TACC: 2,25%</t>
  </si>
  <si>
    <t xml:space="preserve">  COLTEJER RIONEGRO 44(1)</t>
  </si>
  <si>
    <t xml:space="preserve">  FCA RIOTEX 44(1)</t>
  </si>
  <si>
    <t xml:space="preserve">  INMUEBLES COMERCIALES SA 44</t>
  </si>
  <si>
    <t xml:space="preserve">Envigado 110</t>
  </si>
  <si>
    <t xml:space="preserve">Envigado 220</t>
  </si>
  <si>
    <t xml:space="preserve">TACC: 1,57%</t>
  </si>
  <si>
    <t xml:space="preserve">Itagüí</t>
  </si>
  <si>
    <t xml:space="preserve">Caldas 44</t>
  </si>
  <si>
    <t xml:space="preserve">TACC: 0%  Una vez en operación la subestación Caldas 110 kV el 31/01/2025, esta carga deberá reflejarse en dicha subestación</t>
  </si>
  <si>
    <t xml:space="preserve">Apartado_13.2kV</t>
  </si>
  <si>
    <t xml:space="preserve">Apartadó 13,2</t>
  </si>
  <si>
    <t xml:space="preserve">Residencial</t>
  </si>
  <si>
    <t xml:space="preserve">TACC: 1,16%</t>
  </si>
  <si>
    <t xml:space="preserve">Arbolet_13.2kV</t>
  </si>
  <si>
    <t xml:space="preserve">Arboletes 13,2</t>
  </si>
  <si>
    <t xml:space="preserve">TACC: 2,07%</t>
  </si>
  <si>
    <t xml:space="preserve">Carepa_13.2kV</t>
  </si>
  <si>
    <t xml:space="preserve">Carepa 13,2</t>
  </si>
  <si>
    <t xml:space="preserve">TACC: 2,54%</t>
  </si>
  <si>
    <t xml:space="preserve">Caucher_13.2kV</t>
  </si>
  <si>
    <t xml:space="preserve">Caucheras 13,2</t>
  </si>
  <si>
    <t xml:space="preserve">TACC: 1,58%</t>
  </si>
  <si>
    <t xml:space="preserve">Caucher_44kV</t>
  </si>
  <si>
    <t xml:space="preserve">Caucheras 44</t>
  </si>
  <si>
    <t xml:space="preserve">Chigorod_13.2kV</t>
  </si>
  <si>
    <t xml:space="preserve">Chigorodó 13,2</t>
  </si>
  <si>
    <t xml:space="preserve">TACC: 3,85%</t>
  </si>
  <si>
    <t xml:space="preserve">Cirilo_13.2kV</t>
  </si>
  <si>
    <t xml:space="preserve">Cirilo 13,2</t>
  </si>
  <si>
    <t xml:space="preserve">TACC: 1%</t>
  </si>
  <si>
    <t xml:space="preserve">Corrugados 44(1)</t>
  </si>
  <si>
    <t xml:space="preserve">Latoyosa_13.2kV</t>
  </si>
  <si>
    <t xml:space="preserve">La Atoyosa 13,2</t>
  </si>
  <si>
    <t xml:space="preserve">TACC: 2,75%</t>
  </si>
  <si>
    <t xml:space="preserve">Necocli_13.2kV</t>
  </si>
  <si>
    <t xml:space="preserve">Necoclí 13,2</t>
  </si>
  <si>
    <t xml:space="preserve">TACC: 2,56%</t>
  </si>
  <si>
    <t xml:space="preserve">Nueva Colonia_13.2kV</t>
  </si>
  <si>
    <t xml:space="preserve">Nueva Colonia 13,2</t>
  </si>
  <si>
    <t xml:space="preserve">TACC: 0,8%</t>
  </si>
  <si>
    <t xml:space="preserve">PBello_13.2kV</t>
  </si>
  <si>
    <t xml:space="preserve">Pueblo Bello 13,2</t>
  </si>
  <si>
    <t xml:space="preserve">TACC: 1,41%</t>
  </si>
  <si>
    <t xml:space="preserve">SPedroUr_13.2kV</t>
  </si>
  <si>
    <t xml:space="preserve">San Pedro de Urabá 13,2</t>
  </si>
  <si>
    <t xml:space="preserve">TACC: 2,2%</t>
  </si>
  <si>
    <t xml:space="preserve">Turbo_13.2kV</t>
  </si>
  <si>
    <t xml:space="preserve">Turbo 13,2</t>
  </si>
  <si>
    <t xml:space="preserve">TACC: 1,61%</t>
  </si>
  <si>
    <t xml:space="preserve">Uniban 44</t>
  </si>
  <si>
    <t xml:space="preserve">Uraba_13.2kV</t>
  </si>
  <si>
    <t xml:space="preserve">Urabá 13,2</t>
  </si>
  <si>
    <t xml:space="preserve">TACC: 1,66%</t>
  </si>
  <si>
    <t xml:space="preserve">Zungo_13.2kV</t>
  </si>
  <si>
    <t xml:space="preserve">Zungo 13,2</t>
  </si>
  <si>
    <t xml:space="preserve">TACC: 3,87%</t>
  </si>
  <si>
    <t xml:space="preserve">Puerto Antioquia</t>
  </si>
  <si>
    <t xml:space="preserve">Antioquia 13.2</t>
  </si>
  <si>
    <t xml:space="preserve">Santa Fe de Antioquia 13,2</t>
  </si>
  <si>
    <t xml:space="preserve">TACC: 1,73%</t>
  </si>
  <si>
    <t xml:space="preserve">Cañasgordas 13.2</t>
  </si>
  <si>
    <t xml:space="preserve">Cañasgordas 13,2</t>
  </si>
  <si>
    <t xml:space="preserve">TACC: 1,581%</t>
  </si>
  <si>
    <t xml:space="preserve">Chorodó 13.2</t>
  </si>
  <si>
    <t xml:space="preserve">Chorodó 13,2</t>
  </si>
  <si>
    <t xml:space="preserve">TACC: 1,89%</t>
  </si>
  <si>
    <t xml:space="preserve">Dabeiba 13.2</t>
  </si>
  <si>
    <t xml:space="preserve">Dabeiba 13,2</t>
  </si>
  <si>
    <t xml:space="preserve">TACC: 1,529%. Traslada el 50% de su demanda a la SE Lagunas a partir del 2025</t>
  </si>
  <si>
    <t xml:space="preserve">Ebejico 13.2</t>
  </si>
  <si>
    <t xml:space="preserve">Ebéjico 13,2</t>
  </si>
  <si>
    <t xml:space="preserve">TACC: 1,24%. Descarga potencia a la SE Maderos en el 2025</t>
  </si>
  <si>
    <t xml:space="preserve">Liborina 13.2</t>
  </si>
  <si>
    <t xml:space="preserve">Liborina 13,2</t>
  </si>
  <si>
    <t xml:space="preserve">TACC: 1,608%. Descarga potencia a la SE Guárcama en el 2026</t>
  </si>
  <si>
    <t xml:space="preserve">Mina Buritica</t>
  </si>
  <si>
    <t xml:space="preserve">Buriticá 110</t>
  </si>
  <si>
    <t xml:space="preserve">Paso Ancho 13.2</t>
  </si>
  <si>
    <t xml:space="preserve">Paso Ancho 13,2</t>
  </si>
  <si>
    <t xml:space="preserve">San Jerónimo 1 13.2</t>
  </si>
  <si>
    <t xml:space="preserve">San Jerónimo 13,2</t>
  </si>
  <si>
    <t xml:space="preserve">TACC: 1,806%</t>
  </si>
  <si>
    <t xml:space="preserve">San Jerónimo 2 13.2</t>
  </si>
  <si>
    <t xml:space="preserve">Tunel Mar 1</t>
  </si>
  <si>
    <t xml:space="preserve">San Jerónimo 44</t>
  </si>
  <si>
    <t xml:space="preserve">Tunel Toyo 44</t>
  </si>
  <si>
    <t xml:space="preserve">Cañasgordas 44</t>
  </si>
  <si>
    <t xml:space="preserve">Urrao 13.2 kV</t>
  </si>
  <si>
    <t xml:space="preserve">Urrao 13,2</t>
  </si>
  <si>
    <t xml:space="preserve">Bolombolo-Hispania</t>
  </si>
  <si>
    <t xml:space="preserve">TACC: 1,781%. Descarga potencia a la SE Maderos en el 2025</t>
  </si>
  <si>
    <t xml:space="preserve">Maderos 13.2</t>
  </si>
  <si>
    <t xml:space="preserve">Maderos 13,2</t>
  </si>
  <si>
    <t xml:space="preserve">TACC: 1,511%. Toma 1,1 MW de Ebéjico 13,2 y 1,1 MW de Urrao 13,2 en el año 2025</t>
  </si>
  <si>
    <t xml:space="preserve">Lagunas 13.2</t>
  </si>
  <si>
    <t xml:space="preserve">Lagunas 13,2</t>
  </si>
  <si>
    <t xml:space="preserve">Lagunas </t>
  </si>
  <si>
    <t xml:space="preserve">TACC: 1,529%. Toma el 50% de la demanda de Dabeiba. Valores a 2021</t>
  </si>
  <si>
    <t xml:space="preserve">Agrosán</t>
  </si>
  <si>
    <t xml:space="preserve">Amaga 13.2 kV</t>
  </si>
  <si>
    <t xml:space="preserve">Amagá 13,2</t>
  </si>
  <si>
    <t xml:space="preserve">TACC: 2,33%</t>
  </si>
  <si>
    <t xml:space="preserve">Andes 13.2 kV</t>
  </si>
  <si>
    <t xml:space="preserve">Andes 13,2</t>
  </si>
  <si>
    <t xml:space="preserve">Hispania-Bolombolo</t>
  </si>
  <si>
    <t xml:space="preserve">TACC: 2,42%</t>
  </si>
  <si>
    <t xml:space="preserve">Angelópolis 13.2 kV</t>
  </si>
  <si>
    <t xml:space="preserve">Angelópolis 13,2</t>
  </si>
  <si>
    <t xml:space="preserve">TACC: 1,076%</t>
  </si>
  <si>
    <t xml:space="preserve">Betulia 13.2 kV</t>
  </si>
  <si>
    <t xml:space="preserve">Betulia 13,2</t>
  </si>
  <si>
    <t xml:space="preserve">TACC: 1,408%</t>
  </si>
  <si>
    <t xml:space="preserve">Bolivar 13.2 kV</t>
  </si>
  <si>
    <t xml:space="preserve">Ciudad Bolivar 13,2</t>
  </si>
  <si>
    <t xml:space="preserve">TACC: 1,247%</t>
  </si>
  <si>
    <t xml:space="preserve">Bolombolo 13.2 kV</t>
  </si>
  <si>
    <t xml:space="preserve">Bolombolo 13,2</t>
  </si>
  <si>
    <t xml:space="preserve">TACC: 1,25%</t>
  </si>
  <si>
    <t xml:space="preserve">Concordia 13.2 kV</t>
  </si>
  <si>
    <t xml:space="preserve">Concordia 13,2</t>
  </si>
  <si>
    <t xml:space="preserve">TACC: 1,44%</t>
  </si>
  <si>
    <t xml:space="preserve">Fredonia 13.2 kV</t>
  </si>
  <si>
    <t xml:space="preserve">Fredonia 13,2</t>
  </si>
  <si>
    <t xml:space="preserve">TACC: 1,827%</t>
  </si>
  <si>
    <t xml:space="preserve">Hispania 13.2 kV</t>
  </si>
  <si>
    <t xml:space="preserve">Hispania 13,2</t>
  </si>
  <si>
    <t xml:space="preserve">TACC: 1,284%</t>
  </si>
  <si>
    <t xml:space="preserve">Jericó 13.2 kV</t>
  </si>
  <si>
    <t xml:space="preserve">Jericó 13,2</t>
  </si>
  <si>
    <t xml:space="preserve">TACC: 2,15%. Esta subestación entrega 1 MW en el 2025 a la SE Carrieles 13.2 kV en el 2025, por lo cual a partir de 2025, se debe reducir en 1 MW la carga de esta Subestación</t>
  </si>
  <si>
    <t xml:space="preserve">La Pintada 13.2 kV</t>
  </si>
  <si>
    <t xml:space="preserve">La Pintada 13,2</t>
  </si>
  <si>
    <t xml:space="preserve">TACC: 1,01%</t>
  </si>
  <si>
    <t xml:space="preserve">Quebradona</t>
  </si>
  <si>
    <t xml:space="preserve">Carrieles 220 kV</t>
  </si>
  <si>
    <t xml:space="preserve">TACC: 0%. La fecha tentativa</t>
  </si>
  <si>
    <t xml:space="preserve">Salgar 13.2 kV</t>
  </si>
  <si>
    <t xml:space="preserve">Salgar 13,2</t>
  </si>
  <si>
    <t xml:space="preserve">TACC: 1,966%</t>
  </si>
  <si>
    <t xml:space="preserve">Santa Bárbara 13.2 kV</t>
  </si>
  <si>
    <t xml:space="preserve">Santa Bárbara 13,2</t>
  </si>
  <si>
    <t xml:space="preserve">TACC: 1,183%</t>
  </si>
  <si>
    <t xml:space="preserve">Taparto 13.2 kV</t>
  </si>
  <si>
    <t xml:space="preserve">Tapartó 13,2</t>
  </si>
  <si>
    <t xml:space="preserve">TACC: 1,11%</t>
  </si>
  <si>
    <t xml:space="preserve">Tarso 13.2 kV</t>
  </si>
  <si>
    <t xml:space="preserve">Tarso 13,2</t>
  </si>
  <si>
    <t xml:space="preserve">TACC: 2,87%</t>
  </si>
  <si>
    <t xml:space="preserve">Titiribí 13.2 kV</t>
  </si>
  <si>
    <t xml:space="preserve">Titiribí 13,2</t>
  </si>
  <si>
    <t xml:space="preserve">Tunel Mulatos 13.2</t>
  </si>
  <si>
    <t xml:space="preserve">Támesis 13.2 kV</t>
  </si>
  <si>
    <t xml:space="preserve">Támesis 13,2</t>
  </si>
  <si>
    <t xml:space="preserve">TACC: 1,09%</t>
  </si>
  <si>
    <t xml:space="preserve">Valparaiso 13.2 kV</t>
  </si>
  <si>
    <t xml:space="preserve">Valparaíso 13,2</t>
  </si>
  <si>
    <t xml:space="preserve">Carrieles 13.2</t>
  </si>
  <si>
    <t xml:space="preserve">TACC: 2,15%. Toma 1 MW de la SE Jericó en el año 2025</t>
  </si>
  <si>
    <t xml:space="preserve">ElValle_13.2kV</t>
  </si>
  <si>
    <t xml:space="preserve">El Valle 13,2</t>
  </si>
  <si>
    <t xml:space="preserve">TACC: 1,51%</t>
  </si>
  <si>
    <t xml:space="preserve">Ituango_13.2kV</t>
  </si>
  <si>
    <t xml:space="preserve">Ituango 13,2</t>
  </si>
  <si>
    <t xml:space="preserve">TACC: 1,72%</t>
  </si>
  <si>
    <t xml:space="preserve">Nva Sta Rosa 13.2</t>
  </si>
  <si>
    <t xml:space="preserve">Nueva Santa Rosa 13,2</t>
  </si>
  <si>
    <t xml:space="preserve">TACC: 2,534%. Decarga potencia a la SE Guárcama en el 2026</t>
  </si>
  <si>
    <t xml:space="preserve">Riogrande 13.2(1)</t>
  </si>
  <si>
    <t xml:space="preserve">Riogrande 13,2</t>
  </si>
  <si>
    <t xml:space="preserve">TACC: 2,179%</t>
  </si>
  <si>
    <t xml:space="preserve">Mina Red Eagle</t>
  </si>
  <si>
    <t xml:space="preserve">Mina Red Eagle 44</t>
  </si>
  <si>
    <t xml:space="preserve">Santa Rosa 13.2(1)</t>
  </si>
  <si>
    <t xml:space="preserve">Santa Rosa 13,2</t>
  </si>
  <si>
    <t xml:space="preserve">TACC: 2,532%</t>
  </si>
  <si>
    <t xml:space="preserve">Setas_Tablemac</t>
  </si>
  <si>
    <t xml:space="preserve">Setas-Tablemac</t>
  </si>
  <si>
    <t xml:space="preserve">Tacui</t>
  </si>
  <si>
    <t xml:space="preserve">T Villa Luz 44</t>
  </si>
  <si>
    <t xml:space="preserve">Valdivia_13.2kV</t>
  </si>
  <si>
    <t xml:space="preserve">Valdivia 13,2</t>
  </si>
  <si>
    <t xml:space="preserve">TACC: 1,936%</t>
  </si>
  <si>
    <t xml:space="preserve">Villa Luz_13.2kV</t>
  </si>
  <si>
    <t xml:space="preserve">Villa Luz 13,2</t>
  </si>
  <si>
    <t xml:space="preserve">TACC: 0%. Disminuye su potencia a 1,8 MW (Max), 1,62 MW (Med) y 1,44 MW (Min) a partir del año 2024</t>
  </si>
  <si>
    <t xml:space="preserve">Yarumal1_13.2kV</t>
  </si>
  <si>
    <t xml:space="preserve">Yarumal 1 13,2</t>
  </si>
  <si>
    <t xml:space="preserve">TACC: 2,614%. Descarga potencia a la SE Guárcama en el 2026</t>
  </si>
  <si>
    <t xml:space="preserve">TACC: 2,6%. Toma 2,7 MW de Yarumal 1 13,2; 1,3 MW de Nueva Santa Rosa 13,2; y 1,3 MW de Liborina 13,2 en el 2026</t>
  </si>
  <si>
    <t xml:space="preserve">Amalfi_13.2kV</t>
  </si>
  <si>
    <t xml:space="preserve">Amalfi 13,2</t>
  </si>
  <si>
    <t xml:space="preserve">Guadalupe iV</t>
  </si>
  <si>
    <t xml:space="preserve">TACC: 1,695%</t>
  </si>
  <si>
    <t xml:space="preserve">Batallón Bombona.</t>
  </si>
  <si>
    <t xml:space="preserve">Oficial</t>
  </si>
  <si>
    <t xml:space="preserve">Brisas_13.2kV</t>
  </si>
  <si>
    <t xml:space="preserve">Brisas 13,2</t>
  </si>
  <si>
    <t xml:space="preserve">Caracoli_13.2kV</t>
  </si>
  <si>
    <t xml:space="preserve">Caracolí 13,2</t>
  </si>
  <si>
    <t xml:space="preserve">Cemex_44kV</t>
  </si>
  <si>
    <t xml:space="preserve">Malena 44</t>
  </si>
  <si>
    <t xml:space="preserve">Ecopetrol_44kV</t>
  </si>
  <si>
    <t xml:space="preserve">ElLimon_13.2kV</t>
  </si>
  <si>
    <t xml:space="preserve">El Limón 13,2</t>
  </si>
  <si>
    <t xml:space="preserve">Porcecito</t>
  </si>
  <si>
    <t xml:space="preserve">TACC: 1,91%</t>
  </si>
  <si>
    <t xml:space="preserve">ElTigre_13.2kV</t>
  </si>
  <si>
    <t xml:space="preserve">El Tigre 13,2</t>
  </si>
  <si>
    <t xml:space="preserve">TACC: 0,43%</t>
  </si>
  <si>
    <t xml:space="preserve">Estación Ecopetrol</t>
  </si>
  <si>
    <t xml:space="preserve">Estación Ecopetrol 44</t>
  </si>
  <si>
    <t xml:space="preserve">Guadalupe_13.2kV</t>
  </si>
  <si>
    <t xml:space="preserve">Guadalupe 13,2</t>
  </si>
  <si>
    <t xml:space="preserve">Guadalupe_44kV</t>
  </si>
  <si>
    <t xml:space="preserve">Guadalupe 44</t>
  </si>
  <si>
    <t xml:space="preserve">LCruzada_13.2kV</t>
  </si>
  <si>
    <t xml:space="preserve">La Cruzada 13,2</t>
  </si>
  <si>
    <t xml:space="preserve">TACC: 2,61%</t>
  </si>
  <si>
    <t xml:space="preserve">LCruzada_13.2kV_2</t>
  </si>
  <si>
    <t xml:space="preserve">Maceo_13.2kV</t>
  </si>
  <si>
    <t xml:space="preserve">Maceo 13,2</t>
  </si>
  <si>
    <t xml:space="preserve">TACC: 1,615%</t>
  </si>
  <si>
    <t xml:space="preserve">Malena_13.2kV</t>
  </si>
  <si>
    <t xml:space="preserve">Malena 13,2</t>
  </si>
  <si>
    <t xml:space="preserve">TACC: 1,34%</t>
  </si>
  <si>
    <t xml:space="preserve">Minas Vapor_13.2kV</t>
  </si>
  <si>
    <t xml:space="preserve">Minas de Vapor 13,2</t>
  </si>
  <si>
    <t xml:space="preserve">TACC: 2,033%</t>
  </si>
  <si>
    <t xml:space="preserve">Otu_13.2kV</t>
  </si>
  <si>
    <t xml:space="preserve">Otú 13,2</t>
  </si>
  <si>
    <t xml:space="preserve">Pampa Verde_44kV</t>
  </si>
  <si>
    <t xml:space="preserve">La Cruzada 44</t>
  </si>
  <si>
    <t xml:space="preserve">TACC: 0%. Posee AG de 7,5 MW (exportación de 1 MW al sistema)</t>
  </si>
  <si>
    <t xml:space="preserve">Porcecit_13.2kV</t>
  </si>
  <si>
    <t xml:space="preserve">Porce 13,2</t>
  </si>
  <si>
    <t xml:space="preserve">TACC: 0,846%</t>
  </si>
  <si>
    <t xml:space="preserve">Prominerales_44kV</t>
  </si>
  <si>
    <t xml:space="preserve">SIsabel_13.2kV</t>
  </si>
  <si>
    <t xml:space="preserve">Santa Isabel 13,2</t>
  </si>
  <si>
    <t xml:space="preserve">TACC: 2,51%</t>
  </si>
  <si>
    <t xml:space="preserve">SJNus_13.2kV</t>
  </si>
  <si>
    <t xml:space="preserve">San José del Nus 13,2</t>
  </si>
  <si>
    <t xml:space="preserve">TACC: 1,248%</t>
  </si>
  <si>
    <t xml:space="preserve">Salto_13.2kV</t>
  </si>
  <si>
    <t xml:space="preserve">El Salto 13,2</t>
  </si>
  <si>
    <t xml:space="preserve">SanRoque_13.2kV</t>
  </si>
  <si>
    <t xml:space="preserve">San Roque 13,2</t>
  </si>
  <si>
    <t xml:space="preserve">TACC: 1,79%</t>
  </si>
  <si>
    <t xml:space="preserve">Vegachi_13.2kV</t>
  </si>
  <si>
    <t xml:space="preserve">Vegachí 13,2</t>
  </si>
  <si>
    <t xml:space="preserve">Yali_13.2kV</t>
  </si>
  <si>
    <t xml:space="preserve">Yalí 13,2</t>
  </si>
  <si>
    <t xml:space="preserve">TACC: 2,04%</t>
  </si>
  <si>
    <t xml:space="preserve">Yolombo_13.2kV</t>
  </si>
  <si>
    <t xml:space="preserve">Yolombó 13,2</t>
  </si>
  <si>
    <t xml:space="preserve">Abejorr_13.2kV</t>
  </si>
  <si>
    <t xml:space="preserve">Abejorral 13,2</t>
  </si>
  <si>
    <t xml:space="preserve">Sonsón - La Ceja</t>
  </si>
  <si>
    <t xml:space="preserve">TACC: 1,46%</t>
  </si>
  <si>
    <t xml:space="preserve">CViboral_13.2kV</t>
  </si>
  <si>
    <t xml:space="preserve">El Carmen 13,2</t>
  </si>
  <si>
    <t xml:space="preserve">TACC: 1,23%</t>
  </si>
  <si>
    <t xml:space="preserve">Cordoba_13.2kV</t>
  </si>
  <si>
    <t xml:space="preserve">Córdoba 13,2</t>
  </si>
  <si>
    <t xml:space="preserve">TACC: 1,758%</t>
  </si>
  <si>
    <t xml:space="preserve">Flor Caribe 44</t>
  </si>
  <si>
    <t xml:space="preserve">Granada_13.2kV</t>
  </si>
  <si>
    <t xml:space="preserve">Granada 13,2</t>
  </si>
  <si>
    <t xml:space="preserve">TACC: 3,31%</t>
  </si>
  <si>
    <t xml:space="preserve">Guarne_13.2kV</t>
  </si>
  <si>
    <t xml:space="preserve">Guarne 13,2</t>
  </si>
  <si>
    <t xml:space="preserve">TACC: 2,24%</t>
  </si>
  <si>
    <t xml:space="preserve">LaCeja13.2kV</t>
  </si>
  <si>
    <t xml:space="preserve">La Ceja 13,2</t>
  </si>
  <si>
    <t xml:space="preserve">TACC: 1,642%</t>
  </si>
  <si>
    <t xml:space="preserve">LaUnion_13.2kV</t>
  </si>
  <si>
    <t xml:space="preserve">La Unión 13,2</t>
  </si>
  <si>
    <t xml:space="preserve">TACC: 1,075%</t>
  </si>
  <si>
    <t xml:space="preserve">La_Fe_13.2kV</t>
  </si>
  <si>
    <t xml:space="preserve">La Fe 13,2</t>
  </si>
  <si>
    <t xml:space="preserve">TACC: 1,996%</t>
  </si>
  <si>
    <t xml:space="preserve">La_Fe_44kV</t>
  </si>
  <si>
    <t xml:space="preserve">La Fe 44</t>
  </si>
  <si>
    <t xml:space="preserve">Lod P Blancas 1 13.2</t>
  </si>
  <si>
    <t xml:space="preserve">Piedras Blancas 13,2</t>
  </si>
  <si>
    <t xml:space="preserve">TACC: 1,26%</t>
  </si>
  <si>
    <t xml:space="preserve">Lod P Blancas 2 13.2</t>
  </si>
  <si>
    <t xml:space="preserve">TACC: 1,263%</t>
  </si>
  <si>
    <t xml:space="preserve">Marinill_13.2kV</t>
  </si>
  <si>
    <t xml:space="preserve">Marinilla 13,2</t>
  </si>
  <si>
    <t xml:space="preserve">Miraflor_13.2kV</t>
  </si>
  <si>
    <t xml:space="preserve">Miraflores 13,2</t>
  </si>
  <si>
    <t xml:space="preserve">TACC: 1,69%</t>
  </si>
  <si>
    <t xml:space="preserve">NPenol_13.2kV</t>
  </si>
  <si>
    <t xml:space="preserve">Nuevo Peñol 13,2</t>
  </si>
  <si>
    <t xml:space="preserve">TACC: 2,9%</t>
  </si>
  <si>
    <t xml:space="preserve">Narino_13.2kV</t>
  </si>
  <si>
    <t xml:space="preserve">Nariño 13,2</t>
  </si>
  <si>
    <t xml:space="preserve">Oriente_110kV</t>
  </si>
  <si>
    <t xml:space="preserve">Oriente 110</t>
  </si>
  <si>
    <t xml:space="preserve">Oriente_13.2kV</t>
  </si>
  <si>
    <t xml:space="preserve">Oriente 13,2</t>
  </si>
  <si>
    <t xml:space="preserve">TACC: 2,81%</t>
  </si>
  <si>
    <t xml:space="preserve">Oriente_44kV R16-42</t>
  </si>
  <si>
    <t xml:space="preserve">Oriente 44</t>
  </si>
  <si>
    <t xml:space="preserve">Palmas_13.2</t>
  </si>
  <si>
    <t xml:space="preserve">Palmas 13,2</t>
  </si>
  <si>
    <t xml:space="preserve">Rcocorna_13.2kV</t>
  </si>
  <si>
    <t xml:space="preserve">Regional Cocorná 13,2</t>
  </si>
  <si>
    <t xml:space="preserve">RioAbajo_13.2kV</t>
  </si>
  <si>
    <t xml:space="preserve">Rio Abajo 13,2</t>
  </si>
  <si>
    <t xml:space="preserve">TACC: 2,659%</t>
  </si>
  <si>
    <t xml:space="preserve">Santuar_13.2kV</t>
  </si>
  <si>
    <t xml:space="preserve">Santuario 13,2</t>
  </si>
  <si>
    <t xml:space="preserve">TACC: 2,28%</t>
  </si>
  <si>
    <t xml:space="preserve">Sonson_13.2kV</t>
  </si>
  <si>
    <t xml:space="preserve">Sonsón 13,2</t>
  </si>
  <si>
    <t xml:space="preserve">VillaHer_13.2kV</t>
  </si>
  <si>
    <t xml:space="preserve">Villa Hermosa 13,2</t>
  </si>
  <si>
    <t xml:space="preserve">TACC: 2,16%</t>
  </si>
  <si>
    <t xml:space="preserve">Calizas_13.2kV</t>
  </si>
  <si>
    <t xml:space="preserve">Calizas 13,2</t>
  </si>
  <si>
    <t xml:space="preserve">TACC: 1,838%</t>
  </si>
  <si>
    <t xml:space="preserve">Calizas_44kV (Caltek + IACOL)</t>
  </si>
  <si>
    <t xml:space="preserve">Calizas 44</t>
  </si>
  <si>
    <t xml:space="preserve">Cocorna_13.2kV</t>
  </si>
  <si>
    <t xml:space="preserve">Estación Cocorná 13,2 </t>
  </si>
  <si>
    <t xml:space="preserve">TACC: 2,812%</t>
  </si>
  <si>
    <t xml:space="preserve">Doradal_13.2kV</t>
  </si>
  <si>
    <t xml:space="preserve">Doradal 13,2</t>
  </si>
  <si>
    <t xml:space="preserve">TACC: 1,206%</t>
  </si>
  <si>
    <t xml:space="preserve">Girasol_13.2kV</t>
  </si>
  <si>
    <t xml:space="preserve">Girasol 13,2</t>
  </si>
  <si>
    <t xml:space="preserve">Guatape_13.2kV</t>
  </si>
  <si>
    <t xml:space="preserve">Guatapé 13,2</t>
  </si>
  <si>
    <t xml:space="preserve">TACC: 1,664%</t>
  </si>
  <si>
    <t xml:space="preserve">Jazmín_13.2 kV</t>
  </si>
  <si>
    <t xml:space="preserve">Jazmín 13,2 </t>
  </si>
  <si>
    <t xml:space="preserve">Juanes_13.2kV</t>
  </si>
  <si>
    <t xml:space="preserve">Juanes 13,2 </t>
  </si>
  <si>
    <t xml:space="preserve">TACC: 0,44%</t>
  </si>
  <si>
    <t xml:space="preserve">Lod Cárcel Nápoles</t>
  </si>
  <si>
    <t xml:space="preserve">Cárcel Nápoles 44</t>
  </si>
  <si>
    <t xml:space="preserve"> Oficial</t>
  </si>
  <si>
    <t xml:space="preserve">Lod Ecocemento</t>
  </si>
  <si>
    <t xml:space="preserve">Calizas 110</t>
  </si>
  <si>
    <t xml:space="preserve">Lod Sumicol_44kV_Trasladada</t>
  </si>
  <si>
    <t xml:space="preserve">Moriche_110kV</t>
  </si>
  <si>
    <t xml:space="preserve">Moriche 110</t>
  </si>
  <si>
    <t xml:space="preserve">Ocensa_110</t>
  </si>
  <si>
    <t xml:space="preserve">Ocensa 110</t>
  </si>
  <si>
    <t xml:space="preserve">Ocensa</t>
  </si>
  <si>
    <t xml:space="preserve">PTriunfo_13.2kV</t>
  </si>
  <si>
    <t xml:space="preserve">Puerto Triunfo 13,2</t>
  </si>
  <si>
    <t xml:space="preserve">TACC: 2,285%</t>
  </si>
  <si>
    <t xml:space="preserve">Palagua_110kV</t>
  </si>
  <si>
    <t xml:space="preserve">Palagua 110</t>
  </si>
  <si>
    <t xml:space="preserve">Palagua</t>
  </si>
  <si>
    <t xml:space="preserve">Playas_13.2kV</t>
  </si>
  <si>
    <t xml:space="preserve">Playas 13,2</t>
  </si>
  <si>
    <t xml:space="preserve">TACC: 0,75%</t>
  </si>
  <si>
    <t xml:space="preserve">PtoNare_13.2kV</t>
  </si>
  <si>
    <t xml:space="preserve">Puerto Nare 13,2</t>
  </si>
  <si>
    <t xml:space="preserve">TACC: 3,113%</t>
  </si>
  <si>
    <t xml:space="preserve">Scarlos_13.2kV</t>
  </si>
  <si>
    <t xml:space="preserve">San Carlos 13,2</t>
  </si>
  <si>
    <t xml:space="preserve">TACC: 2,668%</t>
  </si>
  <si>
    <t xml:space="preserve">Vasconia T1_110kV</t>
  </si>
  <si>
    <t xml:space="preserve">Vasconia 110</t>
  </si>
  <si>
    <t xml:space="preserve">lod PTO_BOY1</t>
  </si>
  <si>
    <t xml:space="preserve">Puerto Boyacá 110</t>
  </si>
  <si>
    <t xml:space="preserve">Puerto Boyacá</t>
  </si>
  <si>
    <t xml:space="preserve">TACC: 1,681%</t>
  </si>
  <si>
    <t xml:space="preserve">lod PTO_INM1</t>
  </si>
  <si>
    <t xml:space="preserve">Puerto Inmarco 110</t>
  </si>
  <si>
    <t xml:space="preserve">Puerto Inmarco</t>
  </si>
  <si>
    <t xml:space="preserve">TACC: 0%. Posee AG de 9 MW que se debe asumir en operación en demanda mínima y media</t>
  </si>
  <si>
    <t xml:space="preserve">lod RIO_CLA1</t>
  </si>
  <si>
    <t xml:space="preserve">Río Claro</t>
  </si>
  <si>
    <t xml:space="preserve">lod TECA_1</t>
  </si>
  <si>
    <t xml:space="preserve">Teca 110</t>
  </si>
  <si>
    <t xml:space="preserve">Batallón de Rifles.</t>
  </si>
  <si>
    <t xml:space="preserve">Batallón Rifles 44</t>
  </si>
  <si>
    <t xml:space="preserve">Bijagual_44kV</t>
  </si>
  <si>
    <t xml:space="preserve">Bijagual 44</t>
  </si>
  <si>
    <t xml:space="preserve">Caceri_13.2kV</t>
  </si>
  <si>
    <t xml:space="preserve">Cacerí 13,2</t>
  </si>
  <si>
    <t xml:space="preserve">TACC: 2,451%</t>
  </si>
  <si>
    <t xml:space="preserve">Caucasia_13.2kV</t>
  </si>
  <si>
    <t xml:space="preserve">Caucasia 1 13,2</t>
  </si>
  <si>
    <t xml:space="preserve">TACC: 2,681%</t>
  </si>
  <si>
    <t xml:space="preserve">Caucasia_13.2kV II</t>
  </si>
  <si>
    <t xml:space="preserve">Caucasia 2 13,2</t>
  </si>
  <si>
    <t xml:space="preserve">Colorado_13.2kV</t>
  </si>
  <si>
    <t xml:space="preserve">Colorado 13,2</t>
  </si>
  <si>
    <t xml:space="preserve">TACC: 1,5%</t>
  </si>
  <si>
    <t xml:space="preserve">Cuturu_13.2kV</t>
  </si>
  <si>
    <t xml:space="preserve">Cuturú 13,2</t>
  </si>
  <si>
    <t xml:space="preserve">TACC: 2,283%</t>
  </si>
  <si>
    <t xml:space="preserve">ElBagre_13.2kV</t>
  </si>
  <si>
    <t xml:space="preserve">El Bagre 13,2</t>
  </si>
  <si>
    <t xml:space="preserve">Guarumo_13.2</t>
  </si>
  <si>
    <t xml:space="preserve">Guarumo 13,2</t>
  </si>
  <si>
    <t xml:space="preserve">TACC: 2,05%</t>
  </si>
  <si>
    <t xml:space="preserve">Jardin_13.2kV</t>
  </si>
  <si>
    <t xml:space="preserve">Jardín 13,2</t>
  </si>
  <si>
    <t xml:space="preserve">Lpalmera_13.2kV</t>
  </si>
  <si>
    <t xml:space="preserve">La Palmera 13,2</t>
  </si>
  <si>
    <t xml:space="preserve">Margento_13.2kV</t>
  </si>
  <si>
    <t xml:space="preserve">Margento 13,2</t>
  </si>
  <si>
    <t xml:space="preserve">TACC: 1,724%</t>
  </si>
  <si>
    <t xml:space="preserve">Nechi_13.2kV</t>
  </si>
  <si>
    <t xml:space="preserve">Nechí 13,2</t>
  </si>
  <si>
    <t xml:space="preserve">TACC: 2,83%</t>
  </si>
  <si>
    <t xml:space="preserve">Taraza_13.2kV</t>
  </si>
  <si>
    <t xml:space="preserve">Tarazá 13,2</t>
  </si>
  <si>
    <t xml:space="preserve">TACC: 0,928%</t>
  </si>
  <si>
    <t xml:space="preserve">Zaragoza_13.2kV</t>
  </si>
  <si>
    <t xml:space="preserve">Zaragoza 13,2</t>
  </si>
  <si>
    <t xml:space="preserve">TACC: 2,29%</t>
  </si>
  <si>
    <t xml:space="preserve">ODC</t>
  </si>
  <si>
    <t xml:space="preserve">Caucasia 110</t>
  </si>
  <si>
    <t xml:space="preserve">Envigado Peldar Metro</t>
  </si>
  <si>
    <t xml:space="preserve">PTAR Aguas Claras</t>
  </si>
  <si>
    <t xml:space="preserve">Bello 44 ATR</t>
  </si>
  <si>
    <t xml:space="preserve">Sn Diego Metro</t>
  </si>
  <si>
    <t xml:space="preserve">San Diego 110</t>
  </si>
  <si>
    <t xml:space="preserve">Zamora Metro</t>
  </si>
  <si>
    <t xml:space="preserve">Zamora 110</t>
  </si>
  <si>
    <t xml:space="preserve">lod BARBOSA13,2</t>
  </si>
  <si>
    <t xml:space="preserve">Barbosa 13,2</t>
  </si>
  <si>
    <t xml:space="preserve">TACC: 0,46%</t>
  </si>
  <si>
    <t xml:space="preserve">Tablemac 110</t>
  </si>
  <si>
    <t xml:space="preserve">Barbosa 110</t>
  </si>
  <si>
    <t xml:space="preserve">lod BELEN__1_13,2</t>
  </si>
  <si>
    <t xml:space="preserve">Belén 1 13,2</t>
  </si>
  <si>
    <t xml:space="preserve">TACC: 1,42%</t>
  </si>
  <si>
    <t xml:space="preserve">Belen2_13,2</t>
  </si>
  <si>
    <t xml:space="preserve">Belén 2 13,2</t>
  </si>
  <si>
    <t xml:space="preserve">TACC: 2,02%</t>
  </si>
  <si>
    <t xml:space="preserve">lod BELLO__1_13,2</t>
  </si>
  <si>
    <t xml:space="preserve">Bello 1 13,2</t>
  </si>
  <si>
    <t xml:space="preserve">TACC: 2,38%</t>
  </si>
  <si>
    <t xml:space="preserve">Bello2_13,2</t>
  </si>
  <si>
    <t xml:space="preserve">Bello 2 13,2</t>
  </si>
  <si>
    <t xml:space="preserve">TACC: 1,22%</t>
  </si>
  <si>
    <t xml:space="preserve">Bello ATR_44</t>
  </si>
  <si>
    <t xml:space="preserve">Bello ATRF 44</t>
  </si>
  <si>
    <t xml:space="preserve">lod CABANAS1</t>
  </si>
  <si>
    <t xml:space="preserve">Cabañas 13,2</t>
  </si>
  <si>
    <t xml:space="preserve">TACC: 2,62%</t>
  </si>
  <si>
    <t xml:space="preserve">lod CASTILL1_13,2</t>
  </si>
  <si>
    <t xml:space="preserve">Castilla 1 13,2</t>
  </si>
  <si>
    <t xml:space="preserve">TACC: 1,13%</t>
  </si>
  <si>
    <t xml:space="preserve">Castilla2_13,2</t>
  </si>
  <si>
    <t xml:space="preserve">Castilla 2 13,2</t>
  </si>
  <si>
    <t xml:space="preserve">TACC: 1,07%</t>
  </si>
  <si>
    <t xml:space="preserve">lod CENTRAL1_13,2</t>
  </si>
  <si>
    <t xml:space="preserve">Central 1 13,2</t>
  </si>
  <si>
    <t xml:space="preserve">TACC: 2,63%</t>
  </si>
  <si>
    <t xml:space="preserve">Central2_13,2</t>
  </si>
  <si>
    <t xml:space="preserve">Central 2 13,2</t>
  </si>
  <si>
    <t xml:space="preserve">TACC: 1,29%</t>
  </si>
  <si>
    <t xml:space="preserve">Central3_13,2</t>
  </si>
  <si>
    <t xml:space="preserve">Central 3 13,2</t>
  </si>
  <si>
    <t xml:space="preserve">Central4_13,2</t>
  </si>
  <si>
    <t xml:space="preserve">Central 4 13,2</t>
  </si>
  <si>
    <t xml:space="preserve">lod COLOMBI1_13,2</t>
  </si>
  <si>
    <t xml:space="preserve">Colombia 1 13,2</t>
  </si>
  <si>
    <t xml:space="preserve">TACC: 2,3%</t>
  </si>
  <si>
    <t xml:space="preserve">Colombia2_13,2</t>
  </si>
  <si>
    <t xml:space="preserve">Colombia 2 13,2</t>
  </si>
  <si>
    <t xml:space="preserve">TACC: 0,91%</t>
  </si>
  <si>
    <t xml:space="preserve">Metro 80</t>
  </si>
  <si>
    <t xml:space="preserve">Colombia 110</t>
  </si>
  <si>
    <t xml:space="preserve">lod ENKA___1</t>
  </si>
  <si>
    <t xml:space="preserve">Girardota 110</t>
  </si>
  <si>
    <t xml:space="preserve">lod ENVIGAD1_13,2</t>
  </si>
  <si>
    <t xml:space="preserve">Envigado 1 13,2</t>
  </si>
  <si>
    <t xml:space="preserve">TACC: 1,67%. Descarga potencia a la SE Ayurá en el 2027</t>
  </si>
  <si>
    <t xml:space="preserve">Envigado2_13,2</t>
  </si>
  <si>
    <t xml:space="preserve">Envigado 2 13,2</t>
  </si>
  <si>
    <t xml:space="preserve">TACC: 1,83%. Descarga potencia a la SE Ayurá en el 2027</t>
  </si>
  <si>
    <t xml:space="preserve">lod GIRARDT1_13,2</t>
  </si>
  <si>
    <t xml:space="preserve">Girardota 13,2</t>
  </si>
  <si>
    <t xml:space="preserve">TACC: 0,66%</t>
  </si>
  <si>
    <t xml:space="preserve">lod GUAYABA1_13,2</t>
  </si>
  <si>
    <t xml:space="preserve">Guayabal 1 13,2</t>
  </si>
  <si>
    <t xml:space="preserve">TACC: 2,64%. Descarga potencia a la SE Industriales en el 2026</t>
  </si>
  <si>
    <t xml:space="preserve">Guatabal2_13,2</t>
  </si>
  <si>
    <t xml:space="preserve">Guayabal 2 13,2</t>
  </si>
  <si>
    <t xml:space="preserve">TACC: 1,64%</t>
  </si>
  <si>
    <t xml:space="preserve">Guayabal4_13,2</t>
  </si>
  <si>
    <t xml:space="preserve">Guayabal 4 13,2</t>
  </si>
  <si>
    <t xml:space="preserve">TACC: 2,03%</t>
  </si>
  <si>
    <t xml:space="preserve">lod HORIZON13,2</t>
  </si>
  <si>
    <t xml:space="preserve">Horizonte 13,2</t>
  </si>
  <si>
    <t xml:space="preserve">TACC: 1,7%</t>
  </si>
  <si>
    <t xml:space="preserve">lod ITAGUI_13,2</t>
  </si>
  <si>
    <t xml:space="preserve">Itagüí 13,2</t>
  </si>
  <si>
    <t xml:space="preserve">TACC: 0,83%</t>
  </si>
  <si>
    <t xml:space="preserve">lod POBLADO13,2</t>
  </si>
  <si>
    <t xml:space="preserve">Poblado 13,2</t>
  </si>
  <si>
    <t xml:space="preserve">TACC: 2,1%. Descarga potencia a la SE Ayurá en el 2027</t>
  </si>
  <si>
    <t xml:space="preserve">lod RODEO__13,2</t>
  </si>
  <si>
    <t xml:space="preserve">Rodeo 13,2</t>
  </si>
  <si>
    <t xml:space="preserve">TACC: 2,27%</t>
  </si>
  <si>
    <t xml:space="preserve">lod SN_DIEG1_13,2</t>
  </si>
  <si>
    <t xml:space="preserve">San Diego 1 13,2</t>
  </si>
  <si>
    <t xml:space="preserve">TACC: 3,37%. Descarga potencia a la SE Industriales en el 2026</t>
  </si>
  <si>
    <t xml:space="preserve">SanDiego2_13,2</t>
  </si>
  <si>
    <t xml:space="preserve">San Diego 2 13,2</t>
  </si>
  <si>
    <t xml:space="preserve">TACC: 1,47%</t>
  </si>
  <si>
    <t xml:space="preserve">lod ZAMORA_1_13,2</t>
  </si>
  <si>
    <t xml:space="preserve">Zamora 1 13,2</t>
  </si>
  <si>
    <t xml:space="preserve">Zamora2_13,2</t>
  </si>
  <si>
    <t xml:space="preserve">Zamora 2 13,2</t>
  </si>
  <si>
    <t xml:space="preserve">San Pedro 13,2</t>
  </si>
  <si>
    <t xml:space="preserve">San Pedro de los Milagros 13,2</t>
  </si>
  <si>
    <t xml:space="preserve">TACC: 3,27%</t>
  </si>
  <si>
    <t xml:space="preserve">San Pedro 44</t>
  </si>
  <si>
    <t xml:space="preserve">San Pedro de los Milagros 44</t>
  </si>
  <si>
    <t xml:space="preserve">San Cristobal 13,2</t>
  </si>
  <si>
    <t xml:space="preserve">Ancon Sur T1 13.2</t>
  </si>
  <si>
    <t xml:space="preserve">Ancón Sur 1 13,2</t>
  </si>
  <si>
    <t xml:space="preserve">TACC: 3%</t>
  </si>
  <si>
    <t xml:space="preserve">Ancon Sur T2 13.2</t>
  </si>
  <si>
    <t xml:space="preserve">Ancón Sur 2 13,2</t>
  </si>
  <si>
    <t xml:space="preserve">TACC: 3,06%</t>
  </si>
  <si>
    <t xml:space="preserve">Caldas 1</t>
  </si>
  <si>
    <t xml:space="preserve">Caldas 1 13,2</t>
  </si>
  <si>
    <t xml:space="preserve">Ancón Sur hasta el 31/01/2025, posterior a este Fecha Caldas 110 kV</t>
  </si>
  <si>
    <t xml:space="preserve">TACC: 4,216%   Una vez en operación la subestación Caldas 110 kV el 31/01/2025, esta carga deberá reflejarse en dicha subestación y no considerarla más en Ancón Sur.</t>
  </si>
  <si>
    <t xml:space="preserve">Caldas 2</t>
  </si>
  <si>
    <t xml:space="preserve">Caldas 2 13,2</t>
  </si>
  <si>
    <t xml:space="preserve">TACC: 4,196%  Una vez en operación la subestación Caldas 110 kV el 31/01/2025, esta carga deberá reflejarse en dicha subestación y no considerarla más en Ancón Sur.</t>
  </si>
  <si>
    <t xml:space="preserve">San Antonio</t>
  </si>
  <si>
    <t xml:space="preserve">San Antonio de Prado 13,2</t>
  </si>
  <si>
    <t xml:space="preserve">TACC: 1,84%</t>
  </si>
  <si>
    <t xml:space="preserve">Ayura</t>
  </si>
  <si>
    <t xml:space="preserve">Ayurá 13,2</t>
  </si>
  <si>
    <t xml:space="preserve">TACC: 1,867%. Toma 10 MW de Envigado 1 13,2; 7 MW de Envigado 2 13,2 y 10 MW de Poblado 13,2</t>
  </si>
  <si>
    <t xml:space="preserve">Industriales 13,2</t>
  </si>
  <si>
    <t xml:space="preserve">TACC: 3,00%. Toma 3 MW de San Diego 1 13,2 y 10 MW de Guayabal 1 13,2 en el año 2026</t>
  </si>
  <si>
    <t xml:space="preserve">R55-01 (2)</t>
  </si>
  <si>
    <t xml:space="preserve">R55-01(1)</t>
  </si>
  <si>
    <t xml:space="preserve">R4-41 (4)</t>
  </si>
  <si>
    <t xml:space="preserve">R4-41(4)</t>
  </si>
  <si>
    <t xml:space="preserve">Carga Niquia 44</t>
  </si>
  <si>
    <t xml:space="preserve">Generación Niquía</t>
  </si>
  <si>
    <t xml:space="preserve">Aguas Rionegro</t>
  </si>
  <si>
    <t xml:space="preserve">Barranca</t>
  </si>
  <si>
    <t xml:space="preserve">TACC:1,92%</t>
  </si>
  <si>
    <t xml:space="preserve">Información General de Compensaciones</t>
  </si>
  <si>
    <t xml:space="preserve">Capacitor</t>
  </si>
  <si>
    <t xml:space="preserve">Paralelo</t>
  </si>
  <si>
    <t xml:space="preserve">Maniobrable</t>
  </si>
  <si>
    <t xml:space="preserve">Mina Burticá</t>
  </si>
  <si>
    <t xml:space="preserve">Mina Buriticá 110</t>
  </si>
  <si>
    <t xml:space="preserve">Provisional. Sale de operación en el año 2027</t>
  </si>
  <si>
    <t xml:space="preserve">Bijagual 13,2</t>
  </si>
  <si>
    <t xml:space="preserve">…</t>
  </si>
  <si>
    <t xml:space="preserve">Información General de Compensaciones dinámicas</t>
  </si>
  <si>
    <t xml:space="preserve">Información General de dispositivos DFACTS</t>
  </si>
  <si>
    <t xml:space="preserve">Envigado - Ancón Sur 110</t>
  </si>
  <si>
    <t xml:space="preserve">Sí </t>
  </si>
  <si>
    <t xml:space="preserve">Guayabal - Ancón Sur 110</t>
  </si>
  <si>
    <t xml:space="preserve">Envigado - Guayabal 110 Paso 1</t>
  </si>
  <si>
    <t xml:space="preserve">Envigado - Guayabal 110</t>
  </si>
  <si>
    <t xml:space="preserve">Envigado - Guayabal 110 Paso 2</t>
  </si>
  <si>
    <t xml:space="preserve">Ítem</t>
  </si>
  <si>
    <t xml:space="preserve">Contenido</t>
  </si>
  <si>
    <t xml:space="preserve">Extensiónes recomendadas para la entrega del archivo</t>
  </si>
  <si>
    <t xml:space="preserve">Presentado</t>
  </si>
  <si>
    <t xml:space="preserve">Nombre del Archivo</t>
  </si>
  <si>
    <t xml:space="preserve">Razón por la cual no se presenta la información</t>
  </si>
  <si>
    <t xml:space="preserve">Planos de vista en planta y vista en cortes de la subestación</t>
  </si>
  <si>
    <t xml:space="preserve">.dwg o .pdf</t>
  </si>
  <si>
    <t xml:space="preserve">Ver carpeta EDEF</t>
  </si>
  <si>
    <t xml:space="preserve">Diagrama unifilar general de la subestación</t>
  </si>
  <si>
    <t xml:space="preserve">Diagrama unifilar de servicios auxiliares</t>
  </si>
  <si>
    <t xml:space="preserve">Planos arquitectonicos del edificio de control. Debe contener la disposición y espacio físico en edificio de control.</t>
  </si>
  <si>
    <t xml:space="preserve">Expansiones proyectadas en la subestación. Debe contener los espacios que se encuentran reservados para proyectos aprobados.</t>
  </si>
  <si>
    <t xml:space="preserve">Disponibilidad de espacio para las salidas de las líneas de transmisión y/o distribución</t>
  </si>
  <si>
    <t xml:space="preserve">Disponibilidad de terrenos contiguos.</t>
  </si>
  <si>
    <t xml:space="preserve">Archivo fotográfico de la subestación y del lote circundante.</t>
  </si>
  <si>
    <t xml:space="preserve">.jpg, .png, .tif o .pdf</t>
  </si>
  <si>
    <t xml:space="preserve">1. LÍNEAS</t>
  </si>
  <si>
    <t xml:space="preserve">Clase</t>
  </si>
  <si>
    <t xml:space="preserve">GD</t>
  </si>
  <si>
    <t xml:space="preserve">STN</t>
  </si>
  <si>
    <t xml:space="preserve">AGPE con excedentes</t>
  </si>
  <si>
    <t xml:space="preserve">AGPE sin excedentes</t>
  </si>
  <si>
    <t xml:space="preserve">Tipo de Línea</t>
  </si>
  <si>
    <t xml:space="preserve">Recurso</t>
  </si>
  <si>
    <t xml:space="preserve">Solar</t>
  </si>
  <si>
    <t xml:space="preserve">Eólica</t>
  </si>
  <si>
    <t xml:space="preserve">Hidráulico</t>
  </si>
  <si>
    <t xml:space="preserve">Biomasa</t>
  </si>
  <si>
    <t xml:space="preserve">Geotérmica</t>
  </si>
  <si>
    <t xml:space="preserve">Térmica</t>
  </si>
  <si>
    <t xml:space="preserve">Subterránea</t>
  </si>
  <si>
    <t xml:space="preserve">Sol</t>
  </si>
  <si>
    <t xml:space="preserve">Viento</t>
  </si>
  <si>
    <t xml:space="preserve">Agua</t>
  </si>
  <si>
    <t xml:space="preserve">Cultivo Energético</t>
  </si>
  <si>
    <t xml:space="preserve">Vapor</t>
  </si>
  <si>
    <t xml:space="preserve">Carbón</t>
  </si>
  <si>
    <t xml:space="preserve">Otro</t>
  </si>
  <si>
    <t xml:space="preserve">2. Tr3</t>
  </si>
  <si>
    <t xml:space="preserve">Uso</t>
  </si>
  <si>
    <t xml:space="preserve">3. Tr2</t>
  </si>
  <si>
    <t xml:space="preserve">4. Subestaciones</t>
  </si>
  <si>
    <t xml:space="preserve">Doble barra</t>
  </si>
  <si>
    <t xml:space="preserve">Doble barra más seccionador de By-pass o paso directo</t>
  </si>
  <si>
    <t xml:space="preserve">Doble barra más seccionador de transferencia</t>
  </si>
  <si>
    <t xml:space="preserve">Doble barra más barra de transferencia</t>
  </si>
  <si>
    <t xml:space="preserve">Doble barra con doble interruptor</t>
  </si>
  <si>
    <t xml:space="preserve">Mixto</t>
  </si>
  <si>
    <t xml:space="preserve">5. Demanda</t>
  </si>
  <si>
    <t xml:space="preserve">6. Compensación</t>
  </si>
  <si>
    <t xml:space="preserve">Tipo de conexión</t>
  </si>
  <si>
    <t xml:space="preserve">Serie</t>
  </si>
  <si>
    <t xml:space="preserve">Fijo</t>
  </si>
  <si>
    <t xml:space="preserve">En operación</t>
  </si>
  <si>
    <t xml:space="preserve">Reactor</t>
  </si>
  <si>
    <t xml:space="preserve">7. Compesación dinámica</t>
  </si>
  <si>
    <t xml:space="preserve">SVC</t>
  </si>
  <si>
    <t xml:space="preserve">STATCOM</t>
  </si>
  <si>
    <t xml:space="preserve">SC</t>
  </si>
  <si>
    <t xml:space="preserve">8. FACTS</t>
  </si>
</sst>
</file>

<file path=xl/styles.xml><?xml version="1.0" encoding="utf-8"?>
<styleSheet xmlns="http://schemas.openxmlformats.org/spreadsheetml/2006/main">
  <numFmts count="11">
    <numFmt numFmtId="164" formatCode="General"/>
    <numFmt numFmtId="165" formatCode="_(* #,##0.00_);_(* \(#,##0.00\);_(* \-??_);_(@_)"/>
    <numFmt numFmtId="166" formatCode="dd/mm/yyyy"/>
    <numFmt numFmtId="167" formatCode="General"/>
    <numFmt numFmtId="168" formatCode="0.000000"/>
    <numFmt numFmtId="169" formatCode="0%"/>
    <numFmt numFmtId="170" formatCode="0.000%"/>
    <numFmt numFmtId="171" formatCode="0.000"/>
    <numFmt numFmtId="172" formatCode="0.00%"/>
    <numFmt numFmtId="173" formatCode="0.00"/>
    <numFmt numFmtId="174" formatCode="0.0000"/>
  </numFmts>
  <fonts count="17">
    <font>
      <sz val="11"/>
      <color rgb="FF000000"/>
      <name val="Calibri"/>
      <family val="2"/>
      <charset val="1"/>
    </font>
    <font>
      <sz val="10"/>
      <name val="Arial"/>
      <family val="0"/>
    </font>
    <font>
      <sz val="10"/>
      <name val="Arial"/>
      <family val="0"/>
    </font>
    <font>
      <sz val="10"/>
      <name val="Arial"/>
      <family val="0"/>
    </font>
    <font>
      <sz val="11"/>
      <color rgb="FFFFFFFF"/>
      <name val="Calibri"/>
      <family val="2"/>
      <charset val="1"/>
    </font>
    <font>
      <sz val="11"/>
      <color rgb="FF9C6500"/>
      <name val="Calibri"/>
      <family val="2"/>
      <charset val="1"/>
    </font>
    <font>
      <sz val="10"/>
      <name val="Arial"/>
      <family val="2"/>
      <charset val="1"/>
    </font>
    <font>
      <b val="true"/>
      <sz val="18"/>
      <color rgb="FF44546A"/>
      <name val="Calibri Light"/>
      <family val="2"/>
      <charset val="1"/>
    </font>
    <font>
      <b val="true"/>
      <sz val="14"/>
      <color rgb="FF000000"/>
      <name val="Calibri"/>
      <family val="2"/>
      <charset val="1"/>
    </font>
    <font>
      <b val="true"/>
      <sz val="11"/>
      <color rgb="FF000000"/>
      <name val="Calibri"/>
      <family val="2"/>
      <charset val="1"/>
    </font>
    <font>
      <sz val="10"/>
      <color rgb="FF000000"/>
      <name val="Calibri"/>
      <family val="2"/>
      <charset val="1"/>
    </font>
    <font>
      <sz val="11"/>
      <name val="Calibri"/>
      <family val="2"/>
      <charset val="1"/>
    </font>
    <font>
      <i val="true"/>
      <sz val="11"/>
      <name val="Calibri"/>
      <family val="2"/>
      <charset val="1"/>
    </font>
    <font>
      <b val="true"/>
      <sz val="9"/>
      <name val="Calibri"/>
      <family val="2"/>
      <charset val="1"/>
    </font>
    <font>
      <b val="true"/>
      <sz val="9"/>
      <color rgb="FF000000"/>
      <name val="Calibri"/>
      <family val="2"/>
      <charset val="1"/>
    </font>
    <font>
      <b val="true"/>
      <sz val="9"/>
      <color rgb="FFFFFFFF"/>
      <name val="Calibri"/>
      <family val="2"/>
      <charset val="1"/>
    </font>
    <font>
      <i val="true"/>
      <sz val="11"/>
      <color rgb="FF000000"/>
      <name val="Calibri"/>
      <family val="2"/>
      <charset val="1"/>
    </font>
  </fonts>
  <fills count="14">
    <fill>
      <patternFill patternType="none"/>
    </fill>
    <fill>
      <patternFill patternType="gray125"/>
    </fill>
    <fill>
      <patternFill patternType="solid">
        <fgColor rgb="FF8FAADC"/>
        <bgColor rgb="FF9DC3E6"/>
      </patternFill>
    </fill>
    <fill>
      <patternFill patternType="solid">
        <fgColor rgb="FFF4B183"/>
        <bgColor rgb="FFFFD966"/>
      </patternFill>
    </fill>
    <fill>
      <patternFill patternType="solid">
        <fgColor rgb="FFC9C9C9"/>
        <bgColor rgb="FFB4C7E7"/>
      </patternFill>
    </fill>
    <fill>
      <patternFill patternType="solid">
        <fgColor rgb="FFFFD966"/>
        <bgColor rgb="FFFFEB9C"/>
      </patternFill>
    </fill>
    <fill>
      <patternFill patternType="solid">
        <fgColor rgb="FF9DC3E6"/>
        <bgColor rgb="FFB4C7E7"/>
      </patternFill>
    </fill>
    <fill>
      <patternFill patternType="solid">
        <fgColor rgb="FFA9D18E"/>
        <bgColor rgb="FFC9C9C9"/>
      </patternFill>
    </fill>
    <fill>
      <patternFill patternType="solid">
        <fgColor rgb="FFFFEB9C"/>
        <bgColor rgb="FFFFFFCC"/>
      </patternFill>
    </fill>
    <fill>
      <patternFill patternType="solid">
        <fgColor rgb="FFB4C7E7"/>
        <bgColor rgb="FF9DC3E6"/>
      </patternFill>
    </fill>
    <fill>
      <patternFill patternType="solid">
        <fgColor rgb="FFFFFFFF"/>
        <bgColor rgb="FFFFFFCC"/>
      </patternFill>
    </fill>
    <fill>
      <patternFill patternType="solid">
        <fgColor rgb="FFD9D9D9"/>
        <bgColor rgb="FFC9C9C9"/>
      </patternFill>
    </fill>
    <fill>
      <patternFill patternType="solid">
        <fgColor rgb="FFE2F0D9"/>
        <bgColor rgb="FFDEEBF7"/>
      </patternFill>
    </fill>
    <fill>
      <patternFill patternType="solid">
        <fgColor rgb="FFDEEBF7"/>
        <bgColor rgb="FFE2F0D9"/>
      </patternFill>
    </fill>
  </fills>
  <borders count="34">
    <border diagonalUp="false" diagonalDown="false">
      <left/>
      <right/>
      <top/>
      <bottom/>
      <diagonal/>
    </border>
    <border diagonalUp="false" diagonalDown="false">
      <left style="medium"/>
      <right style="medium"/>
      <top style="medium"/>
      <bottom style="medium"/>
      <diagonal/>
    </border>
    <border diagonalUp="false" diagonalDown="false">
      <left/>
      <right/>
      <top style="thin"/>
      <bottom/>
      <diagonal/>
    </border>
    <border diagonalUp="false" diagonalDown="false">
      <left style="medium"/>
      <right style="medium"/>
      <top style="medium"/>
      <bottom/>
      <diagonal/>
    </border>
    <border diagonalUp="false" diagonalDown="false">
      <left/>
      <right style="thin"/>
      <top style="medium"/>
      <bottom style="thin"/>
      <diagonal/>
    </border>
    <border diagonalUp="false" diagonalDown="false">
      <left style="thin"/>
      <right style="medium"/>
      <top style="medium"/>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right style="thin"/>
      <top style="thin"/>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style="medium"/>
      <right/>
      <top style="medium"/>
      <bottom style="medium"/>
      <diagonal/>
    </border>
    <border diagonalUp="false" diagonalDown="false">
      <left style="medium"/>
      <right style="thin"/>
      <top/>
      <bottom style="thin"/>
      <diagonal/>
    </border>
    <border diagonalUp="false" diagonalDown="false">
      <left style="medium"/>
      <right style="thin"/>
      <top style="thin"/>
      <bottom style="medium"/>
      <diagonal/>
    </border>
    <border diagonalUp="false" diagonalDown="false">
      <left/>
      <right style="medium"/>
      <top/>
      <botto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top style="medium"/>
      <bottom/>
      <diagonal/>
    </border>
    <border diagonalUp="false" diagonalDown="false">
      <left style="thin"/>
      <right style="thin"/>
      <top/>
      <bottom/>
      <diagonal/>
    </border>
    <border diagonalUp="false" diagonalDown="false">
      <left style="medium"/>
      <right style="medium"/>
      <top/>
      <botto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medium"/>
      <right style="thin"/>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5" fillId="8"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true" applyProtection="false">
      <alignment horizontal="general" vertical="bottom" textRotation="0" wrapText="false" indent="0" shrinkToFit="false"/>
    </xf>
  </cellStyleXfs>
  <cellXfs count="1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left" vertical="center" textRotation="0" wrapText="true" indent="0" shrinkToFit="false"/>
      <protection locked="true" hidden="false"/>
    </xf>
    <xf numFmtId="164" fontId="0" fillId="0" borderId="5" xfId="0" applyFont="true" applyBorder="true" applyAlignment="true" applyProtection="false">
      <alignment horizontal="left" vertical="center" textRotation="0" wrapText="true" indent="0" shrinkToFit="false"/>
      <protection locked="true" hidden="false"/>
    </xf>
    <xf numFmtId="164" fontId="11" fillId="0" borderId="6" xfId="0" applyFont="true" applyBorder="true" applyAlignment="true" applyProtection="false">
      <alignment horizontal="general" vertical="center" textRotation="0" wrapText="true" indent="0" shrinkToFit="false"/>
      <protection locked="true" hidden="false"/>
    </xf>
    <xf numFmtId="164" fontId="11" fillId="0" borderId="7"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1" fillId="0" borderId="8" xfId="0" applyFont="true" applyBorder="true" applyAlignment="true" applyProtection="false">
      <alignment horizontal="left" vertical="center" textRotation="0" wrapText="true" indent="0" shrinkToFit="false"/>
      <protection locked="true" hidden="false"/>
    </xf>
    <xf numFmtId="164" fontId="11" fillId="0" borderId="5" xfId="0" applyFont="true" applyBorder="true" applyAlignment="true" applyProtection="false">
      <alignment horizontal="left" vertical="center" textRotation="0" wrapText="true" indent="0" shrinkToFit="false"/>
      <protection locked="true" hidden="false"/>
    </xf>
    <xf numFmtId="164" fontId="11" fillId="0" borderId="9" xfId="0" applyFont="true" applyBorder="true" applyAlignment="true" applyProtection="false">
      <alignment horizontal="left" vertical="center" textRotation="0" wrapText="true" indent="0" shrinkToFit="false"/>
      <protection locked="true" hidden="false"/>
    </xf>
    <xf numFmtId="164" fontId="11" fillId="0" borderId="7" xfId="0" applyFont="true" applyBorder="true" applyAlignment="true" applyProtection="false">
      <alignment horizontal="left" vertical="center" textRotation="0" wrapText="true" indent="0" shrinkToFit="false"/>
      <protection locked="true" hidden="false"/>
    </xf>
    <xf numFmtId="164" fontId="11" fillId="0" borderId="10" xfId="0" applyFont="true" applyBorder="true" applyAlignment="true" applyProtection="false">
      <alignment horizontal="left" vertical="center" textRotation="0" wrapText="true" indent="0" shrinkToFit="false"/>
      <protection locked="true" hidden="false"/>
    </xf>
    <xf numFmtId="164" fontId="11" fillId="0" borderId="11" xfId="0" applyFont="true" applyBorder="true" applyAlignment="true" applyProtection="false">
      <alignment horizontal="left" vertical="center" textRotation="0" wrapText="true" indent="0" shrinkToFit="false"/>
      <protection locked="true" hidden="false"/>
    </xf>
    <xf numFmtId="164" fontId="11" fillId="0" borderId="12" xfId="0" applyFont="true" applyBorder="true" applyAlignment="true" applyProtection="false">
      <alignment horizontal="general" vertical="center" textRotation="0" wrapText="true" indent="0" shrinkToFit="false"/>
      <protection locked="true" hidden="false"/>
    </xf>
    <xf numFmtId="164" fontId="11" fillId="0" borderId="11" xfId="0" applyFont="true" applyBorder="true" applyAlignment="true" applyProtection="false">
      <alignment horizontal="general" vertical="center" textRotation="0" wrapText="true" indent="0" shrinkToFit="false"/>
      <protection locked="true" hidden="false"/>
    </xf>
    <xf numFmtId="164" fontId="11" fillId="0" borderId="13" xfId="0" applyFont="true" applyBorder="true" applyAlignment="true" applyProtection="false">
      <alignment horizontal="left" vertical="center" textRotation="0" wrapText="true" indent="0" shrinkToFit="false"/>
      <protection locked="true" hidden="false"/>
    </xf>
    <xf numFmtId="164" fontId="11" fillId="0" borderId="6" xfId="0" applyFont="true" applyBorder="true" applyAlignment="true" applyProtection="false">
      <alignment horizontal="left" vertical="center" textRotation="0" wrapText="true" indent="0" shrinkToFit="false"/>
      <protection locked="true" hidden="false"/>
    </xf>
    <xf numFmtId="164" fontId="11" fillId="0" borderId="12" xfId="0" applyFont="true" applyBorder="true" applyAlignment="true" applyProtection="false">
      <alignment horizontal="left" vertical="center" textRotation="0" wrapText="true" indent="0" shrinkToFit="false"/>
      <protection locked="true" hidden="false"/>
    </xf>
    <xf numFmtId="164" fontId="11" fillId="0" borderId="4" xfId="0" applyFont="true" applyBorder="true" applyAlignment="true" applyProtection="false">
      <alignment horizontal="general" vertical="center" textRotation="0" wrapText="false" indent="0" shrinkToFit="false"/>
      <protection locked="true" hidden="false"/>
    </xf>
    <xf numFmtId="164" fontId="11" fillId="0" borderId="5" xfId="0" applyFont="true" applyBorder="true" applyAlignment="true" applyProtection="false">
      <alignment horizontal="general" vertical="center" textRotation="0" wrapText="true" indent="0" shrinkToFit="false"/>
      <protection locked="true" hidden="false"/>
    </xf>
    <xf numFmtId="164" fontId="11" fillId="0" borderId="13" xfId="0" applyFont="true" applyBorder="true" applyAlignment="true" applyProtection="false">
      <alignment horizontal="general" vertical="center" textRotation="0" wrapText="false" indent="0" shrinkToFit="false"/>
      <protection locked="true" hidden="false"/>
    </xf>
    <xf numFmtId="164" fontId="11" fillId="0" borderId="14" xfId="0" applyFont="true" applyBorder="true" applyAlignment="true" applyProtection="false">
      <alignment horizontal="general" vertical="center" textRotation="0" wrapText="true" indent="0" shrinkToFit="false"/>
      <protection locked="true" hidden="false"/>
    </xf>
    <xf numFmtId="164" fontId="11" fillId="0" borderId="6" xfId="0" applyFont="true" applyBorder="true" applyAlignment="true" applyProtection="false">
      <alignment horizontal="general" vertical="center" textRotation="0" wrapText="false" indent="0" shrinkToFit="false"/>
      <protection locked="true" hidden="false"/>
    </xf>
    <xf numFmtId="164" fontId="11" fillId="0" borderId="14" xfId="0" applyFont="true" applyBorder="true" applyAlignment="true" applyProtection="false">
      <alignment horizontal="left" vertical="center" textRotation="0" wrapText="true" indent="0" shrinkToFit="false"/>
      <protection locked="true" hidden="false"/>
    </xf>
    <xf numFmtId="164" fontId="11" fillId="0" borderId="9" xfId="0" applyFont="true" applyBorder="true" applyAlignment="true" applyProtection="false">
      <alignment horizontal="general" vertical="center" textRotation="0" wrapText="false" indent="0" shrinkToFit="false"/>
      <protection locked="true" hidden="false"/>
    </xf>
    <xf numFmtId="164" fontId="11" fillId="0" borderId="15" xfId="0" applyFont="true" applyBorder="true" applyAlignment="true" applyProtection="false">
      <alignment horizontal="general" vertical="center" textRotation="0" wrapText="true" indent="0" shrinkToFit="false"/>
      <protection locked="true" hidden="false"/>
    </xf>
    <xf numFmtId="164" fontId="11" fillId="0" borderId="16" xfId="0" applyFont="true" applyBorder="true" applyAlignment="true" applyProtection="false">
      <alignment horizontal="general" vertical="center" textRotation="0" wrapText="true" indent="0" shrinkToFit="false"/>
      <protection locked="true" hidden="false"/>
    </xf>
    <xf numFmtId="164" fontId="0" fillId="0" borderId="17" xfId="0" applyFont="true" applyBorder="true" applyAlignment="true" applyProtection="false">
      <alignment horizontal="center" vertical="center" textRotation="0" wrapText="true" indent="0" shrinkToFit="false"/>
      <protection locked="true" hidden="false"/>
    </xf>
    <xf numFmtId="164" fontId="0" fillId="0" borderId="18" xfId="0" applyFont="true" applyBorder="true" applyAlignment="true" applyProtection="false">
      <alignment horizontal="center" vertical="center" textRotation="0" wrapText="true" indent="0" shrinkToFit="false"/>
      <protection locked="true" hidden="false"/>
    </xf>
    <xf numFmtId="164" fontId="11" fillId="0" borderId="19" xfId="0" applyFont="true" applyBorder="true" applyAlignment="true" applyProtection="false">
      <alignment horizontal="general" vertical="center" textRotation="0" wrapText="true" indent="0" shrinkToFit="false"/>
      <protection locked="true" hidden="false"/>
    </xf>
    <xf numFmtId="164" fontId="11" fillId="0" borderId="9" xfId="0" applyFont="true" applyBorder="true" applyAlignment="true" applyProtection="false">
      <alignment horizontal="general" vertical="center" textRotation="0" wrapText="true" indent="0" shrinkToFit="false"/>
      <protection locked="true" hidden="false"/>
    </xf>
    <xf numFmtId="164" fontId="11" fillId="0" borderId="20" xfId="0" applyFont="true" applyBorder="true" applyAlignment="true" applyProtection="false">
      <alignment horizontal="general" vertical="center" textRotation="0" wrapText="true" indent="0" shrinkToFit="false"/>
      <protection locked="true" hidden="false"/>
    </xf>
    <xf numFmtId="164" fontId="11" fillId="10" borderId="19" xfId="0" applyFont="true" applyBorder="true" applyAlignment="true" applyProtection="false">
      <alignment horizontal="general" vertical="center" textRotation="0" wrapText="true" indent="0" shrinkToFit="false"/>
      <protection locked="true" hidden="false"/>
    </xf>
    <xf numFmtId="164" fontId="11" fillId="10" borderId="14" xfId="0" applyFont="true" applyBorder="true" applyAlignment="true" applyProtection="false">
      <alignment horizontal="general" vertical="center" textRotation="0" wrapText="true" indent="0" shrinkToFit="false"/>
      <protection locked="true" hidden="false"/>
    </xf>
    <xf numFmtId="164" fontId="11" fillId="0" borderId="10" xfId="0" applyFont="true" applyBorder="true" applyAlignment="true" applyProtection="false">
      <alignment horizontal="general" vertical="center" textRotation="0" wrapText="true" indent="0" shrinkToFit="false"/>
      <protection locked="true" hidden="false"/>
    </xf>
    <xf numFmtId="164" fontId="11" fillId="0" borderId="15" xfId="0" applyFont="true" applyBorder="true" applyAlignment="true" applyProtection="false">
      <alignment horizontal="general" vertical="center" textRotation="0" wrapText="false" indent="0" shrinkToFit="false"/>
      <protection locked="true" hidden="false"/>
    </xf>
    <xf numFmtId="164" fontId="11" fillId="10" borderId="16"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13" fillId="0" borderId="21"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7" fontId="14" fillId="1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11" borderId="8" xfId="0" applyFont="false" applyBorder="true" applyAlignment="true" applyProtection="false">
      <alignment horizontal="center" vertical="bottom" textRotation="0" wrapText="false" indent="0" shrinkToFit="false"/>
      <protection locked="true" hidden="false"/>
    </xf>
    <xf numFmtId="164" fontId="0" fillId="12" borderId="22" xfId="0" applyFont="true" applyBorder="true" applyAlignment="false" applyProtection="false">
      <alignment horizontal="general" vertical="bottom" textRotation="0" wrapText="false" indent="0" shrinkToFit="false"/>
      <protection locked="true" hidden="false"/>
    </xf>
    <xf numFmtId="164" fontId="0" fillId="12" borderId="22" xfId="0" applyFont="false" applyBorder="true" applyAlignment="false" applyProtection="false">
      <alignment horizontal="general" vertical="bottom" textRotation="0" wrapText="false" indent="0" shrinkToFit="false"/>
      <protection locked="true" hidden="false"/>
    </xf>
    <xf numFmtId="164" fontId="0" fillId="12" borderId="23" xfId="0" applyFont="false" applyBorder="true" applyAlignment="false" applyProtection="false">
      <alignment horizontal="general" vertical="bottom" textRotation="0" wrapText="false" indent="0" shrinkToFit="false"/>
      <protection locked="true" hidden="false"/>
    </xf>
    <xf numFmtId="164" fontId="0" fillId="12" borderId="23" xfId="0" applyFont="true" applyBorder="true" applyAlignment="false" applyProtection="false">
      <alignment horizontal="general" vertical="bottom" textRotation="0" wrapText="false" indent="0" shrinkToFit="false"/>
      <protection locked="true" hidden="false"/>
    </xf>
    <xf numFmtId="166" fontId="0" fillId="12" borderId="23" xfId="0" applyFont="false" applyBorder="true" applyAlignment="false" applyProtection="false">
      <alignment horizontal="general" vertical="bottom" textRotation="0" wrapText="false" indent="0" shrinkToFit="false"/>
      <protection locked="true" hidden="false"/>
    </xf>
    <xf numFmtId="164" fontId="0" fillId="12" borderId="24" xfId="0" applyFont="false" applyBorder="true" applyAlignment="false" applyProtection="false">
      <alignment horizontal="general" vertical="bottom" textRotation="0" wrapText="false" indent="0" shrinkToFit="false"/>
      <protection locked="true" hidden="false"/>
    </xf>
    <xf numFmtId="164" fontId="0" fillId="11" borderId="9" xfId="0" applyFont="false" applyBorder="true" applyAlignment="true" applyProtection="false">
      <alignment horizontal="center" vertical="bottom" textRotation="0" wrapText="false" indent="0" shrinkToFit="false"/>
      <protection locked="true" hidden="false"/>
    </xf>
    <xf numFmtId="164" fontId="0" fillId="12" borderId="25" xfId="0" applyFont="true" applyBorder="true" applyAlignment="false" applyProtection="false">
      <alignment horizontal="general" vertical="bottom" textRotation="0" wrapText="false" indent="0" shrinkToFit="false"/>
      <protection locked="true" hidden="false"/>
    </xf>
    <xf numFmtId="164" fontId="0" fillId="12" borderId="25" xfId="0" applyFont="false" applyBorder="true" applyAlignment="false" applyProtection="false">
      <alignment horizontal="general" vertical="bottom" textRotation="0" wrapText="false" indent="0" shrinkToFit="false"/>
      <protection locked="true" hidden="false"/>
    </xf>
    <xf numFmtId="164" fontId="0" fillId="12" borderId="26" xfId="0" applyFont="false" applyBorder="true" applyAlignment="false" applyProtection="false">
      <alignment horizontal="general" vertical="bottom" textRotation="0" wrapText="false" indent="0" shrinkToFit="false"/>
      <protection locked="true" hidden="false"/>
    </xf>
    <xf numFmtId="164" fontId="0" fillId="12" borderId="26" xfId="0" applyFont="true" applyBorder="true" applyAlignment="false" applyProtection="false">
      <alignment horizontal="general" vertical="bottom" textRotation="0" wrapText="false" indent="0" shrinkToFit="false"/>
      <protection locked="true" hidden="false"/>
    </xf>
    <xf numFmtId="166" fontId="0" fillId="12" borderId="26" xfId="0" applyFont="false" applyBorder="true" applyAlignment="false" applyProtection="false">
      <alignment horizontal="general" vertical="bottom" textRotation="0" wrapText="false" indent="0" shrinkToFit="false"/>
      <protection locked="true" hidden="false"/>
    </xf>
    <xf numFmtId="164" fontId="0" fillId="12" borderId="14" xfId="0" applyFont="false" applyBorder="true" applyAlignment="false" applyProtection="false">
      <alignment horizontal="general" vertical="bottom" textRotation="0" wrapText="false" indent="0" shrinkToFit="false"/>
      <protection locked="true" hidden="false"/>
    </xf>
    <xf numFmtId="164" fontId="0" fillId="12" borderId="27"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8" fontId="0" fillId="12" borderId="26" xfId="0" applyFont="false" applyBorder="true" applyAlignment="false" applyProtection="false">
      <alignment horizontal="general" vertical="bottom" textRotation="0" wrapText="false" indent="0" shrinkToFit="false"/>
      <protection locked="true" hidden="false"/>
    </xf>
    <xf numFmtId="170" fontId="0" fillId="0" borderId="0" xfId="19" applyFont="true" applyBorder="true" applyAlignment="true" applyProtection="true">
      <alignment horizontal="general" vertical="bottom" textRotation="0" wrapText="false" indent="0" shrinkToFit="false"/>
      <protection locked="true" hidden="false"/>
    </xf>
    <xf numFmtId="171" fontId="0" fillId="12" borderId="26" xfId="0" applyFont="false" applyBorder="true" applyAlignment="false" applyProtection="false">
      <alignment horizontal="general" vertical="bottom" textRotation="0" wrapText="false" indent="0" shrinkToFit="false"/>
      <protection locked="true" hidden="false"/>
    </xf>
    <xf numFmtId="172" fontId="0" fillId="12" borderId="14" xfId="19" applyFont="true" applyBorder="true" applyAlignment="true" applyProtection="true">
      <alignment horizontal="general" vertical="bottom" textRotation="0" wrapText="false" indent="0" shrinkToFit="false"/>
      <protection locked="true" hidden="false"/>
    </xf>
    <xf numFmtId="172" fontId="0" fillId="0" borderId="0" xfId="19" applyFont="true" applyBorder="true" applyAlignment="true" applyProtection="true">
      <alignment horizontal="general" vertical="bottom" textRotation="0" wrapText="false" indent="0" shrinkToFit="false"/>
      <protection locked="true" hidden="false"/>
    </xf>
    <xf numFmtId="169" fontId="0"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7" fontId="14" fillId="12" borderId="1" xfId="0" applyFont="true" applyBorder="true" applyAlignment="true" applyProtection="false">
      <alignment horizontal="left" vertical="center" textRotation="0" wrapText="true" indent="0" shrinkToFit="false"/>
      <protection locked="true" hidden="false"/>
    </xf>
    <xf numFmtId="167" fontId="14" fillId="12" borderId="3" xfId="0" applyFont="true" applyBorder="true" applyAlignment="true" applyProtection="false">
      <alignment horizontal="left" vertical="center" textRotation="0" wrapText="true" indent="0" shrinkToFit="false"/>
      <protection locked="true" hidden="false"/>
    </xf>
    <xf numFmtId="166" fontId="14" fillId="1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0" fillId="12" borderId="28" xfId="0" applyFont="false" applyBorder="true" applyAlignment="false" applyProtection="false">
      <alignment horizontal="general" vertical="bottom" textRotation="0" wrapText="false" indent="0" shrinkToFit="false"/>
      <protection locked="true" hidden="false"/>
    </xf>
    <xf numFmtId="164" fontId="0" fillId="12" borderId="7" xfId="0" applyFont="true" applyBorder="true" applyAlignment="false" applyProtection="false">
      <alignment horizontal="general" vertical="bottom" textRotation="0" wrapText="false" indent="0" shrinkToFit="false"/>
      <protection locked="true" hidden="false"/>
    </xf>
    <xf numFmtId="164" fontId="0" fillId="12" borderId="29" xfId="0" applyFont="true" applyBorder="true" applyAlignment="false" applyProtection="false">
      <alignment horizontal="general" vertical="bottom" textRotation="0" wrapText="false" indent="0" shrinkToFit="false"/>
      <protection locked="true" hidden="false"/>
    </xf>
    <xf numFmtId="167" fontId="14" fillId="12" borderId="3" xfId="0" applyFont="true" applyBorder="true" applyAlignment="true" applyProtection="false">
      <alignment horizontal="center" vertical="center" textRotation="0" wrapText="true" indent="0" shrinkToFit="false"/>
      <protection locked="true" hidden="false"/>
    </xf>
    <xf numFmtId="164" fontId="0" fillId="12" borderId="5"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14" fillId="12" borderId="17" xfId="0" applyFont="true" applyBorder="true" applyAlignment="true" applyProtection="false">
      <alignment horizontal="center" vertical="center" textRotation="0" wrapText="true" indent="0" shrinkToFit="false"/>
      <protection locked="true" hidden="false"/>
    </xf>
    <xf numFmtId="164" fontId="14" fillId="12" borderId="30" xfId="0" applyFont="true" applyBorder="true" applyAlignment="true" applyProtection="false">
      <alignment horizontal="center" vertical="center" textRotation="0" wrapText="true" indent="0" shrinkToFit="false"/>
      <protection locked="true" hidden="false"/>
    </xf>
    <xf numFmtId="166" fontId="0" fillId="12" borderId="22" xfId="0" applyFont="false" applyBorder="true" applyAlignment="false" applyProtection="false">
      <alignment horizontal="general" vertical="bottom" textRotation="0" wrapText="false" indent="0" shrinkToFit="false"/>
      <protection locked="true" hidden="false"/>
    </xf>
    <xf numFmtId="174" fontId="0" fillId="12" borderId="22" xfId="0" applyFont="false" applyBorder="true" applyAlignment="false" applyProtection="false">
      <alignment horizontal="general" vertical="bottom" textRotation="0" wrapText="false" indent="0" shrinkToFit="false"/>
      <protection locked="true" hidden="false"/>
    </xf>
    <xf numFmtId="174" fontId="0" fillId="12" borderId="25" xfId="0" applyFont="false" applyBorder="true" applyAlignment="false" applyProtection="false">
      <alignment horizontal="general" vertical="bottom" textRotation="0" wrapText="false" indent="0" shrinkToFit="false"/>
      <protection locked="true" hidden="false"/>
    </xf>
    <xf numFmtId="166" fontId="0" fillId="12" borderId="25" xfId="0" applyFont="false" applyBorder="true" applyAlignment="false" applyProtection="false">
      <alignment horizontal="general" vertical="bottom" textRotation="0" wrapText="false" indent="0" shrinkToFit="false"/>
      <protection locked="true" hidden="false"/>
    </xf>
    <xf numFmtId="164" fontId="0" fillId="11" borderId="19" xfId="0" applyFont="false" applyBorder="true" applyAlignment="true" applyProtection="false">
      <alignment horizontal="center" vertical="bottom" textRotation="0" wrapText="false" indent="0" shrinkToFit="false"/>
      <protection locked="true" hidden="false"/>
    </xf>
    <xf numFmtId="164" fontId="0" fillId="12" borderId="27" xfId="0" applyFont="false" applyBorder="true" applyAlignment="false" applyProtection="false">
      <alignment horizontal="general" vertical="bottom" textRotation="0" wrapText="false" indent="0" shrinkToFit="false"/>
      <protection locked="true" hidden="false"/>
    </xf>
    <xf numFmtId="166" fontId="0" fillId="12" borderId="27" xfId="0" applyFont="false" applyBorder="true" applyAlignment="false" applyProtection="false">
      <alignment horizontal="general" vertical="bottom" textRotation="0" wrapText="false" indent="0" shrinkToFit="false"/>
      <protection locked="true" hidden="false"/>
    </xf>
    <xf numFmtId="174" fontId="0" fillId="12" borderId="27" xfId="0" applyFont="false" applyBorder="true" applyAlignment="false" applyProtection="false">
      <alignment horizontal="general" vertical="bottom" textRotation="0" wrapText="false" indent="0" shrinkToFit="false"/>
      <protection locked="true" hidden="false"/>
    </xf>
    <xf numFmtId="164" fontId="0" fillId="12" borderId="27" xfId="0" applyFont="true" applyBorder="true" applyAlignment="false" applyProtection="true">
      <alignment horizontal="general" vertical="bottom" textRotation="0" wrapText="false" indent="0" shrinkToFit="false"/>
      <protection locked="false" hidden="false"/>
    </xf>
    <xf numFmtId="171" fontId="0" fillId="12" borderId="7" xfId="0" applyFont="true" applyBorder="true" applyAlignment="false" applyProtection="false">
      <alignment horizontal="general" vertical="bottom" textRotation="0" wrapText="false" indent="0" shrinkToFit="false"/>
      <protection locked="true" hidden="false"/>
    </xf>
    <xf numFmtId="173" fontId="0" fillId="0" borderId="0" xfId="19"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0" fillId="11" borderId="20" xfId="0" applyFont="true" applyBorder="true" applyAlignment="true" applyProtection="false">
      <alignment horizontal="center" vertical="bottom" textRotation="0" wrapText="false" indent="0" shrinkToFit="false"/>
      <protection locked="true" hidden="false"/>
    </xf>
    <xf numFmtId="164" fontId="0" fillId="12" borderId="31" xfId="0" applyFont="false" applyBorder="true" applyAlignment="false" applyProtection="false">
      <alignment horizontal="general" vertical="bottom" textRotation="0" wrapText="false" indent="0" shrinkToFit="false"/>
      <protection locked="true" hidden="false"/>
    </xf>
    <xf numFmtId="164" fontId="0" fillId="12" borderId="32" xfId="0" applyFont="false" applyBorder="true" applyAlignment="false" applyProtection="false">
      <alignment horizontal="general" vertical="bottom" textRotation="0" wrapText="false" indent="0" shrinkToFit="false"/>
      <protection locked="true" hidden="false"/>
    </xf>
    <xf numFmtId="166" fontId="0" fillId="12" borderId="32" xfId="0" applyFont="false" applyBorder="true" applyAlignment="false" applyProtection="false">
      <alignment horizontal="general" vertical="bottom" textRotation="0" wrapText="false" indent="0" shrinkToFit="false"/>
      <protection locked="true" hidden="false"/>
    </xf>
    <xf numFmtId="164" fontId="0" fillId="12" borderId="16" xfId="0" applyFont="false" applyBorder="true" applyAlignment="false" applyProtection="false">
      <alignment horizontal="general" vertical="bottom" textRotation="0" wrapText="false" indent="0" shrinkToFit="false"/>
      <protection locked="true" hidden="false"/>
    </xf>
    <xf numFmtId="164" fontId="0" fillId="11" borderId="33" xfId="0" applyFont="false" applyBorder="true" applyAlignment="true" applyProtection="false">
      <alignment horizontal="center"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true" indent="0" shrinkToFit="false"/>
      <protection locked="true" hidden="false"/>
    </xf>
    <xf numFmtId="164" fontId="9" fillId="12" borderId="3" xfId="0" applyFont="true" applyBorder="true" applyAlignment="true" applyProtection="false">
      <alignment horizontal="center" vertical="center" textRotation="0" wrapText="true" indent="0" shrinkToFit="false"/>
      <protection locked="true" hidden="false"/>
    </xf>
    <xf numFmtId="164" fontId="0" fillId="12" borderId="25" xfId="0" applyFont="false" applyBorder="true" applyAlignment="true" applyProtection="false">
      <alignment horizontal="center" vertical="center" textRotation="0" wrapText="true" indent="0" shrinkToFit="false"/>
      <protection locked="true" hidden="false"/>
    </xf>
    <xf numFmtId="164" fontId="0" fillId="12" borderId="25" xfId="0" applyFont="true" applyBorder="true" applyAlignment="true" applyProtection="false">
      <alignment horizontal="general" vertical="bottom" textRotation="0" wrapText="true" indent="0" shrinkToFit="false"/>
      <protection locked="true" hidden="false"/>
    </xf>
    <xf numFmtId="164" fontId="0" fillId="12" borderId="25" xfId="0" applyFont="true" applyBorder="true" applyAlignment="true" applyProtection="false">
      <alignment horizontal="center" vertical="center" textRotation="0" wrapText="false" indent="0" shrinkToFit="false"/>
      <protection locked="true" hidden="false"/>
    </xf>
    <xf numFmtId="164" fontId="9" fillId="9" borderId="25" xfId="0" applyFont="true" applyBorder="true" applyAlignment="true" applyProtection="false">
      <alignment horizontal="center" vertical="bottom" textRotation="0" wrapText="false" indent="0" shrinkToFit="false"/>
      <protection locked="true" hidden="false"/>
    </xf>
    <xf numFmtId="164" fontId="16" fillId="13" borderId="25"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25" xfId="0" applyFont="true" applyBorder="true" applyAlignment="true" applyProtection="false">
      <alignment horizontal="center" vertical="bottom" textRotation="0" wrapText="true" indent="0" shrinkToFit="false"/>
      <protection locked="true" hidden="false"/>
    </xf>
    <xf numFmtId="164" fontId="0" fillId="0" borderId="25" xfId="0" applyFont="true" applyBorder="true" applyAlignment="true" applyProtection="false">
      <alignment horizontal="center" vertical="bottom" textRotation="0" wrapText="false" indent="0" shrinkToFit="false"/>
      <protection locked="true" hidden="false"/>
    </xf>
    <xf numFmtId="164" fontId="16" fillId="13" borderId="25" xfId="0" applyFont="true" applyBorder="true" applyAlignment="true" applyProtection="false">
      <alignment horizontal="center" vertical="center" textRotation="0" wrapText="false" indent="0" shrinkToFit="false"/>
      <protection locked="true" hidden="false"/>
    </xf>
    <xf numFmtId="164" fontId="0" fillId="0" borderId="25" xfId="0" applyFont="true" applyBorder="true" applyAlignment="true" applyProtection="false">
      <alignment horizontal="center" vertical="center"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60% - Accent1 2" xfId="20"/>
    <cellStyle name="60% - Accent2 2" xfId="21"/>
    <cellStyle name="60% - Accent3 2" xfId="22"/>
    <cellStyle name="60% - Accent4 2" xfId="23"/>
    <cellStyle name="60% - Accent5 2" xfId="24"/>
    <cellStyle name="60% - Accent6 2" xfId="25"/>
    <cellStyle name="Millares 2" xfId="26"/>
    <cellStyle name="Neutral 2" xfId="27"/>
    <cellStyle name="Normal 2" xfId="28"/>
    <cellStyle name="Normal 2 2" xfId="29"/>
    <cellStyle name="Normal 3" xfId="30"/>
    <cellStyle name="Title 2" xfId="31"/>
  </cellStyles>
  <dxfs count="3">
    <dxf>
      <fill>
        <patternFill patternType="solid">
          <fgColor rgb="FFD9D9D9"/>
        </patternFill>
      </fill>
    </dxf>
    <dxf>
      <fill>
        <patternFill patternType="solid">
          <fgColor rgb="FF000000"/>
          <bgColor rgb="FFFFFFFF"/>
        </patternFill>
      </fill>
    </dxf>
    <dxf>
      <fill>
        <patternFill patternType="solid">
          <fgColor rgb="FFE2F0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9C9C9"/>
      <rgbColor rgb="FF808080"/>
      <rgbColor rgb="FF8FAADC"/>
      <rgbColor rgb="FF993366"/>
      <rgbColor rgb="FFFFFFCC"/>
      <rgbColor rgb="FFDEEBF7"/>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D9D9D9"/>
      <rgbColor rgb="FFE2F0D9"/>
      <rgbColor rgb="FFFFEB9C"/>
      <rgbColor rgb="FF9DC3E6"/>
      <rgbColor rgb="FFF4B183"/>
      <rgbColor rgb="FFCC99FF"/>
      <rgbColor rgb="FFFFD966"/>
      <rgbColor rgb="FF3366FF"/>
      <rgbColor rgb="FF33CCCC"/>
      <rgbColor rgb="FFA9D18E"/>
      <rgbColor rgb="FFFFCC00"/>
      <rgbColor rgb="FFFF9900"/>
      <rgbColor rgb="FFFF6600"/>
      <rgbColor rgb="FF44546A"/>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externalLink" Target="externalLinks/externalLink1.xml"/><Relationship Id="rId14" Type="http://schemas.openxmlformats.org/officeDocument/2006/relationships/externalLink" Target="externalLinks/externalLink2.xml"/><Relationship Id="rId15"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C:/Users/aacosta/Downloads/Circular_002_Anexo.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aacosta/Downloads/Informaci&#243;n%20OR_vCAT%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anual de Uso"/>
      <sheetName val="Generalidades"/>
      <sheetName val="Solicitudes"/>
      <sheetName val="Listas Desplegable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nual de Uso"/>
      <sheetName val="1. Líneas"/>
      <sheetName val="2. Tr3"/>
      <sheetName val="3. Tr2"/>
      <sheetName val="4. Subestaciones"/>
      <sheetName val="5. Demanda"/>
      <sheetName val="6. Compensacion"/>
      <sheetName val="7. Compensacion dinamica"/>
      <sheetName val="8. FACTS"/>
      <sheetName val="9. Subestaciones espacio físico"/>
      <sheetName val="9. Subestaciones espacio fí (2"/>
      <sheetName val="Listas Desplegables"/>
      <sheetName val="Subestaciones espacio físico"/>
      <sheetName val="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1328125" defaultRowHeight="14.25" zeroHeight="false" outlineLevelRow="0" outlineLevelCol="0"/>
  <cols>
    <col collapsed="false" customWidth="true" hidden="false" outlineLevel="0" max="1" min="1" style="0" width="3.67"/>
    <col collapsed="false" customWidth="true" hidden="false" outlineLevel="0" max="2" min="2" style="0" width="43.67"/>
    <col collapsed="false" customWidth="true" hidden="false" outlineLevel="0" max="3" min="3" style="1" width="48.11"/>
    <col collapsed="false" customWidth="true" hidden="false" outlineLevel="0" max="4" min="4" style="2" width="80.33"/>
  </cols>
  <sheetData>
    <row r="1" customFormat="false" ht="15" hidden="false" customHeight="false" outlineLevel="0" collapsed="false"/>
    <row r="2" customFormat="false" ht="15" hidden="false" customHeight="true" outlineLevel="0" collapsed="false">
      <c r="B2" s="3" t="s">
        <v>0</v>
      </c>
      <c r="C2" s="3"/>
      <c r="D2" s="3"/>
    </row>
    <row r="3" customFormat="false" ht="15" hidden="false" customHeight="true" outlineLevel="0" collapsed="false">
      <c r="B3" s="3"/>
      <c r="C3" s="3"/>
      <c r="D3" s="3"/>
    </row>
    <row r="4" customFormat="false" ht="15" hidden="false" customHeight="true" outlineLevel="0" collapsed="false">
      <c r="B4" s="3"/>
      <c r="C4" s="3"/>
      <c r="D4" s="3"/>
    </row>
    <row r="5" customFormat="false" ht="15.75" hidden="false" customHeight="true" outlineLevel="0" collapsed="false">
      <c r="B5" s="3"/>
      <c r="C5" s="3"/>
      <c r="D5" s="3"/>
    </row>
    <row r="6" customFormat="false" ht="15.75" hidden="false" customHeight="true" outlineLevel="0" collapsed="false">
      <c r="B6" s="4"/>
      <c r="C6" s="4"/>
      <c r="D6" s="5"/>
    </row>
    <row r="7" customFormat="false" ht="15.75" hidden="false" customHeight="true" outlineLevel="0" collapsed="false">
      <c r="B7" s="6" t="s">
        <v>1</v>
      </c>
      <c r="C7" s="6"/>
      <c r="D7" s="6"/>
    </row>
    <row r="8" customFormat="false" ht="15.75" hidden="false" customHeight="true" outlineLevel="0" collapsed="false">
      <c r="B8" s="7" t="s">
        <v>2</v>
      </c>
      <c r="C8" s="7"/>
      <c r="D8" s="7"/>
    </row>
    <row r="9" customFormat="false" ht="15.75" hidden="false" customHeight="true" outlineLevel="0" collapsed="false">
      <c r="B9" s="7"/>
      <c r="C9" s="7"/>
      <c r="D9" s="7"/>
    </row>
    <row r="10" customFormat="false" ht="15.75" hidden="false" customHeight="true" outlineLevel="0" collapsed="false">
      <c r="B10" s="7"/>
      <c r="C10" s="7"/>
      <c r="D10" s="7"/>
    </row>
    <row r="11" customFormat="false" ht="15.75" hidden="false" customHeight="true" outlineLevel="0" collapsed="false">
      <c r="B11" s="7"/>
      <c r="C11" s="7"/>
      <c r="D11" s="7"/>
    </row>
    <row r="12" customFormat="false" ht="15.75" hidden="false" customHeight="true" outlineLevel="0" collapsed="false">
      <c r="B12" s="7"/>
      <c r="C12" s="7"/>
      <c r="D12" s="7"/>
    </row>
    <row r="13" customFormat="false" ht="15.75" hidden="false" customHeight="true" outlineLevel="0" collapsed="false">
      <c r="B13" s="8"/>
      <c r="C13" s="8"/>
      <c r="D13" s="8"/>
    </row>
    <row r="14" customFormat="false" ht="15.75" hidden="false" customHeight="true" outlineLevel="0" collapsed="false">
      <c r="B14" s="6" t="s">
        <v>3</v>
      </c>
      <c r="C14" s="6"/>
      <c r="D14" s="6"/>
    </row>
    <row r="15" customFormat="false" ht="15.75" hidden="false" customHeight="true" outlineLevel="0" collapsed="false">
      <c r="B15" s="7" t="s">
        <v>4</v>
      </c>
      <c r="C15" s="7"/>
      <c r="D15" s="7"/>
    </row>
    <row r="16" customFormat="false" ht="15.75" hidden="false" customHeight="true" outlineLevel="0" collapsed="false">
      <c r="B16" s="7"/>
      <c r="C16" s="7"/>
      <c r="D16" s="7"/>
    </row>
    <row r="17" customFormat="false" ht="15.75" hidden="false" customHeight="true" outlineLevel="0" collapsed="false">
      <c r="B17" s="7"/>
      <c r="C17" s="7"/>
      <c r="D17" s="7"/>
    </row>
    <row r="18" customFormat="false" ht="15.75" hidden="false" customHeight="true" outlineLevel="0" collapsed="false">
      <c r="B18" s="7"/>
      <c r="C18" s="7"/>
      <c r="D18" s="7"/>
    </row>
    <row r="19" customFormat="false" ht="15.75" hidden="false" customHeight="true" outlineLevel="0" collapsed="false">
      <c r="B19" s="7"/>
      <c r="C19" s="7"/>
      <c r="D19" s="7"/>
    </row>
    <row r="20" customFormat="false" ht="15.75" hidden="false" customHeight="true" outlineLevel="0" collapsed="false">
      <c r="B20" s="7"/>
      <c r="C20" s="7"/>
      <c r="D20" s="7"/>
    </row>
    <row r="21" customFormat="false" ht="15.75" hidden="false" customHeight="true" outlineLevel="0" collapsed="false">
      <c r="B21" s="7"/>
      <c r="C21" s="7"/>
      <c r="D21" s="7"/>
    </row>
    <row r="22" customFormat="false" ht="15.75" hidden="false" customHeight="true" outlineLevel="0" collapsed="false">
      <c r="B22" s="7"/>
      <c r="C22" s="7"/>
      <c r="D22" s="7"/>
    </row>
    <row r="23" customFormat="false" ht="15.75" hidden="false" customHeight="true" outlineLevel="0" collapsed="false">
      <c r="B23" s="7"/>
      <c r="C23" s="7"/>
      <c r="D23" s="7"/>
    </row>
    <row r="24" customFormat="false" ht="15.75" hidden="false" customHeight="true" outlineLevel="0" collapsed="false">
      <c r="B24" s="7"/>
      <c r="C24" s="7"/>
      <c r="D24" s="7"/>
    </row>
    <row r="25" customFormat="false" ht="15.75" hidden="false" customHeight="true" outlineLevel="0" collapsed="false"/>
    <row r="26" customFormat="false" ht="15.75" hidden="false" customHeight="true" outlineLevel="0" collapsed="false">
      <c r="B26" s="6" t="s">
        <v>5</v>
      </c>
      <c r="C26" s="6"/>
      <c r="D26" s="6"/>
    </row>
    <row r="27" customFormat="false" ht="15.75" hidden="false" customHeight="true" outlineLevel="0" collapsed="false">
      <c r="B27" s="7" t="s">
        <v>6</v>
      </c>
      <c r="C27" s="7"/>
      <c r="D27" s="7"/>
    </row>
    <row r="28" customFormat="false" ht="15.75" hidden="false" customHeight="true" outlineLevel="0" collapsed="false">
      <c r="B28" s="7"/>
      <c r="C28" s="7"/>
      <c r="D28" s="7"/>
    </row>
    <row r="29" customFormat="false" ht="15.75" hidden="false" customHeight="true" outlineLevel="0" collapsed="false">
      <c r="B29" s="9" t="s">
        <v>7</v>
      </c>
      <c r="C29" s="10" t="s">
        <v>8</v>
      </c>
      <c r="D29" s="11" t="s">
        <v>9</v>
      </c>
    </row>
    <row r="30" customFormat="false" ht="15" hidden="false" customHeight="true" outlineLevel="0" collapsed="false">
      <c r="B30" s="9"/>
      <c r="C30" s="12" t="s">
        <v>10</v>
      </c>
      <c r="D30" s="13" t="s">
        <v>11</v>
      </c>
    </row>
    <row r="31" customFormat="false" ht="14.25" hidden="false" customHeight="false" outlineLevel="0" collapsed="false">
      <c r="B31" s="9"/>
      <c r="C31" s="12" t="s">
        <v>12</v>
      </c>
      <c r="D31" s="13" t="s">
        <v>13</v>
      </c>
    </row>
    <row r="32" customFormat="false" ht="14.25" hidden="false" customHeight="false" outlineLevel="0" collapsed="false">
      <c r="B32" s="9"/>
      <c r="C32" s="12" t="s">
        <v>14</v>
      </c>
      <c r="D32" s="13" t="s">
        <v>15</v>
      </c>
    </row>
    <row r="33" customFormat="false" ht="14.25" hidden="false" customHeight="false" outlineLevel="0" collapsed="false">
      <c r="B33" s="9"/>
      <c r="C33" s="12" t="s">
        <v>16</v>
      </c>
      <c r="D33" s="13" t="s">
        <v>17</v>
      </c>
    </row>
    <row r="34" customFormat="false" ht="28.5" hidden="false" customHeight="false" outlineLevel="0" collapsed="false">
      <c r="B34" s="9"/>
      <c r="C34" s="12" t="s">
        <v>18</v>
      </c>
      <c r="D34" s="13" t="s">
        <v>19</v>
      </c>
    </row>
    <row r="35" customFormat="false" ht="28.5" hidden="false" customHeight="false" outlineLevel="0" collapsed="false">
      <c r="B35" s="9"/>
      <c r="C35" s="12" t="s">
        <v>20</v>
      </c>
      <c r="D35" s="13" t="s">
        <v>21</v>
      </c>
    </row>
    <row r="36" customFormat="false" ht="28.5" hidden="false" customHeight="false" outlineLevel="0" collapsed="false">
      <c r="B36" s="9"/>
      <c r="C36" s="12" t="s">
        <v>22</v>
      </c>
      <c r="D36" s="13" t="s">
        <v>23</v>
      </c>
    </row>
    <row r="37" customFormat="false" ht="28.5" hidden="false" customHeight="false" outlineLevel="0" collapsed="false">
      <c r="B37" s="9"/>
      <c r="C37" s="12" t="s">
        <v>24</v>
      </c>
      <c r="D37" s="13" t="s">
        <v>25</v>
      </c>
    </row>
    <row r="38" customFormat="false" ht="14.25" hidden="false" customHeight="false" outlineLevel="0" collapsed="false">
      <c r="B38" s="9"/>
      <c r="C38" s="12" t="s">
        <v>26</v>
      </c>
      <c r="D38" s="13" t="s">
        <v>27</v>
      </c>
    </row>
    <row r="39" customFormat="false" ht="14.25" hidden="false" customHeight="false" outlineLevel="0" collapsed="false">
      <c r="B39" s="9"/>
      <c r="C39" s="12" t="s">
        <v>28</v>
      </c>
      <c r="D39" s="13" t="s">
        <v>29</v>
      </c>
    </row>
    <row r="40" customFormat="false" ht="14.25" hidden="false" customHeight="false" outlineLevel="0" collapsed="false">
      <c r="B40" s="9"/>
      <c r="C40" s="12" t="s">
        <v>30</v>
      </c>
      <c r="D40" s="13" t="s">
        <v>31</v>
      </c>
    </row>
    <row r="41" customFormat="false" ht="14.25" hidden="false" customHeight="false" outlineLevel="0" collapsed="false">
      <c r="B41" s="9"/>
      <c r="C41" s="12" t="s">
        <v>32</v>
      </c>
      <c r="D41" s="13" t="s">
        <v>33</v>
      </c>
    </row>
    <row r="42" customFormat="false" ht="14.25" hidden="false" customHeight="false" outlineLevel="0" collapsed="false">
      <c r="B42" s="9"/>
      <c r="C42" s="12" t="s">
        <v>34</v>
      </c>
      <c r="D42" s="13" t="s">
        <v>35</v>
      </c>
    </row>
    <row r="43" customFormat="false" ht="14.25" hidden="false" customHeight="false" outlineLevel="0" collapsed="false">
      <c r="B43" s="9"/>
      <c r="C43" s="12" t="s">
        <v>36</v>
      </c>
      <c r="D43" s="13" t="s">
        <v>37</v>
      </c>
    </row>
    <row r="44" customFormat="false" ht="14.25" hidden="false" customHeight="false" outlineLevel="0" collapsed="false">
      <c r="B44" s="9"/>
      <c r="C44" s="12" t="s">
        <v>38</v>
      </c>
      <c r="D44" s="13" t="s">
        <v>39</v>
      </c>
    </row>
    <row r="45" customFormat="false" ht="14.25" hidden="false" customHeight="false" outlineLevel="0" collapsed="false">
      <c r="B45" s="9"/>
      <c r="C45" s="12" t="s">
        <v>40</v>
      </c>
      <c r="D45" s="13" t="s">
        <v>41</v>
      </c>
    </row>
    <row r="46" customFormat="false" ht="42.75" hidden="false" customHeight="false" outlineLevel="0" collapsed="false">
      <c r="B46" s="9"/>
      <c r="C46" s="12" t="s">
        <v>42</v>
      </c>
      <c r="D46" s="13" t="s">
        <v>43</v>
      </c>
    </row>
    <row r="47" customFormat="false" ht="28.5" hidden="false" customHeight="false" outlineLevel="0" collapsed="false">
      <c r="B47" s="9"/>
      <c r="C47" s="12" t="s">
        <v>44</v>
      </c>
      <c r="D47" s="13" t="s">
        <v>45</v>
      </c>
    </row>
    <row r="48" customFormat="false" ht="28.5" hidden="false" customHeight="false" outlineLevel="0" collapsed="false">
      <c r="B48" s="9"/>
      <c r="C48" s="12" t="s">
        <v>46</v>
      </c>
      <c r="D48" s="13" t="s">
        <v>47</v>
      </c>
    </row>
    <row r="49" customFormat="false" ht="14.25" hidden="false" customHeight="false" outlineLevel="0" collapsed="false">
      <c r="B49" s="9"/>
      <c r="C49" s="12" t="s">
        <v>48</v>
      </c>
      <c r="D49" s="13" t="s">
        <v>49</v>
      </c>
    </row>
    <row r="50" customFormat="false" ht="14.25" hidden="false" customHeight="false" outlineLevel="0" collapsed="false">
      <c r="B50" s="9"/>
      <c r="C50" s="12" t="s">
        <v>50</v>
      </c>
      <c r="D50" s="13" t="s">
        <v>51</v>
      </c>
    </row>
    <row r="51" customFormat="false" ht="14.25" hidden="false" customHeight="false" outlineLevel="0" collapsed="false">
      <c r="B51" s="9"/>
      <c r="C51" s="12" t="s">
        <v>52</v>
      </c>
      <c r="D51" s="13" t="s">
        <v>53</v>
      </c>
    </row>
    <row r="52" customFormat="false" ht="72" hidden="false" customHeight="false" outlineLevel="0" collapsed="false">
      <c r="B52" s="9"/>
      <c r="C52" s="12" t="s">
        <v>54</v>
      </c>
      <c r="D52" s="13" t="s">
        <v>55</v>
      </c>
    </row>
    <row r="53" customFormat="false" ht="28.5" hidden="false" customHeight="true" outlineLevel="0" collapsed="false">
      <c r="B53" s="14" t="s">
        <v>56</v>
      </c>
      <c r="C53" s="15" t="s">
        <v>8</v>
      </c>
      <c r="D53" s="16" t="s">
        <v>57</v>
      </c>
    </row>
    <row r="54" customFormat="false" ht="14.25" hidden="false" customHeight="false" outlineLevel="0" collapsed="false">
      <c r="B54" s="14"/>
      <c r="C54" s="17" t="s">
        <v>58</v>
      </c>
      <c r="D54" s="18" t="s">
        <v>59</v>
      </c>
    </row>
    <row r="55" customFormat="false" ht="28.5" hidden="false" customHeight="false" outlineLevel="0" collapsed="false">
      <c r="B55" s="14"/>
      <c r="C55" s="17" t="s">
        <v>60</v>
      </c>
      <c r="D55" s="18" t="s">
        <v>61</v>
      </c>
    </row>
    <row r="56" customFormat="false" ht="28.5" hidden="false" customHeight="false" outlineLevel="0" collapsed="false">
      <c r="B56" s="14"/>
      <c r="C56" s="17" t="s">
        <v>62</v>
      </c>
      <c r="D56" s="18" t="s">
        <v>63</v>
      </c>
    </row>
    <row r="57" customFormat="false" ht="28.5" hidden="false" customHeight="false" outlineLevel="0" collapsed="false">
      <c r="B57" s="14"/>
      <c r="C57" s="17" t="s">
        <v>64</v>
      </c>
      <c r="D57" s="18" t="s">
        <v>65</v>
      </c>
    </row>
    <row r="58" customFormat="false" ht="14.25" hidden="false" customHeight="false" outlineLevel="0" collapsed="false">
      <c r="B58" s="14"/>
      <c r="C58" s="17" t="s">
        <v>66</v>
      </c>
      <c r="D58" s="18" t="s">
        <v>67</v>
      </c>
    </row>
    <row r="59" customFormat="false" ht="14.25" hidden="false" customHeight="false" outlineLevel="0" collapsed="false">
      <c r="B59" s="14"/>
      <c r="C59" s="17" t="s">
        <v>68</v>
      </c>
      <c r="D59" s="18" t="s">
        <v>69</v>
      </c>
    </row>
    <row r="60" customFormat="false" ht="14.25" hidden="false" customHeight="false" outlineLevel="0" collapsed="false">
      <c r="B60" s="14"/>
      <c r="C60" s="17" t="s">
        <v>70</v>
      </c>
      <c r="D60" s="18" t="s">
        <v>71</v>
      </c>
    </row>
    <row r="61" customFormat="false" ht="42.75" hidden="false" customHeight="false" outlineLevel="0" collapsed="false">
      <c r="B61" s="14"/>
      <c r="C61" s="17" t="s">
        <v>72</v>
      </c>
      <c r="D61" s="18" t="s">
        <v>73</v>
      </c>
    </row>
    <row r="62" customFormat="false" ht="28.5" hidden="false" customHeight="false" outlineLevel="0" collapsed="false">
      <c r="B62" s="14"/>
      <c r="C62" s="17" t="s">
        <v>74</v>
      </c>
      <c r="D62" s="18" t="s">
        <v>75</v>
      </c>
    </row>
    <row r="63" customFormat="false" ht="28.5" hidden="false" customHeight="false" outlineLevel="0" collapsed="false">
      <c r="B63" s="14"/>
      <c r="C63" s="17" t="s">
        <v>76</v>
      </c>
      <c r="D63" s="18" t="s">
        <v>77</v>
      </c>
    </row>
    <row r="64" customFormat="false" ht="28.5" hidden="false" customHeight="false" outlineLevel="0" collapsed="false">
      <c r="B64" s="14"/>
      <c r="C64" s="17" t="s">
        <v>78</v>
      </c>
      <c r="D64" s="18" t="s">
        <v>79</v>
      </c>
    </row>
    <row r="65" customFormat="false" ht="28.5" hidden="false" customHeight="false" outlineLevel="0" collapsed="false">
      <c r="B65" s="14"/>
      <c r="C65" s="17" t="s">
        <v>80</v>
      </c>
      <c r="D65" s="18" t="s">
        <v>81</v>
      </c>
    </row>
    <row r="66" customFormat="false" ht="28.5" hidden="false" customHeight="false" outlineLevel="0" collapsed="false">
      <c r="B66" s="14"/>
      <c r="C66" s="17" t="s">
        <v>82</v>
      </c>
      <c r="D66" s="18" t="s">
        <v>83</v>
      </c>
    </row>
    <row r="67" customFormat="false" ht="28.5" hidden="false" customHeight="false" outlineLevel="0" collapsed="false">
      <c r="B67" s="14"/>
      <c r="C67" s="17" t="s">
        <v>84</v>
      </c>
      <c r="D67" s="18" t="s">
        <v>85</v>
      </c>
    </row>
    <row r="68" customFormat="false" ht="28.5" hidden="false" customHeight="false" outlineLevel="0" collapsed="false">
      <c r="B68" s="14"/>
      <c r="C68" s="17" t="s">
        <v>86</v>
      </c>
      <c r="D68" s="18" t="s">
        <v>87</v>
      </c>
    </row>
    <row r="69" customFormat="false" ht="14.25" hidden="false" customHeight="false" outlineLevel="0" collapsed="false">
      <c r="B69" s="14"/>
      <c r="C69" s="17" t="s">
        <v>88</v>
      </c>
      <c r="D69" s="18" t="s">
        <v>89</v>
      </c>
    </row>
    <row r="70" customFormat="false" ht="14.25" hidden="false" customHeight="false" outlineLevel="0" collapsed="false">
      <c r="B70" s="14"/>
      <c r="C70" s="17" t="s">
        <v>90</v>
      </c>
      <c r="D70" s="18" t="s">
        <v>91</v>
      </c>
    </row>
    <row r="71" customFormat="false" ht="28.5" hidden="false" customHeight="false" outlineLevel="0" collapsed="false">
      <c r="B71" s="14"/>
      <c r="C71" s="19" t="s">
        <v>92</v>
      </c>
      <c r="D71" s="20" t="s">
        <v>93</v>
      </c>
    </row>
    <row r="72" customFormat="false" ht="42.75" hidden="false" customHeight="false" outlineLevel="0" collapsed="false">
      <c r="B72" s="14"/>
      <c r="C72" s="19" t="s">
        <v>94</v>
      </c>
      <c r="D72" s="20" t="s">
        <v>95</v>
      </c>
    </row>
    <row r="73" customFormat="false" ht="42.75" hidden="false" customHeight="false" outlineLevel="0" collapsed="false">
      <c r="B73" s="14"/>
      <c r="C73" s="12" t="s">
        <v>42</v>
      </c>
      <c r="D73" s="13" t="s">
        <v>43</v>
      </c>
    </row>
    <row r="74" customFormat="false" ht="28.5" hidden="false" customHeight="false" outlineLevel="0" collapsed="false">
      <c r="B74" s="14"/>
      <c r="C74" s="12" t="s">
        <v>44</v>
      </c>
      <c r="D74" s="13" t="s">
        <v>45</v>
      </c>
    </row>
    <row r="75" customFormat="false" ht="28.5" hidden="false" customHeight="false" outlineLevel="0" collapsed="false">
      <c r="B75" s="14"/>
      <c r="C75" s="12" t="s">
        <v>38</v>
      </c>
      <c r="D75" s="13" t="s">
        <v>96</v>
      </c>
    </row>
    <row r="76" customFormat="false" ht="28.5" hidden="false" customHeight="false" outlineLevel="0" collapsed="false">
      <c r="B76" s="14"/>
      <c r="C76" s="21" t="s">
        <v>97</v>
      </c>
      <c r="D76" s="22" t="s">
        <v>98</v>
      </c>
    </row>
    <row r="77" customFormat="false" ht="28.5" hidden="false" customHeight="false" outlineLevel="0" collapsed="false">
      <c r="B77" s="14"/>
      <c r="C77" s="21" t="s">
        <v>99</v>
      </c>
      <c r="D77" s="22" t="s">
        <v>100</v>
      </c>
    </row>
    <row r="78" customFormat="false" ht="28.5" hidden="false" customHeight="false" outlineLevel="0" collapsed="false">
      <c r="B78" s="14"/>
      <c r="C78" s="21" t="s">
        <v>101</v>
      </c>
      <c r="D78" s="22" t="s">
        <v>102</v>
      </c>
    </row>
    <row r="79" customFormat="false" ht="14.25" hidden="false" customHeight="false" outlineLevel="0" collapsed="false">
      <c r="B79" s="14"/>
      <c r="C79" s="12" t="s">
        <v>48</v>
      </c>
      <c r="D79" s="13" t="s">
        <v>49</v>
      </c>
    </row>
    <row r="80" customFormat="false" ht="14.25" hidden="false" customHeight="false" outlineLevel="0" collapsed="false">
      <c r="B80" s="14"/>
      <c r="C80" s="12" t="s">
        <v>50</v>
      </c>
      <c r="D80" s="13" t="s">
        <v>51</v>
      </c>
    </row>
    <row r="81" customFormat="false" ht="14.25" hidden="false" customHeight="false" outlineLevel="0" collapsed="false">
      <c r="B81" s="14"/>
      <c r="C81" s="12" t="s">
        <v>52</v>
      </c>
      <c r="D81" s="13" t="s">
        <v>53</v>
      </c>
    </row>
    <row r="82" customFormat="false" ht="29.25" hidden="false" customHeight="false" outlineLevel="0" collapsed="false">
      <c r="B82" s="14"/>
      <c r="C82" s="12" t="s">
        <v>54</v>
      </c>
      <c r="D82" s="13" t="s">
        <v>103</v>
      </c>
    </row>
    <row r="83" customFormat="false" ht="28.5" hidden="false" customHeight="true" outlineLevel="0" collapsed="false">
      <c r="B83" s="14" t="s">
        <v>104</v>
      </c>
      <c r="C83" s="15" t="s">
        <v>8</v>
      </c>
      <c r="D83" s="16" t="s">
        <v>57</v>
      </c>
    </row>
    <row r="84" customFormat="false" ht="14.25" hidden="false" customHeight="false" outlineLevel="0" collapsed="false">
      <c r="B84" s="14"/>
      <c r="C84" s="17" t="s">
        <v>58</v>
      </c>
      <c r="D84" s="18" t="s">
        <v>59</v>
      </c>
    </row>
    <row r="85" customFormat="false" ht="28.5" hidden="false" customHeight="false" outlineLevel="0" collapsed="false">
      <c r="B85" s="14"/>
      <c r="C85" s="17" t="s">
        <v>60</v>
      </c>
      <c r="D85" s="18" t="s">
        <v>61</v>
      </c>
    </row>
    <row r="86" customFormat="false" ht="28.5" hidden="false" customHeight="false" outlineLevel="0" collapsed="false">
      <c r="B86" s="14"/>
      <c r="C86" s="17" t="s">
        <v>64</v>
      </c>
      <c r="D86" s="18" t="s">
        <v>65</v>
      </c>
    </row>
    <row r="87" customFormat="false" ht="14.25" hidden="false" customHeight="false" outlineLevel="0" collapsed="false">
      <c r="B87" s="14"/>
      <c r="C87" s="23" t="s">
        <v>105</v>
      </c>
      <c r="D87" s="18" t="s">
        <v>106</v>
      </c>
    </row>
    <row r="88" customFormat="false" ht="42.75" hidden="false" customHeight="false" outlineLevel="0" collapsed="false">
      <c r="B88" s="14"/>
      <c r="C88" s="23" t="s">
        <v>72</v>
      </c>
      <c r="D88" s="18" t="s">
        <v>107</v>
      </c>
    </row>
    <row r="89" customFormat="false" ht="28.5" hidden="false" customHeight="false" outlineLevel="0" collapsed="false">
      <c r="B89" s="14"/>
      <c r="C89" s="23" t="s">
        <v>108</v>
      </c>
      <c r="D89" s="18" t="s">
        <v>109</v>
      </c>
    </row>
    <row r="90" customFormat="false" ht="28.5" hidden="false" customHeight="false" outlineLevel="0" collapsed="false">
      <c r="B90" s="14"/>
      <c r="C90" s="24" t="s">
        <v>110</v>
      </c>
      <c r="D90" s="18" t="s">
        <v>111</v>
      </c>
    </row>
    <row r="91" customFormat="false" ht="28.5" hidden="false" customHeight="false" outlineLevel="0" collapsed="false">
      <c r="B91" s="14"/>
      <c r="C91" s="24" t="s">
        <v>86</v>
      </c>
      <c r="D91" s="18" t="s">
        <v>87</v>
      </c>
    </row>
    <row r="92" customFormat="false" ht="14.25" hidden="false" customHeight="false" outlineLevel="0" collapsed="false">
      <c r="B92" s="14"/>
      <c r="C92" s="24" t="s">
        <v>88</v>
      </c>
      <c r="D92" s="18" t="s">
        <v>89</v>
      </c>
    </row>
    <row r="93" customFormat="false" ht="14.25" hidden="false" customHeight="false" outlineLevel="0" collapsed="false">
      <c r="B93" s="14"/>
      <c r="C93" s="24" t="s">
        <v>90</v>
      </c>
      <c r="D93" s="18" t="s">
        <v>91</v>
      </c>
    </row>
    <row r="94" customFormat="false" ht="28.5" hidden="false" customHeight="false" outlineLevel="0" collapsed="false">
      <c r="B94" s="14"/>
      <c r="C94" s="25" t="s">
        <v>92</v>
      </c>
      <c r="D94" s="20" t="s">
        <v>93</v>
      </c>
    </row>
    <row r="95" customFormat="false" ht="42.75" hidden="false" customHeight="false" outlineLevel="0" collapsed="false">
      <c r="B95" s="14"/>
      <c r="C95" s="19" t="s">
        <v>94</v>
      </c>
      <c r="D95" s="20" t="s">
        <v>95</v>
      </c>
    </row>
    <row r="96" customFormat="false" ht="42.75" hidden="false" customHeight="false" outlineLevel="0" collapsed="false">
      <c r="B96" s="14"/>
      <c r="C96" s="12" t="s">
        <v>42</v>
      </c>
      <c r="D96" s="13" t="s">
        <v>43</v>
      </c>
    </row>
    <row r="97" customFormat="false" ht="28.5" hidden="false" customHeight="false" outlineLevel="0" collapsed="false">
      <c r="B97" s="14"/>
      <c r="C97" s="12" t="s">
        <v>44</v>
      </c>
      <c r="D97" s="13" t="s">
        <v>45</v>
      </c>
    </row>
    <row r="98" customFormat="false" ht="28.5" hidden="false" customHeight="false" outlineLevel="0" collapsed="false">
      <c r="B98" s="14"/>
      <c r="C98" s="12" t="s">
        <v>38</v>
      </c>
      <c r="D98" s="13" t="s">
        <v>96</v>
      </c>
    </row>
    <row r="99" customFormat="false" ht="14.25" hidden="false" customHeight="false" outlineLevel="0" collapsed="false">
      <c r="B99" s="14"/>
      <c r="C99" s="12" t="s">
        <v>112</v>
      </c>
      <c r="D99" s="20" t="s">
        <v>113</v>
      </c>
    </row>
    <row r="100" customFormat="false" ht="14.25" hidden="false" customHeight="false" outlineLevel="0" collapsed="false">
      <c r="B100" s="14"/>
      <c r="C100" s="12" t="s">
        <v>48</v>
      </c>
      <c r="D100" s="13" t="s">
        <v>49</v>
      </c>
    </row>
    <row r="101" customFormat="false" ht="14.25" hidden="false" customHeight="false" outlineLevel="0" collapsed="false">
      <c r="B101" s="14"/>
      <c r="C101" s="12" t="s">
        <v>50</v>
      </c>
      <c r="D101" s="13" t="s">
        <v>51</v>
      </c>
    </row>
    <row r="102" customFormat="false" ht="14.25" hidden="false" customHeight="false" outlineLevel="0" collapsed="false">
      <c r="B102" s="14"/>
      <c r="C102" s="12" t="s">
        <v>52</v>
      </c>
      <c r="D102" s="13" t="s">
        <v>53</v>
      </c>
    </row>
    <row r="103" customFormat="false" ht="29.25" hidden="false" customHeight="false" outlineLevel="0" collapsed="false">
      <c r="B103" s="14"/>
      <c r="C103" s="12" t="s">
        <v>54</v>
      </c>
      <c r="D103" s="13" t="s">
        <v>103</v>
      </c>
    </row>
    <row r="104" customFormat="false" ht="14.25" hidden="false" customHeight="true" outlineLevel="0" collapsed="false">
      <c r="B104" s="9" t="s">
        <v>114</v>
      </c>
      <c r="C104" s="26" t="s">
        <v>8</v>
      </c>
      <c r="D104" s="27" t="s">
        <v>115</v>
      </c>
    </row>
    <row r="105" customFormat="false" ht="28.5" hidden="false" customHeight="false" outlineLevel="0" collapsed="false">
      <c r="B105" s="9"/>
      <c r="C105" s="28" t="s">
        <v>116</v>
      </c>
      <c r="D105" s="29" t="s">
        <v>117</v>
      </c>
    </row>
    <row r="106" customFormat="false" ht="14.25" hidden="false" customHeight="false" outlineLevel="0" collapsed="false">
      <c r="B106" s="9"/>
      <c r="C106" s="28" t="s">
        <v>14</v>
      </c>
      <c r="D106" s="29" t="s">
        <v>118</v>
      </c>
    </row>
    <row r="107" customFormat="false" ht="42.75" hidden="false" customHeight="false" outlineLevel="0" collapsed="false">
      <c r="B107" s="9"/>
      <c r="C107" s="28" t="s">
        <v>119</v>
      </c>
      <c r="D107" s="29" t="s">
        <v>120</v>
      </c>
    </row>
    <row r="108" customFormat="false" ht="57" hidden="false" customHeight="false" outlineLevel="0" collapsed="false">
      <c r="B108" s="9"/>
      <c r="C108" s="30" t="s">
        <v>121</v>
      </c>
      <c r="D108" s="13" t="s">
        <v>122</v>
      </c>
    </row>
    <row r="109" customFormat="false" ht="14.25" hidden="false" customHeight="false" outlineLevel="0" collapsed="false">
      <c r="B109" s="9"/>
      <c r="C109" s="30" t="s">
        <v>40</v>
      </c>
      <c r="D109" s="13" t="s">
        <v>123</v>
      </c>
    </row>
    <row r="110" customFormat="false" ht="42.75" hidden="false" customHeight="false" outlineLevel="0" collapsed="false">
      <c r="B110" s="9"/>
      <c r="C110" s="12" t="s">
        <v>42</v>
      </c>
      <c r="D110" s="13" t="s">
        <v>43</v>
      </c>
    </row>
    <row r="111" customFormat="false" ht="28.5" hidden="false" customHeight="false" outlineLevel="0" collapsed="false">
      <c r="B111" s="9"/>
      <c r="C111" s="12" t="s">
        <v>44</v>
      </c>
      <c r="D111" s="13" t="s">
        <v>45</v>
      </c>
    </row>
    <row r="112" customFormat="false" ht="14.25" hidden="false" customHeight="false" outlineLevel="0" collapsed="false">
      <c r="B112" s="9"/>
      <c r="C112" s="30" t="s">
        <v>124</v>
      </c>
      <c r="D112" s="13" t="s">
        <v>125</v>
      </c>
    </row>
    <row r="113" customFormat="false" ht="14.25" hidden="false" customHeight="false" outlineLevel="0" collapsed="false">
      <c r="B113" s="9"/>
      <c r="C113" s="30" t="s">
        <v>126</v>
      </c>
      <c r="D113" s="13" t="s">
        <v>127</v>
      </c>
    </row>
    <row r="114" customFormat="false" ht="29.25" hidden="false" customHeight="false" outlineLevel="0" collapsed="false">
      <c r="B114" s="9"/>
      <c r="C114" s="12" t="s">
        <v>54</v>
      </c>
      <c r="D114" s="13" t="s">
        <v>103</v>
      </c>
    </row>
    <row r="115" customFormat="false" ht="14.25" hidden="false" customHeight="true" outlineLevel="0" collapsed="false">
      <c r="B115" s="14" t="s">
        <v>128</v>
      </c>
      <c r="C115" s="26" t="s">
        <v>8</v>
      </c>
      <c r="D115" s="16" t="s">
        <v>129</v>
      </c>
    </row>
    <row r="116" customFormat="false" ht="28.5" hidden="false" customHeight="false" outlineLevel="0" collapsed="false">
      <c r="B116" s="14"/>
      <c r="C116" s="28" t="s">
        <v>58</v>
      </c>
      <c r="D116" s="31" t="s">
        <v>130</v>
      </c>
    </row>
    <row r="117" customFormat="false" ht="14.25" hidden="false" customHeight="false" outlineLevel="0" collapsed="false">
      <c r="B117" s="14"/>
      <c r="C117" s="28" t="s">
        <v>14</v>
      </c>
      <c r="D117" s="31" t="s">
        <v>131</v>
      </c>
    </row>
    <row r="118" customFormat="false" ht="28.5" hidden="false" customHeight="false" outlineLevel="0" collapsed="false">
      <c r="B118" s="14"/>
      <c r="C118" s="30" t="s">
        <v>40</v>
      </c>
      <c r="D118" s="13" t="s">
        <v>132</v>
      </c>
    </row>
    <row r="119" customFormat="false" ht="14.25" hidden="false" customHeight="false" outlineLevel="0" collapsed="false">
      <c r="B119" s="14"/>
      <c r="C119" s="32" t="s">
        <v>133</v>
      </c>
      <c r="D119" s="18" t="s">
        <v>134</v>
      </c>
    </row>
    <row r="120" customFormat="false" ht="42.75" hidden="false" customHeight="false" outlineLevel="0" collapsed="false">
      <c r="B120" s="14"/>
      <c r="C120" s="12" t="s">
        <v>42</v>
      </c>
      <c r="D120" s="13" t="s">
        <v>43</v>
      </c>
    </row>
    <row r="121" customFormat="false" ht="28.5" hidden="false" customHeight="false" outlineLevel="0" collapsed="false">
      <c r="B121" s="14"/>
      <c r="C121" s="12" t="s">
        <v>44</v>
      </c>
      <c r="D121" s="13" t="s">
        <v>45</v>
      </c>
    </row>
    <row r="122" customFormat="false" ht="28.5" hidden="false" customHeight="false" outlineLevel="0" collapsed="false">
      <c r="B122" s="14"/>
      <c r="C122" s="12" t="s">
        <v>135</v>
      </c>
      <c r="D122" s="13" t="s">
        <v>136</v>
      </c>
    </row>
    <row r="123" customFormat="false" ht="28.5" hidden="false" customHeight="false" outlineLevel="0" collapsed="false">
      <c r="B123" s="14"/>
      <c r="C123" s="12" t="s">
        <v>137</v>
      </c>
      <c r="D123" s="13" t="s">
        <v>138</v>
      </c>
    </row>
    <row r="124" customFormat="false" ht="28.5" hidden="false" customHeight="false" outlineLevel="0" collapsed="false">
      <c r="B124" s="14"/>
      <c r="C124" s="32" t="s">
        <v>139</v>
      </c>
      <c r="D124" s="13" t="s">
        <v>140</v>
      </c>
    </row>
    <row r="125" customFormat="false" ht="29.25" hidden="false" customHeight="false" outlineLevel="0" collapsed="false">
      <c r="B125" s="14"/>
      <c r="C125" s="33" t="s">
        <v>54</v>
      </c>
      <c r="D125" s="34" t="s">
        <v>103</v>
      </c>
    </row>
    <row r="126" customFormat="false" ht="14.25" hidden="false" customHeight="true" outlineLevel="0" collapsed="false">
      <c r="B126" s="35" t="s">
        <v>141</v>
      </c>
      <c r="C126" s="15" t="s">
        <v>8</v>
      </c>
      <c r="D126" s="27" t="s">
        <v>142</v>
      </c>
    </row>
    <row r="127" customFormat="false" ht="14.25" hidden="false" customHeight="false" outlineLevel="0" collapsed="false">
      <c r="B127" s="35"/>
      <c r="C127" s="17" t="s">
        <v>58</v>
      </c>
      <c r="D127" s="29" t="s">
        <v>143</v>
      </c>
    </row>
    <row r="128" customFormat="false" ht="14.25" hidden="false" customHeight="false" outlineLevel="0" collapsed="false">
      <c r="B128" s="35"/>
      <c r="C128" s="17" t="s">
        <v>14</v>
      </c>
      <c r="D128" s="29" t="s">
        <v>144</v>
      </c>
    </row>
    <row r="129" customFormat="false" ht="14.25" hidden="false" customHeight="false" outlineLevel="0" collapsed="false">
      <c r="B129" s="35"/>
      <c r="C129" s="23" t="s">
        <v>145</v>
      </c>
      <c r="D129" s="13" t="s">
        <v>146</v>
      </c>
    </row>
    <row r="130" customFormat="false" ht="14.25" hidden="false" customHeight="false" outlineLevel="0" collapsed="false">
      <c r="B130" s="35"/>
      <c r="C130" s="23" t="s">
        <v>147</v>
      </c>
      <c r="D130" s="13" t="s">
        <v>148</v>
      </c>
    </row>
    <row r="131" customFormat="false" ht="14.25" hidden="false" customHeight="false" outlineLevel="0" collapsed="false">
      <c r="B131" s="35"/>
      <c r="C131" s="12" t="s">
        <v>149</v>
      </c>
      <c r="D131" s="13" t="s">
        <v>150</v>
      </c>
    </row>
    <row r="132" customFormat="false" ht="14.25" hidden="false" customHeight="false" outlineLevel="0" collapsed="false">
      <c r="B132" s="35"/>
      <c r="C132" s="12" t="s">
        <v>151</v>
      </c>
      <c r="D132" s="13" t="s">
        <v>152</v>
      </c>
    </row>
    <row r="133" customFormat="false" ht="14.25" hidden="false" customHeight="false" outlineLevel="0" collapsed="false">
      <c r="B133" s="35"/>
      <c r="C133" s="12" t="s">
        <v>153</v>
      </c>
      <c r="D133" s="13" t="s">
        <v>154</v>
      </c>
    </row>
    <row r="134" customFormat="false" ht="42.75" hidden="false" customHeight="false" outlineLevel="0" collapsed="false">
      <c r="B134" s="35"/>
      <c r="C134" s="12" t="s">
        <v>42</v>
      </c>
      <c r="D134" s="13" t="s">
        <v>43</v>
      </c>
    </row>
    <row r="135" customFormat="false" ht="28.5" hidden="false" customHeight="false" outlineLevel="0" collapsed="false">
      <c r="B135" s="35"/>
      <c r="C135" s="12" t="s">
        <v>44</v>
      </c>
      <c r="D135" s="13" t="s">
        <v>45</v>
      </c>
    </row>
    <row r="136" customFormat="false" ht="29.25" hidden="false" customHeight="false" outlineLevel="0" collapsed="false">
      <c r="B136" s="35"/>
      <c r="C136" s="33" t="s">
        <v>54</v>
      </c>
      <c r="D136" s="34" t="s">
        <v>103</v>
      </c>
    </row>
    <row r="137" customFormat="false" ht="28.5" hidden="false" customHeight="true" outlineLevel="0" collapsed="false">
      <c r="B137" s="36" t="s">
        <v>155</v>
      </c>
      <c r="C137" s="15" t="s">
        <v>8</v>
      </c>
      <c r="D137" s="27" t="s">
        <v>156</v>
      </c>
    </row>
    <row r="138" customFormat="false" ht="14.25" hidden="false" customHeight="false" outlineLevel="0" collapsed="false">
      <c r="B138" s="36"/>
      <c r="C138" s="17" t="s">
        <v>58</v>
      </c>
      <c r="D138" s="29" t="s">
        <v>157</v>
      </c>
    </row>
    <row r="139" customFormat="false" ht="14.25" hidden="false" customHeight="false" outlineLevel="0" collapsed="false">
      <c r="B139" s="36"/>
      <c r="C139" s="17" t="s">
        <v>14</v>
      </c>
      <c r="D139" s="29" t="s">
        <v>144</v>
      </c>
    </row>
    <row r="140" customFormat="false" ht="28.5" hidden="false" customHeight="false" outlineLevel="0" collapsed="false">
      <c r="B140" s="36"/>
      <c r="C140" s="37" t="s">
        <v>158</v>
      </c>
      <c r="D140" s="13" t="s">
        <v>159</v>
      </c>
    </row>
    <row r="141" customFormat="false" ht="42.75" hidden="false" customHeight="false" outlineLevel="0" collapsed="false">
      <c r="B141" s="36"/>
      <c r="C141" s="38" t="s">
        <v>42</v>
      </c>
      <c r="D141" s="13" t="s">
        <v>43</v>
      </c>
    </row>
    <row r="142" customFormat="false" ht="28.5" hidden="false" customHeight="false" outlineLevel="0" collapsed="false">
      <c r="B142" s="36"/>
      <c r="C142" s="38" t="s">
        <v>44</v>
      </c>
      <c r="D142" s="13" t="s">
        <v>45</v>
      </c>
    </row>
    <row r="143" customFormat="false" ht="14.25" hidden="false" customHeight="false" outlineLevel="0" collapsed="false">
      <c r="B143" s="36"/>
      <c r="C143" s="38" t="s">
        <v>160</v>
      </c>
      <c r="D143" s="13" t="s">
        <v>161</v>
      </c>
    </row>
    <row r="144" customFormat="false" ht="14.25" hidden="false" customHeight="false" outlineLevel="0" collapsed="false">
      <c r="B144" s="36"/>
      <c r="C144" s="38" t="s">
        <v>162</v>
      </c>
      <c r="D144" s="13" t="s">
        <v>163</v>
      </c>
    </row>
    <row r="145" customFormat="false" ht="29.25" hidden="false" customHeight="false" outlineLevel="0" collapsed="false">
      <c r="B145" s="36"/>
      <c r="C145" s="39" t="s">
        <v>54</v>
      </c>
      <c r="D145" s="34" t="s">
        <v>103</v>
      </c>
    </row>
    <row r="146" customFormat="false" ht="14.25" hidden="false" customHeight="true" outlineLevel="0" collapsed="false">
      <c r="B146" s="36" t="s">
        <v>164</v>
      </c>
      <c r="C146" s="15" t="s">
        <v>8</v>
      </c>
      <c r="D146" s="27" t="s">
        <v>165</v>
      </c>
    </row>
    <row r="147" customFormat="false" ht="28.5" hidden="false" customHeight="false" outlineLevel="0" collapsed="false">
      <c r="B147" s="36"/>
      <c r="C147" s="17" t="s">
        <v>166</v>
      </c>
      <c r="D147" s="29" t="s">
        <v>167</v>
      </c>
    </row>
    <row r="148" customFormat="false" ht="14.25" hidden="false" customHeight="false" outlineLevel="0" collapsed="false">
      <c r="B148" s="36"/>
      <c r="C148" s="17" t="s">
        <v>14</v>
      </c>
      <c r="D148" s="29" t="s">
        <v>168</v>
      </c>
    </row>
    <row r="149" customFormat="false" ht="42.75" hidden="false" customHeight="false" outlineLevel="0" collapsed="false">
      <c r="B149" s="36"/>
      <c r="C149" s="38" t="s">
        <v>42</v>
      </c>
      <c r="D149" s="13" t="s">
        <v>43</v>
      </c>
    </row>
    <row r="150" customFormat="false" ht="28.5" hidden="false" customHeight="false" outlineLevel="0" collapsed="false">
      <c r="B150" s="36"/>
      <c r="C150" s="38" t="s">
        <v>44</v>
      </c>
      <c r="D150" s="13" t="s">
        <v>45</v>
      </c>
    </row>
    <row r="151" customFormat="false" ht="14.25" hidden="false" customHeight="false" outlineLevel="0" collapsed="false">
      <c r="B151" s="36"/>
      <c r="C151" s="40" t="s">
        <v>169</v>
      </c>
      <c r="D151" s="41" t="s">
        <v>170</v>
      </c>
    </row>
    <row r="152" customFormat="false" ht="14.25" hidden="false" customHeight="false" outlineLevel="0" collapsed="false">
      <c r="B152" s="36"/>
      <c r="C152" s="38" t="s">
        <v>171</v>
      </c>
      <c r="D152" s="13" t="s">
        <v>172</v>
      </c>
    </row>
    <row r="153" customFormat="false" ht="14.25" hidden="false" customHeight="false" outlineLevel="0" collapsed="false">
      <c r="B153" s="36"/>
      <c r="C153" s="38" t="s">
        <v>173</v>
      </c>
      <c r="D153" s="13" t="s">
        <v>174</v>
      </c>
    </row>
    <row r="154" customFormat="false" ht="14.25" hidden="false" customHeight="false" outlineLevel="0" collapsed="false">
      <c r="B154" s="36"/>
      <c r="C154" s="42" t="s">
        <v>175</v>
      </c>
      <c r="D154" s="22" t="s">
        <v>176</v>
      </c>
    </row>
    <row r="155" customFormat="false" ht="29.25" hidden="false" customHeight="false" outlineLevel="0" collapsed="false">
      <c r="B155" s="36"/>
      <c r="C155" s="39" t="s">
        <v>54</v>
      </c>
      <c r="D155" s="34" t="s">
        <v>103</v>
      </c>
    </row>
    <row r="156" customFormat="false" ht="14.25" hidden="false" customHeight="true" outlineLevel="0" collapsed="false">
      <c r="B156" s="14" t="s">
        <v>177</v>
      </c>
      <c r="C156" s="26" t="s">
        <v>178</v>
      </c>
      <c r="D156" s="29" t="s">
        <v>179</v>
      </c>
    </row>
    <row r="157" customFormat="false" ht="14.25" hidden="false" customHeight="false" outlineLevel="0" collapsed="false">
      <c r="B157" s="14"/>
      <c r="C157" s="28" t="s">
        <v>180</v>
      </c>
      <c r="D157" s="29" t="s">
        <v>181</v>
      </c>
    </row>
    <row r="158" customFormat="false" ht="14.25" hidden="false" customHeight="false" outlineLevel="0" collapsed="false">
      <c r="B158" s="14"/>
      <c r="C158" s="28" t="s">
        <v>182</v>
      </c>
      <c r="D158" s="41"/>
    </row>
    <row r="159" customFormat="false" ht="28.5" hidden="false" customHeight="false" outlineLevel="0" collapsed="false">
      <c r="B159" s="14"/>
      <c r="C159" s="28" t="s">
        <v>183</v>
      </c>
      <c r="D159" s="29" t="s">
        <v>184</v>
      </c>
    </row>
    <row r="160" customFormat="false" ht="28.5" hidden="false" customHeight="false" outlineLevel="0" collapsed="false">
      <c r="B160" s="14"/>
      <c r="C160" s="28" t="s">
        <v>185</v>
      </c>
      <c r="D160" s="29" t="s">
        <v>186</v>
      </c>
    </row>
    <row r="161" customFormat="false" ht="28.5" hidden="false" customHeight="false" outlineLevel="0" collapsed="false">
      <c r="B161" s="14"/>
      <c r="C161" s="28" t="s">
        <v>187</v>
      </c>
      <c r="D161" s="29" t="s">
        <v>188</v>
      </c>
    </row>
    <row r="162" customFormat="false" ht="28.5" hidden="false" customHeight="false" outlineLevel="0" collapsed="false">
      <c r="B162" s="14"/>
      <c r="C162" s="28" t="s">
        <v>189</v>
      </c>
      <c r="D162" s="29" t="s">
        <v>190</v>
      </c>
    </row>
    <row r="163" customFormat="false" ht="28.5" hidden="false" customHeight="false" outlineLevel="0" collapsed="false">
      <c r="B163" s="14"/>
      <c r="C163" s="28" t="s">
        <v>191</v>
      </c>
      <c r="D163" s="29" t="s">
        <v>192</v>
      </c>
    </row>
    <row r="164" customFormat="false" ht="15" hidden="false" customHeight="false" outlineLevel="0" collapsed="false">
      <c r="B164" s="14"/>
      <c r="C164" s="43" t="s">
        <v>193</v>
      </c>
      <c r="D164" s="44"/>
    </row>
  </sheetData>
  <mergeCells count="16">
    <mergeCell ref="B2:D5"/>
    <mergeCell ref="B7:D7"/>
    <mergeCell ref="B8:D12"/>
    <mergeCell ref="B14:D14"/>
    <mergeCell ref="B15:D24"/>
    <mergeCell ref="B26:D26"/>
    <mergeCell ref="B27:D28"/>
    <mergeCell ref="B29:B52"/>
    <mergeCell ref="B53:B82"/>
    <mergeCell ref="B83:B103"/>
    <mergeCell ref="B104:B114"/>
    <mergeCell ref="B115:B125"/>
    <mergeCell ref="B126:B136"/>
    <mergeCell ref="B137:B145"/>
    <mergeCell ref="B146:B155"/>
    <mergeCell ref="B156:B164"/>
  </mergeCells>
  <printOptions headings="false" gridLines="false" gridLinesSet="true" horizontalCentered="false" verticalCentered="false"/>
  <pageMargins left="0.7" right="0.7" top="0.75" bottom="0.75" header="0.511811023622047" footer="0.511811023622047"/>
  <pageSetup paperSize="1" scale="6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H5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D7" activeCellId="0" sqref="D7"/>
    </sheetView>
  </sheetViews>
  <sheetFormatPr defaultColWidth="11.55859375" defaultRowHeight="14.25" zeroHeight="false" outlineLevelRow="0" outlineLevelCol="0"/>
  <cols>
    <col collapsed="false" customWidth="true" hidden="true" outlineLevel="0" max="2" min="1" style="45" width="3"/>
    <col collapsed="false" customWidth="true" hidden="false" outlineLevel="0" max="3" min="3" style="46" width="6.67"/>
    <col collapsed="false" customWidth="true" hidden="false" outlineLevel="0" max="4" min="4" style="0" width="35"/>
    <col collapsed="false" customWidth="true" hidden="false" outlineLevel="0" max="5" min="5" style="0" width="30.34"/>
    <col collapsed="false" customWidth="true" hidden="false" outlineLevel="0" max="6" min="6" style="0" width="29.66"/>
    <col collapsed="false" customWidth="true" hidden="false" outlineLevel="0" max="11" min="11" style="0" width="13.33"/>
    <col collapsed="false" customWidth="true" hidden="false" outlineLevel="0" max="12" min="12" style="0" width="28"/>
    <col collapsed="false" customWidth="true" hidden="false" outlineLevel="0" max="19" min="19" style="0" width="12.45"/>
    <col collapsed="false" customWidth="true" hidden="false" outlineLevel="0" max="22" min="22" style="47" width="12.45"/>
    <col collapsed="false" customWidth="true" hidden="false" outlineLevel="0" max="23" min="23" style="0" width="29.56"/>
    <col collapsed="false" customWidth="true" hidden="false" outlineLevel="0" max="26" min="24" style="0" width="16.55"/>
    <col collapsed="false" customWidth="true" hidden="false" outlineLevel="0" max="27" min="27" style="0" width="41.33"/>
  </cols>
  <sheetData>
    <row r="1" customFormat="false" ht="14.25" hidden="true" customHeight="false" outlineLevel="0" collapsed="false"/>
    <row r="2" customFormat="false" ht="15" hidden="true" customHeight="false" outlineLevel="0" collapsed="false"/>
    <row r="3" s="50" customFormat="true" ht="15" hidden="false" customHeight="false" outlineLevel="0" collapsed="false">
      <c r="A3" s="48"/>
      <c r="B3" s="48"/>
      <c r="C3" s="49" t="s">
        <v>194</v>
      </c>
      <c r="D3" s="49"/>
      <c r="E3" s="49"/>
      <c r="F3" s="49"/>
      <c r="G3" s="49"/>
      <c r="H3" s="49"/>
      <c r="I3" s="49"/>
      <c r="J3" s="49"/>
      <c r="K3" s="49"/>
      <c r="L3" s="49"/>
      <c r="M3" s="49"/>
      <c r="N3" s="49"/>
      <c r="O3" s="49"/>
      <c r="P3" s="49"/>
      <c r="Q3" s="49"/>
      <c r="R3" s="49"/>
      <c r="S3" s="49"/>
      <c r="T3" s="49"/>
      <c r="U3" s="49"/>
      <c r="V3" s="49"/>
      <c r="W3" s="49"/>
      <c r="X3" s="49"/>
      <c r="Y3" s="49"/>
      <c r="Z3" s="49"/>
      <c r="AA3" s="49"/>
    </row>
    <row r="4" s="55" customFormat="true" ht="12" hidden="false" customHeight="true" outlineLevel="0" collapsed="false">
      <c r="A4" s="51"/>
      <c r="B4" s="52"/>
      <c r="C4" s="53" t="s">
        <v>195</v>
      </c>
      <c r="D4" s="54" t="str">
        <f aca="false">'Manual de Uso'!C29</f>
        <v>Nombre</v>
      </c>
      <c r="E4" s="54" t="str">
        <f aca="false">'Manual de Uso'!C30</f>
        <v>Subestación 1</v>
      </c>
      <c r="F4" s="54" t="str">
        <f aca="false">'Manual de Uso'!C31</f>
        <v>Subestación 2</v>
      </c>
      <c r="G4" s="54" t="str">
        <f aca="false">'Manual de Uso'!C32</f>
        <v>Nivel de tensión [kV]</v>
      </c>
      <c r="H4" s="54" t="str">
        <f aca="false">'Manual de Uso'!C33</f>
        <v>Longitud [km]</v>
      </c>
      <c r="I4" s="54" t="str">
        <f aca="false">'Manual de Uso'!C34</f>
        <v>Capacidad transporte nominal [A]</v>
      </c>
      <c r="J4" s="54" t="str">
        <f aca="false">'Manual de Uso'!C35</f>
        <v>Capacidad transporte térmico [A]</v>
      </c>
      <c r="K4" s="54" t="str">
        <f aca="false">'Manual de Uso'!C36</f>
        <v>Capacidad transporte emergencia [A]</v>
      </c>
      <c r="L4" s="54" t="str">
        <f aca="false">'Manual de Uso'!C37</f>
        <v>Causa límite de capacidad</v>
      </c>
      <c r="M4" s="54" t="str">
        <f aca="false">'Manual de Uso'!C38</f>
        <v>R1 [Ohm/km]</v>
      </c>
      <c r="N4" s="54" t="str">
        <f aca="false">'Manual de Uso'!C39</f>
        <v>X1 [Ohm/km]</v>
      </c>
      <c r="O4" s="54" t="str">
        <f aca="false">'Manual de Uso'!C40</f>
        <v>B1 [uS/km]</v>
      </c>
      <c r="P4" s="54" t="str">
        <f aca="false">'Manual de Uso'!C41</f>
        <v>R0 [Ohm/km]</v>
      </c>
      <c r="Q4" s="54" t="str">
        <f aca="false">'Manual de Uso'!C42</f>
        <v>X0 [Ohm/km]</v>
      </c>
      <c r="R4" s="54" t="str">
        <f aca="false">'Manual de Uso'!C43</f>
        <v>B0 [uS/km]</v>
      </c>
      <c r="S4" s="54" t="str">
        <f aca="false">'Manual de Uso'!C44</f>
        <v>Sistema</v>
      </c>
      <c r="T4" s="54" t="str">
        <f aca="false">'Manual de Uso'!C45</f>
        <v>Tipo</v>
      </c>
      <c r="U4" s="54" t="str">
        <f aca="false">'Manual de Uso'!C46</f>
        <v>En Operación</v>
      </c>
      <c r="V4" s="54" t="str">
        <f aca="false">'Manual de Uso'!C47</f>
        <v>FPO</v>
      </c>
      <c r="W4" s="54" t="str">
        <f aca="false">'Manual de Uso'!C48</f>
        <v>Conductor</v>
      </c>
      <c r="X4" s="54" t="str">
        <f aca="false">'Manual de Uso'!C49</f>
        <v>Tiempo medio de reparación por evento [h]</v>
      </c>
      <c r="Y4" s="54" t="str">
        <f aca="false">'Manual de Uso'!C50</f>
        <v>Horas anuales de indisponibilidad [h]</v>
      </c>
      <c r="Z4" s="54" t="str">
        <f aca="false">'Manual de Uso'!C51</f>
        <v>Eventos anuales de indisponibilidad</v>
      </c>
      <c r="AA4" s="54" t="str">
        <f aca="false">'Manual de Uso'!C52</f>
        <v>Observaciones transportador</v>
      </c>
    </row>
    <row r="5" s="55" customFormat="true" ht="24" hidden="false" customHeight="true" outlineLevel="0" collapsed="false">
      <c r="A5" s="51"/>
      <c r="B5" s="52"/>
      <c r="C5" s="53"/>
      <c r="D5" s="54"/>
      <c r="E5" s="54"/>
      <c r="F5" s="54"/>
      <c r="G5" s="54"/>
      <c r="H5" s="54"/>
      <c r="I5" s="54"/>
      <c r="J5" s="54"/>
      <c r="K5" s="54"/>
      <c r="L5" s="54"/>
      <c r="M5" s="54"/>
      <c r="N5" s="54"/>
      <c r="O5" s="54"/>
      <c r="P5" s="54"/>
      <c r="Q5" s="54"/>
      <c r="R5" s="54"/>
      <c r="S5" s="54"/>
      <c r="T5" s="54"/>
      <c r="U5" s="54"/>
      <c r="V5" s="54"/>
      <c r="W5" s="54"/>
      <c r="X5" s="54"/>
      <c r="Y5" s="54"/>
      <c r="Z5" s="54"/>
      <c r="AA5" s="54"/>
    </row>
    <row r="6" customFormat="false" ht="14.25" hidden="false" customHeight="false" outlineLevel="0" collapsed="false">
      <c r="A6" s="56"/>
      <c r="B6" s="56"/>
      <c r="C6" s="57" t="n">
        <v>1</v>
      </c>
      <c r="D6" s="58" t="s">
        <v>196</v>
      </c>
      <c r="E6" s="58" t="s">
        <v>197</v>
      </c>
      <c r="F6" s="58" t="s">
        <v>198</v>
      </c>
      <c r="G6" s="59" t="n">
        <v>44</v>
      </c>
      <c r="H6" s="60" t="n">
        <v>1.037</v>
      </c>
      <c r="I6" s="60" t="n">
        <v>371</v>
      </c>
      <c r="J6" s="60" t="n">
        <v>371</v>
      </c>
      <c r="K6" s="60" t="n">
        <v>371</v>
      </c>
      <c r="L6" s="61" t="s">
        <v>199</v>
      </c>
      <c r="M6" s="60" t="n">
        <v>0.291367</v>
      </c>
      <c r="N6" s="60" t="n">
        <v>0.412245</v>
      </c>
      <c r="O6" s="60" t="n">
        <v>4.03002</v>
      </c>
      <c r="P6" s="60" t="n">
        <v>0.527592</v>
      </c>
      <c r="Q6" s="60" t="n">
        <v>1.209704</v>
      </c>
      <c r="R6" s="60" t="n">
        <v>1.809585</v>
      </c>
      <c r="S6" s="61" t="s">
        <v>200</v>
      </c>
      <c r="T6" s="61" t="s">
        <v>201</v>
      </c>
      <c r="U6" s="61" t="s">
        <v>202</v>
      </c>
      <c r="V6" s="62"/>
      <c r="W6" s="61" t="s">
        <v>203</v>
      </c>
      <c r="X6" s="61" t="n">
        <v>6.42584551656833</v>
      </c>
      <c r="Y6" s="61" t="n">
        <v>122.091064814798</v>
      </c>
      <c r="Z6" s="61" t="n">
        <v>19</v>
      </c>
      <c r="AA6" s="63"/>
    </row>
    <row r="7" customFormat="false" ht="14.25" hidden="false" customHeight="false" outlineLevel="0" collapsed="false">
      <c r="B7" s="56"/>
      <c r="C7" s="64" t="n">
        <v>2</v>
      </c>
      <c r="D7" s="65" t="s">
        <v>204</v>
      </c>
      <c r="E7" s="65" t="s">
        <v>205</v>
      </c>
      <c r="F7" s="65" t="s">
        <v>206</v>
      </c>
      <c r="G7" s="66" t="n">
        <v>44</v>
      </c>
      <c r="H7" s="67" t="n">
        <v>9.966E-005</v>
      </c>
      <c r="I7" s="67" t="n">
        <v>371</v>
      </c>
      <c r="J7" s="67" t="n">
        <v>371</v>
      </c>
      <c r="K7" s="67" t="n">
        <v>371</v>
      </c>
      <c r="L7" s="68" t="s">
        <v>199</v>
      </c>
      <c r="M7" s="67" t="n">
        <v>0.277924</v>
      </c>
      <c r="N7" s="67" t="n">
        <v>0.291019</v>
      </c>
      <c r="O7" s="67" t="n">
        <v>5.855192</v>
      </c>
      <c r="P7" s="67" t="n">
        <v>0.805696</v>
      </c>
      <c r="Q7" s="67" t="n">
        <v>1.188238</v>
      </c>
      <c r="R7" s="67" t="n">
        <v>2.73325</v>
      </c>
      <c r="S7" s="68" t="s">
        <v>200</v>
      </c>
      <c r="T7" s="68" t="s">
        <v>201</v>
      </c>
      <c r="U7" s="68" t="s">
        <v>202</v>
      </c>
      <c r="V7" s="69"/>
      <c r="W7" s="68" t="s">
        <v>207</v>
      </c>
      <c r="X7" s="68" t="n">
        <v>13.240934712087</v>
      </c>
      <c r="Y7" s="68" t="n">
        <v>302.334675925988</v>
      </c>
      <c r="Z7" s="68" t="n">
        <v>22.8333333333333</v>
      </c>
      <c r="AA7" s="70"/>
    </row>
    <row r="8" customFormat="false" ht="14.25" hidden="false" customHeight="false" outlineLevel="0" collapsed="false">
      <c r="C8" s="64" t="n">
        <v>3</v>
      </c>
      <c r="D8" s="65" t="s">
        <v>208</v>
      </c>
      <c r="E8" s="65" t="s">
        <v>209</v>
      </c>
      <c r="F8" s="65" t="s">
        <v>210</v>
      </c>
      <c r="G8" s="66" t="n">
        <v>44</v>
      </c>
      <c r="H8" s="67" t="n">
        <v>0.2563</v>
      </c>
      <c r="I8" s="67" t="n">
        <v>371</v>
      </c>
      <c r="J8" s="67" t="n">
        <v>371</v>
      </c>
      <c r="K8" s="67" t="n">
        <v>371</v>
      </c>
      <c r="L8" s="68" t="s">
        <v>199</v>
      </c>
      <c r="M8" s="67" t="n">
        <v>0.104319</v>
      </c>
      <c r="N8" s="67" t="n">
        <v>0.247544</v>
      </c>
      <c r="O8" s="67" t="n">
        <v>45.27589</v>
      </c>
      <c r="P8" s="67" t="n">
        <v>1.063424</v>
      </c>
      <c r="Q8" s="67" t="n">
        <v>0.811099</v>
      </c>
      <c r="R8" s="67" t="n">
        <v>45.27589</v>
      </c>
      <c r="S8" s="68" t="s">
        <v>200</v>
      </c>
      <c r="T8" s="68" t="s">
        <v>201</v>
      </c>
      <c r="U8" s="68" t="s">
        <v>202</v>
      </c>
      <c r="V8" s="69"/>
      <c r="W8" s="68" t="s">
        <v>211</v>
      </c>
      <c r="X8" s="68" t="n">
        <v>2.81678172255062</v>
      </c>
      <c r="Y8" s="68" t="n">
        <v>79.3393518518424</v>
      </c>
      <c r="Z8" s="68" t="n">
        <v>28.1666666666667</v>
      </c>
      <c r="AA8" s="70"/>
    </row>
    <row r="9" customFormat="false" ht="14.25" hidden="false" customHeight="false" outlineLevel="0" collapsed="false">
      <c r="C9" s="64" t="n">
        <v>4</v>
      </c>
      <c r="D9" s="65" t="s">
        <v>212</v>
      </c>
      <c r="E9" s="65" t="s">
        <v>210</v>
      </c>
      <c r="F9" s="65" t="s">
        <v>213</v>
      </c>
      <c r="G9" s="66" t="n">
        <v>44</v>
      </c>
      <c r="H9" s="67" t="n">
        <v>0.647</v>
      </c>
      <c r="I9" s="67" t="n">
        <v>260</v>
      </c>
      <c r="J9" s="67" t="n">
        <v>260</v>
      </c>
      <c r="K9" s="67" t="n">
        <v>260</v>
      </c>
      <c r="L9" s="68" t="s">
        <v>199</v>
      </c>
      <c r="M9" s="67" t="n">
        <v>0.583051</v>
      </c>
      <c r="N9" s="67" t="n">
        <v>0.438636</v>
      </c>
      <c r="O9" s="67" t="n">
        <v>3.776983</v>
      </c>
      <c r="P9" s="67" t="n">
        <v>0.937817</v>
      </c>
      <c r="Q9" s="67" t="n">
        <v>1.348523</v>
      </c>
      <c r="R9" s="67" t="n">
        <v>1.741788</v>
      </c>
      <c r="S9" s="68" t="s">
        <v>200</v>
      </c>
      <c r="T9" s="68" t="s">
        <v>201</v>
      </c>
      <c r="U9" s="68" t="s">
        <v>202</v>
      </c>
      <c r="V9" s="69"/>
      <c r="W9" s="68" t="s">
        <v>214</v>
      </c>
      <c r="X9" s="68" t="n">
        <v>2.81678172255062</v>
      </c>
      <c r="Y9" s="68" t="n">
        <v>79.3393518518424</v>
      </c>
      <c r="Z9" s="68" t="n">
        <v>28.1666666666667</v>
      </c>
      <c r="AA9" s="70"/>
    </row>
    <row r="10" customFormat="false" ht="14.25" hidden="false" customHeight="false" outlineLevel="0" collapsed="false">
      <c r="C10" s="64" t="n">
        <v>5</v>
      </c>
      <c r="D10" s="65" t="s">
        <v>215</v>
      </c>
      <c r="E10" s="65" t="s">
        <v>216</v>
      </c>
      <c r="F10" s="65" t="s">
        <v>217</v>
      </c>
      <c r="G10" s="66" t="n">
        <v>44</v>
      </c>
      <c r="H10" s="67" t="n">
        <v>0.5</v>
      </c>
      <c r="I10" s="67" t="n">
        <v>260</v>
      </c>
      <c r="J10" s="67" t="n">
        <v>260</v>
      </c>
      <c r="K10" s="67" t="n">
        <v>260</v>
      </c>
      <c r="L10" s="68" t="s">
        <v>199</v>
      </c>
      <c r="M10" s="67" t="n">
        <v>0.583051</v>
      </c>
      <c r="N10" s="67" t="n">
        <v>0.438636</v>
      </c>
      <c r="O10" s="67" t="n">
        <v>3.776983</v>
      </c>
      <c r="P10" s="67" t="n">
        <v>0.937817</v>
      </c>
      <c r="Q10" s="67" t="n">
        <v>1.348523</v>
      </c>
      <c r="R10" s="67" t="n">
        <v>1.741788</v>
      </c>
      <c r="S10" s="68" t="s">
        <v>200</v>
      </c>
      <c r="T10" s="68" t="s">
        <v>201</v>
      </c>
      <c r="U10" s="68" t="s">
        <v>202</v>
      </c>
      <c r="V10" s="69"/>
      <c r="W10" s="68" t="s">
        <v>214</v>
      </c>
      <c r="X10" s="68" t="n">
        <v>2.81678172255062</v>
      </c>
      <c r="Y10" s="68" t="n">
        <v>79.3393518518424</v>
      </c>
      <c r="Z10" s="68" t="n">
        <v>28.1666666666667</v>
      </c>
      <c r="AA10" s="70"/>
    </row>
    <row r="11" customFormat="false" ht="14.25" hidden="false" customHeight="false" outlineLevel="0" collapsed="false">
      <c r="C11" s="64" t="n">
        <v>6</v>
      </c>
      <c r="D11" s="65" t="s">
        <v>218</v>
      </c>
      <c r="E11" s="65" t="s">
        <v>213</v>
      </c>
      <c r="F11" s="65" t="s">
        <v>216</v>
      </c>
      <c r="G11" s="66" t="n">
        <v>44</v>
      </c>
      <c r="H11" s="67" t="n">
        <v>0.746</v>
      </c>
      <c r="I11" s="67" t="n">
        <v>260</v>
      </c>
      <c r="J11" s="67" t="n">
        <v>260</v>
      </c>
      <c r="K11" s="67" t="n">
        <v>260</v>
      </c>
      <c r="L11" s="68" t="s">
        <v>199</v>
      </c>
      <c r="M11" s="67" t="n">
        <v>0.583051</v>
      </c>
      <c r="N11" s="67" t="n">
        <v>0.438636</v>
      </c>
      <c r="O11" s="67" t="n">
        <v>3.776983</v>
      </c>
      <c r="P11" s="67" t="n">
        <v>0.937817</v>
      </c>
      <c r="Q11" s="67" t="n">
        <v>1.348523</v>
      </c>
      <c r="R11" s="67" t="n">
        <v>1.741788</v>
      </c>
      <c r="S11" s="68" t="s">
        <v>200</v>
      </c>
      <c r="T11" s="68" t="s">
        <v>201</v>
      </c>
      <c r="U11" s="68" t="s">
        <v>202</v>
      </c>
      <c r="V11" s="69"/>
      <c r="W11" s="68" t="s">
        <v>214</v>
      </c>
      <c r="X11" s="68" t="n">
        <v>2.81678172255062</v>
      </c>
      <c r="Y11" s="68" t="n">
        <v>79.3393518518424</v>
      </c>
      <c r="Z11" s="68" t="n">
        <v>28.1666666666667</v>
      </c>
      <c r="AA11" s="70"/>
    </row>
    <row r="12" customFormat="false" ht="14.25" hidden="false" customHeight="false" outlineLevel="0" collapsed="false">
      <c r="C12" s="64" t="n">
        <v>7</v>
      </c>
      <c r="D12" s="65" t="s">
        <v>219</v>
      </c>
      <c r="E12" s="65" t="s">
        <v>210</v>
      </c>
      <c r="F12" s="65" t="s">
        <v>220</v>
      </c>
      <c r="G12" s="66" t="n">
        <v>44</v>
      </c>
      <c r="H12" s="67" t="n">
        <v>0.931</v>
      </c>
      <c r="I12" s="67" t="n">
        <v>371</v>
      </c>
      <c r="J12" s="67" t="n">
        <v>371</v>
      </c>
      <c r="K12" s="67" t="n">
        <v>371</v>
      </c>
      <c r="L12" s="68" t="s">
        <v>199</v>
      </c>
      <c r="M12" s="67" t="n">
        <v>0.291367</v>
      </c>
      <c r="N12" s="67" t="n">
        <v>0.412245</v>
      </c>
      <c r="O12" s="67" t="n">
        <v>4.03002</v>
      </c>
      <c r="P12" s="67" t="n">
        <v>0.527592</v>
      </c>
      <c r="Q12" s="67" t="n">
        <v>1.209704</v>
      </c>
      <c r="R12" s="67" t="n">
        <v>1.809585</v>
      </c>
      <c r="S12" s="68" t="s">
        <v>200</v>
      </c>
      <c r="T12" s="68" t="s">
        <v>201</v>
      </c>
      <c r="U12" s="68" t="s">
        <v>202</v>
      </c>
      <c r="V12" s="69"/>
      <c r="W12" s="68" t="s">
        <v>203</v>
      </c>
      <c r="X12" s="68" t="n">
        <v>2.81678172255062</v>
      </c>
      <c r="Y12" s="68" t="n">
        <v>79.3393518518424</v>
      </c>
      <c r="Z12" s="68" t="n">
        <v>28.1666666666667</v>
      </c>
      <c r="AA12" s="70"/>
    </row>
    <row r="13" customFormat="false" ht="14.25" hidden="false" customHeight="false" outlineLevel="0" collapsed="false">
      <c r="C13" s="64" t="n">
        <v>8</v>
      </c>
      <c r="D13" s="65" t="s">
        <v>221</v>
      </c>
      <c r="E13" s="65" t="s">
        <v>222</v>
      </c>
      <c r="F13" s="65" t="s">
        <v>223</v>
      </c>
      <c r="G13" s="66" t="n">
        <v>44</v>
      </c>
      <c r="H13" s="67" t="n">
        <v>0.3594</v>
      </c>
      <c r="I13" s="67" t="n">
        <v>371</v>
      </c>
      <c r="J13" s="67" t="n">
        <v>371</v>
      </c>
      <c r="K13" s="67" t="n">
        <v>371</v>
      </c>
      <c r="L13" s="68" t="s">
        <v>199</v>
      </c>
      <c r="M13" s="67" t="n">
        <v>0.291367</v>
      </c>
      <c r="N13" s="67" t="n">
        <v>0.412245</v>
      </c>
      <c r="O13" s="67" t="n">
        <v>4.03002</v>
      </c>
      <c r="P13" s="67" t="n">
        <v>0.527592</v>
      </c>
      <c r="Q13" s="67" t="n">
        <v>1.209704</v>
      </c>
      <c r="R13" s="67" t="n">
        <v>1.809585</v>
      </c>
      <c r="S13" s="68" t="s">
        <v>200</v>
      </c>
      <c r="T13" s="68" t="s">
        <v>201</v>
      </c>
      <c r="U13" s="68" t="s">
        <v>202</v>
      </c>
      <c r="V13" s="69"/>
      <c r="W13" s="68" t="s">
        <v>203</v>
      </c>
      <c r="X13" s="68" t="n">
        <v>2.81678172255062</v>
      </c>
      <c r="Y13" s="68" t="n">
        <v>79.3393518518424</v>
      </c>
      <c r="Z13" s="68" t="n">
        <v>28.1666666666667</v>
      </c>
      <c r="AA13" s="70"/>
    </row>
    <row r="14" customFormat="false" ht="14.25" hidden="false" customHeight="false" outlineLevel="0" collapsed="false">
      <c r="C14" s="64" t="n">
        <v>9</v>
      </c>
      <c r="D14" s="65" t="s">
        <v>224</v>
      </c>
      <c r="E14" s="65" t="s">
        <v>220</v>
      </c>
      <c r="F14" s="65" t="s">
        <v>222</v>
      </c>
      <c r="G14" s="66" t="n">
        <v>44</v>
      </c>
      <c r="H14" s="67" t="n">
        <v>1.443</v>
      </c>
      <c r="I14" s="67" t="n">
        <v>371</v>
      </c>
      <c r="J14" s="67" t="n">
        <v>371</v>
      </c>
      <c r="K14" s="67" t="n">
        <v>371</v>
      </c>
      <c r="L14" s="68" t="s">
        <v>199</v>
      </c>
      <c r="M14" s="67" t="n">
        <v>0.291367</v>
      </c>
      <c r="N14" s="67" t="n">
        <v>0.412245</v>
      </c>
      <c r="O14" s="67" t="n">
        <v>4.03002</v>
      </c>
      <c r="P14" s="67" t="n">
        <v>0.527592</v>
      </c>
      <c r="Q14" s="67" t="n">
        <v>1.209704</v>
      </c>
      <c r="R14" s="67" t="n">
        <v>1.809585</v>
      </c>
      <c r="S14" s="68" t="s">
        <v>200</v>
      </c>
      <c r="T14" s="68" t="s">
        <v>201</v>
      </c>
      <c r="U14" s="68" t="s">
        <v>202</v>
      </c>
      <c r="V14" s="69"/>
      <c r="W14" s="68" t="s">
        <v>203</v>
      </c>
      <c r="X14" s="68" t="n">
        <v>2.81678172255062</v>
      </c>
      <c r="Y14" s="68" t="n">
        <v>79.3393518518424</v>
      </c>
      <c r="Z14" s="68" t="n">
        <v>28.1666666666667</v>
      </c>
      <c r="AA14" s="70"/>
    </row>
    <row r="15" customFormat="false" ht="14.25" hidden="false" customHeight="false" outlineLevel="0" collapsed="false">
      <c r="C15" s="64" t="n">
        <v>10</v>
      </c>
      <c r="D15" s="65" t="s">
        <v>225</v>
      </c>
      <c r="E15" s="65" t="s">
        <v>223</v>
      </c>
      <c r="F15" s="65" t="s">
        <v>226</v>
      </c>
      <c r="G15" s="66" t="n">
        <v>44</v>
      </c>
      <c r="H15" s="67" t="n">
        <v>0.4903</v>
      </c>
      <c r="I15" s="67" t="n">
        <v>371</v>
      </c>
      <c r="J15" s="67" t="n">
        <v>371</v>
      </c>
      <c r="K15" s="67" t="n">
        <v>371</v>
      </c>
      <c r="L15" s="68" t="s">
        <v>199</v>
      </c>
      <c r="M15" s="67" t="n">
        <v>0.291367</v>
      </c>
      <c r="N15" s="67" t="n">
        <v>0.412245</v>
      </c>
      <c r="O15" s="67" t="n">
        <v>4.03002</v>
      </c>
      <c r="P15" s="67" t="n">
        <v>0.527592</v>
      </c>
      <c r="Q15" s="67" t="n">
        <v>1.209704</v>
      </c>
      <c r="R15" s="67" t="n">
        <v>1.809585</v>
      </c>
      <c r="S15" s="68" t="s">
        <v>200</v>
      </c>
      <c r="T15" s="68" t="s">
        <v>201</v>
      </c>
      <c r="U15" s="68" t="s">
        <v>202</v>
      </c>
      <c r="V15" s="69"/>
      <c r="W15" s="68" t="s">
        <v>203</v>
      </c>
      <c r="X15" s="68" t="n">
        <v>2.81678172255062</v>
      </c>
      <c r="Y15" s="68" t="n">
        <v>79.3393518518424</v>
      </c>
      <c r="Z15" s="68" t="n">
        <v>28.1666666666667</v>
      </c>
      <c r="AA15" s="70"/>
    </row>
    <row r="16" customFormat="false" ht="14.25" hidden="false" customHeight="false" outlineLevel="0" collapsed="false">
      <c r="C16" s="64" t="n">
        <v>11</v>
      </c>
      <c r="D16" s="65" t="s">
        <v>227</v>
      </c>
      <c r="E16" s="65" t="s">
        <v>226</v>
      </c>
      <c r="F16" s="65" t="s">
        <v>228</v>
      </c>
      <c r="G16" s="66" t="n">
        <v>44</v>
      </c>
      <c r="H16" s="67" t="n">
        <v>0.7882</v>
      </c>
      <c r="I16" s="67" t="n">
        <v>260</v>
      </c>
      <c r="J16" s="67" t="n">
        <v>260</v>
      </c>
      <c r="K16" s="67" t="n">
        <v>260</v>
      </c>
      <c r="L16" s="68" t="s">
        <v>199</v>
      </c>
      <c r="M16" s="67" t="n">
        <v>0.583051</v>
      </c>
      <c r="N16" s="67" t="n">
        <v>0.438636</v>
      </c>
      <c r="O16" s="67" t="n">
        <v>3.776983</v>
      </c>
      <c r="P16" s="67" t="n">
        <v>0.937817</v>
      </c>
      <c r="Q16" s="67" t="n">
        <v>1.348523</v>
      </c>
      <c r="R16" s="67" t="n">
        <v>1.741788</v>
      </c>
      <c r="S16" s="68" t="s">
        <v>200</v>
      </c>
      <c r="T16" s="68" t="s">
        <v>201</v>
      </c>
      <c r="U16" s="68" t="s">
        <v>202</v>
      </c>
      <c r="V16" s="69"/>
      <c r="W16" s="68" t="s">
        <v>214</v>
      </c>
      <c r="X16" s="68" t="n">
        <v>2.81678172255062</v>
      </c>
      <c r="Y16" s="68" t="n">
        <v>79.3393518518424</v>
      </c>
      <c r="Z16" s="68" t="n">
        <v>28.1666666666667</v>
      </c>
      <c r="AA16" s="70"/>
    </row>
    <row r="17" customFormat="false" ht="14.25" hidden="false" customHeight="false" outlineLevel="0" collapsed="false">
      <c r="C17" s="64" t="n">
        <v>12</v>
      </c>
      <c r="D17" s="65" t="s">
        <v>229</v>
      </c>
      <c r="E17" s="65" t="s">
        <v>223</v>
      </c>
      <c r="F17" s="65" t="s">
        <v>230</v>
      </c>
      <c r="G17" s="66" t="n">
        <v>44</v>
      </c>
      <c r="H17" s="67" t="n">
        <v>0.42</v>
      </c>
      <c r="I17" s="67" t="n">
        <v>371</v>
      </c>
      <c r="J17" s="67" t="n">
        <v>371</v>
      </c>
      <c r="K17" s="67" t="n">
        <v>371</v>
      </c>
      <c r="L17" s="68" t="s">
        <v>199</v>
      </c>
      <c r="M17" s="67" t="n">
        <v>0.291367</v>
      </c>
      <c r="N17" s="67" t="n">
        <v>0.412245</v>
      </c>
      <c r="O17" s="67" t="n">
        <v>4.03002</v>
      </c>
      <c r="P17" s="67" t="n">
        <v>0.527592</v>
      </c>
      <c r="Q17" s="67" t="n">
        <v>1.209704</v>
      </c>
      <c r="R17" s="67" t="n">
        <v>1.809585</v>
      </c>
      <c r="S17" s="68" t="s">
        <v>200</v>
      </c>
      <c r="T17" s="68" t="s">
        <v>201</v>
      </c>
      <c r="U17" s="68" t="s">
        <v>202</v>
      </c>
      <c r="V17" s="69"/>
      <c r="W17" s="68" t="s">
        <v>203</v>
      </c>
      <c r="X17" s="68" t="n">
        <v>2.81678172255062</v>
      </c>
      <c r="Y17" s="68" t="n">
        <v>79.3393518518424</v>
      </c>
      <c r="Z17" s="68" t="n">
        <v>28.1666666666667</v>
      </c>
      <c r="AA17" s="70" t="s">
        <v>231</v>
      </c>
    </row>
    <row r="18" customFormat="false" ht="14.25" hidden="false" customHeight="false" outlineLevel="0" collapsed="false">
      <c r="C18" s="64" t="n">
        <v>13</v>
      </c>
      <c r="D18" s="65" t="s">
        <v>232</v>
      </c>
      <c r="E18" s="65" t="s">
        <v>233</v>
      </c>
      <c r="F18" s="65" t="s">
        <v>234</v>
      </c>
      <c r="G18" s="66" t="n">
        <v>44</v>
      </c>
      <c r="H18" s="67" t="n">
        <v>0.145</v>
      </c>
      <c r="I18" s="67" t="n">
        <v>371</v>
      </c>
      <c r="J18" s="67" t="n">
        <v>371</v>
      </c>
      <c r="K18" s="67" t="n">
        <v>371</v>
      </c>
      <c r="L18" s="68" t="s">
        <v>199</v>
      </c>
      <c r="M18" s="67" t="n">
        <v>0.104319</v>
      </c>
      <c r="N18" s="67" t="n">
        <v>0.247544</v>
      </c>
      <c r="O18" s="67" t="n">
        <v>45.27589</v>
      </c>
      <c r="P18" s="67" t="n">
        <v>1.063424</v>
      </c>
      <c r="Q18" s="67" t="n">
        <v>0.811099</v>
      </c>
      <c r="R18" s="67" t="n">
        <v>45.27589</v>
      </c>
      <c r="S18" s="68" t="s">
        <v>200</v>
      </c>
      <c r="T18" s="68" t="s">
        <v>201</v>
      </c>
      <c r="U18" s="68" t="s">
        <v>202</v>
      </c>
      <c r="V18" s="69"/>
      <c r="W18" s="68" t="s">
        <v>211</v>
      </c>
      <c r="X18" s="68" t="n">
        <v>8.49782608693425</v>
      </c>
      <c r="Y18" s="68" t="n">
        <v>97.7249999997439</v>
      </c>
      <c r="Z18" s="68" t="n">
        <v>11.5</v>
      </c>
      <c r="AA18" s="70"/>
    </row>
    <row r="19" customFormat="false" ht="14.25" hidden="false" customHeight="false" outlineLevel="0" collapsed="false">
      <c r="C19" s="64" t="n">
        <v>14</v>
      </c>
      <c r="D19" s="65" t="s">
        <v>235</v>
      </c>
      <c r="E19" s="65" t="s">
        <v>236</v>
      </c>
      <c r="F19" s="65" t="s">
        <v>234</v>
      </c>
      <c r="G19" s="66" t="n">
        <v>44</v>
      </c>
      <c r="H19" s="67" t="n">
        <v>0.3544</v>
      </c>
      <c r="I19" s="67" t="n">
        <v>371</v>
      </c>
      <c r="J19" s="67" t="n">
        <v>371</v>
      </c>
      <c r="K19" s="67" t="n">
        <v>371</v>
      </c>
      <c r="L19" s="68" t="s">
        <v>199</v>
      </c>
      <c r="M19" s="67" t="n">
        <v>0.291367</v>
      </c>
      <c r="N19" s="67" t="n">
        <v>0.412245</v>
      </c>
      <c r="O19" s="67" t="n">
        <v>4.03002</v>
      </c>
      <c r="P19" s="67" t="n">
        <v>0.527592</v>
      </c>
      <c r="Q19" s="67" t="n">
        <v>1.209704</v>
      </c>
      <c r="R19" s="67" t="n">
        <v>1.809585</v>
      </c>
      <c r="S19" s="68" t="s">
        <v>200</v>
      </c>
      <c r="T19" s="68" t="s">
        <v>201</v>
      </c>
      <c r="U19" s="68" t="s">
        <v>202</v>
      </c>
      <c r="V19" s="69"/>
      <c r="W19" s="68" t="s">
        <v>203</v>
      </c>
      <c r="X19" s="68" t="n">
        <v>8.49782608693425</v>
      </c>
      <c r="Y19" s="68" t="n">
        <v>97.7249999997439</v>
      </c>
      <c r="Z19" s="68" t="n">
        <v>11.5</v>
      </c>
      <c r="AA19" s="70" t="s">
        <v>237</v>
      </c>
    </row>
    <row r="20" customFormat="false" ht="14.25" hidden="false" customHeight="false" outlineLevel="0" collapsed="false">
      <c r="C20" s="64" t="n">
        <v>15</v>
      </c>
      <c r="D20" s="65" t="s">
        <v>238</v>
      </c>
      <c r="E20" s="65" t="s">
        <v>234</v>
      </c>
      <c r="F20" s="65" t="s">
        <v>239</v>
      </c>
      <c r="G20" s="66" t="n">
        <v>44</v>
      </c>
      <c r="H20" s="67" t="n">
        <v>0.302</v>
      </c>
      <c r="I20" s="67" t="n">
        <v>371</v>
      </c>
      <c r="J20" s="67" t="n">
        <v>371</v>
      </c>
      <c r="K20" s="67" t="n">
        <v>371</v>
      </c>
      <c r="L20" s="68" t="s">
        <v>199</v>
      </c>
      <c r="M20" s="67" t="n">
        <v>0.277924</v>
      </c>
      <c r="N20" s="67" t="n">
        <v>0.291019</v>
      </c>
      <c r="O20" s="67" t="n">
        <v>5.855192</v>
      </c>
      <c r="P20" s="67" t="n">
        <v>0.805696</v>
      </c>
      <c r="Q20" s="67" t="n">
        <v>1.188238</v>
      </c>
      <c r="R20" s="67" t="n">
        <v>2.73325</v>
      </c>
      <c r="S20" s="68" t="s">
        <v>200</v>
      </c>
      <c r="T20" s="68" t="s">
        <v>201</v>
      </c>
      <c r="U20" s="68" t="s">
        <v>202</v>
      </c>
      <c r="V20" s="69"/>
      <c r="W20" s="68" t="s">
        <v>207</v>
      </c>
      <c r="X20" s="68" t="n">
        <v>8.49782608693425</v>
      </c>
      <c r="Y20" s="68" t="n">
        <v>97.7249999997439</v>
      </c>
      <c r="Z20" s="68" t="n">
        <v>11.5</v>
      </c>
      <c r="AA20" s="70"/>
    </row>
    <row r="21" customFormat="false" ht="14.25" hidden="false" customHeight="false" outlineLevel="0" collapsed="false">
      <c r="A21" s="56"/>
      <c r="B21" s="56"/>
      <c r="C21" s="64" t="n">
        <v>16</v>
      </c>
      <c r="D21" s="65" t="s">
        <v>240</v>
      </c>
      <c r="E21" s="65" t="s">
        <v>241</v>
      </c>
      <c r="F21" s="65" t="s">
        <v>242</v>
      </c>
      <c r="G21" s="66" t="n">
        <v>44</v>
      </c>
      <c r="H21" s="67" t="n">
        <v>0.0001</v>
      </c>
      <c r="I21" s="67" t="n">
        <v>371</v>
      </c>
      <c r="J21" s="67" t="n">
        <v>371</v>
      </c>
      <c r="K21" s="67" t="n">
        <v>371</v>
      </c>
      <c r="L21" s="68" t="s">
        <v>199</v>
      </c>
      <c r="M21" s="67" t="n">
        <v>0.277924</v>
      </c>
      <c r="N21" s="67" t="n">
        <v>0.291019</v>
      </c>
      <c r="O21" s="67" t="n">
        <v>5.855192</v>
      </c>
      <c r="P21" s="67" t="n">
        <v>0.805696</v>
      </c>
      <c r="Q21" s="67" t="n">
        <v>1.188238</v>
      </c>
      <c r="R21" s="67" t="n">
        <v>2.73325</v>
      </c>
      <c r="S21" s="68" t="s">
        <v>200</v>
      </c>
      <c r="T21" s="68" t="s">
        <v>201</v>
      </c>
      <c r="U21" s="68" t="s">
        <v>202</v>
      </c>
      <c r="V21" s="69"/>
      <c r="W21" s="68" t="s">
        <v>207</v>
      </c>
      <c r="X21" s="68" t="n">
        <v>7.7636707152503</v>
      </c>
      <c r="Y21" s="68" t="n">
        <v>319.604444444471</v>
      </c>
      <c r="Z21" s="68" t="n">
        <v>41.1666666666667</v>
      </c>
      <c r="AA21" s="70"/>
    </row>
    <row r="22" customFormat="false" ht="14.25" hidden="false" customHeight="false" outlineLevel="0" collapsed="false">
      <c r="A22" s="56"/>
      <c r="B22" s="56"/>
      <c r="C22" s="64" t="n">
        <v>17</v>
      </c>
      <c r="D22" s="65" t="s">
        <v>243</v>
      </c>
      <c r="E22" s="65" t="s">
        <v>242</v>
      </c>
      <c r="F22" s="65" t="s">
        <v>244</v>
      </c>
      <c r="G22" s="66" t="n">
        <v>44</v>
      </c>
      <c r="H22" s="67" t="n">
        <v>1.6988</v>
      </c>
      <c r="I22" s="67" t="n">
        <v>371</v>
      </c>
      <c r="J22" s="67" t="n">
        <v>371</v>
      </c>
      <c r="K22" s="67" t="n">
        <v>371</v>
      </c>
      <c r="L22" s="68" t="s">
        <v>199</v>
      </c>
      <c r="M22" s="67" t="n">
        <v>0.277924</v>
      </c>
      <c r="N22" s="67" t="n">
        <v>0.291019</v>
      </c>
      <c r="O22" s="67" t="n">
        <v>5.855192</v>
      </c>
      <c r="P22" s="67" t="n">
        <v>0.805696</v>
      </c>
      <c r="Q22" s="67" t="n">
        <v>1.188238</v>
      </c>
      <c r="R22" s="67" t="n">
        <v>2.73325</v>
      </c>
      <c r="S22" s="68" t="s">
        <v>200</v>
      </c>
      <c r="T22" s="68" t="s">
        <v>201</v>
      </c>
      <c r="U22" s="68" t="s">
        <v>202</v>
      </c>
      <c r="V22" s="69"/>
      <c r="W22" s="68" t="s">
        <v>207</v>
      </c>
      <c r="X22" s="68" t="n">
        <v>7.7636707152503</v>
      </c>
      <c r="Y22" s="68" t="n">
        <v>319.604444444471</v>
      </c>
      <c r="Z22" s="68" t="n">
        <v>41.1666666666667</v>
      </c>
      <c r="AA22" s="70"/>
    </row>
    <row r="23" customFormat="false" ht="14.25" hidden="false" customHeight="false" outlineLevel="0" collapsed="false">
      <c r="A23" s="56"/>
      <c r="B23" s="56"/>
      <c r="C23" s="64" t="n">
        <v>18</v>
      </c>
      <c r="D23" s="65" t="s">
        <v>245</v>
      </c>
      <c r="E23" s="65" t="s">
        <v>246</v>
      </c>
      <c r="F23" s="65" t="s">
        <v>247</v>
      </c>
      <c r="G23" s="66" t="n">
        <v>44</v>
      </c>
      <c r="H23" s="67" t="n">
        <v>6.066</v>
      </c>
      <c r="I23" s="67" t="n">
        <v>371</v>
      </c>
      <c r="J23" s="67" t="n">
        <v>371</v>
      </c>
      <c r="K23" s="67" t="n">
        <v>371</v>
      </c>
      <c r="L23" s="68" t="s">
        <v>199</v>
      </c>
      <c r="M23" s="67" t="n">
        <v>0.291367</v>
      </c>
      <c r="N23" s="67" t="n">
        <v>0.412245</v>
      </c>
      <c r="O23" s="67" t="n">
        <v>4.03002</v>
      </c>
      <c r="P23" s="67" t="n">
        <v>0.527592</v>
      </c>
      <c r="Q23" s="67" t="n">
        <v>1.209704</v>
      </c>
      <c r="R23" s="67" t="n">
        <v>1.809585</v>
      </c>
      <c r="S23" s="68" t="s">
        <v>200</v>
      </c>
      <c r="T23" s="68" t="s">
        <v>201</v>
      </c>
      <c r="U23" s="68" t="s">
        <v>202</v>
      </c>
      <c r="V23" s="69"/>
      <c r="W23" s="68" t="s">
        <v>203</v>
      </c>
      <c r="X23" s="68" t="n">
        <v>7.7636707152503</v>
      </c>
      <c r="Y23" s="68" t="n">
        <v>319.604444444471</v>
      </c>
      <c r="Z23" s="68" t="n">
        <v>41.1666666666667</v>
      </c>
      <c r="AA23" s="70"/>
    </row>
    <row r="24" customFormat="false" ht="14.25" hidden="false" customHeight="false" outlineLevel="0" collapsed="false">
      <c r="A24" s="56"/>
      <c r="B24" s="56"/>
      <c r="C24" s="64" t="n">
        <v>19</v>
      </c>
      <c r="D24" s="71" t="s">
        <v>248</v>
      </c>
      <c r="E24" s="71" t="s">
        <v>244</v>
      </c>
      <c r="F24" s="71" t="s">
        <v>246</v>
      </c>
      <c r="G24" s="66" t="n">
        <v>44</v>
      </c>
      <c r="H24" s="67" t="n">
        <v>3.808</v>
      </c>
      <c r="I24" s="67" t="n">
        <v>371</v>
      </c>
      <c r="J24" s="67" t="n">
        <v>371</v>
      </c>
      <c r="K24" s="67" t="n">
        <v>371</v>
      </c>
      <c r="L24" s="68" t="s">
        <v>199</v>
      </c>
      <c r="M24" s="67" t="n">
        <v>0.277924</v>
      </c>
      <c r="N24" s="67" t="n">
        <v>0.291019</v>
      </c>
      <c r="O24" s="67" t="n">
        <v>5.855192</v>
      </c>
      <c r="P24" s="67" t="n">
        <v>0.805696</v>
      </c>
      <c r="Q24" s="67" t="n">
        <v>1.188238</v>
      </c>
      <c r="R24" s="67" t="n">
        <v>2.73325</v>
      </c>
      <c r="S24" s="68" t="s">
        <v>200</v>
      </c>
      <c r="T24" s="68" t="s">
        <v>201</v>
      </c>
      <c r="U24" s="68" t="s">
        <v>202</v>
      </c>
      <c r="V24" s="69"/>
      <c r="W24" s="68" t="s">
        <v>207</v>
      </c>
      <c r="X24" s="68" t="n">
        <v>7.7636707152503</v>
      </c>
      <c r="Y24" s="68" t="n">
        <v>319.604444444471</v>
      </c>
      <c r="Z24" s="68" t="n">
        <v>41.1666666666667</v>
      </c>
      <c r="AA24" s="70"/>
    </row>
    <row r="25" customFormat="false" ht="14.25" hidden="false" customHeight="false" outlineLevel="0" collapsed="false">
      <c r="A25" s="56"/>
      <c r="B25" s="56"/>
      <c r="C25" s="64" t="n">
        <v>20</v>
      </c>
      <c r="D25" s="71" t="s">
        <v>249</v>
      </c>
      <c r="E25" s="71" t="s">
        <v>247</v>
      </c>
      <c r="F25" s="71" t="s">
        <v>250</v>
      </c>
      <c r="G25" s="66" t="n">
        <v>44</v>
      </c>
      <c r="H25" s="67" t="n">
        <v>0.235</v>
      </c>
      <c r="I25" s="67" t="n">
        <v>371</v>
      </c>
      <c r="J25" s="67" t="n">
        <v>371</v>
      </c>
      <c r="K25" s="67" t="n">
        <v>371</v>
      </c>
      <c r="L25" s="68" t="s">
        <v>199</v>
      </c>
      <c r="M25" s="67" t="n">
        <v>0.291367</v>
      </c>
      <c r="N25" s="67" t="n">
        <v>0.412245</v>
      </c>
      <c r="O25" s="67" t="n">
        <v>4.03002</v>
      </c>
      <c r="P25" s="67" t="n">
        <v>0.527592</v>
      </c>
      <c r="Q25" s="67" t="n">
        <v>1.209704</v>
      </c>
      <c r="R25" s="67" t="n">
        <v>1.809585</v>
      </c>
      <c r="S25" s="68" t="s">
        <v>200</v>
      </c>
      <c r="T25" s="68" t="s">
        <v>201</v>
      </c>
      <c r="U25" s="68" t="s">
        <v>202</v>
      </c>
      <c r="V25" s="69"/>
      <c r="W25" s="68" t="s">
        <v>203</v>
      </c>
      <c r="X25" s="68" t="n">
        <v>7.7636707152503</v>
      </c>
      <c r="Y25" s="68" t="n">
        <v>319.604444444471</v>
      </c>
      <c r="Z25" s="68" t="n">
        <v>41.1666666666667</v>
      </c>
      <c r="AA25" s="70"/>
    </row>
    <row r="26" customFormat="false" ht="14.25" hidden="false" customHeight="false" outlineLevel="0" collapsed="false">
      <c r="A26" s="56"/>
      <c r="B26" s="56"/>
      <c r="C26" s="64" t="n">
        <v>21</v>
      </c>
      <c r="D26" s="71" t="s">
        <v>251</v>
      </c>
      <c r="E26" s="71" t="s">
        <v>252</v>
      </c>
      <c r="F26" s="71" t="s">
        <v>253</v>
      </c>
      <c r="G26" s="66" t="n">
        <v>44</v>
      </c>
      <c r="H26" s="67" t="n">
        <v>1.6988</v>
      </c>
      <c r="I26" s="67" t="n">
        <v>371</v>
      </c>
      <c r="J26" s="67" t="n">
        <v>371</v>
      </c>
      <c r="K26" s="67" t="n">
        <v>371</v>
      </c>
      <c r="L26" s="68" t="s">
        <v>199</v>
      </c>
      <c r="M26" s="67" t="n">
        <v>0.291367</v>
      </c>
      <c r="N26" s="67" t="n">
        <v>0.412245</v>
      </c>
      <c r="O26" s="67" t="n">
        <v>4.03002</v>
      </c>
      <c r="P26" s="67" t="n">
        <v>0.527592</v>
      </c>
      <c r="Q26" s="67" t="n">
        <v>1.209704</v>
      </c>
      <c r="R26" s="67" t="n">
        <v>1.809585</v>
      </c>
      <c r="S26" s="68" t="s">
        <v>200</v>
      </c>
      <c r="T26" s="68" t="s">
        <v>201</v>
      </c>
      <c r="U26" s="68" t="s">
        <v>202</v>
      </c>
      <c r="V26" s="69"/>
      <c r="W26" s="68" t="s">
        <v>203</v>
      </c>
      <c r="X26" s="68" t="n">
        <v>3.52997111110529</v>
      </c>
      <c r="Y26" s="68" t="n">
        <v>73.5410648146935</v>
      </c>
      <c r="Z26" s="68" t="n">
        <v>20.8333333333333</v>
      </c>
      <c r="AA26" s="70"/>
    </row>
    <row r="27" customFormat="false" ht="14.25" hidden="false" customHeight="false" outlineLevel="0" collapsed="false">
      <c r="A27" s="56"/>
      <c r="B27" s="56"/>
      <c r="C27" s="64" t="n">
        <v>22</v>
      </c>
      <c r="D27" s="71" t="s">
        <v>254</v>
      </c>
      <c r="E27" s="71" t="s">
        <v>253</v>
      </c>
      <c r="F27" s="71" t="s">
        <v>255</v>
      </c>
      <c r="G27" s="66" t="n">
        <v>44</v>
      </c>
      <c r="H27" s="67" t="n">
        <v>13.2822</v>
      </c>
      <c r="I27" s="67" t="n">
        <v>371</v>
      </c>
      <c r="J27" s="67" t="n">
        <v>371</v>
      </c>
      <c r="K27" s="67" t="n">
        <v>371</v>
      </c>
      <c r="L27" s="68" t="s">
        <v>199</v>
      </c>
      <c r="M27" s="67" t="n">
        <v>0.291367</v>
      </c>
      <c r="N27" s="67" t="n">
        <v>0.412245</v>
      </c>
      <c r="O27" s="67" t="n">
        <v>4.03002</v>
      </c>
      <c r="P27" s="67" t="n">
        <v>0.527592</v>
      </c>
      <c r="Q27" s="67" t="n">
        <v>1.209704</v>
      </c>
      <c r="R27" s="67" t="n">
        <v>1.809585</v>
      </c>
      <c r="S27" s="68" t="s">
        <v>200</v>
      </c>
      <c r="T27" s="68" t="s">
        <v>201</v>
      </c>
      <c r="U27" s="68" t="s">
        <v>202</v>
      </c>
      <c r="V27" s="69"/>
      <c r="W27" s="68" t="s">
        <v>203</v>
      </c>
      <c r="X27" s="68" t="n">
        <v>3.52997111110529</v>
      </c>
      <c r="Y27" s="68" t="n">
        <v>73.5410648146935</v>
      </c>
      <c r="Z27" s="68" t="n">
        <v>20.8333333333333</v>
      </c>
      <c r="AA27" s="70"/>
    </row>
    <row r="28" customFormat="false" ht="14.25" hidden="false" customHeight="false" outlineLevel="0" collapsed="false">
      <c r="A28" s="56"/>
      <c r="B28" s="56"/>
      <c r="C28" s="64" t="n">
        <v>23</v>
      </c>
      <c r="D28" s="71" t="s">
        <v>256</v>
      </c>
      <c r="E28" s="71" t="s">
        <v>257</v>
      </c>
      <c r="F28" s="71" t="s">
        <v>241</v>
      </c>
      <c r="G28" s="66" t="n">
        <v>44</v>
      </c>
      <c r="H28" s="67" t="n">
        <v>0.125</v>
      </c>
      <c r="I28" s="67" t="n">
        <v>371</v>
      </c>
      <c r="J28" s="67" t="n">
        <v>371</v>
      </c>
      <c r="K28" s="67" t="n">
        <v>371</v>
      </c>
      <c r="L28" s="68" t="s">
        <v>199</v>
      </c>
      <c r="M28" s="67" t="n">
        <v>0.291367</v>
      </c>
      <c r="N28" s="67" t="n">
        <v>0.412245</v>
      </c>
      <c r="O28" s="67" t="n">
        <v>4.03002</v>
      </c>
      <c r="P28" s="67" t="n">
        <v>0.527592</v>
      </c>
      <c r="Q28" s="67" t="n">
        <v>1.209704</v>
      </c>
      <c r="R28" s="67" t="n">
        <v>1.809585</v>
      </c>
      <c r="S28" s="68" t="s">
        <v>200</v>
      </c>
      <c r="T28" s="68" t="s">
        <v>201</v>
      </c>
      <c r="U28" s="68" t="s">
        <v>202</v>
      </c>
      <c r="V28" s="69"/>
      <c r="W28" s="68" t="s">
        <v>203</v>
      </c>
      <c r="X28" s="68" t="n">
        <v>3.36752136751042</v>
      </c>
      <c r="Y28" s="68" t="n">
        <v>21.8888888888177</v>
      </c>
      <c r="Z28" s="68" t="n">
        <v>6.5</v>
      </c>
      <c r="AA28" s="70"/>
    </row>
    <row r="29" customFormat="false" ht="14.25" hidden="false" customHeight="false" outlineLevel="0" collapsed="false">
      <c r="A29" s="56"/>
      <c r="B29" s="56"/>
      <c r="C29" s="64" t="n">
        <v>24</v>
      </c>
      <c r="D29" s="71" t="s">
        <v>258</v>
      </c>
      <c r="E29" s="71" t="s">
        <v>257</v>
      </c>
      <c r="F29" s="71" t="s">
        <v>259</v>
      </c>
      <c r="G29" s="66" t="n">
        <v>44</v>
      </c>
      <c r="H29" s="67" t="n">
        <v>0.721</v>
      </c>
      <c r="I29" s="67" t="n">
        <v>371</v>
      </c>
      <c r="J29" s="67" t="n">
        <v>371</v>
      </c>
      <c r="K29" s="67" t="n">
        <v>371</v>
      </c>
      <c r="L29" s="68" t="s">
        <v>199</v>
      </c>
      <c r="M29" s="67" t="n">
        <v>0.277924</v>
      </c>
      <c r="N29" s="67" t="n">
        <v>0.291019</v>
      </c>
      <c r="O29" s="67" t="n">
        <v>5.855192</v>
      </c>
      <c r="P29" s="67" t="n">
        <v>0.805696</v>
      </c>
      <c r="Q29" s="67" t="n">
        <v>1.188238</v>
      </c>
      <c r="R29" s="67" t="n">
        <v>2.73325</v>
      </c>
      <c r="S29" s="68" t="s">
        <v>200</v>
      </c>
      <c r="T29" s="68" t="s">
        <v>201</v>
      </c>
      <c r="U29" s="68" t="s">
        <v>202</v>
      </c>
      <c r="V29" s="69"/>
      <c r="W29" s="68" t="s">
        <v>207</v>
      </c>
      <c r="X29" s="68" t="n">
        <v>3.36752136751042</v>
      </c>
      <c r="Y29" s="68" t="n">
        <v>21.8888888888177</v>
      </c>
      <c r="Z29" s="68" t="n">
        <v>6.5</v>
      </c>
      <c r="AA29" s="70"/>
    </row>
    <row r="30" customFormat="false" ht="14.25" hidden="false" customHeight="false" outlineLevel="0" collapsed="false">
      <c r="A30" s="56"/>
      <c r="B30" s="56"/>
      <c r="C30" s="64" t="n">
        <v>25</v>
      </c>
      <c r="D30" s="71" t="s">
        <v>260</v>
      </c>
      <c r="E30" s="71" t="s">
        <v>257</v>
      </c>
      <c r="F30" s="71" t="s">
        <v>261</v>
      </c>
      <c r="G30" s="66" t="n">
        <v>44</v>
      </c>
      <c r="H30" s="67" t="n">
        <v>0.7544</v>
      </c>
      <c r="I30" s="67" t="n">
        <v>371</v>
      </c>
      <c r="J30" s="67" t="n">
        <v>371</v>
      </c>
      <c r="K30" s="67" t="n">
        <v>371</v>
      </c>
      <c r="L30" s="68" t="s">
        <v>199</v>
      </c>
      <c r="M30" s="67" t="n">
        <v>0.291367</v>
      </c>
      <c r="N30" s="67" t="n">
        <v>0.412245</v>
      </c>
      <c r="O30" s="67" t="n">
        <v>4.03002</v>
      </c>
      <c r="P30" s="67" t="n">
        <v>0.527592</v>
      </c>
      <c r="Q30" s="67" t="n">
        <v>1.209704</v>
      </c>
      <c r="R30" s="67" t="n">
        <v>1.809585</v>
      </c>
      <c r="S30" s="68" t="s">
        <v>200</v>
      </c>
      <c r="T30" s="68" t="s">
        <v>201</v>
      </c>
      <c r="U30" s="68" t="s">
        <v>202</v>
      </c>
      <c r="V30" s="69"/>
      <c r="W30" s="68" t="s">
        <v>203</v>
      </c>
      <c r="X30" s="68" t="n">
        <v>3.36752136751042</v>
      </c>
      <c r="Y30" s="68" t="n">
        <v>21.8888888888177</v>
      </c>
      <c r="Z30" s="68" t="n">
        <v>6.5</v>
      </c>
      <c r="AA30" s="70"/>
    </row>
    <row r="31" customFormat="false" ht="14.25" hidden="false" customHeight="false" outlineLevel="0" collapsed="false">
      <c r="A31" s="56"/>
      <c r="B31" s="56"/>
      <c r="C31" s="64" t="n">
        <v>26</v>
      </c>
      <c r="D31" s="71" t="s">
        <v>262</v>
      </c>
      <c r="E31" s="71" t="s">
        <v>263</v>
      </c>
      <c r="F31" s="71" t="s">
        <v>264</v>
      </c>
      <c r="G31" s="66" t="n">
        <v>44</v>
      </c>
      <c r="H31" s="67" t="n">
        <v>0.0001</v>
      </c>
      <c r="I31" s="67" t="n">
        <v>371</v>
      </c>
      <c r="J31" s="67" t="n">
        <v>371</v>
      </c>
      <c r="K31" s="67" t="n">
        <v>371</v>
      </c>
      <c r="L31" s="68" t="s">
        <v>199</v>
      </c>
      <c r="M31" s="67" t="n">
        <v>0.277924</v>
      </c>
      <c r="N31" s="67" t="n">
        <v>0.291019</v>
      </c>
      <c r="O31" s="67" t="n">
        <v>5.855192</v>
      </c>
      <c r="P31" s="67" t="n">
        <v>0.805696</v>
      </c>
      <c r="Q31" s="67" t="n">
        <v>1.188238</v>
      </c>
      <c r="R31" s="67" t="n">
        <v>2.73325</v>
      </c>
      <c r="S31" s="68" t="s">
        <v>200</v>
      </c>
      <c r="T31" s="68" t="s">
        <v>201</v>
      </c>
      <c r="U31" s="68" t="s">
        <v>202</v>
      </c>
      <c r="V31" s="69"/>
      <c r="W31" s="68" t="s">
        <v>207</v>
      </c>
      <c r="X31" s="68" t="n">
        <v>10.1396573009752</v>
      </c>
      <c r="Y31" s="68" t="n">
        <v>441.075092592422</v>
      </c>
      <c r="Z31" s="68" t="n">
        <v>43.5</v>
      </c>
      <c r="AA31" s="70"/>
    </row>
    <row r="32" customFormat="false" ht="14.25" hidden="false" customHeight="false" outlineLevel="0" collapsed="false">
      <c r="A32" s="56"/>
      <c r="B32" s="56"/>
      <c r="C32" s="64" t="n">
        <v>27</v>
      </c>
      <c r="D32" s="71" t="s">
        <v>265</v>
      </c>
      <c r="E32" s="71" t="s">
        <v>266</v>
      </c>
      <c r="F32" s="71" t="s">
        <v>267</v>
      </c>
      <c r="G32" s="66" t="n">
        <v>44</v>
      </c>
      <c r="H32" s="67" t="n">
        <v>1.0542</v>
      </c>
      <c r="I32" s="67" t="n">
        <v>371</v>
      </c>
      <c r="J32" s="67" t="n">
        <v>371</v>
      </c>
      <c r="K32" s="67" t="n">
        <v>371</v>
      </c>
      <c r="L32" s="68" t="s">
        <v>199</v>
      </c>
      <c r="M32" s="67" t="n">
        <v>0.277924</v>
      </c>
      <c r="N32" s="67" t="n">
        <v>0.291019</v>
      </c>
      <c r="O32" s="67" t="n">
        <v>5.855192</v>
      </c>
      <c r="P32" s="67" t="n">
        <v>0.805696</v>
      </c>
      <c r="Q32" s="67" t="n">
        <v>1.188238</v>
      </c>
      <c r="R32" s="67" t="n">
        <v>2.73325</v>
      </c>
      <c r="S32" s="68" t="s">
        <v>200</v>
      </c>
      <c r="T32" s="68" t="s">
        <v>201</v>
      </c>
      <c r="U32" s="68" t="s">
        <v>202</v>
      </c>
      <c r="V32" s="69"/>
      <c r="W32" s="68" t="s">
        <v>207</v>
      </c>
      <c r="X32" s="68" t="n">
        <v>10.1396573009752</v>
      </c>
      <c r="Y32" s="68" t="n">
        <v>441.075092592422</v>
      </c>
      <c r="Z32" s="68" t="n">
        <v>43.5</v>
      </c>
      <c r="AA32" s="70" t="s">
        <v>231</v>
      </c>
    </row>
    <row r="33" customFormat="false" ht="14.25" hidden="false" customHeight="false" outlineLevel="0" collapsed="false">
      <c r="A33" s="56"/>
      <c r="B33" s="56"/>
      <c r="C33" s="64" t="n">
        <v>28</v>
      </c>
      <c r="D33" s="71" t="s">
        <v>268</v>
      </c>
      <c r="E33" s="71" t="s">
        <v>269</v>
      </c>
      <c r="F33" s="71" t="s">
        <v>270</v>
      </c>
      <c r="G33" s="66" t="n">
        <v>44</v>
      </c>
      <c r="H33" s="67" t="n">
        <v>0.4093</v>
      </c>
      <c r="I33" s="67" t="n">
        <v>371</v>
      </c>
      <c r="J33" s="67" t="n">
        <v>371</v>
      </c>
      <c r="K33" s="67" t="n">
        <v>371</v>
      </c>
      <c r="L33" s="68" t="s">
        <v>199</v>
      </c>
      <c r="M33" s="67" t="n">
        <v>0.291367</v>
      </c>
      <c r="N33" s="67" t="n">
        <v>0.412245</v>
      </c>
      <c r="O33" s="67" t="n">
        <v>4.03002</v>
      </c>
      <c r="P33" s="67" t="n">
        <v>0.527592</v>
      </c>
      <c r="Q33" s="67" t="n">
        <v>1.209704</v>
      </c>
      <c r="R33" s="67" t="n">
        <v>1.809585</v>
      </c>
      <c r="S33" s="68" t="s">
        <v>200</v>
      </c>
      <c r="T33" s="68" t="s">
        <v>201</v>
      </c>
      <c r="U33" s="68" t="s">
        <v>202</v>
      </c>
      <c r="V33" s="69"/>
      <c r="W33" s="68" t="s">
        <v>203</v>
      </c>
      <c r="X33" s="68" t="n">
        <v>10.1396573009752</v>
      </c>
      <c r="Y33" s="68" t="n">
        <v>441.075092592422</v>
      </c>
      <c r="Z33" s="68" t="n">
        <v>43.5</v>
      </c>
      <c r="AA33" s="70"/>
    </row>
    <row r="34" customFormat="false" ht="14.25" hidden="false" customHeight="false" outlineLevel="0" collapsed="false">
      <c r="A34" s="56"/>
      <c r="B34" s="56"/>
      <c r="C34" s="64" t="n">
        <v>29</v>
      </c>
      <c r="D34" s="71" t="s">
        <v>271</v>
      </c>
      <c r="E34" s="71" t="s">
        <v>270</v>
      </c>
      <c r="F34" s="71" t="s">
        <v>272</v>
      </c>
      <c r="G34" s="66" t="n">
        <v>44</v>
      </c>
      <c r="H34" s="67" t="n">
        <v>0.417</v>
      </c>
      <c r="I34" s="67" t="n">
        <v>371</v>
      </c>
      <c r="J34" s="67" t="n">
        <v>371</v>
      </c>
      <c r="K34" s="67" t="n">
        <v>371</v>
      </c>
      <c r="L34" s="68" t="s">
        <v>199</v>
      </c>
      <c r="M34" s="67" t="n">
        <v>0.277924</v>
      </c>
      <c r="N34" s="67" t="n">
        <v>0.291019</v>
      </c>
      <c r="O34" s="67" t="n">
        <v>5.855192</v>
      </c>
      <c r="P34" s="67" t="n">
        <v>0.805696</v>
      </c>
      <c r="Q34" s="67" t="n">
        <v>1.188238</v>
      </c>
      <c r="R34" s="67" t="n">
        <v>2.73325</v>
      </c>
      <c r="S34" s="68" t="s">
        <v>200</v>
      </c>
      <c r="T34" s="68" t="s">
        <v>201</v>
      </c>
      <c r="U34" s="68" t="s">
        <v>202</v>
      </c>
      <c r="V34" s="69"/>
      <c r="W34" s="68" t="s">
        <v>207</v>
      </c>
      <c r="X34" s="68" t="n">
        <v>10.1396573009752</v>
      </c>
      <c r="Y34" s="68" t="n">
        <v>441.075092592422</v>
      </c>
      <c r="Z34" s="68" t="n">
        <v>43.5</v>
      </c>
      <c r="AA34" s="70"/>
    </row>
    <row r="35" customFormat="false" ht="14.25" hidden="false" customHeight="false" outlineLevel="0" collapsed="false">
      <c r="A35" s="56"/>
      <c r="B35" s="56"/>
      <c r="C35" s="64" t="n">
        <v>30</v>
      </c>
      <c r="D35" s="71" t="s">
        <v>273</v>
      </c>
      <c r="E35" s="71" t="s">
        <v>272</v>
      </c>
      <c r="F35" s="71" t="s">
        <v>274</v>
      </c>
      <c r="G35" s="66" t="n">
        <v>44</v>
      </c>
      <c r="H35" s="67" t="n">
        <v>0.337</v>
      </c>
      <c r="I35" s="67" t="n">
        <v>371</v>
      </c>
      <c r="J35" s="67" t="n">
        <v>371</v>
      </c>
      <c r="K35" s="67" t="n">
        <v>371</v>
      </c>
      <c r="L35" s="68" t="s">
        <v>199</v>
      </c>
      <c r="M35" s="67" t="n">
        <v>0.277924</v>
      </c>
      <c r="N35" s="67" t="n">
        <v>0.291019</v>
      </c>
      <c r="O35" s="67" t="n">
        <v>5.855192</v>
      </c>
      <c r="P35" s="67" t="n">
        <v>0.805696</v>
      </c>
      <c r="Q35" s="67" t="n">
        <v>1.188238</v>
      </c>
      <c r="R35" s="67" t="n">
        <v>2.73325</v>
      </c>
      <c r="S35" s="68" t="s">
        <v>200</v>
      </c>
      <c r="T35" s="68" t="s">
        <v>201</v>
      </c>
      <c r="U35" s="68" t="s">
        <v>202</v>
      </c>
      <c r="V35" s="69"/>
      <c r="W35" s="68" t="s">
        <v>207</v>
      </c>
      <c r="X35" s="68" t="n">
        <v>10.1396573009752</v>
      </c>
      <c r="Y35" s="68" t="n">
        <v>441.075092592422</v>
      </c>
      <c r="Z35" s="68" t="n">
        <v>43.5</v>
      </c>
      <c r="AA35" s="70"/>
    </row>
    <row r="36" customFormat="false" ht="14.25" hidden="false" customHeight="false" outlineLevel="0" collapsed="false">
      <c r="A36" s="56"/>
      <c r="B36" s="56"/>
      <c r="C36" s="64" t="n">
        <v>31</v>
      </c>
      <c r="D36" s="71" t="s">
        <v>275</v>
      </c>
      <c r="E36" s="71" t="s">
        <v>266</v>
      </c>
      <c r="F36" s="71" t="s">
        <v>269</v>
      </c>
      <c r="G36" s="66" t="n">
        <v>44</v>
      </c>
      <c r="H36" s="67" t="n">
        <v>1.626</v>
      </c>
      <c r="I36" s="67" t="n">
        <v>371</v>
      </c>
      <c r="J36" s="67" t="n">
        <v>371</v>
      </c>
      <c r="K36" s="67" t="n">
        <v>371</v>
      </c>
      <c r="L36" s="68" t="s">
        <v>199</v>
      </c>
      <c r="M36" s="67" t="n">
        <v>0.291367</v>
      </c>
      <c r="N36" s="67" t="n">
        <v>0.412245</v>
      </c>
      <c r="O36" s="67" t="n">
        <v>4.03002</v>
      </c>
      <c r="P36" s="67" t="n">
        <v>0.527592</v>
      </c>
      <c r="Q36" s="67" t="n">
        <v>1.209704</v>
      </c>
      <c r="R36" s="67" t="n">
        <v>1.809585</v>
      </c>
      <c r="S36" s="68" t="s">
        <v>200</v>
      </c>
      <c r="T36" s="68" t="s">
        <v>201</v>
      </c>
      <c r="U36" s="68" t="s">
        <v>202</v>
      </c>
      <c r="V36" s="69"/>
      <c r="W36" s="68" t="s">
        <v>203</v>
      </c>
      <c r="X36" s="68" t="n">
        <v>10.1396573009752</v>
      </c>
      <c r="Y36" s="68" t="n">
        <v>441.075092592422</v>
      </c>
      <c r="Z36" s="68" t="n">
        <v>43.5</v>
      </c>
      <c r="AA36" s="70"/>
    </row>
    <row r="37" customFormat="false" ht="14.25" hidden="false" customHeight="false" outlineLevel="0" collapsed="false">
      <c r="A37" s="56"/>
      <c r="B37" s="56"/>
      <c r="C37" s="64" t="n">
        <v>32</v>
      </c>
      <c r="D37" s="71" t="s">
        <v>276</v>
      </c>
      <c r="E37" s="71" t="s">
        <v>274</v>
      </c>
      <c r="F37" s="71" t="s">
        <v>277</v>
      </c>
      <c r="G37" s="66" t="n">
        <v>44</v>
      </c>
      <c r="H37" s="67" t="n">
        <v>1.101</v>
      </c>
      <c r="I37" s="67" t="n">
        <v>371</v>
      </c>
      <c r="J37" s="67" t="n">
        <v>371</v>
      </c>
      <c r="K37" s="67" t="n">
        <v>371</v>
      </c>
      <c r="L37" s="68" t="s">
        <v>199</v>
      </c>
      <c r="M37" s="67" t="n">
        <v>0.291367</v>
      </c>
      <c r="N37" s="67" t="n">
        <v>0.412245</v>
      </c>
      <c r="O37" s="67" t="n">
        <v>4.03002</v>
      </c>
      <c r="P37" s="67" t="n">
        <v>0.527592</v>
      </c>
      <c r="Q37" s="67" t="n">
        <v>1.209704</v>
      </c>
      <c r="R37" s="67" t="n">
        <v>1.809585</v>
      </c>
      <c r="S37" s="68" t="s">
        <v>200</v>
      </c>
      <c r="T37" s="68" t="s">
        <v>201</v>
      </c>
      <c r="U37" s="68" t="s">
        <v>202</v>
      </c>
      <c r="V37" s="69"/>
      <c r="W37" s="68" t="s">
        <v>203</v>
      </c>
      <c r="X37" s="68" t="n">
        <v>10.1396573009752</v>
      </c>
      <c r="Y37" s="68" t="n">
        <v>441.075092592422</v>
      </c>
      <c r="Z37" s="68" t="n">
        <v>43.5</v>
      </c>
      <c r="AA37" s="70"/>
    </row>
    <row r="38" customFormat="false" ht="14.25" hidden="false" customHeight="false" outlineLevel="0" collapsed="false">
      <c r="A38" s="56"/>
      <c r="B38" s="56"/>
      <c r="C38" s="64" t="n">
        <v>33</v>
      </c>
      <c r="D38" s="71" t="s">
        <v>278</v>
      </c>
      <c r="E38" s="71" t="s">
        <v>279</v>
      </c>
      <c r="F38" s="71" t="s">
        <v>274</v>
      </c>
      <c r="G38" s="66" t="n">
        <v>44</v>
      </c>
      <c r="H38" s="67" t="n">
        <v>4.0398</v>
      </c>
      <c r="I38" s="67" t="n">
        <v>371</v>
      </c>
      <c r="J38" s="67" t="n">
        <v>371</v>
      </c>
      <c r="K38" s="67" t="n">
        <v>371</v>
      </c>
      <c r="L38" s="68" t="s">
        <v>199</v>
      </c>
      <c r="M38" s="67" t="n">
        <v>0.291367</v>
      </c>
      <c r="N38" s="67" t="n">
        <v>0.412245</v>
      </c>
      <c r="O38" s="67" t="n">
        <v>4.03002</v>
      </c>
      <c r="P38" s="67" t="n">
        <v>0.527592</v>
      </c>
      <c r="Q38" s="67" t="n">
        <v>1.209704</v>
      </c>
      <c r="R38" s="67" t="n">
        <v>1.809585</v>
      </c>
      <c r="S38" s="68" t="s">
        <v>200</v>
      </c>
      <c r="T38" s="68" t="s">
        <v>201</v>
      </c>
      <c r="U38" s="68" t="s">
        <v>202</v>
      </c>
      <c r="V38" s="69"/>
      <c r="W38" s="68" t="s">
        <v>203</v>
      </c>
      <c r="X38" s="68" t="n">
        <v>10.1396573009752</v>
      </c>
      <c r="Y38" s="68" t="n">
        <v>441.075092592422</v>
      </c>
      <c r="Z38" s="68" t="n">
        <v>43.5</v>
      </c>
      <c r="AA38" s="70"/>
    </row>
    <row r="39" customFormat="false" ht="14.25" hidden="false" customHeight="false" outlineLevel="0" collapsed="false">
      <c r="A39" s="56"/>
      <c r="B39" s="56"/>
      <c r="C39" s="64" t="n">
        <v>34</v>
      </c>
      <c r="D39" s="71" t="s">
        <v>280</v>
      </c>
      <c r="E39" s="71" t="s">
        <v>264</v>
      </c>
      <c r="F39" s="71" t="s">
        <v>279</v>
      </c>
      <c r="G39" s="66" t="n">
        <v>44</v>
      </c>
      <c r="H39" s="67" t="n">
        <v>0.333</v>
      </c>
      <c r="I39" s="67" t="n">
        <v>371</v>
      </c>
      <c r="J39" s="67" t="n">
        <v>371</v>
      </c>
      <c r="K39" s="67" t="n">
        <v>371</v>
      </c>
      <c r="L39" s="68" t="s">
        <v>199</v>
      </c>
      <c r="M39" s="67" t="n">
        <v>0.277924</v>
      </c>
      <c r="N39" s="67" t="n">
        <v>0.291019</v>
      </c>
      <c r="O39" s="67" t="n">
        <v>5.855192</v>
      </c>
      <c r="P39" s="67" t="n">
        <v>0.805696</v>
      </c>
      <c r="Q39" s="67" t="n">
        <v>1.188238</v>
      </c>
      <c r="R39" s="67" t="n">
        <v>2.73325</v>
      </c>
      <c r="S39" s="68" t="s">
        <v>200</v>
      </c>
      <c r="T39" s="68" t="s">
        <v>201</v>
      </c>
      <c r="U39" s="68" t="s">
        <v>202</v>
      </c>
      <c r="V39" s="69"/>
      <c r="W39" s="68" t="s">
        <v>207</v>
      </c>
      <c r="X39" s="68" t="n">
        <v>10.1396573009752</v>
      </c>
      <c r="Y39" s="68" t="n">
        <v>441.075092592422</v>
      </c>
      <c r="Z39" s="68" t="n">
        <v>43.5</v>
      </c>
      <c r="AA39" s="70"/>
    </row>
    <row r="40" customFormat="false" ht="14.25" hidden="false" customHeight="false" outlineLevel="0" collapsed="false">
      <c r="A40" s="56"/>
      <c r="B40" s="56"/>
      <c r="C40" s="64" t="n">
        <v>35</v>
      </c>
      <c r="D40" s="71" t="s">
        <v>281</v>
      </c>
      <c r="E40" s="71" t="s">
        <v>197</v>
      </c>
      <c r="F40" s="71" t="s">
        <v>282</v>
      </c>
      <c r="G40" s="66" t="n">
        <v>44</v>
      </c>
      <c r="H40" s="67" t="n">
        <v>0.0569</v>
      </c>
      <c r="I40" s="67" t="n">
        <v>371</v>
      </c>
      <c r="J40" s="67" t="n">
        <v>371</v>
      </c>
      <c r="K40" s="67" t="n">
        <v>371</v>
      </c>
      <c r="L40" s="68" t="s">
        <v>199</v>
      </c>
      <c r="M40" s="67" t="n">
        <v>0.291367</v>
      </c>
      <c r="N40" s="67" t="n">
        <v>0.412245</v>
      </c>
      <c r="O40" s="67" t="n">
        <v>4.03002</v>
      </c>
      <c r="P40" s="67" t="n">
        <v>0.527592</v>
      </c>
      <c r="Q40" s="67" t="n">
        <v>1.209704</v>
      </c>
      <c r="R40" s="67" t="n">
        <v>1.809585</v>
      </c>
      <c r="S40" s="68" t="s">
        <v>200</v>
      </c>
      <c r="T40" s="68" t="s">
        <v>201</v>
      </c>
      <c r="U40" s="68" t="s">
        <v>202</v>
      </c>
      <c r="V40" s="69"/>
      <c r="W40" s="68" t="s">
        <v>203</v>
      </c>
      <c r="X40" s="68" t="n">
        <v>6.42584551656833</v>
      </c>
      <c r="Y40" s="68" t="n">
        <v>122.091064814798</v>
      </c>
      <c r="Z40" s="68" t="n">
        <v>19</v>
      </c>
      <c r="AA40" s="70"/>
    </row>
    <row r="41" customFormat="false" ht="14.25" hidden="false" customHeight="false" outlineLevel="0" collapsed="false">
      <c r="A41" s="56"/>
      <c r="B41" s="56"/>
      <c r="C41" s="64" t="n">
        <v>36</v>
      </c>
      <c r="D41" s="71" t="s">
        <v>283</v>
      </c>
      <c r="E41" s="71" t="s">
        <v>284</v>
      </c>
      <c r="F41" s="71" t="s">
        <v>285</v>
      </c>
      <c r="G41" s="66" t="n">
        <v>44</v>
      </c>
      <c r="H41" s="67" t="n">
        <v>1.365</v>
      </c>
      <c r="I41" s="67" t="n">
        <v>371</v>
      </c>
      <c r="J41" s="67" t="n">
        <v>371</v>
      </c>
      <c r="K41" s="67" t="n">
        <v>371</v>
      </c>
      <c r="L41" s="68" t="s">
        <v>199</v>
      </c>
      <c r="M41" s="67" t="n">
        <v>0.291367</v>
      </c>
      <c r="N41" s="67" t="n">
        <v>0.412245</v>
      </c>
      <c r="O41" s="67" t="n">
        <v>4.03002</v>
      </c>
      <c r="P41" s="67" t="n">
        <v>0.527592</v>
      </c>
      <c r="Q41" s="67" t="n">
        <v>1.209704</v>
      </c>
      <c r="R41" s="67" t="n">
        <v>1.809585</v>
      </c>
      <c r="S41" s="68" t="s">
        <v>200</v>
      </c>
      <c r="T41" s="68" t="s">
        <v>201</v>
      </c>
      <c r="U41" s="68" t="s">
        <v>202</v>
      </c>
      <c r="V41" s="69"/>
      <c r="W41" s="68" t="s">
        <v>203</v>
      </c>
      <c r="X41" s="68" t="n">
        <v>6.42584551656833</v>
      </c>
      <c r="Y41" s="68" t="n">
        <v>122.091064814798</v>
      </c>
      <c r="Z41" s="68" t="n">
        <v>19</v>
      </c>
      <c r="AA41" s="70"/>
    </row>
    <row r="42" customFormat="false" ht="14.25" hidden="false" customHeight="false" outlineLevel="0" collapsed="false">
      <c r="A42" s="56"/>
      <c r="B42" s="56"/>
      <c r="C42" s="64" t="n">
        <v>37</v>
      </c>
      <c r="D42" s="71" t="s">
        <v>286</v>
      </c>
      <c r="E42" s="71" t="s">
        <v>285</v>
      </c>
      <c r="F42" s="71" t="s">
        <v>197</v>
      </c>
      <c r="G42" s="66" t="n">
        <v>44</v>
      </c>
      <c r="H42" s="67" t="n">
        <v>0.6391</v>
      </c>
      <c r="I42" s="67" t="n">
        <v>371</v>
      </c>
      <c r="J42" s="67" t="n">
        <v>371</v>
      </c>
      <c r="K42" s="67" t="n">
        <v>371</v>
      </c>
      <c r="L42" s="68" t="s">
        <v>199</v>
      </c>
      <c r="M42" s="67" t="n">
        <v>0.277924</v>
      </c>
      <c r="N42" s="67" t="n">
        <v>0.291019</v>
      </c>
      <c r="O42" s="67" t="n">
        <v>5.855192</v>
      </c>
      <c r="P42" s="67" t="n">
        <v>0.805696</v>
      </c>
      <c r="Q42" s="67" t="n">
        <v>1.188238</v>
      </c>
      <c r="R42" s="67" t="n">
        <v>2.73325</v>
      </c>
      <c r="S42" s="68" t="s">
        <v>200</v>
      </c>
      <c r="T42" s="68" t="s">
        <v>201</v>
      </c>
      <c r="U42" s="68" t="s">
        <v>202</v>
      </c>
      <c r="V42" s="69"/>
      <c r="W42" s="68" t="s">
        <v>207</v>
      </c>
      <c r="X42" s="68" t="n">
        <v>6.42584551656833</v>
      </c>
      <c r="Y42" s="68" t="n">
        <v>122.091064814798</v>
      </c>
      <c r="Z42" s="68" t="n">
        <v>19</v>
      </c>
      <c r="AA42" s="70"/>
    </row>
    <row r="43" customFormat="false" ht="14.25" hidden="false" customHeight="false" outlineLevel="0" collapsed="false">
      <c r="A43" s="56"/>
      <c r="B43" s="56"/>
      <c r="C43" s="64" t="n">
        <v>38</v>
      </c>
      <c r="D43" s="71" t="s">
        <v>287</v>
      </c>
      <c r="E43" s="71" t="s">
        <v>288</v>
      </c>
      <c r="F43" s="71" t="s">
        <v>284</v>
      </c>
      <c r="G43" s="66" t="n">
        <v>44</v>
      </c>
      <c r="H43" s="67" t="n">
        <v>0.4103</v>
      </c>
      <c r="I43" s="67" t="n">
        <v>371</v>
      </c>
      <c r="J43" s="67" t="n">
        <v>371</v>
      </c>
      <c r="K43" s="67" t="n">
        <v>371</v>
      </c>
      <c r="L43" s="68" t="s">
        <v>199</v>
      </c>
      <c r="M43" s="67" t="n">
        <v>0.291367</v>
      </c>
      <c r="N43" s="67" t="n">
        <v>0.412245</v>
      </c>
      <c r="O43" s="67" t="n">
        <v>4.03002</v>
      </c>
      <c r="P43" s="67" t="n">
        <v>0.527592</v>
      </c>
      <c r="Q43" s="67" t="n">
        <v>1.209704</v>
      </c>
      <c r="R43" s="67" t="n">
        <v>1.809585</v>
      </c>
      <c r="S43" s="68" t="s">
        <v>200</v>
      </c>
      <c r="T43" s="68" t="s">
        <v>201</v>
      </c>
      <c r="U43" s="68" t="s">
        <v>202</v>
      </c>
      <c r="V43" s="69"/>
      <c r="W43" s="68" t="s">
        <v>203</v>
      </c>
      <c r="X43" s="68" t="n">
        <v>6.42584551656833</v>
      </c>
      <c r="Y43" s="68" t="n">
        <v>122.091064814798</v>
      </c>
      <c r="Z43" s="68" t="n">
        <v>19</v>
      </c>
      <c r="AA43" s="70"/>
    </row>
    <row r="44" customFormat="false" ht="14.25" hidden="false" customHeight="false" outlineLevel="0" collapsed="false">
      <c r="A44" s="56"/>
      <c r="B44" s="56"/>
      <c r="C44" s="64" t="n">
        <v>39</v>
      </c>
      <c r="D44" s="71" t="s">
        <v>289</v>
      </c>
      <c r="E44" s="71" t="s">
        <v>198</v>
      </c>
      <c r="F44" s="71" t="s">
        <v>290</v>
      </c>
      <c r="G44" s="66" t="n">
        <v>44</v>
      </c>
      <c r="H44" s="67" t="n">
        <v>1.771</v>
      </c>
      <c r="I44" s="67" t="n">
        <v>371</v>
      </c>
      <c r="J44" s="67" t="n">
        <v>371</v>
      </c>
      <c r="K44" s="67" t="n">
        <v>371</v>
      </c>
      <c r="L44" s="68" t="s">
        <v>199</v>
      </c>
      <c r="M44" s="67" t="n">
        <v>0.291367</v>
      </c>
      <c r="N44" s="67" t="n">
        <v>0.412245</v>
      </c>
      <c r="O44" s="67" t="n">
        <v>4.03002</v>
      </c>
      <c r="P44" s="67" t="n">
        <v>0.527592</v>
      </c>
      <c r="Q44" s="67" t="n">
        <v>1.209704</v>
      </c>
      <c r="R44" s="67" t="n">
        <v>1.809585</v>
      </c>
      <c r="S44" s="68" t="s">
        <v>200</v>
      </c>
      <c r="T44" s="68" t="s">
        <v>201</v>
      </c>
      <c r="U44" s="68" t="s">
        <v>202</v>
      </c>
      <c r="V44" s="69"/>
      <c r="W44" s="68" t="s">
        <v>203</v>
      </c>
      <c r="X44" s="68" t="n">
        <v>6.42584551656833</v>
      </c>
      <c r="Y44" s="68" t="n">
        <v>122.091064814798</v>
      </c>
      <c r="Z44" s="68" t="n">
        <v>19</v>
      </c>
      <c r="AA44" s="70"/>
    </row>
    <row r="45" customFormat="false" ht="14.25" hidden="false" customHeight="false" outlineLevel="0" collapsed="false">
      <c r="A45" s="56"/>
      <c r="B45" s="56"/>
      <c r="C45" s="64" t="n">
        <v>40</v>
      </c>
      <c r="D45" s="71" t="s">
        <v>291</v>
      </c>
      <c r="E45" s="71" t="s">
        <v>282</v>
      </c>
      <c r="F45" s="71" t="s">
        <v>263</v>
      </c>
      <c r="G45" s="66" t="n">
        <v>44</v>
      </c>
      <c r="H45" s="67" t="n">
        <v>0.01</v>
      </c>
      <c r="I45" s="67" t="n">
        <v>371</v>
      </c>
      <c r="J45" s="67" t="n">
        <v>371</v>
      </c>
      <c r="K45" s="67" t="n">
        <v>371</v>
      </c>
      <c r="L45" s="68" t="s">
        <v>199</v>
      </c>
      <c r="M45" s="67" t="n">
        <v>0.291367</v>
      </c>
      <c r="N45" s="67" t="n">
        <v>0.412245</v>
      </c>
      <c r="O45" s="67" t="n">
        <v>4.03002</v>
      </c>
      <c r="P45" s="67" t="n">
        <v>0.527592</v>
      </c>
      <c r="Q45" s="67" t="n">
        <v>1.209704</v>
      </c>
      <c r="R45" s="67" t="n">
        <v>1.809585</v>
      </c>
      <c r="S45" s="68" t="s">
        <v>200</v>
      </c>
      <c r="T45" s="68" t="s">
        <v>201</v>
      </c>
      <c r="U45" s="68" t="s">
        <v>202</v>
      </c>
      <c r="V45" s="69"/>
      <c r="W45" s="68" t="s">
        <v>203</v>
      </c>
      <c r="X45" s="68" t="n">
        <v>6.42584551656833</v>
      </c>
      <c r="Y45" s="68" t="n">
        <v>122.091064814798</v>
      </c>
      <c r="Z45" s="68" t="n">
        <v>19</v>
      </c>
      <c r="AA45" s="70"/>
    </row>
    <row r="46" customFormat="false" ht="14.25" hidden="false" customHeight="false" outlineLevel="0" collapsed="false">
      <c r="B46" s="56"/>
      <c r="C46" s="64" t="n">
        <v>41</v>
      </c>
      <c r="D46" s="71" t="s">
        <v>292</v>
      </c>
      <c r="E46" s="71" t="s">
        <v>293</v>
      </c>
      <c r="F46" s="71" t="s">
        <v>294</v>
      </c>
      <c r="G46" s="66" t="n">
        <v>44</v>
      </c>
      <c r="H46" s="67" t="n">
        <v>1.6894</v>
      </c>
      <c r="I46" s="67" t="n">
        <v>371</v>
      </c>
      <c r="J46" s="67" t="n">
        <v>371</v>
      </c>
      <c r="K46" s="67" t="n">
        <v>371</v>
      </c>
      <c r="L46" s="68" t="s">
        <v>199</v>
      </c>
      <c r="M46" s="67" t="n">
        <v>0.277924</v>
      </c>
      <c r="N46" s="67" t="n">
        <v>0.291019</v>
      </c>
      <c r="O46" s="67" t="n">
        <v>5.855192</v>
      </c>
      <c r="P46" s="67" t="n">
        <v>0.805696</v>
      </c>
      <c r="Q46" s="67" t="n">
        <v>1.188238</v>
      </c>
      <c r="R46" s="67" t="n">
        <v>2.73325</v>
      </c>
      <c r="S46" s="68" t="s">
        <v>200</v>
      </c>
      <c r="T46" s="68" t="s">
        <v>201</v>
      </c>
      <c r="U46" s="68" t="s">
        <v>202</v>
      </c>
      <c r="V46" s="69"/>
      <c r="W46" s="68" t="s">
        <v>207</v>
      </c>
      <c r="X46" s="68" t="n">
        <v>22.5948476702681</v>
      </c>
      <c r="Y46" s="68" t="n">
        <v>233.48009259277</v>
      </c>
      <c r="Z46" s="68" t="n">
        <v>10.3333333333333</v>
      </c>
      <c r="AA46" s="70"/>
    </row>
    <row r="47" customFormat="false" ht="14.25" hidden="false" customHeight="false" outlineLevel="0" collapsed="false">
      <c r="B47" s="56"/>
      <c r="C47" s="64" t="n">
        <v>42</v>
      </c>
      <c r="D47" s="71" t="s">
        <v>295</v>
      </c>
      <c r="E47" s="71" t="s">
        <v>294</v>
      </c>
      <c r="F47" s="71" t="s">
        <v>296</v>
      </c>
      <c r="G47" s="66" t="n">
        <v>44</v>
      </c>
      <c r="H47" s="67" t="n">
        <v>0.3115</v>
      </c>
      <c r="I47" s="67" t="n">
        <v>371</v>
      </c>
      <c r="J47" s="67" t="n">
        <v>371</v>
      </c>
      <c r="K47" s="67" t="n">
        <v>371</v>
      </c>
      <c r="L47" s="68" t="s">
        <v>199</v>
      </c>
      <c r="M47" s="67" t="n">
        <v>0.277924</v>
      </c>
      <c r="N47" s="67" t="n">
        <v>0.291019</v>
      </c>
      <c r="O47" s="67" t="n">
        <v>5.855192</v>
      </c>
      <c r="P47" s="67" t="n">
        <v>0.805696</v>
      </c>
      <c r="Q47" s="67" t="n">
        <v>1.188238</v>
      </c>
      <c r="R47" s="67" t="n">
        <v>2.73325</v>
      </c>
      <c r="S47" s="68" t="s">
        <v>200</v>
      </c>
      <c r="T47" s="68" t="s">
        <v>201</v>
      </c>
      <c r="U47" s="68" t="s">
        <v>202</v>
      </c>
      <c r="V47" s="69"/>
      <c r="W47" s="68" t="s">
        <v>207</v>
      </c>
      <c r="X47" s="68" t="n">
        <v>22.5948476702681</v>
      </c>
      <c r="Y47" s="68" t="n">
        <v>233.48009259277</v>
      </c>
      <c r="Z47" s="68" t="n">
        <v>10.3333333333333</v>
      </c>
      <c r="AA47" s="70"/>
    </row>
    <row r="48" customFormat="false" ht="14.25" hidden="false" customHeight="false" outlineLevel="0" collapsed="false">
      <c r="B48" s="56"/>
      <c r="C48" s="64" t="n">
        <v>43</v>
      </c>
      <c r="D48" s="71" t="s">
        <v>297</v>
      </c>
      <c r="E48" s="71" t="s">
        <v>298</v>
      </c>
      <c r="F48" s="71" t="s">
        <v>299</v>
      </c>
      <c r="G48" s="66" t="n">
        <v>44</v>
      </c>
      <c r="H48" s="67" t="n">
        <v>0.2578</v>
      </c>
      <c r="I48" s="67" t="n">
        <v>371</v>
      </c>
      <c r="J48" s="67" t="n">
        <v>371</v>
      </c>
      <c r="K48" s="67" t="n">
        <v>371</v>
      </c>
      <c r="L48" s="68" t="s">
        <v>199</v>
      </c>
      <c r="M48" s="67" t="n">
        <v>0.277924</v>
      </c>
      <c r="N48" s="67" t="n">
        <v>0.291019</v>
      </c>
      <c r="O48" s="67" t="n">
        <v>5.855192</v>
      </c>
      <c r="P48" s="67" t="n">
        <v>0.805696</v>
      </c>
      <c r="Q48" s="67" t="n">
        <v>1.188238</v>
      </c>
      <c r="R48" s="67" t="n">
        <v>2.73325</v>
      </c>
      <c r="S48" s="68" t="s">
        <v>200</v>
      </c>
      <c r="T48" s="68" t="s">
        <v>201</v>
      </c>
      <c r="U48" s="68" t="s">
        <v>202</v>
      </c>
      <c r="V48" s="69"/>
      <c r="W48" s="68" t="s">
        <v>207</v>
      </c>
      <c r="X48" s="68" t="n">
        <v>22.5948476702681</v>
      </c>
      <c r="Y48" s="68" t="n">
        <v>233.48009259277</v>
      </c>
      <c r="Z48" s="68" t="n">
        <v>10.3333333333333</v>
      </c>
      <c r="AA48" s="70"/>
    </row>
    <row r="49" customFormat="false" ht="14.25" hidden="false" customHeight="false" outlineLevel="0" collapsed="false">
      <c r="B49" s="56"/>
      <c r="C49" s="64" t="n">
        <v>44</v>
      </c>
      <c r="D49" s="71" t="s">
        <v>300</v>
      </c>
      <c r="E49" s="71" t="s">
        <v>296</v>
      </c>
      <c r="F49" s="71" t="s">
        <v>298</v>
      </c>
      <c r="G49" s="66" t="n">
        <v>44</v>
      </c>
      <c r="H49" s="67" t="n">
        <v>0.301</v>
      </c>
      <c r="I49" s="67" t="n">
        <v>371</v>
      </c>
      <c r="J49" s="67" t="n">
        <v>371</v>
      </c>
      <c r="K49" s="67" t="n">
        <v>371</v>
      </c>
      <c r="L49" s="68" t="s">
        <v>199</v>
      </c>
      <c r="M49" s="67" t="n">
        <v>0.291367</v>
      </c>
      <c r="N49" s="67" t="n">
        <v>0.412245</v>
      </c>
      <c r="O49" s="67" t="n">
        <v>4.03002</v>
      </c>
      <c r="P49" s="67" t="n">
        <v>0.527592</v>
      </c>
      <c r="Q49" s="67" t="n">
        <v>1.209704</v>
      </c>
      <c r="R49" s="67" t="n">
        <v>1.809585</v>
      </c>
      <c r="S49" s="68" t="s">
        <v>200</v>
      </c>
      <c r="T49" s="68" t="s">
        <v>201</v>
      </c>
      <c r="U49" s="68" t="s">
        <v>202</v>
      </c>
      <c r="V49" s="69"/>
      <c r="W49" s="68" t="s">
        <v>203</v>
      </c>
      <c r="X49" s="68" t="n">
        <v>22.5948476702681</v>
      </c>
      <c r="Y49" s="68" t="n">
        <v>233.48009259277</v>
      </c>
      <c r="Z49" s="68" t="n">
        <v>10.3333333333333</v>
      </c>
      <c r="AA49" s="70"/>
    </row>
    <row r="50" customFormat="false" ht="14.25" hidden="false" customHeight="false" outlineLevel="0" collapsed="false">
      <c r="B50" s="56"/>
      <c r="C50" s="64" t="n">
        <v>45</v>
      </c>
      <c r="D50" s="71" t="s">
        <v>301</v>
      </c>
      <c r="E50" s="71" t="s">
        <v>299</v>
      </c>
      <c r="F50" s="71" t="s">
        <v>302</v>
      </c>
      <c r="G50" s="66" t="n">
        <v>44</v>
      </c>
      <c r="H50" s="67" t="n">
        <v>0.3526</v>
      </c>
      <c r="I50" s="67" t="n">
        <v>371</v>
      </c>
      <c r="J50" s="67" t="n">
        <v>371</v>
      </c>
      <c r="K50" s="67" t="n">
        <v>371</v>
      </c>
      <c r="L50" s="68" t="s">
        <v>199</v>
      </c>
      <c r="M50" s="67" t="n">
        <v>0.277924</v>
      </c>
      <c r="N50" s="67" t="n">
        <v>0.291019</v>
      </c>
      <c r="O50" s="67" t="n">
        <v>5.855192</v>
      </c>
      <c r="P50" s="67" t="n">
        <v>0.805696</v>
      </c>
      <c r="Q50" s="67" t="n">
        <v>1.188238</v>
      </c>
      <c r="R50" s="67" t="n">
        <v>2.73325</v>
      </c>
      <c r="S50" s="68" t="s">
        <v>200</v>
      </c>
      <c r="T50" s="68" t="s">
        <v>201</v>
      </c>
      <c r="U50" s="68" t="s">
        <v>202</v>
      </c>
      <c r="V50" s="69"/>
      <c r="W50" s="68" t="s">
        <v>207</v>
      </c>
      <c r="X50" s="68" t="n">
        <v>22.5948476702681</v>
      </c>
      <c r="Y50" s="68" t="n">
        <v>233.48009259277</v>
      </c>
      <c r="Z50" s="68" t="n">
        <v>10.3333333333333</v>
      </c>
      <c r="AA50" s="70"/>
    </row>
    <row r="51" customFormat="false" ht="14.25" hidden="false" customHeight="false" outlineLevel="0" collapsed="false">
      <c r="B51" s="56"/>
      <c r="C51" s="64" t="n">
        <v>46</v>
      </c>
      <c r="D51" s="71" t="s">
        <v>303</v>
      </c>
      <c r="E51" s="71" t="s">
        <v>302</v>
      </c>
      <c r="F51" s="71" t="s">
        <v>304</v>
      </c>
      <c r="G51" s="66" t="n">
        <v>44</v>
      </c>
      <c r="H51" s="67" t="n">
        <v>0.552</v>
      </c>
      <c r="I51" s="67" t="n">
        <v>371</v>
      </c>
      <c r="J51" s="67" t="n">
        <v>371</v>
      </c>
      <c r="K51" s="67" t="n">
        <v>371</v>
      </c>
      <c r="L51" s="68" t="s">
        <v>199</v>
      </c>
      <c r="M51" s="67" t="n">
        <v>0.277924</v>
      </c>
      <c r="N51" s="67" t="n">
        <v>0.291019</v>
      </c>
      <c r="O51" s="67" t="n">
        <v>5.855192</v>
      </c>
      <c r="P51" s="67" t="n">
        <v>0.805696</v>
      </c>
      <c r="Q51" s="67" t="n">
        <v>1.188238</v>
      </c>
      <c r="R51" s="67" t="n">
        <v>2.73325</v>
      </c>
      <c r="S51" s="68" t="s">
        <v>200</v>
      </c>
      <c r="T51" s="68" t="s">
        <v>201</v>
      </c>
      <c r="U51" s="68" t="s">
        <v>202</v>
      </c>
      <c r="V51" s="69"/>
      <c r="W51" s="68" t="s">
        <v>207</v>
      </c>
      <c r="X51" s="68" t="n">
        <v>22.5948476702681</v>
      </c>
      <c r="Y51" s="68" t="n">
        <v>233.48009259277</v>
      </c>
      <c r="Z51" s="68" t="n">
        <v>10.3333333333333</v>
      </c>
      <c r="AA51" s="70"/>
    </row>
    <row r="52" customFormat="false" ht="14.25" hidden="false" customHeight="false" outlineLevel="0" collapsed="false">
      <c r="A52" s="56"/>
      <c r="B52" s="56"/>
      <c r="C52" s="64" t="n">
        <v>47</v>
      </c>
      <c r="D52" s="71" t="s">
        <v>305</v>
      </c>
      <c r="E52" s="71" t="s">
        <v>306</v>
      </c>
      <c r="F52" s="71" t="s">
        <v>307</v>
      </c>
      <c r="G52" s="66" t="n">
        <v>44</v>
      </c>
      <c r="H52" s="67" t="n">
        <v>2.459</v>
      </c>
      <c r="I52" s="67" t="n">
        <v>371</v>
      </c>
      <c r="J52" s="67" t="n">
        <v>371</v>
      </c>
      <c r="K52" s="67" t="n">
        <v>371</v>
      </c>
      <c r="L52" s="68" t="s">
        <v>199</v>
      </c>
      <c r="M52" s="67" t="n">
        <v>0.291367</v>
      </c>
      <c r="N52" s="67" t="n">
        <v>0.412245</v>
      </c>
      <c r="O52" s="67" t="n">
        <v>4.03002</v>
      </c>
      <c r="P52" s="67" t="n">
        <v>0.527592</v>
      </c>
      <c r="Q52" s="67" t="n">
        <v>1.209704</v>
      </c>
      <c r="R52" s="67" t="n">
        <v>1.809585</v>
      </c>
      <c r="S52" s="68" t="s">
        <v>200</v>
      </c>
      <c r="T52" s="68" t="s">
        <v>201</v>
      </c>
      <c r="U52" s="68" t="s">
        <v>202</v>
      </c>
      <c r="V52" s="69"/>
      <c r="W52" s="68" t="s">
        <v>203</v>
      </c>
      <c r="X52" s="68" t="n">
        <v>7.03841731266449</v>
      </c>
      <c r="Y52" s="68" t="n">
        <v>151.325972222287</v>
      </c>
      <c r="Z52" s="68" t="n">
        <v>21.5</v>
      </c>
      <c r="AA52" s="70" t="s">
        <v>237</v>
      </c>
    </row>
    <row r="53" customFormat="false" ht="14.25" hidden="false" customHeight="false" outlineLevel="0" collapsed="false">
      <c r="B53" s="72"/>
      <c r="C53" s="64" t="n">
        <v>48</v>
      </c>
      <c r="D53" s="65" t="s">
        <v>308</v>
      </c>
      <c r="E53" s="65" t="s">
        <v>309</v>
      </c>
      <c r="F53" s="65" t="s">
        <v>310</v>
      </c>
      <c r="G53" s="66" t="n">
        <v>44</v>
      </c>
      <c r="H53" s="67" t="n">
        <v>0.996</v>
      </c>
      <c r="I53" s="67" t="n">
        <v>371</v>
      </c>
      <c r="J53" s="67" t="n">
        <v>371</v>
      </c>
      <c r="K53" s="67" t="n">
        <v>371</v>
      </c>
      <c r="L53" s="68" t="s">
        <v>199</v>
      </c>
      <c r="M53" s="67" t="n">
        <v>0.291367</v>
      </c>
      <c r="N53" s="67" t="n">
        <v>0.412245</v>
      </c>
      <c r="O53" s="67" t="n">
        <v>4.03002</v>
      </c>
      <c r="P53" s="67" t="n">
        <v>0.527592</v>
      </c>
      <c r="Q53" s="67" t="n">
        <v>1.209704</v>
      </c>
      <c r="R53" s="67" t="n">
        <v>1.809585</v>
      </c>
      <c r="S53" s="68" t="s">
        <v>200</v>
      </c>
      <c r="T53" s="68" t="s">
        <v>201</v>
      </c>
      <c r="U53" s="68" t="s">
        <v>202</v>
      </c>
      <c r="V53" s="69"/>
      <c r="W53" s="68" t="s">
        <v>203</v>
      </c>
      <c r="X53" s="68"/>
      <c r="Y53" s="68"/>
      <c r="Z53" s="68"/>
      <c r="AA53" s="70"/>
    </row>
    <row r="54" customFormat="false" ht="14.25" hidden="false" customHeight="false" outlineLevel="0" collapsed="false">
      <c r="C54" s="64" t="n">
        <v>49</v>
      </c>
      <c r="D54" s="71" t="s">
        <v>311</v>
      </c>
      <c r="E54" s="71" t="s">
        <v>312</v>
      </c>
      <c r="F54" s="71" t="s">
        <v>313</v>
      </c>
      <c r="G54" s="66" t="n">
        <v>44</v>
      </c>
      <c r="H54" s="67" t="n">
        <v>2.435</v>
      </c>
      <c r="I54" s="67" t="n">
        <v>371</v>
      </c>
      <c r="J54" s="67" t="n">
        <v>371</v>
      </c>
      <c r="K54" s="67" t="n">
        <v>371</v>
      </c>
      <c r="L54" s="68" t="s">
        <v>199</v>
      </c>
      <c r="M54" s="67" t="n">
        <v>0.277924</v>
      </c>
      <c r="N54" s="67" t="n">
        <v>0.291019</v>
      </c>
      <c r="O54" s="67" t="n">
        <v>5.855192</v>
      </c>
      <c r="P54" s="67" t="n">
        <v>0.805696</v>
      </c>
      <c r="Q54" s="67" t="n">
        <v>1.188238</v>
      </c>
      <c r="R54" s="67" t="n">
        <v>2.73325</v>
      </c>
      <c r="S54" s="68" t="s">
        <v>200</v>
      </c>
      <c r="T54" s="68" t="s">
        <v>201</v>
      </c>
      <c r="U54" s="68" t="s">
        <v>202</v>
      </c>
      <c r="V54" s="69"/>
      <c r="W54" s="68" t="s">
        <v>207</v>
      </c>
      <c r="X54" s="68" t="n">
        <v>10.7658524904199</v>
      </c>
      <c r="Y54" s="68" t="n">
        <v>156.104861111089</v>
      </c>
      <c r="Z54" s="68" t="n">
        <v>14.5</v>
      </c>
      <c r="AA54" s="70"/>
    </row>
    <row r="55" customFormat="false" ht="14.25" hidden="false" customHeight="false" outlineLevel="0" collapsed="false">
      <c r="A55" s="56"/>
      <c r="B55" s="56"/>
      <c r="C55" s="64" t="n">
        <v>50</v>
      </c>
      <c r="D55" s="71" t="s">
        <v>314</v>
      </c>
      <c r="E55" s="71" t="s">
        <v>315</v>
      </c>
      <c r="F55" s="71" t="s">
        <v>316</v>
      </c>
      <c r="G55" s="66" t="n">
        <v>44</v>
      </c>
      <c r="H55" s="67" t="n">
        <v>0.198</v>
      </c>
      <c r="I55" s="67" t="n">
        <v>371</v>
      </c>
      <c r="J55" s="67" t="n">
        <v>371</v>
      </c>
      <c r="K55" s="67" t="n">
        <v>371</v>
      </c>
      <c r="L55" s="68" t="s">
        <v>199</v>
      </c>
      <c r="M55" s="67" t="n">
        <v>0.291367</v>
      </c>
      <c r="N55" s="67" t="n">
        <v>0.412245</v>
      </c>
      <c r="O55" s="67" t="n">
        <v>4.03002</v>
      </c>
      <c r="P55" s="67" t="n">
        <v>0.527592</v>
      </c>
      <c r="Q55" s="67" t="n">
        <v>1.209704</v>
      </c>
      <c r="R55" s="67" t="n">
        <v>1.809585</v>
      </c>
      <c r="S55" s="68" t="s">
        <v>200</v>
      </c>
      <c r="T55" s="68" t="s">
        <v>201</v>
      </c>
      <c r="U55" s="68" t="s">
        <v>202</v>
      </c>
      <c r="V55" s="69"/>
      <c r="W55" s="68" t="s">
        <v>203</v>
      </c>
      <c r="X55" s="68" t="n">
        <v>4.05929629629924</v>
      </c>
      <c r="Y55" s="68" t="n">
        <v>121.778888888977</v>
      </c>
      <c r="Z55" s="68" t="n">
        <v>30</v>
      </c>
      <c r="AA55" s="70"/>
    </row>
    <row r="56" customFormat="false" ht="14.25" hidden="false" customHeight="false" outlineLevel="0" collapsed="false">
      <c r="A56" s="56"/>
      <c r="B56" s="56"/>
      <c r="C56" s="64" t="n">
        <v>51</v>
      </c>
      <c r="D56" s="71" t="s">
        <v>317</v>
      </c>
      <c r="E56" s="71" t="s">
        <v>318</v>
      </c>
      <c r="F56" s="71" t="s">
        <v>319</v>
      </c>
      <c r="G56" s="66" t="n">
        <v>44</v>
      </c>
      <c r="H56" s="67" t="n">
        <v>5.172</v>
      </c>
      <c r="I56" s="67" t="n">
        <v>371</v>
      </c>
      <c r="J56" s="67" t="n">
        <v>371</v>
      </c>
      <c r="K56" s="67" t="n">
        <v>371</v>
      </c>
      <c r="L56" s="68" t="s">
        <v>199</v>
      </c>
      <c r="M56" s="67" t="n">
        <v>0.291367</v>
      </c>
      <c r="N56" s="67" t="n">
        <v>0.412245</v>
      </c>
      <c r="O56" s="67" t="n">
        <v>4.03002</v>
      </c>
      <c r="P56" s="67" t="n">
        <v>0.527592</v>
      </c>
      <c r="Q56" s="67" t="n">
        <v>1.209704</v>
      </c>
      <c r="R56" s="67" t="n">
        <v>1.809585</v>
      </c>
      <c r="S56" s="68" t="s">
        <v>200</v>
      </c>
      <c r="T56" s="68" t="s">
        <v>201</v>
      </c>
      <c r="U56" s="68" t="s">
        <v>202</v>
      </c>
      <c r="V56" s="69"/>
      <c r="W56" s="68" t="s">
        <v>203</v>
      </c>
      <c r="X56" s="68" t="n">
        <v>4.05929629629924</v>
      </c>
      <c r="Y56" s="68" t="n">
        <v>121.778888888977</v>
      </c>
      <c r="Z56" s="68" t="n">
        <v>30</v>
      </c>
      <c r="AA56" s="70" t="s">
        <v>237</v>
      </c>
    </row>
    <row r="57" customFormat="false" ht="14.25" hidden="false" customHeight="false" outlineLevel="0" collapsed="false">
      <c r="A57" s="56"/>
      <c r="B57" s="56"/>
      <c r="C57" s="64" t="n">
        <v>52</v>
      </c>
      <c r="D57" s="71" t="s">
        <v>320</v>
      </c>
      <c r="E57" s="71" t="s">
        <v>319</v>
      </c>
      <c r="F57" s="71" t="s">
        <v>321</v>
      </c>
      <c r="G57" s="66" t="n">
        <v>44</v>
      </c>
      <c r="H57" s="67" t="n">
        <v>1.789</v>
      </c>
      <c r="I57" s="67" t="n">
        <v>371</v>
      </c>
      <c r="J57" s="67" t="n">
        <v>371</v>
      </c>
      <c r="K57" s="67" t="n">
        <v>371</v>
      </c>
      <c r="L57" s="68" t="s">
        <v>199</v>
      </c>
      <c r="M57" s="67" t="n">
        <v>0.277924</v>
      </c>
      <c r="N57" s="67" t="n">
        <v>0.291019</v>
      </c>
      <c r="O57" s="67" t="n">
        <v>5.855192</v>
      </c>
      <c r="P57" s="67" t="n">
        <v>0.805696</v>
      </c>
      <c r="Q57" s="67" t="n">
        <v>1.188238</v>
      </c>
      <c r="R57" s="67" t="n">
        <v>2.73325</v>
      </c>
      <c r="S57" s="68" t="s">
        <v>200</v>
      </c>
      <c r="T57" s="68" t="s">
        <v>201</v>
      </c>
      <c r="U57" s="68" t="s">
        <v>202</v>
      </c>
      <c r="V57" s="69"/>
      <c r="W57" s="68" t="s">
        <v>207</v>
      </c>
      <c r="X57" s="68" t="n">
        <v>4.05929629629924</v>
      </c>
      <c r="Y57" s="68" t="n">
        <v>121.778888888977</v>
      </c>
      <c r="Z57" s="68" t="n">
        <v>30</v>
      </c>
      <c r="AA57" s="70"/>
    </row>
    <row r="58" customFormat="false" ht="14.25" hidden="false" customHeight="false" outlineLevel="0" collapsed="false">
      <c r="A58" s="56"/>
      <c r="B58" s="56"/>
      <c r="C58" s="64" t="n">
        <v>53</v>
      </c>
      <c r="D58" s="71" t="s">
        <v>322</v>
      </c>
      <c r="E58" s="71" t="s">
        <v>321</v>
      </c>
      <c r="F58" s="71" t="s">
        <v>323</v>
      </c>
      <c r="G58" s="66" t="n">
        <v>44</v>
      </c>
      <c r="H58" s="67" t="n">
        <v>0.4275</v>
      </c>
      <c r="I58" s="67" t="n">
        <v>371</v>
      </c>
      <c r="J58" s="67" t="n">
        <v>371</v>
      </c>
      <c r="K58" s="67" t="n">
        <v>371</v>
      </c>
      <c r="L58" s="68" t="s">
        <v>199</v>
      </c>
      <c r="M58" s="67" t="n">
        <v>0.277924</v>
      </c>
      <c r="N58" s="67" t="n">
        <v>0.291019</v>
      </c>
      <c r="O58" s="67" t="n">
        <v>5.855192</v>
      </c>
      <c r="P58" s="67" t="n">
        <v>0.805696</v>
      </c>
      <c r="Q58" s="67" t="n">
        <v>1.188238</v>
      </c>
      <c r="R58" s="67" t="n">
        <v>2.73325</v>
      </c>
      <c r="S58" s="68" t="s">
        <v>200</v>
      </c>
      <c r="T58" s="68" t="s">
        <v>201</v>
      </c>
      <c r="U58" s="68" t="s">
        <v>202</v>
      </c>
      <c r="V58" s="69"/>
      <c r="W58" s="68" t="s">
        <v>207</v>
      </c>
      <c r="X58" s="68" t="n">
        <v>4.05929629629924</v>
      </c>
      <c r="Y58" s="68" t="n">
        <v>121.778888888977</v>
      </c>
      <c r="Z58" s="68" t="n">
        <v>30</v>
      </c>
      <c r="AA58" s="70"/>
    </row>
    <row r="59" customFormat="false" ht="14.25" hidden="false" customHeight="false" outlineLevel="0" collapsed="false">
      <c r="A59" s="56"/>
      <c r="B59" s="56"/>
      <c r="C59" s="64" t="n">
        <v>54</v>
      </c>
      <c r="D59" s="71" t="s">
        <v>324</v>
      </c>
      <c r="E59" s="71" t="s">
        <v>323</v>
      </c>
      <c r="F59" s="71" t="s">
        <v>315</v>
      </c>
      <c r="G59" s="66" t="n">
        <v>44</v>
      </c>
      <c r="H59" s="67" t="n">
        <v>0.4275</v>
      </c>
      <c r="I59" s="67" t="n">
        <v>371</v>
      </c>
      <c r="J59" s="67" t="n">
        <v>371</v>
      </c>
      <c r="K59" s="67" t="n">
        <v>371</v>
      </c>
      <c r="L59" s="68" t="s">
        <v>199</v>
      </c>
      <c r="M59" s="67" t="n">
        <v>0.277924</v>
      </c>
      <c r="N59" s="67" t="n">
        <v>0.291019</v>
      </c>
      <c r="O59" s="67" t="n">
        <v>5.855192</v>
      </c>
      <c r="P59" s="67" t="n">
        <v>0.805696</v>
      </c>
      <c r="Q59" s="67" t="n">
        <v>1.188238</v>
      </c>
      <c r="R59" s="67" t="n">
        <v>2.73325</v>
      </c>
      <c r="S59" s="68" t="s">
        <v>200</v>
      </c>
      <c r="T59" s="68" t="s">
        <v>201</v>
      </c>
      <c r="U59" s="68" t="s">
        <v>202</v>
      </c>
      <c r="V59" s="69"/>
      <c r="W59" s="68" t="s">
        <v>207</v>
      </c>
      <c r="X59" s="68" t="n">
        <v>4.05929629629924</v>
      </c>
      <c r="Y59" s="68" t="n">
        <v>121.778888888977</v>
      </c>
      <c r="Z59" s="68" t="n">
        <v>30</v>
      </c>
      <c r="AA59" s="70"/>
    </row>
    <row r="60" customFormat="false" ht="14.25" hidden="false" customHeight="false" outlineLevel="0" collapsed="false">
      <c r="A60" s="56"/>
      <c r="B60" s="56"/>
      <c r="C60" s="64" t="n">
        <v>55</v>
      </c>
      <c r="D60" s="71" t="s">
        <v>325</v>
      </c>
      <c r="E60" s="71" t="s">
        <v>315</v>
      </c>
      <c r="F60" s="71" t="s">
        <v>326</v>
      </c>
      <c r="G60" s="66" t="n">
        <v>44</v>
      </c>
      <c r="H60" s="67" t="n">
        <v>2.816</v>
      </c>
      <c r="I60" s="67" t="n">
        <v>371</v>
      </c>
      <c r="J60" s="67" t="n">
        <v>371</v>
      </c>
      <c r="K60" s="67" t="n">
        <v>371</v>
      </c>
      <c r="L60" s="68" t="s">
        <v>199</v>
      </c>
      <c r="M60" s="67" t="n">
        <v>0.291367</v>
      </c>
      <c r="N60" s="67" t="n">
        <v>0.412245</v>
      </c>
      <c r="O60" s="67" t="n">
        <v>4.03002</v>
      </c>
      <c r="P60" s="67" t="n">
        <v>0.527592</v>
      </c>
      <c r="Q60" s="67" t="n">
        <v>1.209704</v>
      </c>
      <c r="R60" s="67" t="n">
        <v>1.809585</v>
      </c>
      <c r="S60" s="68" t="s">
        <v>200</v>
      </c>
      <c r="T60" s="68" t="s">
        <v>201</v>
      </c>
      <c r="U60" s="68" t="s">
        <v>202</v>
      </c>
      <c r="V60" s="69"/>
      <c r="W60" s="68" t="s">
        <v>203</v>
      </c>
      <c r="X60" s="68" t="n">
        <v>4.05929629629924</v>
      </c>
      <c r="Y60" s="68" t="n">
        <v>121.778888888977</v>
      </c>
      <c r="Z60" s="68" t="n">
        <v>30</v>
      </c>
      <c r="AA60" s="70"/>
    </row>
    <row r="61" customFormat="false" ht="14.25" hidden="false" customHeight="false" outlineLevel="0" collapsed="false">
      <c r="A61" s="56"/>
      <c r="B61" s="56"/>
      <c r="C61" s="64" t="n">
        <v>56</v>
      </c>
      <c r="D61" s="71" t="s">
        <v>327</v>
      </c>
      <c r="E61" s="71" t="s">
        <v>316</v>
      </c>
      <c r="F61" s="71" t="s">
        <v>328</v>
      </c>
      <c r="G61" s="66" t="n">
        <v>44</v>
      </c>
      <c r="H61" s="67" t="n">
        <v>0.662</v>
      </c>
      <c r="I61" s="67" t="n">
        <v>371</v>
      </c>
      <c r="J61" s="67" t="n">
        <v>371</v>
      </c>
      <c r="K61" s="67" t="n">
        <v>371</v>
      </c>
      <c r="L61" s="68" t="s">
        <v>199</v>
      </c>
      <c r="M61" s="67" t="n">
        <v>0.104319</v>
      </c>
      <c r="N61" s="67" t="n">
        <v>0.247544</v>
      </c>
      <c r="O61" s="67" t="n">
        <v>45.27589</v>
      </c>
      <c r="P61" s="67" t="n">
        <v>1.063424</v>
      </c>
      <c r="Q61" s="67" t="n">
        <v>0.811099</v>
      </c>
      <c r="R61" s="67" t="n">
        <v>45.27589</v>
      </c>
      <c r="S61" s="68" t="s">
        <v>200</v>
      </c>
      <c r="T61" s="68" t="s">
        <v>201</v>
      </c>
      <c r="U61" s="68" t="s">
        <v>202</v>
      </c>
      <c r="V61" s="69"/>
      <c r="W61" s="68" t="s">
        <v>211</v>
      </c>
      <c r="X61" s="68" t="n">
        <v>4.01780701753543</v>
      </c>
      <c r="Y61" s="68" t="n">
        <v>25.4461111110577</v>
      </c>
      <c r="Z61" s="68" t="n">
        <v>6.33333333333333</v>
      </c>
      <c r="AA61" s="70"/>
    </row>
    <row r="62" customFormat="false" ht="14.25" hidden="false" customHeight="false" outlineLevel="0" collapsed="false">
      <c r="A62" s="56"/>
      <c r="B62" s="56"/>
      <c r="C62" s="64" t="n">
        <v>57</v>
      </c>
      <c r="D62" s="71" t="s">
        <v>329</v>
      </c>
      <c r="E62" s="71" t="s">
        <v>330</v>
      </c>
      <c r="F62" s="71" t="s">
        <v>331</v>
      </c>
      <c r="G62" s="66" t="n">
        <v>44</v>
      </c>
      <c r="H62" s="67" t="n">
        <v>2.9687</v>
      </c>
      <c r="I62" s="67" t="n">
        <v>371</v>
      </c>
      <c r="J62" s="67" t="n">
        <v>371</v>
      </c>
      <c r="K62" s="67" t="n">
        <v>371</v>
      </c>
      <c r="L62" s="68" t="s">
        <v>199</v>
      </c>
      <c r="M62" s="67" t="n">
        <v>0.277924</v>
      </c>
      <c r="N62" s="67" t="n">
        <v>0.291019</v>
      </c>
      <c r="O62" s="67" t="n">
        <v>5.855192</v>
      </c>
      <c r="P62" s="67" t="n">
        <v>0.805696</v>
      </c>
      <c r="Q62" s="67" t="n">
        <v>1.188238</v>
      </c>
      <c r="R62" s="67" t="n">
        <v>2.73325</v>
      </c>
      <c r="S62" s="68" t="s">
        <v>200</v>
      </c>
      <c r="T62" s="68" t="s">
        <v>201</v>
      </c>
      <c r="U62" s="68" t="s">
        <v>202</v>
      </c>
      <c r="V62" s="69"/>
      <c r="W62" s="68" t="s">
        <v>207</v>
      </c>
      <c r="X62" s="68" t="n">
        <v>4.23773692811065</v>
      </c>
      <c r="Y62" s="68" t="n">
        <v>24.013842592627</v>
      </c>
      <c r="Z62" s="68" t="n">
        <v>5.66666666666667</v>
      </c>
      <c r="AA62" s="70"/>
    </row>
    <row r="63" customFormat="false" ht="14.25" hidden="false" customHeight="false" outlineLevel="0" collapsed="false">
      <c r="A63" s="56"/>
      <c r="B63" s="56"/>
      <c r="C63" s="64" t="n">
        <v>58</v>
      </c>
      <c r="D63" s="71" t="s">
        <v>332</v>
      </c>
      <c r="E63" s="71" t="s">
        <v>316</v>
      </c>
      <c r="F63" s="71" t="s">
        <v>333</v>
      </c>
      <c r="G63" s="66" t="n">
        <v>44</v>
      </c>
      <c r="H63" s="67" t="n">
        <v>0.923</v>
      </c>
      <c r="I63" s="67" t="n">
        <v>371</v>
      </c>
      <c r="J63" s="67" t="n">
        <v>371</v>
      </c>
      <c r="K63" s="67" t="n">
        <v>371</v>
      </c>
      <c r="L63" s="68" t="s">
        <v>199</v>
      </c>
      <c r="M63" s="67" t="n">
        <v>0.277924</v>
      </c>
      <c r="N63" s="67" t="n">
        <v>0.291019</v>
      </c>
      <c r="O63" s="67" t="n">
        <v>5.855192</v>
      </c>
      <c r="P63" s="67" t="n">
        <v>0.805696</v>
      </c>
      <c r="Q63" s="67" t="n">
        <v>1.188238</v>
      </c>
      <c r="R63" s="67" t="n">
        <v>2.73325</v>
      </c>
      <c r="S63" s="68" t="s">
        <v>200</v>
      </c>
      <c r="T63" s="68" t="s">
        <v>201</v>
      </c>
      <c r="U63" s="68" t="s">
        <v>202</v>
      </c>
      <c r="V63" s="69"/>
      <c r="W63" s="68" t="s">
        <v>207</v>
      </c>
      <c r="X63" s="68" t="n">
        <v>8.90410150891101</v>
      </c>
      <c r="Y63" s="68" t="n">
        <v>120.205370370299</v>
      </c>
      <c r="Z63" s="68" t="n">
        <v>13.5</v>
      </c>
      <c r="AA63" s="70"/>
    </row>
    <row r="64" customFormat="false" ht="14.25" hidden="false" customHeight="false" outlineLevel="0" collapsed="false">
      <c r="A64" s="56"/>
      <c r="B64" s="56"/>
      <c r="C64" s="64" t="n">
        <v>59</v>
      </c>
      <c r="D64" s="71" t="s">
        <v>334</v>
      </c>
      <c r="E64" s="71" t="s">
        <v>333</v>
      </c>
      <c r="F64" s="71" t="s">
        <v>335</v>
      </c>
      <c r="G64" s="66" t="n">
        <v>44</v>
      </c>
      <c r="H64" s="67" t="n">
        <v>12.278</v>
      </c>
      <c r="I64" s="67" t="n">
        <v>371</v>
      </c>
      <c r="J64" s="67" t="n">
        <v>371</v>
      </c>
      <c r="K64" s="67" t="n">
        <v>371</v>
      </c>
      <c r="L64" s="68" t="s">
        <v>199</v>
      </c>
      <c r="M64" s="67" t="n">
        <v>0.277924</v>
      </c>
      <c r="N64" s="67" t="n">
        <v>0.291019</v>
      </c>
      <c r="O64" s="67" t="n">
        <v>5.855192</v>
      </c>
      <c r="P64" s="67" t="n">
        <v>0.805696</v>
      </c>
      <c r="Q64" s="67" t="n">
        <v>1.188238</v>
      </c>
      <c r="R64" s="67" t="n">
        <v>2.73325</v>
      </c>
      <c r="S64" s="68" t="s">
        <v>200</v>
      </c>
      <c r="T64" s="68" t="s">
        <v>201</v>
      </c>
      <c r="U64" s="68" t="s">
        <v>202</v>
      </c>
      <c r="V64" s="69"/>
      <c r="W64" s="68" t="s">
        <v>207</v>
      </c>
      <c r="X64" s="68" t="n">
        <v>8.90410150891101</v>
      </c>
      <c r="Y64" s="68" t="n">
        <v>120.205370370299</v>
      </c>
      <c r="Z64" s="68" t="n">
        <v>13.5</v>
      </c>
      <c r="AA64" s="70"/>
    </row>
    <row r="65" customFormat="false" ht="14.25" hidden="false" customHeight="false" outlineLevel="0" collapsed="false">
      <c r="A65" s="56"/>
      <c r="B65" s="56"/>
      <c r="C65" s="64" t="n">
        <v>60</v>
      </c>
      <c r="D65" s="71" t="s">
        <v>336</v>
      </c>
      <c r="E65" s="71" t="s">
        <v>337</v>
      </c>
      <c r="F65" s="71" t="s">
        <v>338</v>
      </c>
      <c r="G65" s="66" t="n">
        <v>44</v>
      </c>
      <c r="H65" s="67" t="n">
        <v>0.5185</v>
      </c>
      <c r="I65" s="67" t="n">
        <v>371</v>
      </c>
      <c r="J65" s="67" t="n">
        <v>371</v>
      </c>
      <c r="K65" s="67" t="n">
        <v>371</v>
      </c>
      <c r="L65" s="68" t="s">
        <v>199</v>
      </c>
      <c r="M65" s="67" t="n">
        <v>0.291367</v>
      </c>
      <c r="N65" s="67" t="n">
        <v>0.412245</v>
      </c>
      <c r="O65" s="67" t="n">
        <v>4.03002</v>
      </c>
      <c r="P65" s="67" t="n">
        <v>0.527592</v>
      </c>
      <c r="Q65" s="67" t="n">
        <v>1.209704</v>
      </c>
      <c r="R65" s="67" t="n">
        <v>1.809585</v>
      </c>
      <c r="S65" s="68" t="s">
        <v>200</v>
      </c>
      <c r="T65" s="68" t="s">
        <v>201</v>
      </c>
      <c r="U65" s="68" t="s">
        <v>202</v>
      </c>
      <c r="V65" s="69"/>
      <c r="W65" s="68" t="s">
        <v>203</v>
      </c>
      <c r="X65" s="68" t="n">
        <v>6.88851709401396</v>
      </c>
      <c r="Y65" s="68" t="n">
        <v>74.6256018518179</v>
      </c>
      <c r="Z65" s="68" t="n">
        <v>10.8333333333333</v>
      </c>
      <c r="AA65" s="70"/>
    </row>
    <row r="66" customFormat="false" ht="14.25" hidden="false" customHeight="false" outlineLevel="0" collapsed="false">
      <c r="A66" s="56"/>
      <c r="B66" s="56"/>
      <c r="C66" s="64" t="n">
        <v>61</v>
      </c>
      <c r="D66" s="71" t="s">
        <v>339</v>
      </c>
      <c r="E66" s="71" t="s">
        <v>340</v>
      </c>
      <c r="F66" s="71" t="s">
        <v>338</v>
      </c>
      <c r="G66" s="66" t="n">
        <v>44</v>
      </c>
      <c r="H66" s="67" t="n">
        <v>2.35</v>
      </c>
      <c r="I66" s="67" t="n">
        <v>371</v>
      </c>
      <c r="J66" s="67" t="n">
        <v>371</v>
      </c>
      <c r="K66" s="67" t="n">
        <v>371</v>
      </c>
      <c r="L66" s="68" t="s">
        <v>199</v>
      </c>
      <c r="M66" s="67" t="n">
        <v>0.291367</v>
      </c>
      <c r="N66" s="67" t="n">
        <v>0.412245</v>
      </c>
      <c r="O66" s="67" t="n">
        <v>4.03002</v>
      </c>
      <c r="P66" s="67" t="n">
        <v>0.527592</v>
      </c>
      <c r="Q66" s="67" t="n">
        <v>1.209704</v>
      </c>
      <c r="R66" s="67" t="n">
        <v>1.809585</v>
      </c>
      <c r="S66" s="68" t="s">
        <v>200</v>
      </c>
      <c r="T66" s="68" t="s">
        <v>201</v>
      </c>
      <c r="U66" s="68" t="s">
        <v>202</v>
      </c>
      <c r="V66" s="69"/>
      <c r="W66" s="68" t="s">
        <v>203</v>
      </c>
      <c r="X66" s="68" t="n">
        <v>6.88851709401396</v>
      </c>
      <c r="Y66" s="68" t="n">
        <v>74.6256018518179</v>
      </c>
      <c r="Z66" s="68" t="n">
        <v>10.8333333333333</v>
      </c>
      <c r="AA66" s="70" t="s">
        <v>237</v>
      </c>
    </row>
    <row r="67" customFormat="false" ht="14.25" hidden="false" customHeight="false" outlineLevel="0" collapsed="false">
      <c r="C67" s="64" t="n">
        <v>62</v>
      </c>
      <c r="D67" s="71" t="s">
        <v>341</v>
      </c>
      <c r="E67" s="71" t="s">
        <v>342</v>
      </c>
      <c r="F67" s="71" t="s">
        <v>343</v>
      </c>
      <c r="G67" s="66" t="n">
        <v>44</v>
      </c>
      <c r="H67" s="67" t="n">
        <v>0.08</v>
      </c>
      <c r="I67" s="67" t="n">
        <v>371</v>
      </c>
      <c r="J67" s="67" t="n">
        <v>371</v>
      </c>
      <c r="K67" s="67" t="n">
        <v>371</v>
      </c>
      <c r="L67" s="68" t="s">
        <v>199</v>
      </c>
      <c r="M67" s="67" t="n">
        <v>0.104319</v>
      </c>
      <c r="N67" s="67" t="n">
        <v>0.247544</v>
      </c>
      <c r="O67" s="67" t="n">
        <v>45.27589</v>
      </c>
      <c r="P67" s="67" t="n">
        <v>1.063424</v>
      </c>
      <c r="Q67" s="67" t="n">
        <v>0.811099</v>
      </c>
      <c r="R67" s="67" t="n">
        <v>45.27589</v>
      </c>
      <c r="S67" s="68" t="s">
        <v>200</v>
      </c>
      <c r="T67" s="68" t="s">
        <v>201</v>
      </c>
      <c r="U67" s="68" t="s">
        <v>202</v>
      </c>
      <c r="V67" s="69"/>
      <c r="W67" s="68" t="s">
        <v>211</v>
      </c>
      <c r="X67" s="68" t="n">
        <v>7.52868128654755</v>
      </c>
      <c r="Y67" s="68" t="n">
        <v>357.612361111009</v>
      </c>
      <c r="Z67" s="68" t="n">
        <v>47.5</v>
      </c>
      <c r="AA67" s="70"/>
    </row>
    <row r="68" customFormat="false" ht="14.25" hidden="false" customHeight="false" outlineLevel="0" collapsed="false">
      <c r="C68" s="64" t="n">
        <v>63</v>
      </c>
      <c r="D68" s="71" t="s">
        <v>344</v>
      </c>
      <c r="E68" s="71" t="s">
        <v>345</v>
      </c>
      <c r="F68" s="71" t="s">
        <v>346</v>
      </c>
      <c r="G68" s="66" t="n">
        <v>44</v>
      </c>
      <c r="H68" s="67" t="n">
        <v>0.02</v>
      </c>
      <c r="I68" s="67" t="n">
        <v>371</v>
      </c>
      <c r="J68" s="67" t="n">
        <v>371</v>
      </c>
      <c r="K68" s="67" t="n">
        <v>371</v>
      </c>
      <c r="L68" s="68" t="s">
        <v>199</v>
      </c>
      <c r="M68" s="67" t="n">
        <v>0.104319</v>
      </c>
      <c r="N68" s="67" t="n">
        <v>0.247544</v>
      </c>
      <c r="O68" s="67" t="n">
        <v>45.27589</v>
      </c>
      <c r="P68" s="67" t="n">
        <v>1.063424</v>
      </c>
      <c r="Q68" s="67" t="n">
        <v>0.811099</v>
      </c>
      <c r="R68" s="67" t="n">
        <v>45.27589</v>
      </c>
      <c r="S68" s="68" t="s">
        <v>200</v>
      </c>
      <c r="T68" s="68" t="s">
        <v>201</v>
      </c>
      <c r="U68" s="68" t="s">
        <v>202</v>
      </c>
      <c r="V68" s="69"/>
      <c r="W68" s="68" t="s">
        <v>211</v>
      </c>
      <c r="X68" s="68" t="n">
        <v>24.4651566951563</v>
      </c>
      <c r="Y68" s="68" t="n">
        <v>318.047037037031</v>
      </c>
      <c r="Z68" s="68" t="n">
        <v>13</v>
      </c>
      <c r="AA68" s="70"/>
    </row>
    <row r="69" customFormat="false" ht="14.25" hidden="false" customHeight="false" outlineLevel="0" collapsed="false">
      <c r="C69" s="64" t="n">
        <v>64</v>
      </c>
      <c r="D69" s="71" t="s">
        <v>347</v>
      </c>
      <c r="E69" s="71" t="s">
        <v>348</v>
      </c>
      <c r="F69" s="71" t="s">
        <v>349</v>
      </c>
      <c r="G69" s="66" t="n">
        <v>44</v>
      </c>
      <c r="H69" s="67" t="n">
        <v>0.9004</v>
      </c>
      <c r="I69" s="67" t="n">
        <v>371</v>
      </c>
      <c r="J69" s="67" t="n">
        <v>371</v>
      </c>
      <c r="K69" s="67" t="n">
        <v>371</v>
      </c>
      <c r="L69" s="68" t="s">
        <v>199</v>
      </c>
      <c r="M69" s="67" t="n">
        <v>0.277924</v>
      </c>
      <c r="N69" s="67" t="n">
        <v>0.291019</v>
      </c>
      <c r="O69" s="67" t="n">
        <v>5.855192</v>
      </c>
      <c r="P69" s="67" t="n">
        <v>0.805696</v>
      </c>
      <c r="Q69" s="67" t="n">
        <v>1.188238</v>
      </c>
      <c r="R69" s="67" t="n">
        <v>2.73325</v>
      </c>
      <c r="S69" s="68" t="s">
        <v>200</v>
      </c>
      <c r="T69" s="68" t="s">
        <v>201</v>
      </c>
      <c r="U69" s="68" t="s">
        <v>202</v>
      </c>
      <c r="V69" s="69"/>
      <c r="W69" s="68" t="s">
        <v>207</v>
      </c>
      <c r="X69" s="68" t="n">
        <v>24.4651566951563</v>
      </c>
      <c r="Y69" s="68" t="n">
        <v>318.047037037031</v>
      </c>
      <c r="Z69" s="68" t="n">
        <v>13</v>
      </c>
      <c r="AA69" s="70"/>
    </row>
    <row r="70" customFormat="false" ht="14.25" hidden="false" customHeight="false" outlineLevel="0" collapsed="false">
      <c r="C70" s="64" t="n">
        <v>65</v>
      </c>
      <c r="D70" s="71" t="s">
        <v>350</v>
      </c>
      <c r="E70" s="71" t="s">
        <v>345</v>
      </c>
      <c r="F70" s="71" t="s">
        <v>351</v>
      </c>
      <c r="G70" s="66" t="n">
        <v>44</v>
      </c>
      <c r="H70" s="67" t="n">
        <v>0.448</v>
      </c>
      <c r="I70" s="67" t="n">
        <v>371</v>
      </c>
      <c r="J70" s="67" t="n">
        <v>371</v>
      </c>
      <c r="K70" s="67" t="n">
        <v>371</v>
      </c>
      <c r="L70" s="68" t="s">
        <v>199</v>
      </c>
      <c r="M70" s="67" t="n">
        <v>0.291367</v>
      </c>
      <c r="N70" s="67" t="n">
        <v>0.412245</v>
      </c>
      <c r="O70" s="67" t="n">
        <v>4.03002</v>
      </c>
      <c r="P70" s="67" t="n">
        <v>0.527592</v>
      </c>
      <c r="Q70" s="67" t="n">
        <v>1.209704</v>
      </c>
      <c r="R70" s="67" t="n">
        <v>1.809585</v>
      </c>
      <c r="S70" s="68" t="s">
        <v>200</v>
      </c>
      <c r="T70" s="68" t="s">
        <v>201</v>
      </c>
      <c r="U70" s="68" t="s">
        <v>202</v>
      </c>
      <c r="V70" s="69"/>
      <c r="W70" s="68" t="s">
        <v>203</v>
      </c>
      <c r="X70" s="68" t="n">
        <v>24.4651566951563</v>
      </c>
      <c r="Y70" s="68" t="n">
        <v>318.047037037031</v>
      </c>
      <c r="Z70" s="68" t="n">
        <v>13</v>
      </c>
      <c r="AA70" s="70"/>
    </row>
    <row r="71" customFormat="false" ht="14.25" hidden="false" customHeight="false" outlineLevel="0" collapsed="false">
      <c r="C71" s="64" t="n">
        <v>66</v>
      </c>
      <c r="D71" s="71" t="s">
        <v>352</v>
      </c>
      <c r="E71" s="71" t="s">
        <v>351</v>
      </c>
      <c r="F71" s="71" t="s">
        <v>353</v>
      </c>
      <c r="G71" s="66" t="n">
        <v>44</v>
      </c>
      <c r="H71" s="67" t="n">
        <v>0.311</v>
      </c>
      <c r="I71" s="67" t="n">
        <v>371</v>
      </c>
      <c r="J71" s="67" t="n">
        <v>371</v>
      </c>
      <c r="K71" s="67" t="n">
        <v>371</v>
      </c>
      <c r="L71" s="68" t="s">
        <v>199</v>
      </c>
      <c r="M71" s="67" t="n">
        <v>0.291367</v>
      </c>
      <c r="N71" s="67" t="n">
        <v>0.412245</v>
      </c>
      <c r="O71" s="67" t="n">
        <v>4.03002</v>
      </c>
      <c r="P71" s="67" t="n">
        <v>0.527592</v>
      </c>
      <c r="Q71" s="67" t="n">
        <v>1.209704</v>
      </c>
      <c r="R71" s="67" t="n">
        <v>1.809585</v>
      </c>
      <c r="S71" s="68" t="s">
        <v>200</v>
      </c>
      <c r="T71" s="68" t="s">
        <v>201</v>
      </c>
      <c r="U71" s="68" t="s">
        <v>202</v>
      </c>
      <c r="V71" s="69"/>
      <c r="W71" s="68" t="s">
        <v>203</v>
      </c>
      <c r="X71" s="68" t="n">
        <v>24.4651566951563</v>
      </c>
      <c r="Y71" s="68" t="n">
        <v>318.047037037031</v>
      </c>
      <c r="Z71" s="68" t="n">
        <v>13</v>
      </c>
      <c r="AA71" s="70"/>
    </row>
    <row r="72" customFormat="false" ht="14.25" hidden="false" customHeight="false" outlineLevel="0" collapsed="false">
      <c r="C72" s="64" t="n">
        <v>67</v>
      </c>
      <c r="D72" s="71" t="s">
        <v>354</v>
      </c>
      <c r="E72" s="71" t="s">
        <v>355</v>
      </c>
      <c r="F72" s="71" t="s">
        <v>348</v>
      </c>
      <c r="G72" s="66" t="n">
        <v>44</v>
      </c>
      <c r="H72" s="67" t="n">
        <v>0.333</v>
      </c>
      <c r="I72" s="67" t="n">
        <v>371</v>
      </c>
      <c r="J72" s="67" t="n">
        <v>371</v>
      </c>
      <c r="K72" s="67" t="n">
        <v>371</v>
      </c>
      <c r="L72" s="68" t="s">
        <v>199</v>
      </c>
      <c r="M72" s="67" t="n">
        <v>0.291367</v>
      </c>
      <c r="N72" s="67" t="n">
        <v>0.412245</v>
      </c>
      <c r="O72" s="67" t="n">
        <v>4.03002</v>
      </c>
      <c r="P72" s="67" t="n">
        <v>0.527592</v>
      </c>
      <c r="Q72" s="67" t="n">
        <v>1.209704</v>
      </c>
      <c r="R72" s="67" t="n">
        <v>1.809585</v>
      </c>
      <c r="S72" s="68" t="s">
        <v>200</v>
      </c>
      <c r="T72" s="68" t="s">
        <v>201</v>
      </c>
      <c r="U72" s="68" t="s">
        <v>202</v>
      </c>
      <c r="V72" s="69"/>
      <c r="W72" s="68" t="s">
        <v>203</v>
      </c>
      <c r="X72" s="68" t="n">
        <v>24.4651566951563</v>
      </c>
      <c r="Y72" s="68" t="n">
        <v>318.047037037031</v>
      </c>
      <c r="Z72" s="68" t="n">
        <v>13</v>
      </c>
      <c r="AA72" s="70"/>
    </row>
    <row r="73" customFormat="false" ht="14.25" hidden="false" customHeight="false" outlineLevel="0" collapsed="false">
      <c r="C73" s="64" t="n">
        <v>68</v>
      </c>
      <c r="D73" s="71" t="s">
        <v>356</v>
      </c>
      <c r="E73" s="71" t="s">
        <v>353</v>
      </c>
      <c r="F73" s="71" t="s">
        <v>357</v>
      </c>
      <c r="G73" s="66" t="n">
        <v>44</v>
      </c>
      <c r="H73" s="67" t="n">
        <v>0.686</v>
      </c>
      <c r="I73" s="67" t="n">
        <v>371</v>
      </c>
      <c r="J73" s="67" t="n">
        <v>371</v>
      </c>
      <c r="K73" s="67" t="n">
        <v>371</v>
      </c>
      <c r="L73" s="68" t="s">
        <v>199</v>
      </c>
      <c r="M73" s="67" t="n">
        <v>0.291367</v>
      </c>
      <c r="N73" s="67" t="n">
        <v>0.412245</v>
      </c>
      <c r="O73" s="67" t="n">
        <v>4.03002</v>
      </c>
      <c r="P73" s="67" t="n">
        <v>0.527592</v>
      </c>
      <c r="Q73" s="67" t="n">
        <v>1.209704</v>
      </c>
      <c r="R73" s="67" t="n">
        <v>1.809585</v>
      </c>
      <c r="S73" s="68" t="s">
        <v>200</v>
      </c>
      <c r="T73" s="68" t="s">
        <v>201</v>
      </c>
      <c r="U73" s="68" t="s">
        <v>202</v>
      </c>
      <c r="V73" s="69"/>
      <c r="W73" s="68" t="s">
        <v>203</v>
      </c>
      <c r="X73" s="68" t="n">
        <v>24.4651566951563</v>
      </c>
      <c r="Y73" s="68" t="n">
        <v>318.047037037031</v>
      </c>
      <c r="Z73" s="68" t="n">
        <v>13</v>
      </c>
      <c r="AA73" s="70"/>
    </row>
    <row r="74" customFormat="false" ht="14.25" hidden="false" customHeight="false" outlineLevel="0" collapsed="false">
      <c r="C74" s="64" t="n">
        <v>69</v>
      </c>
      <c r="D74" s="71" t="s">
        <v>358</v>
      </c>
      <c r="E74" s="71" t="s">
        <v>357</v>
      </c>
      <c r="F74" s="71" t="s">
        <v>355</v>
      </c>
      <c r="G74" s="66" t="n">
        <v>44</v>
      </c>
      <c r="H74" s="67" t="n">
        <v>0.347</v>
      </c>
      <c r="I74" s="67" t="n">
        <v>371</v>
      </c>
      <c r="J74" s="67" t="n">
        <v>371</v>
      </c>
      <c r="K74" s="67" t="n">
        <v>371</v>
      </c>
      <c r="L74" s="68" t="s">
        <v>199</v>
      </c>
      <c r="M74" s="67" t="n">
        <v>0.291367</v>
      </c>
      <c r="N74" s="67" t="n">
        <v>0.412245</v>
      </c>
      <c r="O74" s="67" t="n">
        <v>4.03002</v>
      </c>
      <c r="P74" s="67" t="n">
        <v>0.527592</v>
      </c>
      <c r="Q74" s="67" t="n">
        <v>1.209704</v>
      </c>
      <c r="R74" s="67" t="n">
        <v>1.809585</v>
      </c>
      <c r="S74" s="68" t="s">
        <v>200</v>
      </c>
      <c r="T74" s="68" t="s">
        <v>201</v>
      </c>
      <c r="U74" s="68" t="s">
        <v>202</v>
      </c>
      <c r="V74" s="69"/>
      <c r="W74" s="68" t="s">
        <v>203</v>
      </c>
      <c r="X74" s="68" t="n">
        <v>24.4651566951563</v>
      </c>
      <c r="Y74" s="68" t="n">
        <v>318.047037037031</v>
      </c>
      <c r="Z74" s="68" t="n">
        <v>13</v>
      </c>
      <c r="AA74" s="70"/>
    </row>
    <row r="75" customFormat="false" ht="14.25" hidden="false" customHeight="false" outlineLevel="0" collapsed="false">
      <c r="C75" s="64" t="n">
        <v>70</v>
      </c>
      <c r="D75" s="71" t="s">
        <v>359</v>
      </c>
      <c r="E75" s="71" t="s">
        <v>348</v>
      </c>
      <c r="F75" s="71" t="s">
        <v>360</v>
      </c>
      <c r="G75" s="66" t="n">
        <v>44</v>
      </c>
      <c r="H75" s="67" t="n">
        <v>0.00099999</v>
      </c>
      <c r="I75" s="67" t="n">
        <v>371</v>
      </c>
      <c r="J75" s="67" t="n">
        <v>371</v>
      </c>
      <c r="K75" s="67" t="n">
        <v>371</v>
      </c>
      <c r="L75" s="68" t="s">
        <v>199</v>
      </c>
      <c r="M75" s="67" t="n">
        <v>0.291367</v>
      </c>
      <c r="N75" s="67" t="n">
        <v>0.412245</v>
      </c>
      <c r="O75" s="67" t="n">
        <v>4.03002</v>
      </c>
      <c r="P75" s="67" t="n">
        <v>0.527592</v>
      </c>
      <c r="Q75" s="67" t="n">
        <v>1.209704</v>
      </c>
      <c r="R75" s="67" t="n">
        <v>1.809585</v>
      </c>
      <c r="S75" s="68" t="s">
        <v>200</v>
      </c>
      <c r="T75" s="68" t="s">
        <v>201</v>
      </c>
      <c r="U75" s="68" t="s">
        <v>202</v>
      </c>
      <c r="V75" s="69"/>
      <c r="W75" s="68" t="s">
        <v>203</v>
      </c>
      <c r="X75" s="68" t="n">
        <v>24.4651566951563</v>
      </c>
      <c r="Y75" s="68" t="n">
        <v>318.047037037031</v>
      </c>
      <c r="Z75" s="68" t="n">
        <v>13</v>
      </c>
      <c r="AA75" s="70" t="s">
        <v>231</v>
      </c>
    </row>
    <row r="76" customFormat="false" ht="14.25" hidden="false" customHeight="false" outlineLevel="0" collapsed="false">
      <c r="C76" s="64" t="n">
        <v>71</v>
      </c>
      <c r="D76" s="71" t="s">
        <v>361</v>
      </c>
      <c r="E76" s="71" t="s">
        <v>362</v>
      </c>
      <c r="F76" s="71" t="s">
        <v>363</v>
      </c>
      <c r="G76" s="66" t="n">
        <v>44</v>
      </c>
      <c r="H76" s="67" t="n">
        <v>0.02</v>
      </c>
      <c r="I76" s="67" t="n">
        <v>371</v>
      </c>
      <c r="J76" s="67" t="n">
        <v>371</v>
      </c>
      <c r="K76" s="67" t="n">
        <v>371</v>
      </c>
      <c r="L76" s="68" t="s">
        <v>199</v>
      </c>
      <c r="M76" s="67" t="n">
        <v>0.291367</v>
      </c>
      <c r="N76" s="67" t="n">
        <v>0.412245</v>
      </c>
      <c r="O76" s="67" t="n">
        <v>4.03002</v>
      </c>
      <c r="P76" s="67" t="n">
        <v>0.527592</v>
      </c>
      <c r="Q76" s="67" t="n">
        <v>1.209704</v>
      </c>
      <c r="R76" s="67" t="n">
        <v>1.809585</v>
      </c>
      <c r="S76" s="68" t="s">
        <v>200</v>
      </c>
      <c r="T76" s="68" t="s">
        <v>201</v>
      </c>
      <c r="U76" s="68" t="s">
        <v>202</v>
      </c>
      <c r="V76" s="69"/>
      <c r="W76" s="68" t="s">
        <v>203</v>
      </c>
      <c r="X76" s="68" t="n">
        <v>2.77234589713198</v>
      </c>
      <c r="Y76" s="68" t="n">
        <v>130.762314814725</v>
      </c>
      <c r="Z76" s="68" t="n">
        <v>47.1666666666667</v>
      </c>
      <c r="AA76" s="70"/>
    </row>
    <row r="77" customFormat="false" ht="14.25" hidden="false" customHeight="false" outlineLevel="0" collapsed="false">
      <c r="C77" s="64" t="n">
        <v>72</v>
      </c>
      <c r="D77" s="71" t="s">
        <v>364</v>
      </c>
      <c r="E77" s="71" t="s">
        <v>365</v>
      </c>
      <c r="F77" s="71" t="s">
        <v>366</v>
      </c>
      <c r="G77" s="66" t="n">
        <v>44</v>
      </c>
      <c r="H77" s="67" t="n">
        <v>0.883</v>
      </c>
      <c r="I77" s="67" t="n">
        <v>371</v>
      </c>
      <c r="J77" s="67" t="n">
        <v>371</v>
      </c>
      <c r="K77" s="67" t="n">
        <v>371</v>
      </c>
      <c r="L77" s="68" t="s">
        <v>199</v>
      </c>
      <c r="M77" s="67" t="n">
        <v>0.277924</v>
      </c>
      <c r="N77" s="67" t="n">
        <v>0.291019</v>
      </c>
      <c r="O77" s="67" t="n">
        <v>5.855192</v>
      </c>
      <c r="P77" s="67" t="n">
        <v>0.805696</v>
      </c>
      <c r="Q77" s="67" t="n">
        <v>1.188238</v>
      </c>
      <c r="R77" s="67" t="n">
        <v>2.73325</v>
      </c>
      <c r="S77" s="68" t="s">
        <v>200</v>
      </c>
      <c r="T77" s="68" t="s">
        <v>201</v>
      </c>
      <c r="U77" s="68" t="s">
        <v>202</v>
      </c>
      <c r="V77" s="69"/>
      <c r="W77" s="68" t="s">
        <v>207</v>
      </c>
      <c r="X77" s="68" t="n">
        <v>2.77234589713198</v>
      </c>
      <c r="Y77" s="68" t="n">
        <v>130.762314814725</v>
      </c>
      <c r="Z77" s="68" t="n">
        <v>47.1666666666667</v>
      </c>
      <c r="AA77" s="70"/>
    </row>
    <row r="78" customFormat="false" ht="14.25" hidden="false" customHeight="false" outlineLevel="0" collapsed="false">
      <c r="C78" s="64" t="n">
        <v>73</v>
      </c>
      <c r="D78" s="71" t="s">
        <v>367</v>
      </c>
      <c r="E78" s="71" t="s">
        <v>366</v>
      </c>
      <c r="F78" s="71" t="s">
        <v>230</v>
      </c>
      <c r="G78" s="66" t="n">
        <v>44</v>
      </c>
      <c r="H78" s="67" t="n">
        <v>3.1487</v>
      </c>
      <c r="I78" s="67" t="n">
        <v>371</v>
      </c>
      <c r="J78" s="67" t="n">
        <v>371</v>
      </c>
      <c r="K78" s="67" t="n">
        <v>371</v>
      </c>
      <c r="L78" s="68" t="s">
        <v>199</v>
      </c>
      <c r="M78" s="67" t="n">
        <v>0.291367</v>
      </c>
      <c r="N78" s="67" t="n">
        <v>0.412245</v>
      </c>
      <c r="O78" s="67" t="n">
        <v>4.03002</v>
      </c>
      <c r="P78" s="67" t="n">
        <v>0.527592</v>
      </c>
      <c r="Q78" s="67" t="n">
        <v>1.209704</v>
      </c>
      <c r="R78" s="67" t="n">
        <v>1.809585</v>
      </c>
      <c r="S78" s="68" t="s">
        <v>200</v>
      </c>
      <c r="T78" s="68" t="s">
        <v>201</v>
      </c>
      <c r="U78" s="68" t="s">
        <v>202</v>
      </c>
      <c r="V78" s="69"/>
      <c r="W78" s="68" t="s">
        <v>203</v>
      </c>
      <c r="X78" s="68" t="n">
        <v>2.77234589713198</v>
      </c>
      <c r="Y78" s="68" t="n">
        <v>130.762314814725</v>
      </c>
      <c r="Z78" s="68" t="n">
        <v>47.1666666666667</v>
      </c>
      <c r="AA78" s="70" t="s">
        <v>231</v>
      </c>
    </row>
    <row r="79" customFormat="false" ht="14.25" hidden="false" customHeight="false" outlineLevel="0" collapsed="false">
      <c r="C79" s="64" t="n">
        <v>74</v>
      </c>
      <c r="D79" s="71" t="s">
        <v>368</v>
      </c>
      <c r="E79" s="71" t="s">
        <v>363</v>
      </c>
      <c r="F79" s="71" t="s">
        <v>369</v>
      </c>
      <c r="G79" s="66" t="n">
        <v>44</v>
      </c>
      <c r="H79" s="67" t="n">
        <v>11.23</v>
      </c>
      <c r="I79" s="67" t="n">
        <v>371</v>
      </c>
      <c r="J79" s="67" t="n">
        <v>371</v>
      </c>
      <c r="K79" s="67" t="n">
        <v>371</v>
      </c>
      <c r="L79" s="68" t="s">
        <v>199</v>
      </c>
      <c r="M79" s="67" t="n">
        <v>0.291367</v>
      </c>
      <c r="N79" s="67" t="n">
        <v>0.412245</v>
      </c>
      <c r="O79" s="67" t="n">
        <v>4.03002</v>
      </c>
      <c r="P79" s="67" t="n">
        <v>0.527592</v>
      </c>
      <c r="Q79" s="67" t="n">
        <v>1.209704</v>
      </c>
      <c r="R79" s="67" t="n">
        <v>1.809585</v>
      </c>
      <c r="S79" s="68" t="s">
        <v>200</v>
      </c>
      <c r="T79" s="68" t="s">
        <v>201</v>
      </c>
      <c r="U79" s="68" t="s">
        <v>202</v>
      </c>
      <c r="V79" s="69"/>
      <c r="W79" s="68" t="s">
        <v>203</v>
      </c>
      <c r="X79" s="68" t="n">
        <v>2.77234589713198</v>
      </c>
      <c r="Y79" s="68" t="n">
        <v>130.762314814725</v>
      </c>
      <c r="Z79" s="68" t="n">
        <v>47.1666666666667</v>
      </c>
      <c r="AA79" s="70"/>
    </row>
    <row r="80" customFormat="false" ht="14.25" hidden="false" customHeight="false" outlineLevel="0" collapsed="false">
      <c r="B80" s="73"/>
      <c r="C80" s="64" t="n">
        <v>75</v>
      </c>
      <c r="D80" s="71" t="s">
        <v>370</v>
      </c>
      <c r="E80" s="71" t="s">
        <v>363</v>
      </c>
      <c r="F80" s="71" t="s">
        <v>371</v>
      </c>
      <c r="G80" s="66" t="n">
        <v>44</v>
      </c>
      <c r="H80" s="67" t="n">
        <v>2.363</v>
      </c>
      <c r="I80" s="67" t="n">
        <v>371</v>
      </c>
      <c r="J80" s="67" t="n">
        <v>371</v>
      </c>
      <c r="K80" s="67" t="n">
        <v>371</v>
      </c>
      <c r="L80" s="68" t="s">
        <v>199</v>
      </c>
      <c r="M80" s="67" t="n">
        <v>0.277924</v>
      </c>
      <c r="N80" s="67" t="n">
        <v>0.291019</v>
      </c>
      <c r="O80" s="67" t="n">
        <v>5.855192</v>
      </c>
      <c r="P80" s="67" t="n">
        <v>0.805696</v>
      </c>
      <c r="Q80" s="67" t="n">
        <v>1.188238</v>
      </c>
      <c r="R80" s="67" t="n">
        <v>2.73325</v>
      </c>
      <c r="S80" s="68" t="s">
        <v>200</v>
      </c>
      <c r="T80" s="68" t="s">
        <v>201</v>
      </c>
      <c r="U80" s="68" t="s">
        <v>202</v>
      </c>
      <c r="V80" s="69"/>
      <c r="W80" s="68" t="s">
        <v>207</v>
      </c>
      <c r="X80" s="68" t="n">
        <v>2.77234589713198</v>
      </c>
      <c r="Y80" s="68" t="n">
        <v>130.762314814725</v>
      </c>
      <c r="Z80" s="68" t="n">
        <v>47.1666666666667</v>
      </c>
      <c r="AA80" s="70" t="s">
        <v>231</v>
      </c>
    </row>
    <row r="81" customFormat="false" ht="14.25" hidden="false" customHeight="false" outlineLevel="0" collapsed="false">
      <c r="C81" s="64" t="n">
        <v>76</v>
      </c>
      <c r="D81" s="71" t="s">
        <v>372</v>
      </c>
      <c r="E81" s="71" t="s">
        <v>365</v>
      </c>
      <c r="F81" s="71" t="s">
        <v>373</v>
      </c>
      <c r="G81" s="66" t="n">
        <v>44</v>
      </c>
      <c r="H81" s="67" t="n">
        <v>0.693</v>
      </c>
      <c r="I81" s="67" t="n">
        <v>371</v>
      </c>
      <c r="J81" s="67" t="n">
        <v>371</v>
      </c>
      <c r="K81" s="67" t="n">
        <v>371</v>
      </c>
      <c r="L81" s="68" t="s">
        <v>199</v>
      </c>
      <c r="M81" s="67" t="n">
        <v>0.291367</v>
      </c>
      <c r="N81" s="67" t="n">
        <v>0.412245</v>
      </c>
      <c r="O81" s="67" t="n">
        <v>4.03002</v>
      </c>
      <c r="P81" s="67" t="n">
        <v>0.527592</v>
      </c>
      <c r="Q81" s="67" t="n">
        <v>1.209704</v>
      </c>
      <c r="R81" s="67" t="n">
        <v>1.809585</v>
      </c>
      <c r="S81" s="68" t="s">
        <v>200</v>
      </c>
      <c r="T81" s="68" t="s">
        <v>201</v>
      </c>
      <c r="U81" s="68" t="s">
        <v>202</v>
      </c>
      <c r="V81" s="69"/>
      <c r="W81" s="68" t="s">
        <v>203</v>
      </c>
      <c r="X81" s="68" t="n">
        <v>2.77234589713198</v>
      </c>
      <c r="Y81" s="68" t="n">
        <v>130.762314814725</v>
      </c>
      <c r="Z81" s="68" t="n">
        <v>47.1666666666667</v>
      </c>
      <c r="AA81" s="70"/>
    </row>
    <row r="82" customFormat="false" ht="14.25" hidden="false" customHeight="false" outlineLevel="0" collapsed="false">
      <c r="C82" s="64" t="n">
        <v>77</v>
      </c>
      <c r="D82" s="71" t="s">
        <v>374</v>
      </c>
      <c r="E82" s="71" t="s">
        <v>363</v>
      </c>
      <c r="F82" s="71" t="s">
        <v>365</v>
      </c>
      <c r="G82" s="66" t="n">
        <v>44</v>
      </c>
      <c r="H82" s="67" t="n">
        <v>0.7539</v>
      </c>
      <c r="I82" s="67" t="n">
        <v>371</v>
      </c>
      <c r="J82" s="67" t="n">
        <v>371</v>
      </c>
      <c r="K82" s="67" t="n">
        <v>371</v>
      </c>
      <c r="L82" s="68" t="s">
        <v>199</v>
      </c>
      <c r="M82" s="67" t="n">
        <v>0.277924</v>
      </c>
      <c r="N82" s="67" t="n">
        <v>0.291019</v>
      </c>
      <c r="O82" s="67" t="n">
        <v>5.855192</v>
      </c>
      <c r="P82" s="67" t="n">
        <v>0.805696</v>
      </c>
      <c r="Q82" s="67" t="n">
        <v>1.188238</v>
      </c>
      <c r="R82" s="67" t="n">
        <v>2.73325</v>
      </c>
      <c r="S82" s="68" t="s">
        <v>200</v>
      </c>
      <c r="T82" s="68" t="s">
        <v>201</v>
      </c>
      <c r="U82" s="68" t="s">
        <v>202</v>
      </c>
      <c r="V82" s="69"/>
      <c r="W82" s="68" t="s">
        <v>207</v>
      </c>
      <c r="X82" s="68" t="n">
        <v>2.77234589713198</v>
      </c>
      <c r="Y82" s="68" t="n">
        <v>130.762314814725</v>
      </c>
      <c r="Z82" s="68" t="n">
        <v>47.1666666666667</v>
      </c>
      <c r="AA82" s="70"/>
    </row>
    <row r="83" customFormat="false" ht="14.25" hidden="false" customHeight="false" outlineLevel="0" collapsed="false">
      <c r="B83" s="56"/>
      <c r="C83" s="64" t="n">
        <v>78</v>
      </c>
      <c r="D83" s="71" t="s">
        <v>375</v>
      </c>
      <c r="E83" s="71" t="s">
        <v>376</v>
      </c>
      <c r="F83" s="71" t="s">
        <v>377</v>
      </c>
      <c r="G83" s="66" t="n">
        <v>44</v>
      </c>
      <c r="H83" s="67" t="n">
        <v>0.204</v>
      </c>
      <c r="I83" s="67" t="n">
        <v>371</v>
      </c>
      <c r="J83" s="67" t="n">
        <v>371</v>
      </c>
      <c r="K83" s="67" t="n">
        <v>371</v>
      </c>
      <c r="L83" s="68" t="s">
        <v>199</v>
      </c>
      <c r="M83" s="67" t="n">
        <v>0.291367</v>
      </c>
      <c r="N83" s="67" t="n">
        <v>0.412245</v>
      </c>
      <c r="O83" s="67" t="n">
        <v>4.03002</v>
      </c>
      <c r="P83" s="67" t="n">
        <v>0.527592</v>
      </c>
      <c r="Q83" s="67" t="n">
        <v>1.209704</v>
      </c>
      <c r="R83" s="67" t="n">
        <v>1.809585</v>
      </c>
      <c r="S83" s="68" t="s">
        <v>200</v>
      </c>
      <c r="T83" s="68" t="s">
        <v>201</v>
      </c>
      <c r="U83" s="68" t="s">
        <v>202</v>
      </c>
      <c r="V83" s="69"/>
      <c r="W83" s="68" t="s">
        <v>203</v>
      </c>
      <c r="X83" s="68" t="n">
        <v>5.53026580461753</v>
      </c>
      <c r="Y83" s="68" t="n">
        <v>106.918472222605</v>
      </c>
      <c r="Z83" s="68" t="n">
        <v>19.3333333333333</v>
      </c>
      <c r="AA83" s="70" t="s">
        <v>231</v>
      </c>
    </row>
    <row r="84" customFormat="false" ht="14.25" hidden="false" customHeight="false" outlineLevel="0" collapsed="false">
      <c r="B84" s="56"/>
      <c r="C84" s="64" t="n">
        <v>79</v>
      </c>
      <c r="D84" s="71" t="s">
        <v>378</v>
      </c>
      <c r="E84" s="71" t="s">
        <v>379</v>
      </c>
      <c r="F84" s="71" t="s">
        <v>205</v>
      </c>
      <c r="G84" s="66" t="n">
        <v>44</v>
      </c>
      <c r="H84" s="67" t="n">
        <v>4.0324</v>
      </c>
      <c r="I84" s="67" t="n">
        <v>371</v>
      </c>
      <c r="J84" s="67" t="n">
        <v>371</v>
      </c>
      <c r="K84" s="67" t="n">
        <v>371</v>
      </c>
      <c r="L84" s="68" t="s">
        <v>199</v>
      </c>
      <c r="M84" s="67" t="n">
        <v>0.277924</v>
      </c>
      <c r="N84" s="67" t="n">
        <v>0.291019</v>
      </c>
      <c r="O84" s="67" t="n">
        <v>5.855192</v>
      </c>
      <c r="P84" s="67" t="n">
        <v>0.805696</v>
      </c>
      <c r="Q84" s="67" t="n">
        <v>1.188238</v>
      </c>
      <c r="R84" s="67" t="n">
        <v>2.73325</v>
      </c>
      <c r="S84" s="68" t="s">
        <v>200</v>
      </c>
      <c r="T84" s="68" t="s">
        <v>201</v>
      </c>
      <c r="U84" s="68" t="s">
        <v>202</v>
      </c>
      <c r="V84" s="69"/>
      <c r="W84" s="68" t="s">
        <v>207</v>
      </c>
      <c r="X84" s="68" t="n">
        <v>13.240934712087</v>
      </c>
      <c r="Y84" s="68" t="n">
        <v>302.334675925988</v>
      </c>
      <c r="Z84" s="68" t="n">
        <v>22.8333333333333</v>
      </c>
      <c r="AA84" s="70" t="s">
        <v>237</v>
      </c>
    </row>
    <row r="85" customFormat="false" ht="14.25" hidden="false" customHeight="false" outlineLevel="0" collapsed="false">
      <c r="A85" s="56"/>
      <c r="B85" s="56"/>
      <c r="C85" s="64" t="n">
        <v>80</v>
      </c>
      <c r="D85" s="71" t="s">
        <v>380</v>
      </c>
      <c r="E85" s="71" t="s">
        <v>381</v>
      </c>
      <c r="F85" s="71" t="s">
        <v>382</v>
      </c>
      <c r="G85" s="66" t="n">
        <v>44</v>
      </c>
      <c r="H85" s="67" t="n">
        <v>0.0001</v>
      </c>
      <c r="I85" s="67" t="n">
        <v>371</v>
      </c>
      <c r="J85" s="67" t="n">
        <v>371</v>
      </c>
      <c r="K85" s="67" t="n">
        <v>371</v>
      </c>
      <c r="L85" s="68" t="s">
        <v>199</v>
      </c>
      <c r="M85" s="67" t="n">
        <v>0.277924</v>
      </c>
      <c r="N85" s="67" t="n">
        <v>0.291019</v>
      </c>
      <c r="O85" s="67" t="n">
        <v>5.855192</v>
      </c>
      <c r="P85" s="67" t="n">
        <v>0.805696</v>
      </c>
      <c r="Q85" s="67" t="n">
        <v>1.188238</v>
      </c>
      <c r="R85" s="67" t="n">
        <v>2.73325</v>
      </c>
      <c r="S85" s="68" t="s">
        <v>200</v>
      </c>
      <c r="T85" s="68" t="s">
        <v>201</v>
      </c>
      <c r="U85" s="68" t="s">
        <v>202</v>
      </c>
      <c r="V85" s="69"/>
      <c r="W85" s="68" t="s">
        <v>207</v>
      </c>
      <c r="X85" s="68" t="n">
        <v>12.7889559387013</v>
      </c>
      <c r="Y85" s="68" t="n">
        <v>185.439861111168</v>
      </c>
      <c r="Z85" s="68" t="n">
        <v>14.5</v>
      </c>
      <c r="AA85" s="70"/>
    </row>
    <row r="86" customFormat="false" ht="14.25" hidden="false" customHeight="false" outlineLevel="0" collapsed="false">
      <c r="A86" s="56"/>
      <c r="B86" s="56"/>
      <c r="C86" s="64" t="n">
        <v>81</v>
      </c>
      <c r="D86" s="71" t="s">
        <v>383</v>
      </c>
      <c r="E86" s="71" t="s">
        <v>384</v>
      </c>
      <c r="F86" s="71" t="s">
        <v>385</v>
      </c>
      <c r="G86" s="66" t="n">
        <v>44</v>
      </c>
      <c r="H86" s="67" t="n">
        <v>2.5356</v>
      </c>
      <c r="I86" s="67" t="n">
        <v>371</v>
      </c>
      <c r="J86" s="67" t="n">
        <v>371</v>
      </c>
      <c r="K86" s="67" t="n">
        <v>371</v>
      </c>
      <c r="L86" s="68" t="s">
        <v>199</v>
      </c>
      <c r="M86" s="67" t="n">
        <v>0.291367</v>
      </c>
      <c r="N86" s="67" t="n">
        <v>0.412245</v>
      </c>
      <c r="O86" s="67" t="n">
        <v>4.03002</v>
      </c>
      <c r="P86" s="67" t="n">
        <v>0.527592</v>
      </c>
      <c r="Q86" s="67" t="n">
        <v>1.209704</v>
      </c>
      <c r="R86" s="67" t="n">
        <v>1.809585</v>
      </c>
      <c r="S86" s="68" t="s">
        <v>200</v>
      </c>
      <c r="T86" s="68" t="s">
        <v>201</v>
      </c>
      <c r="U86" s="68" t="s">
        <v>202</v>
      </c>
      <c r="V86" s="69"/>
      <c r="W86" s="68" t="s">
        <v>203</v>
      </c>
      <c r="X86" s="68" t="n">
        <v>12.7889559387013</v>
      </c>
      <c r="Y86" s="68" t="n">
        <v>185.439861111168</v>
      </c>
      <c r="Z86" s="68" t="n">
        <v>14.5</v>
      </c>
      <c r="AA86" s="70"/>
    </row>
    <row r="87" customFormat="false" ht="14.25" hidden="false" customHeight="false" outlineLevel="0" collapsed="false">
      <c r="A87" s="56"/>
      <c r="B87" s="56"/>
      <c r="C87" s="64" t="n">
        <v>82</v>
      </c>
      <c r="D87" s="71" t="s">
        <v>386</v>
      </c>
      <c r="E87" s="71" t="s">
        <v>382</v>
      </c>
      <c r="F87" s="71" t="s">
        <v>384</v>
      </c>
      <c r="G87" s="66" t="n">
        <v>44</v>
      </c>
      <c r="H87" s="67" t="n">
        <v>2.5355</v>
      </c>
      <c r="I87" s="67" t="n">
        <v>371</v>
      </c>
      <c r="J87" s="67" t="n">
        <v>371</v>
      </c>
      <c r="K87" s="67" t="n">
        <v>371</v>
      </c>
      <c r="L87" s="68" t="s">
        <v>199</v>
      </c>
      <c r="M87" s="67" t="n">
        <v>0.277924</v>
      </c>
      <c r="N87" s="67" t="n">
        <v>0.291019</v>
      </c>
      <c r="O87" s="67" t="n">
        <v>5.855192</v>
      </c>
      <c r="P87" s="67" t="n">
        <v>0.805696</v>
      </c>
      <c r="Q87" s="67" t="n">
        <v>1.188238</v>
      </c>
      <c r="R87" s="67" t="n">
        <v>2.73325</v>
      </c>
      <c r="S87" s="68" t="s">
        <v>200</v>
      </c>
      <c r="T87" s="68" t="s">
        <v>201</v>
      </c>
      <c r="U87" s="68" t="s">
        <v>202</v>
      </c>
      <c r="V87" s="69"/>
      <c r="W87" s="68" t="s">
        <v>207</v>
      </c>
      <c r="X87" s="68" t="n">
        <v>12.7889559387013</v>
      </c>
      <c r="Y87" s="68" t="n">
        <v>185.439861111168</v>
      </c>
      <c r="Z87" s="68" t="n">
        <v>14.5</v>
      </c>
      <c r="AA87" s="70"/>
    </row>
    <row r="88" customFormat="false" ht="14.25" hidden="false" customHeight="false" outlineLevel="0" collapsed="false">
      <c r="A88" s="56"/>
      <c r="B88" s="56"/>
      <c r="C88" s="64" t="n">
        <v>83</v>
      </c>
      <c r="D88" s="71" t="s">
        <v>387</v>
      </c>
      <c r="E88" s="71" t="s">
        <v>388</v>
      </c>
      <c r="F88" s="71" t="s">
        <v>389</v>
      </c>
      <c r="G88" s="66" t="n">
        <v>44</v>
      </c>
      <c r="H88" s="67" t="n">
        <v>1.364</v>
      </c>
      <c r="I88" s="67" t="n">
        <v>371</v>
      </c>
      <c r="J88" s="67" t="n">
        <v>371</v>
      </c>
      <c r="K88" s="67" t="n">
        <v>371</v>
      </c>
      <c r="L88" s="68" t="s">
        <v>199</v>
      </c>
      <c r="M88" s="67" t="n">
        <v>0.104319</v>
      </c>
      <c r="N88" s="67" t="n">
        <v>0.247544</v>
      </c>
      <c r="O88" s="67" t="n">
        <v>45.27589</v>
      </c>
      <c r="P88" s="67" t="n">
        <v>1.063424</v>
      </c>
      <c r="Q88" s="67" t="n">
        <v>0.811099</v>
      </c>
      <c r="R88" s="67" t="n">
        <v>45.27589</v>
      </c>
      <c r="S88" s="68" t="s">
        <v>200</v>
      </c>
      <c r="T88" s="68" t="s">
        <v>201</v>
      </c>
      <c r="U88" s="68" t="s">
        <v>202</v>
      </c>
      <c r="V88" s="69"/>
      <c r="W88" s="68" t="s">
        <v>211</v>
      </c>
      <c r="X88" s="68" t="n">
        <v>8.27375896057328</v>
      </c>
      <c r="Y88" s="68" t="n">
        <v>85.4955092592572</v>
      </c>
      <c r="Z88" s="68" t="n">
        <v>10.3333333333333</v>
      </c>
      <c r="AA88" s="70"/>
    </row>
    <row r="89" customFormat="false" ht="14.25" hidden="false" customHeight="false" outlineLevel="0" collapsed="false">
      <c r="A89" s="56"/>
      <c r="B89" s="56"/>
      <c r="C89" s="64" t="n">
        <v>84</v>
      </c>
      <c r="D89" s="71" t="s">
        <v>390</v>
      </c>
      <c r="E89" s="71" t="s">
        <v>391</v>
      </c>
      <c r="F89" s="71" t="s">
        <v>392</v>
      </c>
      <c r="G89" s="66" t="n">
        <v>44</v>
      </c>
      <c r="H89" s="67" t="n">
        <v>0.8459</v>
      </c>
      <c r="I89" s="67" t="n">
        <v>371</v>
      </c>
      <c r="J89" s="67" t="n">
        <v>371</v>
      </c>
      <c r="K89" s="67" t="n">
        <v>371</v>
      </c>
      <c r="L89" s="68" t="s">
        <v>199</v>
      </c>
      <c r="M89" s="67" t="n">
        <v>0.291367</v>
      </c>
      <c r="N89" s="67" t="n">
        <v>0.412245</v>
      </c>
      <c r="O89" s="67" t="n">
        <v>4.03002</v>
      </c>
      <c r="P89" s="67" t="n">
        <v>0.527592</v>
      </c>
      <c r="Q89" s="67" t="n">
        <v>1.209704</v>
      </c>
      <c r="R89" s="67" t="n">
        <v>1.809585</v>
      </c>
      <c r="S89" s="68" t="s">
        <v>200</v>
      </c>
      <c r="T89" s="68" t="s">
        <v>201</v>
      </c>
      <c r="U89" s="68" t="s">
        <v>202</v>
      </c>
      <c r="V89" s="69"/>
      <c r="W89" s="68" t="s">
        <v>203</v>
      </c>
      <c r="X89" s="68" t="n">
        <v>8.27375896057328</v>
      </c>
      <c r="Y89" s="68" t="n">
        <v>85.4955092592572</v>
      </c>
      <c r="Z89" s="68" t="n">
        <v>10.3333333333333</v>
      </c>
      <c r="AA89" s="70"/>
    </row>
    <row r="90" customFormat="false" ht="14.25" hidden="false" customHeight="false" outlineLevel="0" collapsed="false">
      <c r="A90" s="56"/>
      <c r="B90" s="56"/>
      <c r="C90" s="64" t="n">
        <v>85</v>
      </c>
      <c r="D90" s="71" t="s">
        <v>393</v>
      </c>
      <c r="E90" s="71" t="s">
        <v>388</v>
      </c>
      <c r="F90" s="71" t="s">
        <v>394</v>
      </c>
      <c r="G90" s="66" t="n">
        <v>44</v>
      </c>
      <c r="H90" s="67" t="n">
        <v>0.254</v>
      </c>
      <c r="I90" s="67" t="n">
        <v>371</v>
      </c>
      <c r="J90" s="67" t="n">
        <v>371</v>
      </c>
      <c r="K90" s="67" t="n">
        <v>371</v>
      </c>
      <c r="L90" s="68" t="s">
        <v>199</v>
      </c>
      <c r="M90" s="67" t="n">
        <v>0.291367</v>
      </c>
      <c r="N90" s="67" t="n">
        <v>0.412245</v>
      </c>
      <c r="O90" s="67" t="n">
        <v>4.03002</v>
      </c>
      <c r="P90" s="67" t="n">
        <v>0.527592</v>
      </c>
      <c r="Q90" s="67" t="n">
        <v>1.209704</v>
      </c>
      <c r="R90" s="67" t="n">
        <v>1.809585</v>
      </c>
      <c r="S90" s="68" t="s">
        <v>200</v>
      </c>
      <c r="T90" s="68" t="s">
        <v>201</v>
      </c>
      <c r="U90" s="68" t="s">
        <v>202</v>
      </c>
      <c r="V90" s="69"/>
      <c r="W90" s="68" t="s">
        <v>203</v>
      </c>
      <c r="X90" s="68" t="n">
        <v>8.27375896057328</v>
      </c>
      <c r="Y90" s="68" t="n">
        <v>85.4955092592572</v>
      </c>
      <c r="Z90" s="68" t="n">
        <v>10.3333333333333</v>
      </c>
      <c r="AA90" s="70"/>
    </row>
    <row r="91" customFormat="false" ht="14.25" hidden="false" customHeight="false" outlineLevel="0" collapsed="false">
      <c r="A91" s="56"/>
      <c r="B91" s="56"/>
      <c r="C91" s="64" t="n">
        <v>86</v>
      </c>
      <c r="D91" s="71" t="s">
        <v>395</v>
      </c>
      <c r="E91" s="71" t="s">
        <v>394</v>
      </c>
      <c r="F91" s="71" t="s">
        <v>391</v>
      </c>
      <c r="G91" s="66" t="n">
        <v>44</v>
      </c>
      <c r="H91" s="67" t="n">
        <v>0.1623</v>
      </c>
      <c r="I91" s="67" t="n">
        <v>371</v>
      </c>
      <c r="J91" s="67" t="n">
        <v>371</v>
      </c>
      <c r="K91" s="67" t="n">
        <v>371</v>
      </c>
      <c r="L91" s="68" t="s">
        <v>199</v>
      </c>
      <c r="M91" s="67" t="n">
        <v>0.291367</v>
      </c>
      <c r="N91" s="67" t="n">
        <v>0.412245</v>
      </c>
      <c r="O91" s="67" t="n">
        <v>4.03002</v>
      </c>
      <c r="P91" s="67" t="n">
        <v>0.527592</v>
      </c>
      <c r="Q91" s="67" t="n">
        <v>1.209704</v>
      </c>
      <c r="R91" s="67" t="n">
        <v>1.809585</v>
      </c>
      <c r="S91" s="68" t="s">
        <v>200</v>
      </c>
      <c r="T91" s="68" t="s">
        <v>201</v>
      </c>
      <c r="U91" s="68" t="s">
        <v>202</v>
      </c>
      <c r="V91" s="69"/>
      <c r="W91" s="68" t="s">
        <v>203</v>
      </c>
      <c r="X91" s="68" t="n">
        <v>8.27375896057328</v>
      </c>
      <c r="Y91" s="68" t="n">
        <v>85.4955092592572</v>
      </c>
      <c r="Z91" s="68" t="n">
        <v>10.3333333333333</v>
      </c>
      <c r="AA91" s="70"/>
    </row>
    <row r="92" customFormat="false" ht="14.25" hidden="false" customHeight="false" outlineLevel="0" collapsed="false">
      <c r="A92" s="56"/>
      <c r="B92" s="56"/>
      <c r="C92" s="64" t="n">
        <v>87</v>
      </c>
      <c r="D92" s="71" t="s">
        <v>396</v>
      </c>
      <c r="E92" s="71" t="s">
        <v>392</v>
      </c>
      <c r="F92" s="71" t="s">
        <v>397</v>
      </c>
      <c r="G92" s="66" t="n">
        <v>44</v>
      </c>
      <c r="H92" s="67" t="n">
        <v>0.7445</v>
      </c>
      <c r="I92" s="67" t="n">
        <v>371</v>
      </c>
      <c r="J92" s="67" t="n">
        <v>371</v>
      </c>
      <c r="K92" s="67" t="n">
        <v>371</v>
      </c>
      <c r="L92" s="68" t="s">
        <v>199</v>
      </c>
      <c r="M92" s="67" t="n">
        <v>0.291367</v>
      </c>
      <c r="N92" s="67" t="n">
        <v>0.412245</v>
      </c>
      <c r="O92" s="67" t="n">
        <v>4.03002</v>
      </c>
      <c r="P92" s="67" t="n">
        <v>0.527592</v>
      </c>
      <c r="Q92" s="67" t="n">
        <v>1.209704</v>
      </c>
      <c r="R92" s="67" t="n">
        <v>1.809585</v>
      </c>
      <c r="S92" s="68" t="s">
        <v>200</v>
      </c>
      <c r="T92" s="68" t="s">
        <v>201</v>
      </c>
      <c r="U92" s="68" t="s">
        <v>202</v>
      </c>
      <c r="V92" s="69"/>
      <c r="W92" s="68" t="s">
        <v>203</v>
      </c>
      <c r="X92" s="68" t="n">
        <v>8.27375896057328</v>
      </c>
      <c r="Y92" s="68" t="n">
        <v>85.4955092592572</v>
      </c>
      <c r="Z92" s="68" t="n">
        <v>10.3333333333333</v>
      </c>
      <c r="AA92" s="70" t="s">
        <v>231</v>
      </c>
    </row>
    <row r="93" customFormat="false" ht="14.25" hidden="false" customHeight="false" outlineLevel="0" collapsed="false">
      <c r="A93" s="56"/>
      <c r="B93" s="56"/>
      <c r="C93" s="64" t="n">
        <v>88</v>
      </c>
      <c r="D93" s="71" t="s">
        <v>398</v>
      </c>
      <c r="E93" s="71" t="s">
        <v>391</v>
      </c>
      <c r="F93" s="71" t="s">
        <v>399</v>
      </c>
      <c r="G93" s="66" t="n">
        <v>44</v>
      </c>
      <c r="H93" s="67" t="n">
        <v>1.1896</v>
      </c>
      <c r="I93" s="67" t="n">
        <v>371</v>
      </c>
      <c r="J93" s="67" t="n">
        <v>371</v>
      </c>
      <c r="K93" s="67" t="n">
        <v>371</v>
      </c>
      <c r="L93" s="68" t="s">
        <v>199</v>
      </c>
      <c r="M93" s="67" t="n">
        <v>0.291367</v>
      </c>
      <c r="N93" s="67" t="n">
        <v>0.412245</v>
      </c>
      <c r="O93" s="67" t="n">
        <v>4.03002</v>
      </c>
      <c r="P93" s="67" t="n">
        <v>0.527592</v>
      </c>
      <c r="Q93" s="67" t="n">
        <v>1.209704</v>
      </c>
      <c r="R93" s="67" t="n">
        <v>1.809585</v>
      </c>
      <c r="S93" s="68" t="s">
        <v>200</v>
      </c>
      <c r="T93" s="68" t="s">
        <v>201</v>
      </c>
      <c r="U93" s="68" t="s">
        <v>202</v>
      </c>
      <c r="V93" s="69"/>
      <c r="W93" s="68" t="s">
        <v>203</v>
      </c>
      <c r="X93" s="68" t="n">
        <v>8.27375896057328</v>
      </c>
      <c r="Y93" s="68" t="n">
        <v>85.4955092592572</v>
      </c>
      <c r="Z93" s="68" t="n">
        <v>10.3333333333333</v>
      </c>
      <c r="AA93" s="70"/>
    </row>
    <row r="94" customFormat="false" ht="14.25" hidden="false" customHeight="false" outlineLevel="0" collapsed="false">
      <c r="A94" s="56"/>
      <c r="B94" s="56"/>
      <c r="C94" s="64" t="n">
        <v>89</v>
      </c>
      <c r="D94" s="71" t="s">
        <v>400</v>
      </c>
      <c r="E94" s="71" t="s">
        <v>392</v>
      </c>
      <c r="F94" s="71" t="s">
        <v>401</v>
      </c>
      <c r="G94" s="66" t="n">
        <v>44</v>
      </c>
      <c r="H94" s="67" t="n">
        <v>0.1698</v>
      </c>
      <c r="I94" s="67" t="n">
        <v>371</v>
      </c>
      <c r="J94" s="67" t="n">
        <v>371</v>
      </c>
      <c r="K94" s="67" t="n">
        <v>371</v>
      </c>
      <c r="L94" s="68" t="s">
        <v>199</v>
      </c>
      <c r="M94" s="67" t="n">
        <v>0.291367</v>
      </c>
      <c r="N94" s="67" t="n">
        <v>0.412245</v>
      </c>
      <c r="O94" s="67" t="n">
        <v>4.03002</v>
      </c>
      <c r="P94" s="67" t="n">
        <v>0.527592</v>
      </c>
      <c r="Q94" s="67" t="n">
        <v>1.209704</v>
      </c>
      <c r="R94" s="67" t="n">
        <v>1.809585</v>
      </c>
      <c r="S94" s="68" t="s">
        <v>200</v>
      </c>
      <c r="T94" s="68" t="s">
        <v>201</v>
      </c>
      <c r="U94" s="68" t="s">
        <v>202</v>
      </c>
      <c r="V94" s="69"/>
      <c r="W94" s="68" t="s">
        <v>203</v>
      </c>
      <c r="X94" s="68" t="n">
        <v>8.27375896057328</v>
      </c>
      <c r="Y94" s="68" t="n">
        <v>85.4955092592572</v>
      </c>
      <c r="Z94" s="68" t="n">
        <v>10.3333333333333</v>
      </c>
      <c r="AA94" s="70"/>
    </row>
    <row r="95" customFormat="false" ht="14.25" hidden="false" customHeight="false" outlineLevel="0" collapsed="false">
      <c r="A95" s="56"/>
      <c r="B95" s="56"/>
      <c r="C95" s="64" t="n">
        <v>90</v>
      </c>
      <c r="D95" s="71" t="s">
        <v>402</v>
      </c>
      <c r="E95" s="71" t="s">
        <v>401</v>
      </c>
      <c r="F95" s="71" t="s">
        <v>403</v>
      </c>
      <c r="G95" s="66" t="n">
        <v>44</v>
      </c>
      <c r="H95" s="67" t="n">
        <v>0.4076</v>
      </c>
      <c r="I95" s="67" t="n">
        <v>371</v>
      </c>
      <c r="J95" s="67" t="n">
        <v>371</v>
      </c>
      <c r="K95" s="67" t="n">
        <v>371</v>
      </c>
      <c r="L95" s="68" t="s">
        <v>199</v>
      </c>
      <c r="M95" s="67" t="n">
        <v>0.291367</v>
      </c>
      <c r="N95" s="67" t="n">
        <v>0.412245</v>
      </c>
      <c r="O95" s="67" t="n">
        <v>4.03002</v>
      </c>
      <c r="P95" s="67" t="n">
        <v>0.527592</v>
      </c>
      <c r="Q95" s="67" t="n">
        <v>1.209704</v>
      </c>
      <c r="R95" s="67" t="n">
        <v>1.809585</v>
      </c>
      <c r="S95" s="68" t="s">
        <v>200</v>
      </c>
      <c r="T95" s="68" t="s">
        <v>201</v>
      </c>
      <c r="U95" s="68" t="s">
        <v>202</v>
      </c>
      <c r="V95" s="69"/>
      <c r="W95" s="68" t="s">
        <v>203</v>
      </c>
      <c r="X95" s="68" t="n">
        <v>8.27375896057328</v>
      </c>
      <c r="Y95" s="68" t="n">
        <v>85.4955092592572</v>
      </c>
      <c r="Z95" s="68" t="n">
        <v>10.3333333333333</v>
      </c>
      <c r="AA95" s="70"/>
    </row>
    <row r="96" customFormat="false" ht="14.25" hidden="false" customHeight="false" outlineLevel="0" collapsed="false">
      <c r="A96" s="56"/>
      <c r="B96" s="56"/>
      <c r="C96" s="64" t="n">
        <v>91</v>
      </c>
      <c r="D96" s="71" t="s">
        <v>404</v>
      </c>
      <c r="E96" s="71" t="s">
        <v>405</v>
      </c>
      <c r="F96" s="71" t="s">
        <v>406</v>
      </c>
      <c r="G96" s="66" t="n">
        <v>44</v>
      </c>
      <c r="H96" s="67" t="n">
        <v>5.405</v>
      </c>
      <c r="I96" s="67" t="n">
        <v>217</v>
      </c>
      <c r="J96" s="67" t="n">
        <v>217</v>
      </c>
      <c r="K96" s="67" t="n">
        <v>217</v>
      </c>
      <c r="L96" s="68" t="s">
        <v>199</v>
      </c>
      <c r="M96" s="67" t="n">
        <v>0.377</v>
      </c>
      <c r="N96" s="67" t="n">
        <v>0.506</v>
      </c>
      <c r="O96" s="67" t="n">
        <v>3.308</v>
      </c>
      <c r="P96" s="67" t="n">
        <v>0.737</v>
      </c>
      <c r="Q96" s="67" t="n">
        <v>1.596</v>
      </c>
      <c r="R96" s="67" t="n">
        <v>1.932995</v>
      </c>
      <c r="S96" s="68" t="s">
        <v>200</v>
      </c>
      <c r="T96" s="68" t="s">
        <v>201</v>
      </c>
      <c r="U96" s="68" t="s">
        <v>202</v>
      </c>
      <c r="V96" s="69"/>
      <c r="W96" s="68" t="s">
        <v>407</v>
      </c>
      <c r="X96" s="68" t="n">
        <v>1.75863471314055</v>
      </c>
      <c r="Y96" s="68" t="n">
        <v>44.8451851850841</v>
      </c>
      <c r="Z96" s="68" t="n">
        <v>25.5</v>
      </c>
      <c r="AA96" s="70"/>
    </row>
    <row r="97" customFormat="false" ht="14.25" hidden="false" customHeight="false" outlineLevel="0" collapsed="false">
      <c r="A97" s="56"/>
      <c r="B97" s="56"/>
      <c r="C97" s="64" t="n">
        <v>92</v>
      </c>
      <c r="D97" s="71" t="s">
        <v>408</v>
      </c>
      <c r="E97" s="71" t="s">
        <v>409</v>
      </c>
      <c r="F97" s="71" t="s">
        <v>410</v>
      </c>
      <c r="G97" s="66" t="n">
        <v>44</v>
      </c>
      <c r="H97" s="67" t="n">
        <v>1.397</v>
      </c>
      <c r="I97" s="67" t="n">
        <v>371</v>
      </c>
      <c r="J97" s="67" t="n">
        <v>371</v>
      </c>
      <c r="K97" s="67" t="n">
        <v>371</v>
      </c>
      <c r="L97" s="68" t="s">
        <v>199</v>
      </c>
      <c r="M97" s="67" t="n">
        <v>0.291367</v>
      </c>
      <c r="N97" s="67" t="n">
        <v>0.412245</v>
      </c>
      <c r="O97" s="67" t="n">
        <v>4.03002</v>
      </c>
      <c r="P97" s="67" t="n">
        <v>0.527592</v>
      </c>
      <c r="Q97" s="67" t="n">
        <v>1.209704</v>
      </c>
      <c r="R97" s="67" t="n">
        <v>1.809585</v>
      </c>
      <c r="S97" s="68" t="s">
        <v>200</v>
      </c>
      <c r="T97" s="68" t="s">
        <v>201</v>
      </c>
      <c r="U97" s="68" t="s">
        <v>202</v>
      </c>
      <c r="V97" s="69"/>
      <c r="W97" s="68" t="s">
        <v>203</v>
      </c>
      <c r="X97" s="68" t="n">
        <v>12.9288993710619</v>
      </c>
      <c r="Y97" s="68" t="n">
        <v>228.410555555427</v>
      </c>
      <c r="Z97" s="68" t="n">
        <v>17.6666666666667</v>
      </c>
      <c r="AA97" s="70"/>
    </row>
    <row r="98" customFormat="false" ht="14.25" hidden="false" customHeight="false" outlineLevel="0" collapsed="false">
      <c r="A98" s="56"/>
      <c r="B98" s="56"/>
      <c r="C98" s="64" t="n">
        <v>93</v>
      </c>
      <c r="D98" s="71" t="s">
        <v>411</v>
      </c>
      <c r="E98" s="71" t="s">
        <v>412</v>
      </c>
      <c r="F98" s="71" t="s">
        <v>413</v>
      </c>
      <c r="G98" s="66" t="n">
        <v>44</v>
      </c>
      <c r="H98" s="67" t="n">
        <v>0.4877</v>
      </c>
      <c r="I98" s="67" t="n">
        <v>371</v>
      </c>
      <c r="J98" s="67" t="n">
        <v>371</v>
      </c>
      <c r="K98" s="67" t="n">
        <v>371</v>
      </c>
      <c r="L98" s="68" t="s">
        <v>199</v>
      </c>
      <c r="M98" s="67" t="n">
        <v>0.277924</v>
      </c>
      <c r="N98" s="67" t="n">
        <v>0.291019</v>
      </c>
      <c r="O98" s="67" t="n">
        <v>5.855192</v>
      </c>
      <c r="P98" s="67" t="n">
        <v>0.805696</v>
      </c>
      <c r="Q98" s="67" t="n">
        <v>1.188238</v>
      </c>
      <c r="R98" s="67" t="n">
        <v>2.73325</v>
      </c>
      <c r="S98" s="68" t="s">
        <v>200</v>
      </c>
      <c r="T98" s="68" t="s">
        <v>201</v>
      </c>
      <c r="U98" s="68" t="s">
        <v>202</v>
      </c>
      <c r="V98" s="69"/>
      <c r="W98" s="68" t="s">
        <v>207</v>
      </c>
      <c r="X98" s="68" t="n">
        <v>12.9288993710619</v>
      </c>
      <c r="Y98" s="68" t="n">
        <v>228.410555555427</v>
      </c>
      <c r="Z98" s="68" t="n">
        <v>17.6666666666667</v>
      </c>
      <c r="AA98" s="70" t="s">
        <v>231</v>
      </c>
    </row>
    <row r="99" customFormat="false" ht="14.25" hidden="false" customHeight="false" outlineLevel="0" collapsed="false">
      <c r="A99" s="56"/>
      <c r="B99" s="56"/>
      <c r="C99" s="64" t="n">
        <v>94</v>
      </c>
      <c r="D99" s="71" t="s">
        <v>414</v>
      </c>
      <c r="E99" s="71" t="s">
        <v>412</v>
      </c>
      <c r="F99" s="71" t="s">
        <v>415</v>
      </c>
      <c r="G99" s="66" t="n">
        <v>44</v>
      </c>
      <c r="H99" s="67" t="n">
        <v>1.581</v>
      </c>
      <c r="I99" s="67" t="n">
        <v>371</v>
      </c>
      <c r="J99" s="67" t="n">
        <v>371</v>
      </c>
      <c r="K99" s="67" t="n">
        <v>371</v>
      </c>
      <c r="L99" s="68" t="s">
        <v>199</v>
      </c>
      <c r="M99" s="67" t="n">
        <v>0.277924</v>
      </c>
      <c r="N99" s="67" t="n">
        <v>0.291019</v>
      </c>
      <c r="O99" s="67" t="n">
        <v>5.855192</v>
      </c>
      <c r="P99" s="67" t="n">
        <v>0.805696</v>
      </c>
      <c r="Q99" s="67" t="n">
        <v>1.188238</v>
      </c>
      <c r="R99" s="67" t="n">
        <v>2.73325</v>
      </c>
      <c r="S99" s="68" t="s">
        <v>200</v>
      </c>
      <c r="T99" s="68" t="s">
        <v>201</v>
      </c>
      <c r="U99" s="68" t="s">
        <v>202</v>
      </c>
      <c r="V99" s="69"/>
      <c r="W99" s="68" t="s">
        <v>207</v>
      </c>
      <c r="X99" s="68" t="n">
        <v>12.9288993710619</v>
      </c>
      <c r="Y99" s="68" t="n">
        <v>228.410555555427</v>
      </c>
      <c r="Z99" s="68" t="n">
        <v>17.6666666666667</v>
      </c>
      <c r="AA99" s="70"/>
    </row>
    <row r="100" customFormat="false" ht="14.25" hidden="false" customHeight="false" outlineLevel="0" collapsed="false">
      <c r="A100" s="56"/>
      <c r="B100" s="56"/>
      <c r="C100" s="64" t="n">
        <v>95</v>
      </c>
      <c r="D100" s="71" t="s">
        <v>416</v>
      </c>
      <c r="E100" s="71" t="s">
        <v>415</v>
      </c>
      <c r="F100" s="71" t="s">
        <v>417</v>
      </c>
      <c r="G100" s="66" t="n">
        <v>44</v>
      </c>
      <c r="H100" s="67" t="n">
        <v>0.191</v>
      </c>
      <c r="I100" s="67" t="n">
        <v>371</v>
      </c>
      <c r="J100" s="67" t="n">
        <v>371</v>
      </c>
      <c r="K100" s="67" t="n">
        <v>371</v>
      </c>
      <c r="L100" s="68" t="s">
        <v>199</v>
      </c>
      <c r="M100" s="67" t="n">
        <v>0.277924</v>
      </c>
      <c r="N100" s="67" t="n">
        <v>0.291019</v>
      </c>
      <c r="O100" s="67" t="n">
        <v>5.855192</v>
      </c>
      <c r="P100" s="67" t="n">
        <v>0.805696</v>
      </c>
      <c r="Q100" s="67" t="n">
        <v>1.188238</v>
      </c>
      <c r="R100" s="67" t="n">
        <v>2.73325</v>
      </c>
      <c r="S100" s="68" t="s">
        <v>200</v>
      </c>
      <c r="T100" s="68" t="s">
        <v>201</v>
      </c>
      <c r="U100" s="68" t="s">
        <v>202</v>
      </c>
      <c r="V100" s="69"/>
      <c r="W100" s="68" t="s">
        <v>207</v>
      </c>
      <c r="X100" s="68" t="n">
        <v>12.9288993710619</v>
      </c>
      <c r="Y100" s="68" t="n">
        <v>228.410555555427</v>
      </c>
      <c r="Z100" s="68" t="n">
        <v>17.6666666666667</v>
      </c>
      <c r="AA100" s="70"/>
    </row>
    <row r="101" customFormat="false" ht="14.25" hidden="false" customHeight="false" outlineLevel="0" collapsed="false">
      <c r="A101" s="56"/>
      <c r="B101" s="56"/>
      <c r="C101" s="64" t="n">
        <v>96</v>
      </c>
      <c r="D101" s="71" t="s">
        <v>418</v>
      </c>
      <c r="E101" s="71" t="s">
        <v>417</v>
      </c>
      <c r="F101" s="71" t="s">
        <v>419</v>
      </c>
      <c r="G101" s="66" t="n">
        <v>44</v>
      </c>
      <c r="H101" s="67" t="n">
        <v>0.513</v>
      </c>
      <c r="I101" s="67" t="n">
        <v>371</v>
      </c>
      <c r="J101" s="67" t="n">
        <v>371</v>
      </c>
      <c r="K101" s="67" t="n">
        <v>371</v>
      </c>
      <c r="L101" s="68" t="s">
        <v>199</v>
      </c>
      <c r="M101" s="67" t="n">
        <v>0.104319</v>
      </c>
      <c r="N101" s="67" t="n">
        <v>0.247544</v>
      </c>
      <c r="O101" s="67" t="n">
        <v>45.27589</v>
      </c>
      <c r="P101" s="67" t="n">
        <v>1.063424</v>
      </c>
      <c r="Q101" s="67" t="n">
        <v>0.811099</v>
      </c>
      <c r="R101" s="67" t="n">
        <v>45.27589</v>
      </c>
      <c r="S101" s="68" t="s">
        <v>200</v>
      </c>
      <c r="T101" s="68" t="s">
        <v>201</v>
      </c>
      <c r="U101" s="68" t="s">
        <v>202</v>
      </c>
      <c r="V101" s="69"/>
      <c r="W101" s="68" t="s">
        <v>211</v>
      </c>
      <c r="X101" s="68" t="n">
        <v>12.9288993710619</v>
      </c>
      <c r="Y101" s="68" t="n">
        <v>228.410555555427</v>
      </c>
      <c r="Z101" s="68" t="n">
        <v>17.6666666666667</v>
      </c>
      <c r="AA101" s="70"/>
    </row>
    <row r="102" customFormat="false" ht="14.25" hidden="false" customHeight="false" outlineLevel="0" collapsed="false">
      <c r="A102" s="56"/>
      <c r="B102" s="56"/>
      <c r="C102" s="64" t="n">
        <v>97</v>
      </c>
      <c r="D102" s="71" t="s">
        <v>420</v>
      </c>
      <c r="E102" s="71" t="s">
        <v>417</v>
      </c>
      <c r="F102" s="71" t="s">
        <v>421</v>
      </c>
      <c r="G102" s="66" t="n">
        <v>44</v>
      </c>
      <c r="H102" s="67" t="n">
        <v>0.5167</v>
      </c>
      <c r="I102" s="67" t="n">
        <v>371</v>
      </c>
      <c r="J102" s="67" t="n">
        <v>371</v>
      </c>
      <c r="K102" s="67" t="n">
        <v>371</v>
      </c>
      <c r="L102" s="68" t="s">
        <v>199</v>
      </c>
      <c r="M102" s="67" t="n">
        <v>0.277924</v>
      </c>
      <c r="N102" s="67" t="n">
        <v>0.291019</v>
      </c>
      <c r="O102" s="67" t="n">
        <v>5.855192</v>
      </c>
      <c r="P102" s="67" t="n">
        <v>0.805696</v>
      </c>
      <c r="Q102" s="67" t="n">
        <v>1.188238</v>
      </c>
      <c r="R102" s="67" t="n">
        <v>2.73325</v>
      </c>
      <c r="S102" s="68" t="s">
        <v>200</v>
      </c>
      <c r="T102" s="68" t="s">
        <v>201</v>
      </c>
      <c r="U102" s="68" t="s">
        <v>202</v>
      </c>
      <c r="V102" s="69"/>
      <c r="W102" s="68" t="s">
        <v>207</v>
      </c>
      <c r="X102" s="68" t="n">
        <v>12.9288993710619</v>
      </c>
      <c r="Y102" s="68" t="n">
        <v>228.410555555427</v>
      </c>
      <c r="Z102" s="68" t="n">
        <v>17.6666666666667</v>
      </c>
      <c r="AA102" s="70"/>
    </row>
    <row r="103" customFormat="false" ht="14.25" hidden="false" customHeight="false" outlineLevel="0" collapsed="false">
      <c r="A103" s="56"/>
      <c r="B103" s="56"/>
      <c r="C103" s="64" t="n">
        <v>98</v>
      </c>
      <c r="D103" s="71" t="s">
        <v>422</v>
      </c>
      <c r="E103" s="71" t="s">
        <v>410</v>
      </c>
      <c r="F103" s="71" t="s">
        <v>412</v>
      </c>
      <c r="G103" s="66" t="n">
        <v>44</v>
      </c>
      <c r="H103" s="67" t="n">
        <v>0.85</v>
      </c>
      <c r="I103" s="67" t="n">
        <v>371</v>
      </c>
      <c r="J103" s="67" t="n">
        <v>371</v>
      </c>
      <c r="K103" s="67" t="n">
        <v>371</v>
      </c>
      <c r="L103" s="68" t="s">
        <v>199</v>
      </c>
      <c r="M103" s="67" t="n">
        <v>0.277924</v>
      </c>
      <c r="N103" s="67" t="n">
        <v>0.291019</v>
      </c>
      <c r="O103" s="67" t="n">
        <v>5.855192</v>
      </c>
      <c r="P103" s="67" t="n">
        <v>0.805696</v>
      </c>
      <c r="Q103" s="67" t="n">
        <v>1.188238</v>
      </c>
      <c r="R103" s="67" t="n">
        <v>2.73325</v>
      </c>
      <c r="S103" s="68" t="s">
        <v>200</v>
      </c>
      <c r="T103" s="68" t="s">
        <v>201</v>
      </c>
      <c r="U103" s="68" t="s">
        <v>202</v>
      </c>
      <c r="V103" s="69"/>
      <c r="W103" s="68" t="s">
        <v>207</v>
      </c>
      <c r="X103" s="68" t="n">
        <v>12.9288993710619</v>
      </c>
      <c r="Y103" s="68" t="n">
        <v>228.410555555427</v>
      </c>
      <c r="Z103" s="68" t="n">
        <v>17.6666666666667</v>
      </c>
      <c r="AA103" s="70"/>
    </row>
    <row r="104" customFormat="false" ht="14.25" hidden="false" customHeight="false" outlineLevel="0" collapsed="false">
      <c r="A104" s="56"/>
      <c r="B104" s="56"/>
      <c r="C104" s="64" t="n">
        <v>99</v>
      </c>
      <c r="D104" s="71" t="s">
        <v>423</v>
      </c>
      <c r="E104" s="71" t="s">
        <v>424</v>
      </c>
      <c r="F104" s="71" t="s">
        <v>425</v>
      </c>
      <c r="G104" s="66" t="n">
        <v>44</v>
      </c>
      <c r="H104" s="67" t="n">
        <v>0.2811</v>
      </c>
      <c r="I104" s="67" t="n">
        <v>260</v>
      </c>
      <c r="J104" s="67" t="n">
        <v>260</v>
      </c>
      <c r="K104" s="67" t="n">
        <v>260</v>
      </c>
      <c r="L104" s="68" t="s">
        <v>199</v>
      </c>
      <c r="M104" s="67" t="n">
        <v>0.583051</v>
      </c>
      <c r="N104" s="67" t="n">
        <v>0.438636</v>
      </c>
      <c r="O104" s="67" t="n">
        <v>3.776983</v>
      </c>
      <c r="P104" s="67" t="n">
        <v>0.937817</v>
      </c>
      <c r="Q104" s="67" t="n">
        <v>1.348523</v>
      </c>
      <c r="R104" s="67" t="n">
        <v>1.741788</v>
      </c>
      <c r="S104" s="68" t="s">
        <v>200</v>
      </c>
      <c r="T104" s="68" t="s">
        <v>201</v>
      </c>
      <c r="U104" s="68" t="s">
        <v>202</v>
      </c>
      <c r="V104" s="69"/>
      <c r="W104" s="68" t="s">
        <v>214</v>
      </c>
      <c r="X104" s="68" t="n">
        <v>0.926122685181326</v>
      </c>
      <c r="Y104" s="68" t="n">
        <v>18.5224537036265</v>
      </c>
      <c r="Z104" s="68" t="n">
        <v>20</v>
      </c>
      <c r="AA104" s="70"/>
    </row>
    <row r="105" customFormat="false" ht="14.25" hidden="false" customHeight="false" outlineLevel="0" collapsed="false">
      <c r="A105" s="56"/>
      <c r="B105" s="56"/>
      <c r="C105" s="64" t="n">
        <v>100</v>
      </c>
      <c r="D105" s="71" t="s">
        <v>426</v>
      </c>
      <c r="E105" s="71" t="s">
        <v>425</v>
      </c>
      <c r="F105" s="71" t="s">
        <v>427</v>
      </c>
      <c r="G105" s="66" t="n">
        <v>44</v>
      </c>
      <c r="H105" s="67" t="n">
        <v>1.888</v>
      </c>
      <c r="I105" s="67" t="n">
        <v>340</v>
      </c>
      <c r="J105" s="67" t="n">
        <v>340</v>
      </c>
      <c r="K105" s="67" t="n">
        <v>340</v>
      </c>
      <c r="L105" s="68" t="s">
        <v>199</v>
      </c>
      <c r="M105" s="67" t="n">
        <v>0.3085</v>
      </c>
      <c r="N105" s="67" t="n">
        <v>0.511</v>
      </c>
      <c r="O105" s="67" t="n">
        <v>3.67</v>
      </c>
      <c r="P105" s="67" t="n">
        <v>0.647</v>
      </c>
      <c r="Q105" s="67" t="n">
        <v>1.562</v>
      </c>
      <c r="R105" s="67" t="n">
        <v>1.9185</v>
      </c>
      <c r="S105" s="68" t="s">
        <v>200</v>
      </c>
      <c r="T105" s="68" t="s">
        <v>201</v>
      </c>
      <c r="U105" s="68" t="s">
        <v>202</v>
      </c>
      <c r="V105" s="69"/>
      <c r="W105" s="68" t="s">
        <v>428</v>
      </c>
      <c r="X105" s="68" t="n">
        <v>0.926122685181326</v>
      </c>
      <c r="Y105" s="68" t="n">
        <v>18.5224537036265</v>
      </c>
      <c r="Z105" s="68" t="n">
        <v>20</v>
      </c>
      <c r="AA105" s="70"/>
    </row>
    <row r="106" customFormat="false" ht="14.25" hidden="false" customHeight="false" outlineLevel="0" collapsed="false">
      <c r="A106" s="56"/>
      <c r="B106" s="56"/>
      <c r="C106" s="64" t="n">
        <v>101</v>
      </c>
      <c r="D106" s="71" t="s">
        <v>429</v>
      </c>
      <c r="E106" s="71" t="s">
        <v>427</v>
      </c>
      <c r="F106" s="71" t="s">
        <v>430</v>
      </c>
      <c r="G106" s="66" t="n">
        <v>44</v>
      </c>
      <c r="H106" s="67" t="n">
        <v>1.313</v>
      </c>
      <c r="I106" s="67" t="n">
        <v>340</v>
      </c>
      <c r="J106" s="67" t="n">
        <v>340</v>
      </c>
      <c r="K106" s="67" t="n">
        <v>340</v>
      </c>
      <c r="L106" s="68" t="s">
        <v>199</v>
      </c>
      <c r="M106" s="67" t="n">
        <v>0.3085</v>
      </c>
      <c r="N106" s="67" t="n">
        <v>0.511</v>
      </c>
      <c r="O106" s="67" t="n">
        <v>3.67</v>
      </c>
      <c r="P106" s="67" t="n">
        <v>0.647</v>
      </c>
      <c r="Q106" s="67" t="n">
        <v>1.562</v>
      </c>
      <c r="R106" s="67" t="n">
        <v>1.9185</v>
      </c>
      <c r="S106" s="68" t="s">
        <v>200</v>
      </c>
      <c r="T106" s="68" t="s">
        <v>201</v>
      </c>
      <c r="U106" s="68" t="s">
        <v>202</v>
      </c>
      <c r="V106" s="69"/>
      <c r="W106" s="68" t="s">
        <v>428</v>
      </c>
      <c r="X106" s="68" t="n">
        <v>0.926122685181326</v>
      </c>
      <c r="Y106" s="68" t="n">
        <v>18.5224537036265</v>
      </c>
      <c r="Z106" s="68" t="n">
        <v>20</v>
      </c>
      <c r="AA106" s="70"/>
    </row>
    <row r="107" customFormat="false" ht="14.25" hidden="false" customHeight="false" outlineLevel="0" collapsed="false">
      <c r="A107" s="56"/>
      <c r="B107" s="56"/>
      <c r="C107" s="64" t="n">
        <v>102</v>
      </c>
      <c r="D107" s="71" t="s">
        <v>431</v>
      </c>
      <c r="E107" s="71" t="s">
        <v>432</v>
      </c>
      <c r="F107" s="71" t="s">
        <v>430</v>
      </c>
      <c r="G107" s="66" t="n">
        <v>44</v>
      </c>
      <c r="H107" s="67" t="n">
        <v>0.213</v>
      </c>
      <c r="I107" s="67" t="n">
        <v>340</v>
      </c>
      <c r="J107" s="67" t="n">
        <v>340</v>
      </c>
      <c r="K107" s="67" t="n">
        <v>340</v>
      </c>
      <c r="L107" s="68" t="s">
        <v>199</v>
      </c>
      <c r="M107" s="67" t="n">
        <v>0.3085</v>
      </c>
      <c r="N107" s="67" t="n">
        <v>0.511</v>
      </c>
      <c r="O107" s="67" t="n">
        <v>3.67</v>
      </c>
      <c r="P107" s="67" t="n">
        <v>0.647</v>
      </c>
      <c r="Q107" s="67" t="n">
        <v>1.562</v>
      </c>
      <c r="R107" s="67" t="n">
        <v>1.9185</v>
      </c>
      <c r="S107" s="68" t="s">
        <v>200</v>
      </c>
      <c r="T107" s="68" t="s">
        <v>201</v>
      </c>
      <c r="U107" s="68" t="s">
        <v>202</v>
      </c>
      <c r="V107" s="69"/>
      <c r="W107" s="68" t="s">
        <v>428</v>
      </c>
      <c r="X107" s="68" t="n">
        <v>0.926122685181326</v>
      </c>
      <c r="Y107" s="68" t="n">
        <v>18.5224537036265</v>
      </c>
      <c r="Z107" s="68" t="n">
        <v>20</v>
      </c>
      <c r="AA107" s="70"/>
    </row>
    <row r="108" customFormat="false" ht="14.25" hidden="false" customHeight="false" outlineLevel="0" collapsed="false">
      <c r="A108" s="56"/>
      <c r="B108" s="56"/>
      <c r="C108" s="64" t="n">
        <v>103</v>
      </c>
      <c r="D108" s="71" t="s">
        <v>433</v>
      </c>
      <c r="E108" s="71" t="s">
        <v>434</v>
      </c>
      <c r="F108" s="71" t="s">
        <v>435</v>
      </c>
      <c r="G108" s="66" t="n">
        <v>44</v>
      </c>
      <c r="H108" s="67" t="n">
        <v>0.317</v>
      </c>
      <c r="I108" s="67" t="n">
        <v>340</v>
      </c>
      <c r="J108" s="67" t="n">
        <v>340</v>
      </c>
      <c r="K108" s="67" t="n">
        <v>340</v>
      </c>
      <c r="L108" s="68" t="s">
        <v>199</v>
      </c>
      <c r="M108" s="67" t="n">
        <v>0.3085</v>
      </c>
      <c r="N108" s="67" t="n">
        <v>0.511</v>
      </c>
      <c r="O108" s="67" t="n">
        <v>3.67</v>
      </c>
      <c r="P108" s="67" t="n">
        <v>0.647</v>
      </c>
      <c r="Q108" s="67" t="n">
        <v>1.562</v>
      </c>
      <c r="R108" s="67" t="n">
        <v>1.9185</v>
      </c>
      <c r="S108" s="68" t="s">
        <v>200</v>
      </c>
      <c r="T108" s="68" t="s">
        <v>201</v>
      </c>
      <c r="U108" s="68" t="s">
        <v>202</v>
      </c>
      <c r="V108" s="69"/>
      <c r="W108" s="68" t="s">
        <v>428</v>
      </c>
      <c r="X108" s="68" t="n">
        <v>0.926122685181326</v>
      </c>
      <c r="Y108" s="68" t="n">
        <v>18.5224537036265</v>
      </c>
      <c r="Z108" s="68" t="n">
        <v>20</v>
      </c>
      <c r="AA108" s="70"/>
    </row>
    <row r="109" customFormat="false" ht="14.25" hidden="false" customHeight="false" outlineLevel="0" collapsed="false">
      <c r="A109" s="56"/>
      <c r="B109" s="56"/>
      <c r="C109" s="64" t="n">
        <v>104</v>
      </c>
      <c r="D109" s="71" t="s">
        <v>436</v>
      </c>
      <c r="E109" s="71" t="s">
        <v>437</v>
      </c>
      <c r="F109" s="71" t="s">
        <v>424</v>
      </c>
      <c r="G109" s="66" t="n">
        <v>44</v>
      </c>
      <c r="H109" s="67" t="n">
        <v>2.155</v>
      </c>
      <c r="I109" s="67" t="n">
        <v>371</v>
      </c>
      <c r="J109" s="67" t="n">
        <v>371</v>
      </c>
      <c r="K109" s="67" t="n">
        <v>371</v>
      </c>
      <c r="L109" s="68" t="s">
        <v>199</v>
      </c>
      <c r="M109" s="67" t="n">
        <v>0.277924</v>
      </c>
      <c r="N109" s="67" t="n">
        <v>0.291019</v>
      </c>
      <c r="O109" s="67" t="n">
        <v>5.855192</v>
      </c>
      <c r="P109" s="67" t="n">
        <v>0.805696</v>
      </c>
      <c r="Q109" s="67" t="n">
        <v>1.188238</v>
      </c>
      <c r="R109" s="67" t="n">
        <v>2.73325</v>
      </c>
      <c r="S109" s="68" t="s">
        <v>200</v>
      </c>
      <c r="T109" s="68" t="s">
        <v>201</v>
      </c>
      <c r="U109" s="68" t="s">
        <v>202</v>
      </c>
      <c r="V109" s="69"/>
      <c r="W109" s="68" t="s">
        <v>207</v>
      </c>
      <c r="X109" s="68" t="n">
        <v>2.26586419753342</v>
      </c>
      <c r="Y109" s="68" t="n">
        <v>13.5951851852005</v>
      </c>
      <c r="Z109" s="68" t="n">
        <v>6</v>
      </c>
      <c r="AA109" s="70"/>
    </row>
    <row r="110" customFormat="false" ht="14.25" hidden="false" customHeight="false" outlineLevel="0" collapsed="false">
      <c r="A110" s="56"/>
      <c r="B110" s="56"/>
      <c r="C110" s="64" t="n">
        <v>105</v>
      </c>
      <c r="D110" s="71" t="s">
        <v>438</v>
      </c>
      <c r="E110" s="71" t="s">
        <v>439</v>
      </c>
      <c r="F110" s="71" t="s">
        <v>424</v>
      </c>
      <c r="G110" s="66" t="n">
        <v>44</v>
      </c>
      <c r="H110" s="67" t="n">
        <v>2.373</v>
      </c>
      <c r="I110" s="67" t="n">
        <v>340</v>
      </c>
      <c r="J110" s="67" t="n">
        <v>340</v>
      </c>
      <c r="K110" s="67" t="n">
        <v>340</v>
      </c>
      <c r="L110" s="68" t="s">
        <v>199</v>
      </c>
      <c r="M110" s="67" t="n">
        <v>0.3085</v>
      </c>
      <c r="N110" s="67" t="n">
        <v>0.511</v>
      </c>
      <c r="O110" s="67" t="n">
        <v>3.67</v>
      </c>
      <c r="P110" s="67" t="n">
        <v>0.647</v>
      </c>
      <c r="Q110" s="67" t="n">
        <v>1.562</v>
      </c>
      <c r="R110" s="67" t="n">
        <v>1.9185</v>
      </c>
      <c r="S110" s="68" t="s">
        <v>200</v>
      </c>
      <c r="T110" s="68" t="s">
        <v>201</v>
      </c>
      <c r="U110" s="68" t="s">
        <v>202</v>
      </c>
      <c r="V110" s="69"/>
      <c r="W110" s="68" t="s">
        <v>428</v>
      </c>
      <c r="X110" s="68" t="n">
        <v>0.841391093469048</v>
      </c>
      <c r="Y110" s="68" t="n">
        <v>17.66921296285</v>
      </c>
      <c r="Z110" s="68" t="n">
        <v>21</v>
      </c>
      <c r="AA110" s="70"/>
    </row>
    <row r="111" customFormat="false" ht="14.25" hidden="false" customHeight="false" outlineLevel="0" collapsed="false">
      <c r="A111" s="56"/>
      <c r="B111" s="56"/>
      <c r="C111" s="64" t="n">
        <v>106</v>
      </c>
      <c r="D111" s="71" t="s">
        <v>440</v>
      </c>
      <c r="E111" s="71" t="s">
        <v>406</v>
      </c>
      <c r="F111" s="71" t="s">
        <v>439</v>
      </c>
      <c r="G111" s="66" t="n">
        <v>44</v>
      </c>
      <c r="H111" s="67" t="n">
        <v>2.056</v>
      </c>
      <c r="I111" s="67" t="n">
        <v>340</v>
      </c>
      <c r="J111" s="67" t="n">
        <v>340</v>
      </c>
      <c r="K111" s="67" t="n">
        <v>340</v>
      </c>
      <c r="L111" s="68" t="s">
        <v>199</v>
      </c>
      <c r="M111" s="67" t="n">
        <v>0.3085</v>
      </c>
      <c r="N111" s="67" t="n">
        <v>0.511</v>
      </c>
      <c r="O111" s="67" t="n">
        <v>3.67</v>
      </c>
      <c r="P111" s="67" t="n">
        <v>0.647</v>
      </c>
      <c r="Q111" s="67" t="n">
        <v>1.562</v>
      </c>
      <c r="R111" s="67" t="n">
        <v>1.9185</v>
      </c>
      <c r="S111" s="68" t="s">
        <v>200</v>
      </c>
      <c r="T111" s="68" t="s">
        <v>201</v>
      </c>
      <c r="U111" s="68" t="s">
        <v>202</v>
      </c>
      <c r="V111" s="69"/>
      <c r="W111" s="68" t="s">
        <v>428</v>
      </c>
      <c r="X111" s="68" t="n">
        <v>0.841391093469048</v>
      </c>
      <c r="Y111" s="68" t="n">
        <v>17.66921296285</v>
      </c>
      <c r="Z111" s="68" t="n">
        <v>21</v>
      </c>
      <c r="AA111" s="70"/>
    </row>
    <row r="112" customFormat="false" ht="14.25" hidden="false" customHeight="false" outlineLevel="0" collapsed="false">
      <c r="A112" s="56"/>
      <c r="B112" s="56"/>
      <c r="C112" s="64" t="n">
        <v>107</v>
      </c>
      <c r="D112" s="71" t="s">
        <v>441</v>
      </c>
      <c r="E112" s="71" t="s">
        <v>406</v>
      </c>
      <c r="F112" s="71" t="s">
        <v>442</v>
      </c>
      <c r="G112" s="66" t="n">
        <v>44</v>
      </c>
      <c r="H112" s="67" t="n">
        <v>1.178</v>
      </c>
      <c r="I112" s="67" t="n">
        <v>371</v>
      </c>
      <c r="J112" s="67" t="n">
        <v>371</v>
      </c>
      <c r="K112" s="67" t="n">
        <v>371</v>
      </c>
      <c r="L112" s="68" t="s">
        <v>199</v>
      </c>
      <c r="M112" s="67" t="n">
        <v>0.277924</v>
      </c>
      <c r="N112" s="67" t="n">
        <v>0.291019</v>
      </c>
      <c r="O112" s="67" t="n">
        <v>5.855192</v>
      </c>
      <c r="P112" s="67" t="n">
        <v>0.805696</v>
      </c>
      <c r="Q112" s="67" t="n">
        <v>1.188238</v>
      </c>
      <c r="R112" s="67" t="n">
        <v>2.73325</v>
      </c>
      <c r="S112" s="68" t="s">
        <v>200</v>
      </c>
      <c r="T112" s="68" t="s">
        <v>201</v>
      </c>
      <c r="U112" s="68" t="s">
        <v>202</v>
      </c>
      <c r="V112" s="69"/>
      <c r="W112" s="68" t="s">
        <v>207</v>
      </c>
      <c r="X112" s="68" t="n">
        <v>0.841391093469048</v>
      </c>
      <c r="Y112" s="68" t="n">
        <v>17.66921296285</v>
      </c>
      <c r="Z112" s="68" t="n">
        <v>21</v>
      </c>
      <c r="AA112" s="70"/>
    </row>
    <row r="113" customFormat="false" ht="14.25" hidden="false" customHeight="false" outlineLevel="0" collapsed="false">
      <c r="A113" s="56"/>
      <c r="B113" s="56"/>
      <c r="C113" s="64" t="n">
        <v>108</v>
      </c>
      <c r="D113" s="71" t="s">
        <v>443</v>
      </c>
      <c r="E113" s="71" t="s">
        <v>444</v>
      </c>
      <c r="F113" s="71" t="s">
        <v>439</v>
      </c>
      <c r="G113" s="66" t="n">
        <v>44</v>
      </c>
      <c r="H113" s="67" t="n">
        <v>1.6107</v>
      </c>
      <c r="I113" s="67" t="n">
        <v>340</v>
      </c>
      <c r="J113" s="67" t="n">
        <v>340</v>
      </c>
      <c r="K113" s="67" t="n">
        <v>340</v>
      </c>
      <c r="L113" s="68" t="s">
        <v>199</v>
      </c>
      <c r="M113" s="67" t="n">
        <v>0.3085</v>
      </c>
      <c r="N113" s="67" t="n">
        <v>0.511</v>
      </c>
      <c r="O113" s="67" t="n">
        <v>3.67</v>
      </c>
      <c r="P113" s="67" t="n">
        <v>0.647</v>
      </c>
      <c r="Q113" s="67" t="n">
        <v>1.562</v>
      </c>
      <c r="R113" s="67" t="n">
        <v>1.9185</v>
      </c>
      <c r="S113" s="68" t="s">
        <v>200</v>
      </c>
      <c r="T113" s="68" t="s">
        <v>201</v>
      </c>
      <c r="U113" s="68" t="s">
        <v>202</v>
      </c>
      <c r="V113" s="69"/>
      <c r="W113" s="68" t="s">
        <v>428</v>
      </c>
      <c r="X113" s="68" t="n">
        <v>0.841391093469048</v>
      </c>
      <c r="Y113" s="68" t="n">
        <v>17.66921296285</v>
      </c>
      <c r="Z113" s="68" t="n">
        <v>21</v>
      </c>
      <c r="AA113" s="70" t="s">
        <v>237</v>
      </c>
    </row>
    <row r="114" customFormat="false" ht="14.25" hidden="false" customHeight="false" outlineLevel="0" collapsed="false">
      <c r="A114" s="56"/>
      <c r="B114" s="56"/>
      <c r="C114" s="64" t="n">
        <v>109</v>
      </c>
      <c r="D114" s="71" t="s">
        <v>445</v>
      </c>
      <c r="E114" s="71" t="s">
        <v>442</v>
      </c>
      <c r="F114" s="71" t="s">
        <v>446</v>
      </c>
      <c r="G114" s="66" t="n">
        <v>44</v>
      </c>
      <c r="H114" s="67" t="n">
        <v>0.96</v>
      </c>
      <c r="I114" s="67" t="n">
        <v>371</v>
      </c>
      <c r="J114" s="67" t="n">
        <v>371</v>
      </c>
      <c r="K114" s="67" t="n">
        <v>371</v>
      </c>
      <c r="L114" s="68" t="s">
        <v>199</v>
      </c>
      <c r="M114" s="67" t="n">
        <v>0.277924</v>
      </c>
      <c r="N114" s="67" t="n">
        <v>0.291019</v>
      </c>
      <c r="O114" s="67" t="n">
        <v>5.855192</v>
      </c>
      <c r="P114" s="67" t="n">
        <v>0.805696</v>
      </c>
      <c r="Q114" s="67" t="n">
        <v>1.188238</v>
      </c>
      <c r="R114" s="67" t="n">
        <v>2.73325</v>
      </c>
      <c r="S114" s="68" t="s">
        <v>200</v>
      </c>
      <c r="T114" s="68" t="s">
        <v>201</v>
      </c>
      <c r="U114" s="68" t="s">
        <v>202</v>
      </c>
      <c r="V114" s="69"/>
      <c r="W114" s="68" t="s">
        <v>207</v>
      </c>
      <c r="X114" s="68" t="n">
        <v>0.841391093469048</v>
      </c>
      <c r="Y114" s="68" t="n">
        <v>17.66921296285</v>
      </c>
      <c r="Z114" s="68" t="n">
        <v>21</v>
      </c>
      <c r="AA114" s="70"/>
    </row>
    <row r="115" customFormat="false" ht="14.25" hidden="false" customHeight="false" outlineLevel="0" collapsed="false">
      <c r="A115" s="56"/>
      <c r="B115" s="56"/>
      <c r="C115" s="64" t="n">
        <v>110</v>
      </c>
      <c r="D115" s="71" t="s">
        <v>447</v>
      </c>
      <c r="E115" s="71" t="s">
        <v>446</v>
      </c>
      <c r="F115" s="71" t="s">
        <v>448</v>
      </c>
      <c r="G115" s="66" t="n">
        <v>44</v>
      </c>
      <c r="H115" s="67" t="n">
        <v>1.739</v>
      </c>
      <c r="I115" s="67" t="n">
        <v>371</v>
      </c>
      <c r="J115" s="67" t="n">
        <v>371</v>
      </c>
      <c r="K115" s="67" t="n">
        <v>371</v>
      </c>
      <c r="L115" s="68" t="s">
        <v>199</v>
      </c>
      <c r="M115" s="67" t="n">
        <v>0.277924</v>
      </c>
      <c r="N115" s="67" t="n">
        <v>0.291019</v>
      </c>
      <c r="O115" s="67" t="n">
        <v>5.855192</v>
      </c>
      <c r="P115" s="67" t="n">
        <v>0.805696</v>
      </c>
      <c r="Q115" s="67" t="n">
        <v>1.188238</v>
      </c>
      <c r="R115" s="67" t="n">
        <v>2.73325</v>
      </c>
      <c r="S115" s="68" t="s">
        <v>200</v>
      </c>
      <c r="T115" s="68" t="s">
        <v>201</v>
      </c>
      <c r="U115" s="68" t="s">
        <v>202</v>
      </c>
      <c r="V115" s="69"/>
      <c r="W115" s="68" t="s">
        <v>207</v>
      </c>
      <c r="X115" s="68" t="n">
        <v>0.841391093469048</v>
      </c>
      <c r="Y115" s="68" t="n">
        <v>17.66921296285</v>
      </c>
      <c r="Z115" s="68" t="n">
        <v>21</v>
      </c>
      <c r="AA115" s="70"/>
    </row>
    <row r="116" customFormat="false" ht="14.25" hidden="false" customHeight="false" outlineLevel="0" collapsed="false">
      <c r="A116" s="56"/>
      <c r="B116" s="56"/>
      <c r="C116" s="64" t="n">
        <v>111</v>
      </c>
      <c r="D116" s="71" t="s">
        <v>449</v>
      </c>
      <c r="E116" s="71" t="s">
        <v>448</v>
      </c>
      <c r="F116" s="71" t="s">
        <v>450</v>
      </c>
      <c r="G116" s="66" t="n">
        <v>44</v>
      </c>
      <c r="H116" s="67" t="n">
        <v>1.271</v>
      </c>
      <c r="I116" s="67" t="n">
        <v>371</v>
      </c>
      <c r="J116" s="67" t="n">
        <v>371</v>
      </c>
      <c r="K116" s="67" t="n">
        <v>371</v>
      </c>
      <c r="L116" s="68" t="s">
        <v>199</v>
      </c>
      <c r="M116" s="67" t="n">
        <v>0.277924</v>
      </c>
      <c r="N116" s="67" t="n">
        <v>0.291019</v>
      </c>
      <c r="O116" s="67" t="n">
        <v>5.855192</v>
      </c>
      <c r="P116" s="67" t="n">
        <v>0.805696</v>
      </c>
      <c r="Q116" s="67" t="n">
        <v>1.188238</v>
      </c>
      <c r="R116" s="67" t="n">
        <v>2.73325</v>
      </c>
      <c r="S116" s="68" t="s">
        <v>200</v>
      </c>
      <c r="T116" s="68" t="s">
        <v>201</v>
      </c>
      <c r="U116" s="68" t="s">
        <v>202</v>
      </c>
      <c r="V116" s="69"/>
      <c r="W116" s="68" t="s">
        <v>207</v>
      </c>
      <c r="X116" s="68" t="n">
        <v>0.841391093469048</v>
      </c>
      <c r="Y116" s="68" t="n">
        <v>17.66921296285</v>
      </c>
      <c r="Z116" s="68" t="n">
        <v>21</v>
      </c>
      <c r="AA116" s="70"/>
    </row>
    <row r="117" customFormat="false" ht="14.25" hidden="false" customHeight="false" outlineLevel="0" collapsed="false">
      <c r="A117" s="56"/>
      <c r="B117" s="56"/>
      <c r="C117" s="64" t="n">
        <v>112</v>
      </c>
      <c r="D117" s="71" t="s">
        <v>451</v>
      </c>
      <c r="E117" s="71" t="s">
        <v>439</v>
      </c>
      <c r="F117" s="71" t="s">
        <v>435</v>
      </c>
      <c r="G117" s="66" t="n">
        <v>44</v>
      </c>
      <c r="H117" s="67" t="n">
        <v>0.395</v>
      </c>
      <c r="I117" s="67" t="n">
        <v>340</v>
      </c>
      <c r="J117" s="67" t="n">
        <v>340</v>
      </c>
      <c r="K117" s="67" t="n">
        <v>340</v>
      </c>
      <c r="L117" s="68" t="s">
        <v>199</v>
      </c>
      <c r="M117" s="67" t="n">
        <v>0.3085</v>
      </c>
      <c r="N117" s="67" t="n">
        <v>0.511</v>
      </c>
      <c r="O117" s="67" t="n">
        <v>3.67</v>
      </c>
      <c r="P117" s="67" t="n">
        <v>0.647</v>
      </c>
      <c r="Q117" s="67" t="n">
        <v>1.562</v>
      </c>
      <c r="R117" s="67" t="n">
        <v>1.9185</v>
      </c>
      <c r="S117" s="68" t="s">
        <v>200</v>
      </c>
      <c r="T117" s="68" t="s">
        <v>201</v>
      </c>
      <c r="U117" s="68" t="s">
        <v>202</v>
      </c>
      <c r="V117" s="69"/>
      <c r="W117" s="68" t="s">
        <v>428</v>
      </c>
      <c r="X117" s="68" t="n">
        <v>0.841391093469048</v>
      </c>
      <c r="Y117" s="68" t="n">
        <v>17.66921296285</v>
      </c>
      <c r="Z117" s="68" t="n">
        <v>21</v>
      </c>
      <c r="AA117" s="70"/>
    </row>
    <row r="118" customFormat="false" ht="14.25" hidden="false" customHeight="false" outlineLevel="0" collapsed="false">
      <c r="A118" s="56"/>
      <c r="B118" s="56"/>
      <c r="C118" s="64" t="n">
        <v>113</v>
      </c>
      <c r="D118" s="71" t="s">
        <v>452</v>
      </c>
      <c r="E118" s="71" t="s">
        <v>450</v>
      </c>
      <c r="F118" s="71" t="s">
        <v>453</v>
      </c>
      <c r="G118" s="66" t="n">
        <v>44</v>
      </c>
      <c r="H118" s="67" t="n">
        <v>1.903</v>
      </c>
      <c r="I118" s="67" t="n">
        <v>371</v>
      </c>
      <c r="J118" s="67" t="n">
        <v>371</v>
      </c>
      <c r="K118" s="67" t="n">
        <v>371</v>
      </c>
      <c r="L118" s="68" t="s">
        <v>199</v>
      </c>
      <c r="M118" s="67" t="n">
        <v>0.277924</v>
      </c>
      <c r="N118" s="67" t="n">
        <v>0.291019</v>
      </c>
      <c r="O118" s="67" t="n">
        <v>5.855192</v>
      </c>
      <c r="P118" s="67" t="n">
        <v>0.805696</v>
      </c>
      <c r="Q118" s="67" t="n">
        <v>1.188238</v>
      </c>
      <c r="R118" s="67" t="n">
        <v>2.73325</v>
      </c>
      <c r="S118" s="68" t="s">
        <v>200</v>
      </c>
      <c r="T118" s="68" t="s">
        <v>201</v>
      </c>
      <c r="U118" s="68" t="s">
        <v>202</v>
      </c>
      <c r="V118" s="69"/>
      <c r="W118" s="68" t="s">
        <v>207</v>
      </c>
      <c r="X118" s="68" t="n">
        <v>0.841391093469048</v>
      </c>
      <c r="Y118" s="68" t="n">
        <v>17.66921296285</v>
      </c>
      <c r="Z118" s="68" t="n">
        <v>21</v>
      </c>
      <c r="AA118" s="70"/>
    </row>
    <row r="119" customFormat="false" ht="14.25" hidden="false" customHeight="false" outlineLevel="0" collapsed="false">
      <c r="A119" s="56"/>
      <c r="B119" s="56"/>
      <c r="C119" s="64" t="n">
        <v>114</v>
      </c>
      <c r="D119" s="71" t="s">
        <v>454</v>
      </c>
      <c r="E119" s="71" t="s">
        <v>453</v>
      </c>
      <c r="F119" s="71" t="s">
        <v>455</v>
      </c>
      <c r="G119" s="66" t="n">
        <v>44</v>
      </c>
      <c r="H119" s="67" t="n">
        <v>1.4</v>
      </c>
      <c r="I119" s="67" t="n">
        <v>371</v>
      </c>
      <c r="J119" s="67" t="n">
        <v>371</v>
      </c>
      <c r="K119" s="67" t="n">
        <v>371</v>
      </c>
      <c r="L119" s="68" t="s">
        <v>199</v>
      </c>
      <c r="M119" s="67" t="n">
        <v>0.277924</v>
      </c>
      <c r="N119" s="67" t="n">
        <v>0.291019</v>
      </c>
      <c r="O119" s="67" t="n">
        <v>5.855192</v>
      </c>
      <c r="P119" s="67" t="n">
        <v>0.805696</v>
      </c>
      <c r="Q119" s="67" t="n">
        <v>1.188238</v>
      </c>
      <c r="R119" s="67" t="n">
        <v>2.73325</v>
      </c>
      <c r="S119" s="68" t="s">
        <v>200</v>
      </c>
      <c r="T119" s="68" t="s">
        <v>201</v>
      </c>
      <c r="U119" s="68" t="s">
        <v>202</v>
      </c>
      <c r="V119" s="69"/>
      <c r="W119" s="68" t="s">
        <v>207</v>
      </c>
      <c r="X119" s="68" t="n">
        <v>0.841391093469048</v>
      </c>
      <c r="Y119" s="68" t="n">
        <v>17.66921296285</v>
      </c>
      <c r="Z119" s="68" t="n">
        <v>21</v>
      </c>
      <c r="AA119" s="70"/>
    </row>
    <row r="120" customFormat="false" ht="14.25" hidden="false" customHeight="false" outlineLevel="0" collapsed="false">
      <c r="A120" s="56"/>
      <c r="B120" s="56"/>
      <c r="C120" s="64" t="n">
        <v>115</v>
      </c>
      <c r="D120" s="71" t="s">
        <v>456</v>
      </c>
      <c r="E120" s="71" t="s">
        <v>455</v>
      </c>
      <c r="F120" s="71" t="s">
        <v>457</v>
      </c>
      <c r="G120" s="66" t="n">
        <v>44</v>
      </c>
      <c r="H120" s="67" t="n">
        <v>1.4</v>
      </c>
      <c r="I120" s="67" t="n">
        <v>371</v>
      </c>
      <c r="J120" s="67" t="n">
        <v>371</v>
      </c>
      <c r="K120" s="67" t="n">
        <v>371</v>
      </c>
      <c r="L120" s="68" t="s">
        <v>199</v>
      </c>
      <c r="M120" s="67" t="n">
        <v>0.277924</v>
      </c>
      <c r="N120" s="67" t="n">
        <v>0.291019</v>
      </c>
      <c r="O120" s="67" t="n">
        <v>5.855192</v>
      </c>
      <c r="P120" s="67" t="n">
        <v>0.805696</v>
      </c>
      <c r="Q120" s="67" t="n">
        <v>1.188238</v>
      </c>
      <c r="R120" s="67" t="n">
        <v>2.73325</v>
      </c>
      <c r="S120" s="68" t="s">
        <v>200</v>
      </c>
      <c r="T120" s="68" t="s">
        <v>201</v>
      </c>
      <c r="U120" s="68" t="s">
        <v>202</v>
      </c>
      <c r="V120" s="69"/>
      <c r="W120" s="68" t="s">
        <v>207</v>
      </c>
      <c r="X120" s="68" t="n">
        <v>0.841391093469048</v>
      </c>
      <c r="Y120" s="68" t="n">
        <v>17.66921296285</v>
      </c>
      <c r="Z120" s="68" t="n">
        <v>21</v>
      </c>
      <c r="AA120" s="70"/>
    </row>
    <row r="121" customFormat="false" ht="14.25" hidden="false" customHeight="false" outlineLevel="0" collapsed="false">
      <c r="A121" s="56"/>
      <c r="B121" s="56"/>
      <c r="C121" s="64" t="n">
        <v>116</v>
      </c>
      <c r="D121" s="71" t="s">
        <v>458</v>
      </c>
      <c r="E121" s="71" t="s">
        <v>455</v>
      </c>
      <c r="F121" s="71" t="s">
        <v>459</v>
      </c>
      <c r="G121" s="66" t="n">
        <v>44</v>
      </c>
      <c r="H121" s="67" t="n">
        <v>0.7840005</v>
      </c>
      <c r="I121" s="67" t="n">
        <v>371</v>
      </c>
      <c r="J121" s="67" t="n">
        <v>371</v>
      </c>
      <c r="K121" s="67" t="n">
        <v>371</v>
      </c>
      <c r="L121" s="68" t="s">
        <v>199</v>
      </c>
      <c r="M121" s="67" t="n">
        <v>0.277924</v>
      </c>
      <c r="N121" s="67" t="n">
        <v>0.291019</v>
      </c>
      <c r="O121" s="67" t="n">
        <v>5.855192</v>
      </c>
      <c r="P121" s="67" t="n">
        <v>0.805696</v>
      </c>
      <c r="Q121" s="67" t="n">
        <v>1.188238</v>
      </c>
      <c r="R121" s="67" t="n">
        <v>2.73325</v>
      </c>
      <c r="S121" s="68" t="s">
        <v>200</v>
      </c>
      <c r="T121" s="68" t="s">
        <v>201</v>
      </c>
      <c r="U121" s="68" t="s">
        <v>202</v>
      </c>
      <c r="V121" s="69"/>
      <c r="W121" s="68" t="s">
        <v>207</v>
      </c>
      <c r="X121" s="68" t="n">
        <v>0.841391093469048</v>
      </c>
      <c r="Y121" s="68" t="n">
        <v>17.66921296285</v>
      </c>
      <c r="Z121" s="68" t="n">
        <v>21</v>
      </c>
      <c r="AA121" s="70" t="s">
        <v>231</v>
      </c>
    </row>
    <row r="122" customFormat="false" ht="14.25" hidden="false" customHeight="false" outlineLevel="0" collapsed="false">
      <c r="C122" s="64" t="n">
        <v>117</v>
      </c>
      <c r="D122" s="71" t="s">
        <v>460</v>
      </c>
      <c r="E122" s="71" t="s">
        <v>461</v>
      </c>
      <c r="F122" s="71" t="s">
        <v>462</v>
      </c>
      <c r="G122" s="66" t="n">
        <v>44</v>
      </c>
      <c r="H122" s="67" t="n">
        <v>0.2441</v>
      </c>
      <c r="I122" s="67" t="n">
        <v>371</v>
      </c>
      <c r="J122" s="67" t="n">
        <v>371</v>
      </c>
      <c r="K122" s="67" t="n">
        <v>371</v>
      </c>
      <c r="L122" s="68" t="s">
        <v>199</v>
      </c>
      <c r="M122" s="67" t="n">
        <v>0.104319</v>
      </c>
      <c r="N122" s="67" t="n">
        <v>0.247544</v>
      </c>
      <c r="O122" s="67" t="n">
        <v>45.27589</v>
      </c>
      <c r="P122" s="67" t="n">
        <v>1.063424</v>
      </c>
      <c r="Q122" s="67" t="n">
        <v>0.811099</v>
      </c>
      <c r="R122" s="67" t="n">
        <v>45.27589</v>
      </c>
      <c r="S122" s="68" t="s">
        <v>200</v>
      </c>
      <c r="T122" s="68" t="s">
        <v>201</v>
      </c>
      <c r="U122" s="68" t="s">
        <v>202</v>
      </c>
      <c r="V122" s="69"/>
      <c r="W122" s="68" t="s">
        <v>211</v>
      </c>
      <c r="X122" s="68" t="n">
        <v>7.26526154400085</v>
      </c>
      <c r="Y122" s="68" t="n">
        <v>186.475046296022</v>
      </c>
      <c r="Z122" s="68" t="n">
        <v>25.6666666666667</v>
      </c>
      <c r="AA122" s="70"/>
    </row>
    <row r="123" customFormat="false" ht="14.25" hidden="false" customHeight="false" outlineLevel="0" collapsed="false">
      <c r="C123" s="64" t="n">
        <v>118</v>
      </c>
      <c r="D123" s="71" t="s">
        <v>463</v>
      </c>
      <c r="E123" s="71" t="s">
        <v>461</v>
      </c>
      <c r="F123" s="71" t="s">
        <v>464</v>
      </c>
      <c r="G123" s="66" t="n">
        <v>44</v>
      </c>
      <c r="H123" s="67" t="n">
        <v>0.681</v>
      </c>
      <c r="I123" s="67" t="n">
        <v>371</v>
      </c>
      <c r="J123" s="67" t="n">
        <v>371</v>
      </c>
      <c r="K123" s="67" t="n">
        <v>371</v>
      </c>
      <c r="L123" s="68" t="s">
        <v>199</v>
      </c>
      <c r="M123" s="67" t="n">
        <v>0.277924</v>
      </c>
      <c r="N123" s="67" t="n">
        <v>0.291019</v>
      </c>
      <c r="O123" s="67" t="n">
        <v>5.855192</v>
      </c>
      <c r="P123" s="67" t="n">
        <v>0.805696</v>
      </c>
      <c r="Q123" s="67" t="n">
        <v>1.188238</v>
      </c>
      <c r="R123" s="67" t="n">
        <v>2.73325</v>
      </c>
      <c r="S123" s="68" t="s">
        <v>200</v>
      </c>
      <c r="T123" s="68" t="s">
        <v>201</v>
      </c>
      <c r="U123" s="68" t="s">
        <v>202</v>
      </c>
      <c r="V123" s="69"/>
      <c r="W123" s="68" t="s">
        <v>207</v>
      </c>
      <c r="X123" s="68" t="n">
        <v>7.26526154400085</v>
      </c>
      <c r="Y123" s="68" t="n">
        <v>186.475046296022</v>
      </c>
      <c r="Z123" s="68" t="n">
        <v>25.6666666666667</v>
      </c>
      <c r="AA123" s="70"/>
    </row>
    <row r="124" customFormat="false" ht="14.25" hidden="false" customHeight="false" outlineLevel="0" collapsed="false">
      <c r="C124" s="64" t="n">
        <v>119</v>
      </c>
      <c r="D124" s="71" t="s">
        <v>465</v>
      </c>
      <c r="E124" s="71" t="s">
        <v>461</v>
      </c>
      <c r="F124" s="71" t="s">
        <v>466</v>
      </c>
      <c r="G124" s="66" t="n">
        <v>44</v>
      </c>
      <c r="H124" s="67" t="n">
        <v>0.542</v>
      </c>
      <c r="I124" s="67" t="n">
        <v>371</v>
      </c>
      <c r="J124" s="67" t="n">
        <v>371</v>
      </c>
      <c r="K124" s="67" t="n">
        <v>371</v>
      </c>
      <c r="L124" s="68" t="s">
        <v>199</v>
      </c>
      <c r="M124" s="67" t="n">
        <v>0.277924</v>
      </c>
      <c r="N124" s="67" t="n">
        <v>0.291019</v>
      </c>
      <c r="O124" s="67" t="n">
        <v>5.855192</v>
      </c>
      <c r="P124" s="67" t="n">
        <v>0.805696</v>
      </c>
      <c r="Q124" s="67" t="n">
        <v>1.188238</v>
      </c>
      <c r="R124" s="67" t="n">
        <v>2.73325</v>
      </c>
      <c r="S124" s="68" t="s">
        <v>200</v>
      </c>
      <c r="T124" s="68" t="s">
        <v>201</v>
      </c>
      <c r="U124" s="68" t="s">
        <v>202</v>
      </c>
      <c r="V124" s="69"/>
      <c r="W124" s="68" t="s">
        <v>207</v>
      </c>
      <c r="X124" s="68" t="n">
        <v>7.26526154400085</v>
      </c>
      <c r="Y124" s="68" t="n">
        <v>186.475046296022</v>
      </c>
      <c r="Z124" s="68" t="n">
        <v>25.6666666666667</v>
      </c>
      <c r="AA124" s="70"/>
    </row>
    <row r="125" customFormat="false" ht="14.25" hidden="false" customHeight="false" outlineLevel="0" collapsed="false">
      <c r="B125" s="56"/>
      <c r="C125" s="64" t="n">
        <v>120</v>
      </c>
      <c r="D125" s="71" t="s">
        <v>467</v>
      </c>
      <c r="E125" s="71" t="s">
        <v>466</v>
      </c>
      <c r="F125" s="71" t="s">
        <v>468</v>
      </c>
      <c r="G125" s="66" t="n">
        <v>44</v>
      </c>
      <c r="H125" s="67" t="n">
        <v>1.3961</v>
      </c>
      <c r="I125" s="67" t="n">
        <v>371</v>
      </c>
      <c r="J125" s="67" t="n">
        <v>371</v>
      </c>
      <c r="K125" s="67" t="n">
        <v>371</v>
      </c>
      <c r="L125" s="68" t="s">
        <v>199</v>
      </c>
      <c r="M125" s="67" t="n">
        <v>0.291367</v>
      </c>
      <c r="N125" s="67" t="n">
        <v>0.412245</v>
      </c>
      <c r="O125" s="67" t="n">
        <v>4.03002</v>
      </c>
      <c r="P125" s="67" t="n">
        <v>0.527592</v>
      </c>
      <c r="Q125" s="67" t="n">
        <v>1.209704</v>
      </c>
      <c r="R125" s="67" t="n">
        <v>1.809585</v>
      </c>
      <c r="S125" s="68" t="s">
        <v>200</v>
      </c>
      <c r="T125" s="68" t="s">
        <v>201</v>
      </c>
      <c r="U125" s="68" t="s">
        <v>202</v>
      </c>
      <c r="V125" s="69"/>
      <c r="W125" s="68" t="s">
        <v>203</v>
      </c>
      <c r="X125" s="68" t="n">
        <v>7.26526154400085</v>
      </c>
      <c r="Y125" s="68" t="n">
        <v>186.475046296022</v>
      </c>
      <c r="Z125" s="68" t="n">
        <v>25.6666666666667</v>
      </c>
      <c r="AA125" s="70"/>
    </row>
    <row r="126" customFormat="false" ht="14.25" hidden="false" customHeight="false" outlineLevel="0" collapsed="false">
      <c r="B126" s="56"/>
      <c r="C126" s="64" t="n">
        <v>121</v>
      </c>
      <c r="D126" s="71" t="s">
        <v>469</v>
      </c>
      <c r="E126" s="71" t="s">
        <v>468</v>
      </c>
      <c r="F126" s="71" t="s">
        <v>470</v>
      </c>
      <c r="G126" s="66" t="n">
        <v>44</v>
      </c>
      <c r="H126" s="67" t="n">
        <v>0.3878</v>
      </c>
      <c r="I126" s="67" t="n">
        <v>371</v>
      </c>
      <c r="J126" s="67" t="n">
        <v>371</v>
      </c>
      <c r="K126" s="67" t="n">
        <v>371</v>
      </c>
      <c r="L126" s="68" t="s">
        <v>199</v>
      </c>
      <c r="M126" s="67" t="n">
        <v>0.277924</v>
      </c>
      <c r="N126" s="67" t="n">
        <v>0.291019</v>
      </c>
      <c r="O126" s="67" t="n">
        <v>5.855192</v>
      </c>
      <c r="P126" s="67" t="n">
        <v>0.805696</v>
      </c>
      <c r="Q126" s="67" t="n">
        <v>1.188238</v>
      </c>
      <c r="R126" s="67" t="n">
        <v>2.73325</v>
      </c>
      <c r="S126" s="68" t="s">
        <v>200</v>
      </c>
      <c r="T126" s="68" t="s">
        <v>201</v>
      </c>
      <c r="U126" s="68" t="s">
        <v>202</v>
      </c>
      <c r="V126" s="69"/>
      <c r="W126" s="68" t="s">
        <v>207</v>
      </c>
      <c r="X126" s="68" t="n">
        <v>7.26526154400085</v>
      </c>
      <c r="Y126" s="68" t="n">
        <v>186.475046296022</v>
      </c>
      <c r="Z126" s="68" t="n">
        <v>25.6666666666667</v>
      </c>
      <c r="AA126" s="70"/>
    </row>
    <row r="127" customFormat="false" ht="14.25" hidden="false" customHeight="false" outlineLevel="0" collapsed="false">
      <c r="B127" s="56"/>
      <c r="C127" s="64" t="n">
        <v>122</v>
      </c>
      <c r="D127" s="71" t="s">
        <v>471</v>
      </c>
      <c r="E127" s="71" t="s">
        <v>468</v>
      </c>
      <c r="F127" s="71" t="s">
        <v>377</v>
      </c>
      <c r="G127" s="66" t="n">
        <v>44</v>
      </c>
      <c r="H127" s="67" t="n">
        <v>0.182</v>
      </c>
      <c r="I127" s="67" t="n">
        <v>371</v>
      </c>
      <c r="J127" s="67" t="n">
        <v>371</v>
      </c>
      <c r="K127" s="67" t="n">
        <v>371</v>
      </c>
      <c r="L127" s="68" t="s">
        <v>199</v>
      </c>
      <c r="M127" s="67" t="n">
        <v>0.291367</v>
      </c>
      <c r="N127" s="67" t="n">
        <v>0.412245</v>
      </c>
      <c r="O127" s="67" t="n">
        <v>4.03002</v>
      </c>
      <c r="P127" s="67" t="n">
        <v>0.527592</v>
      </c>
      <c r="Q127" s="67" t="n">
        <v>1.209704</v>
      </c>
      <c r="R127" s="67" t="n">
        <v>1.809585</v>
      </c>
      <c r="S127" s="68" t="s">
        <v>200</v>
      </c>
      <c r="T127" s="68" t="s">
        <v>201</v>
      </c>
      <c r="U127" s="68" t="s">
        <v>202</v>
      </c>
      <c r="V127" s="69"/>
      <c r="W127" s="68" t="s">
        <v>203</v>
      </c>
      <c r="X127" s="68" t="n">
        <v>7.26526154400085</v>
      </c>
      <c r="Y127" s="68" t="n">
        <v>186.475046296022</v>
      </c>
      <c r="Z127" s="68" t="n">
        <v>25.6666666666667</v>
      </c>
      <c r="AA127" s="70" t="s">
        <v>231</v>
      </c>
    </row>
    <row r="128" customFormat="false" ht="14.25" hidden="false" customHeight="false" outlineLevel="0" collapsed="false">
      <c r="C128" s="64" t="n">
        <v>123</v>
      </c>
      <c r="D128" s="71" t="s">
        <v>472</v>
      </c>
      <c r="E128" s="71" t="s">
        <v>473</v>
      </c>
      <c r="F128" s="71" t="s">
        <v>312</v>
      </c>
      <c r="G128" s="66" t="n">
        <v>44</v>
      </c>
      <c r="H128" s="67" t="n">
        <v>0.8954</v>
      </c>
      <c r="I128" s="67" t="n">
        <v>371</v>
      </c>
      <c r="J128" s="67" t="n">
        <v>371</v>
      </c>
      <c r="K128" s="67" t="n">
        <v>371</v>
      </c>
      <c r="L128" s="68" t="s">
        <v>199</v>
      </c>
      <c r="M128" s="67" t="n">
        <v>0.291367</v>
      </c>
      <c r="N128" s="67" t="n">
        <v>0.412245</v>
      </c>
      <c r="O128" s="67" t="n">
        <v>4.03002</v>
      </c>
      <c r="P128" s="67" t="n">
        <v>0.527592</v>
      </c>
      <c r="Q128" s="67" t="n">
        <v>1.209704</v>
      </c>
      <c r="R128" s="67" t="n">
        <v>1.809585</v>
      </c>
      <c r="S128" s="68" t="s">
        <v>200</v>
      </c>
      <c r="T128" s="68" t="s">
        <v>201</v>
      </c>
      <c r="U128" s="68" t="s">
        <v>202</v>
      </c>
      <c r="V128" s="69"/>
      <c r="W128" s="68" t="s">
        <v>203</v>
      </c>
      <c r="X128" s="68" t="n">
        <v>10.7658524904199</v>
      </c>
      <c r="Y128" s="68" t="n">
        <v>156.104861111089</v>
      </c>
      <c r="Z128" s="68" t="n">
        <v>14.5</v>
      </c>
      <c r="AA128" s="70"/>
    </row>
    <row r="129" customFormat="false" ht="14.25" hidden="false" customHeight="false" outlineLevel="0" collapsed="false">
      <c r="B129" s="73"/>
      <c r="C129" s="64" t="n">
        <v>124</v>
      </c>
      <c r="D129" s="71" t="s">
        <v>474</v>
      </c>
      <c r="E129" s="71" t="s">
        <v>475</v>
      </c>
      <c r="F129" s="71" t="s">
        <v>476</v>
      </c>
      <c r="G129" s="66" t="n">
        <v>44</v>
      </c>
      <c r="H129" s="67" t="n">
        <v>6.064</v>
      </c>
      <c r="I129" s="67" t="n">
        <v>371</v>
      </c>
      <c r="J129" s="67" t="n">
        <v>371</v>
      </c>
      <c r="K129" s="67" t="n">
        <v>371</v>
      </c>
      <c r="L129" s="68" t="s">
        <v>199</v>
      </c>
      <c r="M129" s="67" t="n">
        <v>0.291367</v>
      </c>
      <c r="N129" s="67" t="n">
        <v>0.412245</v>
      </c>
      <c r="O129" s="67" t="n">
        <v>4.03002</v>
      </c>
      <c r="P129" s="67" t="n">
        <v>0.527592</v>
      </c>
      <c r="Q129" s="67" t="n">
        <v>1.209704</v>
      </c>
      <c r="R129" s="67" t="n">
        <v>1.809585</v>
      </c>
      <c r="S129" s="68" t="s">
        <v>200</v>
      </c>
      <c r="T129" s="68" t="s">
        <v>201</v>
      </c>
      <c r="U129" s="68" t="s">
        <v>202</v>
      </c>
      <c r="V129" s="69"/>
      <c r="W129" s="68" t="s">
        <v>203</v>
      </c>
      <c r="X129" s="68" t="n">
        <v>10.2378342013781</v>
      </c>
      <c r="Y129" s="68" t="n">
        <v>109.203564814699</v>
      </c>
      <c r="Z129" s="68" t="n">
        <v>10.6666666666667</v>
      </c>
      <c r="AA129" s="70"/>
    </row>
    <row r="130" customFormat="false" ht="14.25" hidden="false" customHeight="false" outlineLevel="0" collapsed="false">
      <c r="B130" s="73"/>
      <c r="C130" s="64" t="n">
        <v>125</v>
      </c>
      <c r="D130" s="71" t="s">
        <v>477</v>
      </c>
      <c r="E130" s="71" t="s">
        <v>478</v>
      </c>
      <c r="F130" s="71" t="s">
        <v>476</v>
      </c>
      <c r="G130" s="66" t="n">
        <v>44</v>
      </c>
      <c r="H130" s="67" t="n">
        <v>5.738</v>
      </c>
      <c r="I130" s="67" t="n">
        <v>371</v>
      </c>
      <c r="J130" s="67" t="n">
        <v>371</v>
      </c>
      <c r="K130" s="67" t="n">
        <v>371</v>
      </c>
      <c r="L130" s="68" t="s">
        <v>199</v>
      </c>
      <c r="M130" s="67" t="n">
        <v>0.277924</v>
      </c>
      <c r="N130" s="67" t="n">
        <v>0.291019</v>
      </c>
      <c r="O130" s="67" t="n">
        <v>5.855192</v>
      </c>
      <c r="P130" s="67" t="n">
        <v>0.805696</v>
      </c>
      <c r="Q130" s="67" t="n">
        <v>1.188238</v>
      </c>
      <c r="R130" s="67" t="n">
        <v>2.73325</v>
      </c>
      <c r="S130" s="68" t="s">
        <v>200</v>
      </c>
      <c r="T130" s="68" t="s">
        <v>201</v>
      </c>
      <c r="U130" s="68" t="s">
        <v>202</v>
      </c>
      <c r="V130" s="69"/>
      <c r="W130" s="68" t="s">
        <v>207</v>
      </c>
      <c r="X130" s="68" t="n">
        <v>10.2378342013781</v>
      </c>
      <c r="Y130" s="68" t="n">
        <v>109.203564814699</v>
      </c>
      <c r="Z130" s="68" t="n">
        <v>10.6666666666667</v>
      </c>
      <c r="AA130" s="70" t="s">
        <v>237</v>
      </c>
    </row>
    <row r="131" customFormat="false" ht="14.25" hidden="false" customHeight="false" outlineLevel="0" collapsed="false">
      <c r="C131" s="64" t="n">
        <v>126</v>
      </c>
      <c r="D131" s="71" t="s">
        <v>479</v>
      </c>
      <c r="E131" s="71" t="s">
        <v>480</v>
      </c>
      <c r="F131" s="71" t="s">
        <v>342</v>
      </c>
      <c r="G131" s="66" t="n">
        <v>44</v>
      </c>
      <c r="H131" s="67" t="n">
        <v>0.728</v>
      </c>
      <c r="I131" s="67" t="n">
        <v>371</v>
      </c>
      <c r="J131" s="67" t="n">
        <v>371</v>
      </c>
      <c r="K131" s="67" t="n">
        <v>371</v>
      </c>
      <c r="L131" s="68" t="s">
        <v>199</v>
      </c>
      <c r="M131" s="67" t="n">
        <v>0.104319</v>
      </c>
      <c r="N131" s="67" t="n">
        <v>0.247544</v>
      </c>
      <c r="O131" s="67" t="n">
        <v>45.27589</v>
      </c>
      <c r="P131" s="67" t="n">
        <v>1.063424</v>
      </c>
      <c r="Q131" s="67" t="n">
        <v>0.811099</v>
      </c>
      <c r="R131" s="67" t="n">
        <v>45.27589</v>
      </c>
      <c r="S131" s="68" t="s">
        <v>200</v>
      </c>
      <c r="T131" s="68" t="s">
        <v>201</v>
      </c>
      <c r="U131" s="68" t="s">
        <v>202</v>
      </c>
      <c r="V131" s="69"/>
      <c r="W131" s="68" t="s">
        <v>211</v>
      </c>
      <c r="X131" s="68" t="n">
        <v>7.52868128654755</v>
      </c>
      <c r="Y131" s="68" t="n">
        <v>357.612361111009</v>
      </c>
      <c r="Z131" s="68" t="n">
        <v>47.5</v>
      </c>
      <c r="AA131" s="70" t="s">
        <v>237</v>
      </c>
    </row>
    <row r="132" customFormat="false" ht="14.25" hidden="false" customHeight="false" outlineLevel="0" collapsed="false">
      <c r="C132" s="64" t="n">
        <v>127</v>
      </c>
      <c r="D132" s="71" t="s">
        <v>481</v>
      </c>
      <c r="E132" s="71" t="s">
        <v>482</v>
      </c>
      <c r="F132" s="71" t="s">
        <v>483</v>
      </c>
      <c r="G132" s="66" t="n">
        <v>44</v>
      </c>
      <c r="H132" s="67" t="n">
        <v>0.975</v>
      </c>
      <c r="I132" s="67" t="n">
        <v>249</v>
      </c>
      <c r="J132" s="67" t="n">
        <v>249</v>
      </c>
      <c r="K132" s="67" t="n">
        <v>249</v>
      </c>
      <c r="L132" s="68" t="s">
        <v>199</v>
      </c>
      <c r="M132" s="67" t="n">
        <v>0.308</v>
      </c>
      <c r="N132" s="67" t="n">
        <v>0.529</v>
      </c>
      <c r="O132" s="67" t="n">
        <v>3.548</v>
      </c>
      <c r="P132" s="67" t="n">
        <v>0.614</v>
      </c>
      <c r="Q132" s="67" t="n">
        <v>1.413</v>
      </c>
      <c r="R132" s="67" t="n">
        <v>2.022996</v>
      </c>
      <c r="S132" s="68" t="s">
        <v>200</v>
      </c>
      <c r="T132" s="68" t="s">
        <v>201</v>
      </c>
      <c r="U132" s="68" t="s">
        <v>202</v>
      </c>
      <c r="V132" s="69"/>
      <c r="W132" s="68" t="s">
        <v>484</v>
      </c>
      <c r="X132" s="68" t="n">
        <v>7.52868128654755</v>
      </c>
      <c r="Y132" s="68" t="n">
        <v>357.612361111009</v>
      </c>
      <c r="Z132" s="68" t="n">
        <v>47.5</v>
      </c>
      <c r="AA132" s="70"/>
    </row>
    <row r="133" customFormat="false" ht="14.25" hidden="false" customHeight="false" outlineLevel="0" collapsed="false">
      <c r="C133" s="64" t="n">
        <v>128</v>
      </c>
      <c r="D133" s="71" t="s">
        <v>485</v>
      </c>
      <c r="E133" s="71" t="s">
        <v>486</v>
      </c>
      <c r="F133" s="71" t="s">
        <v>487</v>
      </c>
      <c r="G133" s="66" t="n">
        <v>44</v>
      </c>
      <c r="H133" s="67" t="n">
        <v>7.606</v>
      </c>
      <c r="I133" s="67" t="n">
        <v>249</v>
      </c>
      <c r="J133" s="67" t="n">
        <v>249</v>
      </c>
      <c r="K133" s="67" t="n">
        <v>249</v>
      </c>
      <c r="L133" s="68" t="s">
        <v>199</v>
      </c>
      <c r="M133" s="67" t="n">
        <v>0.3498</v>
      </c>
      <c r="N133" s="67" t="n">
        <v>0.52416</v>
      </c>
      <c r="O133" s="67" t="n">
        <v>3.178</v>
      </c>
      <c r="P133" s="67" t="n">
        <v>0.61494</v>
      </c>
      <c r="Q133" s="67" t="n">
        <v>1.60881</v>
      </c>
      <c r="R133" s="67" t="n">
        <v>1.7893</v>
      </c>
      <c r="S133" s="68" t="s">
        <v>200</v>
      </c>
      <c r="T133" s="68" t="s">
        <v>201</v>
      </c>
      <c r="U133" s="68" t="s">
        <v>202</v>
      </c>
      <c r="V133" s="69"/>
      <c r="W133" s="68" t="s">
        <v>488</v>
      </c>
      <c r="X133" s="68" t="n">
        <v>7.52868128654755</v>
      </c>
      <c r="Y133" s="68" t="n">
        <v>357.612361111009</v>
      </c>
      <c r="Z133" s="68" t="n">
        <v>47.5</v>
      </c>
      <c r="AA133" s="70" t="s">
        <v>237</v>
      </c>
    </row>
    <row r="134" customFormat="false" ht="14.25" hidden="false" customHeight="false" outlineLevel="0" collapsed="false">
      <c r="C134" s="64" t="n">
        <v>129</v>
      </c>
      <c r="D134" s="71" t="s">
        <v>489</v>
      </c>
      <c r="E134" s="71" t="s">
        <v>487</v>
      </c>
      <c r="F134" s="71" t="s">
        <v>490</v>
      </c>
      <c r="G134" s="66" t="n">
        <v>44</v>
      </c>
      <c r="H134" s="67" t="n">
        <v>3.498</v>
      </c>
      <c r="I134" s="67" t="n">
        <v>249</v>
      </c>
      <c r="J134" s="67" t="n">
        <v>249</v>
      </c>
      <c r="K134" s="67" t="n">
        <v>249</v>
      </c>
      <c r="L134" s="68" t="s">
        <v>199</v>
      </c>
      <c r="M134" s="67" t="n">
        <v>0.308</v>
      </c>
      <c r="N134" s="67" t="n">
        <v>0.529</v>
      </c>
      <c r="O134" s="67" t="n">
        <v>3.548</v>
      </c>
      <c r="P134" s="67" t="n">
        <v>0.614</v>
      </c>
      <c r="Q134" s="67" t="n">
        <v>1.413</v>
      </c>
      <c r="R134" s="67" t="n">
        <v>2.022996</v>
      </c>
      <c r="S134" s="68" t="s">
        <v>200</v>
      </c>
      <c r="T134" s="68" t="s">
        <v>201</v>
      </c>
      <c r="U134" s="68" t="s">
        <v>202</v>
      </c>
      <c r="V134" s="69"/>
      <c r="W134" s="68" t="s">
        <v>484</v>
      </c>
      <c r="X134" s="68" t="n">
        <v>7.52868128654755</v>
      </c>
      <c r="Y134" s="68" t="n">
        <v>357.612361111009</v>
      </c>
      <c r="Z134" s="68" t="n">
        <v>47.5</v>
      </c>
      <c r="AA134" s="70"/>
    </row>
    <row r="135" customFormat="false" ht="14.25" hidden="false" customHeight="false" outlineLevel="0" collapsed="false">
      <c r="C135" s="64" t="n">
        <v>130</v>
      </c>
      <c r="D135" s="71" t="s">
        <v>491</v>
      </c>
      <c r="E135" s="71" t="s">
        <v>487</v>
      </c>
      <c r="F135" s="71" t="s">
        <v>342</v>
      </c>
      <c r="G135" s="66" t="n">
        <v>44</v>
      </c>
      <c r="H135" s="67" t="n">
        <v>8.36</v>
      </c>
      <c r="I135" s="67" t="n">
        <v>249</v>
      </c>
      <c r="J135" s="67" t="n">
        <v>249</v>
      </c>
      <c r="K135" s="67" t="n">
        <v>249</v>
      </c>
      <c r="L135" s="68" t="s">
        <v>199</v>
      </c>
      <c r="M135" s="67" t="n">
        <v>0.3498</v>
      </c>
      <c r="N135" s="67" t="n">
        <v>0.52416</v>
      </c>
      <c r="O135" s="67" t="n">
        <v>3.178</v>
      </c>
      <c r="P135" s="67" t="n">
        <v>0.61494</v>
      </c>
      <c r="Q135" s="67" t="n">
        <v>1.60881</v>
      </c>
      <c r="R135" s="67" t="n">
        <v>1.7893</v>
      </c>
      <c r="S135" s="68" t="s">
        <v>200</v>
      </c>
      <c r="T135" s="68" t="s">
        <v>201</v>
      </c>
      <c r="U135" s="68" t="s">
        <v>202</v>
      </c>
      <c r="V135" s="69"/>
      <c r="W135" s="68" t="s">
        <v>488</v>
      </c>
      <c r="X135" s="68" t="n">
        <v>7.52868128654755</v>
      </c>
      <c r="Y135" s="68" t="n">
        <v>357.612361111009</v>
      </c>
      <c r="Z135" s="68" t="n">
        <v>47.5</v>
      </c>
      <c r="AA135" s="70"/>
    </row>
    <row r="136" customFormat="false" ht="14.25" hidden="false" customHeight="false" outlineLevel="0" collapsed="false">
      <c r="A136" s="56"/>
      <c r="B136" s="56"/>
      <c r="C136" s="64" t="n">
        <v>131</v>
      </c>
      <c r="D136" s="71" t="s">
        <v>492</v>
      </c>
      <c r="E136" s="71" t="s">
        <v>342</v>
      </c>
      <c r="F136" s="71" t="s">
        <v>343</v>
      </c>
      <c r="G136" s="66" t="n">
        <v>44</v>
      </c>
      <c r="H136" s="67" t="n">
        <v>0.08</v>
      </c>
      <c r="I136" s="67" t="n">
        <v>371</v>
      </c>
      <c r="J136" s="67" t="n">
        <v>371</v>
      </c>
      <c r="K136" s="67" t="n">
        <v>371</v>
      </c>
      <c r="L136" s="68" t="s">
        <v>199</v>
      </c>
      <c r="M136" s="67" t="n">
        <v>0.104319</v>
      </c>
      <c r="N136" s="67" t="n">
        <v>0.247544</v>
      </c>
      <c r="O136" s="67" t="n">
        <v>45.27589</v>
      </c>
      <c r="P136" s="67" t="n">
        <v>1.063424</v>
      </c>
      <c r="Q136" s="67" t="n">
        <v>0.811099</v>
      </c>
      <c r="R136" s="67" t="n">
        <v>45.27589</v>
      </c>
      <c r="S136" s="68" t="s">
        <v>200</v>
      </c>
      <c r="T136" s="68" t="s">
        <v>201</v>
      </c>
      <c r="U136" s="68" t="s">
        <v>202</v>
      </c>
      <c r="V136" s="69"/>
      <c r="W136" s="68" t="s">
        <v>211</v>
      </c>
      <c r="X136" s="68" t="n">
        <v>7.52868128654755</v>
      </c>
      <c r="Y136" s="68" t="n">
        <v>357.612361111009</v>
      </c>
      <c r="Z136" s="68" t="n">
        <v>47.5</v>
      </c>
      <c r="AA136" s="70"/>
    </row>
    <row r="137" customFormat="false" ht="14.25" hidden="false" customHeight="false" outlineLevel="0" collapsed="false">
      <c r="A137" s="56"/>
      <c r="B137" s="56"/>
      <c r="C137" s="64" t="n">
        <v>132</v>
      </c>
      <c r="D137" s="71" t="s">
        <v>493</v>
      </c>
      <c r="E137" s="71" t="s">
        <v>494</v>
      </c>
      <c r="F137" s="71" t="s">
        <v>495</v>
      </c>
      <c r="G137" s="66" t="n">
        <v>44</v>
      </c>
      <c r="H137" s="67" t="n">
        <v>0.1358</v>
      </c>
      <c r="I137" s="67" t="n">
        <v>371</v>
      </c>
      <c r="J137" s="67" t="n">
        <v>371</v>
      </c>
      <c r="K137" s="67" t="n">
        <v>371</v>
      </c>
      <c r="L137" s="68" t="s">
        <v>199</v>
      </c>
      <c r="M137" s="67" t="n">
        <v>0.104319</v>
      </c>
      <c r="N137" s="67" t="n">
        <v>0.247544</v>
      </c>
      <c r="O137" s="67" t="n">
        <v>45.27589</v>
      </c>
      <c r="P137" s="67" t="n">
        <v>1.063424</v>
      </c>
      <c r="Q137" s="67" t="n">
        <v>0.811099</v>
      </c>
      <c r="R137" s="67" t="n">
        <v>45.27589</v>
      </c>
      <c r="S137" s="68" t="s">
        <v>200</v>
      </c>
      <c r="T137" s="68" t="s">
        <v>201</v>
      </c>
      <c r="U137" s="68" t="s">
        <v>202</v>
      </c>
      <c r="V137" s="69"/>
      <c r="W137" s="68" t="s">
        <v>211</v>
      </c>
      <c r="X137" s="68" t="n">
        <v>1.69507122507023</v>
      </c>
      <c r="Y137" s="68" t="n">
        <v>22.035925925913</v>
      </c>
      <c r="Z137" s="68" t="n">
        <v>13</v>
      </c>
      <c r="AA137" s="70"/>
    </row>
    <row r="138" customFormat="false" ht="14.25" hidden="false" customHeight="false" outlineLevel="0" collapsed="false">
      <c r="A138" s="56"/>
      <c r="B138" s="56"/>
      <c r="C138" s="64" t="n">
        <v>133</v>
      </c>
      <c r="D138" s="71" t="s">
        <v>496</v>
      </c>
      <c r="E138" s="71" t="s">
        <v>497</v>
      </c>
      <c r="F138" s="71" t="s">
        <v>376</v>
      </c>
      <c r="G138" s="66" t="n">
        <v>44</v>
      </c>
      <c r="H138" s="67" t="n">
        <v>0.505</v>
      </c>
      <c r="I138" s="67" t="n">
        <v>371</v>
      </c>
      <c r="J138" s="67" t="n">
        <v>371</v>
      </c>
      <c r="K138" s="67" t="n">
        <v>371</v>
      </c>
      <c r="L138" s="68" t="s">
        <v>199</v>
      </c>
      <c r="M138" s="67" t="n">
        <v>0.291367</v>
      </c>
      <c r="N138" s="67" t="n">
        <v>0.412245</v>
      </c>
      <c r="O138" s="67" t="n">
        <v>4.03002</v>
      </c>
      <c r="P138" s="67" t="n">
        <v>0.527592</v>
      </c>
      <c r="Q138" s="67" t="n">
        <v>1.209704</v>
      </c>
      <c r="R138" s="67" t="n">
        <v>1.809585</v>
      </c>
      <c r="S138" s="68" t="s">
        <v>200</v>
      </c>
      <c r="T138" s="68" t="s">
        <v>201</v>
      </c>
      <c r="U138" s="68" t="s">
        <v>202</v>
      </c>
      <c r="V138" s="69"/>
      <c r="W138" s="68" t="s">
        <v>203</v>
      </c>
      <c r="X138" s="68" t="n">
        <v>1.69507122507023</v>
      </c>
      <c r="Y138" s="68" t="n">
        <v>22.035925925913</v>
      </c>
      <c r="Z138" s="68" t="n">
        <v>13</v>
      </c>
      <c r="AA138" s="70"/>
    </row>
    <row r="139" customFormat="false" ht="14.25" hidden="false" customHeight="false" outlineLevel="0" collapsed="false">
      <c r="A139" s="56"/>
      <c r="B139" s="56"/>
      <c r="C139" s="64" t="n">
        <v>134</v>
      </c>
      <c r="D139" s="71" t="s">
        <v>498</v>
      </c>
      <c r="E139" s="71" t="s">
        <v>499</v>
      </c>
      <c r="F139" s="71" t="s">
        <v>500</v>
      </c>
      <c r="G139" s="66" t="n">
        <v>44</v>
      </c>
      <c r="H139" s="67" t="n">
        <v>0.3425</v>
      </c>
      <c r="I139" s="67" t="n">
        <v>371</v>
      </c>
      <c r="J139" s="67" t="n">
        <v>371</v>
      </c>
      <c r="K139" s="67" t="n">
        <v>371</v>
      </c>
      <c r="L139" s="68" t="s">
        <v>199</v>
      </c>
      <c r="M139" s="67" t="n">
        <v>0.291367</v>
      </c>
      <c r="N139" s="67" t="n">
        <v>0.412245</v>
      </c>
      <c r="O139" s="67" t="n">
        <v>4.03002</v>
      </c>
      <c r="P139" s="67" t="n">
        <v>0.527592</v>
      </c>
      <c r="Q139" s="67" t="n">
        <v>1.209704</v>
      </c>
      <c r="R139" s="67" t="n">
        <v>1.809585</v>
      </c>
      <c r="S139" s="68" t="s">
        <v>200</v>
      </c>
      <c r="T139" s="68" t="s">
        <v>201</v>
      </c>
      <c r="U139" s="68" t="s">
        <v>202</v>
      </c>
      <c r="V139" s="69"/>
      <c r="W139" s="68" t="s">
        <v>203</v>
      </c>
      <c r="X139" s="68" t="n">
        <v>1.69507122507023</v>
      </c>
      <c r="Y139" s="68" t="n">
        <v>22.035925925913</v>
      </c>
      <c r="Z139" s="68" t="n">
        <v>13</v>
      </c>
      <c r="AA139" s="70"/>
    </row>
    <row r="140" customFormat="false" ht="14.25" hidden="false" customHeight="false" outlineLevel="0" collapsed="false">
      <c r="A140" s="56"/>
      <c r="B140" s="56"/>
      <c r="C140" s="64" t="n">
        <v>135</v>
      </c>
      <c r="D140" s="71" t="s">
        <v>501</v>
      </c>
      <c r="E140" s="71" t="s">
        <v>500</v>
      </c>
      <c r="F140" s="71" t="s">
        <v>502</v>
      </c>
      <c r="G140" s="66" t="n">
        <v>44</v>
      </c>
      <c r="H140" s="67" t="n">
        <v>0.8234</v>
      </c>
      <c r="I140" s="67" t="n">
        <v>371</v>
      </c>
      <c r="J140" s="67" t="n">
        <v>371</v>
      </c>
      <c r="K140" s="67" t="n">
        <v>371</v>
      </c>
      <c r="L140" s="68" t="s">
        <v>199</v>
      </c>
      <c r="M140" s="67" t="n">
        <v>0.291367</v>
      </c>
      <c r="N140" s="67" t="n">
        <v>0.412245</v>
      </c>
      <c r="O140" s="67" t="n">
        <v>4.03002</v>
      </c>
      <c r="P140" s="67" t="n">
        <v>0.527592</v>
      </c>
      <c r="Q140" s="67" t="n">
        <v>1.209704</v>
      </c>
      <c r="R140" s="67" t="n">
        <v>1.809585</v>
      </c>
      <c r="S140" s="68" t="s">
        <v>200</v>
      </c>
      <c r="T140" s="68" t="s">
        <v>201</v>
      </c>
      <c r="U140" s="68" t="s">
        <v>202</v>
      </c>
      <c r="V140" s="69"/>
      <c r="W140" s="68" t="s">
        <v>203</v>
      </c>
      <c r="X140" s="68" t="n">
        <v>1.69507122507023</v>
      </c>
      <c r="Y140" s="68" t="n">
        <v>22.035925925913</v>
      </c>
      <c r="Z140" s="68" t="n">
        <v>13</v>
      </c>
      <c r="AA140" s="70"/>
    </row>
    <row r="141" customFormat="false" ht="14.25" hidden="false" customHeight="false" outlineLevel="0" collapsed="false">
      <c r="A141" s="56"/>
      <c r="B141" s="56"/>
      <c r="C141" s="64" t="n">
        <v>136</v>
      </c>
      <c r="D141" s="71" t="s">
        <v>503</v>
      </c>
      <c r="E141" s="71" t="s">
        <v>502</v>
      </c>
      <c r="F141" s="71" t="s">
        <v>504</v>
      </c>
      <c r="G141" s="66" t="n">
        <v>44</v>
      </c>
      <c r="H141" s="67" t="n">
        <v>0.1131</v>
      </c>
      <c r="I141" s="67" t="n">
        <v>371</v>
      </c>
      <c r="J141" s="67" t="n">
        <v>371</v>
      </c>
      <c r="K141" s="67" t="n">
        <v>371</v>
      </c>
      <c r="L141" s="68" t="s">
        <v>199</v>
      </c>
      <c r="M141" s="67" t="n">
        <v>0.291367</v>
      </c>
      <c r="N141" s="67" t="n">
        <v>0.412245</v>
      </c>
      <c r="O141" s="67" t="n">
        <v>4.03002</v>
      </c>
      <c r="P141" s="67" t="n">
        <v>0.527592</v>
      </c>
      <c r="Q141" s="67" t="n">
        <v>1.209704</v>
      </c>
      <c r="R141" s="67" t="n">
        <v>1.809585</v>
      </c>
      <c r="S141" s="68" t="s">
        <v>200</v>
      </c>
      <c r="T141" s="68" t="s">
        <v>201</v>
      </c>
      <c r="U141" s="68" t="s">
        <v>202</v>
      </c>
      <c r="V141" s="69"/>
      <c r="W141" s="68" t="s">
        <v>203</v>
      </c>
      <c r="X141" s="68" t="n">
        <v>1.69507122507023</v>
      </c>
      <c r="Y141" s="68" t="n">
        <v>22.035925925913</v>
      </c>
      <c r="Z141" s="68" t="n">
        <v>13</v>
      </c>
      <c r="AA141" s="70"/>
    </row>
    <row r="142" customFormat="false" ht="14.25" hidden="false" customHeight="false" outlineLevel="0" collapsed="false">
      <c r="A142" s="56"/>
      <c r="B142" s="56"/>
      <c r="C142" s="64" t="n">
        <v>137</v>
      </c>
      <c r="D142" s="71" t="s">
        <v>505</v>
      </c>
      <c r="E142" s="71" t="s">
        <v>504</v>
      </c>
      <c r="F142" s="71" t="s">
        <v>506</v>
      </c>
      <c r="G142" s="66" t="n">
        <v>44</v>
      </c>
      <c r="H142" s="67" t="n">
        <v>0.2292</v>
      </c>
      <c r="I142" s="67" t="n">
        <v>371</v>
      </c>
      <c r="J142" s="67" t="n">
        <v>371</v>
      </c>
      <c r="K142" s="67" t="n">
        <v>371</v>
      </c>
      <c r="L142" s="68" t="s">
        <v>199</v>
      </c>
      <c r="M142" s="67" t="n">
        <v>0.291367</v>
      </c>
      <c r="N142" s="67" t="n">
        <v>0.412245</v>
      </c>
      <c r="O142" s="67" t="n">
        <v>4.03002</v>
      </c>
      <c r="P142" s="67" t="n">
        <v>0.527592</v>
      </c>
      <c r="Q142" s="67" t="n">
        <v>1.209704</v>
      </c>
      <c r="R142" s="67" t="n">
        <v>1.809585</v>
      </c>
      <c r="S142" s="68" t="s">
        <v>200</v>
      </c>
      <c r="T142" s="68" t="s">
        <v>201</v>
      </c>
      <c r="U142" s="68" t="s">
        <v>202</v>
      </c>
      <c r="V142" s="69"/>
      <c r="W142" s="68" t="s">
        <v>203</v>
      </c>
      <c r="X142" s="68" t="n">
        <v>1.69507122507023</v>
      </c>
      <c r="Y142" s="68" t="n">
        <v>22.035925925913</v>
      </c>
      <c r="Z142" s="68" t="n">
        <v>13</v>
      </c>
      <c r="AA142" s="70"/>
    </row>
    <row r="143" customFormat="false" ht="14.25" hidden="false" customHeight="false" outlineLevel="0" collapsed="false">
      <c r="A143" s="56"/>
      <c r="B143" s="56"/>
      <c r="C143" s="64" t="n">
        <v>138</v>
      </c>
      <c r="D143" s="71" t="s">
        <v>507</v>
      </c>
      <c r="E143" s="71" t="s">
        <v>508</v>
      </c>
      <c r="F143" s="71" t="s">
        <v>504</v>
      </c>
      <c r="G143" s="66" t="n">
        <v>44</v>
      </c>
      <c r="H143" s="67" t="n">
        <v>0.5224</v>
      </c>
      <c r="I143" s="67" t="n">
        <v>260</v>
      </c>
      <c r="J143" s="67" t="n">
        <v>260</v>
      </c>
      <c r="K143" s="67" t="n">
        <v>260</v>
      </c>
      <c r="L143" s="68" t="s">
        <v>199</v>
      </c>
      <c r="M143" s="67" t="n">
        <v>0.583051</v>
      </c>
      <c r="N143" s="67" t="n">
        <v>0.438636</v>
      </c>
      <c r="O143" s="67" t="n">
        <v>3.776983</v>
      </c>
      <c r="P143" s="67" t="n">
        <v>0.937817</v>
      </c>
      <c r="Q143" s="67" t="n">
        <v>1.348523</v>
      </c>
      <c r="R143" s="67" t="n">
        <v>1.741788</v>
      </c>
      <c r="S143" s="68" t="s">
        <v>200</v>
      </c>
      <c r="T143" s="68" t="s">
        <v>201</v>
      </c>
      <c r="U143" s="68" t="s">
        <v>202</v>
      </c>
      <c r="V143" s="69"/>
      <c r="W143" s="68" t="s">
        <v>214</v>
      </c>
      <c r="X143" s="68" t="n">
        <v>1.69507122507023</v>
      </c>
      <c r="Y143" s="68" t="n">
        <v>22.035925925913</v>
      </c>
      <c r="Z143" s="68" t="n">
        <v>13</v>
      </c>
      <c r="AA143" s="70"/>
    </row>
    <row r="144" customFormat="false" ht="14.25" hidden="false" customHeight="false" outlineLevel="0" collapsed="false">
      <c r="A144" s="56"/>
      <c r="B144" s="56"/>
      <c r="C144" s="64" t="n">
        <v>139</v>
      </c>
      <c r="D144" s="71" t="s">
        <v>509</v>
      </c>
      <c r="E144" s="71" t="s">
        <v>500</v>
      </c>
      <c r="F144" s="71" t="s">
        <v>510</v>
      </c>
      <c r="G144" s="66" t="n">
        <v>44</v>
      </c>
      <c r="H144" s="67" t="n">
        <v>0.2573</v>
      </c>
      <c r="I144" s="67" t="n">
        <v>371</v>
      </c>
      <c r="J144" s="67" t="n">
        <v>371</v>
      </c>
      <c r="K144" s="67" t="n">
        <v>371</v>
      </c>
      <c r="L144" s="68" t="s">
        <v>199</v>
      </c>
      <c r="M144" s="67" t="n">
        <v>0.291367</v>
      </c>
      <c r="N144" s="67" t="n">
        <v>0.412245</v>
      </c>
      <c r="O144" s="67" t="n">
        <v>4.03002</v>
      </c>
      <c r="P144" s="67" t="n">
        <v>0.527592</v>
      </c>
      <c r="Q144" s="67" t="n">
        <v>1.209704</v>
      </c>
      <c r="R144" s="67" t="n">
        <v>1.809585</v>
      </c>
      <c r="S144" s="68" t="s">
        <v>200</v>
      </c>
      <c r="T144" s="68" t="s">
        <v>201</v>
      </c>
      <c r="U144" s="68" t="s">
        <v>202</v>
      </c>
      <c r="V144" s="69"/>
      <c r="W144" s="68" t="s">
        <v>203</v>
      </c>
      <c r="X144" s="68" t="n">
        <v>1.69507122507023</v>
      </c>
      <c r="Y144" s="68" t="n">
        <v>22.035925925913</v>
      </c>
      <c r="Z144" s="68" t="n">
        <v>13</v>
      </c>
      <c r="AA144" s="70"/>
    </row>
    <row r="145" customFormat="false" ht="14.25" hidden="false" customHeight="false" outlineLevel="0" collapsed="false">
      <c r="A145" s="56"/>
      <c r="B145" s="56"/>
      <c r="C145" s="64" t="n">
        <v>140</v>
      </c>
      <c r="D145" s="71" t="s">
        <v>511</v>
      </c>
      <c r="E145" s="71" t="s">
        <v>499</v>
      </c>
      <c r="F145" s="71" t="s">
        <v>512</v>
      </c>
      <c r="G145" s="66" t="n">
        <v>44</v>
      </c>
      <c r="H145" s="67" t="n">
        <v>0.1598</v>
      </c>
      <c r="I145" s="67" t="n">
        <v>371</v>
      </c>
      <c r="J145" s="67" t="n">
        <v>371</v>
      </c>
      <c r="K145" s="67" t="n">
        <v>371</v>
      </c>
      <c r="L145" s="68" t="s">
        <v>199</v>
      </c>
      <c r="M145" s="67" t="n">
        <v>0.291367</v>
      </c>
      <c r="N145" s="67" t="n">
        <v>0.412245</v>
      </c>
      <c r="O145" s="67" t="n">
        <v>4.03002</v>
      </c>
      <c r="P145" s="67" t="n">
        <v>0.527592</v>
      </c>
      <c r="Q145" s="67" t="n">
        <v>1.209704</v>
      </c>
      <c r="R145" s="67" t="n">
        <v>1.809585</v>
      </c>
      <c r="S145" s="68" t="s">
        <v>200</v>
      </c>
      <c r="T145" s="68" t="s">
        <v>201</v>
      </c>
      <c r="U145" s="68" t="s">
        <v>202</v>
      </c>
      <c r="V145" s="69"/>
      <c r="W145" s="68" t="s">
        <v>203</v>
      </c>
      <c r="X145" s="68" t="n">
        <v>1.69507122507023</v>
      </c>
      <c r="Y145" s="68" t="n">
        <v>22.035925925913</v>
      </c>
      <c r="Z145" s="68" t="n">
        <v>13</v>
      </c>
      <c r="AA145" s="70"/>
    </row>
    <row r="146" customFormat="false" ht="14.25" hidden="false" customHeight="false" outlineLevel="0" collapsed="false">
      <c r="A146" s="56"/>
      <c r="B146" s="56"/>
      <c r="C146" s="64" t="n">
        <v>141</v>
      </c>
      <c r="D146" s="71" t="s">
        <v>513</v>
      </c>
      <c r="E146" s="71" t="s">
        <v>512</v>
      </c>
      <c r="F146" s="71" t="s">
        <v>514</v>
      </c>
      <c r="G146" s="66" t="n">
        <v>44</v>
      </c>
      <c r="H146" s="67" t="n">
        <v>0.3466</v>
      </c>
      <c r="I146" s="67" t="n">
        <v>371</v>
      </c>
      <c r="J146" s="67" t="n">
        <v>371</v>
      </c>
      <c r="K146" s="67" t="n">
        <v>371</v>
      </c>
      <c r="L146" s="68" t="s">
        <v>199</v>
      </c>
      <c r="M146" s="67" t="n">
        <v>0.291367</v>
      </c>
      <c r="N146" s="67" t="n">
        <v>0.412245</v>
      </c>
      <c r="O146" s="67" t="n">
        <v>4.03002</v>
      </c>
      <c r="P146" s="67" t="n">
        <v>0.527592</v>
      </c>
      <c r="Q146" s="67" t="n">
        <v>1.209704</v>
      </c>
      <c r="R146" s="67" t="n">
        <v>1.809585</v>
      </c>
      <c r="S146" s="68" t="s">
        <v>200</v>
      </c>
      <c r="T146" s="68" t="s">
        <v>201</v>
      </c>
      <c r="U146" s="68" t="s">
        <v>202</v>
      </c>
      <c r="V146" s="69"/>
      <c r="W146" s="68" t="s">
        <v>203</v>
      </c>
      <c r="X146" s="68" t="n">
        <v>1.69507122507023</v>
      </c>
      <c r="Y146" s="68" t="n">
        <v>22.035925925913</v>
      </c>
      <c r="Z146" s="68" t="n">
        <v>13</v>
      </c>
      <c r="AA146" s="70"/>
    </row>
    <row r="147" customFormat="false" ht="14.25" hidden="false" customHeight="false" outlineLevel="0" collapsed="false">
      <c r="A147" s="56"/>
      <c r="B147" s="56"/>
      <c r="C147" s="64" t="n">
        <v>142</v>
      </c>
      <c r="D147" s="71" t="s">
        <v>515</v>
      </c>
      <c r="E147" s="71" t="s">
        <v>494</v>
      </c>
      <c r="F147" s="71" t="s">
        <v>497</v>
      </c>
      <c r="G147" s="66" t="n">
        <v>44</v>
      </c>
      <c r="H147" s="67" t="n">
        <v>0.425</v>
      </c>
      <c r="I147" s="67" t="n">
        <v>371</v>
      </c>
      <c r="J147" s="67" t="n">
        <v>371</v>
      </c>
      <c r="K147" s="67" t="n">
        <v>371</v>
      </c>
      <c r="L147" s="68" t="s">
        <v>199</v>
      </c>
      <c r="M147" s="67" t="n">
        <v>0.291367</v>
      </c>
      <c r="N147" s="67" t="n">
        <v>0.412245</v>
      </c>
      <c r="O147" s="67" t="n">
        <v>4.03002</v>
      </c>
      <c r="P147" s="67" t="n">
        <v>0.527592</v>
      </c>
      <c r="Q147" s="67" t="n">
        <v>1.209704</v>
      </c>
      <c r="R147" s="67" t="n">
        <v>1.809585</v>
      </c>
      <c r="S147" s="68" t="s">
        <v>200</v>
      </c>
      <c r="T147" s="68" t="s">
        <v>201</v>
      </c>
      <c r="U147" s="68" t="s">
        <v>202</v>
      </c>
      <c r="V147" s="69"/>
      <c r="W147" s="68" t="s">
        <v>203</v>
      </c>
      <c r="X147" s="68" t="n">
        <v>1.69507122507023</v>
      </c>
      <c r="Y147" s="68" t="n">
        <v>22.035925925913</v>
      </c>
      <c r="Z147" s="68" t="n">
        <v>13</v>
      </c>
      <c r="AA147" s="70"/>
    </row>
    <row r="148" customFormat="false" ht="14.25" hidden="false" customHeight="false" outlineLevel="0" collapsed="false">
      <c r="A148" s="56"/>
      <c r="B148" s="56"/>
      <c r="C148" s="64" t="n">
        <v>143</v>
      </c>
      <c r="D148" s="71" t="s">
        <v>516</v>
      </c>
      <c r="E148" s="71" t="s">
        <v>517</v>
      </c>
      <c r="F148" s="71" t="s">
        <v>499</v>
      </c>
      <c r="G148" s="66" t="n">
        <v>44</v>
      </c>
      <c r="H148" s="67" t="n">
        <v>0.185</v>
      </c>
      <c r="I148" s="67" t="n">
        <v>371</v>
      </c>
      <c r="J148" s="67" t="n">
        <v>371</v>
      </c>
      <c r="K148" s="67" t="n">
        <v>371</v>
      </c>
      <c r="L148" s="68" t="s">
        <v>199</v>
      </c>
      <c r="M148" s="67" t="n">
        <v>0.291367</v>
      </c>
      <c r="N148" s="67" t="n">
        <v>0.412245</v>
      </c>
      <c r="O148" s="67" t="n">
        <v>4.03002</v>
      </c>
      <c r="P148" s="67" t="n">
        <v>0.527592</v>
      </c>
      <c r="Q148" s="67" t="n">
        <v>1.209704</v>
      </c>
      <c r="R148" s="67" t="n">
        <v>1.809585</v>
      </c>
      <c r="S148" s="68" t="s">
        <v>200</v>
      </c>
      <c r="T148" s="68" t="s">
        <v>201</v>
      </c>
      <c r="U148" s="68" t="s">
        <v>202</v>
      </c>
      <c r="V148" s="69"/>
      <c r="W148" s="68" t="s">
        <v>203</v>
      </c>
      <c r="X148" s="68" t="n">
        <v>1.69507122507023</v>
      </c>
      <c r="Y148" s="68" t="n">
        <v>22.035925925913</v>
      </c>
      <c r="Z148" s="68" t="n">
        <v>13</v>
      </c>
      <c r="AA148" s="70"/>
    </row>
    <row r="149" customFormat="false" ht="14.25" hidden="false" customHeight="false" outlineLevel="0" collapsed="false">
      <c r="A149" s="56"/>
      <c r="B149" s="56"/>
      <c r="C149" s="64" t="n">
        <v>144</v>
      </c>
      <c r="D149" s="71" t="s">
        <v>518</v>
      </c>
      <c r="E149" s="71" t="s">
        <v>497</v>
      </c>
      <c r="F149" s="71" t="s">
        <v>517</v>
      </c>
      <c r="G149" s="66" t="n">
        <v>44</v>
      </c>
      <c r="H149" s="67" t="n">
        <v>0.4047</v>
      </c>
      <c r="I149" s="67" t="n">
        <v>371</v>
      </c>
      <c r="J149" s="67" t="n">
        <v>371</v>
      </c>
      <c r="K149" s="67" t="n">
        <v>371</v>
      </c>
      <c r="L149" s="68" t="s">
        <v>199</v>
      </c>
      <c r="M149" s="67" t="n">
        <v>0.291367</v>
      </c>
      <c r="N149" s="67" t="n">
        <v>0.412245</v>
      </c>
      <c r="O149" s="67" t="n">
        <v>4.03002</v>
      </c>
      <c r="P149" s="67" t="n">
        <v>0.527592</v>
      </c>
      <c r="Q149" s="67" t="n">
        <v>1.209704</v>
      </c>
      <c r="R149" s="67" t="n">
        <v>1.809585</v>
      </c>
      <c r="S149" s="68" t="s">
        <v>200</v>
      </c>
      <c r="T149" s="68" t="s">
        <v>201</v>
      </c>
      <c r="U149" s="68" t="s">
        <v>202</v>
      </c>
      <c r="V149" s="69"/>
      <c r="W149" s="68" t="s">
        <v>203</v>
      </c>
      <c r="X149" s="68" t="n">
        <v>1.69507122507023</v>
      </c>
      <c r="Y149" s="68" t="n">
        <v>22.035925925913</v>
      </c>
      <c r="Z149" s="68" t="n">
        <v>13</v>
      </c>
      <c r="AA149" s="70"/>
    </row>
    <row r="150" customFormat="false" ht="14.25" hidden="false" customHeight="false" outlineLevel="0" collapsed="false">
      <c r="B150" s="56"/>
      <c r="C150" s="64" t="n">
        <v>145</v>
      </c>
      <c r="D150" s="71" t="s">
        <v>519</v>
      </c>
      <c r="E150" s="71" t="s">
        <v>495</v>
      </c>
      <c r="F150" s="71" t="s">
        <v>520</v>
      </c>
      <c r="G150" s="66" t="n">
        <v>44</v>
      </c>
      <c r="H150" s="67" t="n">
        <v>0.1968</v>
      </c>
      <c r="I150" s="67" t="n">
        <v>371</v>
      </c>
      <c r="J150" s="67" t="n">
        <v>371</v>
      </c>
      <c r="K150" s="67" t="n">
        <v>371</v>
      </c>
      <c r="L150" s="68" t="s">
        <v>199</v>
      </c>
      <c r="M150" s="67" t="n">
        <v>0.277924</v>
      </c>
      <c r="N150" s="67" t="n">
        <v>0.291019</v>
      </c>
      <c r="O150" s="67" t="n">
        <v>5.855192</v>
      </c>
      <c r="P150" s="67" t="n">
        <v>0.805696</v>
      </c>
      <c r="Q150" s="67" t="n">
        <v>1.188238</v>
      </c>
      <c r="R150" s="67" t="n">
        <v>2.73325</v>
      </c>
      <c r="S150" s="68" t="s">
        <v>200</v>
      </c>
      <c r="T150" s="68" t="s">
        <v>201</v>
      </c>
      <c r="U150" s="68" t="s">
        <v>202</v>
      </c>
      <c r="V150" s="69"/>
      <c r="W150" s="68" t="s">
        <v>207</v>
      </c>
      <c r="X150" s="68" t="n">
        <v>5.53026580461753</v>
      </c>
      <c r="Y150" s="68" t="n">
        <v>106.918472222605</v>
      </c>
      <c r="Z150" s="68" t="n">
        <v>19.3333333333333</v>
      </c>
      <c r="AA150" s="70"/>
    </row>
    <row r="151" customFormat="false" ht="14.25" hidden="false" customHeight="false" outlineLevel="0" collapsed="false">
      <c r="A151" s="56"/>
      <c r="B151" s="56"/>
      <c r="C151" s="64" t="n">
        <v>146</v>
      </c>
      <c r="D151" s="71" t="s">
        <v>521</v>
      </c>
      <c r="E151" s="71" t="s">
        <v>522</v>
      </c>
      <c r="F151" s="71" t="s">
        <v>523</v>
      </c>
      <c r="G151" s="66" t="n">
        <v>44</v>
      </c>
      <c r="H151" s="67" t="n">
        <v>1.9819</v>
      </c>
      <c r="I151" s="67" t="n">
        <v>371</v>
      </c>
      <c r="J151" s="67" t="n">
        <v>371</v>
      </c>
      <c r="K151" s="67" t="n">
        <v>371</v>
      </c>
      <c r="L151" s="68" t="s">
        <v>199</v>
      </c>
      <c r="M151" s="67" t="n">
        <v>0.291367</v>
      </c>
      <c r="N151" s="67" t="n">
        <v>0.412245</v>
      </c>
      <c r="O151" s="67" t="n">
        <v>4.03002</v>
      </c>
      <c r="P151" s="67" t="n">
        <v>0.527592</v>
      </c>
      <c r="Q151" s="67" t="n">
        <v>1.209704</v>
      </c>
      <c r="R151" s="67" t="n">
        <v>1.809585</v>
      </c>
      <c r="S151" s="68" t="s">
        <v>200</v>
      </c>
      <c r="T151" s="68" t="s">
        <v>201</v>
      </c>
      <c r="U151" s="68" t="s">
        <v>202</v>
      </c>
      <c r="V151" s="69"/>
      <c r="W151" s="68" t="s">
        <v>203</v>
      </c>
      <c r="X151" s="68" t="n">
        <v>16.140774032466</v>
      </c>
      <c r="Y151" s="68" t="n">
        <v>239.421481481579</v>
      </c>
      <c r="Z151" s="68" t="n">
        <v>14.8333333333333</v>
      </c>
      <c r="AA151" s="70"/>
    </row>
    <row r="152" customFormat="false" ht="14.25" hidden="false" customHeight="false" outlineLevel="0" collapsed="false">
      <c r="A152" s="56"/>
      <c r="B152" s="56"/>
      <c r="C152" s="64" t="n">
        <v>147</v>
      </c>
      <c r="D152" s="71" t="s">
        <v>524</v>
      </c>
      <c r="E152" s="71" t="s">
        <v>523</v>
      </c>
      <c r="F152" s="71" t="s">
        <v>525</v>
      </c>
      <c r="G152" s="66" t="n">
        <v>44</v>
      </c>
      <c r="H152" s="67" t="n">
        <v>1.371</v>
      </c>
      <c r="I152" s="67" t="n">
        <v>371</v>
      </c>
      <c r="J152" s="67" t="n">
        <v>371</v>
      </c>
      <c r="K152" s="67" t="n">
        <v>371</v>
      </c>
      <c r="L152" s="68" t="s">
        <v>199</v>
      </c>
      <c r="M152" s="67" t="n">
        <v>0.277924</v>
      </c>
      <c r="N152" s="67" t="n">
        <v>0.291019</v>
      </c>
      <c r="O152" s="67" t="n">
        <v>5.855192</v>
      </c>
      <c r="P152" s="67" t="n">
        <v>0.805696</v>
      </c>
      <c r="Q152" s="67" t="n">
        <v>1.188238</v>
      </c>
      <c r="R152" s="67" t="n">
        <v>2.73325</v>
      </c>
      <c r="S152" s="68" t="s">
        <v>200</v>
      </c>
      <c r="T152" s="68" t="s">
        <v>201</v>
      </c>
      <c r="U152" s="68" t="s">
        <v>202</v>
      </c>
      <c r="V152" s="69"/>
      <c r="W152" s="68" t="s">
        <v>207</v>
      </c>
      <c r="X152" s="68" t="n">
        <v>16.140774032466</v>
      </c>
      <c r="Y152" s="68" t="n">
        <v>239.421481481579</v>
      </c>
      <c r="Z152" s="68" t="n">
        <v>14.8333333333333</v>
      </c>
      <c r="AA152" s="70"/>
    </row>
    <row r="153" customFormat="false" ht="14.25" hidden="false" customHeight="false" outlineLevel="0" collapsed="false">
      <c r="A153" s="56"/>
      <c r="B153" s="56"/>
      <c r="C153" s="64" t="n">
        <v>148</v>
      </c>
      <c r="D153" s="71" t="s">
        <v>526</v>
      </c>
      <c r="E153" s="71" t="s">
        <v>527</v>
      </c>
      <c r="F153" s="71" t="s">
        <v>528</v>
      </c>
      <c r="G153" s="66" t="n">
        <v>44</v>
      </c>
      <c r="H153" s="67" t="n">
        <v>1</v>
      </c>
      <c r="I153" s="67" t="n">
        <v>260</v>
      </c>
      <c r="J153" s="67" t="n">
        <v>260</v>
      </c>
      <c r="K153" s="67" t="n">
        <v>260</v>
      </c>
      <c r="L153" s="68" t="s">
        <v>199</v>
      </c>
      <c r="M153" s="67" t="n">
        <v>0.583051</v>
      </c>
      <c r="N153" s="67" t="n">
        <v>0.438636</v>
      </c>
      <c r="O153" s="67" t="n">
        <v>3.776983</v>
      </c>
      <c r="P153" s="67" t="n">
        <v>0.937817</v>
      </c>
      <c r="Q153" s="67" t="n">
        <v>1.348523</v>
      </c>
      <c r="R153" s="67" t="n">
        <v>1.741788</v>
      </c>
      <c r="S153" s="68" t="s">
        <v>200</v>
      </c>
      <c r="T153" s="68" t="s">
        <v>201</v>
      </c>
      <c r="U153" s="68" t="s">
        <v>202</v>
      </c>
      <c r="V153" s="69"/>
      <c r="W153" s="68" t="s">
        <v>214</v>
      </c>
      <c r="X153" s="68"/>
      <c r="Y153" s="68"/>
      <c r="Z153" s="68"/>
      <c r="AA153" s="70" t="s">
        <v>231</v>
      </c>
    </row>
    <row r="154" customFormat="false" ht="14.25" hidden="false" customHeight="false" outlineLevel="0" collapsed="false">
      <c r="A154" s="56"/>
      <c r="B154" s="56"/>
      <c r="C154" s="64" t="n">
        <v>149</v>
      </c>
      <c r="D154" s="71" t="s">
        <v>529</v>
      </c>
      <c r="E154" s="71" t="s">
        <v>530</v>
      </c>
      <c r="F154" s="71" t="s">
        <v>531</v>
      </c>
      <c r="G154" s="66" t="n">
        <v>44</v>
      </c>
      <c r="H154" s="67" t="n">
        <v>0.3639</v>
      </c>
      <c r="I154" s="67" t="n">
        <v>371</v>
      </c>
      <c r="J154" s="67" t="n">
        <v>371</v>
      </c>
      <c r="K154" s="67" t="n">
        <v>371</v>
      </c>
      <c r="L154" s="68" t="s">
        <v>199</v>
      </c>
      <c r="M154" s="67" t="n">
        <v>0.291367</v>
      </c>
      <c r="N154" s="67" t="n">
        <v>0.412245</v>
      </c>
      <c r="O154" s="67" t="n">
        <v>4.03002</v>
      </c>
      <c r="P154" s="67" t="n">
        <v>0.527592</v>
      </c>
      <c r="Q154" s="67" t="n">
        <v>1.209704</v>
      </c>
      <c r="R154" s="67" t="n">
        <v>1.809585</v>
      </c>
      <c r="S154" s="68" t="s">
        <v>200</v>
      </c>
      <c r="T154" s="68" t="s">
        <v>201</v>
      </c>
      <c r="U154" s="68" t="s">
        <v>202</v>
      </c>
      <c r="V154" s="69"/>
      <c r="W154" s="68" t="s">
        <v>203</v>
      </c>
      <c r="X154" s="68" t="n">
        <v>1.56976086956894</v>
      </c>
      <c r="Y154" s="68" t="n">
        <v>60.1741666668095</v>
      </c>
      <c r="Z154" s="68" t="n">
        <v>38.3333333333333</v>
      </c>
      <c r="AA154" s="70"/>
    </row>
    <row r="155" customFormat="false" ht="14.25" hidden="false" customHeight="false" outlineLevel="0" collapsed="false">
      <c r="A155" s="56"/>
      <c r="B155" s="56"/>
      <c r="C155" s="64" t="n">
        <v>150</v>
      </c>
      <c r="D155" s="71" t="s">
        <v>532</v>
      </c>
      <c r="E155" s="71" t="s">
        <v>530</v>
      </c>
      <c r="F155" s="71" t="s">
        <v>533</v>
      </c>
      <c r="G155" s="66" t="n">
        <v>44</v>
      </c>
      <c r="H155" s="67" t="n">
        <v>0.05</v>
      </c>
      <c r="I155" s="67" t="n">
        <v>260</v>
      </c>
      <c r="J155" s="67" t="n">
        <v>260</v>
      </c>
      <c r="K155" s="67" t="n">
        <v>260</v>
      </c>
      <c r="L155" s="68" t="s">
        <v>199</v>
      </c>
      <c r="M155" s="67" t="n">
        <v>0.583051</v>
      </c>
      <c r="N155" s="67" t="n">
        <v>0.438636</v>
      </c>
      <c r="O155" s="67" t="n">
        <v>3.776983</v>
      </c>
      <c r="P155" s="67" t="n">
        <v>0.937817</v>
      </c>
      <c r="Q155" s="67" t="n">
        <v>1.348523</v>
      </c>
      <c r="R155" s="67" t="n">
        <v>1.741788</v>
      </c>
      <c r="S155" s="68" t="s">
        <v>200</v>
      </c>
      <c r="T155" s="68" t="s">
        <v>201</v>
      </c>
      <c r="U155" s="68" t="s">
        <v>202</v>
      </c>
      <c r="V155" s="69"/>
      <c r="W155" s="68" t="s">
        <v>214</v>
      </c>
      <c r="X155" s="68" t="n">
        <v>1.56976086956894</v>
      </c>
      <c r="Y155" s="68" t="n">
        <v>60.1741666668095</v>
      </c>
      <c r="Z155" s="68" t="n">
        <v>38.3333333333333</v>
      </c>
      <c r="AA155" s="70"/>
    </row>
    <row r="156" customFormat="false" ht="14.25" hidden="false" customHeight="false" outlineLevel="0" collapsed="false">
      <c r="A156" s="56"/>
      <c r="B156" s="56"/>
      <c r="C156" s="64" t="n">
        <v>151</v>
      </c>
      <c r="D156" s="71" t="s">
        <v>534</v>
      </c>
      <c r="E156" s="71" t="s">
        <v>530</v>
      </c>
      <c r="F156" s="71" t="s">
        <v>535</v>
      </c>
      <c r="G156" s="66" t="n">
        <v>44</v>
      </c>
      <c r="H156" s="67" t="n">
        <v>0.167</v>
      </c>
      <c r="I156" s="67" t="n">
        <v>371</v>
      </c>
      <c r="J156" s="67" t="n">
        <v>371</v>
      </c>
      <c r="K156" s="67" t="n">
        <v>371</v>
      </c>
      <c r="L156" s="68" t="s">
        <v>199</v>
      </c>
      <c r="M156" s="67" t="n">
        <v>0.291367</v>
      </c>
      <c r="N156" s="67" t="n">
        <v>0.412245</v>
      </c>
      <c r="O156" s="67" t="n">
        <v>4.03002</v>
      </c>
      <c r="P156" s="67" t="n">
        <v>0.527592</v>
      </c>
      <c r="Q156" s="67" t="n">
        <v>1.209704</v>
      </c>
      <c r="R156" s="67" t="n">
        <v>1.809585</v>
      </c>
      <c r="S156" s="68" t="s">
        <v>200</v>
      </c>
      <c r="T156" s="68" t="s">
        <v>201</v>
      </c>
      <c r="U156" s="68" t="s">
        <v>202</v>
      </c>
      <c r="V156" s="69"/>
      <c r="W156" s="68" t="s">
        <v>203</v>
      </c>
      <c r="X156" s="68" t="n">
        <v>1.56976086956894</v>
      </c>
      <c r="Y156" s="68" t="n">
        <v>60.1741666668095</v>
      </c>
      <c r="Z156" s="68" t="n">
        <v>38.3333333333333</v>
      </c>
      <c r="AA156" s="70"/>
    </row>
    <row r="157" customFormat="false" ht="14.25" hidden="false" customHeight="false" outlineLevel="0" collapsed="false">
      <c r="A157" s="56"/>
      <c r="B157" s="56"/>
      <c r="C157" s="64" t="n">
        <v>152</v>
      </c>
      <c r="D157" s="71" t="s">
        <v>536</v>
      </c>
      <c r="E157" s="71" t="s">
        <v>535</v>
      </c>
      <c r="F157" s="71" t="s">
        <v>537</v>
      </c>
      <c r="G157" s="66" t="n">
        <v>44</v>
      </c>
      <c r="H157" s="67" t="n">
        <v>0.6635</v>
      </c>
      <c r="I157" s="67" t="n">
        <v>371</v>
      </c>
      <c r="J157" s="67" t="n">
        <v>371</v>
      </c>
      <c r="K157" s="67" t="n">
        <v>371</v>
      </c>
      <c r="L157" s="68" t="s">
        <v>199</v>
      </c>
      <c r="M157" s="67" t="n">
        <v>0.291367</v>
      </c>
      <c r="N157" s="67" t="n">
        <v>0.412245</v>
      </c>
      <c r="O157" s="67" t="n">
        <v>4.03002</v>
      </c>
      <c r="P157" s="67" t="n">
        <v>0.527592</v>
      </c>
      <c r="Q157" s="67" t="n">
        <v>1.209704</v>
      </c>
      <c r="R157" s="67" t="n">
        <v>1.809585</v>
      </c>
      <c r="S157" s="68" t="s">
        <v>200</v>
      </c>
      <c r="T157" s="68" t="s">
        <v>201</v>
      </c>
      <c r="U157" s="68" t="s">
        <v>202</v>
      </c>
      <c r="V157" s="69"/>
      <c r="W157" s="68" t="s">
        <v>203</v>
      </c>
      <c r="X157" s="68" t="n">
        <v>1.56976086956894</v>
      </c>
      <c r="Y157" s="68" t="n">
        <v>60.1741666668095</v>
      </c>
      <c r="Z157" s="68" t="n">
        <v>38.3333333333333</v>
      </c>
      <c r="AA157" s="70"/>
    </row>
    <row r="158" customFormat="false" ht="14.25" hidden="false" customHeight="false" outlineLevel="0" collapsed="false">
      <c r="A158" s="56"/>
      <c r="B158" s="56"/>
      <c r="C158" s="64" t="n">
        <v>153</v>
      </c>
      <c r="D158" s="71" t="s">
        <v>538</v>
      </c>
      <c r="E158" s="71" t="s">
        <v>537</v>
      </c>
      <c r="F158" s="71" t="s">
        <v>539</v>
      </c>
      <c r="G158" s="66" t="n">
        <v>44</v>
      </c>
      <c r="H158" s="67" t="n">
        <v>0.3924</v>
      </c>
      <c r="I158" s="67" t="n">
        <v>260</v>
      </c>
      <c r="J158" s="67" t="n">
        <v>260</v>
      </c>
      <c r="K158" s="67" t="n">
        <v>260</v>
      </c>
      <c r="L158" s="68" t="s">
        <v>199</v>
      </c>
      <c r="M158" s="67" t="n">
        <v>0.583051</v>
      </c>
      <c r="N158" s="67" t="n">
        <v>0.438636</v>
      </c>
      <c r="O158" s="67" t="n">
        <v>3.776983</v>
      </c>
      <c r="P158" s="67" t="n">
        <v>0.937817</v>
      </c>
      <c r="Q158" s="67" t="n">
        <v>1.348523</v>
      </c>
      <c r="R158" s="67" t="n">
        <v>1.741788</v>
      </c>
      <c r="S158" s="68" t="s">
        <v>200</v>
      </c>
      <c r="T158" s="68" t="s">
        <v>201</v>
      </c>
      <c r="U158" s="68" t="s">
        <v>202</v>
      </c>
      <c r="V158" s="69"/>
      <c r="W158" s="68" t="s">
        <v>214</v>
      </c>
      <c r="X158" s="68" t="n">
        <v>1.56976086956894</v>
      </c>
      <c r="Y158" s="68" t="n">
        <v>60.1741666668095</v>
      </c>
      <c r="Z158" s="68" t="n">
        <v>38.3333333333333</v>
      </c>
      <c r="AA158" s="70"/>
    </row>
    <row r="159" customFormat="false" ht="14.25" hidden="false" customHeight="false" outlineLevel="0" collapsed="false">
      <c r="A159" s="56"/>
      <c r="B159" s="56"/>
      <c r="C159" s="64" t="n">
        <v>154</v>
      </c>
      <c r="D159" s="71" t="s">
        <v>540</v>
      </c>
      <c r="E159" s="71" t="s">
        <v>537</v>
      </c>
      <c r="F159" s="71" t="s">
        <v>541</v>
      </c>
      <c r="G159" s="66" t="n">
        <v>44</v>
      </c>
      <c r="H159" s="67" t="n">
        <v>0.2756</v>
      </c>
      <c r="I159" s="67" t="n">
        <v>371</v>
      </c>
      <c r="J159" s="67" t="n">
        <v>371</v>
      </c>
      <c r="K159" s="67" t="n">
        <v>371</v>
      </c>
      <c r="L159" s="68" t="s">
        <v>199</v>
      </c>
      <c r="M159" s="67" t="n">
        <v>0.277924</v>
      </c>
      <c r="N159" s="67" t="n">
        <v>0.291019</v>
      </c>
      <c r="O159" s="67" t="n">
        <v>5.855192</v>
      </c>
      <c r="P159" s="67" t="n">
        <v>0.805696</v>
      </c>
      <c r="Q159" s="67" t="n">
        <v>1.188238</v>
      </c>
      <c r="R159" s="67" t="n">
        <v>2.73325</v>
      </c>
      <c r="S159" s="68" t="s">
        <v>200</v>
      </c>
      <c r="T159" s="68" t="s">
        <v>201</v>
      </c>
      <c r="U159" s="68" t="s">
        <v>202</v>
      </c>
      <c r="V159" s="69"/>
      <c r="W159" s="68" t="s">
        <v>207</v>
      </c>
      <c r="X159" s="68" t="n">
        <v>1.56976086956894</v>
      </c>
      <c r="Y159" s="68" t="n">
        <v>60.1741666668095</v>
      </c>
      <c r="Z159" s="68" t="n">
        <v>38.3333333333333</v>
      </c>
      <c r="AA159" s="70"/>
    </row>
    <row r="160" customFormat="false" ht="14.25" hidden="false" customHeight="false" outlineLevel="0" collapsed="false">
      <c r="A160" s="56"/>
      <c r="B160" s="56"/>
      <c r="C160" s="64" t="n">
        <v>155</v>
      </c>
      <c r="D160" s="71" t="s">
        <v>542</v>
      </c>
      <c r="E160" s="71" t="s">
        <v>541</v>
      </c>
      <c r="F160" s="71" t="s">
        <v>543</v>
      </c>
      <c r="G160" s="66" t="n">
        <v>44</v>
      </c>
      <c r="H160" s="67" t="n">
        <v>0.1973</v>
      </c>
      <c r="I160" s="67" t="n">
        <v>371</v>
      </c>
      <c r="J160" s="67" t="n">
        <v>371</v>
      </c>
      <c r="K160" s="67" t="n">
        <v>371</v>
      </c>
      <c r="L160" s="68" t="s">
        <v>199</v>
      </c>
      <c r="M160" s="67" t="n">
        <v>0.583086</v>
      </c>
      <c r="N160" s="67" t="n">
        <v>0.438822</v>
      </c>
      <c r="O160" s="67" t="n">
        <v>3.776527</v>
      </c>
      <c r="P160" s="67" t="n">
        <v>0.997367</v>
      </c>
      <c r="Q160" s="67" t="n">
        <v>1.476441</v>
      </c>
      <c r="R160" s="67" t="n">
        <v>1.732551</v>
      </c>
      <c r="S160" s="68" t="s">
        <v>200</v>
      </c>
      <c r="T160" s="68" t="s">
        <v>201</v>
      </c>
      <c r="U160" s="68" t="s">
        <v>202</v>
      </c>
      <c r="V160" s="69"/>
      <c r="W160" s="68" t="s">
        <v>544</v>
      </c>
      <c r="X160" s="68" t="n">
        <v>1.56976086956894</v>
      </c>
      <c r="Y160" s="68" t="n">
        <v>60.1741666668095</v>
      </c>
      <c r="Z160" s="68" t="n">
        <v>38.3333333333333</v>
      </c>
      <c r="AA160" s="70"/>
    </row>
    <row r="161" customFormat="false" ht="14.25" hidden="false" customHeight="false" outlineLevel="0" collapsed="false">
      <c r="A161" s="56"/>
      <c r="B161" s="56"/>
      <c r="C161" s="64" t="n">
        <v>156</v>
      </c>
      <c r="D161" s="71" t="s">
        <v>545</v>
      </c>
      <c r="E161" s="71" t="s">
        <v>535</v>
      </c>
      <c r="F161" s="71" t="s">
        <v>546</v>
      </c>
      <c r="G161" s="66" t="n">
        <v>44</v>
      </c>
      <c r="H161" s="67" t="n">
        <v>0.1632</v>
      </c>
      <c r="I161" s="67" t="n">
        <v>371</v>
      </c>
      <c r="J161" s="67" t="n">
        <v>371</v>
      </c>
      <c r="K161" s="67" t="n">
        <v>371</v>
      </c>
      <c r="L161" s="68" t="s">
        <v>199</v>
      </c>
      <c r="M161" s="67" t="n">
        <v>0.291367</v>
      </c>
      <c r="N161" s="67" t="n">
        <v>0.412245</v>
      </c>
      <c r="O161" s="67" t="n">
        <v>4.03002</v>
      </c>
      <c r="P161" s="67" t="n">
        <v>0.527592</v>
      </c>
      <c r="Q161" s="67" t="n">
        <v>1.209704</v>
      </c>
      <c r="R161" s="67" t="n">
        <v>1.809585</v>
      </c>
      <c r="S161" s="68" t="s">
        <v>200</v>
      </c>
      <c r="T161" s="68" t="s">
        <v>201</v>
      </c>
      <c r="U161" s="68" t="s">
        <v>202</v>
      </c>
      <c r="V161" s="69"/>
      <c r="W161" s="68" t="s">
        <v>203</v>
      </c>
      <c r="X161" s="68" t="n">
        <v>1.56976086956894</v>
      </c>
      <c r="Y161" s="68" t="n">
        <v>60.1741666668095</v>
      </c>
      <c r="Z161" s="68" t="n">
        <v>38.3333333333333</v>
      </c>
      <c r="AA161" s="70"/>
    </row>
    <row r="162" customFormat="false" ht="14.25" hidden="false" customHeight="false" outlineLevel="0" collapsed="false">
      <c r="A162" s="56"/>
      <c r="B162" s="56"/>
      <c r="C162" s="64" t="n">
        <v>157</v>
      </c>
      <c r="D162" s="71" t="s">
        <v>547</v>
      </c>
      <c r="E162" s="71" t="s">
        <v>546</v>
      </c>
      <c r="F162" s="71" t="s">
        <v>548</v>
      </c>
      <c r="G162" s="66" t="n">
        <v>44</v>
      </c>
      <c r="H162" s="67" t="n">
        <v>0.2468</v>
      </c>
      <c r="I162" s="67" t="n">
        <v>371</v>
      </c>
      <c r="J162" s="67" t="n">
        <v>371</v>
      </c>
      <c r="K162" s="67" t="n">
        <v>371</v>
      </c>
      <c r="L162" s="68" t="s">
        <v>199</v>
      </c>
      <c r="M162" s="67" t="n">
        <v>0.291367</v>
      </c>
      <c r="N162" s="67" t="n">
        <v>0.412245</v>
      </c>
      <c r="O162" s="67" t="n">
        <v>4.03002</v>
      </c>
      <c r="P162" s="67" t="n">
        <v>0.527592</v>
      </c>
      <c r="Q162" s="67" t="n">
        <v>1.209704</v>
      </c>
      <c r="R162" s="67" t="n">
        <v>1.809585</v>
      </c>
      <c r="S162" s="68" t="s">
        <v>200</v>
      </c>
      <c r="T162" s="68" t="s">
        <v>201</v>
      </c>
      <c r="U162" s="68" t="s">
        <v>202</v>
      </c>
      <c r="V162" s="69"/>
      <c r="W162" s="68" t="s">
        <v>203</v>
      </c>
      <c r="X162" s="68" t="n">
        <v>1.56976086956894</v>
      </c>
      <c r="Y162" s="68" t="n">
        <v>60.1741666668095</v>
      </c>
      <c r="Z162" s="68" t="n">
        <v>38.3333333333333</v>
      </c>
      <c r="AA162" s="70"/>
    </row>
    <row r="163" customFormat="false" ht="14.25" hidden="false" customHeight="false" outlineLevel="0" collapsed="false">
      <c r="A163" s="56"/>
      <c r="B163" s="56"/>
      <c r="C163" s="64" t="n">
        <v>158</v>
      </c>
      <c r="D163" s="71" t="s">
        <v>549</v>
      </c>
      <c r="E163" s="71" t="s">
        <v>546</v>
      </c>
      <c r="F163" s="71" t="s">
        <v>550</v>
      </c>
      <c r="G163" s="66" t="n">
        <v>44</v>
      </c>
      <c r="H163" s="67" t="n">
        <v>0.1442</v>
      </c>
      <c r="I163" s="67" t="n">
        <v>371</v>
      </c>
      <c r="J163" s="67" t="n">
        <v>371</v>
      </c>
      <c r="K163" s="67" t="n">
        <v>371</v>
      </c>
      <c r="L163" s="68" t="s">
        <v>199</v>
      </c>
      <c r="M163" s="67" t="n">
        <v>0.291367</v>
      </c>
      <c r="N163" s="67" t="n">
        <v>0.412245</v>
      </c>
      <c r="O163" s="67" t="n">
        <v>4.03002</v>
      </c>
      <c r="P163" s="67" t="n">
        <v>0.527592</v>
      </c>
      <c r="Q163" s="67" t="n">
        <v>1.209704</v>
      </c>
      <c r="R163" s="67" t="n">
        <v>1.809585</v>
      </c>
      <c r="S163" s="68" t="s">
        <v>200</v>
      </c>
      <c r="T163" s="68" t="s">
        <v>201</v>
      </c>
      <c r="U163" s="68" t="s">
        <v>202</v>
      </c>
      <c r="V163" s="69"/>
      <c r="W163" s="68" t="s">
        <v>203</v>
      </c>
      <c r="X163" s="68" t="n">
        <v>1.56976086956894</v>
      </c>
      <c r="Y163" s="68" t="n">
        <v>60.1741666668095</v>
      </c>
      <c r="Z163" s="68" t="n">
        <v>38.3333333333333</v>
      </c>
      <c r="AA163" s="70"/>
    </row>
    <row r="164" customFormat="false" ht="14.25" hidden="false" customHeight="false" outlineLevel="0" collapsed="false">
      <c r="A164" s="56"/>
      <c r="B164" s="56"/>
      <c r="C164" s="64" t="n">
        <v>159</v>
      </c>
      <c r="D164" s="71" t="s">
        <v>551</v>
      </c>
      <c r="E164" s="71" t="s">
        <v>546</v>
      </c>
      <c r="F164" s="71" t="s">
        <v>552</v>
      </c>
      <c r="G164" s="66" t="n">
        <v>44</v>
      </c>
      <c r="H164" s="67" t="n">
        <v>0.783</v>
      </c>
      <c r="I164" s="67" t="n">
        <v>371</v>
      </c>
      <c r="J164" s="67" t="n">
        <v>371</v>
      </c>
      <c r="K164" s="67" t="n">
        <v>371</v>
      </c>
      <c r="L164" s="68" t="s">
        <v>199</v>
      </c>
      <c r="M164" s="67" t="n">
        <v>0.291367</v>
      </c>
      <c r="N164" s="67" t="n">
        <v>0.412245</v>
      </c>
      <c r="O164" s="67" t="n">
        <v>4.03002</v>
      </c>
      <c r="P164" s="67" t="n">
        <v>0.527592</v>
      </c>
      <c r="Q164" s="67" t="n">
        <v>1.209704</v>
      </c>
      <c r="R164" s="67" t="n">
        <v>1.809585</v>
      </c>
      <c r="S164" s="68" t="s">
        <v>200</v>
      </c>
      <c r="T164" s="68" t="s">
        <v>201</v>
      </c>
      <c r="U164" s="68" t="s">
        <v>202</v>
      </c>
      <c r="V164" s="69"/>
      <c r="W164" s="68" t="s">
        <v>203</v>
      </c>
      <c r="X164" s="68" t="n">
        <v>1.56976086956894</v>
      </c>
      <c r="Y164" s="68" t="n">
        <v>60.1741666668095</v>
      </c>
      <c r="Z164" s="68" t="n">
        <v>38.3333333333333</v>
      </c>
      <c r="AA164" s="70"/>
    </row>
    <row r="165" customFormat="false" ht="14.25" hidden="false" customHeight="false" outlineLevel="0" collapsed="false">
      <c r="A165" s="56"/>
      <c r="B165" s="56"/>
      <c r="C165" s="64" t="n">
        <v>160</v>
      </c>
      <c r="D165" s="71" t="s">
        <v>553</v>
      </c>
      <c r="E165" s="71" t="s">
        <v>552</v>
      </c>
      <c r="F165" s="71" t="s">
        <v>554</v>
      </c>
      <c r="G165" s="66" t="n">
        <v>44</v>
      </c>
      <c r="H165" s="67" t="n">
        <v>1.498</v>
      </c>
      <c r="I165" s="67" t="n">
        <v>371</v>
      </c>
      <c r="J165" s="67" t="n">
        <v>371</v>
      </c>
      <c r="K165" s="67" t="n">
        <v>371</v>
      </c>
      <c r="L165" s="68" t="s">
        <v>199</v>
      </c>
      <c r="M165" s="67" t="n">
        <v>0.291367</v>
      </c>
      <c r="N165" s="67" t="n">
        <v>0.412245</v>
      </c>
      <c r="O165" s="67" t="n">
        <v>4.03002</v>
      </c>
      <c r="P165" s="67" t="n">
        <v>0.527592</v>
      </c>
      <c r="Q165" s="67" t="n">
        <v>1.209704</v>
      </c>
      <c r="R165" s="67" t="n">
        <v>1.809585</v>
      </c>
      <c r="S165" s="68" t="s">
        <v>200</v>
      </c>
      <c r="T165" s="68" t="s">
        <v>201</v>
      </c>
      <c r="U165" s="68" t="s">
        <v>202</v>
      </c>
      <c r="V165" s="69"/>
      <c r="W165" s="68" t="s">
        <v>203</v>
      </c>
      <c r="X165" s="68" t="n">
        <v>1.56976086956894</v>
      </c>
      <c r="Y165" s="68" t="n">
        <v>60.1741666668095</v>
      </c>
      <c r="Z165" s="68" t="n">
        <v>38.3333333333333</v>
      </c>
      <c r="AA165" s="70" t="s">
        <v>231</v>
      </c>
    </row>
    <row r="166" customFormat="false" ht="14.25" hidden="false" customHeight="false" outlineLevel="0" collapsed="false">
      <c r="A166" s="56"/>
      <c r="B166" s="56"/>
      <c r="C166" s="64" t="n">
        <v>161</v>
      </c>
      <c r="D166" s="71" t="s">
        <v>555</v>
      </c>
      <c r="E166" s="71" t="s">
        <v>556</v>
      </c>
      <c r="F166" s="71" t="s">
        <v>557</v>
      </c>
      <c r="G166" s="66" t="n">
        <v>44</v>
      </c>
      <c r="H166" s="67" t="n">
        <v>0.2661</v>
      </c>
      <c r="I166" s="67" t="n">
        <v>371</v>
      </c>
      <c r="J166" s="67" t="n">
        <v>371</v>
      </c>
      <c r="K166" s="67" t="n">
        <v>371</v>
      </c>
      <c r="L166" s="68" t="s">
        <v>199</v>
      </c>
      <c r="M166" s="67" t="n">
        <v>0.291367</v>
      </c>
      <c r="N166" s="67" t="n">
        <v>0.412245</v>
      </c>
      <c r="O166" s="67" t="n">
        <v>4.03002</v>
      </c>
      <c r="P166" s="67" t="n">
        <v>0.527592</v>
      </c>
      <c r="Q166" s="67" t="n">
        <v>1.209704</v>
      </c>
      <c r="R166" s="67" t="n">
        <v>1.809585</v>
      </c>
      <c r="S166" s="68" t="s">
        <v>200</v>
      </c>
      <c r="T166" s="68" t="s">
        <v>201</v>
      </c>
      <c r="U166" s="68" t="s">
        <v>202</v>
      </c>
      <c r="V166" s="69"/>
      <c r="W166" s="68" t="s">
        <v>203</v>
      </c>
      <c r="X166" s="68" t="n">
        <v>1.56976086956894</v>
      </c>
      <c r="Y166" s="68" t="n">
        <v>60.1741666668095</v>
      </c>
      <c r="Z166" s="68" t="n">
        <v>38.3333333333333</v>
      </c>
      <c r="AA166" s="70" t="s">
        <v>237</v>
      </c>
    </row>
    <row r="167" customFormat="false" ht="14.25" hidden="false" customHeight="false" outlineLevel="0" collapsed="false">
      <c r="A167" s="56"/>
      <c r="B167" s="56"/>
      <c r="C167" s="64" t="n">
        <v>162</v>
      </c>
      <c r="D167" s="71" t="s">
        <v>558</v>
      </c>
      <c r="E167" s="71" t="s">
        <v>552</v>
      </c>
      <c r="F167" s="71" t="s">
        <v>559</v>
      </c>
      <c r="G167" s="66" t="n">
        <v>44</v>
      </c>
      <c r="H167" s="67" t="n">
        <v>0.1394</v>
      </c>
      <c r="I167" s="67" t="n">
        <v>371</v>
      </c>
      <c r="J167" s="67" t="n">
        <v>371</v>
      </c>
      <c r="K167" s="67" t="n">
        <v>371</v>
      </c>
      <c r="L167" s="68" t="s">
        <v>199</v>
      </c>
      <c r="M167" s="67" t="n">
        <v>0.291367</v>
      </c>
      <c r="N167" s="67" t="n">
        <v>0.412245</v>
      </c>
      <c r="O167" s="67" t="n">
        <v>4.03002</v>
      </c>
      <c r="P167" s="67" t="n">
        <v>0.527592</v>
      </c>
      <c r="Q167" s="67" t="n">
        <v>1.209704</v>
      </c>
      <c r="R167" s="67" t="n">
        <v>1.809585</v>
      </c>
      <c r="S167" s="68" t="s">
        <v>200</v>
      </c>
      <c r="T167" s="68" t="s">
        <v>201</v>
      </c>
      <c r="U167" s="68" t="s">
        <v>202</v>
      </c>
      <c r="V167" s="69"/>
      <c r="W167" s="68" t="s">
        <v>203</v>
      </c>
      <c r="X167" s="68" t="n">
        <v>1.56976086956894</v>
      </c>
      <c r="Y167" s="68" t="n">
        <v>60.1741666668095</v>
      </c>
      <c r="Z167" s="68" t="n">
        <v>38.3333333333333</v>
      </c>
      <c r="AA167" s="70"/>
    </row>
    <row r="168" customFormat="false" ht="14.25" hidden="false" customHeight="false" outlineLevel="0" collapsed="false">
      <c r="A168" s="56"/>
      <c r="B168" s="56"/>
      <c r="C168" s="64" t="n">
        <v>163</v>
      </c>
      <c r="D168" s="71" t="s">
        <v>560</v>
      </c>
      <c r="E168" s="71" t="s">
        <v>559</v>
      </c>
      <c r="F168" s="71" t="s">
        <v>561</v>
      </c>
      <c r="G168" s="66" t="n">
        <v>44</v>
      </c>
      <c r="H168" s="67" t="n">
        <v>0.274</v>
      </c>
      <c r="I168" s="67" t="n">
        <v>371</v>
      </c>
      <c r="J168" s="67" t="n">
        <v>371</v>
      </c>
      <c r="K168" s="67" t="n">
        <v>371</v>
      </c>
      <c r="L168" s="68" t="s">
        <v>199</v>
      </c>
      <c r="M168" s="67" t="n">
        <v>0.277924</v>
      </c>
      <c r="N168" s="67" t="n">
        <v>0.291019</v>
      </c>
      <c r="O168" s="67" t="n">
        <v>5.855192</v>
      </c>
      <c r="P168" s="67" t="n">
        <v>0.805696</v>
      </c>
      <c r="Q168" s="67" t="n">
        <v>1.188238</v>
      </c>
      <c r="R168" s="67" t="n">
        <v>2.73325</v>
      </c>
      <c r="S168" s="68" t="s">
        <v>200</v>
      </c>
      <c r="T168" s="68" t="s">
        <v>201</v>
      </c>
      <c r="U168" s="68" t="s">
        <v>202</v>
      </c>
      <c r="V168" s="69"/>
      <c r="W168" s="68" t="s">
        <v>207</v>
      </c>
      <c r="X168" s="68" t="n">
        <v>1.56976086956894</v>
      </c>
      <c r="Y168" s="68" t="n">
        <v>60.1741666668095</v>
      </c>
      <c r="Z168" s="68" t="n">
        <v>38.3333333333333</v>
      </c>
      <c r="AA168" s="70"/>
    </row>
    <row r="169" customFormat="false" ht="14.25" hidden="false" customHeight="false" outlineLevel="0" collapsed="false">
      <c r="A169" s="56"/>
      <c r="B169" s="56"/>
      <c r="C169" s="64" t="n">
        <v>164</v>
      </c>
      <c r="D169" s="71" t="s">
        <v>562</v>
      </c>
      <c r="E169" s="71" t="s">
        <v>561</v>
      </c>
      <c r="F169" s="71" t="s">
        <v>563</v>
      </c>
      <c r="G169" s="66" t="n">
        <v>44</v>
      </c>
      <c r="H169" s="67" t="n">
        <v>0.1</v>
      </c>
      <c r="I169" s="67" t="n">
        <v>260</v>
      </c>
      <c r="J169" s="67" t="n">
        <v>260</v>
      </c>
      <c r="K169" s="67" t="n">
        <v>260</v>
      </c>
      <c r="L169" s="68" t="s">
        <v>199</v>
      </c>
      <c r="M169" s="67" t="n">
        <v>0.583051</v>
      </c>
      <c r="N169" s="67" t="n">
        <v>0.438636</v>
      </c>
      <c r="O169" s="67" t="n">
        <v>3.776983</v>
      </c>
      <c r="P169" s="67" t="n">
        <v>0.937817</v>
      </c>
      <c r="Q169" s="67" t="n">
        <v>1.348523</v>
      </c>
      <c r="R169" s="67" t="n">
        <v>1.741788</v>
      </c>
      <c r="S169" s="68" t="s">
        <v>200</v>
      </c>
      <c r="T169" s="68" t="s">
        <v>201</v>
      </c>
      <c r="U169" s="68" t="s">
        <v>202</v>
      </c>
      <c r="V169" s="69"/>
      <c r="W169" s="68" t="s">
        <v>214</v>
      </c>
      <c r="X169" s="68" t="n">
        <v>1.56976086956894</v>
      </c>
      <c r="Y169" s="68" t="n">
        <v>60.1741666668095</v>
      </c>
      <c r="Z169" s="68" t="n">
        <v>38.3333333333333</v>
      </c>
      <c r="AA169" s="70"/>
    </row>
    <row r="170" customFormat="false" ht="14.25" hidden="false" customHeight="false" outlineLevel="0" collapsed="false">
      <c r="A170" s="56"/>
      <c r="B170" s="56"/>
      <c r="C170" s="64" t="n">
        <v>165</v>
      </c>
      <c r="D170" s="71" t="s">
        <v>564</v>
      </c>
      <c r="E170" s="71" t="s">
        <v>561</v>
      </c>
      <c r="F170" s="71" t="s">
        <v>565</v>
      </c>
      <c r="G170" s="66" t="n">
        <v>44</v>
      </c>
      <c r="H170" s="67" t="n">
        <v>0.2832</v>
      </c>
      <c r="I170" s="67" t="n">
        <v>371</v>
      </c>
      <c r="J170" s="67" t="n">
        <v>371</v>
      </c>
      <c r="K170" s="67" t="n">
        <v>371</v>
      </c>
      <c r="L170" s="68" t="s">
        <v>199</v>
      </c>
      <c r="M170" s="67" t="n">
        <v>0.291367</v>
      </c>
      <c r="N170" s="67" t="n">
        <v>0.412245</v>
      </c>
      <c r="O170" s="67" t="n">
        <v>4.03002</v>
      </c>
      <c r="P170" s="67" t="n">
        <v>0.527592</v>
      </c>
      <c r="Q170" s="67" t="n">
        <v>1.209704</v>
      </c>
      <c r="R170" s="67" t="n">
        <v>1.809585</v>
      </c>
      <c r="S170" s="68" t="s">
        <v>200</v>
      </c>
      <c r="T170" s="68" t="s">
        <v>201</v>
      </c>
      <c r="U170" s="68" t="s">
        <v>202</v>
      </c>
      <c r="V170" s="69"/>
      <c r="W170" s="68" t="s">
        <v>203</v>
      </c>
      <c r="X170" s="68" t="n">
        <v>1.56976086956894</v>
      </c>
      <c r="Y170" s="68" t="n">
        <v>60.1741666668095</v>
      </c>
      <c r="Z170" s="68" t="n">
        <v>38.3333333333333</v>
      </c>
      <c r="AA170" s="70"/>
    </row>
    <row r="171" customFormat="false" ht="14.25" hidden="false" customHeight="false" outlineLevel="0" collapsed="false">
      <c r="A171" s="56"/>
      <c r="B171" s="56"/>
      <c r="C171" s="64" t="n">
        <v>166</v>
      </c>
      <c r="D171" s="71" t="s">
        <v>566</v>
      </c>
      <c r="E171" s="71" t="s">
        <v>565</v>
      </c>
      <c r="F171" s="71" t="s">
        <v>567</v>
      </c>
      <c r="G171" s="66" t="n">
        <v>44</v>
      </c>
      <c r="H171" s="67" t="n">
        <v>0.1706</v>
      </c>
      <c r="I171" s="67" t="n">
        <v>260</v>
      </c>
      <c r="J171" s="67" t="n">
        <v>260</v>
      </c>
      <c r="K171" s="67" t="n">
        <v>260</v>
      </c>
      <c r="L171" s="68" t="s">
        <v>199</v>
      </c>
      <c r="M171" s="67" t="n">
        <v>0.583051</v>
      </c>
      <c r="N171" s="67" t="n">
        <v>0.438636</v>
      </c>
      <c r="O171" s="67" t="n">
        <v>3.776983</v>
      </c>
      <c r="P171" s="67" t="n">
        <v>0.937817</v>
      </c>
      <c r="Q171" s="67" t="n">
        <v>1.348523</v>
      </c>
      <c r="R171" s="67" t="n">
        <v>1.741788</v>
      </c>
      <c r="S171" s="68" t="s">
        <v>200</v>
      </c>
      <c r="T171" s="68" t="s">
        <v>201</v>
      </c>
      <c r="U171" s="68" t="s">
        <v>202</v>
      </c>
      <c r="V171" s="69"/>
      <c r="W171" s="68" t="s">
        <v>214</v>
      </c>
      <c r="X171" s="68" t="n">
        <v>1.56976086956894</v>
      </c>
      <c r="Y171" s="68" t="n">
        <v>60.1741666668095</v>
      </c>
      <c r="Z171" s="68" t="n">
        <v>38.3333333333333</v>
      </c>
      <c r="AA171" s="70"/>
    </row>
    <row r="172" customFormat="false" ht="14.25" hidden="false" customHeight="false" outlineLevel="0" collapsed="false">
      <c r="A172" s="56"/>
      <c r="B172" s="56"/>
      <c r="C172" s="64" t="n">
        <v>167</v>
      </c>
      <c r="D172" s="71" t="s">
        <v>568</v>
      </c>
      <c r="E172" s="71" t="s">
        <v>565</v>
      </c>
      <c r="F172" s="71" t="s">
        <v>569</v>
      </c>
      <c r="G172" s="66" t="n">
        <v>44</v>
      </c>
      <c r="H172" s="67" t="n">
        <v>0.3494</v>
      </c>
      <c r="I172" s="67" t="n">
        <v>371</v>
      </c>
      <c r="J172" s="67" t="n">
        <v>371</v>
      </c>
      <c r="K172" s="67" t="n">
        <v>371</v>
      </c>
      <c r="L172" s="68" t="s">
        <v>199</v>
      </c>
      <c r="M172" s="67" t="n">
        <v>0.291367</v>
      </c>
      <c r="N172" s="67" t="n">
        <v>0.412245</v>
      </c>
      <c r="O172" s="67" t="n">
        <v>4.03002</v>
      </c>
      <c r="P172" s="67" t="n">
        <v>0.527592</v>
      </c>
      <c r="Q172" s="67" t="n">
        <v>1.209704</v>
      </c>
      <c r="R172" s="67" t="n">
        <v>1.809585</v>
      </c>
      <c r="S172" s="68" t="s">
        <v>200</v>
      </c>
      <c r="T172" s="68" t="s">
        <v>201</v>
      </c>
      <c r="U172" s="68" t="s">
        <v>202</v>
      </c>
      <c r="V172" s="69"/>
      <c r="W172" s="68" t="s">
        <v>203</v>
      </c>
      <c r="X172" s="68" t="n">
        <v>1.56976086956894</v>
      </c>
      <c r="Y172" s="68" t="n">
        <v>60.1741666668095</v>
      </c>
      <c r="Z172" s="68" t="n">
        <v>38.3333333333333</v>
      </c>
      <c r="AA172" s="70"/>
    </row>
    <row r="173" customFormat="false" ht="14.25" hidden="false" customHeight="false" outlineLevel="0" collapsed="false">
      <c r="A173" s="56"/>
      <c r="B173" s="56"/>
      <c r="C173" s="64" t="n">
        <v>168</v>
      </c>
      <c r="D173" s="71" t="s">
        <v>570</v>
      </c>
      <c r="E173" s="71" t="s">
        <v>569</v>
      </c>
      <c r="F173" s="71" t="s">
        <v>571</v>
      </c>
      <c r="G173" s="66" t="n">
        <v>44</v>
      </c>
      <c r="H173" s="67" t="n">
        <v>0.1289</v>
      </c>
      <c r="I173" s="67" t="n">
        <v>371</v>
      </c>
      <c r="J173" s="67" t="n">
        <v>371</v>
      </c>
      <c r="K173" s="67" t="n">
        <v>371</v>
      </c>
      <c r="L173" s="68" t="s">
        <v>199</v>
      </c>
      <c r="M173" s="67" t="n">
        <v>0.583086</v>
      </c>
      <c r="N173" s="67" t="n">
        <v>0.438822</v>
      </c>
      <c r="O173" s="67" t="n">
        <v>3.776527</v>
      </c>
      <c r="P173" s="67" t="n">
        <v>0.997367</v>
      </c>
      <c r="Q173" s="67" t="n">
        <v>1.476441</v>
      </c>
      <c r="R173" s="67" t="n">
        <v>1.732551</v>
      </c>
      <c r="S173" s="68" t="s">
        <v>200</v>
      </c>
      <c r="T173" s="68" t="s">
        <v>201</v>
      </c>
      <c r="U173" s="68" t="s">
        <v>202</v>
      </c>
      <c r="V173" s="69"/>
      <c r="W173" s="68" t="s">
        <v>544</v>
      </c>
      <c r="X173" s="68" t="n">
        <v>1.56976086956894</v>
      </c>
      <c r="Y173" s="68" t="n">
        <v>60.1741666668095</v>
      </c>
      <c r="Z173" s="68" t="n">
        <v>38.3333333333333</v>
      </c>
      <c r="AA173" s="70"/>
    </row>
    <row r="174" customFormat="false" ht="14.25" hidden="false" customHeight="false" outlineLevel="0" collapsed="false">
      <c r="A174" s="56"/>
      <c r="B174" s="56"/>
      <c r="C174" s="64" t="n">
        <v>169</v>
      </c>
      <c r="D174" s="71" t="s">
        <v>572</v>
      </c>
      <c r="E174" s="71" t="s">
        <v>569</v>
      </c>
      <c r="F174" s="71" t="s">
        <v>573</v>
      </c>
      <c r="G174" s="66" t="n">
        <v>44</v>
      </c>
      <c r="H174" s="67" t="n">
        <v>0.1536</v>
      </c>
      <c r="I174" s="67" t="n">
        <v>260</v>
      </c>
      <c r="J174" s="67" t="n">
        <v>260</v>
      </c>
      <c r="K174" s="67" t="n">
        <v>260</v>
      </c>
      <c r="L174" s="68" t="s">
        <v>199</v>
      </c>
      <c r="M174" s="67" t="n">
        <v>0.583051</v>
      </c>
      <c r="N174" s="67" t="n">
        <v>0.438636</v>
      </c>
      <c r="O174" s="67" t="n">
        <v>3.776983</v>
      </c>
      <c r="P174" s="67" t="n">
        <v>0.937817</v>
      </c>
      <c r="Q174" s="67" t="n">
        <v>1.348523</v>
      </c>
      <c r="R174" s="67" t="n">
        <v>1.741788</v>
      </c>
      <c r="S174" s="68" t="s">
        <v>200</v>
      </c>
      <c r="T174" s="68" t="s">
        <v>201</v>
      </c>
      <c r="U174" s="68" t="s">
        <v>202</v>
      </c>
      <c r="V174" s="69"/>
      <c r="W174" s="68" t="s">
        <v>214</v>
      </c>
      <c r="X174" s="68" t="n">
        <v>1.56976086956894</v>
      </c>
      <c r="Y174" s="68" t="n">
        <v>60.1741666668095</v>
      </c>
      <c r="Z174" s="68" t="n">
        <v>38.3333333333333</v>
      </c>
      <c r="AA174" s="70"/>
    </row>
    <row r="175" customFormat="false" ht="14.25" hidden="false" customHeight="false" outlineLevel="0" collapsed="false">
      <c r="A175" s="56"/>
      <c r="B175" s="56"/>
      <c r="C175" s="64" t="n">
        <v>170</v>
      </c>
      <c r="D175" s="71" t="s">
        <v>574</v>
      </c>
      <c r="E175" s="71" t="s">
        <v>557</v>
      </c>
      <c r="F175" s="71" t="s">
        <v>552</v>
      </c>
      <c r="G175" s="66" t="n">
        <v>44</v>
      </c>
      <c r="H175" s="67" t="n">
        <v>1.507</v>
      </c>
      <c r="I175" s="67" t="n">
        <v>371</v>
      </c>
      <c r="J175" s="67" t="n">
        <v>371</v>
      </c>
      <c r="K175" s="67" t="n">
        <v>371</v>
      </c>
      <c r="L175" s="68" t="s">
        <v>199</v>
      </c>
      <c r="M175" s="67" t="n">
        <v>0.291367</v>
      </c>
      <c r="N175" s="67" t="n">
        <v>0.412245</v>
      </c>
      <c r="O175" s="67" t="n">
        <v>4.03002</v>
      </c>
      <c r="P175" s="67" t="n">
        <v>0.527592</v>
      </c>
      <c r="Q175" s="67" t="n">
        <v>1.209704</v>
      </c>
      <c r="R175" s="67" t="n">
        <v>1.809585</v>
      </c>
      <c r="S175" s="68" t="s">
        <v>200</v>
      </c>
      <c r="T175" s="68" t="s">
        <v>201</v>
      </c>
      <c r="U175" s="68" t="s">
        <v>202</v>
      </c>
      <c r="V175" s="69"/>
      <c r="W175" s="68" t="s">
        <v>203</v>
      </c>
      <c r="X175" s="68" t="n">
        <v>1.56976086956894</v>
      </c>
      <c r="Y175" s="68" t="n">
        <v>60.1741666668095</v>
      </c>
      <c r="Z175" s="68" t="n">
        <v>38.3333333333333</v>
      </c>
      <c r="AA175" s="70"/>
    </row>
    <row r="176" customFormat="false" ht="14.25" hidden="false" customHeight="false" outlineLevel="0" collapsed="false">
      <c r="A176" s="56"/>
      <c r="B176" s="56"/>
      <c r="C176" s="64" t="n">
        <v>171</v>
      </c>
      <c r="D176" s="71" t="s">
        <v>575</v>
      </c>
      <c r="E176" s="71" t="s">
        <v>576</v>
      </c>
      <c r="F176" s="71" t="s">
        <v>557</v>
      </c>
      <c r="G176" s="66" t="n">
        <v>44</v>
      </c>
      <c r="H176" s="67" t="n">
        <v>0.073</v>
      </c>
      <c r="I176" s="67" t="n">
        <v>371</v>
      </c>
      <c r="J176" s="67" t="n">
        <v>371</v>
      </c>
      <c r="K176" s="67" t="n">
        <v>371</v>
      </c>
      <c r="L176" s="68" t="s">
        <v>199</v>
      </c>
      <c r="M176" s="67" t="n">
        <v>0.291367</v>
      </c>
      <c r="N176" s="67" t="n">
        <v>0.412245</v>
      </c>
      <c r="O176" s="67" t="n">
        <v>4.03002</v>
      </c>
      <c r="P176" s="67" t="n">
        <v>0.527592</v>
      </c>
      <c r="Q176" s="67" t="n">
        <v>1.209704</v>
      </c>
      <c r="R176" s="67" t="n">
        <v>1.809585</v>
      </c>
      <c r="S176" s="68" t="s">
        <v>200</v>
      </c>
      <c r="T176" s="68" t="s">
        <v>201</v>
      </c>
      <c r="U176" s="68" t="s">
        <v>202</v>
      </c>
      <c r="V176" s="69"/>
      <c r="W176" s="68" t="s">
        <v>203</v>
      </c>
      <c r="X176" s="68" t="n">
        <v>1.56976086956894</v>
      </c>
      <c r="Y176" s="68" t="n">
        <v>60.1741666668095</v>
      </c>
      <c r="Z176" s="68" t="n">
        <v>38.3333333333333</v>
      </c>
      <c r="AA176" s="70" t="s">
        <v>237</v>
      </c>
    </row>
    <row r="177" customFormat="false" ht="14.25" hidden="false" customHeight="false" outlineLevel="0" collapsed="false">
      <c r="A177" s="56"/>
      <c r="B177" s="56"/>
      <c r="C177" s="64" t="n">
        <v>172</v>
      </c>
      <c r="D177" s="71" t="s">
        <v>577</v>
      </c>
      <c r="E177" s="71" t="s">
        <v>578</v>
      </c>
      <c r="F177" s="71" t="s">
        <v>579</v>
      </c>
      <c r="G177" s="66" t="n">
        <v>44</v>
      </c>
      <c r="H177" s="67" t="n">
        <v>0.02</v>
      </c>
      <c r="I177" s="67" t="n">
        <v>249</v>
      </c>
      <c r="J177" s="67" t="n">
        <v>249</v>
      </c>
      <c r="K177" s="67" t="n">
        <v>249</v>
      </c>
      <c r="L177" s="68" t="s">
        <v>199</v>
      </c>
      <c r="M177" s="67" t="n">
        <v>0.3498</v>
      </c>
      <c r="N177" s="67" t="n">
        <v>0.52416</v>
      </c>
      <c r="O177" s="67" t="n">
        <v>3.178</v>
      </c>
      <c r="P177" s="67" t="n">
        <v>0.61494</v>
      </c>
      <c r="Q177" s="67" t="n">
        <v>1.60881</v>
      </c>
      <c r="R177" s="67" t="n">
        <v>1.7893</v>
      </c>
      <c r="S177" s="68" t="s">
        <v>200</v>
      </c>
      <c r="T177" s="68" t="s">
        <v>201</v>
      </c>
      <c r="U177" s="68" t="s">
        <v>202</v>
      </c>
      <c r="V177" s="69"/>
      <c r="W177" s="68" t="s">
        <v>488</v>
      </c>
      <c r="X177" s="68" t="n">
        <v>2.04829829829632</v>
      </c>
      <c r="Y177" s="68" t="n">
        <v>37.8935185184819</v>
      </c>
      <c r="Z177" s="68" t="n">
        <v>18.5</v>
      </c>
      <c r="AA177" s="70"/>
    </row>
    <row r="178" customFormat="false" ht="14.25" hidden="false" customHeight="false" outlineLevel="0" collapsed="false">
      <c r="A178" s="56"/>
      <c r="B178" s="56"/>
      <c r="C178" s="64" t="n">
        <v>173</v>
      </c>
      <c r="D178" s="71" t="s">
        <v>580</v>
      </c>
      <c r="E178" s="71" t="s">
        <v>579</v>
      </c>
      <c r="F178" s="71" t="s">
        <v>581</v>
      </c>
      <c r="G178" s="66" t="n">
        <v>44</v>
      </c>
      <c r="H178" s="67" t="n">
        <v>8.169999</v>
      </c>
      <c r="I178" s="67" t="n">
        <v>249</v>
      </c>
      <c r="J178" s="67" t="n">
        <v>249</v>
      </c>
      <c r="K178" s="67" t="n">
        <v>249</v>
      </c>
      <c r="L178" s="68" t="s">
        <v>199</v>
      </c>
      <c r="M178" s="67" t="n">
        <v>0.3498</v>
      </c>
      <c r="N178" s="67" t="n">
        <v>0.52416</v>
      </c>
      <c r="O178" s="67" t="n">
        <v>3.178</v>
      </c>
      <c r="P178" s="67" t="n">
        <v>0.61494</v>
      </c>
      <c r="Q178" s="67" t="n">
        <v>1.60881</v>
      </c>
      <c r="R178" s="67" t="n">
        <v>1.7893</v>
      </c>
      <c r="S178" s="68" t="s">
        <v>200</v>
      </c>
      <c r="T178" s="68" t="s">
        <v>201</v>
      </c>
      <c r="U178" s="68" t="s">
        <v>202</v>
      </c>
      <c r="V178" s="69"/>
      <c r="W178" s="68" t="s">
        <v>488</v>
      </c>
      <c r="X178" s="68" t="n">
        <v>2.04829829829632</v>
      </c>
      <c r="Y178" s="68" t="n">
        <v>37.8935185184819</v>
      </c>
      <c r="Z178" s="68" t="n">
        <v>18.5</v>
      </c>
      <c r="AA178" s="70"/>
    </row>
    <row r="179" customFormat="false" ht="14.25" hidden="false" customHeight="false" outlineLevel="0" collapsed="false">
      <c r="A179" s="56"/>
      <c r="B179" s="56"/>
      <c r="C179" s="64" t="n">
        <v>174</v>
      </c>
      <c r="D179" s="71" t="s">
        <v>582</v>
      </c>
      <c r="E179" s="71" t="s">
        <v>578</v>
      </c>
      <c r="F179" s="71" t="s">
        <v>583</v>
      </c>
      <c r="G179" s="66" t="n">
        <v>44</v>
      </c>
      <c r="H179" s="67" t="n">
        <v>0.02</v>
      </c>
      <c r="I179" s="67" t="n">
        <v>320</v>
      </c>
      <c r="J179" s="67" t="n">
        <v>320</v>
      </c>
      <c r="K179" s="67" t="n">
        <v>320</v>
      </c>
      <c r="L179" s="68" t="s">
        <v>199</v>
      </c>
      <c r="M179" s="67" t="n">
        <v>0.234065</v>
      </c>
      <c r="N179" s="67" t="n">
        <v>0.435164</v>
      </c>
      <c r="O179" s="67" t="n">
        <v>3.65</v>
      </c>
      <c r="P179" s="67" t="n">
        <v>0.47033</v>
      </c>
      <c r="Q179" s="67" t="n">
        <v>1.0681</v>
      </c>
      <c r="R179" s="67" t="n">
        <v>1.625</v>
      </c>
      <c r="S179" s="68" t="s">
        <v>200</v>
      </c>
      <c r="T179" s="68" t="s">
        <v>201</v>
      </c>
      <c r="U179" s="68" t="s">
        <v>202</v>
      </c>
      <c r="V179" s="69"/>
      <c r="W179" s="68" t="s">
        <v>584</v>
      </c>
      <c r="X179" s="68" t="n">
        <v>6.30746732025844</v>
      </c>
      <c r="Y179" s="68" t="n">
        <v>125.098101851792</v>
      </c>
      <c r="Z179" s="68" t="n">
        <v>19.8333333333333</v>
      </c>
      <c r="AA179" s="70"/>
    </row>
    <row r="180" customFormat="false" ht="14.25" hidden="false" customHeight="false" outlineLevel="0" collapsed="false">
      <c r="A180" s="56"/>
      <c r="B180" s="56"/>
      <c r="C180" s="64" t="n">
        <v>175</v>
      </c>
      <c r="D180" s="71" t="s">
        <v>585</v>
      </c>
      <c r="E180" s="71" t="s">
        <v>583</v>
      </c>
      <c r="F180" s="71" t="s">
        <v>586</v>
      </c>
      <c r="G180" s="66" t="n">
        <v>44</v>
      </c>
      <c r="H180" s="67" t="n">
        <v>9.1</v>
      </c>
      <c r="I180" s="67" t="n">
        <v>320</v>
      </c>
      <c r="J180" s="67" t="n">
        <v>320</v>
      </c>
      <c r="K180" s="67" t="n">
        <v>320</v>
      </c>
      <c r="L180" s="68" t="s">
        <v>199</v>
      </c>
      <c r="M180" s="67" t="n">
        <v>0.234065</v>
      </c>
      <c r="N180" s="67" t="n">
        <v>0.435164</v>
      </c>
      <c r="O180" s="67" t="n">
        <v>3.65</v>
      </c>
      <c r="P180" s="67" t="n">
        <v>0.47033</v>
      </c>
      <c r="Q180" s="67" t="n">
        <v>1.0681</v>
      </c>
      <c r="R180" s="67" t="n">
        <v>1.625</v>
      </c>
      <c r="S180" s="68" t="s">
        <v>200</v>
      </c>
      <c r="T180" s="68" t="s">
        <v>201</v>
      </c>
      <c r="U180" s="68" t="s">
        <v>202</v>
      </c>
      <c r="V180" s="69"/>
      <c r="W180" s="68" t="s">
        <v>584</v>
      </c>
      <c r="X180" s="68" t="n">
        <v>6.30746732025844</v>
      </c>
      <c r="Y180" s="68" t="n">
        <v>125.098101851792</v>
      </c>
      <c r="Z180" s="68" t="n">
        <v>19.8333333333333</v>
      </c>
      <c r="AA180" s="70"/>
    </row>
    <row r="181" customFormat="false" ht="14.25" hidden="false" customHeight="false" outlineLevel="0" collapsed="false">
      <c r="A181" s="56"/>
      <c r="B181" s="56"/>
      <c r="C181" s="64" t="n">
        <v>176</v>
      </c>
      <c r="D181" s="71" t="s">
        <v>587</v>
      </c>
      <c r="E181" s="71" t="s">
        <v>588</v>
      </c>
      <c r="F181" s="71" t="s">
        <v>589</v>
      </c>
      <c r="G181" s="66" t="n">
        <v>44</v>
      </c>
      <c r="H181" s="67" t="n">
        <v>0.102</v>
      </c>
      <c r="I181" s="67" t="n">
        <v>320</v>
      </c>
      <c r="J181" s="67" t="n">
        <v>320</v>
      </c>
      <c r="K181" s="67" t="n">
        <v>320</v>
      </c>
      <c r="L181" s="68" t="s">
        <v>199</v>
      </c>
      <c r="M181" s="67" t="n">
        <v>0.2356</v>
      </c>
      <c r="N181" s="67" t="n">
        <v>0.50591</v>
      </c>
      <c r="O181" s="67" t="n">
        <v>3.2426</v>
      </c>
      <c r="P181" s="67" t="n">
        <v>0.50074</v>
      </c>
      <c r="Q181" s="67" t="n">
        <v>1.59056</v>
      </c>
      <c r="R181" s="67" t="n">
        <v>1.809495</v>
      </c>
      <c r="S181" s="68" t="s">
        <v>200</v>
      </c>
      <c r="T181" s="68" t="s">
        <v>201</v>
      </c>
      <c r="U181" s="68" t="s">
        <v>202</v>
      </c>
      <c r="V181" s="69"/>
      <c r="W181" s="68" t="s">
        <v>590</v>
      </c>
      <c r="X181" s="68" t="n">
        <v>4.67950694445608</v>
      </c>
      <c r="Y181" s="68" t="n">
        <v>93.5901388891216</v>
      </c>
      <c r="Z181" s="68" t="n">
        <v>20</v>
      </c>
      <c r="AA181" s="70"/>
    </row>
    <row r="182" customFormat="false" ht="14.25" hidden="false" customHeight="false" outlineLevel="0" collapsed="false">
      <c r="A182" s="56"/>
      <c r="B182" s="56"/>
      <c r="C182" s="64" t="n">
        <v>177</v>
      </c>
      <c r="D182" s="71" t="s">
        <v>591</v>
      </c>
      <c r="E182" s="71" t="s">
        <v>589</v>
      </c>
      <c r="F182" s="71" t="s">
        <v>592</v>
      </c>
      <c r="G182" s="66" t="n">
        <v>44</v>
      </c>
      <c r="H182" s="67" t="n">
        <v>5.898</v>
      </c>
      <c r="I182" s="67" t="n">
        <v>320</v>
      </c>
      <c r="J182" s="67" t="n">
        <v>320</v>
      </c>
      <c r="K182" s="67" t="n">
        <v>320</v>
      </c>
      <c r="L182" s="68" t="s">
        <v>199</v>
      </c>
      <c r="M182" s="67" t="n">
        <v>0.2356</v>
      </c>
      <c r="N182" s="67" t="n">
        <v>0.50591</v>
      </c>
      <c r="O182" s="67" t="n">
        <v>3.2426</v>
      </c>
      <c r="P182" s="67" t="n">
        <v>0.50074</v>
      </c>
      <c r="Q182" s="67" t="n">
        <v>1.59056</v>
      </c>
      <c r="R182" s="67" t="n">
        <v>1.809495</v>
      </c>
      <c r="S182" s="68" t="s">
        <v>200</v>
      </c>
      <c r="T182" s="68" t="s">
        <v>201</v>
      </c>
      <c r="U182" s="68" t="s">
        <v>202</v>
      </c>
      <c r="V182" s="69"/>
      <c r="W182" s="68" t="s">
        <v>590</v>
      </c>
      <c r="X182" s="68" t="n">
        <v>4.67950694445608</v>
      </c>
      <c r="Y182" s="68" t="n">
        <v>93.5901388891216</v>
      </c>
      <c r="Z182" s="68" t="n">
        <v>20</v>
      </c>
      <c r="AA182" s="70"/>
    </row>
    <row r="183" customFormat="false" ht="14.25" hidden="false" customHeight="false" outlineLevel="0" collapsed="false">
      <c r="A183" s="56"/>
      <c r="B183" s="56"/>
      <c r="C183" s="64" t="n">
        <v>178</v>
      </c>
      <c r="D183" s="71" t="s">
        <v>593</v>
      </c>
      <c r="E183" s="71" t="s">
        <v>594</v>
      </c>
      <c r="F183" s="71" t="s">
        <v>595</v>
      </c>
      <c r="G183" s="66" t="n">
        <v>44</v>
      </c>
      <c r="H183" s="67" t="n">
        <v>0.02</v>
      </c>
      <c r="I183" s="67" t="n">
        <v>320</v>
      </c>
      <c r="J183" s="67" t="n">
        <v>320</v>
      </c>
      <c r="K183" s="67" t="n">
        <v>320</v>
      </c>
      <c r="L183" s="68" t="s">
        <v>199</v>
      </c>
      <c r="M183" s="67" t="n">
        <v>0.2356</v>
      </c>
      <c r="N183" s="67" t="n">
        <v>0.50591</v>
      </c>
      <c r="O183" s="67" t="n">
        <v>3.2426</v>
      </c>
      <c r="P183" s="67" t="n">
        <v>0.50074</v>
      </c>
      <c r="Q183" s="67" t="n">
        <v>1.59056</v>
      </c>
      <c r="R183" s="67" t="n">
        <v>1.809495</v>
      </c>
      <c r="S183" s="68" t="s">
        <v>200</v>
      </c>
      <c r="T183" s="68" t="s">
        <v>201</v>
      </c>
      <c r="U183" s="68" t="s">
        <v>202</v>
      </c>
      <c r="V183" s="69"/>
      <c r="W183" s="68" t="s">
        <v>590</v>
      </c>
      <c r="X183" s="68" t="n">
        <v>1.33231606606844</v>
      </c>
      <c r="Y183" s="68" t="n">
        <v>49.2956944445323</v>
      </c>
      <c r="Z183" s="68" t="n">
        <v>37</v>
      </c>
      <c r="AA183" s="70"/>
    </row>
    <row r="184" customFormat="false" ht="14.25" hidden="false" customHeight="false" outlineLevel="0" collapsed="false">
      <c r="A184" s="56"/>
      <c r="B184" s="56"/>
      <c r="C184" s="64" t="n">
        <v>179</v>
      </c>
      <c r="D184" s="71" t="s">
        <v>596</v>
      </c>
      <c r="E184" s="71" t="s">
        <v>594</v>
      </c>
      <c r="F184" s="71" t="s">
        <v>597</v>
      </c>
      <c r="G184" s="66" t="n">
        <v>44</v>
      </c>
      <c r="H184" s="67" t="n">
        <v>6.3669</v>
      </c>
      <c r="I184" s="67" t="n">
        <v>320</v>
      </c>
      <c r="J184" s="67" t="n">
        <v>320</v>
      </c>
      <c r="K184" s="67" t="n">
        <v>320</v>
      </c>
      <c r="L184" s="68" t="s">
        <v>199</v>
      </c>
      <c r="M184" s="67" t="n">
        <v>0.2356</v>
      </c>
      <c r="N184" s="67" t="n">
        <v>0.50591</v>
      </c>
      <c r="O184" s="67" t="n">
        <v>3.2426</v>
      </c>
      <c r="P184" s="67" t="n">
        <v>0.50074</v>
      </c>
      <c r="Q184" s="67" t="n">
        <v>1.59056</v>
      </c>
      <c r="R184" s="67" t="n">
        <v>1.809495</v>
      </c>
      <c r="S184" s="68" t="s">
        <v>200</v>
      </c>
      <c r="T184" s="68" t="s">
        <v>201</v>
      </c>
      <c r="U184" s="68" t="s">
        <v>202</v>
      </c>
      <c r="V184" s="69"/>
      <c r="W184" s="68" t="s">
        <v>590</v>
      </c>
      <c r="X184" s="68" t="n">
        <v>1.33231606606844</v>
      </c>
      <c r="Y184" s="68" t="n">
        <v>49.2956944445323</v>
      </c>
      <c r="Z184" s="68" t="n">
        <v>37</v>
      </c>
      <c r="AA184" s="70"/>
    </row>
    <row r="185" customFormat="false" ht="14.25" hidden="false" customHeight="false" outlineLevel="0" collapsed="false">
      <c r="A185" s="56"/>
      <c r="B185" s="56"/>
      <c r="C185" s="64" t="n">
        <v>180</v>
      </c>
      <c r="D185" s="71" t="s">
        <v>598</v>
      </c>
      <c r="E185" s="71" t="s">
        <v>597</v>
      </c>
      <c r="F185" s="71" t="s">
        <v>581</v>
      </c>
      <c r="G185" s="66" t="n">
        <v>44</v>
      </c>
      <c r="H185" s="67" t="n">
        <v>0.5239</v>
      </c>
      <c r="I185" s="67" t="n">
        <v>320</v>
      </c>
      <c r="J185" s="67" t="n">
        <v>320</v>
      </c>
      <c r="K185" s="67" t="n">
        <v>320</v>
      </c>
      <c r="L185" s="68" t="s">
        <v>199</v>
      </c>
      <c r="M185" s="67" t="n">
        <v>0.2356</v>
      </c>
      <c r="N185" s="67" t="n">
        <v>0.50591</v>
      </c>
      <c r="O185" s="67" t="n">
        <v>3.2426</v>
      </c>
      <c r="P185" s="67" t="n">
        <v>0.50074</v>
      </c>
      <c r="Q185" s="67" t="n">
        <v>1.59056</v>
      </c>
      <c r="R185" s="67" t="n">
        <v>1.809495</v>
      </c>
      <c r="S185" s="68" t="s">
        <v>200</v>
      </c>
      <c r="T185" s="68" t="s">
        <v>201</v>
      </c>
      <c r="U185" s="68" t="s">
        <v>202</v>
      </c>
      <c r="V185" s="69"/>
      <c r="W185" s="68" t="s">
        <v>590</v>
      </c>
      <c r="X185" s="68" t="n">
        <v>1.33231606606844</v>
      </c>
      <c r="Y185" s="68" t="n">
        <v>49.2956944445323</v>
      </c>
      <c r="Z185" s="68" t="n">
        <v>37</v>
      </c>
      <c r="AA185" s="70"/>
    </row>
    <row r="186" customFormat="false" ht="14.25" hidden="false" customHeight="false" outlineLevel="0" collapsed="false">
      <c r="A186" s="56"/>
      <c r="B186" s="56"/>
      <c r="C186" s="64" t="n">
        <v>181</v>
      </c>
      <c r="D186" s="71" t="s">
        <v>599</v>
      </c>
      <c r="E186" s="71" t="s">
        <v>594</v>
      </c>
      <c r="F186" s="71" t="s">
        <v>600</v>
      </c>
      <c r="G186" s="66" t="n">
        <v>44</v>
      </c>
      <c r="H186" s="67" t="n">
        <v>0.4026</v>
      </c>
      <c r="I186" s="67" t="n">
        <v>371</v>
      </c>
      <c r="J186" s="67" t="n">
        <v>371</v>
      </c>
      <c r="K186" s="67" t="n">
        <v>371</v>
      </c>
      <c r="L186" s="68" t="s">
        <v>199</v>
      </c>
      <c r="M186" s="67" t="n">
        <v>0.291367</v>
      </c>
      <c r="N186" s="67" t="n">
        <v>0.412245</v>
      </c>
      <c r="O186" s="67" t="n">
        <v>4.03002</v>
      </c>
      <c r="P186" s="67" t="n">
        <v>0.527592</v>
      </c>
      <c r="Q186" s="67" t="n">
        <v>1.209704</v>
      </c>
      <c r="R186" s="67" t="n">
        <v>1.809585</v>
      </c>
      <c r="S186" s="68" t="s">
        <v>200</v>
      </c>
      <c r="T186" s="68" t="s">
        <v>201</v>
      </c>
      <c r="U186" s="68" t="s">
        <v>202</v>
      </c>
      <c r="V186" s="69"/>
      <c r="W186" s="68" t="s">
        <v>203</v>
      </c>
      <c r="X186" s="68" t="n">
        <v>1.33231606606844</v>
      </c>
      <c r="Y186" s="68" t="n">
        <v>49.2956944445323</v>
      </c>
      <c r="Z186" s="68" t="n">
        <v>37</v>
      </c>
      <c r="AA186" s="70" t="s">
        <v>231</v>
      </c>
    </row>
    <row r="187" customFormat="false" ht="14.25" hidden="false" customHeight="false" outlineLevel="0" collapsed="false">
      <c r="A187" s="56"/>
      <c r="B187" s="56"/>
      <c r="C187" s="64" t="n">
        <v>182</v>
      </c>
      <c r="D187" s="71" t="s">
        <v>601</v>
      </c>
      <c r="E187" s="71" t="s">
        <v>595</v>
      </c>
      <c r="F187" s="71" t="s">
        <v>578</v>
      </c>
      <c r="G187" s="66" t="n">
        <v>44</v>
      </c>
      <c r="H187" s="67" t="n">
        <v>0.0892</v>
      </c>
      <c r="I187" s="67" t="n">
        <v>320</v>
      </c>
      <c r="J187" s="67" t="n">
        <v>320</v>
      </c>
      <c r="K187" s="67" t="n">
        <v>320</v>
      </c>
      <c r="L187" s="68" t="s">
        <v>199</v>
      </c>
      <c r="M187" s="67" t="n">
        <v>0.2356</v>
      </c>
      <c r="N187" s="67" t="n">
        <v>0.50591</v>
      </c>
      <c r="O187" s="67" t="n">
        <v>3.2426</v>
      </c>
      <c r="P187" s="67" t="n">
        <v>0.50074</v>
      </c>
      <c r="Q187" s="67" t="n">
        <v>1.59056</v>
      </c>
      <c r="R187" s="67" t="n">
        <v>1.809495</v>
      </c>
      <c r="S187" s="68" t="s">
        <v>200</v>
      </c>
      <c r="T187" s="68" t="s">
        <v>201</v>
      </c>
      <c r="U187" s="68" t="s">
        <v>202</v>
      </c>
      <c r="V187" s="69"/>
      <c r="W187" s="68" t="s">
        <v>590</v>
      </c>
      <c r="X187" s="68" t="n">
        <v>1.33231606606844</v>
      </c>
      <c r="Y187" s="68" t="n">
        <v>49.2956944445323</v>
      </c>
      <c r="Z187" s="68" t="n">
        <v>37</v>
      </c>
      <c r="AA187" s="70"/>
    </row>
    <row r="188" customFormat="false" ht="14.25" hidden="false" customHeight="false" outlineLevel="0" collapsed="false">
      <c r="A188" s="56"/>
      <c r="B188" s="56"/>
      <c r="C188" s="64" t="n">
        <v>183</v>
      </c>
      <c r="D188" s="71" t="s">
        <v>602</v>
      </c>
      <c r="E188" s="71" t="s">
        <v>603</v>
      </c>
      <c r="F188" s="71" t="s">
        <v>604</v>
      </c>
      <c r="G188" s="66" t="n">
        <v>44</v>
      </c>
      <c r="H188" s="67" t="n">
        <v>1.267</v>
      </c>
      <c r="I188" s="67" t="n">
        <v>260</v>
      </c>
      <c r="J188" s="67" t="n">
        <v>260</v>
      </c>
      <c r="K188" s="67" t="n">
        <v>260</v>
      </c>
      <c r="L188" s="68" t="s">
        <v>199</v>
      </c>
      <c r="M188" s="67" t="n">
        <v>0.583051</v>
      </c>
      <c r="N188" s="67" t="n">
        <v>0.438636</v>
      </c>
      <c r="O188" s="67" t="n">
        <v>3.776983</v>
      </c>
      <c r="P188" s="67" t="n">
        <v>0.937817</v>
      </c>
      <c r="Q188" s="67" t="n">
        <v>1.348523</v>
      </c>
      <c r="R188" s="67" t="n">
        <v>1.741788</v>
      </c>
      <c r="S188" s="68" t="s">
        <v>200</v>
      </c>
      <c r="T188" s="68" t="s">
        <v>201</v>
      </c>
      <c r="U188" s="68" t="s">
        <v>202</v>
      </c>
      <c r="V188" s="69"/>
      <c r="W188" s="68" t="s">
        <v>214</v>
      </c>
      <c r="X188" s="68" t="n">
        <v>4.4169547325108</v>
      </c>
      <c r="Y188" s="68" t="n">
        <v>59.6288888888957</v>
      </c>
      <c r="Z188" s="68" t="n">
        <v>13.5</v>
      </c>
      <c r="AA188" s="70"/>
    </row>
    <row r="189" customFormat="false" ht="14.25" hidden="false" customHeight="false" outlineLevel="0" collapsed="false">
      <c r="A189" s="56"/>
      <c r="B189" s="56"/>
      <c r="C189" s="64" t="n">
        <v>184</v>
      </c>
      <c r="D189" s="71" t="s">
        <v>605</v>
      </c>
      <c r="E189" s="71" t="s">
        <v>604</v>
      </c>
      <c r="F189" s="71" t="s">
        <v>606</v>
      </c>
      <c r="G189" s="66" t="n">
        <v>44</v>
      </c>
      <c r="H189" s="67" t="n">
        <v>8.63</v>
      </c>
      <c r="I189" s="67" t="n">
        <v>310</v>
      </c>
      <c r="J189" s="67" t="n">
        <v>310</v>
      </c>
      <c r="K189" s="67" t="n">
        <v>310</v>
      </c>
      <c r="L189" s="68" t="s">
        <v>199</v>
      </c>
      <c r="M189" s="74" t="n">
        <v>0.26163818503241</v>
      </c>
      <c r="N189" s="74" t="n">
        <v>0.426253942944296</v>
      </c>
      <c r="O189" s="74" t="n">
        <v>4.03358868591632</v>
      </c>
      <c r="P189" s="74" t="n">
        <v>0.490138306353773</v>
      </c>
      <c r="Q189" s="74" t="n">
        <v>1.23806717737183</v>
      </c>
      <c r="R189" s="74" t="n">
        <v>1.88339283857326</v>
      </c>
      <c r="S189" s="68" t="s">
        <v>200</v>
      </c>
      <c r="T189" s="68" t="s">
        <v>201</v>
      </c>
      <c r="U189" s="68" t="s">
        <v>202</v>
      </c>
      <c r="V189" s="69"/>
      <c r="W189" s="68" t="s">
        <v>607</v>
      </c>
      <c r="X189" s="68" t="n">
        <v>4.4169547325108</v>
      </c>
      <c r="Y189" s="68" t="n">
        <v>59.6288888888957</v>
      </c>
      <c r="Z189" s="68" t="n">
        <v>13.5</v>
      </c>
      <c r="AA189" s="70"/>
    </row>
    <row r="190" customFormat="false" ht="14.25" hidden="false" customHeight="false" outlineLevel="0" collapsed="false">
      <c r="A190" s="56"/>
      <c r="B190" s="56"/>
      <c r="C190" s="64" t="n">
        <v>185</v>
      </c>
      <c r="D190" s="71" t="s">
        <v>608</v>
      </c>
      <c r="E190" s="71" t="s">
        <v>606</v>
      </c>
      <c r="F190" s="71" t="s">
        <v>609</v>
      </c>
      <c r="G190" s="66" t="n">
        <v>44</v>
      </c>
      <c r="H190" s="67" t="n">
        <v>0.2991</v>
      </c>
      <c r="I190" s="67" t="n">
        <v>310</v>
      </c>
      <c r="J190" s="67" t="n">
        <v>310</v>
      </c>
      <c r="K190" s="67" t="n">
        <v>310</v>
      </c>
      <c r="L190" s="68" t="s">
        <v>199</v>
      </c>
      <c r="M190" s="74" t="n">
        <v>0.26163818503241</v>
      </c>
      <c r="N190" s="74" t="n">
        <v>0.426253942944296</v>
      </c>
      <c r="O190" s="74" t="n">
        <v>4.03358868591632</v>
      </c>
      <c r="P190" s="74" t="n">
        <v>0.490138306353773</v>
      </c>
      <c r="Q190" s="74" t="n">
        <v>1.23806717737183</v>
      </c>
      <c r="R190" s="74" t="n">
        <v>1.88339283857326</v>
      </c>
      <c r="S190" s="68" t="s">
        <v>200</v>
      </c>
      <c r="T190" s="68" t="s">
        <v>201</v>
      </c>
      <c r="U190" s="68" t="s">
        <v>202</v>
      </c>
      <c r="V190" s="69"/>
      <c r="W190" s="68" t="s">
        <v>607</v>
      </c>
      <c r="X190" s="68" t="n">
        <v>4.4169547325108</v>
      </c>
      <c r="Y190" s="68" t="n">
        <v>59.6288888888957</v>
      </c>
      <c r="Z190" s="68" t="n">
        <v>13.5</v>
      </c>
      <c r="AA190" s="70"/>
    </row>
    <row r="191" customFormat="false" ht="14.25" hidden="false" customHeight="false" outlineLevel="0" collapsed="false">
      <c r="A191" s="56"/>
      <c r="B191" s="56"/>
      <c r="C191" s="64" t="n">
        <v>186</v>
      </c>
      <c r="D191" s="71" t="s">
        <v>610</v>
      </c>
      <c r="E191" s="71" t="s">
        <v>609</v>
      </c>
      <c r="F191" s="71" t="s">
        <v>611</v>
      </c>
      <c r="G191" s="66" t="n">
        <v>44</v>
      </c>
      <c r="H191" s="67" t="n">
        <v>0.8241</v>
      </c>
      <c r="I191" s="67" t="n">
        <v>310</v>
      </c>
      <c r="J191" s="67" t="n">
        <v>310</v>
      </c>
      <c r="K191" s="67" t="n">
        <v>310</v>
      </c>
      <c r="L191" s="68" t="s">
        <v>199</v>
      </c>
      <c r="M191" s="74" t="n">
        <v>0.26163818503241</v>
      </c>
      <c r="N191" s="74" t="n">
        <v>0.426253942944296</v>
      </c>
      <c r="O191" s="74" t="n">
        <v>4.03358868591632</v>
      </c>
      <c r="P191" s="74" t="n">
        <v>0.490138306353773</v>
      </c>
      <c r="Q191" s="74" t="n">
        <v>1.23806717737183</v>
      </c>
      <c r="R191" s="74" t="n">
        <v>1.88339283857326</v>
      </c>
      <c r="S191" s="68" t="s">
        <v>200</v>
      </c>
      <c r="T191" s="68" t="s">
        <v>201</v>
      </c>
      <c r="U191" s="68" t="s">
        <v>202</v>
      </c>
      <c r="V191" s="69"/>
      <c r="W191" s="68" t="s">
        <v>607</v>
      </c>
      <c r="X191" s="68" t="n">
        <v>4.4169547325108</v>
      </c>
      <c r="Y191" s="68" t="n">
        <v>59.6288888888957</v>
      </c>
      <c r="Z191" s="68" t="n">
        <v>13.5</v>
      </c>
      <c r="AA191" s="70"/>
    </row>
    <row r="192" customFormat="false" ht="14.25" hidden="false" customHeight="false" outlineLevel="0" collapsed="false">
      <c r="A192" s="56"/>
      <c r="B192" s="56"/>
      <c r="C192" s="64" t="n">
        <v>187</v>
      </c>
      <c r="D192" s="71" t="s">
        <v>612</v>
      </c>
      <c r="E192" s="71" t="s">
        <v>613</v>
      </c>
      <c r="F192" s="71" t="s">
        <v>614</v>
      </c>
      <c r="G192" s="66" t="n">
        <v>44</v>
      </c>
      <c r="H192" s="67" t="n">
        <v>0.3757</v>
      </c>
      <c r="I192" s="67" t="n">
        <v>371</v>
      </c>
      <c r="J192" s="67" t="n">
        <v>371</v>
      </c>
      <c r="K192" s="67" t="n">
        <v>371</v>
      </c>
      <c r="L192" s="68" t="s">
        <v>199</v>
      </c>
      <c r="M192" s="67" t="n">
        <v>0.104319</v>
      </c>
      <c r="N192" s="67" t="n">
        <v>0.247544</v>
      </c>
      <c r="O192" s="67" t="n">
        <v>45.27589</v>
      </c>
      <c r="P192" s="67" t="n">
        <v>1.063424</v>
      </c>
      <c r="Q192" s="67" t="n">
        <v>0.811099</v>
      </c>
      <c r="R192" s="67" t="n">
        <v>45.27589</v>
      </c>
      <c r="S192" s="68" t="s">
        <v>200</v>
      </c>
      <c r="T192" s="68" t="s">
        <v>201</v>
      </c>
      <c r="U192" s="68" t="s">
        <v>202</v>
      </c>
      <c r="V192" s="69"/>
      <c r="W192" s="68" t="s">
        <v>211</v>
      </c>
      <c r="X192" s="68" t="n">
        <v>3.22321684586237</v>
      </c>
      <c r="Y192" s="68" t="n">
        <v>24.9799305554334</v>
      </c>
      <c r="Z192" s="68" t="n">
        <v>7.75</v>
      </c>
      <c r="AA192" s="70"/>
    </row>
    <row r="193" customFormat="false" ht="14.25" hidden="false" customHeight="false" outlineLevel="0" collapsed="false">
      <c r="A193" s="56"/>
      <c r="B193" s="56"/>
      <c r="C193" s="64" t="n">
        <v>188</v>
      </c>
      <c r="D193" s="71" t="s">
        <v>615</v>
      </c>
      <c r="E193" s="71" t="s">
        <v>616</v>
      </c>
      <c r="F193" s="71" t="s">
        <v>617</v>
      </c>
      <c r="G193" s="66" t="n">
        <v>44</v>
      </c>
      <c r="H193" s="67" t="n">
        <v>0.7133</v>
      </c>
      <c r="I193" s="67" t="n">
        <v>371</v>
      </c>
      <c r="J193" s="67" t="n">
        <v>371</v>
      </c>
      <c r="K193" s="67" t="n">
        <v>371</v>
      </c>
      <c r="L193" s="68" t="s">
        <v>199</v>
      </c>
      <c r="M193" s="67" t="n">
        <v>0.104319</v>
      </c>
      <c r="N193" s="67" t="n">
        <v>0.247544</v>
      </c>
      <c r="O193" s="67" t="n">
        <v>45.27589</v>
      </c>
      <c r="P193" s="67" t="n">
        <v>1.063424</v>
      </c>
      <c r="Q193" s="67" t="n">
        <v>0.811099</v>
      </c>
      <c r="R193" s="67" t="n">
        <v>45.27589</v>
      </c>
      <c r="S193" s="68" t="s">
        <v>200</v>
      </c>
      <c r="T193" s="68" t="s">
        <v>201</v>
      </c>
      <c r="U193" s="68" t="s">
        <v>202</v>
      </c>
      <c r="V193" s="69"/>
      <c r="W193" s="68" t="s">
        <v>211</v>
      </c>
      <c r="X193" s="68" t="n">
        <v>11.7516753472155</v>
      </c>
      <c r="Y193" s="68" t="n">
        <v>188.026805555448</v>
      </c>
      <c r="Z193" s="68" t="n">
        <v>16</v>
      </c>
      <c r="AA193" s="70"/>
    </row>
    <row r="194" customFormat="false" ht="14.25" hidden="false" customHeight="false" outlineLevel="0" collapsed="false">
      <c r="A194" s="56"/>
      <c r="B194" s="56"/>
      <c r="C194" s="64" t="n">
        <v>189</v>
      </c>
      <c r="D194" s="71" t="s">
        <v>618</v>
      </c>
      <c r="E194" s="71" t="s">
        <v>617</v>
      </c>
      <c r="F194" s="71" t="s">
        <v>619</v>
      </c>
      <c r="G194" s="66" t="n">
        <v>44</v>
      </c>
      <c r="H194" s="67" t="n">
        <v>0.4503</v>
      </c>
      <c r="I194" s="67" t="n">
        <v>260</v>
      </c>
      <c r="J194" s="67" t="n">
        <v>260</v>
      </c>
      <c r="K194" s="67" t="n">
        <v>260</v>
      </c>
      <c r="L194" s="68" t="s">
        <v>199</v>
      </c>
      <c r="M194" s="67" t="n">
        <v>0.583051</v>
      </c>
      <c r="N194" s="67" t="n">
        <v>0.438636</v>
      </c>
      <c r="O194" s="67" t="n">
        <v>3.776983</v>
      </c>
      <c r="P194" s="67" t="n">
        <v>0.937817</v>
      </c>
      <c r="Q194" s="67" t="n">
        <v>1.348523</v>
      </c>
      <c r="R194" s="67" t="n">
        <v>1.741788</v>
      </c>
      <c r="S194" s="68" t="s">
        <v>200</v>
      </c>
      <c r="T194" s="68" t="s">
        <v>201</v>
      </c>
      <c r="U194" s="68" t="s">
        <v>202</v>
      </c>
      <c r="V194" s="69"/>
      <c r="W194" s="68" t="s">
        <v>214</v>
      </c>
      <c r="X194" s="68" t="n">
        <v>11.7516753472155</v>
      </c>
      <c r="Y194" s="68" t="n">
        <v>188.026805555448</v>
      </c>
      <c r="Z194" s="68" t="n">
        <v>16</v>
      </c>
      <c r="AA194" s="70"/>
    </row>
    <row r="195" customFormat="false" ht="14.25" hidden="false" customHeight="false" outlineLevel="0" collapsed="false">
      <c r="A195" s="56"/>
      <c r="B195" s="56"/>
      <c r="C195" s="64" t="n">
        <v>190</v>
      </c>
      <c r="D195" s="71" t="s">
        <v>620</v>
      </c>
      <c r="E195" s="71" t="s">
        <v>619</v>
      </c>
      <c r="F195" s="71" t="s">
        <v>621</v>
      </c>
      <c r="G195" s="66" t="n">
        <v>44</v>
      </c>
      <c r="H195" s="67" t="n">
        <v>0.3875</v>
      </c>
      <c r="I195" s="67" t="n">
        <v>260</v>
      </c>
      <c r="J195" s="67" t="n">
        <v>260</v>
      </c>
      <c r="K195" s="67" t="n">
        <v>260</v>
      </c>
      <c r="L195" s="68" t="s">
        <v>199</v>
      </c>
      <c r="M195" s="67" t="n">
        <v>0.583051</v>
      </c>
      <c r="N195" s="67" t="n">
        <v>0.438636</v>
      </c>
      <c r="O195" s="67" t="n">
        <v>3.776983</v>
      </c>
      <c r="P195" s="67" t="n">
        <v>0.937817</v>
      </c>
      <c r="Q195" s="67" t="n">
        <v>1.348523</v>
      </c>
      <c r="R195" s="67" t="n">
        <v>1.741788</v>
      </c>
      <c r="S195" s="68" t="s">
        <v>200</v>
      </c>
      <c r="T195" s="68" t="s">
        <v>201</v>
      </c>
      <c r="U195" s="68" t="s">
        <v>202</v>
      </c>
      <c r="V195" s="69"/>
      <c r="W195" s="68" t="s">
        <v>214</v>
      </c>
      <c r="X195" s="68" t="n">
        <v>11.7516753472155</v>
      </c>
      <c r="Y195" s="68" t="n">
        <v>188.026805555448</v>
      </c>
      <c r="Z195" s="68" t="n">
        <v>16</v>
      </c>
      <c r="AA195" s="70"/>
    </row>
    <row r="196" customFormat="false" ht="14.25" hidden="false" customHeight="false" outlineLevel="0" collapsed="false">
      <c r="A196" s="56"/>
      <c r="B196" s="56"/>
      <c r="C196" s="64" t="n">
        <v>191</v>
      </c>
      <c r="D196" s="71" t="s">
        <v>622</v>
      </c>
      <c r="E196" s="71" t="s">
        <v>619</v>
      </c>
      <c r="F196" s="71" t="s">
        <v>623</v>
      </c>
      <c r="G196" s="66" t="n">
        <v>44</v>
      </c>
      <c r="H196" s="67" t="n">
        <v>0.2204</v>
      </c>
      <c r="I196" s="67" t="n">
        <v>371</v>
      </c>
      <c r="J196" s="67" t="n">
        <v>371</v>
      </c>
      <c r="K196" s="67" t="n">
        <v>371</v>
      </c>
      <c r="L196" s="68" t="s">
        <v>199</v>
      </c>
      <c r="M196" s="67" t="n">
        <v>0.277924</v>
      </c>
      <c r="N196" s="67" t="n">
        <v>0.291019</v>
      </c>
      <c r="O196" s="67" t="n">
        <v>5.855192</v>
      </c>
      <c r="P196" s="67" t="n">
        <v>0.805696</v>
      </c>
      <c r="Q196" s="67" t="n">
        <v>1.188238</v>
      </c>
      <c r="R196" s="67" t="n">
        <v>2.73325</v>
      </c>
      <c r="S196" s="68" t="s">
        <v>200</v>
      </c>
      <c r="T196" s="68" t="s">
        <v>201</v>
      </c>
      <c r="U196" s="68" t="s">
        <v>202</v>
      </c>
      <c r="V196" s="69"/>
      <c r="W196" s="68" t="s">
        <v>207</v>
      </c>
      <c r="X196" s="68" t="n">
        <v>11.7516753472155</v>
      </c>
      <c r="Y196" s="68" t="n">
        <v>188.026805555448</v>
      </c>
      <c r="Z196" s="68" t="n">
        <v>16</v>
      </c>
      <c r="AA196" s="70"/>
    </row>
    <row r="197" customFormat="false" ht="14.25" hidden="false" customHeight="false" outlineLevel="0" collapsed="false">
      <c r="A197" s="56"/>
      <c r="B197" s="56"/>
      <c r="C197" s="64" t="n">
        <v>192</v>
      </c>
      <c r="D197" s="71" t="s">
        <v>624</v>
      </c>
      <c r="E197" s="71" t="s">
        <v>623</v>
      </c>
      <c r="F197" s="71" t="s">
        <v>625</v>
      </c>
      <c r="G197" s="66" t="n">
        <v>44</v>
      </c>
      <c r="H197" s="67" t="n">
        <v>0.2895</v>
      </c>
      <c r="I197" s="67" t="n">
        <v>371</v>
      </c>
      <c r="J197" s="67" t="n">
        <v>371</v>
      </c>
      <c r="K197" s="67" t="n">
        <v>371</v>
      </c>
      <c r="L197" s="68" t="s">
        <v>199</v>
      </c>
      <c r="M197" s="67" t="n">
        <v>0.291367</v>
      </c>
      <c r="N197" s="67" t="n">
        <v>0.412245</v>
      </c>
      <c r="O197" s="67" t="n">
        <v>4.03002</v>
      </c>
      <c r="P197" s="67" t="n">
        <v>0.527592</v>
      </c>
      <c r="Q197" s="67" t="n">
        <v>1.209704</v>
      </c>
      <c r="R197" s="67" t="n">
        <v>1.809585</v>
      </c>
      <c r="S197" s="68" t="s">
        <v>200</v>
      </c>
      <c r="T197" s="68" t="s">
        <v>201</v>
      </c>
      <c r="U197" s="68" t="s">
        <v>202</v>
      </c>
      <c r="V197" s="69"/>
      <c r="W197" s="68" t="s">
        <v>203</v>
      </c>
      <c r="X197" s="68" t="n">
        <v>11.7516753472155</v>
      </c>
      <c r="Y197" s="68" t="n">
        <v>188.026805555448</v>
      </c>
      <c r="Z197" s="68" t="n">
        <v>16</v>
      </c>
      <c r="AA197" s="70"/>
    </row>
    <row r="198" customFormat="false" ht="14.25" hidden="false" customHeight="false" outlineLevel="0" collapsed="false">
      <c r="A198" s="56"/>
      <c r="B198" s="56"/>
      <c r="C198" s="64" t="n">
        <v>193</v>
      </c>
      <c r="D198" s="71" t="s">
        <v>626</v>
      </c>
      <c r="E198" s="71" t="s">
        <v>625</v>
      </c>
      <c r="F198" s="71" t="s">
        <v>627</v>
      </c>
      <c r="G198" s="66" t="n">
        <v>44</v>
      </c>
      <c r="H198" s="67" t="n">
        <v>0.2879</v>
      </c>
      <c r="I198" s="67" t="n">
        <v>371</v>
      </c>
      <c r="J198" s="67" t="n">
        <v>371</v>
      </c>
      <c r="K198" s="67" t="n">
        <v>371</v>
      </c>
      <c r="L198" s="68" t="s">
        <v>199</v>
      </c>
      <c r="M198" s="67" t="n">
        <v>0.291367</v>
      </c>
      <c r="N198" s="67" t="n">
        <v>0.412245</v>
      </c>
      <c r="O198" s="67" t="n">
        <v>4.03002</v>
      </c>
      <c r="P198" s="67" t="n">
        <v>0.527592</v>
      </c>
      <c r="Q198" s="67" t="n">
        <v>1.209704</v>
      </c>
      <c r="R198" s="67" t="n">
        <v>1.809585</v>
      </c>
      <c r="S198" s="68" t="s">
        <v>200</v>
      </c>
      <c r="T198" s="68" t="s">
        <v>201</v>
      </c>
      <c r="U198" s="68" t="s">
        <v>202</v>
      </c>
      <c r="V198" s="69"/>
      <c r="W198" s="68" t="s">
        <v>203</v>
      </c>
      <c r="X198" s="68" t="n">
        <v>11.7516753472155</v>
      </c>
      <c r="Y198" s="68" t="n">
        <v>188.026805555448</v>
      </c>
      <c r="Z198" s="68" t="n">
        <v>16</v>
      </c>
      <c r="AA198" s="70"/>
    </row>
    <row r="199" customFormat="false" ht="14.25" hidden="false" customHeight="false" outlineLevel="0" collapsed="false">
      <c r="A199" s="56"/>
      <c r="B199" s="56"/>
      <c r="C199" s="64" t="n">
        <v>194</v>
      </c>
      <c r="D199" s="71" t="s">
        <v>628</v>
      </c>
      <c r="E199" s="71" t="s">
        <v>627</v>
      </c>
      <c r="F199" s="71" t="s">
        <v>629</v>
      </c>
      <c r="G199" s="66" t="n">
        <v>44</v>
      </c>
      <c r="H199" s="67" t="n">
        <v>0.3439</v>
      </c>
      <c r="I199" s="67" t="n">
        <v>371</v>
      </c>
      <c r="J199" s="67" t="n">
        <v>371</v>
      </c>
      <c r="K199" s="67" t="n">
        <v>371</v>
      </c>
      <c r="L199" s="68" t="s">
        <v>199</v>
      </c>
      <c r="M199" s="67" t="n">
        <v>0.277924</v>
      </c>
      <c r="N199" s="67" t="n">
        <v>0.291019</v>
      </c>
      <c r="O199" s="67" t="n">
        <v>5.855192</v>
      </c>
      <c r="P199" s="67" t="n">
        <v>0.805696</v>
      </c>
      <c r="Q199" s="67" t="n">
        <v>1.188238</v>
      </c>
      <c r="R199" s="67" t="n">
        <v>2.73325</v>
      </c>
      <c r="S199" s="68" t="s">
        <v>200</v>
      </c>
      <c r="T199" s="68" t="s">
        <v>201</v>
      </c>
      <c r="U199" s="68" t="s">
        <v>202</v>
      </c>
      <c r="V199" s="69"/>
      <c r="W199" s="68" t="s">
        <v>207</v>
      </c>
      <c r="X199" s="68" t="n">
        <v>11.7516753472155</v>
      </c>
      <c r="Y199" s="68" t="n">
        <v>188.026805555448</v>
      </c>
      <c r="Z199" s="68" t="n">
        <v>16</v>
      </c>
      <c r="AA199" s="70"/>
    </row>
    <row r="200" customFormat="false" ht="14.25" hidden="false" customHeight="false" outlineLevel="0" collapsed="false">
      <c r="A200" s="56"/>
      <c r="B200" s="56"/>
      <c r="C200" s="64" t="n">
        <v>195</v>
      </c>
      <c r="D200" s="71" t="s">
        <v>630</v>
      </c>
      <c r="E200" s="71" t="s">
        <v>625</v>
      </c>
      <c r="F200" s="71" t="s">
        <v>631</v>
      </c>
      <c r="G200" s="66" t="n">
        <v>44</v>
      </c>
      <c r="H200" s="67" t="n">
        <v>0.2762</v>
      </c>
      <c r="I200" s="67" t="n">
        <v>371</v>
      </c>
      <c r="J200" s="67" t="n">
        <v>371</v>
      </c>
      <c r="K200" s="67" t="n">
        <v>371</v>
      </c>
      <c r="L200" s="68" t="s">
        <v>199</v>
      </c>
      <c r="M200" s="67" t="n">
        <v>0.291367</v>
      </c>
      <c r="N200" s="67" t="n">
        <v>0.412245</v>
      </c>
      <c r="O200" s="67" t="n">
        <v>4.03002</v>
      </c>
      <c r="P200" s="67" t="n">
        <v>0.527592</v>
      </c>
      <c r="Q200" s="67" t="n">
        <v>1.209704</v>
      </c>
      <c r="R200" s="67" t="n">
        <v>1.809585</v>
      </c>
      <c r="S200" s="68" t="s">
        <v>200</v>
      </c>
      <c r="T200" s="68" t="s">
        <v>201</v>
      </c>
      <c r="U200" s="68" t="s">
        <v>202</v>
      </c>
      <c r="V200" s="69"/>
      <c r="W200" s="68" t="s">
        <v>203</v>
      </c>
      <c r="X200" s="68" t="n">
        <v>11.7516753472155</v>
      </c>
      <c r="Y200" s="68" t="n">
        <v>188.026805555448</v>
      </c>
      <c r="Z200" s="68" t="n">
        <v>16</v>
      </c>
      <c r="AA200" s="70"/>
    </row>
    <row r="201" customFormat="false" ht="14.25" hidden="false" customHeight="false" outlineLevel="0" collapsed="false">
      <c r="A201" s="56"/>
      <c r="B201" s="56"/>
      <c r="C201" s="64" t="n">
        <v>196</v>
      </c>
      <c r="D201" s="71" t="s">
        <v>632</v>
      </c>
      <c r="E201" s="71" t="s">
        <v>631</v>
      </c>
      <c r="F201" s="71" t="s">
        <v>633</v>
      </c>
      <c r="G201" s="66" t="n">
        <v>44</v>
      </c>
      <c r="H201" s="67" t="n">
        <v>0.478</v>
      </c>
      <c r="I201" s="67" t="n">
        <v>371</v>
      </c>
      <c r="J201" s="67" t="n">
        <v>371</v>
      </c>
      <c r="K201" s="67" t="n">
        <v>371</v>
      </c>
      <c r="L201" s="68" t="s">
        <v>199</v>
      </c>
      <c r="M201" s="67" t="n">
        <v>0.291367</v>
      </c>
      <c r="N201" s="67" t="n">
        <v>0.412245</v>
      </c>
      <c r="O201" s="67" t="n">
        <v>4.03002</v>
      </c>
      <c r="P201" s="67" t="n">
        <v>0.527592</v>
      </c>
      <c r="Q201" s="67" t="n">
        <v>1.209704</v>
      </c>
      <c r="R201" s="67" t="n">
        <v>1.809585</v>
      </c>
      <c r="S201" s="68" t="s">
        <v>200</v>
      </c>
      <c r="T201" s="68" t="s">
        <v>201</v>
      </c>
      <c r="U201" s="68" t="s">
        <v>202</v>
      </c>
      <c r="V201" s="69"/>
      <c r="W201" s="68" t="s">
        <v>203</v>
      </c>
      <c r="X201" s="68" t="n">
        <v>11.7516753472155</v>
      </c>
      <c r="Y201" s="68" t="n">
        <v>188.026805555448</v>
      </c>
      <c r="Z201" s="68" t="n">
        <v>16</v>
      </c>
      <c r="AA201" s="70"/>
    </row>
    <row r="202" customFormat="false" ht="14.25" hidden="false" customHeight="false" outlineLevel="0" collapsed="false">
      <c r="B202" s="56"/>
      <c r="C202" s="64" t="n">
        <v>197</v>
      </c>
      <c r="D202" s="71" t="s">
        <v>634</v>
      </c>
      <c r="E202" s="71" t="s">
        <v>520</v>
      </c>
      <c r="F202" s="71" t="s">
        <v>635</v>
      </c>
      <c r="G202" s="66" t="n">
        <v>44</v>
      </c>
      <c r="H202" s="67" t="n">
        <v>0.8582</v>
      </c>
      <c r="I202" s="67" t="n">
        <v>371</v>
      </c>
      <c r="J202" s="67" t="n">
        <v>371</v>
      </c>
      <c r="K202" s="67" t="n">
        <v>371</v>
      </c>
      <c r="L202" s="68" t="s">
        <v>199</v>
      </c>
      <c r="M202" s="67" t="n">
        <v>0.277924</v>
      </c>
      <c r="N202" s="67" t="n">
        <v>0.291019</v>
      </c>
      <c r="O202" s="67" t="n">
        <v>5.855192</v>
      </c>
      <c r="P202" s="67" t="n">
        <v>0.805696</v>
      </c>
      <c r="Q202" s="67" t="n">
        <v>1.188238</v>
      </c>
      <c r="R202" s="67" t="n">
        <v>2.73325</v>
      </c>
      <c r="S202" s="68" t="s">
        <v>200</v>
      </c>
      <c r="T202" s="68" t="s">
        <v>201</v>
      </c>
      <c r="U202" s="68" t="s">
        <v>202</v>
      </c>
      <c r="V202" s="69"/>
      <c r="W202" s="68" t="s">
        <v>207</v>
      </c>
      <c r="X202" s="68" t="n">
        <v>5.53026580461753</v>
      </c>
      <c r="Y202" s="68" t="n">
        <v>106.918472222605</v>
      </c>
      <c r="Z202" s="68" t="n">
        <v>19.3333333333333</v>
      </c>
      <c r="AA202" s="70"/>
    </row>
    <row r="203" customFormat="false" ht="14.25" hidden="false" customHeight="false" outlineLevel="0" collapsed="false">
      <c r="B203" s="56"/>
      <c r="C203" s="64" t="n">
        <v>198</v>
      </c>
      <c r="D203" s="71" t="s">
        <v>636</v>
      </c>
      <c r="E203" s="71" t="s">
        <v>635</v>
      </c>
      <c r="F203" s="71" t="s">
        <v>637</v>
      </c>
      <c r="G203" s="66" t="n">
        <v>44</v>
      </c>
      <c r="H203" s="67" t="n">
        <v>0.329</v>
      </c>
      <c r="I203" s="67" t="n">
        <v>371</v>
      </c>
      <c r="J203" s="67" t="n">
        <v>371</v>
      </c>
      <c r="K203" s="67" t="n">
        <v>371</v>
      </c>
      <c r="L203" s="68" t="s">
        <v>199</v>
      </c>
      <c r="M203" s="67" t="n">
        <v>0.291367</v>
      </c>
      <c r="N203" s="67" t="n">
        <v>0.412245</v>
      </c>
      <c r="O203" s="67" t="n">
        <v>4.03002</v>
      </c>
      <c r="P203" s="67" t="n">
        <v>0.527592</v>
      </c>
      <c r="Q203" s="67" t="n">
        <v>1.209704</v>
      </c>
      <c r="R203" s="67" t="n">
        <v>1.809585</v>
      </c>
      <c r="S203" s="68" t="s">
        <v>200</v>
      </c>
      <c r="T203" s="68" t="s">
        <v>201</v>
      </c>
      <c r="U203" s="68" t="s">
        <v>202</v>
      </c>
      <c r="V203" s="69"/>
      <c r="W203" s="68" t="s">
        <v>203</v>
      </c>
      <c r="X203" s="68" t="n">
        <v>5.53026580461753</v>
      </c>
      <c r="Y203" s="68" t="n">
        <v>106.918472222605</v>
      </c>
      <c r="Z203" s="68" t="n">
        <v>19.3333333333333</v>
      </c>
      <c r="AA203" s="70"/>
    </row>
    <row r="204" customFormat="false" ht="14.25" hidden="false" customHeight="false" outlineLevel="0" collapsed="false">
      <c r="B204" s="56"/>
      <c r="C204" s="64" t="n">
        <v>199</v>
      </c>
      <c r="D204" s="71" t="s">
        <v>638</v>
      </c>
      <c r="E204" s="71" t="s">
        <v>637</v>
      </c>
      <c r="F204" s="71" t="s">
        <v>639</v>
      </c>
      <c r="G204" s="66" t="n">
        <v>44</v>
      </c>
      <c r="H204" s="67" t="n">
        <v>0.1793</v>
      </c>
      <c r="I204" s="67" t="n">
        <v>371</v>
      </c>
      <c r="J204" s="67" t="n">
        <v>371</v>
      </c>
      <c r="K204" s="67" t="n">
        <v>371</v>
      </c>
      <c r="L204" s="68" t="s">
        <v>199</v>
      </c>
      <c r="M204" s="67" t="n">
        <v>0.291367</v>
      </c>
      <c r="N204" s="67" t="n">
        <v>0.412245</v>
      </c>
      <c r="O204" s="67" t="n">
        <v>4.03002</v>
      </c>
      <c r="P204" s="67" t="n">
        <v>0.527592</v>
      </c>
      <c r="Q204" s="67" t="n">
        <v>1.209704</v>
      </c>
      <c r="R204" s="67" t="n">
        <v>1.809585</v>
      </c>
      <c r="S204" s="68" t="s">
        <v>200</v>
      </c>
      <c r="T204" s="68" t="s">
        <v>201</v>
      </c>
      <c r="U204" s="68" t="s">
        <v>202</v>
      </c>
      <c r="V204" s="69"/>
      <c r="W204" s="68" t="s">
        <v>203</v>
      </c>
      <c r="X204" s="68" t="n">
        <v>5.53026580461753</v>
      </c>
      <c r="Y204" s="68" t="n">
        <v>106.918472222605</v>
      </c>
      <c r="Z204" s="68" t="n">
        <v>19.3333333333333</v>
      </c>
      <c r="AA204" s="70"/>
    </row>
    <row r="205" customFormat="false" ht="14.25" hidden="false" customHeight="false" outlineLevel="0" collapsed="false">
      <c r="B205" s="56"/>
      <c r="C205" s="64" t="n">
        <v>200</v>
      </c>
      <c r="D205" s="71" t="s">
        <v>640</v>
      </c>
      <c r="E205" s="71" t="s">
        <v>639</v>
      </c>
      <c r="F205" s="71" t="s">
        <v>641</v>
      </c>
      <c r="G205" s="66" t="n">
        <v>44</v>
      </c>
      <c r="H205" s="67" t="n">
        <v>0.5953</v>
      </c>
      <c r="I205" s="67" t="n">
        <v>371</v>
      </c>
      <c r="J205" s="67" t="n">
        <v>371</v>
      </c>
      <c r="K205" s="67" t="n">
        <v>371</v>
      </c>
      <c r="L205" s="68" t="s">
        <v>199</v>
      </c>
      <c r="M205" s="67" t="n">
        <v>0.291367</v>
      </c>
      <c r="N205" s="67" t="n">
        <v>0.412245</v>
      </c>
      <c r="O205" s="67" t="n">
        <v>4.03002</v>
      </c>
      <c r="P205" s="67" t="n">
        <v>0.527592</v>
      </c>
      <c r="Q205" s="67" t="n">
        <v>1.209704</v>
      </c>
      <c r="R205" s="67" t="n">
        <v>1.809585</v>
      </c>
      <c r="S205" s="68" t="s">
        <v>200</v>
      </c>
      <c r="T205" s="68" t="s">
        <v>201</v>
      </c>
      <c r="U205" s="68" t="s">
        <v>202</v>
      </c>
      <c r="V205" s="69"/>
      <c r="W205" s="68" t="s">
        <v>203</v>
      </c>
      <c r="X205" s="68" t="n">
        <v>5.53026580461753</v>
      </c>
      <c r="Y205" s="68" t="n">
        <v>106.918472222605</v>
      </c>
      <c r="Z205" s="68" t="n">
        <v>19.3333333333333</v>
      </c>
      <c r="AA205" s="70"/>
    </row>
    <row r="206" customFormat="false" ht="14.25" hidden="false" customHeight="false" outlineLevel="0" collapsed="false">
      <c r="B206" s="56"/>
      <c r="C206" s="64" t="n">
        <v>201</v>
      </c>
      <c r="D206" s="71" t="s">
        <v>642</v>
      </c>
      <c r="E206" s="71" t="s">
        <v>641</v>
      </c>
      <c r="F206" s="71" t="s">
        <v>643</v>
      </c>
      <c r="G206" s="66" t="n">
        <v>44</v>
      </c>
      <c r="H206" s="67" t="n">
        <v>0.1882</v>
      </c>
      <c r="I206" s="67" t="n">
        <v>371</v>
      </c>
      <c r="J206" s="67" t="n">
        <v>371</v>
      </c>
      <c r="K206" s="67" t="n">
        <v>371</v>
      </c>
      <c r="L206" s="68" t="s">
        <v>199</v>
      </c>
      <c r="M206" s="67" t="n">
        <v>0.277924</v>
      </c>
      <c r="N206" s="67" t="n">
        <v>0.291019</v>
      </c>
      <c r="O206" s="67" t="n">
        <v>5.855192</v>
      </c>
      <c r="P206" s="67" t="n">
        <v>0.805696</v>
      </c>
      <c r="Q206" s="67" t="n">
        <v>1.188238</v>
      </c>
      <c r="R206" s="67" t="n">
        <v>2.73325</v>
      </c>
      <c r="S206" s="68" t="s">
        <v>200</v>
      </c>
      <c r="T206" s="68" t="s">
        <v>201</v>
      </c>
      <c r="U206" s="68" t="s">
        <v>202</v>
      </c>
      <c r="V206" s="69"/>
      <c r="W206" s="68" t="s">
        <v>207</v>
      </c>
      <c r="X206" s="68" t="n">
        <v>5.53026580461753</v>
      </c>
      <c r="Y206" s="68" t="n">
        <v>106.918472222605</v>
      </c>
      <c r="Z206" s="68" t="n">
        <v>19.3333333333333</v>
      </c>
      <c r="AA206" s="70"/>
    </row>
    <row r="207" customFormat="false" ht="14.25" hidden="false" customHeight="false" outlineLevel="0" collapsed="false">
      <c r="B207" s="56"/>
      <c r="C207" s="64" t="n">
        <v>202</v>
      </c>
      <c r="D207" s="71" t="s">
        <v>644</v>
      </c>
      <c r="E207" s="71" t="s">
        <v>643</v>
      </c>
      <c r="F207" s="71" t="s">
        <v>645</v>
      </c>
      <c r="G207" s="66" t="n">
        <v>44</v>
      </c>
      <c r="H207" s="67" t="n">
        <v>0.7006</v>
      </c>
      <c r="I207" s="67" t="n">
        <v>371</v>
      </c>
      <c r="J207" s="67" t="n">
        <v>371</v>
      </c>
      <c r="K207" s="67" t="n">
        <v>371</v>
      </c>
      <c r="L207" s="68" t="s">
        <v>199</v>
      </c>
      <c r="M207" s="67" t="n">
        <v>0.291367</v>
      </c>
      <c r="N207" s="67" t="n">
        <v>0.412245</v>
      </c>
      <c r="O207" s="67" t="n">
        <v>4.03002</v>
      </c>
      <c r="P207" s="67" t="n">
        <v>0.527592</v>
      </c>
      <c r="Q207" s="67" t="n">
        <v>1.209704</v>
      </c>
      <c r="R207" s="67" t="n">
        <v>1.809585</v>
      </c>
      <c r="S207" s="68" t="s">
        <v>200</v>
      </c>
      <c r="T207" s="68" t="s">
        <v>201</v>
      </c>
      <c r="U207" s="68" t="s">
        <v>202</v>
      </c>
      <c r="V207" s="69"/>
      <c r="W207" s="68" t="s">
        <v>203</v>
      </c>
      <c r="X207" s="68" t="n">
        <v>5.53026580461753</v>
      </c>
      <c r="Y207" s="68" t="n">
        <v>106.918472222605</v>
      </c>
      <c r="Z207" s="68" t="n">
        <v>19.3333333333333</v>
      </c>
      <c r="AA207" s="70"/>
    </row>
    <row r="208" customFormat="false" ht="14.25" hidden="false" customHeight="false" outlineLevel="0" collapsed="false">
      <c r="B208" s="56"/>
      <c r="C208" s="64" t="n">
        <v>203</v>
      </c>
      <c r="D208" s="71" t="s">
        <v>646</v>
      </c>
      <c r="E208" s="71" t="s">
        <v>645</v>
      </c>
      <c r="F208" s="71" t="s">
        <v>647</v>
      </c>
      <c r="G208" s="66" t="n">
        <v>44</v>
      </c>
      <c r="H208" s="67" t="n">
        <v>0.7438</v>
      </c>
      <c r="I208" s="67" t="n">
        <v>371</v>
      </c>
      <c r="J208" s="67" t="n">
        <v>371</v>
      </c>
      <c r="K208" s="67" t="n">
        <v>371</v>
      </c>
      <c r="L208" s="68" t="s">
        <v>199</v>
      </c>
      <c r="M208" s="67" t="n">
        <v>0.291367</v>
      </c>
      <c r="N208" s="67" t="n">
        <v>0.412245</v>
      </c>
      <c r="O208" s="67" t="n">
        <v>4.03002</v>
      </c>
      <c r="P208" s="67" t="n">
        <v>0.527592</v>
      </c>
      <c r="Q208" s="67" t="n">
        <v>1.209704</v>
      </c>
      <c r="R208" s="67" t="n">
        <v>1.809585</v>
      </c>
      <c r="S208" s="68" t="s">
        <v>200</v>
      </c>
      <c r="T208" s="68" t="s">
        <v>201</v>
      </c>
      <c r="U208" s="68" t="s">
        <v>202</v>
      </c>
      <c r="V208" s="69"/>
      <c r="W208" s="68" t="s">
        <v>203</v>
      </c>
      <c r="X208" s="68" t="n">
        <v>5.53026580461753</v>
      </c>
      <c r="Y208" s="68" t="n">
        <v>106.918472222605</v>
      </c>
      <c r="Z208" s="68" t="n">
        <v>19.3333333333333</v>
      </c>
      <c r="AA208" s="70" t="s">
        <v>231</v>
      </c>
    </row>
    <row r="209" customFormat="false" ht="14.25" hidden="false" customHeight="false" outlineLevel="0" collapsed="false">
      <c r="B209" s="56"/>
      <c r="C209" s="64" t="n">
        <v>204</v>
      </c>
      <c r="D209" s="71" t="s">
        <v>648</v>
      </c>
      <c r="E209" s="71" t="s">
        <v>637</v>
      </c>
      <c r="F209" s="71" t="s">
        <v>649</v>
      </c>
      <c r="G209" s="66" t="n">
        <v>44</v>
      </c>
      <c r="H209" s="67" t="n">
        <v>0.2784</v>
      </c>
      <c r="I209" s="67" t="n">
        <v>260</v>
      </c>
      <c r="J209" s="67" t="n">
        <v>260</v>
      </c>
      <c r="K209" s="67" t="n">
        <v>260</v>
      </c>
      <c r="L209" s="68" t="s">
        <v>199</v>
      </c>
      <c r="M209" s="67" t="n">
        <v>0.583051</v>
      </c>
      <c r="N209" s="67" t="n">
        <v>0.438636</v>
      </c>
      <c r="O209" s="67" t="n">
        <v>3.776983</v>
      </c>
      <c r="P209" s="67" t="n">
        <v>0.937817</v>
      </c>
      <c r="Q209" s="67" t="n">
        <v>1.348523</v>
      </c>
      <c r="R209" s="67" t="n">
        <v>1.741788</v>
      </c>
      <c r="S209" s="68" t="s">
        <v>200</v>
      </c>
      <c r="T209" s="68" t="s">
        <v>201</v>
      </c>
      <c r="U209" s="68" t="s">
        <v>202</v>
      </c>
      <c r="V209" s="69"/>
      <c r="W209" s="68" t="s">
        <v>214</v>
      </c>
      <c r="X209" s="68" t="n">
        <v>5.53026580461753</v>
      </c>
      <c r="Y209" s="68" t="n">
        <v>106.918472222605</v>
      </c>
      <c r="Z209" s="68" t="n">
        <v>19.3333333333333</v>
      </c>
      <c r="AA209" s="70"/>
    </row>
    <row r="210" customFormat="false" ht="14.25" hidden="false" customHeight="false" outlineLevel="0" collapsed="false">
      <c r="B210" s="56"/>
      <c r="C210" s="64" t="n">
        <v>205</v>
      </c>
      <c r="D210" s="71" t="s">
        <v>650</v>
      </c>
      <c r="E210" s="71" t="s">
        <v>649</v>
      </c>
      <c r="F210" s="71" t="s">
        <v>651</v>
      </c>
      <c r="G210" s="66" t="n">
        <v>44</v>
      </c>
      <c r="H210" s="67" t="n">
        <v>0.2246</v>
      </c>
      <c r="I210" s="67" t="n">
        <v>260</v>
      </c>
      <c r="J210" s="67" t="n">
        <v>260</v>
      </c>
      <c r="K210" s="67" t="n">
        <v>260</v>
      </c>
      <c r="L210" s="68" t="s">
        <v>199</v>
      </c>
      <c r="M210" s="67" t="n">
        <v>0.583051</v>
      </c>
      <c r="N210" s="67" t="n">
        <v>0.438636</v>
      </c>
      <c r="O210" s="67" t="n">
        <v>3.776983</v>
      </c>
      <c r="P210" s="67" t="n">
        <v>0.937817</v>
      </c>
      <c r="Q210" s="67" t="n">
        <v>1.348523</v>
      </c>
      <c r="R210" s="67" t="n">
        <v>1.741788</v>
      </c>
      <c r="S210" s="68" t="s">
        <v>200</v>
      </c>
      <c r="T210" s="68" t="s">
        <v>201</v>
      </c>
      <c r="U210" s="68" t="s">
        <v>202</v>
      </c>
      <c r="V210" s="69"/>
      <c r="W210" s="68" t="s">
        <v>214</v>
      </c>
      <c r="X210" s="68" t="n">
        <v>5.53026580461753</v>
      </c>
      <c r="Y210" s="68" t="n">
        <v>106.918472222605</v>
      </c>
      <c r="Z210" s="68" t="n">
        <v>19.3333333333333</v>
      </c>
      <c r="AA210" s="70"/>
    </row>
    <row r="211" customFormat="false" ht="14.25" hidden="false" customHeight="false" outlineLevel="0" collapsed="false">
      <c r="B211" s="56"/>
      <c r="C211" s="64" t="n">
        <v>206</v>
      </c>
      <c r="D211" s="71" t="s">
        <v>652</v>
      </c>
      <c r="E211" s="71" t="s">
        <v>639</v>
      </c>
      <c r="F211" s="71" t="s">
        <v>653</v>
      </c>
      <c r="G211" s="66" t="n">
        <v>44</v>
      </c>
      <c r="H211" s="67" t="n">
        <v>0.394</v>
      </c>
      <c r="I211" s="67" t="n">
        <v>371</v>
      </c>
      <c r="J211" s="67" t="n">
        <v>371</v>
      </c>
      <c r="K211" s="67" t="n">
        <v>371</v>
      </c>
      <c r="L211" s="68" t="s">
        <v>199</v>
      </c>
      <c r="M211" s="67" t="n">
        <v>0.583086</v>
      </c>
      <c r="N211" s="67" t="n">
        <v>0.438822</v>
      </c>
      <c r="O211" s="67" t="n">
        <v>3.776527</v>
      </c>
      <c r="P211" s="67" t="n">
        <v>0.997367</v>
      </c>
      <c r="Q211" s="67" t="n">
        <v>1.476441</v>
      </c>
      <c r="R211" s="67" t="n">
        <v>1.732551</v>
      </c>
      <c r="S211" s="68" t="s">
        <v>200</v>
      </c>
      <c r="T211" s="68" t="s">
        <v>201</v>
      </c>
      <c r="U211" s="68" t="s">
        <v>202</v>
      </c>
      <c r="V211" s="69"/>
      <c r="W211" s="68" t="s">
        <v>544</v>
      </c>
      <c r="X211" s="68" t="n">
        <v>5.53026580461753</v>
      </c>
      <c r="Y211" s="68" t="n">
        <v>106.918472222605</v>
      </c>
      <c r="Z211" s="68" t="n">
        <v>19.3333333333333</v>
      </c>
      <c r="AA211" s="70"/>
    </row>
    <row r="212" customFormat="false" ht="14.25" hidden="false" customHeight="false" outlineLevel="0" collapsed="false">
      <c r="B212" s="56"/>
      <c r="C212" s="64" t="n">
        <v>207</v>
      </c>
      <c r="D212" s="71" t="s">
        <v>654</v>
      </c>
      <c r="E212" s="71" t="s">
        <v>645</v>
      </c>
      <c r="F212" s="71" t="s">
        <v>655</v>
      </c>
      <c r="G212" s="66" t="n">
        <v>44</v>
      </c>
      <c r="H212" s="67" t="n">
        <v>0.3005</v>
      </c>
      <c r="I212" s="67" t="n">
        <v>371</v>
      </c>
      <c r="J212" s="67" t="n">
        <v>371</v>
      </c>
      <c r="K212" s="67" t="n">
        <v>371</v>
      </c>
      <c r="L212" s="68" t="s">
        <v>199</v>
      </c>
      <c r="M212" s="67" t="n">
        <v>0.277924</v>
      </c>
      <c r="N212" s="67" t="n">
        <v>0.291019</v>
      </c>
      <c r="O212" s="67" t="n">
        <v>5.855192</v>
      </c>
      <c r="P212" s="67" t="n">
        <v>0.805696</v>
      </c>
      <c r="Q212" s="67" t="n">
        <v>1.188238</v>
      </c>
      <c r="R212" s="67" t="n">
        <v>2.73325</v>
      </c>
      <c r="S212" s="68" t="s">
        <v>200</v>
      </c>
      <c r="T212" s="68" t="s">
        <v>201</v>
      </c>
      <c r="U212" s="68" t="s">
        <v>202</v>
      </c>
      <c r="V212" s="69"/>
      <c r="W212" s="68" t="s">
        <v>207</v>
      </c>
      <c r="X212" s="68" t="n">
        <v>5.53026580461753</v>
      </c>
      <c r="Y212" s="68" t="n">
        <v>106.918472222605</v>
      </c>
      <c r="Z212" s="68" t="n">
        <v>19.3333333333333</v>
      </c>
      <c r="AA212" s="70"/>
    </row>
    <row r="213" customFormat="false" ht="14.25" hidden="false" customHeight="false" outlineLevel="0" collapsed="false">
      <c r="B213" s="56"/>
      <c r="C213" s="64" t="n">
        <v>208</v>
      </c>
      <c r="D213" s="71" t="s">
        <v>656</v>
      </c>
      <c r="E213" s="71" t="s">
        <v>655</v>
      </c>
      <c r="F213" s="71" t="s">
        <v>657</v>
      </c>
      <c r="G213" s="66" t="n">
        <v>44</v>
      </c>
      <c r="H213" s="67" t="n">
        <v>0.373</v>
      </c>
      <c r="I213" s="67" t="n">
        <v>371</v>
      </c>
      <c r="J213" s="67" t="n">
        <v>371</v>
      </c>
      <c r="K213" s="67" t="n">
        <v>371</v>
      </c>
      <c r="L213" s="68" t="s">
        <v>199</v>
      </c>
      <c r="M213" s="67" t="n">
        <v>0.104319</v>
      </c>
      <c r="N213" s="67" t="n">
        <v>0.247544</v>
      </c>
      <c r="O213" s="67" t="n">
        <v>45.27589</v>
      </c>
      <c r="P213" s="67" t="n">
        <v>1.063424</v>
      </c>
      <c r="Q213" s="67" t="n">
        <v>0.811099</v>
      </c>
      <c r="R213" s="67" t="n">
        <v>45.27589</v>
      </c>
      <c r="S213" s="68" t="s">
        <v>200</v>
      </c>
      <c r="T213" s="68" t="s">
        <v>201</v>
      </c>
      <c r="U213" s="68" t="s">
        <v>202</v>
      </c>
      <c r="V213" s="69"/>
      <c r="W213" s="68" t="s">
        <v>211</v>
      </c>
      <c r="X213" s="68" t="n">
        <v>5.53026580461753</v>
      </c>
      <c r="Y213" s="68" t="n">
        <v>106.918472222605</v>
      </c>
      <c r="Z213" s="68" t="n">
        <v>19.3333333333333</v>
      </c>
      <c r="AA213" s="70"/>
    </row>
    <row r="214" customFormat="false" ht="14.25" hidden="false" customHeight="false" outlineLevel="0" collapsed="false">
      <c r="A214" s="56"/>
      <c r="B214" s="56"/>
      <c r="C214" s="64" t="n">
        <v>209</v>
      </c>
      <c r="D214" s="71" t="s">
        <v>658</v>
      </c>
      <c r="E214" s="71" t="s">
        <v>659</v>
      </c>
      <c r="F214" s="71" t="s">
        <v>660</v>
      </c>
      <c r="G214" s="66" t="n">
        <v>44</v>
      </c>
      <c r="H214" s="67" t="n">
        <v>0.1602</v>
      </c>
      <c r="I214" s="67" t="n">
        <v>371</v>
      </c>
      <c r="J214" s="67" t="n">
        <v>371</v>
      </c>
      <c r="K214" s="67" t="n">
        <v>371</v>
      </c>
      <c r="L214" s="68" t="s">
        <v>199</v>
      </c>
      <c r="M214" s="67" t="n">
        <v>0.277924</v>
      </c>
      <c r="N214" s="67" t="n">
        <v>0.291019</v>
      </c>
      <c r="O214" s="67" t="n">
        <v>5.855192</v>
      </c>
      <c r="P214" s="67" t="n">
        <v>0.805696</v>
      </c>
      <c r="Q214" s="67" t="n">
        <v>1.188238</v>
      </c>
      <c r="R214" s="67" t="n">
        <v>2.73325</v>
      </c>
      <c r="S214" s="68" t="s">
        <v>200</v>
      </c>
      <c r="T214" s="68" t="s">
        <v>201</v>
      </c>
      <c r="U214" s="68" t="s">
        <v>202</v>
      </c>
      <c r="V214" s="69"/>
      <c r="W214" s="68" t="s">
        <v>207</v>
      </c>
      <c r="X214" s="68" t="n">
        <v>7.7286728395023</v>
      </c>
      <c r="Y214" s="68" t="n">
        <v>139.116111111041</v>
      </c>
      <c r="Z214" s="68" t="n">
        <v>18</v>
      </c>
      <c r="AA214" s="70"/>
    </row>
    <row r="215" customFormat="false" ht="14.25" hidden="false" customHeight="false" outlineLevel="0" collapsed="false">
      <c r="A215" s="56"/>
      <c r="B215" s="56"/>
      <c r="C215" s="64" t="n">
        <v>210</v>
      </c>
      <c r="D215" s="71" t="s">
        <v>661</v>
      </c>
      <c r="E215" s="71" t="s">
        <v>662</v>
      </c>
      <c r="F215" s="71" t="s">
        <v>663</v>
      </c>
      <c r="G215" s="66" t="n">
        <v>44</v>
      </c>
      <c r="H215" s="67" t="n">
        <v>0.1434</v>
      </c>
      <c r="I215" s="67" t="n">
        <v>371</v>
      </c>
      <c r="J215" s="67" t="n">
        <v>371</v>
      </c>
      <c r="K215" s="67" t="n">
        <v>371</v>
      </c>
      <c r="L215" s="68" t="s">
        <v>199</v>
      </c>
      <c r="M215" s="67" t="n">
        <v>0.277924</v>
      </c>
      <c r="N215" s="67" t="n">
        <v>0.291019</v>
      </c>
      <c r="O215" s="67" t="n">
        <v>5.855192</v>
      </c>
      <c r="P215" s="67" t="n">
        <v>0.805696</v>
      </c>
      <c r="Q215" s="67" t="n">
        <v>1.188238</v>
      </c>
      <c r="R215" s="67" t="n">
        <v>2.73325</v>
      </c>
      <c r="S215" s="68" t="s">
        <v>200</v>
      </c>
      <c r="T215" s="68" t="s">
        <v>201</v>
      </c>
      <c r="U215" s="68" t="s">
        <v>202</v>
      </c>
      <c r="V215" s="69"/>
      <c r="W215" s="68" t="s">
        <v>207</v>
      </c>
      <c r="X215" s="68" t="n">
        <v>7.7286728395023</v>
      </c>
      <c r="Y215" s="68" t="n">
        <v>139.116111111041</v>
      </c>
      <c r="Z215" s="68" t="n">
        <v>18</v>
      </c>
      <c r="AA215" s="70"/>
    </row>
    <row r="216" customFormat="false" ht="14.25" hidden="false" customHeight="false" outlineLevel="0" collapsed="false">
      <c r="A216" s="56"/>
      <c r="B216" s="56"/>
      <c r="C216" s="64" t="n">
        <v>211</v>
      </c>
      <c r="D216" s="71" t="s">
        <v>664</v>
      </c>
      <c r="E216" s="71" t="s">
        <v>663</v>
      </c>
      <c r="F216" s="71" t="s">
        <v>665</v>
      </c>
      <c r="G216" s="66" t="n">
        <v>44</v>
      </c>
      <c r="H216" s="67" t="n">
        <v>0.2175</v>
      </c>
      <c r="I216" s="67" t="n">
        <v>371</v>
      </c>
      <c r="J216" s="67" t="n">
        <v>371</v>
      </c>
      <c r="K216" s="67" t="n">
        <v>371</v>
      </c>
      <c r="L216" s="68" t="s">
        <v>199</v>
      </c>
      <c r="M216" s="67" t="n">
        <v>0.104319</v>
      </c>
      <c r="N216" s="67" t="n">
        <v>0.247544</v>
      </c>
      <c r="O216" s="67" t="n">
        <v>45.27589</v>
      </c>
      <c r="P216" s="67" t="n">
        <v>1.063424</v>
      </c>
      <c r="Q216" s="67" t="n">
        <v>0.811099</v>
      </c>
      <c r="R216" s="67" t="n">
        <v>45.27589</v>
      </c>
      <c r="S216" s="68" t="s">
        <v>200</v>
      </c>
      <c r="T216" s="68" t="s">
        <v>201</v>
      </c>
      <c r="U216" s="68" t="s">
        <v>202</v>
      </c>
      <c r="V216" s="69"/>
      <c r="W216" s="68" t="s">
        <v>211</v>
      </c>
      <c r="X216" s="68" t="n">
        <v>7.7286728395023</v>
      </c>
      <c r="Y216" s="68" t="n">
        <v>139.116111111041</v>
      </c>
      <c r="Z216" s="68" t="n">
        <v>18</v>
      </c>
      <c r="AA216" s="70"/>
    </row>
    <row r="217" customFormat="false" ht="14.25" hidden="false" customHeight="false" outlineLevel="0" collapsed="false">
      <c r="A217" s="56"/>
      <c r="B217" s="56"/>
      <c r="C217" s="64" t="n">
        <v>212</v>
      </c>
      <c r="D217" s="71" t="s">
        <v>666</v>
      </c>
      <c r="E217" s="71" t="s">
        <v>665</v>
      </c>
      <c r="F217" s="71" t="s">
        <v>667</v>
      </c>
      <c r="G217" s="66" t="n">
        <v>44</v>
      </c>
      <c r="H217" s="67" t="n">
        <v>0.1955</v>
      </c>
      <c r="I217" s="67" t="n">
        <v>371</v>
      </c>
      <c r="J217" s="67" t="n">
        <v>371</v>
      </c>
      <c r="K217" s="67" t="n">
        <v>371</v>
      </c>
      <c r="L217" s="68" t="s">
        <v>199</v>
      </c>
      <c r="M217" s="67" t="n">
        <v>0.291367</v>
      </c>
      <c r="N217" s="67" t="n">
        <v>0.412245</v>
      </c>
      <c r="O217" s="67" t="n">
        <v>4.03002</v>
      </c>
      <c r="P217" s="67" t="n">
        <v>0.527592</v>
      </c>
      <c r="Q217" s="67" t="n">
        <v>1.209704</v>
      </c>
      <c r="R217" s="67" t="n">
        <v>1.809585</v>
      </c>
      <c r="S217" s="68" t="s">
        <v>200</v>
      </c>
      <c r="T217" s="68" t="s">
        <v>201</v>
      </c>
      <c r="U217" s="68" t="s">
        <v>202</v>
      </c>
      <c r="V217" s="69"/>
      <c r="W217" s="68" t="s">
        <v>203</v>
      </c>
      <c r="X217" s="68" t="n">
        <v>7.7286728395023</v>
      </c>
      <c r="Y217" s="68" t="n">
        <v>139.116111111041</v>
      </c>
      <c r="Z217" s="68" t="n">
        <v>18</v>
      </c>
      <c r="AA217" s="70" t="s">
        <v>231</v>
      </c>
    </row>
    <row r="218" customFormat="false" ht="14.25" hidden="false" customHeight="false" outlineLevel="0" collapsed="false">
      <c r="A218" s="56"/>
      <c r="B218" s="56"/>
      <c r="C218" s="64" t="n">
        <v>213</v>
      </c>
      <c r="D218" s="71" t="s">
        <v>668</v>
      </c>
      <c r="E218" s="71" t="s">
        <v>660</v>
      </c>
      <c r="F218" s="71" t="s">
        <v>669</v>
      </c>
      <c r="G218" s="66" t="n">
        <v>44</v>
      </c>
      <c r="H218" s="67" t="n">
        <v>0.5716</v>
      </c>
      <c r="I218" s="67" t="n">
        <v>371</v>
      </c>
      <c r="J218" s="67" t="n">
        <v>371</v>
      </c>
      <c r="K218" s="67" t="n">
        <v>371</v>
      </c>
      <c r="L218" s="68" t="s">
        <v>199</v>
      </c>
      <c r="M218" s="67" t="n">
        <v>0.277924</v>
      </c>
      <c r="N218" s="67" t="n">
        <v>0.291019</v>
      </c>
      <c r="O218" s="67" t="n">
        <v>5.855192</v>
      </c>
      <c r="P218" s="67" t="n">
        <v>0.805696</v>
      </c>
      <c r="Q218" s="67" t="n">
        <v>1.188238</v>
      </c>
      <c r="R218" s="67" t="n">
        <v>2.73325</v>
      </c>
      <c r="S218" s="68" t="s">
        <v>200</v>
      </c>
      <c r="T218" s="68" t="s">
        <v>201</v>
      </c>
      <c r="U218" s="68" t="s">
        <v>202</v>
      </c>
      <c r="V218" s="69"/>
      <c r="W218" s="68" t="s">
        <v>207</v>
      </c>
      <c r="X218" s="68" t="n">
        <v>7.7286728395023</v>
      </c>
      <c r="Y218" s="68" t="n">
        <v>139.116111111041</v>
      </c>
      <c r="Z218" s="68" t="n">
        <v>18</v>
      </c>
      <c r="AA218" s="70"/>
    </row>
    <row r="219" customFormat="false" ht="14.25" hidden="false" customHeight="false" outlineLevel="0" collapsed="false">
      <c r="A219" s="56"/>
      <c r="B219" s="56"/>
      <c r="C219" s="64" t="n">
        <v>214</v>
      </c>
      <c r="D219" s="71" t="s">
        <v>670</v>
      </c>
      <c r="E219" s="71" t="s">
        <v>669</v>
      </c>
      <c r="F219" s="71" t="s">
        <v>671</v>
      </c>
      <c r="G219" s="66" t="n">
        <v>44</v>
      </c>
      <c r="H219" s="67" t="n">
        <v>0.4492</v>
      </c>
      <c r="I219" s="67" t="n">
        <v>371</v>
      </c>
      <c r="J219" s="67" t="n">
        <v>371</v>
      </c>
      <c r="K219" s="67" t="n">
        <v>371</v>
      </c>
      <c r="L219" s="68" t="s">
        <v>199</v>
      </c>
      <c r="M219" s="67" t="n">
        <v>0.277924</v>
      </c>
      <c r="N219" s="67" t="n">
        <v>0.291019</v>
      </c>
      <c r="O219" s="67" t="n">
        <v>5.855192</v>
      </c>
      <c r="P219" s="67" t="n">
        <v>0.805696</v>
      </c>
      <c r="Q219" s="67" t="n">
        <v>1.188238</v>
      </c>
      <c r="R219" s="67" t="n">
        <v>2.73325</v>
      </c>
      <c r="S219" s="68" t="s">
        <v>200</v>
      </c>
      <c r="T219" s="68" t="s">
        <v>201</v>
      </c>
      <c r="U219" s="68" t="s">
        <v>202</v>
      </c>
      <c r="V219" s="69"/>
      <c r="W219" s="68" t="s">
        <v>207</v>
      </c>
      <c r="X219" s="68" t="n">
        <v>7.7286728395023</v>
      </c>
      <c r="Y219" s="68" t="n">
        <v>139.116111111041</v>
      </c>
      <c r="Z219" s="68" t="n">
        <v>18</v>
      </c>
      <c r="AA219" s="70"/>
    </row>
    <row r="220" customFormat="false" ht="14.25" hidden="false" customHeight="false" outlineLevel="0" collapsed="false">
      <c r="A220" s="56"/>
      <c r="B220" s="56"/>
      <c r="C220" s="64" t="n">
        <v>215</v>
      </c>
      <c r="D220" s="71" t="s">
        <v>672</v>
      </c>
      <c r="E220" s="71" t="s">
        <v>660</v>
      </c>
      <c r="F220" s="71" t="s">
        <v>673</v>
      </c>
      <c r="G220" s="66" t="n">
        <v>44</v>
      </c>
      <c r="H220" s="67" t="n">
        <v>0.314</v>
      </c>
      <c r="I220" s="67" t="n">
        <v>371</v>
      </c>
      <c r="J220" s="67" t="n">
        <v>371</v>
      </c>
      <c r="K220" s="67" t="n">
        <v>371</v>
      </c>
      <c r="L220" s="68" t="s">
        <v>199</v>
      </c>
      <c r="M220" s="67" t="n">
        <v>0.277924</v>
      </c>
      <c r="N220" s="67" t="n">
        <v>0.291019</v>
      </c>
      <c r="O220" s="67" t="n">
        <v>5.855192</v>
      </c>
      <c r="P220" s="67" t="n">
        <v>0.805696</v>
      </c>
      <c r="Q220" s="67" t="n">
        <v>1.188238</v>
      </c>
      <c r="R220" s="67" t="n">
        <v>2.73325</v>
      </c>
      <c r="S220" s="68" t="s">
        <v>200</v>
      </c>
      <c r="T220" s="68" t="s">
        <v>201</v>
      </c>
      <c r="U220" s="68" t="s">
        <v>202</v>
      </c>
      <c r="V220" s="69"/>
      <c r="W220" s="68" t="s">
        <v>207</v>
      </c>
      <c r="X220" s="68" t="n">
        <v>7.7286728395023</v>
      </c>
      <c r="Y220" s="68" t="n">
        <v>139.116111111041</v>
      </c>
      <c r="Z220" s="68" t="n">
        <v>18</v>
      </c>
      <c r="AA220" s="70"/>
    </row>
    <row r="221" customFormat="false" ht="14.25" hidden="false" customHeight="false" outlineLevel="0" collapsed="false">
      <c r="A221" s="56"/>
      <c r="B221" s="56"/>
      <c r="C221" s="64" t="n">
        <v>216</v>
      </c>
      <c r="D221" s="71" t="s">
        <v>674</v>
      </c>
      <c r="E221" s="71" t="s">
        <v>673</v>
      </c>
      <c r="F221" s="71" t="s">
        <v>675</v>
      </c>
      <c r="G221" s="66" t="n">
        <v>44</v>
      </c>
      <c r="H221" s="67" t="n">
        <v>0.08</v>
      </c>
      <c r="I221" s="67" t="n">
        <v>371</v>
      </c>
      <c r="J221" s="67" t="n">
        <v>371</v>
      </c>
      <c r="K221" s="67" t="n">
        <v>371</v>
      </c>
      <c r="L221" s="68" t="s">
        <v>199</v>
      </c>
      <c r="M221" s="67" t="n">
        <v>0.277924</v>
      </c>
      <c r="N221" s="67" t="n">
        <v>0.291019</v>
      </c>
      <c r="O221" s="67" t="n">
        <v>5.855192</v>
      </c>
      <c r="P221" s="67" t="n">
        <v>0.805696</v>
      </c>
      <c r="Q221" s="67" t="n">
        <v>1.188238</v>
      </c>
      <c r="R221" s="67" t="n">
        <v>2.73325</v>
      </c>
      <c r="S221" s="68" t="s">
        <v>200</v>
      </c>
      <c r="T221" s="68" t="s">
        <v>201</v>
      </c>
      <c r="U221" s="68" t="s">
        <v>202</v>
      </c>
      <c r="V221" s="69"/>
      <c r="W221" s="68" t="s">
        <v>207</v>
      </c>
      <c r="X221" s="68" t="n">
        <v>7.7286728395023</v>
      </c>
      <c r="Y221" s="68" t="n">
        <v>139.116111111041</v>
      </c>
      <c r="Z221" s="68" t="n">
        <v>18</v>
      </c>
      <c r="AA221" s="70" t="s">
        <v>231</v>
      </c>
    </row>
    <row r="222" customFormat="false" ht="14.25" hidden="false" customHeight="false" outlineLevel="0" collapsed="false">
      <c r="A222" s="56"/>
      <c r="B222" s="56"/>
      <c r="C222" s="64" t="n">
        <v>217</v>
      </c>
      <c r="D222" s="71" t="s">
        <v>676</v>
      </c>
      <c r="E222" s="71" t="s">
        <v>673</v>
      </c>
      <c r="F222" s="71" t="s">
        <v>677</v>
      </c>
      <c r="G222" s="66" t="n">
        <v>44</v>
      </c>
      <c r="H222" s="67" t="n">
        <v>0.8736</v>
      </c>
      <c r="I222" s="67" t="n">
        <v>371</v>
      </c>
      <c r="J222" s="67" t="n">
        <v>371</v>
      </c>
      <c r="K222" s="67" t="n">
        <v>371</v>
      </c>
      <c r="L222" s="68" t="s">
        <v>199</v>
      </c>
      <c r="M222" s="67" t="n">
        <v>0.291367</v>
      </c>
      <c r="N222" s="67" t="n">
        <v>0.412245</v>
      </c>
      <c r="O222" s="67" t="n">
        <v>4.03002</v>
      </c>
      <c r="P222" s="67" t="n">
        <v>0.527592</v>
      </c>
      <c r="Q222" s="67" t="n">
        <v>1.209704</v>
      </c>
      <c r="R222" s="67" t="n">
        <v>1.809585</v>
      </c>
      <c r="S222" s="68" t="s">
        <v>200</v>
      </c>
      <c r="T222" s="68" t="s">
        <v>201</v>
      </c>
      <c r="U222" s="68" t="s">
        <v>202</v>
      </c>
      <c r="V222" s="69"/>
      <c r="W222" s="68" t="s">
        <v>203</v>
      </c>
      <c r="X222" s="68" t="n">
        <v>7.7286728395023</v>
      </c>
      <c r="Y222" s="68" t="n">
        <v>139.116111111041</v>
      </c>
      <c r="Z222" s="68" t="n">
        <v>18</v>
      </c>
      <c r="AA222" s="70"/>
    </row>
    <row r="223" customFormat="false" ht="14.25" hidden="false" customHeight="false" outlineLevel="0" collapsed="false">
      <c r="A223" s="56"/>
      <c r="B223" s="56"/>
      <c r="C223" s="64" t="n">
        <v>218</v>
      </c>
      <c r="D223" s="71" t="s">
        <v>678</v>
      </c>
      <c r="E223" s="71" t="s">
        <v>677</v>
      </c>
      <c r="F223" s="71" t="s">
        <v>679</v>
      </c>
      <c r="G223" s="66" t="n">
        <v>44</v>
      </c>
      <c r="H223" s="67" t="n">
        <v>0.1171</v>
      </c>
      <c r="I223" s="67" t="n">
        <v>371</v>
      </c>
      <c r="J223" s="67" t="n">
        <v>371</v>
      </c>
      <c r="K223" s="67" t="n">
        <v>371</v>
      </c>
      <c r="L223" s="68" t="s">
        <v>199</v>
      </c>
      <c r="M223" s="67" t="n">
        <v>0.104319</v>
      </c>
      <c r="N223" s="67" t="n">
        <v>0.247544</v>
      </c>
      <c r="O223" s="67" t="n">
        <v>45.27589</v>
      </c>
      <c r="P223" s="67" t="n">
        <v>1.063424</v>
      </c>
      <c r="Q223" s="67" t="n">
        <v>0.811099</v>
      </c>
      <c r="R223" s="67" t="n">
        <v>45.27589</v>
      </c>
      <c r="S223" s="68" t="s">
        <v>200</v>
      </c>
      <c r="T223" s="68" t="s">
        <v>201</v>
      </c>
      <c r="U223" s="68" t="s">
        <v>202</v>
      </c>
      <c r="V223" s="69"/>
      <c r="W223" s="68" t="s">
        <v>211</v>
      </c>
      <c r="X223" s="68" t="n">
        <v>7.7286728395023</v>
      </c>
      <c r="Y223" s="68" t="n">
        <v>139.116111111041</v>
      </c>
      <c r="Z223" s="68" t="n">
        <v>18</v>
      </c>
      <c r="AA223" s="70"/>
    </row>
    <row r="224" customFormat="false" ht="14.25" hidden="false" customHeight="false" outlineLevel="0" collapsed="false">
      <c r="A224" s="56"/>
      <c r="B224" s="56"/>
      <c r="C224" s="64" t="n">
        <v>219</v>
      </c>
      <c r="D224" s="71" t="s">
        <v>680</v>
      </c>
      <c r="E224" s="71" t="s">
        <v>677</v>
      </c>
      <c r="F224" s="71" t="s">
        <v>681</v>
      </c>
      <c r="G224" s="66" t="n">
        <v>44</v>
      </c>
      <c r="H224" s="67" t="n">
        <v>1.134</v>
      </c>
      <c r="I224" s="67" t="n">
        <v>371</v>
      </c>
      <c r="J224" s="67" t="n">
        <v>371</v>
      </c>
      <c r="K224" s="67" t="n">
        <v>371</v>
      </c>
      <c r="L224" s="68" t="s">
        <v>199</v>
      </c>
      <c r="M224" s="67" t="n">
        <v>0.291367</v>
      </c>
      <c r="N224" s="67" t="n">
        <v>0.412245</v>
      </c>
      <c r="O224" s="67" t="n">
        <v>4.03002</v>
      </c>
      <c r="P224" s="67" t="n">
        <v>0.527592</v>
      </c>
      <c r="Q224" s="67" t="n">
        <v>1.209704</v>
      </c>
      <c r="R224" s="67" t="n">
        <v>1.809585</v>
      </c>
      <c r="S224" s="68" t="s">
        <v>200</v>
      </c>
      <c r="T224" s="68" t="s">
        <v>201</v>
      </c>
      <c r="U224" s="68" t="s">
        <v>202</v>
      </c>
      <c r="V224" s="69"/>
      <c r="W224" s="68" t="s">
        <v>203</v>
      </c>
      <c r="X224" s="68" t="n">
        <v>7.7286728395023</v>
      </c>
      <c r="Y224" s="68" t="n">
        <v>139.116111111041</v>
      </c>
      <c r="Z224" s="68" t="n">
        <v>18</v>
      </c>
      <c r="AA224" s="70"/>
    </row>
    <row r="225" customFormat="false" ht="14.25" hidden="false" customHeight="false" outlineLevel="0" collapsed="false">
      <c r="A225" s="56"/>
      <c r="B225" s="56"/>
      <c r="C225" s="64" t="n">
        <v>220</v>
      </c>
      <c r="D225" s="71" t="s">
        <v>682</v>
      </c>
      <c r="E225" s="71" t="s">
        <v>681</v>
      </c>
      <c r="F225" s="71" t="s">
        <v>683</v>
      </c>
      <c r="G225" s="66" t="n">
        <v>44</v>
      </c>
      <c r="H225" s="67" t="n">
        <v>0.1887</v>
      </c>
      <c r="I225" s="67" t="n">
        <v>260</v>
      </c>
      <c r="J225" s="67" t="n">
        <v>260</v>
      </c>
      <c r="K225" s="67" t="n">
        <v>260</v>
      </c>
      <c r="L225" s="68" t="s">
        <v>199</v>
      </c>
      <c r="M225" s="67" t="n">
        <v>0.583051</v>
      </c>
      <c r="N225" s="67" t="n">
        <v>0.438636</v>
      </c>
      <c r="O225" s="67" t="n">
        <v>3.776983</v>
      </c>
      <c r="P225" s="67" t="n">
        <v>0.937817</v>
      </c>
      <c r="Q225" s="67" t="n">
        <v>1.348523</v>
      </c>
      <c r="R225" s="67" t="n">
        <v>1.741788</v>
      </c>
      <c r="S225" s="68" t="s">
        <v>200</v>
      </c>
      <c r="T225" s="68" t="s">
        <v>201</v>
      </c>
      <c r="U225" s="68" t="s">
        <v>202</v>
      </c>
      <c r="V225" s="69"/>
      <c r="W225" s="68" t="s">
        <v>214</v>
      </c>
      <c r="X225" s="68" t="n">
        <v>7.7286728395023</v>
      </c>
      <c r="Y225" s="68" t="n">
        <v>139.116111111041</v>
      </c>
      <c r="Z225" s="68" t="n">
        <v>18</v>
      </c>
      <c r="AA225" s="70"/>
    </row>
    <row r="226" customFormat="false" ht="14.25" hidden="false" customHeight="false" outlineLevel="0" collapsed="false">
      <c r="A226" s="56"/>
      <c r="B226" s="56"/>
      <c r="C226" s="64" t="n">
        <v>221</v>
      </c>
      <c r="D226" s="71" t="s">
        <v>684</v>
      </c>
      <c r="E226" s="71" t="s">
        <v>681</v>
      </c>
      <c r="F226" s="71" t="s">
        <v>685</v>
      </c>
      <c r="G226" s="66" t="n">
        <v>44</v>
      </c>
      <c r="H226" s="67" t="n">
        <v>0.2667</v>
      </c>
      <c r="I226" s="67" t="n">
        <v>371</v>
      </c>
      <c r="J226" s="67" t="n">
        <v>371</v>
      </c>
      <c r="K226" s="67" t="n">
        <v>371</v>
      </c>
      <c r="L226" s="68" t="s">
        <v>199</v>
      </c>
      <c r="M226" s="67" t="n">
        <v>0.291367</v>
      </c>
      <c r="N226" s="67" t="n">
        <v>0.412245</v>
      </c>
      <c r="O226" s="67" t="n">
        <v>4.03002</v>
      </c>
      <c r="P226" s="67" t="n">
        <v>0.527592</v>
      </c>
      <c r="Q226" s="67" t="n">
        <v>1.209704</v>
      </c>
      <c r="R226" s="67" t="n">
        <v>1.809585</v>
      </c>
      <c r="S226" s="68" t="s">
        <v>200</v>
      </c>
      <c r="T226" s="68" t="s">
        <v>201</v>
      </c>
      <c r="U226" s="68" t="s">
        <v>202</v>
      </c>
      <c r="V226" s="69"/>
      <c r="W226" s="68" t="s">
        <v>203</v>
      </c>
      <c r="X226" s="68" t="n">
        <v>7.7286728395023</v>
      </c>
      <c r="Y226" s="68" t="n">
        <v>139.116111111041</v>
      </c>
      <c r="Z226" s="68" t="n">
        <v>18</v>
      </c>
      <c r="AA226" s="70"/>
    </row>
    <row r="227" customFormat="false" ht="14.25" hidden="false" customHeight="false" outlineLevel="0" collapsed="false">
      <c r="A227" s="56"/>
      <c r="B227" s="56"/>
      <c r="C227" s="64" t="n">
        <v>222</v>
      </c>
      <c r="D227" s="71" t="s">
        <v>686</v>
      </c>
      <c r="E227" s="71" t="s">
        <v>685</v>
      </c>
      <c r="F227" s="71" t="s">
        <v>662</v>
      </c>
      <c r="G227" s="66" t="n">
        <v>44</v>
      </c>
      <c r="H227" s="67" t="n">
        <v>0.3227</v>
      </c>
      <c r="I227" s="67" t="n">
        <v>371</v>
      </c>
      <c r="J227" s="67" t="n">
        <v>371</v>
      </c>
      <c r="K227" s="67" t="n">
        <v>371</v>
      </c>
      <c r="L227" s="68" t="s">
        <v>199</v>
      </c>
      <c r="M227" s="67" t="n">
        <v>0.277924</v>
      </c>
      <c r="N227" s="67" t="n">
        <v>0.291019</v>
      </c>
      <c r="O227" s="67" t="n">
        <v>5.855192</v>
      </c>
      <c r="P227" s="67" t="n">
        <v>0.805696</v>
      </c>
      <c r="Q227" s="67" t="n">
        <v>1.188238</v>
      </c>
      <c r="R227" s="67" t="n">
        <v>2.73325</v>
      </c>
      <c r="S227" s="68" t="s">
        <v>200</v>
      </c>
      <c r="T227" s="68" t="s">
        <v>201</v>
      </c>
      <c r="U227" s="68" t="s">
        <v>202</v>
      </c>
      <c r="V227" s="69"/>
      <c r="W227" s="68" t="s">
        <v>207</v>
      </c>
      <c r="X227" s="68" t="n">
        <v>7.7286728395023</v>
      </c>
      <c r="Y227" s="68" t="n">
        <v>139.116111111041</v>
      </c>
      <c r="Z227" s="68" t="n">
        <v>18</v>
      </c>
      <c r="AA227" s="70"/>
    </row>
    <row r="228" customFormat="false" ht="14.25" hidden="false" customHeight="false" outlineLevel="0" collapsed="false">
      <c r="A228" s="56"/>
      <c r="B228" s="56"/>
      <c r="C228" s="64" t="n">
        <v>223</v>
      </c>
      <c r="D228" s="71" t="s">
        <v>687</v>
      </c>
      <c r="E228" s="71" t="s">
        <v>662</v>
      </c>
      <c r="F228" s="71" t="s">
        <v>688</v>
      </c>
      <c r="G228" s="66" t="n">
        <v>44</v>
      </c>
      <c r="H228" s="67" t="n">
        <v>0.2246</v>
      </c>
      <c r="I228" s="67" t="n">
        <v>371</v>
      </c>
      <c r="J228" s="67" t="n">
        <v>371</v>
      </c>
      <c r="K228" s="67" t="n">
        <v>371</v>
      </c>
      <c r="L228" s="68" t="s">
        <v>199</v>
      </c>
      <c r="M228" s="67" t="n">
        <v>0.291367</v>
      </c>
      <c r="N228" s="67" t="n">
        <v>0.412245</v>
      </c>
      <c r="O228" s="67" t="n">
        <v>4.03002</v>
      </c>
      <c r="P228" s="67" t="n">
        <v>0.527592</v>
      </c>
      <c r="Q228" s="67" t="n">
        <v>1.209704</v>
      </c>
      <c r="R228" s="67" t="n">
        <v>1.809585</v>
      </c>
      <c r="S228" s="68" t="s">
        <v>200</v>
      </c>
      <c r="T228" s="68" t="s">
        <v>201</v>
      </c>
      <c r="U228" s="68" t="s">
        <v>202</v>
      </c>
      <c r="V228" s="69"/>
      <c r="W228" s="68" t="s">
        <v>203</v>
      </c>
      <c r="X228" s="68" t="n">
        <v>7.7286728395023</v>
      </c>
      <c r="Y228" s="68" t="n">
        <v>139.116111111041</v>
      </c>
      <c r="Z228" s="68" t="n">
        <v>18</v>
      </c>
      <c r="AA228" s="70"/>
    </row>
    <row r="229" customFormat="false" ht="14.25" hidden="false" customHeight="false" outlineLevel="0" collapsed="false">
      <c r="A229" s="56"/>
      <c r="B229" s="56"/>
      <c r="C229" s="64" t="n">
        <v>224</v>
      </c>
      <c r="D229" s="71" t="s">
        <v>689</v>
      </c>
      <c r="E229" s="71" t="s">
        <v>685</v>
      </c>
      <c r="F229" s="71" t="s">
        <v>690</v>
      </c>
      <c r="G229" s="66" t="n">
        <v>44</v>
      </c>
      <c r="H229" s="67" t="n">
        <v>0.3574</v>
      </c>
      <c r="I229" s="67" t="n">
        <v>371</v>
      </c>
      <c r="J229" s="67" t="n">
        <v>371</v>
      </c>
      <c r="K229" s="67" t="n">
        <v>371</v>
      </c>
      <c r="L229" s="68" t="s">
        <v>199</v>
      </c>
      <c r="M229" s="67" t="n">
        <v>0.291367</v>
      </c>
      <c r="N229" s="67" t="n">
        <v>0.412245</v>
      </c>
      <c r="O229" s="67" t="n">
        <v>4.03002</v>
      </c>
      <c r="P229" s="67" t="n">
        <v>0.527592</v>
      </c>
      <c r="Q229" s="67" t="n">
        <v>1.209704</v>
      </c>
      <c r="R229" s="67" t="n">
        <v>1.809585</v>
      </c>
      <c r="S229" s="68" t="s">
        <v>200</v>
      </c>
      <c r="T229" s="68" t="s">
        <v>201</v>
      </c>
      <c r="U229" s="68" t="s">
        <v>202</v>
      </c>
      <c r="V229" s="69"/>
      <c r="W229" s="68" t="s">
        <v>203</v>
      </c>
      <c r="X229" s="68" t="n">
        <v>7.7286728395023</v>
      </c>
      <c r="Y229" s="68" t="n">
        <v>139.116111111041</v>
      </c>
      <c r="Z229" s="68" t="n">
        <v>18</v>
      </c>
      <c r="AA229" s="70"/>
    </row>
    <row r="230" customFormat="false" ht="14.25" hidden="false" customHeight="false" outlineLevel="0" collapsed="false">
      <c r="A230" s="56"/>
      <c r="B230" s="56"/>
      <c r="C230" s="64" t="n">
        <v>225</v>
      </c>
      <c r="D230" s="71" t="s">
        <v>691</v>
      </c>
      <c r="E230" s="71" t="s">
        <v>692</v>
      </c>
      <c r="F230" s="71" t="s">
        <v>693</v>
      </c>
      <c r="G230" s="66" t="n">
        <v>44</v>
      </c>
      <c r="H230" s="67" t="n">
        <v>0.312</v>
      </c>
      <c r="I230" s="67" t="n">
        <v>371</v>
      </c>
      <c r="J230" s="67" t="n">
        <v>371</v>
      </c>
      <c r="K230" s="67" t="n">
        <v>371</v>
      </c>
      <c r="L230" s="68" t="s">
        <v>199</v>
      </c>
      <c r="M230" s="67" t="n">
        <v>0.104319</v>
      </c>
      <c r="N230" s="67" t="n">
        <v>0.247544</v>
      </c>
      <c r="O230" s="67" t="n">
        <v>45.27589</v>
      </c>
      <c r="P230" s="67" t="n">
        <v>1.063424</v>
      </c>
      <c r="Q230" s="67" t="n">
        <v>0.811099</v>
      </c>
      <c r="R230" s="67" t="n">
        <v>45.27589</v>
      </c>
      <c r="S230" s="68" t="s">
        <v>200</v>
      </c>
      <c r="T230" s="68" t="s">
        <v>201</v>
      </c>
      <c r="U230" s="68" t="s">
        <v>202</v>
      </c>
      <c r="V230" s="69"/>
      <c r="W230" s="68" t="s">
        <v>211</v>
      </c>
      <c r="X230" s="68" t="n">
        <v>5.44963789683139</v>
      </c>
      <c r="Y230" s="68" t="n">
        <v>50.863287037093</v>
      </c>
      <c r="Z230" s="68" t="n">
        <v>9.33333333333333</v>
      </c>
      <c r="AA230" s="70"/>
    </row>
    <row r="231" customFormat="false" ht="14.25" hidden="false" customHeight="false" outlineLevel="0" collapsed="false">
      <c r="A231" s="56"/>
      <c r="B231" s="56"/>
      <c r="C231" s="64" t="n">
        <v>226</v>
      </c>
      <c r="D231" s="71" t="s">
        <v>694</v>
      </c>
      <c r="E231" s="71" t="s">
        <v>695</v>
      </c>
      <c r="F231" s="71" t="s">
        <v>696</v>
      </c>
      <c r="G231" s="66" t="n">
        <v>44</v>
      </c>
      <c r="H231" s="67" t="n">
        <v>0.392</v>
      </c>
      <c r="I231" s="67" t="n">
        <v>371</v>
      </c>
      <c r="J231" s="67" t="n">
        <v>371</v>
      </c>
      <c r="K231" s="67" t="n">
        <v>371</v>
      </c>
      <c r="L231" s="68" t="s">
        <v>199</v>
      </c>
      <c r="M231" s="67" t="n">
        <v>0.277924</v>
      </c>
      <c r="N231" s="67" t="n">
        <v>0.291019</v>
      </c>
      <c r="O231" s="67" t="n">
        <v>5.855192</v>
      </c>
      <c r="P231" s="67" t="n">
        <v>0.805696</v>
      </c>
      <c r="Q231" s="67" t="n">
        <v>1.188238</v>
      </c>
      <c r="R231" s="67" t="n">
        <v>2.73325</v>
      </c>
      <c r="S231" s="68" t="s">
        <v>200</v>
      </c>
      <c r="T231" s="68" t="s">
        <v>201</v>
      </c>
      <c r="U231" s="68" t="s">
        <v>202</v>
      </c>
      <c r="V231" s="69"/>
      <c r="W231" s="68" t="s">
        <v>207</v>
      </c>
      <c r="X231" s="68" t="n">
        <v>8.16627192981725</v>
      </c>
      <c r="Y231" s="68" t="n">
        <v>129.29930555544</v>
      </c>
      <c r="Z231" s="68" t="n">
        <v>15.8333333333333</v>
      </c>
      <c r="AA231" s="70"/>
    </row>
    <row r="232" customFormat="false" ht="14.25" hidden="false" customHeight="false" outlineLevel="0" collapsed="false">
      <c r="A232" s="56"/>
      <c r="B232" s="56"/>
      <c r="C232" s="64" t="n">
        <v>227</v>
      </c>
      <c r="D232" s="71" t="s">
        <v>697</v>
      </c>
      <c r="E232" s="71" t="s">
        <v>696</v>
      </c>
      <c r="F232" s="71" t="s">
        <v>698</v>
      </c>
      <c r="G232" s="66" t="n">
        <v>44</v>
      </c>
      <c r="H232" s="67" t="n">
        <v>0.5338</v>
      </c>
      <c r="I232" s="67" t="n">
        <v>371</v>
      </c>
      <c r="J232" s="67" t="n">
        <v>371</v>
      </c>
      <c r="K232" s="67" t="n">
        <v>371</v>
      </c>
      <c r="L232" s="68" t="s">
        <v>199</v>
      </c>
      <c r="M232" s="67" t="n">
        <v>0.277924</v>
      </c>
      <c r="N232" s="67" t="n">
        <v>0.291019</v>
      </c>
      <c r="O232" s="67" t="n">
        <v>5.855192</v>
      </c>
      <c r="P232" s="67" t="n">
        <v>0.805696</v>
      </c>
      <c r="Q232" s="67" t="n">
        <v>1.188238</v>
      </c>
      <c r="R232" s="67" t="n">
        <v>2.73325</v>
      </c>
      <c r="S232" s="68" t="s">
        <v>200</v>
      </c>
      <c r="T232" s="68" t="s">
        <v>201</v>
      </c>
      <c r="U232" s="68" t="s">
        <v>202</v>
      </c>
      <c r="V232" s="69"/>
      <c r="W232" s="68" t="s">
        <v>207</v>
      </c>
      <c r="X232" s="68" t="n">
        <v>8.16627192981725</v>
      </c>
      <c r="Y232" s="68" t="n">
        <v>129.29930555544</v>
      </c>
      <c r="Z232" s="68" t="n">
        <v>15.8333333333333</v>
      </c>
      <c r="AA232" s="70"/>
    </row>
    <row r="233" customFormat="false" ht="14.25" hidden="false" customHeight="false" outlineLevel="0" collapsed="false">
      <c r="A233" s="56"/>
      <c r="B233" s="56"/>
      <c r="C233" s="64" t="n">
        <v>228</v>
      </c>
      <c r="D233" s="71" t="s">
        <v>699</v>
      </c>
      <c r="E233" s="71" t="s">
        <v>698</v>
      </c>
      <c r="F233" s="71" t="s">
        <v>700</v>
      </c>
      <c r="G233" s="66" t="n">
        <v>44</v>
      </c>
      <c r="H233" s="67" t="n">
        <v>0.654</v>
      </c>
      <c r="I233" s="67" t="n">
        <v>371</v>
      </c>
      <c r="J233" s="67" t="n">
        <v>371</v>
      </c>
      <c r="K233" s="67" t="n">
        <v>371</v>
      </c>
      <c r="L233" s="68" t="s">
        <v>199</v>
      </c>
      <c r="M233" s="67" t="n">
        <v>0.291367</v>
      </c>
      <c r="N233" s="67" t="n">
        <v>0.412245</v>
      </c>
      <c r="O233" s="67" t="n">
        <v>4.03002</v>
      </c>
      <c r="P233" s="67" t="n">
        <v>0.527592</v>
      </c>
      <c r="Q233" s="67" t="n">
        <v>1.209704</v>
      </c>
      <c r="R233" s="67" t="n">
        <v>1.809585</v>
      </c>
      <c r="S233" s="68" t="s">
        <v>200</v>
      </c>
      <c r="T233" s="68" t="s">
        <v>201</v>
      </c>
      <c r="U233" s="68" t="s">
        <v>202</v>
      </c>
      <c r="V233" s="69"/>
      <c r="W233" s="68" t="s">
        <v>203</v>
      </c>
      <c r="X233" s="68" t="n">
        <v>8.16627192981725</v>
      </c>
      <c r="Y233" s="68" t="n">
        <v>129.29930555544</v>
      </c>
      <c r="Z233" s="68" t="n">
        <v>15.8333333333333</v>
      </c>
      <c r="AA233" s="70"/>
    </row>
    <row r="234" customFormat="false" ht="14.25" hidden="false" customHeight="false" outlineLevel="0" collapsed="false">
      <c r="A234" s="56"/>
      <c r="B234" s="56"/>
      <c r="C234" s="64" t="n">
        <v>229</v>
      </c>
      <c r="D234" s="71" t="s">
        <v>701</v>
      </c>
      <c r="E234" s="71" t="s">
        <v>700</v>
      </c>
      <c r="F234" s="71" t="s">
        <v>702</v>
      </c>
      <c r="G234" s="66" t="n">
        <v>44</v>
      </c>
      <c r="H234" s="67" t="n">
        <v>0.2306</v>
      </c>
      <c r="I234" s="67" t="n">
        <v>371</v>
      </c>
      <c r="J234" s="67" t="n">
        <v>371</v>
      </c>
      <c r="K234" s="67" t="n">
        <v>371</v>
      </c>
      <c r="L234" s="68" t="s">
        <v>199</v>
      </c>
      <c r="M234" s="67" t="n">
        <v>0.291367</v>
      </c>
      <c r="N234" s="67" t="n">
        <v>0.412245</v>
      </c>
      <c r="O234" s="67" t="n">
        <v>4.03002</v>
      </c>
      <c r="P234" s="67" t="n">
        <v>0.527592</v>
      </c>
      <c r="Q234" s="67" t="n">
        <v>1.209704</v>
      </c>
      <c r="R234" s="67" t="n">
        <v>1.809585</v>
      </c>
      <c r="S234" s="68" t="s">
        <v>200</v>
      </c>
      <c r="T234" s="68" t="s">
        <v>201</v>
      </c>
      <c r="U234" s="68" t="s">
        <v>202</v>
      </c>
      <c r="V234" s="69"/>
      <c r="W234" s="68" t="s">
        <v>203</v>
      </c>
      <c r="X234" s="68" t="n">
        <v>8.16627192981725</v>
      </c>
      <c r="Y234" s="68" t="n">
        <v>129.29930555544</v>
      </c>
      <c r="Z234" s="68" t="n">
        <v>15.8333333333333</v>
      </c>
      <c r="AA234" s="70"/>
    </row>
    <row r="235" customFormat="false" ht="14.25" hidden="false" customHeight="false" outlineLevel="0" collapsed="false">
      <c r="A235" s="56"/>
      <c r="B235" s="56"/>
      <c r="C235" s="64" t="n">
        <v>230</v>
      </c>
      <c r="D235" s="71" t="s">
        <v>703</v>
      </c>
      <c r="E235" s="71" t="s">
        <v>702</v>
      </c>
      <c r="F235" s="71" t="s">
        <v>704</v>
      </c>
      <c r="G235" s="66" t="n">
        <v>44</v>
      </c>
      <c r="H235" s="67" t="n">
        <v>0.1538</v>
      </c>
      <c r="I235" s="67" t="n">
        <v>371</v>
      </c>
      <c r="J235" s="67" t="n">
        <v>371</v>
      </c>
      <c r="K235" s="67" t="n">
        <v>371</v>
      </c>
      <c r="L235" s="68" t="s">
        <v>199</v>
      </c>
      <c r="M235" s="67" t="n">
        <v>0.291367</v>
      </c>
      <c r="N235" s="67" t="n">
        <v>0.412245</v>
      </c>
      <c r="O235" s="67" t="n">
        <v>4.03002</v>
      </c>
      <c r="P235" s="67" t="n">
        <v>0.527592</v>
      </c>
      <c r="Q235" s="67" t="n">
        <v>1.209704</v>
      </c>
      <c r="R235" s="67" t="n">
        <v>1.809585</v>
      </c>
      <c r="S235" s="68" t="s">
        <v>200</v>
      </c>
      <c r="T235" s="68" t="s">
        <v>201</v>
      </c>
      <c r="U235" s="68" t="s">
        <v>202</v>
      </c>
      <c r="V235" s="69"/>
      <c r="W235" s="68" t="s">
        <v>203</v>
      </c>
      <c r="X235" s="68" t="n">
        <v>8.16627192981725</v>
      </c>
      <c r="Y235" s="68" t="n">
        <v>129.29930555544</v>
      </c>
      <c r="Z235" s="68" t="n">
        <v>15.8333333333333</v>
      </c>
      <c r="AA235" s="70"/>
    </row>
    <row r="236" customFormat="false" ht="14.25" hidden="false" customHeight="false" outlineLevel="0" collapsed="false">
      <c r="A236" s="56"/>
      <c r="B236" s="56"/>
      <c r="C236" s="64" t="n">
        <v>231</v>
      </c>
      <c r="D236" s="71" t="s">
        <v>705</v>
      </c>
      <c r="E236" s="71" t="s">
        <v>704</v>
      </c>
      <c r="F236" s="71" t="s">
        <v>706</v>
      </c>
      <c r="G236" s="66" t="n">
        <v>44</v>
      </c>
      <c r="H236" s="67" t="n">
        <v>0.2911</v>
      </c>
      <c r="I236" s="67" t="n">
        <v>371</v>
      </c>
      <c r="J236" s="67" t="n">
        <v>371</v>
      </c>
      <c r="K236" s="67" t="n">
        <v>371</v>
      </c>
      <c r="L236" s="68" t="s">
        <v>199</v>
      </c>
      <c r="M236" s="67" t="n">
        <v>0.291367</v>
      </c>
      <c r="N236" s="67" t="n">
        <v>0.412245</v>
      </c>
      <c r="O236" s="67" t="n">
        <v>4.03002</v>
      </c>
      <c r="P236" s="67" t="n">
        <v>0.527592</v>
      </c>
      <c r="Q236" s="67" t="n">
        <v>1.209704</v>
      </c>
      <c r="R236" s="67" t="n">
        <v>1.809585</v>
      </c>
      <c r="S236" s="68" t="s">
        <v>200</v>
      </c>
      <c r="T236" s="68" t="s">
        <v>201</v>
      </c>
      <c r="U236" s="68" t="s">
        <v>202</v>
      </c>
      <c r="V236" s="69"/>
      <c r="W236" s="68" t="s">
        <v>203</v>
      </c>
      <c r="X236" s="68" t="n">
        <v>8.16627192981725</v>
      </c>
      <c r="Y236" s="68" t="n">
        <v>129.29930555544</v>
      </c>
      <c r="Z236" s="68" t="n">
        <v>15.8333333333333</v>
      </c>
      <c r="AA236" s="70"/>
    </row>
    <row r="237" customFormat="false" ht="14.25" hidden="false" customHeight="false" outlineLevel="0" collapsed="false">
      <c r="A237" s="56"/>
      <c r="B237" s="56"/>
      <c r="C237" s="64" t="n">
        <v>232</v>
      </c>
      <c r="D237" s="71" t="s">
        <v>707</v>
      </c>
      <c r="E237" s="71" t="s">
        <v>706</v>
      </c>
      <c r="F237" s="71" t="s">
        <v>708</v>
      </c>
      <c r="G237" s="66" t="n">
        <v>44</v>
      </c>
      <c r="H237" s="67" t="n">
        <v>0.2045</v>
      </c>
      <c r="I237" s="67" t="n">
        <v>371</v>
      </c>
      <c r="J237" s="67" t="n">
        <v>371</v>
      </c>
      <c r="K237" s="67" t="n">
        <v>371</v>
      </c>
      <c r="L237" s="68" t="s">
        <v>199</v>
      </c>
      <c r="M237" s="67" t="n">
        <v>0.291367</v>
      </c>
      <c r="N237" s="67" t="n">
        <v>0.412245</v>
      </c>
      <c r="O237" s="67" t="n">
        <v>4.03002</v>
      </c>
      <c r="P237" s="67" t="n">
        <v>0.527592</v>
      </c>
      <c r="Q237" s="67" t="n">
        <v>1.209704</v>
      </c>
      <c r="R237" s="67" t="n">
        <v>1.809585</v>
      </c>
      <c r="S237" s="68" t="s">
        <v>200</v>
      </c>
      <c r="T237" s="68" t="s">
        <v>201</v>
      </c>
      <c r="U237" s="68" t="s">
        <v>202</v>
      </c>
      <c r="V237" s="69"/>
      <c r="W237" s="68" t="s">
        <v>203</v>
      </c>
      <c r="X237" s="68" t="n">
        <v>8.16627192981725</v>
      </c>
      <c r="Y237" s="68" t="n">
        <v>129.29930555544</v>
      </c>
      <c r="Z237" s="68" t="n">
        <v>15.8333333333333</v>
      </c>
      <c r="AA237" s="70"/>
    </row>
    <row r="238" customFormat="false" ht="14.25" hidden="false" customHeight="false" outlineLevel="0" collapsed="false">
      <c r="A238" s="56"/>
      <c r="B238" s="56"/>
      <c r="C238" s="64" t="n">
        <v>233</v>
      </c>
      <c r="D238" s="71" t="s">
        <v>709</v>
      </c>
      <c r="E238" s="71" t="s">
        <v>704</v>
      </c>
      <c r="F238" s="71" t="s">
        <v>710</v>
      </c>
      <c r="G238" s="66" t="n">
        <v>44</v>
      </c>
      <c r="H238" s="67" t="n">
        <v>0.012</v>
      </c>
      <c r="I238" s="67" t="n">
        <v>371</v>
      </c>
      <c r="J238" s="67" t="n">
        <v>371</v>
      </c>
      <c r="K238" s="67" t="n">
        <v>371</v>
      </c>
      <c r="L238" s="68" t="s">
        <v>199</v>
      </c>
      <c r="M238" s="67" t="n">
        <v>0.291367</v>
      </c>
      <c r="N238" s="67" t="n">
        <v>0.412245</v>
      </c>
      <c r="O238" s="67" t="n">
        <v>4.03002</v>
      </c>
      <c r="P238" s="67" t="n">
        <v>0.527592</v>
      </c>
      <c r="Q238" s="67" t="n">
        <v>1.209704</v>
      </c>
      <c r="R238" s="67" t="n">
        <v>1.809585</v>
      </c>
      <c r="S238" s="68" t="s">
        <v>200</v>
      </c>
      <c r="T238" s="68" t="s">
        <v>201</v>
      </c>
      <c r="U238" s="68" t="s">
        <v>202</v>
      </c>
      <c r="V238" s="69"/>
      <c r="W238" s="68" t="s">
        <v>203</v>
      </c>
      <c r="X238" s="68" t="n">
        <v>8.16627192981725</v>
      </c>
      <c r="Y238" s="68" t="n">
        <v>129.29930555544</v>
      </c>
      <c r="Z238" s="68" t="n">
        <v>15.8333333333333</v>
      </c>
      <c r="AA238" s="70"/>
    </row>
    <row r="239" customFormat="false" ht="14.25" hidden="false" customHeight="false" outlineLevel="0" collapsed="false">
      <c r="A239" s="56"/>
      <c r="B239" s="56"/>
      <c r="C239" s="64" t="n">
        <v>234</v>
      </c>
      <c r="D239" s="71" t="s">
        <v>711</v>
      </c>
      <c r="E239" s="71" t="s">
        <v>710</v>
      </c>
      <c r="F239" s="71" t="s">
        <v>712</v>
      </c>
      <c r="G239" s="66" t="n">
        <v>44</v>
      </c>
      <c r="H239" s="67" t="n">
        <v>0.4844</v>
      </c>
      <c r="I239" s="67" t="n">
        <v>371</v>
      </c>
      <c r="J239" s="67" t="n">
        <v>371</v>
      </c>
      <c r="K239" s="67" t="n">
        <v>371</v>
      </c>
      <c r="L239" s="68" t="s">
        <v>199</v>
      </c>
      <c r="M239" s="67" t="n">
        <v>0.291367</v>
      </c>
      <c r="N239" s="67" t="n">
        <v>0.412245</v>
      </c>
      <c r="O239" s="67" t="n">
        <v>4.03002</v>
      </c>
      <c r="P239" s="67" t="n">
        <v>0.527592</v>
      </c>
      <c r="Q239" s="67" t="n">
        <v>1.209704</v>
      </c>
      <c r="R239" s="67" t="n">
        <v>1.809585</v>
      </c>
      <c r="S239" s="68" t="s">
        <v>200</v>
      </c>
      <c r="T239" s="68" t="s">
        <v>201</v>
      </c>
      <c r="U239" s="68" t="s">
        <v>202</v>
      </c>
      <c r="V239" s="69"/>
      <c r="W239" s="68" t="s">
        <v>203</v>
      </c>
      <c r="X239" s="68" t="n">
        <v>8.16627192981725</v>
      </c>
      <c r="Y239" s="68" t="n">
        <v>129.29930555544</v>
      </c>
      <c r="Z239" s="68" t="n">
        <v>15.8333333333333</v>
      </c>
      <c r="AA239" s="70"/>
    </row>
    <row r="240" customFormat="false" ht="14.25" hidden="false" customHeight="false" outlineLevel="0" collapsed="false">
      <c r="A240" s="56"/>
      <c r="B240" s="56"/>
      <c r="C240" s="64" t="n">
        <v>235</v>
      </c>
      <c r="D240" s="71" t="s">
        <v>713</v>
      </c>
      <c r="E240" s="71" t="s">
        <v>710</v>
      </c>
      <c r="F240" s="71" t="s">
        <v>714</v>
      </c>
      <c r="G240" s="66" t="n">
        <v>44</v>
      </c>
      <c r="H240" s="67" t="n">
        <v>0.4085</v>
      </c>
      <c r="I240" s="67" t="n">
        <v>371</v>
      </c>
      <c r="J240" s="67" t="n">
        <v>371</v>
      </c>
      <c r="K240" s="67" t="n">
        <v>371</v>
      </c>
      <c r="L240" s="68" t="s">
        <v>199</v>
      </c>
      <c r="M240" s="67" t="n">
        <v>0.291367</v>
      </c>
      <c r="N240" s="67" t="n">
        <v>0.412245</v>
      </c>
      <c r="O240" s="67" t="n">
        <v>4.03002</v>
      </c>
      <c r="P240" s="67" t="n">
        <v>0.527592</v>
      </c>
      <c r="Q240" s="67" t="n">
        <v>1.209704</v>
      </c>
      <c r="R240" s="67" t="n">
        <v>1.809585</v>
      </c>
      <c r="S240" s="68" t="s">
        <v>200</v>
      </c>
      <c r="T240" s="68" t="s">
        <v>201</v>
      </c>
      <c r="U240" s="68" t="s">
        <v>202</v>
      </c>
      <c r="V240" s="69"/>
      <c r="W240" s="68" t="s">
        <v>203</v>
      </c>
      <c r="X240" s="68" t="n">
        <v>8.16627192981725</v>
      </c>
      <c r="Y240" s="68" t="n">
        <v>129.29930555544</v>
      </c>
      <c r="Z240" s="68" t="n">
        <v>15.8333333333333</v>
      </c>
      <c r="AA240" s="70"/>
    </row>
    <row r="241" customFormat="false" ht="14.25" hidden="false" customHeight="false" outlineLevel="0" collapsed="false">
      <c r="A241" s="56"/>
      <c r="B241" s="56"/>
      <c r="C241" s="64" t="n">
        <v>236</v>
      </c>
      <c r="D241" s="71" t="s">
        <v>715</v>
      </c>
      <c r="E241" s="71" t="s">
        <v>714</v>
      </c>
      <c r="F241" s="71" t="s">
        <v>716</v>
      </c>
      <c r="G241" s="66" t="n">
        <v>44</v>
      </c>
      <c r="H241" s="67" t="n">
        <v>0.4453</v>
      </c>
      <c r="I241" s="67" t="n">
        <v>371</v>
      </c>
      <c r="J241" s="67" t="n">
        <v>371</v>
      </c>
      <c r="K241" s="67" t="n">
        <v>371</v>
      </c>
      <c r="L241" s="68" t="s">
        <v>199</v>
      </c>
      <c r="M241" s="67" t="n">
        <v>0.291367</v>
      </c>
      <c r="N241" s="67" t="n">
        <v>0.412245</v>
      </c>
      <c r="O241" s="67" t="n">
        <v>4.03002</v>
      </c>
      <c r="P241" s="67" t="n">
        <v>0.527592</v>
      </c>
      <c r="Q241" s="67" t="n">
        <v>1.209704</v>
      </c>
      <c r="R241" s="67" t="n">
        <v>1.809585</v>
      </c>
      <c r="S241" s="68" t="s">
        <v>200</v>
      </c>
      <c r="T241" s="68" t="s">
        <v>201</v>
      </c>
      <c r="U241" s="68" t="s">
        <v>202</v>
      </c>
      <c r="V241" s="69"/>
      <c r="W241" s="68" t="s">
        <v>203</v>
      </c>
      <c r="X241" s="68" t="n">
        <v>8.16627192981725</v>
      </c>
      <c r="Y241" s="68" t="n">
        <v>129.29930555544</v>
      </c>
      <c r="Z241" s="68" t="n">
        <v>15.8333333333333</v>
      </c>
      <c r="AA241" s="70"/>
    </row>
    <row r="242" customFormat="false" ht="14.25" hidden="false" customHeight="false" outlineLevel="0" collapsed="false">
      <c r="A242" s="56"/>
      <c r="B242" s="56"/>
      <c r="C242" s="64" t="n">
        <v>237</v>
      </c>
      <c r="D242" s="71" t="s">
        <v>717</v>
      </c>
      <c r="E242" s="71" t="s">
        <v>696</v>
      </c>
      <c r="F242" s="71" t="s">
        <v>718</v>
      </c>
      <c r="G242" s="66" t="n">
        <v>44</v>
      </c>
      <c r="H242" s="67" t="n">
        <v>0.3</v>
      </c>
      <c r="I242" s="67" t="n">
        <v>371</v>
      </c>
      <c r="J242" s="67" t="n">
        <v>371</v>
      </c>
      <c r="K242" s="67" t="n">
        <v>371</v>
      </c>
      <c r="L242" s="68" t="s">
        <v>199</v>
      </c>
      <c r="M242" s="67" t="n">
        <v>0.277924</v>
      </c>
      <c r="N242" s="67" t="n">
        <v>0.291019</v>
      </c>
      <c r="O242" s="67" t="n">
        <v>5.855192</v>
      </c>
      <c r="P242" s="67" t="n">
        <v>0.805696</v>
      </c>
      <c r="Q242" s="67" t="n">
        <v>1.188238</v>
      </c>
      <c r="R242" s="67" t="n">
        <v>2.73325</v>
      </c>
      <c r="S242" s="68" t="s">
        <v>200</v>
      </c>
      <c r="T242" s="68" t="s">
        <v>201</v>
      </c>
      <c r="U242" s="68" t="s">
        <v>202</v>
      </c>
      <c r="V242" s="69"/>
      <c r="W242" s="68" t="s">
        <v>207</v>
      </c>
      <c r="X242" s="68" t="n">
        <v>8.16627192981725</v>
      </c>
      <c r="Y242" s="68" t="n">
        <v>129.29930555544</v>
      </c>
      <c r="Z242" s="68" t="n">
        <v>15.8333333333333</v>
      </c>
      <c r="AA242" s="70"/>
    </row>
    <row r="243" customFormat="false" ht="14.25" hidden="false" customHeight="false" outlineLevel="0" collapsed="false">
      <c r="A243" s="56"/>
      <c r="B243" s="56"/>
      <c r="C243" s="64" t="n">
        <v>238</v>
      </c>
      <c r="D243" s="71" t="s">
        <v>719</v>
      </c>
      <c r="E243" s="71" t="s">
        <v>718</v>
      </c>
      <c r="F243" s="71" t="s">
        <v>720</v>
      </c>
      <c r="G243" s="66" t="n">
        <v>44</v>
      </c>
      <c r="H243" s="67" t="n">
        <v>0.02039999</v>
      </c>
      <c r="I243" s="67" t="n">
        <v>371</v>
      </c>
      <c r="J243" s="67" t="n">
        <v>371</v>
      </c>
      <c r="K243" s="67" t="n">
        <v>371</v>
      </c>
      <c r="L243" s="68" t="s">
        <v>199</v>
      </c>
      <c r="M243" s="67" t="n">
        <v>0.277924</v>
      </c>
      <c r="N243" s="67" t="n">
        <v>0.291019</v>
      </c>
      <c r="O243" s="67" t="n">
        <v>5.855192</v>
      </c>
      <c r="P243" s="67" t="n">
        <v>0.805696</v>
      </c>
      <c r="Q243" s="67" t="n">
        <v>1.188238</v>
      </c>
      <c r="R243" s="67" t="n">
        <v>2.73325</v>
      </c>
      <c r="S243" s="68" t="s">
        <v>200</v>
      </c>
      <c r="T243" s="68" t="s">
        <v>201</v>
      </c>
      <c r="U243" s="68" t="s">
        <v>202</v>
      </c>
      <c r="V243" s="69"/>
      <c r="W243" s="68" t="s">
        <v>207</v>
      </c>
      <c r="X243" s="68" t="n">
        <v>8.16627192981725</v>
      </c>
      <c r="Y243" s="68" t="n">
        <v>129.29930555544</v>
      </c>
      <c r="Z243" s="68" t="n">
        <v>15.8333333333333</v>
      </c>
      <c r="AA243" s="70"/>
    </row>
    <row r="244" customFormat="false" ht="14.25" hidden="false" customHeight="false" outlineLevel="0" collapsed="false">
      <c r="A244" s="56"/>
      <c r="B244" s="56"/>
      <c r="C244" s="64" t="n">
        <v>239</v>
      </c>
      <c r="D244" s="71" t="s">
        <v>721</v>
      </c>
      <c r="E244" s="71" t="s">
        <v>698</v>
      </c>
      <c r="F244" s="71" t="s">
        <v>722</v>
      </c>
      <c r="G244" s="66" t="n">
        <v>44</v>
      </c>
      <c r="H244" s="67" t="n">
        <v>0.121</v>
      </c>
      <c r="I244" s="67" t="n">
        <v>260</v>
      </c>
      <c r="J244" s="67" t="n">
        <v>260</v>
      </c>
      <c r="K244" s="67" t="n">
        <v>260</v>
      </c>
      <c r="L244" s="68" t="s">
        <v>199</v>
      </c>
      <c r="M244" s="67" t="n">
        <v>0.583051</v>
      </c>
      <c r="N244" s="67" t="n">
        <v>0.438636</v>
      </c>
      <c r="O244" s="67" t="n">
        <v>3.776983</v>
      </c>
      <c r="P244" s="67" t="n">
        <v>0.937817</v>
      </c>
      <c r="Q244" s="67" t="n">
        <v>1.348523</v>
      </c>
      <c r="R244" s="67" t="n">
        <v>1.741788</v>
      </c>
      <c r="S244" s="68" t="s">
        <v>200</v>
      </c>
      <c r="T244" s="68" t="s">
        <v>201</v>
      </c>
      <c r="U244" s="68" t="s">
        <v>202</v>
      </c>
      <c r="V244" s="69"/>
      <c r="W244" s="68" t="s">
        <v>214</v>
      </c>
      <c r="X244" s="68" t="n">
        <v>8.16627192981725</v>
      </c>
      <c r="Y244" s="68" t="n">
        <v>129.29930555544</v>
      </c>
      <c r="Z244" s="68" t="n">
        <v>15.8333333333333</v>
      </c>
      <c r="AA244" s="70"/>
    </row>
    <row r="245" customFormat="false" ht="14.25" hidden="false" customHeight="false" outlineLevel="0" collapsed="false">
      <c r="A245" s="56"/>
      <c r="B245" s="56"/>
      <c r="C245" s="64" t="n">
        <v>240</v>
      </c>
      <c r="D245" s="71" t="s">
        <v>723</v>
      </c>
      <c r="E245" s="71" t="s">
        <v>722</v>
      </c>
      <c r="F245" s="71" t="s">
        <v>724</v>
      </c>
      <c r="G245" s="66" t="n">
        <v>44</v>
      </c>
      <c r="H245" s="67" t="n">
        <v>0.4776</v>
      </c>
      <c r="I245" s="67" t="n">
        <v>260</v>
      </c>
      <c r="J245" s="67" t="n">
        <v>260</v>
      </c>
      <c r="K245" s="67" t="n">
        <v>260</v>
      </c>
      <c r="L245" s="68" t="s">
        <v>199</v>
      </c>
      <c r="M245" s="67" t="n">
        <v>0.583051</v>
      </c>
      <c r="N245" s="67" t="n">
        <v>0.438636</v>
      </c>
      <c r="O245" s="67" t="n">
        <v>3.776983</v>
      </c>
      <c r="P245" s="67" t="n">
        <v>0.937817</v>
      </c>
      <c r="Q245" s="67" t="n">
        <v>1.348523</v>
      </c>
      <c r="R245" s="67" t="n">
        <v>1.741788</v>
      </c>
      <c r="S245" s="68" t="s">
        <v>200</v>
      </c>
      <c r="T245" s="68" t="s">
        <v>201</v>
      </c>
      <c r="U245" s="68" t="s">
        <v>202</v>
      </c>
      <c r="V245" s="69"/>
      <c r="W245" s="68" t="s">
        <v>214</v>
      </c>
      <c r="X245" s="68" t="n">
        <v>8.16627192981725</v>
      </c>
      <c r="Y245" s="68" t="n">
        <v>129.29930555544</v>
      </c>
      <c r="Z245" s="68" t="n">
        <v>15.8333333333333</v>
      </c>
      <c r="AA245" s="70"/>
    </row>
    <row r="246" customFormat="false" ht="14.25" hidden="false" customHeight="false" outlineLevel="0" collapsed="false">
      <c r="A246" s="56"/>
      <c r="B246" s="56"/>
      <c r="C246" s="64" t="n">
        <v>241</v>
      </c>
      <c r="D246" s="71" t="s">
        <v>725</v>
      </c>
      <c r="E246" s="71" t="s">
        <v>700</v>
      </c>
      <c r="F246" s="71" t="s">
        <v>726</v>
      </c>
      <c r="G246" s="66" t="n">
        <v>44</v>
      </c>
      <c r="H246" s="67" t="n">
        <v>0.1188</v>
      </c>
      <c r="I246" s="67" t="n">
        <v>371</v>
      </c>
      <c r="J246" s="67" t="n">
        <v>371</v>
      </c>
      <c r="K246" s="67" t="n">
        <v>371</v>
      </c>
      <c r="L246" s="68" t="s">
        <v>199</v>
      </c>
      <c r="M246" s="67" t="n">
        <v>0.291367</v>
      </c>
      <c r="N246" s="67" t="n">
        <v>0.412245</v>
      </c>
      <c r="O246" s="67" t="n">
        <v>4.03002</v>
      </c>
      <c r="P246" s="67" t="n">
        <v>0.527592</v>
      </c>
      <c r="Q246" s="67" t="n">
        <v>1.209704</v>
      </c>
      <c r="R246" s="67" t="n">
        <v>1.809585</v>
      </c>
      <c r="S246" s="68" t="s">
        <v>200</v>
      </c>
      <c r="T246" s="68" t="s">
        <v>201</v>
      </c>
      <c r="U246" s="68" t="s">
        <v>202</v>
      </c>
      <c r="V246" s="69"/>
      <c r="W246" s="68" t="s">
        <v>203</v>
      </c>
      <c r="X246" s="68" t="n">
        <v>8.16627192981725</v>
      </c>
      <c r="Y246" s="68" t="n">
        <v>129.29930555544</v>
      </c>
      <c r="Z246" s="68" t="n">
        <v>15.8333333333333</v>
      </c>
      <c r="AA246" s="70"/>
    </row>
    <row r="247" customFormat="false" ht="14.25" hidden="false" customHeight="false" outlineLevel="0" collapsed="false">
      <c r="A247" s="56"/>
      <c r="B247" s="56"/>
      <c r="C247" s="64" t="n">
        <v>242</v>
      </c>
      <c r="D247" s="71" t="s">
        <v>727</v>
      </c>
      <c r="E247" s="71" t="s">
        <v>702</v>
      </c>
      <c r="F247" s="71" t="s">
        <v>728</v>
      </c>
      <c r="G247" s="66" t="n">
        <v>44</v>
      </c>
      <c r="H247" s="67" t="n">
        <v>0.2497</v>
      </c>
      <c r="I247" s="67" t="n">
        <v>371</v>
      </c>
      <c r="J247" s="67" t="n">
        <v>371</v>
      </c>
      <c r="K247" s="67" t="n">
        <v>371</v>
      </c>
      <c r="L247" s="68" t="s">
        <v>199</v>
      </c>
      <c r="M247" s="67" t="n">
        <v>0.291367</v>
      </c>
      <c r="N247" s="67" t="n">
        <v>0.412245</v>
      </c>
      <c r="O247" s="67" t="n">
        <v>4.03002</v>
      </c>
      <c r="P247" s="67" t="n">
        <v>0.527592</v>
      </c>
      <c r="Q247" s="67" t="n">
        <v>1.209704</v>
      </c>
      <c r="R247" s="67" t="n">
        <v>1.809585</v>
      </c>
      <c r="S247" s="68" t="s">
        <v>200</v>
      </c>
      <c r="T247" s="68" t="s">
        <v>201</v>
      </c>
      <c r="U247" s="68" t="s">
        <v>202</v>
      </c>
      <c r="V247" s="69"/>
      <c r="W247" s="68" t="s">
        <v>203</v>
      </c>
      <c r="X247" s="68" t="n">
        <v>8.16627192981725</v>
      </c>
      <c r="Y247" s="68" t="n">
        <v>129.29930555544</v>
      </c>
      <c r="Z247" s="68" t="n">
        <v>15.8333333333333</v>
      </c>
      <c r="AA247" s="70"/>
    </row>
    <row r="248" customFormat="false" ht="14.25" hidden="false" customHeight="false" outlineLevel="0" collapsed="false">
      <c r="A248" s="56"/>
      <c r="B248" s="56"/>
      <c r="C248" s="64" t="n">
        <v>243</v>
      </c>
      <c r="D248" s="71" t="s">
        <v>729</v>
      </c>
      <c r="E248" s="71" t="s">
        <v>728</v>
      </c>
      <c r="F248" s="71" t="s">
        <v>730</v>
      </c>
      <c r="G248" s="66" t="n">
        <v>44</v>
      </c>
      <c r="H248" s="67" t="n">
        <v>0.1181</v>
      </c>
      <c r="I248" s="67" t="n">
        <v>371</v>
      </c>
      <c r="J248" s="67" t="n">
        <v>371</v>
      </c>
      <c r="K248" s="67" t="n">
        <v>371</v>
      </c>
      <c r="L248" s="68" t="s">
        <v>199</v>
      </c>
      <c r="M248" s="67" t="n">
        <v>0.291367</v>
      </c>
      <c r="N248" s="67" t="n">
        <v>0.412245</v>
      </c>
      <c r="O248" s="67" t="n">
        <v>4.03002</v>
      </c>
      <c r="P248" s="67" t="n">
        <v>0.527592</v>
      </c>
      <c r="Q248" s="67" t="n">
        <v>1.209704</v>
      </c>
      <c r="R248" s="67" t="n">
        <v>1.809585</v>
      </c>
      <c r="S248" s="68" t="s">
        <v>200</v>
      </c>
      <c r="T248" s="68" t="s">
        <v>201</v>
      </c>
      <c r="U248" s="68" t="s">
        <v>202</v>
      </c>
      <c r="V248" s="69"/>
      <c r="W248" s="68" t="s">
        <v>203</v>
      </c>
      <c r="X248" s="68" t="n">
        <v>8.16627192981725</v>
      </c>
      <c r="Y248" s="68" t="n">
        <v>129.29930555544</v>
      </c>
      <c r="Z248" s="68" t="n">
        <v>15.8333333333333</v>
      </c>
      <c r="AA248" s="70"/>
    </row>
    <row r="249" customFormat="false" ht="14.25" hidden="false" customHeight="false" outlineLevel="0" collapsed="false">
      <c r="A249" s="56"/>
      <c r="B249" s="56"/>
      <c r="C249" s="64" t="n">
        <v>244</v>
      </c>
      <c r="D249" s="71" t="s">
        <v>731</v>
      </c>
      <c r="E249" s="71" t="s">
        <v>728</v>
      </c>
      <c r="F249" s="71" t="s">
        <v>732</v>
      </c>
      <c r="G249" s="66" t="n">
        <v>44</v>
      </c>
      <c r="H249" s="67" t="n">
        <v>0.179</v>
      </c>
      <c r="I249" s="67" t="n">
        <v>260</v>
      </c>
      <c r="J249" s="67" t="n">
        <v>260</v>
      </c>
      <c r="K249" s="67" t="n">
        <v>260</v>
      </c>
      <c r="L249" s="68" t="s">
        <v>199</v>
      </c>
      <c r="M249" s="67" t="n">
        <v>0.583051</v>
      </c>
      <c r="N249" s="67" t="n">
        <v>0.438636</v>
      </c>
      <c r="O249" s="67" t="n">
        <v>3.776983</v>
      </c>
      <c r="P249" s="67" t="n">
        <v>0.937817</v>
      </c>
      <c r="Q249" s="67" t="n">
        <v>1.348523</v>
      </c>
      <c r="R249" s="67" t="n">
        <v>1.741788</v>
      </c>
      <c r="S249" s="68" t="s">
        <v>200</v>
      </c>
      <c r="T249" s="68" t="s">
        <v>201</v>
      </c>
      <c r="U249" s="68" t="s">
        <v>202</v>
      </c>
      <c r="V249" s="69"/>
      <c r="W249" s="68" t="s">
        <v>214</v>
      </c>
      <c r="X249" s="68" t="n">
        <v>8.16627192981725</v>
      </c>
      <c r="Y249" s="68" t="n">
        <v>129.29930555544</v>
      </c>
      <c r="Z249" s="68" t="n">
        <v>15.8333333333333</v>
      </c>
      <c r="AA249" s="70"/>
    </row>
    <row r="250" customFormat="false" ht="14.25" hidden="false" customHeight="false" outlineLevel="0" collapsed="false">
      <c r="A250" s="56"/>
      <c r="B250" s="56"/>
      <c r="C250" s="64" t="n">
        <v>245</v>
      </c>
      <c r="D250" s="71" t="s">
        <v>733</v>
      </c>
      <c r="E250" s="71" t="s">
        <v>706</v>
      </c>
      <c r="F250" s="71" t="s">
        <v>734</v>
      </c>
      <c r="G250" s="66" t="n">
        <v>44</v>
      </c>
      <c r="H250" s="67" t="n">
        <v>0.065</v>
      </c>
      <c r="I250" s="67" t="n">
        <v>371</v>
      </c>
      <c r="J250" s="67" t="n">
        <v>371</v>
      </c>
      <c r="K250" s="67" t="n">
        <v>371</v>
      </c>
      <c r="L250" s="68" t="s">
        <v>199</v>
      </c>
      <c r="M250" s="67" t="n">
        <v>0.104319</v>
      </c>
      <c r="N250" s="67" t="n">
        <v>0.247544</v>
      </c>
      <c r="O250" s="67" t="n">
        <v>45.27589</v>
      </c>
      <c r="P250" s="67" t="n">
        <v>1.063424</v>
      </c>
      <c r="Q250" s="67" t="n">
        <v>0.811099</v>
      </c>
      <c r="R250" s="67" t="n">
        <v>45.27589</v>
      </c>
      <c r="S250" s="68" t="s">
        <v>200</v>
      </c>
      <c r="T250" s="68" t="s">
        <v>201</v>
      </c>
      <c r="U250" s="68" t="s">
        <v>202</v>
      </c>
      <c r="V250" s="69"/>
      <c r="W250" s="68" t="s">
        <v>211</v>
      </c>
      <c r="X250" s="68" t="n">
        <v>8.16627192981725</v>
      </c>
      <c r="Y250" s="68" t="n">
        <v>129.29930555544</v>
      </c>
      <c r="Z250" s="68" t="n">
        <v>15.8333333333333</v>
      </c>
      <c r="AA250" s="70"/>
    </row>
    <row r="251" customFormat="false" ht="14.25" hidden="false" customHeight="false" outlineLevel="0" collapsed="false">
      <c r="A251" s="56"/>
      <c r="B251" s="56"/>
      <c r="C251" s="64" t="n">
        <v>246</v>
      </c>
      <c r="D251" s="71" t="s">
        <v>735</v>
      </c>
      <c r="E251" s="71" t="s">
        <v>736</v>
      </c>
      <c r="F251" s="71" t="s">
        <v>737</v>
      </c>
      <c r="G251" s="66" t="n">
        <v>44</v>
      </c>
      <c r="H251" s="67" t="n">
        <v>0.2823</v>
      </c>
      <c r="I251" s="67" t="n">
        <v>371</v>
      </c>
      <c r="J251" s="67" t="n">
        <v>371</v>
      </c>
      <c r="K251" s="67" t="n">
        <v>371</v>
      </c>
      <c r="L251" s="68" t="s">
        <v>199</v>
      </c>
      <c r="M251" s="67" t="n">
        <v>0.277924</v>
      </c>
      <c r="N251" s="67" t="n">
        <v>0.291019</v>
      </c>
      <c r="O251" s="67" t="n">
        <v>5.855192</v>
      </c>
      <c r="P251" s="67" t="n">
        <v>0.805696</v>
      </c>
      <c r="Q251" s="67" t="n">
        <v>1.188238</v>
      </c>
      <c r="R251" s="67" t="n">
        <v>2.73325</v>
      </c>
      <c r="S251" s="68" t="s">
        <v>200</v>
      </c>
      <c r="T251" s="68" t="s">
        <v>201</v>
      </c>
      <c r="U251" s="68" t="s">
        <v>202</v>
      </c>
      <c r="V251" s="69"/>
      <c r="W251" s="68" t="s">
        <v>207</v>
      </c>
      <c r="X251" s="68" t="n">
        <v>44.0317414529944</v>
      </c>
      <c r="Y251" s="68" t="n">
        <v>190.804212962976</v>
      </c>
      <c r="Z251" s="68" t="n">
        <v>4.33333333333333</v>
      </c>
      <c r="AA251" s="70"/>
    </row>
    <row r="252" customFormat="false" ht="14.25" hidden="false" customHeight="false" outlineLevel="0" collapsed="false">
      <c r="A252" s="56"/>
      <c r="B252" s="56"/>
      <c r="C252" s="64" t="n">
        <v>247</v>
      </c>
      <c r="D252" s="71" t="s">
        <v>738</v>
      </c>
      <c r="E252" s="71" t="s">
        <v>739</v>
      </c>
      <c r="F252" s="71" t="s">
        <v>740</v>
      </c>
      <c r="G252" s="66" t="n">
        <v>44</v>
      </c>
      <c r="H252" s="67" t="n">
        <v>1.539</v>
      </c>
      <c r="I252" s="67" t="n">
        <v>371</v>
      </c>
      <c r="J252" s="67" t="n">
        <v>371</v>
      </c>
      <c r="K252" s="67" t="n">
        <v>371</v>
      </c>
      <c r="L252" s="68" t="s">
        <v>199</v>
      </c>
      <c r="M252" s="67" t="n">
        <v>0.291367</v>
      </c>
      <c r="N252" s="67" t="n">
        <v>0.412245</v>
      </c>
      <c r="O252" s="67" t="n">
        <v>4.03002</v>
      </c>
      <c r="P252" s="67" t="n">
        <v>0.527592</v>
      </c>
      <c r="Q252" s="67" t="n">
        <v>1.209704</v>
      </c>
      <c r="R252" s="67" t="n">
        <v>1.809585</v>
      </c>
      <c r="S252" s="68" t="s">
        <v>200</v>
      </c>
      <c r="T252" s="68" t="s">
        <v>201</v>
      </c>
      <c r="U252" s="68" t="s">
        <v>202</v>
      </c>
      <c r="V252" s="69"/>
      <c r="W252" s="68" t="s">
        <v>203</v>
      </c>
      <c r="X252" s="68" t="n">
        <v>44.0317414529944</v>
      </c>
      <c r="Y252" s="68" t="n">
        <v>190.804212962976</v>
      </c>
      <c r="Z252" s="68" t="n">
        <v>4.33333333333333</v>
      </c>
      <c r="AA252" s="70"/>
    </row>
    <row r="253" customFormat="false" ht="14.25" hidden="false" customHeight="false" outlineLevel="0" collapsed="false">
      <c r="A253" s="56"/>
      <c r="B253" s="56"/>
      <c r="C253" s="64" t="n">
        <v>248</v>
      </c>
      <c r="D253" s="71" t="s">
        <v>741</v>
      </c>
      <c r="E253" s="71" t="s">
        <v>739</v>
      </c>
      <c r="F253" s="71" t="s">
        <v>742</v>
      </c>
      <c r="G253" s="66" t="n">
        <v>44</v>
      </c>
      <c r="H253" s="67" t="n">
        <v>0.5923</v>
      </c>
      <c r="I253" s="67" t="n">
        <v>371</v>
      </c>
      <c r="J253" s="67" t="n">
        <v>371</v>
      </c>
      <c r="K253" s="67" t="n">
        <v>371</v>
      </c>
      <c r="L253" s="68" t="s">
        <v>199</v>
      </c>
      <c r="M253" s="67" t="n">
        <v>0.291367</v>
      </c>
      <c r="N253" s="67" t="n">
        <v>0.412245</v>
      </c>
      <c r="O253" s="67" t="n">
        <v>4.03002</v>
      </c>
      <c r="P253" s="67" t="n">
        <v>0.527592</v>
      </c>
      <c r="Q253" s="67" t="n">
        <v>1.209704</v>
      </c>
      <c r="R253" s="67" t="n">
        <v>1.809585</v>
      </c>
      <c r="S253" s="68" t="s">
        <v>200</v>
      </c>
      <c r="T253" s="68" t="s">
        <v>201</v>
      </c>
      <c r="U253" s="68" t="s">
        <v>202</v>
      </c>
      <c r="V253" s="69"/>
      <c r="W253" s="68" t="s">
        <v>203</v>
      </c>
      <c r="X253" s="68" t="n">
        <v>44.0317414529944</v>
      </c>
      <c r="Y253" s="68" t="n">
        <v>190.804212962976</v>
      </c>
      <c r="Z253" s="68" t="n">
        <v>4.33333333333333</v>
      </c>
      <c r="AA253" s="70" t="s">
        <v>231</v>
      </c>
    </row>
    <row r="254" customFormat="false" ht="14.25" hidden="false" customHeight="false" outlineLevel="0" collapsed="false">
      <c r="A254" s="56"/>
      <c r="B254" s="56"/>
      <c r="C254" s="64" t="n">
        <v>249</v>
      </c>
      <c r="D254" s="71" t="s">
        <v>743</v>
      </c>
      <c r="E254" s="71" t="s">
        <v>737</v>
      </c>
      <c r="F254" s="71" t="s">
        <v>739</v>
      </c>
      <c r="G254" s="66" t="n">
        <v>44</v>
      </c>
      <c r="H254" s="67" t="n">
        <v>0.6667</v>
      </c>
      <c r="I254" s="67" t="n">
        <v>371</v>
      </c>
      <c r="J254" s="67" t="n">
        <v>371</v>
      </c>
      <c r="K254" s="67" t="n">
        <v>371</v>
      </c>
      <c r="L254" s="68" t="s">
        <v>199</v>
      </c>
      <c r="M254" s="67" t="n">
        <v>0.277924</v>
      </c>
      <c r="N254" s="67" t="n">
        <v>0.291019</v>
      </c>
      <c r="O254" s="67" t="n">
        <v>5.855192</v>
      </c>
      <c r="P254" s="67" t="n">
        <v>0.805696</v>
      </c>
      <c r="Q254" s="67" t="n">
        <v>1.188238</v>
      </c>
      <c r="R254" s="67" t="n">
        <v>2.73325</v>
      </c>
      <c r="S254" s="68" t="s">
        <v>200</v>
      </c>
      <c r="T254" s="68" t="s">
        <v>201</v>
      </c>
      <c r="U254" s="68" t="s">
        <v>202</v>
      </c>
      <c r="V254" s="69"/>
      <c r="W254" s="68" t="s">
        <v>207</v>
      </c>
      <c r="X254" s="68" t="n">
        <v>44.0317414529944</v>
      </c>
      <c r="Y254" s="68" t="n">
        <v>190.804212962976</v>
      </c>
      <c r="Z254" s="68" t="n">
        <v>4.33333333333333</v>
      </c>
      <c r="AA254" s="70"/>
    </row>
    <row r="255" customFormat="false" ht="14.25" hidden="false" customHeight="false" outlineLevel="0" collapsed="false">
      <c r="A255" s="56"/>
      <c r="B255" s="56"/>
      <c r="C255" s="64" t="n">
        <v>250</v>
      </c>
      <c r="D255" s="71" t="s">
        <v>744</v>
      </c>
      <c r="E255" s="71" t="s">
        <v>745</v>
      </c>
      <c r="F255" s="71" t="s">
        <v>746</v>
      </c>
      <c r="G255" s="66" t="n">
        <v>44</v>
      </c>
      <c r="H255" s="67" t="n">
        <v>0.01</v>
      </c>
      <c r="I255" s="67" t="n">
        <v>371</v>
      </c>
      <c r="J255" s="67" t="n">
        <v>371</v>
      </c>
      <c r="K255" s="67" t="n">
        <v>371</v>
      </c>
      <c r="L255" s="68" t="s">
        <v>199</v>
      </c>
      <c r="M255" s="67" t="n">
        <v>0.291367</v>
      </c>
      <c r="N255" s="67" t="n">
        <v>0.412245</v>
      </c>
      <c r="O255" s="67" t="n">
        <v>4.03002</v>
      </c>
      <c r="P255" s="67" t="n">
        <v>0.527592</v>
      </c>
      <c r="Q255" s="67" t="n">
        <v>1.209704</v>
      </c>
      <c r="R255" s="67" t="n">
        <v>1.809585</v>
      </c>
      <c r="S255" s="68" t="s">
        <v>200</v>
      </c>
      <c r="T255" s="68" t="s">
        <v>201</v>
      </c>
      <c r="U255" s="68" t="s">
        <v>202</v>
      </c>
      <c r="V255" s="69"/>
      <c r="W255" s="68" t="s">
        <v>203</v>
      </c>
      <c r="X255" s="68" t="n">
        <v>5.33565476189272</v>
      </c>
      <c r="Y255" s="68" t="n">
        <v>49.799444444332</v>
      </c>
      <c r="Z255" s="68" t="n">
        <v>9.33333333333333</v>
      </c>
      <c r="AA255" s="70"/>
    </row>
    <row r="256" customFormat="false" ht="14.25" hidden="false" customHeight="false" outlineLevel="0" collapsed="false">
      <c r="A256" s="56"/>
      <c r="B256" s="56"/>
      <c r="C256" s="64" t="n">
        <v>251</v>
      </c>
      <c r="D256" s="71" t="s">
        <v>747</v>
      </c>
      <c r="E256" s="71" t="s">
        <v>748</v>
      </c>
      <c r="F256" s="71" t="s">
        <v>749</v>
      </c>
      <c r="G256" s="66" t="n">
        <v>44</v>
      </c>
      <c r="H256" s="67" t="n">
        <v>0.6952</v>
      </c>
      <c r="I256" s="67" t="n">
        <v>260</v>
      </c>
      <c r="J256" s="67" t="n">
        <v>260</v>
      </c>
      <c r="K256" s="67" t="n">
        <v>260</v>
      </c>
      <c r="L256" s="68" t="s">
        <v>199</v>
      </c>
      <c r="M256" s="67" t="n">
        <v>0.583051</v>
      </c>
      <c r="N256" s="67" t="n">
        <v>0.438636</v>
      </c>
      <c r="O256" s="67" t="n">
        <v>3.776983</v>
      </c>
      <c r="P256" s="67" t="n">
        <v>0.937817</v>
      </c>
      <c r="Q256" s="67" t="n">
        <v>1.348523</v>
      </c>
      <c r="R256" s="67" t="n">
        <v>1.741788</v>
      </c>
      <c r="S256" s="68" t="s">
        <v>200</v>
      </c>
      <c r="T256" s="68" t="s">
        <v>201</v>
      </c>
      <c r="U256" s="68" t="s">
        <v>202</v>
      </c>
      <c r="V256" s="69"/>
      <c r="W256" s="68" t="s">
        <v>214</v>
      </c>
      <c r="X256" s="68" t="n">
        <v>5.33565476189272</v>
      </c>
      <c r="Y256" s="68" t="n">
        <v>49.799444444332</v>
      </c>
      <c r="Z256" s="68" t="n">
        <v>9.33333333333333</v>
      </c>
      <c r="AA256" s="70"/>
    </row>
    <row r="257" customFormat="false" ht="14.25" hidden="false" customHeight="false" outlineLevel="0" collapsed="false">
      <c r="A257" s="56"/>
      <c r="B257" s="56"/>
      <c r="C257" s="64" t="n">
        <v>252</v>
      </c>
      <c r="D257" s="71" t="s">
        <v>750</v>
      </c>
      <c r="E257" s="71" t="s">
        <v>751</v>
      </c>
      <c r="F257" s="71" t="s">
        <v>752</v>
      </c>
      <c r="G257" s="66" t="n">
        <v>44</v>
      </c>
      <c r="H257" s="67" t="n">
        <v>0.191</v>
      </c>
      <c r="I257" s="67" t="n">
        <v>371</v>
      </c>
      <c r="J257" s="67" t="n">
        <v>371</v>
      </c>
      <c r="K257" s="67" t="n">
        <v>371</v>
      </c>
      <c r="L257" s="68" t="s">
        <v>199</v>
      </c>
      <c r="M257" s="67" t="n">
        <v>0.291367</v>
      </c>
      <c r="N257" s="67" t="n">
        <v>0.412245</v>
      </c>
      <c r="O257" s="67" t="n">
        <v>4.03002</v>
      </c>
      <c r="P257" s="67" t="n">
        <v>0.527592</v>
      </c>
      <c r="Q257" s="67" t="n">
        <v>1.209704</v>
      </c>
      <c r="R257" s="67" t="n">
        <v>1.809585</v>
      </c>
      <c r="S257" s="68" t="s">
        <v>200</v>
      </c>
      <c r="T257" s="68" t="s">
        <v>201</v>
      </c>
      <c r="U257" s="68" t="s">
        <v>202</v>
      </c>
      <c r="V257" s="69"/>
      <c r="W257" s="68" t="s">
        <v>203</v>
      </c>
      <c r="X257" s="68" t="n">
        <v>5.33565476189272</v>
      </c>
      <c r="Y257" s="68" t="n">
        <v>49.799444444332</v>
      </c>
      <c r="Z257" s="68" t="n">
        <v>9.33333333333333</v>
      </c>
      <c r="AA257" s="70"/>
    </row>
    <row r="258" customFormat="false" ht="14.25" hidden="false" customHeight="false" outlineLevel="0" collapsed="false">
      <c r="A258" s="56"/>
      <c r="B258" s="56"/>
      <c r="C258" s="64" t="n">
        <v>253</v>
      </c>
      <c r="D258" s="71" t="s">
        <v>753</v>
      </c>
      <c r="E258" s="71" t="s">
        <v>752</v>
      </c>
      <c r="F258" s="71" t="s">
        <v>754</v>
      </c>
      <c r="G258" s="66" t="n">
        <v>44</v>
      </c>
      <c r="H258" s="67" t="n">
        <v>0.2631</v>
      </c>
      <c r="I258" s="67" t="n">
        <v>371</v>
      </c>
      <c r="J258" s="67" t="n">
        <v>371</v>
      </c>
      <c r="K258" s="67" t="n">
        <v>371</v>
      </c>
      <c r="L258" s="68" t="s">
        <v>199</v>
      </c>
      <c r="M258" s="67" t="n">
        <v>0.291367</v>
      </c>
      <c r="N258" s="67" t="n">
        <v>0.412245</v>
      </c>
      <c r="O258" s="67" t="n">
        <v>4.03002</v>
      </c>
      <c r="P258" s="67" t="n">
        <v>0.527592</v>
      </c>
      <c r="Q258" s="67" t="n">
        <v>1.209704</v>
      </c>
      <c r="R258" s="67" t="n">
        <v>1.809585</v>
      </c>
      <c r="S258" s="68" t="s">
        <v>200</v>
      </c>
      <c r="T258" s="68" t="s">
        <v>201</v>
      </c>
      <c r="U258" s="68" t="s">
        <v>202</v>
      </c>
      <c r="V258" s="69"/>
      <c r="W258" s="68" t="s">
        <v>203</v>
      </c>
      <c r="X258" s="68" t="n">
        <v>5.33565476189272</v>
      </c>
      <c r="Y258" s="68" t="n">
        <v>49.799444444332</v>
      </c>
      <c r="Z258" s="68" t="n">
        <v>9.33333333333333</v>
      </c>
      <c r="AA258" s="70" t="s">
        <v>231</v>
      </c>
    </row>
    <row r="259" customFormat="false" ht="14.25" hidden="false" customHeight="false" outlineLevel="0" collapsed="false">
      <c r="A259" s="56"/>
      <c r="B259" s="56"/>
      <c r="C259" s="64" t="n">
        <v>254</v>
      </c>
      <c r="D259" s="71" t="s">
        <v>755</v>
      </c>
      <c r="E259" s="71" t="s">
        <v>756</v>
      </c>
      <c r="F259" s="71" t="s">
        <v>751</v>
      </c>
      <c r="G259" s="66" t="n">
        <v>44</v>
      </c>
      <c r="H259" s="67" t="n">
        <v>0.2273</v>
      </c>
      <c r="I259" s="67" t="n">
        <v>371</v>
      </c>
      <c r="J259" s="67" t="n">
        <v>371</v>
      </c>
      <c r="K259" s="67" t="n">
        <v>371</v>
      </c>
      <c r="L259" s="68" t="s">
        <v>199</v>
      </c>
      <c r="M259" s="67" t="n">
        <v>0.291367</v>
      </c>
      <c r="N259" s="67" t="n">
        <v>0.412245</v>
      </c>
      <c r="O259" s="67" t="n">
        <v>4.03002</v>
      </c>
      <c r="P259" s="67" t="n">
        <v>0.527592</v>
      </c>
      <c r="Q259" s="67" t="n">
        <v>1.209704</v>
      </c>
      <c r="R259" s="67" t="n">
        <v>1.809585</v>
      </c>
      <c r="S259" s="68" t="s">
        <v>200</v>
      </c>
      <c r="T259" s="68" t="s">
        <v>201</v>
      </c>
      <c r="U259" s="68" t="s">
        <v>202</v>
      </c>
      <c r="V259" s="69"/>
      <c r="W259" s="68" t="s">
        <v>203</v>
      </c>
      <c r="X259" s="68" t="n">
        <v>5.33565476189272</v>
      </c>
      <c r="Y259" s="68" t="n">
        <v>49.799444444332</v>
      </c>
      <c r="Z259" s="68" t="n">
        <v>9.33333333333333</v>
      </c>
      <c r="AA259" s="70"/>
    </row>
    <row r="260" customFormat="false" ht="14.25" hidden="false" customHeight="false" outlineLevel="0" collapsed="false">
      <c r="A260" s="56"/>
      <c r="B260" s="56"/>
      <c r="C260" s="64" t="n">
        <v>255</v>
      </c>
      <c r="D260" s="71" t="s">
        <v>757</v>
      </c>
      <c r="E260" s="71" t="s">
        <v>758</v>
      </c>
      <c r="F260" s="71" t="s">
        <v>752</v>
      </c>
      <c r="G260" s="66" t="n">
        <v>44</v>
      </c>
      <c r="H260" s="67" t="n">
        <v>0.1783</v>
      </c>
      <c r="I260" s="67" t="n">
        <v>260</v>
      </c>
      <c r="J260" s="67" t="n">
        <v>260</v>
      </c>
      <c r="K260" s="67" t="n">
        <v>260</v>
      </c>
      <c r="L260" s="68" t="s">
        <v>199</v>
      </c>
      <c r="M260" s="67" t="n">
        <v>0.583051</v>
      </c>
      <c r="N260" s="67" t="n">
        <v>0.438636</v>
      </c>
      <c r="O260" s="67" t="n">
        <v>3.776983</v>
      </c>
      <c r="P260" s="67" t="n">
        <v>0.937817</v>
      </c>
      <c r="Q260" s="67" t="n">
        <v>1.348523</v>
      </c>
      <c r="R260" s="67" t="n">
        <v>1.741788</v>
      </c>
      <c r="S260" s="68" t="s">
        <v>200</v>
      </c>
      <c r="T260" s="68" t="s">
        <v>201</v>
      </c>
      <c r="U260" s="68" t="s">
        <v>202</v>
      </c>
      <c r="V260" s="69"/>
      <c r="W260" s="68" t="s">
        <v>214</v>
      </c>
      <c r="X260" s="68" t="n">
        <v>5.33565476189272</v>
      </c>
      <c r="Y260" s="68" t="n">
        <v>49.799444444332</v>
      </c>
      <c r="Z260" s="68" t="n">
        <v>9.33333333333333</v>
      </c>
      <c r="AA260" s="70"/>
    </row>
    <row r="261" customFormat="false" ht="14.25" hidden="false" customHeight="false" outlineLevel="0" collapsed="false">
      <c r="A261" s="56"/>
      <c r="B261" s="56"/>
      <c r="C261" s="64" t="n">
        <v>256</v>
      </c>
      <c r="D261" s="71" t="s">
        <v>759</v>
      </c>
      <c r="E261" s="71" t="s">
        <v>749</v>
      </c>
      <c r="F261" s="71" t="s">
        <v>751</v>
      </c>
      <c r="G261" s="66" t="n">
        <v>44</v>
      </c>
      <c r="H261" s="67" t="n">
        <v>1.572</v>
      </c>
      <c r="I261" s="67" t="n">
        <v>371</v>
      </c>
      <c r="J261" s="67" t="n">
        <v>371</v>
      </c>
      <c r="K261" s="67" t="n">
        <v>371</v>
      </c>
      <c r="L261" s="68" t="s">
        <v>199</v>
      </c>
      <c r="M261" s="67" t="n">
        <v>0.291367</v>
      </c>
      <c r="N261" s="67" t="n">
        <v>0.412245</v>
      </c>
      <c r="O261" s="67" t="n">
        <v>4.03002</v>
      </c>
      <c r="P261" s="67" t="n">
        <v>0.527592</v>
      </c>
      <c r="Q261" s="67" t="n">
        <v>1.209704</v>
      </c>
      <c r="R261" s="67" t="n">
        <v>1.809585</v>
      </c>
      <c r="S261" s="68" t="s">
        <v>200</v>
      </c>
      <c r="T261" s="68" t="s">
        <v>201</v>
      </c>
      <c r="U261" s="68" t="s">
        <v>202</v>
      </c>
      <c r="V261" s="69"/>
      <c r="W261" s="68" t="s">
        <v>203</v>
      </c>
      <c r="X261" s="68" t="n">
        <v>5.33565476189272</v>
      </c>
      <c r="Y261" s="68" t="n">
        <v>49.799444444332</v>
      </c>
      <c r="Z261" s="68" t="n">
        <v>9.33333333333333</v>
      </c>
      <c r="AA261" s="70"/>
    </row>
    <row r="262" customFormat="false" ht="14.25" hidden="false" customHeight="false" outlineLevel="0" collapsed="false">
      <c r="A262" s="56"/>
      <c r="B262" s="56"/>
      <c r="C262" s="64" t="n">
        <v>257</v>
      </c>
      <c r="D262" s="71" t="s">
        <v>760</v>
      </c>
      <c r="E262" s="71" t="s">
        <v>746</v>
      </c>
      <c r="F262" s="71" t="s">
        <v>761</v>
      </c>
      <c r="G262" s="66" t="n">
        <v>44</v>
      </c>
      <c r="H262" s="67" t="n">
        <v>0.2823</v>
      </c>
      <c r="I262" s="67" t="n">
        <v>371</v>
      </c>
      <c r="J262" s="67" t="n">
        <v>371</v>
      </c>
      <c r="K262" s="67" t="n">
        <v>371</v>
      </c>
      <c r="L262" s="68" t="s">
        <v>199</v>
      </c>
      <c r="M262" s="67" t="n">
        <v>0.291367</v>
      </c>
      <c r="N262" s="67" t="n">
        <v>0.412245</v>
      </c>
      <c r="O262" s="67" t="n">
        <v>4.03002</v>
      </c>
      <c r="P262" s="67" t="n">
        <v>0.527592</v>
      </c>
      <c r="Q262" s="67" t="n">
        <v>1.209704</v>
      </c>
      <c r="R262" s="67" t="n">
        <v>1.809585</v>
      </c>
      <c r="S262" s="68" t="s">
        <v>200</v>
      </c>
      <c r="T262" s="68" t="s">
        <v>201</v>
      </c>
      <c r="U262" s="68" t="s">
        <v>202</v>
      </c>
      <c r="V262" s="69"/>
      <c r="W262" s="68" t="s">
        <v>203</v>
      </c>
      <c r="X262" s="68" t="n">
        <v>5.33565476189272</v>
      </c>
      <c r="Y262" s="68" t="n">
        <v>49.799444444332</v>
      </c>
      <c r="Z262" s="68" t="n">
        <v>9.33333333333333</v>
      </c>
      <c r="AA262" s="70"/>
    </row>
    <row r="263" customFormat="false" ht="14.25" hidden="false" customHeight="false" outlineLevel="0" collapsed="false">
      <c r="A263" s="56"/>
      <c r="B263" s="56"/>
      <c r="C263" s="64" t="n">
        <v>258</v>
      </c>
      <c r="D263" s="71" t="s">
        <v>762</v>
      </c>
      <c r="E263" s="71" t="s">
        <v>761</v>
      </c>
      <c r="F263" s="71" t="s">
        <v>749</v>
      </c>
      <c r="G263" s="66" t="n">
        <v>44</v>
      </c>
      <c r="H263" s="67" t="n">
        <v>0.2177</v>
      </c>
      <c r="I263" s="67" t="n">
        <v>371</v>
      </c>
      <c r="J263" s="67" t="n">
        <v>371</v>
      </c>
      <c r="K263" s="67" t="n">
        <v>371</v>
      </c>
      <c r="L263" s="68" t="s">
        <v>199</v>
      </c>
      <c r="M263" s="67" t="n">
        <v>0.291367</v>
      </c>
      <c r="N263" s="67" t="n">
        <v>0.412245</v>
      </c>
      <c r="O263" s="67" t="n">
        <v>4.03002</v>
      </c>
      <c r="P263" s="67" t="n">
        <v>0.527592</v>
      </c>
      <c r="Q263" s="67" t="n">
        <v>1.209704</v>
      </c>
      <c r="R263" s="67" t="n">
        <v>1.809585</v>
      </c>
      <c r="S263" s="68" t="s">
        <v>200</v>
      </c>
      <c r="T263" s="68" t="s">
        <v>201</v>
      </c>
      <c r="U263" s="68" t="s">
        <v>202</v>
      </c>
      <c r="V263" s="69"/>
      <c r="W263" s="68" t="s">
        <v>203</v>
      </c>
      <c r="X263" s="68" t="n">
        <v>5.33565476189272</v>
      </c>
      <c r="Y263" s="68" t="n">
        <v>49.799444444332</v>
      </c>
      <c r="Z263" s="68" t="n">
        <v>9.33333333333333</v>
      </c>
      <c r="AA263" s="70"/>
    </row>
    <row r="264" customFormat="false" ht="14.25" hidden="false" customHeight="false" outlineLevel="0" collapsed="false">
      <c r="A264" s="56"/>
      <c r="B264" s="56"/>
      <c r="C264" s="64" t="n">
        <v>259</v>
      </c>
      <c r="D264" s="71" t="s">
        <v>763</v>
      </c>
      <c r="E264" s="71" t="s">
        <v>764</v>
      </c>
      <c r="F264" s="71" t="s">
        <v>765</v>
      </c>
      <c r="G264" s="66" t="n">
        <v>110</v>
      </c>
      <c r="H264" s="67" t="n">
        <v>22</v>
      </c>
      <c r="I264" s="67" t="n">
        <v>500</v>
      </c>
      <c r="J264" s="67" t="n">
        <v>670</v>
      </c>
      <c r="K264" s="67" t="n">
        <v>500</v>
      </c>
      <c r="L264" s="68" t="s">
        <v>766</v>
      </c>
      <c r="M264" s="67" t="n">
        <v>0.1287</v>
      </c>
      <c r="N264" s="67" t="n">
        <v>0.4687</v>
      </c>
      <c r="O264" s="67" t="n">
        <v>3.4964</v>
      </c>
      <c r="P264" s="67" t="n">
        <v>0.4089</v>
      </c>
      <c r="Q264" s="67" t="n">
        <v>1.5803</v>
      </c>
      <c r="R264" s="67" t="n">
        <v>1.7386</v>
      </c>
      <c r="S264" s="68" t="s">
        <v>767</v>
      </c>
      <c r="T264" s="68" t="s">
        <v>201</v>
      </c>
      <c r="U264" s="68" t="s">
        <v>202</v>
      </c>
      <c r="V264" s="69"/>
      <c r="W264" s="68" t="n">
        <v>477</v>
      </c>
      <c r="X264" s="68" t="n">
        <v>3.59729729731397</v>
      </c>
      <c r="Y264" s="68" t="n">
        <v>22.1833333334362</v>
      </c>
      <c r="Z264" s="68" t="n">
        <v>6.16666666666667</v>
      </c>
      <c r="AA264" s="70" t="s">
        <v>768</v>
      </c>
      <c r="AH264" s="75"/>
    </row>
    <row r="265" customFormat="false" ht="14.25" hidden="false" customHeight="false" outlineLevel="0" collapsed="false">
      <c r="A265" s="56"/>
      <c r="B265" s="56"/>
      <c r="C265" s="64" t="n">
        <v>260</v>
      </c>
      <c r="D265" s="71" t="s">
        <v>769</v>
      </c>
      <c r="E265" s="71" t="s">
        <v>764</v>
      </c>
      <c r="F265" s="71" t="s">
        <v>770</v>
      </c>
      <c r="G265" s="66" t="n">
        <v>110</v>
      </c>
      <c r="H265" s="67" t="n">
        <v>15.46</v>
      </c>
      <c r="I265" s="67" t="n">
        <v>615</v>
      </c>
      <c r="J265" s="67" t="n">
        <v>762</v>
      </c>
      <c r="K265" s="67" t="n">
        <v>762</v>
      </c>
      <c r="L265" s="68" t="s">
        <v>199</v>
      </c>
      <c r="M265" s="67" t="n">
        <v>0.1287</v>
      </c>
      <c r="N265" s="67" t="n">
        <v>0.4687</v>
      </c>
      <c r="O265" s="67" t="n">
        <v>3.4964</v>
      </c>
      <c r="P265" s="67" t="n">
        <v>0.4478</v>
      </c>
      <c r="Q265" s="67" t="n">
        <v>1.4588</v>
      </c>
      <c r="R265" s="67" t="n">
        <v>1.9074</v>
      </c>
      <c r="S265" s="68" t="s">
        <v>767</v>
      </c>
      <c r="T265" s="68" t="s">
        <v>201</v>
      </c>
      <c r="U265" s="68" t="s">
        <v>771</v>
      </c>
      <c r="V265" s="69" t="n">
        <v>45260</v>
      </c>
      <c r="W265" s="68" t="n">
        <v>477</v>
      </c>
      <c r="X265" s="68"/>
      <c r="Y265" s="68"/>
      <c r="Z265" s="68"/>
      <c r="AA265" s="70"/>
    </row>
    <row r="266" customFormat="false" ht="14.25" hidden="false" customHeight="false" outlineLevel="0" collapsed="false">
      <c r="A266" s="56"/>
      <c r="B266" s="56"/>
      <c r="C266" s="64" t="n">
        <v>261</v>
      </c>
      <c r="D266" s="71" t="s">
        <v>772</v>
      </c>
      <c r="E266" s="71" t="s">
        <v>770</v>
      </c>
      <c r="F266" s="71" t="s">
        <v>765</v>
      </c>
      <c r="G266" s="66" t="n">
        <v>110</v>
      </c>
      <c r="H266" s="67" t="n">
        <v>17.3</v>
      </c>
      <c r="I266" s="67" t="n">
        <v>615</v>
      </c>
      <c r="J266" s="67" t="n">
        <v>762</v>
      </c>
      <c r="K266" s="67" t="n">
        <v>762</v>
      </c>
      <c r="L266" s="68" t="s">
        <v>199</v>
      </c>
      <c r="M266" s="67" t="n">
        <v>0.1287</v>
      </c>
      <c r="N266" s="67" t="n">
        <v>0.4687</v>
      </c>
      <c r="O266" s="67" t="n">
        <v>3.4964</v>
      </c>
      <c r="P266" s="67" t="n">
        <v>0.4051</v>
      </c>
      <c r="Q266" s="67" t="n">
        <v>1.4575</v>
      </c>
      <c r="R266" s="67" t="n">
        <v>1.8892</v>
      </c>
      <c r="S266" s="68" t="s">
        <v>767</v>
      </c>
      <c r="T266" s="68" t="s">
        <v>201</v>
      </c>
      <c r="U266" s="68" t="s">
        <v>771</v>
      </c>
      <c r="V266" s="69" t="n">
        <v>45260</v>
      </c>
      <c r="W266" s="68" t="n">
        <v>477</v>
      </c>
      <c r="X266" s="68"/>
      <c r="Y266" s="68"/>
      <c r="Z266" s="68"/>
      <c r="AA266" s="70"/>
    </row>
    <row r="267" customFormat="false" ht="14.25" hidden="false" customHeight="false" outlineLevel="0" collapsed="false">
      <c r="B267" s="56"/>
      <c r="C267" s="64" t="n">
        <v>262</v>
      </c>
      <c r="D267" s="71" t="s">
        <v>773</v>
      </c>
      <c r="E267" s="71" t="s">
        <v>764</v>
      </c>
      <c r="F267" s="71" t="s">
        <v>774</v>
      </c>
      <c r="G267" s="66" t="n">
        <v>110</v>
      </c>
      <c r="H267" s="67" t="n">
        <v>67.94</v>
      </c>
      <c r="I267" s="67" t="n">
        <v>467</v>
      </c>
      <c r="J267" s="67" t="n">
        <v>661</v>
      </c>
      <c r="K267" s="67" t="n">
        <v>607</v>
      </c>
      <c r="L267" s="68" t="s">
        <v>199</v>
      </c>
      <c r="M267" s="67" t="n">
        <v>0.1287</v>
      </c>
      <c r="N267" s="67" t="n">
        <v>0.4687</v>
      </c>
      <c r="O267" s="67" t="n">
        <v>3.4964</v>
      </c>
      <c r="P267" s="67" t="n">
        <v>0.4089</v>
      </c>
      <c r="Q267" s="67" t="n">
        <v>1.5803</v>
      </c>
      <c r="R267" s="67" t="n">
        <v>1.7386</v>
      </c>
      <c r="S267" s="68" t="s">
        <v>767</v>
      </c>
      <c r="T267" s="68" t="s">
        <v>201</v>
      </c>
      <c r="U267" s="68" t="s">
        <v>202</v>
      </c>
      <c r="V267" s="69"/>
      <c r="W267" s="68" t="n">
        <v>477</v>
      </c>
      <c r="X267" s="68" t="n">
        <v>12.2332194899886</v>
      </c>
      <c r="Y267" s="68" t="n">
        <v>124.371064814884</v>
      </c>
      <c r="Z267" s="68" t="n">
        <v>10.1666666666667</v>
      </c>
      <c r="AA267" s="70" t="s">
        <v>775</v>
      </c>
    </row>
    <row r="268" customFormat="false" ht="14.25" hidden="false" customHeight="false" outlineLevel="0" collapsed="false">
      <c r="A268" s="56"/>
      <c r="B268" s="56"/>
      <c r="C268" s="64" t="n">
        <v>263</v>
      </c>
      <c r="D268" s="71" t="s">
        <v>776</v>
      </c>
      <c r="E268" s="71" t="s">
        <v>764</v>
      </c>
      <c r="F268" s="71" t="s">
        <v>777</v>
      </c>
      <c r="G268" s="66" t="n">
        <v>44</v>
      </c>
      <c r="H268" s="67" t="n">
        <v>14.5</v>
      </c>
      <c r="I268" s="67" t="n">
        <v>393</v>
      </c>
      <c r="J268" s="67" t="n">
        <v>393</v>
      </c>
      <c r="K268" s="67" t="n">
        <v>393</v>
      </c>
      <c r="L268" s="68" t="s">
        <v>199</v>
      </c>
      <c r="M268" s="67" t="n">
        <v>0.2119043</v>
      </c>
      <c r="N268" s="67" t="n">
        <v>0.4065866</v>
      </c>
      <c r="O268" s="67" t="n">
        <v>4.093796</v>
      </c>
      <c r="P268" s="67" t="n">
        <v>0.5555478</v>
      </c>
      <c r="Q268" s="67" t="n">
        <v>1.32258</v>
      </c>
      <c r="R268" s="67" t="n">
        <v>1.882314</v>
      </c>
      <c r="S268" s="68" t="s">
        <v>200</v>
      </c>
      <c r="T268" s="68" t="s">
        <v>201</v>
      </c>
      <c r="U268" s="68" t="s">
        <v>202</v>
      </c>
      <c r="V268" s="69"/>
      <c r="W268" s="68" t="s">
        <v>778</v>
      </c>
      <c r="X268" s="68" t="n">
        <v>2.87786431291095</v>
      </c>
      <c r="Y268" s="68" t="n">
        <v>153.965740740736</v>
      </c>
      <c r="Z268" s="68" t="n">
        <v>53.5</v>
      </c>
      <c r="AA268" s="70"/>
    </row>
    <row r="269" customFormat="false" ht="14.25" hidden="false" customHeight="false" outlineLevel="0" collapsed="false">
      <c r="A269" s="56"/>
      <c r="B269" s="56"/>
      <c r="C269" s="64" t="n">
        <v>264</v>
      </c>
      <c r="D269" s="71" t="s">
        <v>779</v>
      </c>
      <c r="E269" s="71" t="s">
        <v>780</v>
      </c>
      <c r="F269" s="71" t="s">
        <v>781</v>
      </c>
      <c r="G269" s="66" t="n">
        <v>44</v>
      </c>
      <c r="H269" s="67" t="n">
        <v>26.89</v>
      </c>
      <c r="I269" s="67" t="n">
        <v>310</v>
      </c>
      <c r="J269" s="67" t="n">
        <v>310</v>
      </c>
      <c r="K269" s="67" t="n">
        <v>310</v>
      </c>
      <c r="L269" s="68" t="s">
        <v>199</v>
      </c>
      <c r="M269" s="67" t="n">
        <v>0.2617314</v>
      </c>
      <c r="N269" s="67" t="n">
        <v>0.4263931</v>
      </c>
      <c r="O269" s="67" t="n">
        <v>4.032902</v>
      </c>
      <c r="P269" s="67" t="n">
        <v>0.6053749</v>
      </c>
      <c r="Q269" s="67" t="n">
        <v>1.342387</v>
      </c>
      <c r="R269" s="67" t="n">
        <v>1.869341</v>
      </c>
      <c r="S269" s="68" t="s">
        <v>200</v>
      </c>
      <c r="T269" s="68" t="s">
        <v>201</v>
      </c>
      <c r="U269" s="68" t="s">
        <v>202</v>
      </c>
      <c r="V269" s="69"/>
      <c r="W269" s="68" t="s">
        <v>782</v>
      </c>
      <c r="X269" s="68" t="n">
        <v>2.00908328217772</v>
      </c>
      <c r="Y269" s="68" t="n">
        <v>181.822037037084</v>
      </c>
      <c r="Z269" s="68" t="n">
        <v>90.5</v>
      </c>
      <c r="AA269" s="70"/>
    </row>
    <row r="270" customFormat="false" ht="14.25" hidden="false" customHeight="false" outlineLevel="0" collapsed="false">
      <c r="A270" s="56"/>
      <c r="B270" s="56"/>
      <c r="C270" s="64" t="n">
        <v>265</v>
      </c>
      <c r="D270" s="71" t="s">
        <v>783</v>
      </c>
      <c r="E270" s="71" t="s">
        <v>780</v>
      </c>
      <c r="F270" s="71" t="s">
        <v>784</v>
      </c>
      <c r="G270" s="66" t="n">
        <v>44</v>
      </c>
      <c r="H270" s="67" t="n">
        <v>3.57</v>
      </c>
      <c r="I270" s="67" t="n">
        <v>393</v>
      </c>
      <c r="J270" s="67" t="n">
        <v>393</v>
      </c>
      <c r="K270" s="67" t="n">
        <v>393</v>
      </c>
      <c r="L270" s="68" t="s">
        <v>199</v>
      </c>
      <c r="M270" s="67" t="n">
        <v>0.2119043</v>
      </c>
      <c r="N270" s="67" t="n">
        <v>0.4065866</v>
      </c>
      <c r="O270" s="67" t="n">
        <v>4.093796</v>
      </c>
      <c r="P270" s="67" t="n">
        <v>0.5555478</v>
      </c>
      <c r="Q270" s="67" t="n">
        <v>1.32258</v>
      </c>
      <c r="R270" s="67" t="n">
        <v>1.882314</v>
      </c>
      <c r="S270" s="68" t="s">
        <v>200</v>
      </c>
      <c r="T270" s="68" t="s">
        <v>201</v>
      </c>
      <c r="U270" s="68" t="s">
        <v>202</v>
      </c>
      <c r="V270" s="69"/>
      <c r="W270" s="68" t="s">
        <v>778</v>
      </c>
      <c r="X270" s="68" t="n">
        <v>4.01424145300385</v>
      </c>
      <c r="Y270" s="68" t="n">
        <v>104.3702777781</v>
      </c>
      <c r="Z270" s="68" t="n">
        <v>26</v>
      </c>
      <c r="AA270" s="70"/>
    </row>
    <row r="271" customFormat="false" ht="14.25" hidden="false" customHeight="false" outlineLevel="0" collapsed="false">
      <c r="A271" s="56"/>
      <c r="B271" s="56"/>
      <c r="C271" s="64" t="n">
        <v>266</v>
      </c>
      <c r="D271" s="71" t="s">
        <v>785</v>
      </c>
      <c r="E271" s="71" t="s">
        <v>784</v>
      </c>
      <c r="F271" s="71" t="s">
        <v>786</v>
      </c>
      <c r="G271" s="66" t="n">
        <v>44</v>
      </c>
      <c r="H271" s="67" t="n">
        <v>4.52</v>
      </c>
      <c r="I271" s="67" t="n">
        <v>393</v>
      </c>
      <c r="J271" s="67" t="n">
        <v>393</v>
      </c>
      <c r="K271" s="67" t="n">
        <v>393</v>
      </c>
      <c r="L271" s="68" t="s">
        <v>199</v>
      </c>
      <c r="M271" s="67" t="n">
        <v>0.2119043</v>
      </c>
      <c r="N271" s="67" t="n">
        <v>0.4065866</v>
      </c>
      <c r="O271" s="67" t="n">
        <v>4.093796</v>
      </c>
      <c r="P271" s="67" t="n">
        <v>0.5555478</v>
      </c>
      <c r="Q271" s="67" t="n">
        <v>1.32258</v>
      </c>
      <c r="R271" s="67" t="n">
        <v>1.882314</v>
      </c>
      <c r="S271" s="68" t="s">
        <v>200</v>
      </c>
      <c r="T271" s="68" t="s">
        <v>201</v>
      </c>
      <c r="U271" s="68" t="s">
        <v>202</v>
      </c>
      <c r="V271" s="69"/>
      <c r="W271" s="68" t="s">
        <v>778</v>
      </c>
      <c r="X271" s="68" t="n">
        <v>2.47318952802241</v>
      </c>
      <c r="Y271" s="68" t="n">
        <v>93.1568055555108</v>
      </c>
      <c r="Z271" s="68" t="n">
        <v>37.6666666666667</v>
      </c>
      <c r="AA271" s="70" t="s">
        <v>787</v>
      </c>
    </row>
    <row r="272" customFormat="false" ht="14.25" hidden="false" customHeight="false" outlineLevel="0" collapsed="false">
      <c r="A272" s="56"/>
      <c r="B272" s="56"/>
      <c r="C272" s="64" t="n">
        <v>267</v>
      </c>
      <c r="D272" s="71" t="s">
        <v>788</v>
      </c>
      <c r="E272" s="71" t="s">
        <v>786</v>
      </c>
      <c r="F272" s="71" t="s">
        <v>765</v>
      </c>
      <c r="G272" s="66" t="n">
        <v>44</v>
      </c>
      <c r="H272" s="67" t="n">
        <v>13.66</v>
      </c>
      <c r="I272" s="67" t="n">
        <v>393</v>
      </c>
      <c r="J272" s="67" t="n">
        <v>393</v>
      </c>
      <c r="K272" s="67" t="n">
        <v>393</v>
      </c>
      <c r="L272" s="68" t="s">
        <v>199</v>
      </c>
      <c r="M272" s="67" t="n">
        <v>0.2119043</v>
      </c>
      <c r="N272" s="67" t="n">
        <v>0.4065866</v>
      </c>
      <c r="O272" s="67" t="n">
        <v>4.093796</v>
      </c>
      <c r="P272" s="67" t="n">
        <v>0.5555478</v>
      </c>
      <c r="Q272" s="67" t="n">
        <v>1.32258</v>
      </c>
      <c r="R272" s="67" t="n">
        <v>1.882314</v>
      </c>
      <c r="S272" s="68" t="s">
        <v>200</v>
      </c>
      <c r="T272" s="68" t="s">
        <v>201</v>
      </c>
      <c r="U272" s="68" t="s">
        <v>202</v>
      </c>
      <c r="V272" s="69"/>
      <c r="W272" s="68" t="s">
        <v>778</v>
      </c>
      <c r="X272" s="68" t="n">
        <v>2.47318952802241</v>
      </c>
      <c r="Y272" s="68" t="n">
        <v>93.1568055555108</v>
      </c>
      <c r="Z272" s="68" t="n">
        <v>37.6666666666667</v>
      </c>
      <c r="AA272" s="70" t="s">
        <v>789</v>
      </c>
    </row>
    <row r="273" customFormat="false" ht="14.25" hidden="false" customHeight="false" outlineLevel="0" collapsed="false">
      <c r="A273" s="56"/>
      <c r="B273" s="56"/>
      <c r="C273" s="64" t="n">
        <v>268</v>
      </c>
      <c r="D273" s="71" t="s">
        <v>790</v>
      </c>
      <c r="E273" s="71" t="s">
        <v>786</v>
      </c>
      <c r="F273" s="71" t="s">
        <v>770</v>
      </c>
      <c r="G273" s="66" t="n">
        <v>44</v>
      </c>
      <c r="H273" s="67" t="n">
        <v>10</v>
      </c>
      <c r="I273" s="67" t="n">
        <v>310</v>
      </c>
      <c r="J273" s="67" t="n">
        <v>310</v>
      </c>
      <c r="K273" s="67" t="n">
        <v>310</v>
      </c>
      <c r="L273" s="68" t="s">
        <v>199</v>
      </c>
      <c r="M273" s="67" t="n">
        <v>0.2617314</v>
      </c>
      <c r="N273" s="67" t="n">
        <v>0.4263931</v>
      </c>
      <c r="O273" s="67" t="n">
        <v>4.032902</v>
      </c>
      <c r="P273" s="67" t="n">
        <v>0.6053749</v>
      </c>
      <c r="Q273" s="67" t="n">
        <v>1.342387</v>
      </c>
      <c r="R273" s="67" t="n">
        <v>1.869341</v>
      </c>
      <c r="S273" s="68" t="s">
        <v>200</v>
      </c>
      <c r="T273" s="68" t="s">
        <v>201</v>
      </c>
      <c r="U273" s="68" t="s">
        <v>202</v>
      </c>
      <c r="V273" s="69"/>
      <c r="W273" s="68" t="s">
        <v>782</v>
      </c>
      <c r="X273" s="68" t="n">
        <v>4.01424145300385</v>
      </c>
      <c r="Y273" s="68" t="n">
        <v>104.3702777781</v>
      </c>
      <c r="Z273" s="68" t="n">
        <v>26</v>
      </c>
      <c r="AA273" s="70"/>
    </row>
    <row r="274" customFormat="false" ht="14.25" hidden="false" customHeight="false" outlineLevel="0" collapsed="false">
      <c r="A274" s="56"/>
      <c r="B274" s="56"/>
      <c r="C274" s="64" t="n">
        <v>269</v>
      </c>
      <c r="D274" s="71" t="s">
        <v>791</v>
      </c>
      <c r="E274" s="71" t="s">
        <v>777</v>
      </c>
      <c r="F274" s="71" t="s">
        <v>792</v>
      </c>
      <c r="G274" s="66" t="n">
        <v>44</v>
      </c>
      <c r="H274" s="67" t="n">
        <v>13.56</v>
      </c>
      <c r="I274" s="67" t="n">
        <v>310</v>
      </c>
      <c r="J274" s="67" t="n">
        <v>310</v>
      </c>
      <c r="K274" s="67" t="n">
        <v>310</v>
      </c>
      <c r="L274" s="68" t="s">
        <v>199</v>
      </c>
      <c r="M274" s="67" t="n">
        <v>0.2617314</v>
      </c>
      <c r="N274" s="67" t="n">
        <v>0.4263931</v>
      </c>
      <c r="O274" s="67" t="n">
        <v>4.032902</v>
      </c>
      <c r="P274" s="67" t="n">
        <v>0.6053749</v>
      </c>
      <c r="Q274" s="67" t="n">
        <v>1.342387</v>
      </c>
      <c r="R274" s="67" t="n">
        <v>1.869341</v>
      </c>
      <c r="S274" s="68" t="s">
        <v>200</v>
      </c>
      <c r="T274" s="68" t="s">
        <v>201</v>
      </c>
      <c r="U274" s="68" t="s">
        <v>202</v>
      </c>
      <c r="V274" s="69"/>
      <c r="W274" s="68" t="s">
        <v>782</v>
      </c>
      <c r="X274" s="68" t="n">
        <v>2.87786431291095</v>
      </c>
      <c r="Y274" s="68" t="n">
        <v>153.965740740736</v>
      </c>
      <c r="Z274" s="68" t="n">
        <v>53.5</v>
      </c>
      <c r="AA274" s="70"/>
    </row>
    <row r="275" customFormat="false" ht="14.25" hidden="false" customHeight="false" outlineLevel="0" collapsed="false">
      <c r="A275" s="56"/>
      <c r="B275" s="56"/>
      <c r="C275" s="64" t="n">
        <v>270</v>
      </c>
      <c r="D275" s="71" t="s">
        <v>793</v>
      </c>
      <c r="E275" s="71" t="s">
        <v>792</v>
      </c>
      <c r="F275" s="71" t="s">
        <v>794</v>
      </c>
      <c r="G275" s="66" t="n">
        <v>44</v>
      </c>
      <c r="H275" s="67" t="n">
        <v>0.6</v>
      </c>
      <c r="I275" s="67" t="n">
        <v>310</v>
      </c>
      <c r="J275" s="67" t="n">
        <v>310</v>
      </c>
      <c r="K275" s="67" t="n">
        <v>310</v>
      </c>
      <c r="L275" s="68" t="s">
        <v>199</v>
      </c>
      <c r="M275" s="67" t="n">
        <v>0.2617314</v>
      </c>
      <c r="N275" s="67" t="n">
        <v>0.4263931</v>
      </c>
      <c r="O275" s="67" t="n">
        <v>4.032902</v>
      </c>
      <c r="P275" s="67" t="n">
        <v>0.6053749</v>
      </c>
      <c r="Q275" s="67" t="n">
        <v>1.342387</v>
      </c>
      <c r="R275" s="67" t="n">
        <v>1.869341</v>
      </c>
      <c r="S275" s="68" t="s">
        <v>200</v>
      </c>
      <c r="T275" s="68" t="s">
        <v>201</v>
      </c>
      <c r="U275" s="68" t="s">
        <v>202</v>
      </c>
      <c r="V275" s="69"/>
      <c r="W275" s="68" t="s">
        <v>782</v>
      </c>
      <c r="X275" s="68" t="n">
        <v>2.87786431291095</v>
      </c>
      <c r="Y275" s="68" t="n">
        <v>153.965740740736</v>
      </c>
      <c r="Z275" s="68" t="n">
        <v>53.5</v>
      </c>
      <c r="AA275" s="70"/>
    </row>
    <row r="276" customFormat="false" ht="14.25" hidden="false" customHeight="false" outlineLevel="0" collapsed="false">
      <c r="A276" s="56"/>
      <c r="B276" s="56"/>
      <c r="C276" s="64" t="n">
        <v>271</v>
      </c>
      <c r="D276" s="71" t="s">
        <v>795</v>
      </c>
      <c r="E276" s="71" t="s">
        <v>796</v>
      </c>
      <c r="F276" s="71" t="s">
        <v>797</v>
      </c>
      <c r="G276" s="66" t="n">
        <v>44</v>
      </c>
      <c r="H276" s="67" t="n">
        <v>29.43</v>
      </c>
      <c r="I276" s="67" t="n">
        <v>404</v>
      </c>
      <c r="J276" s="67" t="n">
        <v>404</v>
      </c>
      <c r="K276" s="67" t="n">
        <v>404</v>
      </c>
      <c r="L276" s="68" t="s">
        <v>199</v>
      </c>
      <c r="M276" s="67" t="n">
        <v>0.2122143</v>
      </c>
      <c r="N276" s="67" t="n">
        <v>0.4043501</v>
      </c>
      <c r="O276" s="67" t="n">
        <v>4.13655</v>
      </c>
      <c r="P276" s="67" t="n">
        <v>0.5558578</v>
      </c>
      <c r="Q276" s="67" t="n">
        <v>1.320344</v>
      </c>
      <c r="R276" s="67" t="n">
        <v>1.891298</v>
      </c>
      <c r="S276" s="68" t="s">
        <v>200</v>
      </c>
      <c r="T276" s="68" t="s">
        <v>201</v>
      </c>
      <c r="U276" s="68" t="s">
        <v>202</v>
      </c>
      <c r="V276" s="69"/>
      <c r="W276" s="68" t="s">
        <v>798</v>
      </c>
      <c r="X276" s="68" t="n">
        <v>0.985156197231624</v>
      </c>
      <c r="Y276" s="68" t="n">
        <v>54.0193981482007</v>
      </c>
      <c r="Z276" s="68" t="n">
        <v>54.8333333333333</v>
      </c>
      <c r="AA276" s="70"/>
    </row>
    <row r="277" customFormat="false" ht="14.25" hidden="false" customHeight="false" outlineLevel="0" collapsed="false">
      <c r="A277" s="56"/>
      <c r="B277" s="56"/>
      <c r="C277" s="64" t="n">
        <v>272</v>
      </c>
      <c r="D277" s="71" t="s">
        <v>799</v>
      </c>
      <c r="E277" s="71" t="s">
        <v>800</v>
      </c>
      <c r="F277" s="71" t="s">
        <v>801</v>
      </c>
      <c r="G277" s="66" t="n">
        <v>44</v>
      </c>
      <c r="H277" s="67" t="n">
        <v>18.31</v>
      </c>
      <c r="I277" s="67" t="n">
        <v>310</v>
      </c>
      <c r="J277" s="67" t="n">
        <v>310</v>
      </c>
      <c r="K277" s="67" t="n">
        <v>310</v>
      </c>
      <c r="L277" s="68" t="s">
        <v>199</v>
      </c>
      <c r="M277" s="67" t="n">
        <v>0.2617314</v>
      </c>
      <c r="N277" s="67" t="n">
        <v>0.4263931</v>
      </c>
      <c r="O277" s="67" t="n">
        <v>4.032902</v>
      </c>
      <c r="P277" s="67" t="n">
        <v>0.6053749</v>
      </c>
      <c r="Q277" s="67" t="n">
        <v>1.342387</v>
      </c>
      <c r="R277" s="67" t="n">
        <v>1.869341</v>
      </c>
      <c r="S277" s="68" t="s">
        <v>200</v>
      </c>
      <c r="T277" s="68" t="s">
        <v>201</v>
      </c>
      <c r="U277" s="68" t="s">
        <v>202</v>
      </c>
      <c r="V277" s="69"/>
      <c r="W277" s="68" t="s">
        <v>782</v>
      </c>
      <c r="X277" s="68" t="n">
        <v>0.437412551436864</v>
      </c>
      <c r="Y277" s="68" t="n">
        <v>31.4937037034542</v>
      </c>
      <c r="Z277" s="68" t="n">
        <v>72</v>
      </c>
      <c r="AA277" s="70"/>
    </row>
    <row r="278" customFormat="false" ht="14.25" hidden="false" customHeight="false" outlineLevel="0" collapsed="false">
      <c r="A278" s="56"/>
      <c r="B278" s="56"/>
      <c r="C278" s="64" t="n">
        <v>273</v>
      </c>
      <c r="D278" s="71" t="s">
        <v>802</v>
      </c>
      <c r="E278" s="71" t="s">
        <v>803</v>
      </c>
      <c r="F278" s="71" t="s">
        <v>804</v>
      </c>
      <c r="G278" s="66" t="n">
        <v>44</v>
      </c>
      <c r="H278" s="67" t="n">
        <v>18.782</v>
      </c>
      <c r="I278" s="67" t="n">
        <v>310</v>
      </c>
      <c r="J278" s="67" t="n">
        <v>310</v>
      </c>
      <c r="K278" s="67" t="n">
        <v>310</v>
      </c>
      <c r="L278" s="68" t="s">
        <v>199</v>
      </c>
      <c r="M278" s="67" t="n">
        <v>0.2617314</v>
      </c>
      <c r="N278" s="67" t="n">
        <v>0.4263931</v>
      </c>
      <c r="O278" s="67" t="n">
        <v>4.032902</v>
      </c>
      <c r="P278" s="67" t="n">
        <v>0.6053749</v>
      </c>
      <c r="Q278" s="67" t="n">
        <v>1.342387</v>
      </c>
      <c r="R278" s="67" t="n">
        <v>1.869341</v>
      </c>
      <c r="S278" s="68" t="s">
        <v>200</v>
      </c>
      <c r="T278" s="68" t="s">
        <v>201</v>
      </c>
      <c r="U278" s="68" t="s">
        <v>202</v>
      </c>
      <c r="V278" s="69"/>
      <c r="W278" s="68" t="s">
        <v>782</v>
      </c>
      <c r="X278" s="68" t="n">
        <v>1.00152466832026</v>
      </c>
      <c r="Y278" s="68" t="n">
        <v>44.7347685183049</v>
      </c>
      <c r="Z278" s="68" t="n">
        <v>44.6666666666667</v>
      </c>
      <c r="AA278" s="70"/>
    </row>
    <row r="279" customFormat="false" ht="14.25" hidden="false" customHeight="false" outlineLevel="0" collapsed="false">
      <c r="A279" s="56"/>
      <c r="B279" s="56"/>
      <c r="C279" s="64" t="n">
        <v>274</v>
      </c>
      <c r="D279" s="71" t="s">
        <v>805</v>
      </c>
      <c r="E279" s="71" t="s">
        <v>804</v>
      </c>
      <c r="F279" s="71" t="s">
        <v>806</v>
      </c>
      <c r="G279" s="66" t="n">
        <v>44</v>
      </c>
      <c r="H279" s="67" t="n">
        <v>54.94</v>
      </c>
      <c r="I279" s="67" t="n">
        <v>310</v>
      </c>
      <c r="J279" s="67" t="n">
        <v>310</v>
      </c>
      <c r="K279" s="67" t="n">
        <v>310</v>
      </c>
      <c r="L279" s="68" t="s">
        <v>199</v>
      </c>
      <c r="M279" s="67" t="n">
        <v>0.2617314</v>
      </c>
      <c r="N279" s="67" t="n">
        <v>0.4263931</v>
      </c>
      <c r="O279" s="67" t="n">
        <v>4.032902</v>
      </c>
      <c r="P279" s="67" t="n">
        <v>0.6053749</v>
      </c>
      <c r="Q279" s="67" t="n">
        <v>1.342387</v>
      </c>
      <c r="R279" s="67" t="n">
        <v>1.869341</v>
      </c>
      <c r="S279" s="68" t="s">
        <v>200</v>
      </c>
      <c r="T279" s="68" t="s">
        <v>201</v>
      </c>
      <c r="U279" s="68" t="s">
        <v>202</v>
      </c>
      <c r="V279" s="69"/>
      <c r="W279" s="68" t="s">
        <v>782</v>
      </c>
      <c r="X279" s="68" t="n">
        <v>0.437412551436864</v>
      </c>
      <c r="Y279" s="68" t="n">
        <v>31.4937037034542</v>
      </c>
      <c r="Z279" s="68" t="n">
        <v>72</v>
      </c>
      <c r="AA279" s="70"/>
    </row>
    <row r="280" customFormat="false" ht="14.25" hidden="false" customHeight="false" outlineLevel="0" collapsed="false">
      <c r="A280" s="56"/>
      <c r="B280" s="56"/>
      <c r="C280" s="64" t="n">
        <v>275</v>
      </c>
      <c r="D280" s="71" t="s">
        <v>807</v>
      </c>
      <c r="E280" s="71" t="s">
        <v>765</v>
      </c>
      <c r="F280" s="71" t="s">
        <v>808</v>
      </c>
      <c r="G280" s="66" t="n">
        <v>44</v>
      </c>
      <c r="H280" s="67" t="n">
        <v>20.32</v>
      </c>
      <c r="I280" s="67" t="n">
        <v>404</v>
      </c>
      <c r="J280" s="67" t="n">
        <v>404</v>
      </c>
      <c r="K280" s="67" t="n">
        <v>404</v>
      </c>
      <c r="L280" s="68" t="s">
        <v>199</v>
      </c>
      <c r="M280" s="67" t="n">
        <v>0.2122143</v>
      </c>
      <c r="N280" s="67" t="n">
        <v>0.4043501</v>
      </c>
      <c r="O280" s="67" t="n">
        <v>4.13655</v>
      </c>
      <c r="P280" s="67" t="n">
        <v>0.5558578</v>
      </c>
      <c r="Q280" s="67" t="n">
        <v>1.320344</v>
      </c>
      <c r="R280" s="67" t="n">
        <v>1.891298</v>
      </c>
      <c r="S280" s="68" t="s">
        <v>200</v>
      </c>
      <c r="T280" s="68" t="s">
        <v>201</v>
      </c>
      <c r="U280" s="68" t="s">
        <v>202</v>
      </c>
      <c r="V280" s="69"/>
      <c r="W280" s="68" t="s">
        <v>798</v>
      </c>
      <c r="X280" s="68" t="n">
        <v>0.985156197231624</v>
      </c>
      <c r="Y280" s="68" t="n">
        <v>54.0193981482007</v>
      </c>
      <c r="Z280" s="68" t="n">
        <v>54.8333333333333</v>
      </c>
      <c r="AA280" s="70"/>
    </row>
    <row r="281" customFormat="false" ht="14.25" hidden="false" customHeight="false" outlineLevel="0" collapsed="false">
      <c r="A281" s="56"/>
      <c r="B281" s="56"/>
      <c r="C281" s="64" t="n">
        <v>276</v>
      </c>
      <c r="D281" s="71" t="s">
        <v>809</v>
      </c>
      <c r="E281" s="71" t="s">
        <v>765</v>
      </c>
      <c r="F281" s="71" t="s">
        <v>810</v>
      </c>
      <c r="G281" s="66" t="n">
        <v>44</v>
      </c>
      <c r="H281" s="67" t="n">
        <v>25.373</v>
      </c>
      <c r="I281" s="67" t="n">
        <v>310</v>
      </c>
      <c r="J281" s="67" t="n">
        <v>310</v>
      </c>
      <c r="K281" s="67" t="n">
        <v>310</v>
      </c>
      <c r="L281" s="68" t="s">
        <v>199</v>
      </c>
      <c r="M281" s="67" t="n">
        <v>0.2617314</v>
      </c>
      <c r="N281" s="67" t="n">
        <v>0.4263931</v>
      </c>
      <c r="O281" s="67" t="n">
        <v>4.032902</v>
      </c>
      <c r="P281" s="67" t="n">
        <v>0.6053749</v>
      </c>
      <c r="Q281" s="67" t="n">
        <v>1.342387</v>
      </c>
      <c r="R281" s="67" t="n">
        <v>1.869341</v>
      </c>
      <c r="S281" s="68" t="s">
        <v>200</v>
      </c>
      <c r="T281" s="68" t="s">
        <v>201</v>
      </c>
      <c r="U281" s="68" t="s">
        <v>202</v>
      </c>
      <c r="V281" s="69"/>
      <c r="W281" s="68" t="s">
        <v>782</v>
      </c>
      <c r="X281" s="68" t="n">
        <v>1.00152466832026</v>
      </c>
      <c r="Y281" s="68" t="n">
        <v>44.7347685183049</v>
      </c>
      <c r="Z281" s="68" t="n">
        <v>44.6666666666667</v>
      </c>
      <c r="AA281" s="70"/>
    </row>
    <row r="282" customFormat="false" ht="14.25" hidden="false" customHeight="false" outlineLevel="0" collapsed="false">
      <c r="A282" s="56"/>
      <c r="B282" s="56"/>
      <c r="C282" s="64" t="n">
        <v>277</v>
      </c>
      <c r="D282" s="71" t="s">
        <v>811</v>
      </c>
      <c r="E282" s="71" t="s">
        <v>765</v>
      </c>
      <c r="F282" s="71" t="s">
        <v>812</v>
      </c>
      <c r="G282" s="66" t="n">
        <v>44</v>
      </c>
      <c r="H282" s="67" t="n">
        <v>14.94</v>
      </c>
      <c r="I282" s="67" t="n">
        <v>404</v>
      </c>
      <c r="J282" s="67" t="n">
        <v>404</v>
      </c>
      <c r="K282" s="67" t="n">
        <v>404</v>
      </c>
      <c r="L282" s="68" t="s">
        <v>199</v>
      </c>
      <c r="M282" s="67" t="n">
        <v>0.2122143</v>
      </c>
      <c r="N282" s="67" t="n">
        <v>0.4043501</v>
      </c>
      <c r="O282" s="67" t="n">
        <v>4.13655</v>
      </c>
      <c r="P282" s="67" t="n">
        <v>0.5558578</v>
      </c>
      <c r="Q282" s="67" t="n">
        <v>1.320344</v>
      </c>
      <c r="R282" s="67" t="n">
        <v>1.891298</v>
      </c>
      <c r="S282" s="68" t="s">
        <v>200</v>
      </c>
      <c r="T282" s="68" t="s">
        <v>201</v>
      </c>
      <c r="U282" s="68" t="s">
        <v>202</v>
      </c>
      <c r="V282" s="69"/>
      <c r="W282" s="68" t="s">
        <v>798</v>
      </c>
      <c r="X282" s="68" t="n">
        <v>1.54396235077326</v>
      </c>
      <c r="Y282" s="68" t="n">
        <v>31.1365740739275</v>
      </c>
      <c r="Z282" s="68" t="n">
        <v>20.1666666666667</v>
      </c>
      <c r="AA282" s="70"/>
    </row>
    <row r="283" customFormat="false" ht="14.25" hidden="false" customHeight="false" outlineLevel="0" collapsed="false">
      <c r="B283" s="56"/>
      <c r="C283" s="64" t="n">
        <v>278</v>
      </c>
      <c r="D283" s="71" t="s">
        <v>813</v>
      </c>
      <c r="E283" s="71" t="s">
        <v>814</v>
      </c>
      <c r="F283" s="71" t="s">
        <v>815</v>
      </c>
      <c r="G283" s="66" t="n">
        <v>110</v>
      </c>
      <c r="H283" s="67" t="n">
        <v>29.22</v>
      </c>
      <c r="I283" s="67" t="n">
        <v>661</v>
      </c>
      <c r="J283" s="67" t="n">
        <v>661</v>
      </c>
      <c r="K283" s="67" t="n">
        <v>860</v>
      </c>
      <c r="L283" s="68" t="s">
        <v>199</v>
      </c>
      <c r="M283" s="67" t="n">
        <v>0.1203</v>
      </c>
      <c r="N283" s="67" t="n">
        <v>0.4858</v>
      </c>
      <c r="O283" s="67" t="n">
        <v>3.5104</v>
      </c>
      <c r="P283" s="67" t="n">
        <v>0.4319</v>
      </c>
      <c r="Q283" s="67" t="n">
        <v>1.3425</v>
      </c>
      <c r="R283" s="67" t="n">
        <v>2.2523</v>
      </c>
      <c r="S283" s="68" t="s">
        <v>767</v>
      </c>
      <c r="T283" s="68" t="s">
        <v>201</v>
      </c>
      <c r="U283" s="68" t="s">
        <v>771</v>
      </c>
      <c r="V283" s="69" t="n">
        <v>46021</v>
      </c>
      <c r="W283" s="68" t="n">
        <v>477</v>
      </c>
      <c r="X283" s="68"/>
      <c r="Y283" s="68"/>
      <c r="Z283" s="68"/>
      <c r="AA283" s="70"/>
    </row>
    <row r="284" customFormat="false" ht="14.25" hidden="false" customHeight="false" outlineLevel="0" collapsed="false">
      <c r="A284" s="56"/>
      <c r="B284" s="56"/>
      <c r="C284" s="64" t="n">
        <v>279</v>
      </c>
      <c r="D284" s="71" t="s">
        <v>816</v>
      </c>
      <c r="E284" s="71" t="s">
        <v>774</v>
      </c>
      <c r="F284" s="71" t="s">
        <v>815</v>
      </c>
      <c r="G284" s="66" t="n">
        <v>110</v>
      </c>
      <c r="H284" s="67" t="n">
        <v>48.15</v>
      </c>
      <c r="I284" s="67" t="n">
        <v>570</v>
      </c>
      <c r="J284" s="67" t="n">
        <v>570</v>
      </c>
      <c r="K284" s="67" t="n">
        <v>620</v>
      </c>
      <c r="L284" s="68" t="s">
        <v>199</v>
      </c>
      <c r="M284" s="67" t="n">
        <v>0.1182</v>
      </c>
      <c r="N284" s="67" t="n">
        <v>0.4936</v>
      </c>
      <c r="O284" s="67" t="n">
        <v>3.3691</v>
      </c>
      <c r="P284" s="67" t="n">
        <v>0.4583</v>
      </c>
      <c r="Q284" s="67" t="n">
        <v>1.4508</v>
      </c>
      <c r="R284" s="67" t="n">
        <v>2.0939</v>
      </c>
      <c r="S284" s="68" t="s">
        <v>767</v>
      </c>
      <c r="T284" s="68" t="s">
        <v>201</v>
      </c>
      <c r="U284" s="68" t="s">
        <v>771</v>
      </c>
      <c r="V284" s="69" t="n">
        <v>46021</v>
      </c>
      <c r="W284" s="68" t="n">
        <v>477</v>
      </c>
      <c r="X284" s="68"/>
      <c r="Y284" s="68"/>
      <c r="Z284" s="68"/>
      <c r="AA284" s="70"/>
    </row>
    <row r="285" customFormat="false" ht="14.25" hidden="false" customHeight="false" outlineLevel="0" collapsed="false">
      <c r="A285" s="56"/>
      <c r="B285" s="56"/>
      <c r="C285" s="64" t="n">
        <v>280</v>
      </c>
      <c r="D285" s="71" t="s">
        <v>817</v>
      </c>
      <c r="E285" s="71" t="s">
        <v>814</v>
      </c>
      <c r="F285" s="71" t="s">
        <v>815</v>
      </c>
      <c r="G285" s="66" t="n">
        <v>110</v>
      </c>
      <c r="H285" s="67" t="n">
        <v>29.22</v>
      </c>
      <c r="I285" s="67" t="n">
        <v>661</v>
      </c>
      <c r="J285" s="67" t="n">
        <v>661</v>
      </c>
      <c r="K285" s="67" t="n">
        <v>860</v>
      </c>
      <c r="L285" s="68" t="s">
        <v>199</v>
      </c>
      <c r="M285" s="67" t="n">
        <v>0.1225</v>
      </c>
      <c r="N285" s="67" t="n">
        <v>0.452</v>
      </c>
      <c r="O285" s="67" t="n">
        <v>3.5104</v>
      </c>
      <c r="P285" s="67" t="n">
        <v>0.4436</v>
      </c>
      <c r="Q285" s="67" t="n">
        <v>1.3106</v>
      </c>
      <c r="R285" s="67" t="n">
        <v>2.2523</v>
      </c>
      <c r="S285" s="68" t="s">
        <v>767</v>
      </c>
      <c r="T285" s="68" t="s">
        <v>201</v>
      </c>
      <c r="U285" s="68" t="s">
        <v>202</v>
      </c>
      <c r="V285" s="69" t="n">
        <v>45925</v>
      </c>
      <c r="W285" s="68" t="n">
        <v>477</v>
      </c>
      <c r="X285" s="68"/>
      <c r="Y285" s="68"/>
      <c r="Z285" s="68"/>
      <c r="AA285" s="70"/>
    </row>
    <row r="286" customFormat="false" ht="14.25" hidden="false" customHeight="false" outlineLevel="0" collapsed="false">
      <c r="A286" s="56"/>
      <c r="B286" s="56"/>
      <c r="C286" s="64" t="n">
        <v>281</v>
      </c>
      <c r="D286" s="71" t="s">
        <v>818</v>
      </c>
      <c r="E286" s="71" t="s">
        <v>819</v>
      </c>
      <c r="F286" s="71" t="s">
        <v>820</v>
      </c>
      <c r="G286" s="66" t="n">
        <v>110</v>
      </c>
      <c r="H286" s="67" t="n">
        <v>20.62</v>
      </c>
      <c r="I286" s="68" t="n">
        <v>467</v>
      </c>
      <c r="J286" s="68" t="n">
        <v>467</v>
      </c>
      <c r="K286" s="67" t="n">
        <v>467</v>
      </c>
      <c r="L286" s="68" t="s">
        <v>199</v>
      </c>
      <c r="M286" s="67" t="n">
        <v>0.1287</v>
      </c>
      <c r="N286" s="67" t="n">
        <v>0.4687</v>
      </c>
      <c r="O286" s="67" t="n">
        <v>3.4964</v>
      </c>
      <c r="P286" s="67" t="n">
        <v>0.4089</v>
      </c>
      <c r="Q286" s="67" t="n">
        <v>1.5803</v>
      </c>
      <c r="R286" s="67" t="n">
        <v>1.7386</v>
      </c>
      <c r="S286" s="68" t="s">
        <v>767</v>
      </c>
      <c r="T286" s="68" t="s">
        <v>201</v>
      </c>
      <c r="U286" s="68" t="s">
        <v>202</v>
      </c>
      <c r="V286" s="69"/>
      <c r="W286" s="68" t="n">
        <v>477</v>
      </c>
      <c r="X286" s="68" t="n">
        <v>0.989904420534825</v>
      </c>
      <c r="Y286" s="76" t="n">
        <v>15.3435185182898</v>
      </c>
      <c r="Z286" s="68" t="n">
        <v>4</v>
      </c>
      <c r="AA286" s="70"/>
    </row>
    <row r="287" customFormat="false" ht="14.25" hidden="false" customHeight="false" outlineLevel="0" collapsed="false">
      <c r="A287" s="56"/>
      <c r="B287" s="56"/>
      <c r="C287" s="64" t="n">
        <v>282</v>
      </c>
      <c r="D287" s="71" t="s">
        <v>821</v>
      </c>
      <c r="E287" s="71" t="s">
        <v>822</v>
      </c>
      <c r="F287" s="71" t="s">
        <v>820</v>
      </c>
      <c r="G287" s="66" t="n">
        <v>110</v>
      </c>
      <c r="H287" s="67" t="n">
        <v>17.95</v>
      </c>
      <c r="I287" s="68" t="n">
        <v>467</v>
      </c>
      <c r="J287" s="68" t="n">
        <v>670</v>
      </c>
      <c r="K287" s="67" t="n">
        <v>467</v>
      </c>
      <c r="L287" s="68" t="s">
        <v>199</v>
      </c>
      <c r="M287" s="67" t="n">
        <v>0.1287</v>
      </c>
      <c r="N287" s="67" t="n">
        <v>0.4687</v>
      </c>
      <c r="O287" s="67" t="n">
        <v>3.4964</v>
      </c>
      <c r="P287" s="67" t="n">
        <v>0.4089</v>
      </c>
      <c r="Q287" s="67" t="n">
        <v>1.5803</v>
      </c>
      <c r="R287" s="67" t="n">
        <v>1.7386</v>
      </c>
      <c r="S287" s="68" t="s">
        <v>767</v>
      </c>
      <c r="T287" s="68" t="s">
        <v>201</v>
      </c>
      <c r="U287" s="68" t="s">
        <v>202</v>
      </c>
      <c r="V287" s="69"/>
      <c r="W287" s="68" t="n">
        <v>477</v>
      </c>
      <c r="X287" s="68" t="n">
        <v>0.989904420534825</v>
      </c>
      <c r="Y287" s="76" t="n">
        <v>15.3435185182898</v>
      </c>
      <c r="Z287" s="68" t="n">
        <v>4</v>
      </c>
      <c r="AA287" s="70"/>
    </row>
    <row r="288" customFormat="false" ht="14.25" hidden="false" customHeight="false" outlineLevel="0" collapsed="false">
      <c r="A288" s="56"/>
      <c r="B288" s="56"/>
      <c r="C288" s="64" t="n">
        <v>283</v>
      </c>
      <c r="D288" s="71" t="s">
        <v>823</v>
      </c>
      <c r="E288" s="71" t="s">
        <v>822</v>
      </c>
      <c r="F288" s="71" t="s">
        <v>814</v>
      </c>
      <c r="G288" s="66" t="n">
        <v>110</v>
      </c>
      <c r="H288" s="67" t="n">
        <v>48.1</v>
      </c>
      <c r="I288" s="68" t="n">
        <v>360</v>
      </c>
      <c r="J288" s="68" t="n">
        <v>670</v>
      </c>
      <c r="K288" s="67" t="n">
        <v>360</v>
      </c>
      <c r="L288" s="68" t="s">
        <v>199</v>
      </c>
      <c r="M288" s="67" t="n">
        <v>0.1287</v>
      </c>
      <c r="N288" s="67" t="n">
        <v>0.4687</v>
      </c>
      <c r="O288" s="67" t="n">
        <v>3.4964</v>
      </c>
      <c r="P288" s="67" t="n">
        <v>0.4089</v>
      </c>
      <c r="Q288" s="67" t="n">
        <v>1.5803</v>
      </c>
      <c r="R288" s="67" t="n">
        <v>1.7386</v>
      </c>
      <c r="S288" s="68" t="s">
        <v>767</v>
      </c>
      <c r="T288" s="68" t="s">
        <v>201</v>
      </c>
      <c r="U288" s="68" t="s">
        <v>202</v>
      </c>
      <c r="V288" s="69"/>
      <c r="W288" s="68" t="n">
        <v>477</v>
      </c>
      <c r="X288" s="68" t="n">
        <v>1.98955555554712</v>
      </c>
      <c r="Y288" s="68" t="n">
        <v>24.869444444339</v>
      </c>
      <c r="Z288" s="68" t="n">
        <v>12.5</v>
      </c>
      <c r="AA288" s="70" t="s">
        <v>824</v>
      </c>
    </row>
    <row r="289" customFormat="false" ht="14.25" hidden="false" customHeight="false" outlineLevel="0" collapsed="false">
      <c r="A289" s="56"/>
      <c r="B289" s="56"/>
      <c r="C289" s="64" t="n">
        <v>284</v>
      </c>
      <c r="D289" s="71" t="s">
        <v>825</v>
      </c>
      <c r="E289" s="71" t="s">
        <v>814</v>
      </c>
      <c r="F289" s="71" t="s">
        <v>826</v>
      </c>
      <c r="G289" s="66" t="n">
        <v>44</v>
      </c>
      <c r="H289" s="67" t="n">
        <v>14</v>
      </c>
      <c r="I289" s="68" t="n">
        <v>213</v>
      </c>
      <c r="J289" s="68" t="n">
        <v>213</v>
      </c>
      <c r="K289" s="67" t="n">
        <v>213</v>
      </c>
      <c r="L289" s="68" t="s">
        <v>199</v>
      </c>
      <c r="M289" s="67" t="n">
        <v>0.5220326</v>
      </c>
      <c r="N289" s="67" t="n">
        <v>0.4528594</v>
      </c>
      <c r="O289" s="67" t="n">
        <v>3.779473</v>
      </c>
      <c r="P289" s="67" t="n">
        <v>0.9330585</v>
      </c>
      <c r="Q289" s="67" t="n">
        <v>1.611822</v>
      </c>
      <c r="R289" s="67" t="n">
        <v>1.797269</v>
      </c>
      <c r="S289" s="68" t="s">
        <v>200</v>
      </c>
      <c r="T289" s="68" t="s">
        <v>201</v>
      </c>
      <c r="U289" s="68" t="s">
        <v>202</v>
      </c>
      <c r="V289" s="69"/>
      <c r="W289" s="68" t="s">
        <v>827</v>
      </c>
      <c r="X289" s="68" t="n">
        <v>2.37699404763511</v>
      </c>
      <c r="Y289" s="68" t="n">
        <v>44.3705555558554</v>
      </c>
      <c r="Z289" s="68" t="n">
        <v>18.6666666666667</v>
      </c>
      <c r="AA289" s="70"/>
    </row>
    <row r="290" customFormat="false" ht="14.25" hidden="false" customHeight="false" outlineLevel="0" collapsed="false">
      <c r="A290" s="56"/>
      <c r="B290" s="56"/>
      <c r="C290" s="64" t="n">
        <v>285</v>
      </c>
      <c r="D290" s="71" t="s">
        <v>828</v>
      </c>
      <c r="E290" s="71" t="s">
        <v>814</v>
      </c>
      <c r="F290" s="71" t="s">
        <v>829</v>
      </c>
      <c r="G290" s="66" t="n">
        <v>44</v>
      </c>
      <c r="H290" s="67" t="n">
        <v>19</v>
      </c>
      <c r="I290" s="68" t="n">
        <v>310</v>
      </c>
      <c r="J290" s="68" t="n">
        <v>310</v>
      </c>
      <c r="K290" s="67" t="n">
        <v>310</v>
      </c>
      <c r="L290" s="68" t="s">
        <v>199</v>
      </c>
      <c r="M290" s="67" t="n">
        <v>0.2617358</v>
      </c>
      <c r="N290" s="67" t="n">
        <v>0.4266667</v>
      </c>
      <c r="O290" s="67" t="n">
        <v>4.032093</v>
      </c>
      <c r="P290" s="67" t="n">
        <v>0.6727617</v>
      </c>
      <c r="Q290" s="67" t="n">
        <v>1.585629</v>
      </c>
      <c r="R290" s="67" t="n">
        <v>1.852435</v>
      </c>
      <c r="S290" s="68" t="s">
        <v>200</v>
      </c>
      <c r="T290" s="68" t="s">
        <v>201</v>
      </c>
      <c r="U290" s="68" t="s">
        <v>202</v>
      </c>
      <c r="V290" s="69"/>
      <c r="W290" s="68" t="s">
        <v>782</v>
      </c>
      <c r="X290" s="68" t="n">
        <v>0.745461393600543</v>
      </c>
      <c r="Y290" s="68" t="n">
        <v>21.991111111216</v>
      </c>
      <c r="Z290" s="68" t="n">
        <v>29.5</v>
      </c>
      <c r="AA290" s="70"/>
    </row>
    <row r="291" customFormat="false" ht="14.25" hidden="false" customHeight="false" outlineLevel="0" collapsed="false">
      <c r="A291" s="56"/>
      <c r="B291" s="56"/>
      <c r="C291" s="64" t="n">
        <v>286</v>
      </c>
      <c r="D291" s="71" t="s">
        <v>830</v>
      </c>
      <c r="E291" s="71" t="s">
        <v>829</v>
      </c>
      <c r="F291" s="71" t="s">
        <v>831</v>
      </c>
      <c r="G291" s="66" t="n">
        <v>44</v>
      </c>
      <c r="H291" s="67" t="n">
        <v>24</v>
      </c>
      <c r="I291" s="68" t="n">
        <v>310</v>
      </c>
      <c r="J291" s="68" t="n">
        <v>310</v>
      </c>
      <c r="K291" s="67" t="n">
        <v>310</v>
      </c>
      <c r="L291" s="68" t="s">
        <v>199</v>
      </c>
      <c r="M291" s="67" t="n">
        <v>0.2617358</v>
      </c>
      <c r="N291" s="67" t="n">
        <v>0.4266667</v>
      </c>
      <c r="O291" s="67" t="n">
        <v>4.032093</v>
      </c>
      <c r="P291" s="67" t="n">
        <v>0.6727617</v>
      </c>
      <c r="Q291" s="67" t="n">
        <v>1.585629</v>
      </c>
      <c r="R291" s="67" t="n">
        <v>1.852435</v>
      </c>
      <c r="S291" s="68" t="s">
        <v>200</v>
      </c>
      <c r="T291" s="68" t="s">
        <v>201</v>
      </c>
      <c r="U291" s="68" t="s">
        <v>202</v>
      </c>
      <c r="V291" s="69"/>
      <c r="W291" s="68" t="s">
        <v>782</v>
      </c>
      <c r="X291" s="68" t="n">
        <v>0.745461393600543</v>
      </c>
      <c r="Y291" s="68" t="n">
        <v>21.991111111216</v>
      </c>
      <c r="Z291" s="68" t="n">
        <v>29.5</v>
      </c>
      <c r="AA291" s="70" t="s">
        <v>832</v>
      </c>
    </row>
    <row r="292" customFormat="false" ht="14.25" hidden="false" customHeight="false" outlineLevel="0" collapsed="false">
      <c r="A292" s="56"/>
      <c r="B292" s="56"/>
      <c r="C292" s="64" t="n">
        <v>287</v>
      </c>
      <c r="D292" s="71" t="s">
        <v>833</v>
      </c>
      <c r="E292" s="71" t="s">
        <v>815</v>
      </c>
      <c r="F292" s="71" t="s">
        <v>831</v>
      </c>
      <c r="G292" s="66" t="n">
        <v>44</v>
      </c>
      <c r="H292" s="67" t="n">
        <v>2</v>
      </c>
      <c r="I292" s="68" t="n">
        <v>310</v>
      </c>
      <c r="J292" s="68" t="n">
        <v>310</v>
      </c>
      <c r="K292" s="67" t="n">
        <v>310</v>
      </c>
      <c r="L292" s="68" t="s">
        <v>199</v>
      </c>
      <c r="M292" s="67" t="n">
        <v>0.2617358</v>
      </c>
      <c r="N292" s="67" t="n">
        <v>0.4266667</v>
      </c>
      <c r="O292" s="67" t="n">
        <v>4.032093</v>
      </c>
      <c r="P292" s="67" t="n">
        <v>0.6727617</v>
      </c>
      <c r="Q292" s="67" t="n">
        <v>1.585629</v>
      </c>
      <c r="R292" s="67" t="n">
        <v>1.852435</v>
      </c>
      <c r="S292" s="68" t="s">
        <v>200</v>
      </c>
      <c r="T292" s="68" t="s">
        <v>201</v>
      </c>
      <c r="U292" s="68" t="s">
        <v>771</v>
      </c>
      <c r="V292" s="69" t="n">
        <v>45930</v>
      </c>
      <c r="W292" s="68" t="s">
        <v>782</v>
      </c>
      <c r="X292" s="68"/>
      <c r="Y292" s="68"/>
      <c r="Z292" s="68"/>
      <c r="AA292" s="70"/>
    </row>
    <row r="293" customFormat="false" ht="14.25" hidden="false" customHeight="false" outlineLevel="0" collapsed="false">
      <c r="A293" s="56"/>
      <c r="B293" s="56"/>
      <c r="C293" s="64" t="n">
        <v>288</v>
      </c>
      <c r="D293" s="71" t="s">
        <v>834</v>
      </c>
      <c r="E293" s="71" t="s">
        <v>820</v>
      </c>
      <c r="F293" s="71" t="s">
        <v>835</v>
      </c>
      <c r="G293" s="66" t="n">
        <v>44</v>
      </c>
      <c r="H293" s="67" t="n">
        <v>15.2</v>
      </c>
      <c r="I293" s="68" t="n">
        <v>310</v>
      </c>
      <c r="J293" s="68" t="n">
        <v>310</v>
      </c>
      <c r="K293" s="67" t="n">
        <v>310</v>
      </c>
      <c r="L293" s="68" t="s">
        <v>199</v>
      </c>
      <c r="M293" s="67" t="n">
        <v>0.2617358</v>
      </c>
      <c r="N293" s="67" t="n">
        <v>0.4266667</v>
      </c>
      <c r="O293" s="67" t="n">
        <v>4.032093</v>
      </c>
      <c r="P293" s="67" t="n">
        <v>0.6727617</v>
      </c>
      <c r="Q293" s="67" t="n">
        <v>1.585629</v>
      </c>
      <c r="R293" s="67" t="n">
        <v>1.852435</v>
      </c>
      <c r="S293" s="68" t="s">
        <v>200</v>
      </c>
      <c r="T293" s="68" t="s">
        <v>201</v>
      </c>
      <c r="U293" s="68" t="s">
        <v>202</v>
      </c>
      <c r="V293" s="69"/>
      <c r="W293" s="68" t="s">
        <v>782</v>
      </c>
      <c r="X293" s="68" t="n">
        <v>1.03223544973159</v>
      </c>
      <c r="Y293" s="68" t="n">
        <v>21.6769444443635</v>
      </c>
      <c r="Z293" s="68" t="n">
        <v>21</v>
      </c>
      <c r="AA293" s="70"/>
    </row>
    <row r="294" customFormat="false" ht="14.25" hidden="false" customHeight="false" outlineLevel="0" collapsed="false">
      <c r="A294" s="56"/>
      <c r="B294" s="56"/>
      <c r="C294" s="64" t="n">
        <v>289</v>
      </c>
      <c r="D294" s="71" t="s">
        <v>836</v>
      </c>
      <c r="E294" s="71" t="s">
        <v>822</v>
      </c>
      <c r="F294" s="71" t="s">
        <v>837</v>
      </c>
      <c r="G294" s="66" t="n">
        <v>44</v>
      </c>
      <c r="H294" s="67" t="n">
        <v>17.5</v>
      </c>
      <c r="I294" s="68" t="n">
        <v>213</v>
      </c>
      <c r="J294" s="68" t="n">
        <v>213</v>
      </c>
      <c r="K294" s="67" t="n">
        <v>213</v>
      </c>
      <c r="L294" s="68" t="s">
        <v>199</v>
      </c>
      <c r="M294" s="67" t="n">
        <v>0.5220326</v>
      </c>
      <c r="N294" s="67" t="n">
        <v>0.4528594</v>
      </c>
      <c r="O294" s="67" t="n">
        <v>3.779473</v>
      </c>
      <c r="P294" s="67" t="n">
        <v>0.9330585</v>
      </c>
      <c r="Q294" s="67" t="n">
        <v>1.611822</v>
      </c>
      <c r="R294" s="67" t="n">
        <v>1.797269</v>
      </c>
      <c r="S294" s="68" t="s">
        <v>200</v>
      </c>
      <c r="T294" s="68" t="s">
        <v>201</v>
      </c>
      <c r="U294" s="68" t="s">
        <v>202</v>
      </c>
      <c r="V294" s="69"/>
      <c r="W294" s="68" t="s">
        <v>827</v>
      </c>
      <c r="X294" s="68" t="n">
        <v>2.12507990867335</v>
      </c>
      <c r="Y294" s="68" t="n">
        <v>51.7102777777182</v>
      </c>
      <c r="Z294" s="68" t="n">
        <v>24.3333333333333</v>
      </c>
      <c r="AA294" s="70"/>
    </row>
    <row r="295" customFormat="false" ht="14.25" hidden="false" customHeight="false" outlineLevel="0" collapsed="false">
      <c r="A295" s="56"/>
      <c r="B295" s="56"/>
      <c r="C295" s="64" t="n">
        <v>290</v>
      </c>
      <c r="D295" s="71" t="s">
        <v>838</v>
      </c>
      <c r="E295" s="71" t="s">
        <v>822</v>
      </c>
      <c r="F295" s="71" t="s">
        <v>839</v>
      </c>
      <c r="G295" s="66" t="n">
        <v>44</v>
      </c>
      <c r="H295" s="67" t="n">
        <v>3.9</v>
      </c>
      <c r="I295" s="68" t="n">
        <v>393</v>
      </c>
      <c r="J295" s="68" t="n">
        <v>393</v>
      </c>
      <c r="K295" s="67" t="n">
        <v>393</v>
      </c>
      <c r="L295" s="68" t="s">
        <v>199</v>
      </c>
      <c r="M295" s="67" t="n">
        <v>0.2119043</v>
      </c>
      <c r="N295" s="67" t="n">
        <v>0.4065866</v>
      </c>
      <c r="O295" s="67" t="n">
        <v>4.093796</v>
      </c>
      <c r="P295" s="67" t="n">
        <v>0.5555478</v>
      </c>
      <c r="Q295" s="67" t="n">
        <v>1.32258</v>
      </c>
      <c r="R295" s="67" t="n">
        <v>1.882314</v>
      </c>
      <c r="S295" s="68" t="s">
        <v>200</v>
      </c>
      <c r="T295" s="68" t="s">
        <v>201</v>
      </c>
      <c r="U295" s="68" t="s">
        <v>202</v>
      </c>
      <c r="V295" s="69"/>
      <c r="W295" s="68" t="s">
        <v>778</v>
      </c>
      <c r="X295" s="68" t="n">
        <v>4.89223905724198</v>
      </c>
      <c r="Y295" s="68" t="n">
        <v>269.073148148309</v>
      </c>
      <c r="Z295" s="68" t="n">
        <v>55</v>
      </c>
      <c r="AA295" s="70"/>
    </row>
    <row r="296" customFormat="false" ht="14.25" hidden="false" customHeight="false" outlineLevel="0" collapsed="false">
      <c r="A296" s="56"/>
      <c r="B296" s="56"/>
      <c r="C296" s="64" t="n">
        <v>291</v>
      </c>
      <c r="D296" s="71" t="s">
        <v>840</v>
      </c>
      <c r="E296" s="71" t="s">
        <v>839</v>
      </c>
      <c r="F296" s="71" t="s">
        <v>820</v>
      </c>
      <c r="G296" s="66" t="n">
        <v>44</v>
      </c>
      <c r="H296" s="67" t="n">
        <v>14.3</v>
      </c>
      <c r="I296" s="68" t="n">
        <v>213</v>
      </c>
      <c r="J296" s="68" t="n">
        <v>213</v>
      </c>
      <c r="K296" s="67" t="n">
        <v>213</v>
      </c>
      <c r="L296" s="68" t="s">
        <v>199</v>
      </c>
      <c r="M296" s="67" t="n">
        <v>0.5220326</v>
      </c>
      <c r="N296" s="67" t="n">
        <v>0.4528594</v>
      </c>
      <c r="O296" s="67" t="n">
        <v>3.779473</v>
      </c>
      <c r="P296" s="67" t="n">
        <v>0.9330585</v>
      </c>
      <c r="Q296" s="67" t="n">
        <v>1.611822</v>
      </c>
      <c r="R296" s="67" t="n">
        <v>1.797269</v>
      </c>
      <c r="S296" s="68" t="s">
        <v>200</v>
      </c>
      <c r="T296" s="68" t="s">
        <v>201</v>
      </c>
      <c r="U296" s="68" t="s">
        <v>202</v>
      </c>
      <c r="V296" s="69"/>
      <c r="W296" s="68" t="s">
        <v>827</v>
      </c>
      <c r="X296" s="68" t="n">
        <v>4.89223905724198</v>
      </c>
      <c r="Y296" s="68" t="n">
        <v>269.073148148309</v>
      </c>
      <c r="Z296" s="68" t="n">
        <v>55</v>
      </c>
      <c r="AA296" s="70" t="s">
        <v>841</v>
      </c>
    </row>
    <row r="297" customFormat="false" ht="14.25" hidden="false" customHeight="false" outlineLevel="0" collapsed="false">
      <c r="A297" s="56"/>
      <c r="B297" s="56"/>
      <c r="C297" s="64" t="n">
        <v>292</v>
      </c>
      <c r="D297" s="71" t="s">
        <v>842</v>
      </c>
      <c r="E297" s="71" t="s">
        <v>839</v>
      </c>
      <c r="F297" s="71" t="s">
        <v>843</v>
      </c>
      <c r="G297" s="66" t="n">
        <v>44</v>
      </c>
      <c r="H297" s="67" t="n">
        <v>47.317</v>
      </c>
      <c r="I297" s="68" t="n">
        <v>213</v>
      </c>
      <c r="J297" s="68" t="n">
        <v>213</v>
      </c>
      <c r="K297" s="67" t="n">
        <v>213</v>
      </c>
      <c r="L297" s="68" t="s">
        <v>199</v>
      </c>
      <c r="M297" s="67" t="n">
        <v>0.5220326</v>
      </c>
      <c r="N297" s="67" t="n">
        <v>0.4528594</v>
      </c>
      <c r="O297" s="67" t="n">
        <v>3.779473</v>
      </c>
      <c r="P297" s="67" t="n">
        <v>0.9330585</v>
      </c>
      <c r="Q297" s="67" t="n">
        <v>1.611822</v>
      </c>
      <c r="R297" s="67" t="n">
        <v>1.797269</v>
      </c>
      <c r="S297" s="68" t="s">
        <v>200</v>
      </c>
      <c r="T297" s="68" t="s">
        <v>201</v>
      </c>
      <c r="U297" s="68" t="s">
        <v>202</v>
      </c>
      <c r="V297" s="69"/>
      <c r="W297" s="68" t="s">
        <v>827</v>
      </c>
      <c r="X297" s="68" t="n">
        <v>4.89223905724198</v>
      </c>
      <c r="Y297" s="68" t="n">
        <v>269.073148148309</v>
      </c>
      <c r="Z297" s="68" t="n">
        <v>55</v>
      </c>
      <c r="AA297" s="70" t="s">
        <v>844</v>
      </c>
    </row>
    <row r="298" customFormat="false" ht="14.25" hidden="false" customHeight="false" outlineLevel="0" collapsed="false">
      <c r="A298" s="56"/>
      <c r="B298" s="56"/>
      <c r="C298" s="64" t="n">
        <v>293</v>
      </c>
      <c r="D298" s="71" t="s">
        <v>845</v>
      </c>
      <c r="E298" s="71" t="s">
        <v>839</v>
      </c>
      <c r="F298" s="71" t="s">
        <v>846</v>
      </c>
      <c r="G298" s="66" t="n">
        <v>44</v>
      </c>
      <c r="H298" s="67" t="n">
        <v>27</v>
      </c>
      <c r="I298" s="68" t="n">
        <v>393</v>
      </c>
      <c r="J298" s="68" t="n">
        <v>393</v>
      </c>
      <c r="K298" s="67" t="n">
        <v>393</v>
      </c>
      <c r="L298" s="68" t="s">
        <v>199</v>
      </c>
      <c r="M298" s="67" t="n">
        <v>0.2119043</v>
      </c>
      <c r="N298" s="67" t="n">
        <v>0.4065866</v>
      </c>
      <c r="O298" s="67" t="n">
        <v>4.093796</v>
      </c>
      <c r="P298" s="67" t="n">
        <v>0.5555478</v>
      </c>
      <c r="Q298" s="67" t="n">
        <v>1.32258</v>
      </c>
      <c r="R298" s="67" t="n">
        <v>1.882314</v>
      </c>
      <c r="S298" s="68" t="s">
        <v>200</v>
      </c>
      <c r="T298" s="68" t="s">
        <v>201</v>
      </c>
      <c r="U298" s="68" t="s">
        <v>771</v>
      </c>
      <c r="V298" s="69" t="n">
        <v>45838</v>
      </c>
      <c r="W298" s="68" t="s">
        <v>778</v>
      </c>
      <c r="X298" s="68"/>
      <c r="Y298" s="68"/>
      <c r="Z298" s="68"/>
      <c r="AA298" s="70"/>
    </row>
    <row r="299" customFormat="false" ht="14.25" hidden="false" customHeight="false" outlineLevel="0" collapsed="false">
      <c r="A299" s="56"/>
      <c r="B299" s="56"/>
      <c r="C299" s="64" t="n">
        <v>294</v>
      </c>
      <c r="D299" s="71" t="s">
        <v>847</v>
      </c>
      <c r="E299" s="71" t="s">
        <v>846</v>
      </c>
      <c r="F299" s="71" t="s">
        <v>843</v>
      </c>
      <c r="G299" s="66" t="n">
        <v>44</v>
      </c>
      <c r="H299" s="67" t="n">
        <v>23</v>
      </c>
      <c r="I299" s="68" t="n">
        <v>310</v>
      </c>
      <c r="J299" s="68" t="n">
        <v>310</v>
      </c>
      <c r="K299" s="67" t="n">
        <v>310</v>
      </c>
      <c r="L299" s="68" t="s">
        <v>199</v>
      </c>
      <c r="M299" s="67" t="n">
        <v>0.2617358</v>
      </c>
      <c r="N299" s="67" t="n">
        <v>0.4266667</v>
      </c>
      <c r="O299" s="67" t="n">
        <v>4.032093</v>
      </c>
      <c r="P299" s="67" t="n">
        <v>0.6727617</v>
      </c>
      <c r="Q299" s="67" t="n">
        <v>1.585629</v>
      </c>
      <c r="R299" s="67" t="n">
        <v>1.852435</v>
      </c>
      <c r="S299" s="68" t="s">
        <v>200</v>
      </c>
      <c r="T299" s="68" t="s">
        <v>201</v>
      </c>
      <c r="U299" s="68" t="s">
        <v>771</v>
      </c>
      <c r="V299" s="69" t="n">
        <v>45838</v>
      </c>
      <c r="W299" s="68" t="s">
        <v>782</v>
      </c>
      <c r="X299" s="68"/>
      <c r="Y299" s="68"/>
      <c r="Z299" s="68"/>
      <c r="AA299" s="70" t="s">
        <v>231</v>
      </c>
    </row>
    <row r="300" customFormat="false" ht="14.25" hidden="false" customHeight="false" outlineLevel="0" collapsed="false">
      <c r="A300" s="56"/>
      <c r="B300" s="56"/>
      <c r="C300" s="64" t="n">
        <v>295</v>
      </c>
      <c r="D300" s="71" t="s">
        <v>848</v>
      </c>
      <c r="E300" s="71" t="s">
        <v>849</v>
      </c>
      <c r="F300" s="71" t="s">
        <v>846</v>
      </c>
      <c r="G300" s="66" t="n">
        <v>44</v>
      </c>
      <c r="H300" s="67" t="n">
        <v>30.9</v>
      </c>
      <c r="I300" s="68" t="n">
        <v>393</v>
      </c>
      <c r="J300" s="68" t="n">
        <v>393</v>
      </c>
      <c r="K300" s="67" t="n">
        <v>393</v>
      </c>
      <c r="L300" s="68" t="s">
        <v>199</v>
      </c>
      <c r="M300" s="67" t="n">
        <v>0.2119043</v>
      </c>
      <c r="N300" s="67" t="n">
        <v>0.4065866</v>
      </c>
      <c r="O300" s="67" t="n">
        <v>4.093796</v>
      </c>
      <c r="P300" s="67" t="n">
        <v>0.5555478</v>
      </c>
      <c r="Q300" s="67" t="n">
        <v>1.32258</v>
      </c>
      <c r="R300" s="67" t="n">
        <v>1.882314</v>
      </c>
      <c r="S300" s="68" t="s">
        <v>200</v>
      </c>
      <c r="T300" s="68" t="s">
        <v>201</v>
      </c>
      <c r="U300" s="68" t="s">
        <v>771</v>
      </c>
      <c r="V300" s="69" t="n">
        <v>45838</v>
      </c>
      <c r="W300" s="68" t="s">
        <v>778</v>
      </c>
      <c r="X300" s="68"/>
      <c r="Y300" s="68"/>
      <c r="Z300" s="68"/>
      <c r="AA300" s="70"/>
    </row>
    <row r="301" customFormat="false" ht="14.25" hidden="false" customHeight="false" outlineLevel="0" collapsed="false">
      <c r="A301" s="56"/>
      <c r="B301" s="56"/>
      <c r="C301" s="64" t="n">
        <v>296</v>
      </c>
      <c r="D301" s="71" t="s">
        <v>850</v>
      </c>
      <c r="E301" s="71" t="s">
        <v>851</v>
      </c>
      <c r="F301" s="71" t="s">
        <v>852</v>
      </c>
      <c r="G301" s="66" t="n">
        <v>110</v>
      </c>
      <c r="H301" s="67" t="n">
        <v>20</v>
      </c>
      <c r="I301" s="68" t="n">
        <v>419.9</v>
      </c>
      <c r="J301" s="68" t="n">
        <v>530</v>
      </c>
      <c r="K301" s="68" t="n">
        <v>419.9</v>
      </c>
      <c r="L301" s="68" t="s">
        <v>199</v>
      </c>
      <c r="M301" s="67" t="n">
        <v>0.1287</v>
      </c>
      <c r="N301" s="67" t="n">
        <v>0.4687</v>
      </c>
      <c r="O301" s="67" t="n">
        <v>3.4964</v>
      </c>
      <c r="P301" s="67" t="n">
        <v>0.3938</v>
      </c>
      <c r="Q301" s="67" t="n">
        <v>1.6004</v>
      </c>
      <c r="R301" s="67" t="n">
        <v>1.7425</v>
      </c>
      <c r="S301" s="68" t="s">
        <v>767</v>
      </c>
      <c r="T301" s="68" t="s">
        <v>201</v>
      </c>
      <c r="U301" s="68" t="s">
        <v>202</v>
      </c>
      <c r="V301" s="69"/>
      <c r="W301" s="68" t="n">
        <v>477</v>
      </c>
      <c r="X301" s="68" t="n">
        <v>7.23407894736738</v>
      </c>
      <c r="Y301" s="68" t="n">
        <v>45.8158333333267</v>
      </c>
      <c r="Z301" s="68" t="n">
        <v>6.33333333333333</v>
      </c>
      <c r="AA301" s="70" t="s">
        <v>853</v>
      </c>
    </row>
    <row r="302" customFormat="false" ht="14.25" hidden="false" customHeight="false" outlineLevel="0" collapsed="false">
      <c r="A302" s="56"/>
      <c r="B302" s="56"/>
      <c r="C302" s="64" t="n">
        <v>297</v>
      </c>
      <c r="D302" s="71" t="s">
        <v>854</v>
      </c>
      <c r="E302" s="71" t="s">
        <v>851</v>
      </c>
      <c r="F302" s="71" t="s">
        <v>855</v>
      </c>
      <c r="G302" s="66" t="n">
        <v>110</v>
      </c>
      <c r="H302" s="67" t="n">
        <v>20</v>
      </c>
      <c r="I302" s="68" t="n">
        <v>430.4</v>
      </c>
      <c r="J302" s="68" t="n">
        <v>670</v>
      </c>
      <c r="K302" s="68" t="n">
        <v>430.4</v>
      </c>
      <c r="L302" s="68" t="s">
        <v>199</v>
      </c>
      <c r="M302" s="67" t="n">
        <v>0.1287</v>
      </c>
      <c r="N302" s="67" t="n">
        <v>0.4687</v>
      </c>
      <c r="O302" s="67" t="n">
        <v>3.4964</v>
      </c>
      <c r="P302" s="67" t="n">
        <v>0.3938</v>
      </c>
      <c r="Q302" s="67" t="n">
        <v>1.6004</v>
      </c>
      <c r="R302" s="67" t="n">
        <v>1.7425</v>
      </c>
      <c r="S302" s="68" t="s">
        <v>767</v>
      </c>
      <c r="T302" s="68" t="s">
        <v>201</v>
      </c>
      <c r="U302" s="68" t="s">
        <v>202</v>
      </c>
      <c r="V302" s="69"/>
      <c r="W302" s="68" t="n">
        <v>477</v>
      </c>
      <c r="X302" s="68" t="n">
        <v>3.17950292397107</v>
      </c>
      <c r="Y302" s="68" t="n">
        <v>50.3421296295419</v>
      </c>
      <c r="Z302" s="68" t="n">
        <v>15.8333333333333</v>
      </c>
      <c r="AA302" s="70"/>
    </row>
    <row r="303" customFormat="false" ht="14.25" hidden="false" customHeight="false" outlineLevel="0" collapsed="false">
      <c r="A303" s="56"/>
      <c r="B303" s="56"/>
      <c r="C303" s="64" t="n">
        <v>298</v>
      </c>
      <c r="D303" s="71" t="s">
        <v>856</v>
      </c>
      <c r="E303" s="71" t="s">
        <v>851</v>
      </c>
      <c r="F303" s="71" t="s">
        <v>857</v>
      </c>
      <c r="G303" s="66" t="n">
        <v>110</v>
      </c>
      <c r="H303" s="67" t="n">
        <v>7.5</v>
      </c>
      <c r="I303" s="68" t="n">
        <v>430.4</v>
      </c>
      <c r="J303" s="68" t="n">
        <v>670</v>
      </c>
      <c r="K303" s="68" t="n">
        <v>430.4</v>
      </c>
      <c r="L303" s="68" t="s">
        <v>199</v>
      </c>
      <c r="M303" s="67" t="n">
        <v>0.1287</v>
      </c>
      <c r="N303" s="67" t="n">
        <v>0.4687</v>
      </c>
      <c r="O303" s="67" t="n">
        <v>3.4964</v>
      </c>
      <c r="P303" s="67" t="n">
        <v>0.3938</v>
      </c>
      <c r="Q303" s="67" t="n">
        <v>1.6004</v>
      </c>
      <c r="R303" s="67" t="n">
        <v>1.7425</v>
      </c>
      <c r="S303" s="68" t="s">
        <v>767</v>
      </c>
      <c r="T303" s="68" t="s">
        <v>201</v>
      </c>
      <c r="U303" s="68" t="s">
        <v>771</v>
      </c>
      <c r="V303" s="69" t="n">
        <v>45688</v>
      </c>
      <c r="W303" s="68" t="n">
        <v>477</v>
      </c>
      <c r="X303" s="68"/>
      <c r="Y303" s="68"/>
      <c r="Z303" s="68"/>
      <c r="AA303" s="70" t="s">
        <v>858</v>
      </c>
    </row>
    <row r="304" customFormat="false" ht="14.25" hidden="false" customHeight="false" outlineLevel="0" collapsed="false">
      <c r="A304" s="56"/>
      <c r="B304" s="56"/>
      <c r="C304" s="64" t="n">
        <v>299</v>
      </c>
      <c r="D304" s="71" t="s">
        <v>859</v>
      </c>
      <c r="E304" s="71" t="s">
        <v>603</v>
      </c>
      <c r="F304" s="71" t="s">
        <v>852</v>
      </c>
      <c r="G304" s="66" t="n">
        <v>110</v>
      </c>
      <c r="H304" s="67" t="n">
        <v>13.5</v>
      </c>
      <c r="I304" s="68" t="n">
        <v>430.4</v>
      </c>
      <c r="J304" s="68" t="n">
        <v>670</v>
      </c>
      <c r="K304" s="68" t="n">
        <v>430.4</v>
      </c>
      <c r="L304" s="68" t="s">
        <v>199</v>
      </c>
      <c r="M304" s="67" t="n">
        <v>0.1287</v>
      </c>
      <c r="N304" s="67" t="n">
        <v>0.4687</v>
      </c>
      <c r="O304" s="67" t="n">
        <v>3.4964</v>
      </c>
      <c r="P304" s="67" t="n">
        <v>0.3938</v>
      </c>
      <c r="Q304" s="67" t="n">
        <v>1.6004</v>
      </c>
      <c r="R304" s="67" t="n">
        <v>1.7425</v>
      </c>
      <c r="S304" s="68" t="s">
        <v>767</v>
      </c>
      <c r="T304" s="68" t="s">
        <v>201</v>
      </c>
      <c r="U304" s="68" t="s">
        <v>771</v>
      </c>
      <c r="V304" s="69" t="n">
        <v>45688</v>
      </c>
      <c r="W304" s="68" t="n">
        <v>477</v>
      </c>
      <c r="X304" s="68"/>
      <c r="Y304" s="68"/>
      <c r="Z304" s="68"/>
      <c r="AA304" s="70" t="s">
        <v>858</v>
      </c>
    </row>
    <row r="305" customFormat="false" ht="14.25" hidden="false" customHeight="false" outlineLevel="0" collapsed="false">
      <c r="A305" s="56"/>
      <c r="B305" s="56"/>
      <c r="C305" s="64" t="n">
        <v>300</v>
      </c>
      <c r="D305" s="71" t="s">
        <v>860</v>
      </c>
      <c r="E305" s="71" t="s">
        <v>855</v>
      </c>
      <c r="F305" s="71" t="s">
        <v>861</v>
      </c>
      <c r="G305" s="66" t="n">
        <v>110</v>
      </c>
      <c r="H305" s="67" t="n">
        <v>17.7</v>
      </c>
      <c r="I305" s="68" t="n">
        <v>430.4</v>
      </c>
      <c r="J305" s="68" t="n">
        <v>670</v>
      </c>
      <c r="K305" s="68" t="n">
        <v>670</v>
      </c>
      <c r="L305" s="68" t="s">
        <v>199</v>
      </c>
      <c r="M305" s="67" t="n">
        <v>0.1864</v>
      </c>
      <c r="N305" s="67" t="n">
        <v>0.5332</v>
      </c>
      <c r="O305" s="67" t="n">
        <v>3.0695</v>
      </c>
      <c r="P305" s="67" t="n">
        <v>0.4727</v>
      </c>
      <c r="Q305" s="67" t="n">
        <v>1.5004</v>
      </c>
      <c r="R305" s="67" t="n">
        <v>2.1359</v>
      </c>
      <c r="S305" s="68" t="s">
        <v>767</v>
      </c>
      <c r="T305" s="68" t="s">
        <v>201</v>
      </c>
      <c r="U305" s="68" t="s">
        <v>202</v>
      </c>
      <c r="V305" s="69"/>
      <c r="W305" s="68"/>
      <c r="X305" s="68" t="n">
        <v>3.17950292397107</v>
      </c>
      <c r="Y305" s="68" t="n">
        <v>50.3421296295419</v>
      </c>
      <c r="Z305" s="68" t="n">
        <v>15.8333333333333</v>
      </c>
      <c r="AA305" s="70"/>
    </row>
    <row r="306" customFormat="false" ht="14.25" hidden="false" customHeight="false" outlineLevel="0" collapsed="false">
      <c r="A306" s="56"/>
      <c r="B306" s="56"/>
      <c r="C306" s="64" t="n">
        <v>301</v>
      </c>
      <c r="D306" s="71" t="s">
        <v>862</v>
      </c>
      <c r="E306" s="71" t="s">
        <v>855</v>
      </c>
      <c r="F306" s="71" t="s">
        <v>863</v>
      </c>
      <c r="G306" s="66" t="n">
        <v>110</v>
      </c>
      <c r="H306" s="67" t="n">
        <v>21.4</v>
      </c>
      <c r="I306" s="68" t="n">
        <v>467</v>
      </c>
      <c r="J306" s="68" t="n">
        <v>654</v>
      </c>
      <c r="K306" s="68" t="n">
        <v>600</v>
      </c>
      <c r="L306" s="68" t="s">
        <v>199</v>
      </c>
      <c r="M306" s="67" t="n">
        <v>0.1287</v>
      </c>
      <c r="N306" s="67" t="n">
        <v>0.4687</v>
      </c>
      <c r="O306" s="67" t="n">
        <v>3.4964</v>
      </c>
      <c r="P306" s="67" t="n">
        <v>0.3938</v>
      </c>
      <c r="Q306" s="67" t="n">
        <v>1.6004</v>
      </c>
      <c r="R306" s="67" t="n">
        <v>1.7425</v>
      </c>
      <c r="S306" s="68" t="s">
        <v>767</v>
      </c>
      <c r="T306" s="68" t="s">
        <v>201</v>
      </c>
      <c r="U306" s="68" t="s">
        <v>202</v>
      </c>
      <c r="V306" s="69"/>
      <c r="W306" s="68" t="n">
        <v>477</v>
      </c>
      <c r="X306" s="68" t="n">
        <v>2.08985507247322</v>
      </c>
      <c r="Y306" s="68" t="n">
        <v>24.033333333442</v>
      </c>
      <c r="Z306" s="68" t="n">
        <v>11.5</v>
      </c>
      <c r="AA306" s="70" t="s">
        <v>864</v>
      </c>
    </row>
    <row r="307" customFormat="false" ht="14.25" hidden="false" customHeight="false" outlineLevel="0" collapsed="false">
      <c r="A307" s="56"/>
      <c r="B307" s="56"/>
      <c r="C307" s="64" t="n">
        <v>302</v>
      </c>
      <c r="D307" s="71" t="s">
        <v>865</v>
      </c>
      <c r="E307" s="71" t="s">
        <v>863</v>
      </c>
      <c r="F307" s="71" t="s">
        <v>861</v>
      </c>
      <c r="G307" s="66" t="n">
        <v>110</v>
      </c>
      <c r="H307" s="67" t="n">
        <v>4.1</v>
      </c>
      <c r="I307" s="68" t="n">
        <v>467</v>
      </c>
      <c r="J307" s="68" t="n">
        <v>654</v>
      </c>
      <c r="K307" s="68" t="n">
        <v>600</v>
      </c>
      <c r="L307" s="68" t="s">
        <v>199</v>
      </c>
      <c r="M307" s="67" t="n">
        <v>0.1287</v>
      </c>
      <c r="N307" s="67" t="n">
        <v>0.4687</v>
      </c>
      <c r="O307" s="67" t="n">
        <v>3.4964</v>
      </c>
      <c r="P307" s="67" t="n">
        <v>0.3938</v>
      </c>
      <c r="Q307" s="67" t="n">
        <v>1.6004</v>
      </c>
      <c r="R307" s="67" t="n">
        <v>1.7425</v>
      </c>
      <c r="S307" s="68" t="s">
        <v>767</v>
      </c>
      <c r="T307" s="68" t="s">
        <v>201</v>
      </c>
      <c r="U307" s="68" t="s">
        <v>202</v>
      </c>
      <c r="V307" s="69"/>
      <c r="W307" s="68" t="n">
        <v>477</v>
      </c>
      <c r="X307" s="68" t="n">
        <v>2.08985507247322</v>
      </c>
      <c r="Y307" s="68" t="n">
        <v>24.033333333442</v>
      </c>
      <c r="Z307" s="68" t="n">
        <v>11.5</v>
      </c>
      <c r="AA307" s="70" t="s">
        <v>864</v>
      </c>
    </row>
    <row r="308" customFormat="false" ht="14.25" hidden="false" customHeight="false" outlineLevel="0" collapsed="false">
      <c r="A308" s="56"/>
      <c r="B308" s="56"/>
      <c r="C308" s="64" t="n">
        <v>303</v>
      </c>
      <c r="D308" s="71" t="s">
        <v>866</v>
      </c>
      <c r="E308" s="71" t="s">
        <v>863</v>
      </c>
      <c r="F308" s="71" t="s">
        <v>867</v>
      </c>
      <c r="G308" s="66" t="n">
        <v>110</v>
      </c>
      <c r="H308" s="67" t="n">
        <v>18.7</v>
      </c>
      <c r="I308" s="68" t="n">
        <v>467</v>
      </c>
      <c r="J308" s="68" t="n">
        <v>654</v>
      </c>
      <c r="K308" s="68" t="n">
        <v>600</v>
      </c>
      <c r="L308" s="68" t="s">
        <v>199</v>
      </c>
      <c r="M308" s="67" t="n">
        <v>0.1287</v>
      </c>
      <c r="N308" s="67" t="n">
        <v>0.4687</v>
      </c>
      <c r="O308" s="67" t="n">
        <v>3.4964</v>
      </c>
      <c r="P308" s="67" t="n">
        <v>0.3938</v>
      </c>
      <c r="Q308" s="67" t="n">
        <v>1.6004</v>
      </c>
      <c r="R308" s="67" t="n">
        <v>1.7425</v>
      </c>
      <c r="S308" s="68" t="s">
        <v>767</v>
      </c>
      <c r="T308" s="68" t="s">
        <v>201</v>
      </c>
      <c r="U308" s="68" t="s">
        <v>202</v>
      </c>
      <c r="V308" s="69"/>
      <c r="W308" s="68" t="n">
        <v>477</v>
      </c>
      <c r="X308" s="68" t="n">
        <v>2.08985507247322</v>
      </c>
      <c r="Y308" s="68" t="n">
        <v>24.033333333442</v>
      </c>
      <c r="Z308" s="68" t="n">
        <v>11.5</v>
      </c>
      <c r="AA308" s="70" t="s">
        <v>864</v>
      </c>
    </row>
    <row r="309" customFormat="false" ht="14.25" hidden="false" customHeight="false" outlineLevel="0" collapsed="false">
      <c r="A309" s="56"/>
      <c r="B309" s="56"/>
      <c r="C309" s="64" t="n">
        <v>304</v>
      </c>
      <c r="D309" s="71" t="s">
        <v>868</v>
      </c>
      <c r="E309" s="71" t="s">
        <v>861</v>
      </c>
      <c r="F309" s="71" t="s">
        <v>867</v>
      </c>
      <c r="G309" s="66" t="n">
        <v>110</v>
      </c>
      <c r="H309" s="67" t="n">
        <v>22.8</v>
      </c>
      <c r="I309" s="68" t="n">
        <v>467</v>
      </c>
      <c r="J309" s="68" t="n">
        <v>670</v>
      </c>
      <c r="K309" s="68" t="n">
        <v>600</v>
      </c>
      <c r="L309" s="68" t="s">
        <v>199</v>
      </c>
      <c r="M309" s="67" t="n">
        <v>0.1287</v>
      </c>
      <c r="N309" s="67" t="n">
        <v>0.4687</v>
      </c>
      <c r="O309" s="67" t="n">
        <v>3.4964</v>
      </c>
      <c r="P309" s="67" t="n">
        <v>0.3938</v>
      </c>
      <c r="Q309" s="67" t="n">
        <v>1.6004</v>
      </c>
      <c r="R309" s="67" t="n">
        <v>1.7425</v>
      </c>
      <c r="S309" s="68" t="s">
        <v>767</v>
      </c>
      <c r="T309" s="68" t="s">
        <v>201</v>
      </c>
      <c r="U309" s="68" t="s">
        <v>771</v>
      </c>
      <c r="V309" s="69" t="n">
        <v>46752</v>
      </c>
      <c r="W309" s="68" t="n">
        <v>477</v>
      </c>
      <c r="X309" s="68"/>
      <c r="Y309" s="68"/>
      <c r="Z309" s="68"/>
      <c r="AA309" s="70"/>
    </row>
    <row r="310" customFormat="false" ht="14.25" hidden="false" customHeight="false" outlineLevel="0" collapsed="false">
      <c r="A310" s="56"/>
      <c r="B310" s="56"/>
      <c r="C310" s="64" t="n">
        <v>305</v>
      </c>
      <c r="D310" s="71" t="s">
        <v>869</v>
      </c>
      <c r="E310" s="71" t="s">
        <v>855</v>
      </c>
      <c r="F310" s="71" t="s">
        <v>870</v>
      </c>
      <c r="G310" s="66" t="n">
        <v>110</v>
      </c>
      <c r="H310" s="67" t="n">
        <v>45</v>
      </c>
      <c r="I310" s="68" t="n">
        <v>467</v>
      </c>
      <c r="J310" s="68" t="n">
        <v>607</v>
      </c>
      <c r="K310" s="68" t="n">
        <v>607</v>
      </c>
      <c r="L310" s="68" t="s">
        <v>199</v>
      </c>
      <c r="M310" s="67" t="n">
        <v>0.1287</v>
      </c>
      <c r="N310" s="67" t="n">
        <v>0.4687</v>
      </c>
      <c r="O310" s="67" t="n">
        <v>3.4964</v>
      </c>
      <c r="P310" s="67" t="n">
        <v>0.3938</v>
      </c>
      <c r="Q310" s="67" t="n">
        <v>1.6004</v>
      </c>
      <c r="R310" s="67" t="n">
        <v>1.7425</v>
      </c>
      <c r="S310" s="68" t="s">
        <v>767</v>
      </c>
      <c r="T310" s="68" t="s">
        <v>201</v>
      </c>
      <c r="U310" s="68" t="s">
        <v>771</v>
      </c>
      <c r="V310" s="69" t="n">
        <v>47848</v>
      </c>
      <c r="W310" s="68" t="n">
        <v>477</v>
      </c>
      <c r="X310" s="68"/>
      <c r="Y310" s="68"/>
      <c r="Z310" s="68"/>
      <c r="AA310" s="70" t="s">
        <v>871</v>
      </c>
    </row>
    <row r="311" customFormat="false" ht="14.25" hidden="false" customHeight="false" outlineLevel="0" collapsed="false">
      <c r="A311" s="56"/>
      <c r="B311" s="56"/>
      <c r="C311" s="64" t="n">
        <v>306</v>
      </c>
      <c r="D311" s="71" t="s">
        <v>872</v>
      </c>
      <c r="E311" s="71" t="s">
        <v>870</v>
      </c>
      <c r="F311" s="71" t="s">
        <v>867</v>
      </c>
      <c r="G311" s="66" t="n">
        <v>110</v>
      </c>
      <c r="H311" s="67" t="n">
        <v>26</v>
      </c>
      <c r="I311" s="68" t="n">
        <v>467</v>
      </c>
      <c r="J311" s="68" t="n">
        <v>607</v>
      </c>
      <c r="K311" s="68" t="n">
        <v>607</v>
      </c>
      <c r="L311" s="68" t="s">
        <v>199</v>
      </c>
      <c r="M311" s="67" t="n">
        <v>0.1287</v>
      </c>
      <c r="N311" s="67" t="n">
        <v>0.4687</v>
      </c>
      <c r="O311" s="67" t="n">
        <v>3.4964</v>
      </c>
      <c r="P311" s="67" t="n">
        <v>0.3938</v>
      </c>
      <c r="Q311" s="67" t="n">
        <v>1.6004</v>
      </c>
      <c r="R311" s="67" t="n">
        <v>1.7425</v>
      </c>
      <c r="S311" s="68" t="s">
        <v>767</v>
      </c>
      <c r="T311" s="68" t="s">
        <v>201</v>
      </c>
      <c r="U311" s="68" t="s">
        <v>771</v>
      </c>
      <c r="V311" s="69" t="n">
        <v>47483</v>
      </c>
      <c r="W311" s="68" t="n">
        <v>477</v>
      </c>
      <c r="X311" s="68"/>
      <c r="Y311" s="68"/>
      <c r="Z311" s="68"/>
      <c r="AA311" s="70" t="s">
        <v>873</v>
      </c>
    </row>
    <row r="312" customFormat="false" ht="14.25" hidden="false" customHeight="false" outlineLevel="0" collapsed="false">
      <c r="A312" s="56"/>
      <c r="B312" s="56"/>
      <c r="C312" s="64" t="n">
        <v>307</v>
      </c>
      <c r="D312" s="71" t="s">
        <v>874</v>
      </c>
      <c r="E312" s="71" t="s">
        <v>875</v>
      </c>
      <c r="F312" s="71" t="s">
        <v>876</v>
      </c>
      <c r="G312" s="66" t="n">
        <v>110</v>
      </c>
      <c r="H312" s="67" t="n">
        <v>28.55</v>
      </c>
      <c r="I312" s="68" t="n">
        <v>400</v>
      </c>
      <c r="J312" s="68" t="n">
        <v>617</v>
      </c>
      <c r="K312" s="68" t="n">
        <v>617</v>
      </c>
      <c r="L312" s="68" t="s">
        <v>199</v>
      </c>
      <c r="M312" s="67" t="n">
        <v>0.1208</v>
      </c>
      <c r="N312" s="67" t="n">
        <v>0.4735</v>
      </c>
      <c r="O312" s="67" t="n">
        <v>3.5187</v>
      </c>
      <c r="P312" s="67" t="n">
        <v>0.2885</v>
      </c>
      <c r="Q312" s="67" t="n">
        <v>1.6888</v>
      </c>
      <c r="R312" s="67" t="n">
        <v>2.0138</v>
      </c>
      <c r="S312" s="68" t="s">
        <v>767</v>
      </c>
      <c r="T312" s="68" t="s">
        <v>201</v>
      </c>
      <c r="U312" s="68" t="s">
        <v>202</v>
      </c>
      <c r="V312" s="69"/>
      <c r="W312" s="68" t="n">
        <v>477</v>
      </c>
      <c r="X312" s="68" t="n">
        <v>2.10110601428106</v>
      </c>
      <c r="Y312" s="68" t="n">
        <v>38.1700925927726</v>
      </c>
      <c r="Z312" s="68" t="n">
        <v>18.1666666666667</v>
      </c>
      <c r="AA312" s="70" t="s">
        <v>877</v>
      </c>
    </row>
    <row r="313" customFormat="false" ht="14.25" hidden="false" customHeight="false" outlineLevel="0" collapsed="false">
      <c r="A313" s="56"/>
      <c r="B313" s="56"/>
      <c r="C313" s="64" t="n">
        <v>308</v>
      </c>
      <c r="D313" s="71" t="s">
        <v>878</v>
      </c>
      <c r="E313" s="71" t="s">
        <v>861</v>
      </c>
      <c r="F313" s="71" t="s">
        <v>875</v>
      </c>
      <c r="G313" s="66" t="n">
        <v>110</v>
      </c>
      <c r="H313" s="67" t="n">
        <v>11.95</v>
      </c>
      <c r="I313" s="68" t="n">
        <v>561</v>
      </c>
      <c r="J313" s="68" t="n">
        <v>670</v>
      </c>
      <c r="K313" s="68" t="n">
        <v>617</v>
      </c>
      <c r="L313" s="68" t="s">
        <v>199</v>
      </c>
      <c r="M313" s="67" t="n">
        <v>0.1208</v>
      </c>
      <c r="N313" s="67" t="n">
        <v>0.4735</v>
      </c>
      <c r="O313" s="67" t="n">
        <v>3.5187</v>
      </c>
      <c r="P313" s="67" t="n">
        <v>0.2885</v>
      </c>
      <c r="Q313" s="67" t="n">
        <v>1.6888</v>
      </c>
      <c r="R313" s="67" t="n">
        <v>2.0138</v>
      </c>
      <c r="S313" s="68" t="s">
        <v>767</v>
      </c>
      <c r="T313" s="68" t="s">
        <v>201</v>
      </c>
      <c r="U313" s="68" t="s">
        <v>202</v>
      </c>
      <c r="V313" s="69"/>
      <c r="W313" s="68" t="n">
        <v>477</v>
      </c>
      <c r="X313" s="68" t="n">
        <v>1.90681818184252</v>
      </c>
      <c r="Y313" s="68" t="n">
        <v>6.99166666675592</v>
      </c>
      <c r="Z313" s="68" t="n">
        <v>3.66666666666667</v>
      </c>
      <c r="AA313" s="70"/>
    </row>
    <row r="314" customFormat="false" ht="14.25" hidden="false" customHeight="false" outlineLevel="0" collapsed="false">
      <c r="A314" s="56"/>
      <c r="B314" s="56"/>
      <c r="C314" s="64" t="n">
        <v>309</v>
      </c>
      <c r="D314" s="71" t="s">
        <v>879</v>
      </c>
      <c r="E314" s="71" t="s">
        <v>870</v>
      </c>
      <c r="F314" s="71" t="s">
        <v>880</v>
      </c>
      <c r="G314" s="66" t="n">
        <v>44</v>
      </c>
      <c r="H314" s="67" t="n">
        <v>18.5</v>
      </c>
      <c r="I314" s="68" t="n">
        <v>393</v>
      </c>
      <c r="J314" s="68" t="n">
        <v>393</v>
      </c>
      <c r="K314" s="68" t="n">
        <v>393</v>
      </c>
      <c r="L314" s="68" t="s">
        <v>199</v>
      </c>
      <c r="M314" s="67" t="n">
        <v>0.2119043</v>
      </c>
      <c r="N314" s="67" t="n">
        <v>0.4065866</v>
      </c>
      <c r="O314" s="67" t="n">
        <v>4.093796</v>
      </c>
      <c r="P314" s="67" t="n">
        <v>0.5555478</v>
      </c>
      <c r="Q314" s="67" t="n">
        <v>1.32258</v>
      </c>
      <c r="R314" s="67" t="n">
        <v>1.882314</v>
      </c>
      <c r="S314" s="68" t="s">
        <v>200</v>
      </c>
      <c r="T314" s="68" t="s">
        <v>201</v>
      </c>
      <c r="U314" s="68" t="s">
        <v>771</v>
      </c>
      <c r="V314" s="69" t="n">
        <v>46387</v>
      </c>
      <c r="W314" s="68" t="s">
        <v>778</v>
      </c>
      <c r="X314" s="68"/>
      <c r="Y314" s="68"/>
      <c r="Z314" s="68"/>
      <c r="AA314" s="70" t="s">
        <v>881</v>
      </c>
    </row>
    <row r="315" customFormat="false" ht="14.25" hidden="false" customHeight="false" outlineLevel="0" collapsed="false">
      <c r="A315" s="56"/>
      <c r="B315" s="56"/>
      <c r="C315" s="64" t="n">
        <v>310</v>
      </c>
      <c r="D315" s="71" t="s">
        <v>882</v>
      </c>
      <c r="E315" s="71" t="s">
        <v>870</v>
      </c>
      <c r="F315" s="71" t="s">
        <v>883</v>
      </c>
      <c r="G315" s="66" t="n">
        <v>44</v>
      </c>
      <c r="H315" s="67" t="n">
        <v>10.5</v>
      </c>
      <c r="I315" s="68" t="n">
        <v>393</v>
      </c>
      <c r="J315" s="68" t="n">
        <v>393</v>
      </c>
      <c r="K315" s="68" t="n">
        <v>393</v>
      </c>
      <c r="L315" s="68" t="s">
        <v>199</v>
      </c>
      <c r="M315" s="67" t="n">
        <v>0.2119043</v>
      </c>
      <c r="N315" s="67" t="n">
        <v>0.4065866</v>
      </c>
      <c r="O315" s="67" t="n">
        <v>4.093796</v>
      </c>
      <c r="P315" s="67" t="n">
        <v>0.5555478</v>
      </c>
      <c r="Q315" s="67" t="n">
        <v>1.32258</v>
      </c>
      <c r="R315" s="67" t="n">
        <v>1.882314</v>
      </c>
      <c r="S315" s="68" t="s">
        <v>200</v>
      </c>
      <c r="T315" s="68" t="s">
        <v>201</v>
      </c>
      <c r="U315" s="68" t="s">
        <v>771</v>
      </c>
      <c r="V315" s="69" t="n">
        <v>46568</v>
      </c>
      <c r="W315" s="68" t="s">
        <v>778</v>
      </c>
      <c r="X315" s="68"/>
      <c r="Y315" s="68"/>
      <c r="Z315" s="68"/>
      <c r="AA315" s="70" t="s">
        <v>884</v>
      </c>
    </row>
    <row r="316" customFormat="false" ht="14.25" hidden="false" customHeight="false" outlineLevel="0" collapsed="false">
      <c r="A316" s="56"/>
      <c r="B316" s="56"/>
      <c r="C316" s="64" t="n">
        <v>311</v>
      </c>
      <c r="D316" s="71" t="s">
        <v>885</v>
      </c>
      <c r="E316" s="71" t="s">
        <v>855</v>
      </c>
      <c r="F316" s="71" t="s">
        <v>886</v>
      </c>
      <c r="G316" s="66" t="n">
        <v>44</v>
      </c>
      <c r="H316" s="67" t="n">
        <v>3.76</v>
      </c>
      <c r="I316" s="68" t="n">
        <v>310</v>
      </c>
      <c r="J316" s="68" t="n">
        <v>310</v>
      </c>
      <c r="K316" s="68" t="n">
        <v>310</v>
      </c>
      <c r="L316" s="68" t="s">
        <v>199</v>
      </c>
      <c r="M316" s="67" t="n">
        <v>0.2617358</v>
      </c>
      <c r="N316" s="67" t="n">
        <v>0.4266667</v>
      </c>
      <c r="O316" s="67" t="n">
        <v>4.032093</v>
      </c>
      <c r="P316" s="67" t="n">
        <v>0.6727617</v>
      </c>
      <c r="Q316" s="67" t="n">
        <v>1.585629</v>
      </c>
      <c r="R316" s="67" t="n">
        <v>1.852435</v>
      </c>
      <c r="S316" s="68" t="s">
        <v>200</v>
      </c>
      <c r="T316" s="68" t="s">
        <v>201</v>
      </c>
      <c r="U316" s="68" t="s">
        <v>202</v>
      </c>
      <c r="V316" s="69"/>
      <c r="W316" s="68" t="s">
        <v>782</v>
      </c>
      <c r="X316" s="68" t="n">
        <v>2.89625177304533</v>
      </c>
      <c r="Y316" s="68" t="n">
        <v>136.12383333313</v>
      </c>
      <c r="Z316" s="68" t="n">
        <v>47</v>
      </c>
      <c r="AA316" s="70"/>
    </row>
    <row r="317" customFormat="false" ht="14.25" hidden="false" customHeight="false" outlineLevel="0" collapsed="false">
      <c r="A317" s="56"/>
      <c r="B317" s="56"/>
      <c r="C317" s="64" t="n">
        <v>312</v>
      </c>
      <c r="D317" s="71" t="s">
        <v>887</v>
      </c>
      <c r="E317" s="71" t="s">
        <v>886</v>
      </c>
      <c r="F317" s="71" t="s">
        <v>888</v>
      </c>
      <c r="G317" s="66" t="n">
        <v>44</v>
      </c>
      <c r="H317" s="67" t="n">
        <v>7.65</v>
      </c>
      <c r="I317" s="68" t="n">
        <v>213</v>
      </c>
      <c r="J317" s="68" t="n">
        <v>213</v>
      </c>
      <c r="K317" s="68" t="n">
        <v>213</v>
      </c>
      <c r="L317" s="68" t="s">
        <v>199</v>
      </c>
      <c r="M317" s="67" t="n">
        <v>0.5220326</v>
      </c>
      <c r="N317" s="67" t="n">
        <v>0.4528594</v>
      </c>
      <c r="O317" s="67" t="n">
        <v>3.779473</v>
      </c>
      <c r="P317" s="67" t="n">
        <v>0.9330585</v>
      </c>
      <c r="Q317" s="67" t="n">
        <v>1.611822</v>
      </c>
      <c r="R317" s="67" t="n">
        <v>1.797269</v>
      </c>
      <c r="S317" s="68" t="s">
        <v>200</v>
      </c>
      <c r="T317" s="68" t="s">
        <v>201</v>
      </c>
      <c r="U317" s="68" t="s">
        <v>202</v>
      </c>
      <c r="V317" s="69"/>
      <c r="W317" s="68" t="s">
        <v>827</v>
      </c>
      <c r="X317" s="68" t="n">
        <v>2.89625177304533</v>
      </c>
      <c r="Y317" s="68" t="n">
        <v>136.12383333313</v>
      </c>
      <c r="Z317" s="68" t="n">
        <v>47</v>
      </c>
      <c r="AA317" s="70"/>
    </row>
    <row r="318" customFormat="false" ht="14.25" hidden="false" customHeight="false" outlineLevel="0" collapsed="false">
      <c r="A318" s="56"/>
      <c r="B318" s="56"/>
      <c r="C318" s="64" t="n">
        <v>313</v>
      </c>
      <c r="D318" s="71" t="s">
        <v>889</v>
      </c>
      <c r="E318" s="71" t="s">
        <v>855</v>
      </c>
      <c r="F318" s="71" t="s">
        <v>880</v>
      </c>
      <c r="G318" s="66" t="n">
        <v>44</v>
      </c>
      <c r="H318" s="67" t="n">
        <v>9.45</v>
      </c>
      <c r="I318" s="68" t="n">
        <v>310</v>
      </c>
      <c r="J318" s="68" t="n">
        <v>310</v>
      </c>
      <c r="K318" s="68" t="n">
        <v>310</v>
      </c>
      <c r="L318" s="68" t="s">
        <v>199</v>
      </c>
      <c r="M318" s="67" t="n">
        <v>0.2617358</v>
      </c>
      <c r="N318" s="67" t="n">
        <v>0.4266667</v>
      </c>
      <c r="O318" s="67" t="n">
        <v>4.032093</v>
      </c>
      <c r="P318" s="67" t="n">
        <v>0.6727617</v>
      </c>
      <c r="Q318" s="67" t="n">
        <v>1.585629</v>
      </c>
      <c r="R318" s="67" t="n">
        <v>1.852435</v>
      </c>
      <c r="S318" s="68" t="s">
        <v>200</v>
      </c>
      <c r="T318" s="68" t="s">
        <v>201</v>
      </c>
      <c r="U318" s="68" t="s">
        <v>202</v>
      </c>
      <c r="V318" s="69"/>
      <c r="W318" s="68" t="s">
        <v>782</v>
      </c>
      <c r="X318" s="68" t="n">
        <v>3.67134976526476</v>
      </c>
      <c r="Y318" s="68" t="n">
        <v>43.444305555633</v>
      </c>
      <c r="Z318" s="68" t="n">
        <v>11.8333333333333</v>
      </c>
      <c r="AA318" s="70"/>
    </row>
    <row r="319" customFormat="false" ht="14.25" hidden="false" customHeight="false" outlineLevel="0" collapsed="false">
      <c r="A319" s="56"/>
      <c r="B319" s="56"/>
      <c r="C319" s="64" t="n">
        <v>314</v>
      </c>
      <c r="D319" s="71" t="s">
        <v>890</v>
      </c>
      <c r="E319" s="71" t="s">
        <v>855</v>
      </c>
      <c r="F319" s="71" t="s">
        <v>891</v>
      </c>
      <c r="G319" s="66" t="n">
        <v>44</v>
      </c>
      <c r="H319" s="67" t="n">
        <v>15.15</v>
      </c>
      <c r="I319" s="68" t="n">
        <v>310</v>
      </c>
      <c r="J319" s="68" t="n">
        <v>310</v>
      </c>
      <c r="K319" s="68" t="n">
        <v>310</v>
      </c>
      <c r="L319" s="68" t="s">
        <v>199</v>
      </c>
      <c r="M319" s="67" t="n">
        <v>0.2617358</v>
      </c>
      <c r="N319" s="67" t="n">
        <v>0.4266667</v>
      </c>
      <c r="O319" s="67" t="n">
        <v>4.032093</v>
      </c>
      <c r="P319" s="67" t="n">
        <v>0.6727617</v>
      </c>
      <c r="Q319" s="67" t="n">
        <v>1.585629</v>
      </c>
      <c r="R319" s="67" t="n">
        <v>1.852435</v>
      </c>
      <c r="S319" s="68" t="s">
        <v>200</v>
      </c>
      <c r="T319" s="68" t="s">
        <v>201</v>
      </c>
      <c r="U319" s="68" t="s">
        <v>202</v>
      </c>
      <c r="V319" s="69"/>
      <c r="W319" s="68" t="s">
        <v>782</v>
      </c>
      <c r="X319" s="68" t="n">
        <v>1.57592911877296</v>
      </c>
      <c r="Y319" s="68" t="n">
        <v>45.7019444444159</v>
      </c>
      <c r="Z319" s="68" t="n">
        <v>29</v>
      </c>
      <c r="AA319" s="70"/>
    </row>
    <row r="320" customFormat="false" ht="14.25" hidden="false" customHeight="false" outlineLevel="0" collapsed="false">
      <c r="A320" s="56"/>
      <c r="B320" s="56"/>
      <c r="C320" s="64" t="n">
        <v>315</v>
      </c>
      <c r="D320" s="71" t="s">
        <v>892</v>
      </c>
      <c r="E320" s="71" t="s">
        <v>893</v>
      </c>
      <c r="F320" s="71" t="s">
        <v>843</v>
      </c>
      <c r="G320" s="66" t="n">
        <v>44</v>
      </c>
      <c r="H320" s="67" t="n">
        <v>33.35</v>
      </c>
      <c r="I320" s="68" t="n">
        <v>310</v>
      </c>
      <c r="J320" s="68" t="n">
        <v>310</v>
      </c>
      <c r="K320" s="68" t="n">
        <v>310</v>
      </c>
      <c r="L320" s="68" t="s">
        <v>199</v>
      </c>
      <c r="M320" s="67" t="n">
        <v>0.2617358</v>
      </c>
      <c r="N320" s="67" t="n">
        <v>0.4266667</v>
      </c>
      <c r="O320" s="67" t="n">
        <v>4.032093</v>
      </c>
      <c r="P320" s="67" t="n">
        <v>0.6727617</v>
      </c>
      <c r="Q320" s="67" t="n">
        <v>1.585629</v>
      </c>
      <c r="R320" s="67" t="n">
        <v>1.852435</v>
      </c>
      <c r="S320" s="68" t="s">
        <v>200</v>
      </c>
      <c r="T320" s="68" t="s">
        <v>201</v>
      </c>
      <c r="U320" s="68" t="s">
        <v>202</v>
      </c>
      <c r="V320" s="69"/>
      <c r="W320" s="68" t="s">
        <v>782</v>
      </c>
      <c r="X320" s="68" t="n">
        <v>1.8339139892862</v>
      </c>
      <c r="Y320" s="68" t="n">
        <v>50.7382870369183</v>
      </c>
      <c r="Z320" s="68" t="n">
        <v>27.6666666666667</v>
      </c>
      <c r="AA320" s="70"/>
    </row>
    <row r="321" customFormat="false" ht="14.25" hidden="false" customHeight="false" outlineLevel="0" collapsed="false">
      <c r="A321" s="56"/>
      <c r="B321" s="56"/>
      <c r="C321" s="64" t="n">
        <v>316</v>
      </c>
      <c r="D321" s="71" t="s">
        <v>894</v>
      </c>
      <c r="E321" s="71" t="s">
        <v>861</v>
      </c>
      <c r="F321" s="71" t="s">
        <v>895</v>
      </c>
      <c r="G321" s="66" t="n">
        <v>44</v>
      </c>
      <c r="H321" s="67" t="n">
        <v>12.27</v>
      </c>
      <c r="I321" s="68" t="n">
        <v>310</v>
      </c>
      <c r="J321" s="68" t="n">
        <v>310</v>
      </c>
      <c r="K321" s="68" t="n">
        <v>310</v>
      </c>
      <c r="L321" s="68" t="s">
        <v>199</v>
      </c>
      <c r="M321" s="67" t="n">
        <v>0.2617358</v>
      </c>
      <c r="N321" s="67" t="n">
        <v>0.4266667</v>
      </c>
      <c r="O321" s="67" t="n">
        <v>4.032093</v>
      </c>
      <c r="P321" s="67" t="n">
        <v>0.6727617</v>
      </c>
      <c r="Q321" s="67" t="n">
        <v>1.585629</v>
      </c>
      <c r="R321" s="67" t="n">
        <v>1.852435</v>
      </c>
      <c r="S321" s="68" t="s">
        <v>200</v>
      </c>
      <c r="T321" s="68" t="s">
        <v>201</v>
      </c>
      <c r="U321" s="68" t="s">
        <v>202</v>
      </c>
      <c r="V321" s="69"/>
      <c r="W321" s="68" t="s">
        <v>782</v>
      </c>
      <c r="X321" s="68" t="n">
        <v>0.623534356726419</v>
      </c>
      <c r="Y321" s="68" t="n">
        <v>15.796203703736</v>
      </c>
      <c r="Z321" s="68" t="n">
        <v>25.3333333333333</v>
      </c>
      <c r="AA321" s="70"/>
    </row>
    <row r="322" customFormat="false" ht="14.25" hidden="false" customHeight="false" outlineLevel="0" collapsed="false">
      <c r="A322" s="56"/>
      <c r="B322" s="56"/>
      <c r="C322" s="64" t="n">
        <v>317</v>
      </c>
      <c r="D322" s="71" t="s">
        <v>896</v>
      </c>
      <c r="E322" s="71" t="s">
        <v>861</v>
      </c>
      <c r="F322" s="71" t="s">
        <v>897</v>
      </c>
      <c r="G322" s="66" t="n">
        <v>44</v>
      </c>
      <c r="H322" s="67" t="n">
        <v>14.88</v>
      </c>
      <c r="I322" s="68" t="n">
        <v>310</v>
      </c>
      <c r="J322" s="68" t="n">
        <v>310</v>
      </c>
      <c r="K322" s="68" t="n">
        <v>310</v>
      </c>
      <c r="L322" s="68" t="s">
        <v>199</v>
      </c>
      <c r="M322" s="67" t="n">
        <v>0.2617358</v>
      </c>
      <c r="N322" s="67" t="n">
        <v>0.4266667</v>
      </c>
      <c r="O322" s="67" t="n">
        <v>4.032093</v>
      </c>
      <c r="P322" s="67" t="n">
        <v>0.6727617</v>
      </c>
      <c r="Q322" s="67" t="n">
        <v>1.585629</v>
      </c>
      <c r="R322" s="67" t="n">
        <v>1.852435</v>
      </c>
      <c r="S322" s="68" t="s">
        <v>200</v>
      </c>
      <c r="T322" s="68" t="s">
        <v>201</v>
      </c>
      <c r="U322" s="68" t="s">
        <v>202</v>
      </c>
      <c r="V322" s="69"/>
      <c r="W322" s="68" t="s">
        <v>782</v>
      </c>
      <c r="X322" s="68" t="n">
        <v>1.27032905983506</v>
      </c>
      <c r="Y322" s="68" t="n">
        <v>41.2856944446394</v>
      </c>
      <c r="Z322" s="68" t="n">
        <v>32.5</v>
      </c>
      <c r="AA322" s="70"/>
    </row>
    <row r="323" customFormat="false" ht="14.25" hidden="false" customHeight="false" outlineLevel="0" collapsed="false">
      <c r="A323" s="56"/>
      <c r="B323" s="56"/>
      <c r="C323" s="64" t="n">
        <v>318</v>
      </c>
      <c r="D323" s="71" t="s">
        <v>898</v>
      </c>
      <c r="E323" s="71" t="s">
        <v>861</v>
      </c>
      <c r="F323" s="71" t="s">
        <v>899</v>
      </c>
      <c r="G323" s="66" t="n">
        <v>44</v>
      </c>
      <c r="H323" s="67" t="n">
        <v>12.48</v>
      </c>
      <c r="I323" s="68" t="n">
        <v>310</v>
      </c>
      <c r="J323" s="68" t="n">
        <v>310</v>
      </c>
      <c r="K323" s="68" t="n">
        <v>310</v>
      </c>
      <c r="L323" s="68" t="s">
        <v>199</v>
      </c>
      <c r="M323" s="67" t="n">
        <v>0.2617358</v>
      </c>
      <c r="N323" s="67" t="n">
        <v>0.4266667</v>
      </c>
      <c r="O323" s="67" t="n">
        <v>4.032093</v>
      </c>
      <c r="P323" s="67" t="n">
        <v>0.6727617</v>
      </c>
      <c r="Q323" s="67" t="n">
        <v>1.585629</v>
      </c>
      <c r="R323" s="67" t="n">
        <v>1.852435</v>
      </c>
      <c r="S323" s="68" t="s">
        <v>200</v>
      </c>
      <c r="T323" s="68" t="s">
        <v>201</v>
      </c>
      <c r="U323" s="68" t="s">
        <v>202</v>
      </c>
      <c r="V323" s="69"/>
      <c r="W323" s="68" t="s">
        <v>782</v>
      </c>
      <c r="X323" s="68" t="n">
        <v>1.35407242062398</v>
      </c>
      <c r="Y323" s="68" t="n">
        <v>12.6380092591571</v>
      </c>
      <c r="Z323" s="68" t="n">
        <v>9.33333333333333</v>
      </c>
      <c r="AA323" s="70"/>
    </row>
    <row r="324" customFormat="false" ht="14.25" hidden="false" customHeight="false" outlineLevel="0" collapsed="false">
      <c r="A324" s="56"/>
      <c r="B324" s="56"/>
      <c r="C324" s="64" t="n">
        <v>319</v>
      </c>
      <c r="D324" s="71" t="s">
        <v>900</v>
      </c>
      <c r="E324" s="71" t="s">
        <v>895</v>
      </c>
      <c r="F324" s="71" t="s">
        <v>893</v>
      </c>
      <c r="G324" s="66" t="n">
        <v>44</v>
      </c>
      <c r="H324" s="67" t="n">
        <v>10.69</v>
      </c>
      <c r="I324" s="68" t="n">
        <v>310</v>
      </c>
      <c r="J324" s="68" t="n">
        <v>310</v>
      </c>
      <c r="K324" s="68" t="n">
        <v>310</v>
      </c>
      <c r="L324" s="68" t="s">
        <v>199</v>
      </c>
      <c r="M324" s="67" t="n">
        <v>0.2617358</v>
      </c>
      <c r="N324" s="67" t="n">
        <v>0.4266667</v>
      </c>
      <c r="O324" s="67" t="n">
        <v>4.032093</v>
      </c>
      <c r="P324" s="67" t="n">
        <v>0.6727617</v>
      </c>
      <c r="Q324" s="67" t="n">
        <v>1.585629</v>
      </c>
      <c r="R324" s="67" t="n">
        <v>1.852435</v>
      </c>
      <c r="S324" s="68" t="s">
        <v>200</v>
      </c>
      <c r="T324" s="68" t="s">
        <v>201</v>
      </c>
      <c r="U324" s="68" t="s">
        <v>202</v>
      </c>
      <c r="V324" s="69"/>
      <c r="W324" s="68" t="s">
        <v>782</v>
      </c>
      <c r="X324" s="68" t="n">
        <v>0.623534356726419</v>
      </c>
      <c r="Y324" s="68" t="n">
        <v>15.796203703736</v>
      </c>
      <c r="Z324" s="68" t="n">
        <v>25.3333333333333</v>
      </c>
      <c r="AA324" s="70"/>
    </row>
    <row r="325" customFormat="false" ht="14.25" hidden="false" customHeight="false" outlineLevel="0" collapsed="false">
      <c r="A325" s="56"/>
      <c r="B325" s="56"/>
      <c r="C325" s="64" t="n">
        <v>320</v>
      </c>
      <c r="D325" s="71" t="s">
        <v>901</v>
      </c>
      <c r="E325" s="71" t="s">
        <v>880</v>
      </c>
      <c r="F325" s="71" t="s">
        <v>902</v>
      </c>
      <c r="G325" s="66" t="n">
        <v>44</v>
      </c>
      <c r="H325" s="67" t="n">
        <v>12.47</v>
      </c>
      <c r="I325" s="68" t="n">
        <v>310</v>
      </c>
      <c r="J325" s="68" t="n">
        <v>310</v>
      </c>
      <c r="K325" s="68" t="n">
        <v>310</v>
      </c>
      <c r="L325" s="68" t="s">
        <v>199</v>
      </c>
      <c r="M325" s="67" t="n">
        <v>0.2617358</v>
      </c>
      <c r="N325" s="67" t="n">
        <v>0.4266667</v>
      </c>
      <c r="O325" s="67" t="n">
        <v>4.032093</v>
      </c>
      <c r="P325" s="67" t="n">
        <v>0.6727617</v>
      </c>
      <c r="Q325" s="67" t="n">
        <v>1.585629</v>
      </c>
      <c r="R325" s="67" t="n">
        <v>1.852435</v>
      </c>
      <c r="S325" s="68" t="s">
        <v>200</v>
      </c>
      <c r="T325" s="68" t="s">
        <v>201</v>
      </c>
      <c r="U325" s="68" t="s">
        <v>202</v>
      </c>
      <c r="V325" s="69"/>
      <c r="W325" s="68" t="s">
        <v>782</v>
      </c>
      <c r="X325" s="68" t="n">
        <v>2.32207192700066</v>
      </c>
      <c r="Y325" s="68" t="n">
        <v>80.1114814815228</v>
      </c>
      <c r="Z325" s="68" t="n">
        <v>34.5</v>
      </c>
      <c r="AA325" s="70"/>
    </row>
    <row r="326" customFormat="false" ht="14.25" hidden="false" customHeight="false" outlineLevel="0" collapsed="false">
      <c r="A326" s="56"/>
      <c r="B326" s="56"/>
      <c r="C326" s="64" t="n">
        <v>321</v>
      </c>
      <c r="D326" s="71" t="s">
        <v>903</v>
      </c>
      <c r="E326" s="71" t="s">
        <v>867</v>
      </c>
      <c r="F326" s="71" t="s">
        <v>904</v>
      </c>
      <c r="G326" s="66" t="n">
        <v>44</v>
      </c>
      <c r="H326" s="67" t="n">
        <v>16.56</v>
      </c>
      <c r="I326" s="68" t="n">
        <v>310</v>
      </c>
      <c r="J326" s="68" t="n">
        <v>310</v>
      </c>
      <c r="K326" s="68" t="n">
        <v>310</v>
      </c>
      <c r="L326" s="68" t="s">
        <v>199</v>
      </c>
      <c r="M326" s="67" t="n">
        <v>0.2617358</v>
      </c>
      <c r="N326" s="67" t="n">
        <v>0.4266667</v>
      </c>
      <c r="O326" s="67" t="n">
        <v>4.032093</v>
      </c>
      <c r="P326" s="67" t="n">
        <v>0.6727617</v>
      </c>
      <c r="Q326" s="67" t="n">
        <v>1.585629</v>
      </c>
      <c r="R326" s="67" t="n">
        <v>1.852435</v>
      </c>
      <c r="S326" s="68" t="s">
        <v>200</v>
      </c>
      <c r="T326" s="68" t="s">
        <v>201</v>
      </c>
      <c r="U326" s="68" t="s">
        <v>202</v>
      </c>
      <c r="V326" s="69"/>
      <c r="W326" s="68" t="s">
        <v>782</v>
      </c>
      <c r="X326" s="68" t="n">
        <v>7.60244444444376</v>
      </c>
      <c r="Y326" s="68" t="n">
        <v>106.434222222213</v>
      </c>
      <c r="Z326" s="68" t="n">
        <v>14</v>
      </c>
      <c r="AA326" s="70"/>
    </row>
    <row r="327" customFormat="false" ht="14.25" hidden="false" customHeight="false" outlineLevel="0" collapsed="false">
      <c r="A327" s="56"/>
      <c r="B327" s="56"/>
      <c r="C327" s="64" t="n">
        <v>322</v>
      </c>
      <c r="D327" s="71" t="s">
        <v>905</v>
      </c>
      <c r="E327" s="71" t="s">
        <v>867</v>
      </c>
      <c r="F327" s="71" t="s">
        <v>906</v>
      </c>
      <c r="G327" s="66" t="n">
        <v>44</v>
      </c>
      <c r="H327" s="67" t="n">
        <v>18.4</v>
      </c>
      <c r="I327" s="68" t="n">
        <v>310</v>
      </c>
      <c r="J327" s="68" t="n">
        <v>310</v>
      </c>
      <c r="K327" s="68" t="n">
        <v>310</v>
      </c>
      <c r="L327" s="68" t="s">
        <v>199</v>
      </c>
      <c r="M327" s="67" t="n">
        <v>0.2617358</v>
      </c>
      <c r="N327" s="67" t="n">
        <v>0.4266667</v>
      </c>
      <c r="O327" s="67" t="n">
        <v>4.032093</v>
      </c>
      <c r="P327" s="67" t="n">
        <v>0.6727617</v>
      </c>
      <c r="Q327" s="67" t="n">
        <v>1.585629</v>
      </c>
      <c r="R327" s="67" t="n">
        <v>1.852435</v>
      </c>
      <c r="S327" s="68" t="s">
        <v>200</v>
      </c>
      <c r="T327" s="68" t="s">
        <v>201</v>
      </c>
      <c r="U327" s="68" t="s">
        <v>202</v>
      </c>
      <c r="V327" s="69"/>
      <c r="W327" s="68" t="s">
        <v>782</v>
      </c>
      <c r="X327" s="68" t="n">
        <v>0.951754385964766</v>
      </c>
      <c r="Y327" s="68" t="n">
        <v>21.097222222219</v>
      </c>
      <c r="Z327" s="68" t="n">
        <v>22.1666666666667</v>
      </c>
      <c r="AA327" s="70"/>
    </row>
    <row r="328" customFormat="false" ht="14.25" hidden="false" customHeight="false" outlineLevel="0" collapsed="false">
      <c r="A328" s="56"/>
      <c r="B328" s="56"/>
      <c r="C328" s="64" t="n">
        <v>323</v>
      </c>
      <c r="D328" s="71" t="s">
        <v>907</v>
      </c>
      <c r="E328" s="71" t="s">
        <v>867</v>
      </c>
      <c r="F328" s="71" t="s">
        <v>883</v>
      </c>
      <c r="G328" s="66" t="n">
        <v>44</v>
      </c>
      <c r="H328" s="67" t="n">
        <v>16.65</v>
      </c>
      <c r="I328" s="68" t="n">
        <v>455</v>
      </c>
      <c r="J328" s="68" t="n">
        <v>455</v>
      </c>
      <c r="K328" s="68" t="n">
        <v>455</v>
      </c>
      <c r="L328" s="68" t="s">
        <v>199</v>
      </c>
      <c r="M328" s="67" t="n">
        <v>0.164756</v>
      </c>
      <c r="N328" s="67" t="n">
        <v>0.3871327</v>
      </c>
      <c r="O328" s="67" t="n">
        <v>4.257349</v>
      </c>
      <c r="P328" s="67" t="n">
        <v>0.5443095</v>
      </c>
      <c r="Q328" s="67" t="n">
        <v>1.414364</v>
      </c>
      <c r="R328" s="67" t="n">
        <v>1.907123</v>
      </c>
      <c r="S328" s="68" t="s">
        <v>200</v>
      </c>
      <c r="T328" s="68" t="s">
        <v>201</v>
      </c>
      <c r="U328" s="68" t="s">
        <v>202</v>
      </c>
      <c r="V328" s="69"/>
      <c r="W328" s="68" t="s">
        <v>908</v>
      </c>
      <c r="X328" s="68" t="n">
        <v>2.26073132455349</v>
      </c>
      <c r="Y328" s="68" t="n">
        <v>66.691574074328</v>
      </c>
      <c r="Z328" s="68" t="n">
        <v>29.5</v>
      </c>
      <c r="AA328" s="70"/>
    </row>
    <row r="329" customFormat="false" ht="14.25" hidden="false" customHeight="false" outlineLevel="0" collapsed="false">
      <c r="A329" s="56"/>
      <c r="B329" s="56"/>
      <c r="C329" s="64" t="n">
        <v>324</v>
      </c>
      <c r="D329" s="71" t="s">
        <v>909</v>
      </c>
      <c r="E329" s="71" t="s">
        <v>867</v>
      </c>
      <c r="F329" s="71" t="s">
        <v>910</v>
      </c>
      <c r="G329" s="66" t="n">
        <v>44</v>
      </c>
      <c r="H329" s="67" t="n">
        <v>13.05</v>
      </c>
      <c r="I329" s="68" t="n">
        <v>310</v>
      </c>
      <c r="J329" s="68" t="n">
        <v>310</v>
      </c>
      <c r="K329" s="68" t="n">
        <v>310</v>
      </c>
      <c r="L329" s="68" t="s">
        <v>199</v>
      </c>
      <c r="M329" s="67" t="n">
        <v>0.2617358</v>
      </c>
      <c r="N329" s="67" t="n">
        <v>0.4266667</v>
      </c>
      <c r="O329" s="67" t="n">
        <v>4.032093</v>
      </c>
      <c r="P329" s="67" t="n">
        <v>0.6727617</v>
      </c>
      <c r="Q329" s="67" t="n">
        <v>1.585629</v>
      </c>
      <c r="R329" s="67" t="n">
        <v>1.852435</v>
      </c>
      <c r="S329" s="68" t="s">
        <v>200</v>
      </c>
      <c r="T329" s="68" t="s">
        <v>201</v>
      </c>
      <c r="U329" s="68" t="s">
        <v>202</v>
      </c>
      <c r="V329" s="69"/>
      <c r="W329" s="68" t="s">
        <v>782</v>
      </c>
      <c r="X329" s="68" t="n">
        <v>1.00598366013591</v>
      </c>
      <c r="Y329" s="68" t="n">
        <v>28.5028703705175</v>
      </c>
      <c r="Z329" s="68" t="n">
        <v>28.3333333333333</v>
      </c>
      <c r="AA329" s="70"/>
    </row>
    <row r="330" customFormat="false" ht="14.25" hidden="false" customHeight="false" outlineLevel="0" collapsed="false">
      <c r="A330" s="56"/>
      <c r="B330" s="56"/>
      <c r="C330" s="64" t="n">
        <v>325</v>
      </c>
      <c r="D330" s="71" t="s">
        <v>911</v>
      </c>
      <c r="E330" s="71" t="s">
        <v>912</v>
      </c>
      <c r="F330" s="71" t="s">
        <v>904</v>
      </c>
      <c r="G330" s="66" t="n">
        <v>44</v>
      </c>
      <c r="H330" s="67" t="n">
        <v>3.51</v>
      </c>
      <c r="I330" s="68" t="n">
        <v>310</v>
      </c>
      <c r="J330" s="68" t="n">
        <v>310</v>
      </c>
      <c r="K330" s="68" t="n">
        <v>310</v>
      </c>
      <c r="L330" s="68" t="s">
        <v>199</v>
      </c>
      <c r="M330" s="67" t="n">
        <v>0.2617358</v>
      </c>
      <c r="N330" s="67" t="n">
        <v>0.4266667</v>
      </c>
      <c r="O330" s="67" t="n">
        <v>4.032093</v>
      </c>
      <c r="P330" s="67" t="n">
        <v>0.6727617</v>
      </c>
      <c r="Q330" s="67" t="n">
        <v>1.585629</v>
      </c>
      <c r="R330" s="67" t="n">
        <v>1.852435</v>
      </c>
      <c r="S330" s="68" t="s">
        <v>200</v>
      </c>
      <c r="T330" s="68" t="s">
        <v>201</v>
      </c>
      <c r="U330" s="68" t="s">
        <v>202</v>
      </c>
      <c r="V330" s="69"/>
      <c r="W330" s="68" t="s">
        <v>782</v>
      </c>
      <c r="X330" s="68" t="n">
        <v>1.00598366013591</v>
      </c>
      <c r="Y330" s="68" t="n">
        <v>28.5028703705175</v>
      </c>
      <c r="Z330" s="68" t="n">
        <v>28.3333333333333</v>
      </c>
      <c r="AA330" s="70"/>
    </row>
    <row r="331" customFormat="false" ht="14.25" hidden="false" customHeight="false" outlineLevel="0" collapsed="false">
      <c r="A331" s="56"/>
      <c r="B331" s="56"/>
      <c r="C331" s="64" t="n">
        <v>326</v>
      </c>
      <c r="D331" s="71" t="s">
        <v>913</v>
      </c>
      <c r="E331" s="71" t="s">
        <v>883</v>
      </c>
      <c r="F331" s="71" t="s">
        <v>914</v>
      </c>
      <c r="G331" s="66" t="n">
        <v>44</v>
      </c>
      <c r="H331" s="67" t="n">
        <v>15.14</v>
      </c>
      <c r="I331" s="68" t="n">
        <v>310</v>
      </c>
      <c r="J331" s="68" t="n">
        <v>310</v>
      </c>
      <c r="K331" s="68" t="n">
        <v>310</v>
      </c>
      <c r="L331" s="68" t="s">
        <v>199</v>
      </c>
      <c r="M331" s="67" t="n">
        <v>0.2617358</v>
      </c>
      <c r="N331" s="67" t="n">
        <v>0.4266667</v>
      </c>
      <c r="O331" s="67" t="n">
        <v>4.032093</v>
      </c>
      <c r="P331" s="67" t="n">
        <v>0.6727617</v>
      </c>
      <c r="Q331" s="67" t="n">
        <v>1.585629</v>
      </c>
      <c r="R331" s="67" t="n">
        <v>1.852435</v>
      </c>
      <c r="S331" s="68" t="s">
        <v>200</v>
      </c>
      <c r="T331" s="68" t="s">
        <v>201</v>
      </c>
      <c r="U331" s="68" t="s">
        <v>202</v>
      </c>
      <c r="V331" s="69"/>
      <c r="W331" s="68" t="s">
        <v>782</v>
      </c>
      <c r="X331" s="68" t="n">
        <v>2.24092592592286</v>
      </c>
      <c r="Y331" s="68" t="n">
        <v>100.841666666529</v>
      </c>
      <c r="Z331" s="68" t="n">
        <v>45</v>
      </c>
      <c r="AA331" s="70"/>
    </row>
    <row r="332" customFormat="false" ht="14.25" hidden="false" customHeight="false" outlineLevel="0" collapsed="false">
      <c r="A332" s="56"/>
      <c r="B332" s="56"/>
      <c r="C332" s="64" t="n">
        <v>327</v>
      </c>
      <c r="D332" s="71" t="s">
        <v>915</v>
      </c>
      <c r="E332" s="71" t="s">
        <v>916</v>
      </c>
      <c r="F332" s="71" t="s">
        <v>914</v>
      </c>
      <c r="G332" s="66" t="n">
        <v>44</v>
      </c>
      <c r="H332" s="67" t="n">
        <v>14.8</v>
      </c>
      <c r="I332" s="68" t="n">
        <v>310</v>
      </c>
      <c r="J332" s="68" t="n">
        <v>310</v>
      </c>
      <c r="K332" s="68" t="n">
        <v>310</v>
      </c>
      <c r="L332" s="68" t="s">
        <v>199</v>
      </c>
      <c r="M332" s="67" t="n">
        <v>0.2617358</v>
      </c>
      <c r="N332" s="67" t="n">
        <v>0.4266667</v>
      </c>
      <c r="O332" s="67" t="n">
        <v>4.032093</v>
      </c>
      <c r="P332" s="67" t="n">
        <v>0.6727617</v>
      </c>
      <c r="Q332" s="67" t="n">
        <v>1.585629</v>
      </c>
      <c r="R332" s="67" t="n">
        <v>1.852435</v>
      </c>
      <c r="S332" s="68" t="s">
        <v>200</v>
      </c>
      <c r="T332" s="68" t="s">
        <v>201</v>
      </c>
      <c r="U332" s="68" t="s">
        <v>202</v>
      </c>
      <c r="V332" s="69"/>
      <c r="W332" s="68" t="s">
        <v>782</v>
      </c>
      <c r="X332" s="68"/>
      <c r="Y332" s="68"/>
      <c r="Z332" s="68"/>
      <c r="AA332" s="70" t="s">
        <v>231</v>
      </c>
    </row>
    <row r="333" customFormat="false" ht="14.25" hidden="false" customHeight="false" outlineLevel="0" collapsed="false">
      <c r="A333" s="56"/>
      <c r="B333" s="56"/>
      <c r="C333" s="64" t="n">
        <v>328</v>
      </c>
      <c r="D333" s="71" t="s">
        <v>917</v>
      </c>
      <c r="E333" s="71" t="s">
        <v>902</v>
      </c>
      <c r="F333" s="71" t="s">
        <v>916</v>
      </c>
      <c r="G333" s="66" t="n">
        <v>44</v>
      </c>
      <c r="H333" s="67" t="n">
        <v>15.77</v>
      </c>
      <c r="I333" s="68" t="n">
        <v>310</v>
      </c>
      <c r="J333" s="68" t="n">
        <v>310</v>
      </c>
      <c r="K333" s="68" t="n">
        <v>310</v>
      </c>
      <c r="L333" s="68" t="s">
        <v>199</v>
      </c>
      <c r="M333" s="67" t="n">
        <v>0.2617358</v>
      </c>
      <c r="N333" s="67" t="n">
        <v>0.4266667</v>
      </c>
      <c r="O333" s="67" t="n">
        <v>4.032093</v>
      </c>
      <c r="P333" s="67" t="n">
        <v>0.6727617</v>
      </c>
      <c r="Q333" s="67" t="n">
        <v>1.585629</v>
      </c>
      <c r="R333" s="67" t="n">
        <v>1.852435</v>
      </c>
      <c r="S333" s="68" t="s">
        <v>200</v>
      </c>
      <c r="T333" s="68" t="s">
        <v>201</v>
      </c>
      <c r="U333" s="68" t="s">
        <v>202</v>
      </c>
      <c r="V333" s="69"/>
      <c r="W333" s="68" t="s">
        <v>782</v>
      </c>
      <c r="X333" s="68" t="n">
        <v>4.70248958333723</v>
      </c>
      <c r="Y333" s="68" t="n">
        <v>125.399722222326</v>
      </c>
      <c r="Z333" s="68" t="n">
        <v>26.6666666666667</v>
      </c>
      <c r="AA333" s="70"/>
    </row>
    <row r="334" customFormat="false" ht="14.25" hidden="false" customHeight="false" outlineLevel="0" collapsed="false">
      <c r="A334" s="56"/>
      <c r="B334" s="56"/>
      <c r="C334" s="64" t="n">
        <v>329</v>
      </c>
      <c r="D334" s="71" t="s">
        <v>918</v>
      </c>
      <c r="E334" s="71" t="s">
        <v>914</v>
      </c>
      <c r="F334" s="71" t="s">
        <v>919</v>
      </c>
      <c r="G334" s="66" t="n">
        <v>44</v>
      </c>
      <c r="H334" s="67" t="n">
        <v>16.16</v>
      </c>
      <c r="I334" s="68" t="n">
        <v>310</v>
      </c>
      <c r="J334" s="68" t="n">
        <v>310</v>
      </c>
      <c r="K334" s="68" t="n">
        <v>310</v>
      </c>
      <c r="L334" s="68" t="s">
        <v>199</v>
      </c>
      <c r="M334" s="67" t="n">
        <v>0.2617358</v>
      </c>
      <c r="N334" s="67" t="n">
        <v>0.4266667</v>
      </c>
      <c r="O334" s="67" t="n">
        <v>4.032093</v>
      </c>
      <c r="P334" s="67" t="n">
        <v>0.6727617</v>
      </c>
      <c r="Q334" s="67" t="n">
        <v>1.585629</v>
      </c>
      <c r="R334" s="67" t="n">
        <v>1.852435</v>
      </c>
      <c r="S334" s="68" t="s">
        <v>200</v>
      </c>
      <c r="T334" s="68" t="s">
        <v>201</v>
      </c>
      <c r="U334" s="68" t="s">
        <v>202</v>
      </c>
      <c r="V334" s="69"/>
      <c r="W334" s="68" t="s">
        <v>782</v>
      </c>
      <c r="X334" s="68" t="n">
        <v>1.22187003968845</v>
      </c>
      <c r="Y334" s="68" t="n">
        <v>22.808240740851</v>
      </c>
      <c r="Z334" s="68" t="n">
        <v>18.6666666666667</v>
      </c>
      <c r="AA334" s="70"/>
    </row>
    <row r="335" customFormat="false" ht="14.25" hidden="false" customHeight="false" outlineLevel="0" collapsed="false">
      <c r="A335" s="56"/>
      <c r="B335" s="56"/>
      <c r="C335" s="64" t="n">
        <v>330</v>
      </c>
      <c r="D335" s="71" t="s">
        <v>920</v>
      </c>
      <c r="E335" s="71" t="s">
        <v>899</v>
      </c>
      <c r="F335" s="71" t="s">
        <v>883</v>
      </c>
      <c r="G335" s="66" t="n">
        <v>44</v>
      </c>
      <c r="H335" s="67" t="n">
        <v>9.64</v>
      </c>
      <c r="I335" s="68" t="n">
        <v>310</v>
      </c>
      <c r="J335" s="68" t="n">
        <v>310</v>
      </c>
      <c r="K335" s="68" t="n">
        <v>310</v>
      </c>
      <c r="L335" s="68" t="s">
        <v>199</v>
      </c>
      <c r="M335" s="67" t="n">
        <v>0.2617358</v>
      </c>
      <c r="N335" s="67" t="n">
        <v>0.4266667</v>
      </c>
      <c r="O335" s="67" t="n">
        <v>4.032093</v>
      </c>
      <c r="P335" s="67" t="n">
        <v>0.6727617</v>
      </c>
      <c r="Q335" s="67" t="n">
        <v>1.585629</v>
      </c>
      <c r="R335" s="67" t="n">
        <v>1.852435</v>
      </c>
      <c r="S335" s="68" t="s">
        <v>200</v>
      </c>
      <c r="T335" s="68" t="s">
        <v>201</v>
      </c>
      <c r="U335" s="68" t="s">
        <v>202</v>
      </c>
      <c r="V335" s="69"/>
      <c r="W335" s="68" t="s">
        <v>782</v>
      </c>
      <c r="X335" s="68" t="n">
        <v>1.50764052287251</v>
      </c>
      <c r="Y335" s="68" t="n">
        <v>21.3582407406939</v>
      </c>
      <c r="Z335" s="68" t="n">
        <v>14.1666666666667</v>
      </c>
      <c r="AA335" s="70"/>
    </row>
    <row r="336" customFormat="false" ht="14.25" hidden="false" customHeight="false" outlineLevel="0" collapsed="false">
      <c r="A336" s="56"/>
      <c r="B336" s="56"/>
      <c r="C336" s="64" t="n">
        <v>331</v>
      </c>
      <c r="D336" s="71" t="s">
        <v>921</v>
      </c>
      <c r="E336" s="71" t="s">
        <v>899</v>
      </c>
      <c r="F336" s="71" t="s">
        <v>922</v>
      </c>
      <c r="G336" s="66" t="n">
        <v>44</v>
      </c>
      <c r="H336" s="67" t="n">
        <v>0.083</v>
      </c>
      <c r="I336" s="68" t="n">
        <v>310</v>
      </c>
      <c r="J336" s="68" t="n">
        <v>310</v>
      </c>
      <c r="K336" s="68" t="n">
        <v>310</v>
      </c>
      <c r="L336" s="68" t="s">
        <v>199</v>
      </c>
      <c r="M336" s="67" t="n">
        <v>0.2617358</v>
      </c>
      <c r="N336" s="67" t="n">
        <v>0.4266667</v>
      </c>
      <c r="O336" s="67" t="n">
        <v>4.032093</v>
      </c>
      <c r="P336" s="67" t="n">
        <v>0.6727617</v>
      </c>
      <c r="Q336" s="67" t="n">
        <v>1.585629</v>
      </c>
      <c r="R336" s="67" t="n">
        <v>1.852435</v>
      </c>
      <c r="S336" s="68" t="s">
        <v>200</v>
      </c>
      <c r="T336" s="68" t="s">
        <v>201</v>
      </c>
      <c r="U336" s="68" t="s">
        <v>202</v>
      </c>
      <c r="V336" s="69"/>
      <c r="W336" s="68" t="s">
        <v>782</v>
      </c>
      <c r="X336" s="68" t="n">
        <v>1.50764052287251</v>
      </c>
      <c r="Y336" s="68" t="n">
        <v>21.3582407406939</v>
      </c>
      <c r="Z336" s="68" t="n">
        <v>14.1666666666667</v>
      </c>
      <c r="AA336" s="70"/>
    </row>
    <row r="337" customFormat="false" ht="14.25" hidden="false" customHeight="false" outlineLevel="0" collapsed="false">
      <c r="A337" s="56"/>
      <c r="B337" s="56"/>
      <c r="C337" s="64" t="n">
        <v>332</v>
      </c>
      <c r="D337" s="71" t="s">
        <v>923</v>
      </c>
      <c r="E337" s="71" t="s">
        <v>924</v>
      </c>
      <c r="F337" s="71" t="s">
        <v>925</v>
      </c>
      <c r="G337" s="66" t="n">
        <v>110</v>
      </c>
      <c r="H337" s="67" t="n">
        <v>0.95</v>
      </c>
      <c r="I337" s="68" t="n">
        <v>240</v>
      </c>
      <c r="J337" s="68" t="n">
        <v>365</v>
      </c>
      <c r="K337" s="68" t="n">
        <v>312</v>
      </c>
      <c r="L337" s="68" t="s">
        <v>199</v>
      </c>
      <c r="M337" s="67" t="n">
        <v>0.3498</v>
      </c>
      <c r="N337" s="67" t="n">
        <v>0.5242</v>
      </c>
      <c r="O337" s="67" t="n">
        <v>3.178</v>
      </c>
      <c r="P337" s="67" t="n">
        <v>0.6149</v>
      </c>
      <c r="Q337" s="67" t="n">
        <v>1.6088</v>
      </c>
      <c r="R337" s="67" t="n">
        <v>1.7893</v>
      </c>
      <c r="S337" s="68" t="s">
        <v>767</v>
      </c>
      <c r="T337" s="68" t="s">
        <v>201</v>
      </c>
      <c r="U337" s="68" t="s">
        <v>202</v>
      </c>
      <c r="V337" s="69"/>
      <c r="W337" s="68"/>
      <c r="X337" s="68" t="n">
        <v>3.6770833332921</v>
      </c>
      <c r="Y337" s="68" t="n">
        <v>4.9027777777228</v>
      </c>
      <c r="Z337" s="68" t="n">
        <v>1.33333333333333</v>
      </c>
      <c r="AA337" s="70"/>
    </row>
    <row r="338" customFormat="false" ht="14.25" hidden="false" customHeight="false" outlineLevel="0" collapsed="false">
      <c r="A338" s="56"/>
      <c r="B338" s="56"/>
      <c r="C338" s="64" t="n">
        <v>333</v>
      </c>
      <c r="D338" s="71" t="s">
        <v>926</v>
      </c>
      <c r="E338" s="71" t="s">
        <v>927</v>
      </c>
      <c r="F338" s="71" t="s">
        <v>925</v>
      </c>
      <c r="G338" s="66" t="n">
        <v>110</v>
      </c>
      <c r="H338" s="67" t="n">
        <v>29</v>
      </c>
      <c r="I338" s="68" t="n">
        <v>467</v>
      </c>
      <c r="J338" s="68" t="n">
        <v>660</v>
      </c>
      <c r="K338" s="68" t="n">
        <v>607</v>
      </c>
      <c r="L338" s="68" t="s">
        <v>199</v>
      </c>
      <c r="M338" s="67" t="n">
        <v>0.1171</v>
      </c>
      <c r="N338" s="67" t="n">
        <v>0.4722</v>
      </c>
      <c r="O338" s="67" t="n">
        <v>3.4089</v>
      </c>
      <c r="P338" s="67" t="n">
        <v>0.3693</v>
      </c>
      <c r="Q338" s="67" t="n">
        <v>1.577</v>
      </c>
      <c r="R338" s="67" t="n">
        <v>1.9694</v>
      </c>
      <c r="S338" s="68" t="s">
        <v>767</v>
      </c>
      <c r="T338" s="68" t="s">
        <v>201</v>
      </c>
      <c r="U338" s="68" t="s">
        <v>202</v>
      </c>
      <c r="V338" s="69"/>
      <c r="W338" s="68" t="n">
        <v>477</v>
      </c>
      <c r="X338" s="68" t="n">
        <v>4.49166666666861</v>
      </c>
      <c r="Y338" s="68" t="n">
        <v>17.9666666666744</v>
      </c>
      <c r="Z338" s="68" t="n">
        <v>4</v>
      </c>
      <c r="AA338" s="70"/>
    </row>
    <row r="339" customFormat="false" ht="14.25" hidden="false" customHeight="false" outlineLevel="0" collapsed="false">
      <c r="A339" s="56"/>
      <c r="B339" s="56"/>
      <c r="C339" s="64" t="n">
        <v>334</v>
      </c>
      <c r="D339" s="71" t="s">
        <v>928</v>
      </c>
      <c r="E339" s="71" t="s">
        <v>929</v>
      </c>
      <c r="F339" s="71" t="s">
        <v>930</v>
      </c>
      <c r="G339" s="66" t="n">
        <v>110</v>
      </c>
      <c r="H339" s="67" t="n">
        <v>14.63</v>
      </c>
      <c r="I339" s="68" t="n">
        <v>535</v>
      </c>
      <c r="J339" s="68" t="n">
        <v>721</v>
      </c>
      <c r="K339" s="68" t="n">
        <v>535</v>
      </c>
      <c r="L339" s="68" t="s">
        <v>931</v>
      </c>
      <c r="M339" s="67" t="n">
        <v>0.1185</v>
      </c>
      <c r="N339" s="67" t="n">
        <v>0.52</v>
      </c>
      <c r="O339" s="67" t="n">
        <v>3.4176</v>
      </c>
      <c r="P339" s="67" t="n">
        <v>0.3743</v>
      </c>
      <c r="Q339" s="67" t="n">
        <v>1.5947</v>
      </c>
      <c r="R339" s="67" t="n">
        <v>1.8782</v>
      </c>
      <c r="S339" s="68" t="s">
        <v>767</v>
      </c>
      <c r="T339" s="68" t="s">
        <v>201</v>
      </c>
      <c r="U339" s="68" t="s">
        <v>202</v>
      </c>
      <c r="V339" s="69"/>
      <c r="W339" s="68" t="n">
        <v>477</v>
      </c>
      <c r="X339" s="68" t="n">
        <v>1.77469135802757</v>
      </c>
      <c r="Y339" s="68" t="n">
        <v>9.58333333334886</v>
      </c>
      <c r="Z339" s="68" t="n">
        <v>5.4</v>
      </c>
      <c r="AA339" s="70"/>
    </row>
    <row r="340" customFormat="false" ht="14.25" hidden="false" customHeight="false" outlineLevel="0" collapsed="false">
      <c r="A340" s="56"/>
      <c r="B340" s="56"/>
      <c r="C340" s="64" t="n">
        <v>335</v>
      </c>
      <c r="D340" s="71" t="s">
        <v>932</v>
      </c>
      <c r="E340" s="71" t="s">
        <v>930</v>
      </c>
      <c r="F340" s="71" t="s">
        <v>925</v>
      </c>
      <c r="G340" s="66" t="n">
        <v>110</v>
      </c>
      <c r="H340" s="67" t="n">
        <v>38.4</v>
      </c>
      <c r="I340" s="68" t="n">
        <v>535</v>
      </c>
      <c r="J340" s="68" t="n">
        <v>721</v>
      </c>
      <c r="K340" s="68" t="n">
        <v>535</v>
      </c>
      <c r="L340" s="68" t="s">
        <v>199</v>
      </c>
      <c r="M340" s="67" t="n">
        <v>0.1186</v>
      </c>
      <c r="N340" s="67" t="n">
        <v>0.4832</v>
      </c>
      <c r="O340" s="67" t="n">
        <v>3.4153</v>
      </c>
      <c r="P340" s="67" t="n">
        <v>0.3725</v>
      </c>
      <c r="Q340" s="67" t="n">
        <v>1.5985</v>
      </c>
      <c r="R340" s="67" t="n">
        <v>1.7925</v>
      </c>
      <c r="S340" s="68" t="s">
        <v>767</v>
      </c>
      <c r="T340" s="68" t="s">
        <v>201</v>
      </c>
      <c r="U340" s="68" t="s">
        <v>202</v>
      </c>
      <c r="V340" s="69"/>
      <c r="W340" s="68" t="n">
        <v>477</v>
      </c>
      <c r="X340" s="68" t="n">
        <v>1.77469135802757</v>
      </c>
      <c r="Y340" s="68" t="n">
        <v>9.58333333334886</v>
      </c>
      <c r="Z340" s="68" t="n">
        <v>5.4</v>
      </c>
      <c r="AA340" s="70" t="s">
        <v>933</v>
      </c>
    </row>
    <row r="341" customFormat="false" ht="14.25" hidden="false" customHeight="false" outlineLevel="0" collapsed="false">
      <c r="A341" s="56"/>
      <c r="B341" s="56"/>
      <c r="C341" s="64" t="n">
        <v>336</v>
      </c>
      <c r="D341" s="71" t="s">
        <v>934</v>
      </c>
      <c r="E341" s="71" t="s">
        <v>935</v>
      </c>
      <c r="F341" s="71" t="s">
        <v>930</v>
      </c>
      <c r="G341" s="66" t="n">
        <v>110</v>
      </c>
      <c r="H341" s="67" t="n">
        <v>44.4</v>
      </c>
      <c r="I341" s="68" t="n">
        <v>535</v>
      </c>
      <c r="J341" s="68" t="n">
        <v>535</v>
      </c>
      <c r="K341" s="68" t="n">
        <v>721</v>
      </c>
      <c r="L341" s="68" t="s">
        <v>199</v>
      </c>
      <c r="M341" s="67" t="n">
        <v>0.1171</v>
      </c>
      <c r="N341" s="67" t="n">
        <v>0.4796</v>
      </c>
      <c r="O341" s="67" t="n">
        <v>3.4321</v>
      </c>
      <c r="P341" s="67" t="n">
        <v>0.4289</v>
      </c>
      <c r="Q341" s="67" t="n">
        <v>1.872</v>
      </c>
      <c r="R341" s="67" t="n">
        <v>1.928</v>
      </c>
      <c r="S341" s="68" t="s">
        <v>767</v>
      </c>
      <c r="T341" s="68" t="s">
        <v>201</v>
      </c>
      <c r="U341" s="68" t="s">
        <v>771</v>
      </c>
      <c r="V341" s="69" t="n">
        <v>46356</v>
      </c>
      <c r="W341" s="68"/>
      <c r="X341" s="68"/>
      <c r="Y341" s="68"/>
      <c r="Z341" s="68"/>
      <c r="AA341" s="70"/>
    </row>
    <row r="342" customFormat="false" ht="14.25" hidden="false" customHeight="false" outlineLevel="0" collapsed="false">
      <c r="A342" s="56"/>
      <c r="B342" s="56"/>
      <c r="C342" s="64" t="n">
        <v>337</v>
      </c>
      <c r="D342" s="71" t="s">
        <v>936</v>
      </c>
      <c r="E342" s="71" t="s">
        <v>935</v>
      </c>
      <c r="F342" s="71" t="s">
        <v>925</v>
      </c>
      <c r="G342" s="66" t="n">
        <v>110</v>
      </c>
      <c r="H342" s="67" t="n">
        <v>45.4</v>
      </c>
      <c r="I342" s="68" t="n">
        <v>535</v>
      </c>
      <c r="J342" s="68" t="n">
        <v>535</v>
      </c>
      <c r="K342" s="68" t="n">
        <v>721</v>
      </c>
      <c r="L342" s="68" t="s">
        <v>199</v>
      </c>
      <c r="M342" s="67" t="n">
        <v>0.1171</v>
      </c>
      <c r="N342" s="67" t="n">
        <v>0.4796</v>
      </c>
      <c r="O342" s="67" t="n">
        <v>3.4321</v>
      </c>
      <c r="P342" s="67" t="n">
        <v>0.4289</v>
      </c>
      <c r="Q342" s="67" t="n">
        <v>1.872</v>
      </c>
      <c r="R342" s="67" t="n">
        <v>1.928</v>
      </c>
      <c r="S342" s="68" t="s">
        <v>767</v>
      </c>
      <c r="T342" s="68" t="s">
        <v>201</v>
      </c>
      <c r="U342" s="68" t="s">
        <v>771</v>
      </c>
      <c r="V342" s="69" t="n">
        <v>46356</v>
      </c>
      <c r="W342" s="68"/>
      <c r="X342" s="68"/>
      <c r="Y342" s="68"/>
      <c r="Z342" s="68"/>
      <c r="AA342" s="70"/>
    </row>
    <row r="343" customFormat="false" ht="14.25" hidden="false" customHeight="false" outlineLevel="0" collapsed="false">
      <c r="A343" s="56"/>
      <c r="B343" s="56"/>
      <c r="C343" s="64" t="n">
        <v>338</v>
      </c>
      <c r="D343" s="71" t="s">
        <v>937</v>
      </c>
      <c r="E343" s="71" t="s">
        <v>935</v>
      </c>
      <c r="F343" s="71" t="s">
        <v>938</v>
      </c>
      <c r="G343" s="66" t="n">
        <v>110</v>
      </c>
      <c r="H343" s="67" t="n">
        <v>50</v>
      </c>
      <c r="I343" s="68"/>
      <c r="J343" s="68"/>
      <c r="K343" s="68"/>
      <c r="L343" s="68"/>
      <c r="M343" s="67"/>
      <c r="N343" s="67"/>
      <c r="O343" s="67"/>
      <c r="P343" s="67"/>
      <c r="Q343" s="67"/>
      <c r="R343" s="67"/>
      <c r="S343" s="68"/>
      <c r="T343" s="68"/>
      <c r="U343" s="68" t="s">
        <v>771</v>
      </c>
      <c r="V343" s="67"/>
      <c r="W343" s="68"/>
      <c r="X343" s="68"/>
      <c r="Y343" s="68"/>
      <c r="Z343" s="68"/>
      <c r="AA343" s="70" t="s">
        <v>939</v>
      </c>
    </row>
    <row r="344" customFormat="false" ht="14.25" hidden="false" customHeight="false" outlineLevel="0" collapsed="false">
      <c r="A344" s="56"/>
      <c r="B344" s="56"/>
      <c r="C344" s="64" t="n">
        <v>339</v>
      </c>
      <c r="D344" s="71" t="s">
        <v>940</v>
      </c>
      <c r="E344" s="71" t="s">
        <v>929</v>
      </c>
      <c r="F344" s="71" t="s">
        <v>941</v>
      </c>
      <c r="G344" s="66" t="n">
        <v>44</v>
      </c>
      <c r="H344" s="67" t="n">
        <v>15</v>
      </c>
      <c r="I344" s="68" t="n">
        <v>400</v>
      </c>
      <c r="J344" s="68" t="n">
        <v>400</v>
      </c>
      <c r="K344" s="68" t="n">
        <v>400</v>
      </c>
      <c r="L344" s="68" t="s">
        <v>199</v>
      </c>
      <c r="M344" s="67" t="n">
        <v>0.237</v>
      </c>
      <c r="N344" s="67" t="n">
        <v>0.5017</v>
      </c>
      <c r="O344" s="67" t="n">
        <v>0</v>
      </c>
      <c r="P344" s="67" t="n">
        <v>1.7317</v>
      </c>
      <c r="Q344" s="67" t="n">
        <v>1.8571</v>
      </c>
      <c r="R344" s="67" t="n">
        <v>0</v>
      </c>
      <c r="S344" s="68" t="s">
        <v>200</v>
      </c>
      <c r="T344" s="68" t="s">
        <v>201</v>
      </c>
      <c r="U344" s="68" t="s">
        <v>202</v>
      </c>
      <c r="V344" s="69"/>
      <c r="W344" s="68"/>
      <c r="X344" s="68" t="n">
        <v>2.86529166667024</v>
      </c>
      <c r="Y344" s="68" t="n">
        <v>28.6529166667024</v>
      </c>
      <c r="Z344" s="68" t="n">
        <v>10</v>
      </c>
      <c r="AA344" s="70" t="s">
        <v>231</v>
      </c>
    </row>
    <row r="345" customFormat="false" ht="14.25" hidden="false" customHeight="false" outlineLevel="0" collapsed="false">
      <c r="A345" s="56"/>
      <c r="B345" s="56"/>
      <c r="C345" s="64" t="n">
        <v>340</v>
      </c>
      <c r="D345" s="71" t="s">
        <v>942</v>
      </c>
      <c r="E345" s="71" t="s">
        <v>943</v>
      </c>
      <c r="F345" s="71" t="s">
        <v>944</v>
      </c>
      <c r="G345" s="66" t="n">
        <v>44</v>
      </c>
      <c r="H345" s="67" t="n">
        <v>4.7</v>
      </c>
      <c r="I345" s="68" t="n">
        <v>310</v>
      </c>
      <c r="J345" s="68" t="n">
        <v>310</v>
      </c>
      <c r="K345" s="68" t="n">
        <v>310</v>
      </c>
      <c r="L345" s="68" t="s">
        <v>199</v>
      </c>
      <c r="M345" s="67" t="n">
        <v>0.2617387</v>
      </c>
      <c r="N345" s="67" t="n">
        <v>0.4265197</v>
      </c>
      <c r="O345" s="67" t="n">
        <v>4.032487</v>
      </c>
      <c r="P345" s="67" t="n">
        <v>0.6412922</v>
      </c>
      <c r="Q345" s="67" t="n">
        <v>1.453752</v>
      </c>
      <c r="R345" s="67" t="n">
        <v>1.860665</v>
      </c>
      <c r="S345" s="68" t="s">
        <v>200</v>
      </c>
      <c r="T345" s="68" t="s">
        <v>201</v>
      </c>
      <c r="U345" s="68" t="s">
        <v>945</v>
      </c>
      <c r="V345" s="69"/>
      <c r="W345" s="68" t="s">
        <v>782</v>
      </c>
      <c r="X345" s="68" t="n">
        <v>0.546256790120387</v>
      </c>
      <c r="Y345" s="68" t="n">
        <v>40.9692592590291</v>
      </c>
      <c r="Z345" s="68" t="n">
        <v>75</v>
      </c>
      <c r="AA345" s="70"/>
    </row>
    <row r="346" customFormat="false" ht="14.25" hidden="false" customHeight="false" outlineLevel="0" collapsed="false">
      <c r="A346" s="56"/>
      <c r="B346" s="56"/>
      <c r="C346" s="64" t="n">
        <v>341</v>
      </c>
      <c r="D346" s="71" t="s">
        <v>946</v>
      </c>
      <c r="E346" s="71" t="s">
        <v>924</v>
      </c>
      <c r="F346" s="71" t="s">
        <v>947</v>
      </c>
      <c r="G346" s="66" t="n">
        <v>44</v>
      </c>
      <c r="H346" s="67" t="n">
        <v>18</v>
      </c>
      <c r="I346" s="68" t="n">
        <v>393</v>
      </c>
      <c r="J346" s="68" t="n">
        <v>393</v>
      </c>
      <c r="K346" s="68" t="n">
        <v>393</v>
      </c>
      <c r="L346" s="68" t="s">
        <v>199</v>
      </c>
      <c r="M346" s="67" t="n">
        <v>0.2119043</v>
      </c>
      <c r="N346" s="67" t="n">
        <v>0.4065866</v>
      </c>
      <c r="O346" s="67" t="n">
        <v>4.093796</v>
      </c>
      <c r="P346" s="67" t="n">
        <v>0.5555478</v>
      </c>
      <c r="Q346" s="67" t="n">
        <v>1.32258</v>
      </c>
      <c r="R346" s="67" t="n">
        <v>1.882314</v>
      </c>
      <c r="S346" s="68" t="s">
        <v>200</v>
      </c>
      <c r="T346" s="68" t="s">
        <v>201</v>
      </c>
      <c r="U346" s="68" t="s">
        <v>945</v>
      </c>
      <c r="V346" s="69"/>
      <c r="W346" s="68" t="n">
        <v>266.8</v>
      </c>
      <c r="X346" s="68" t="n">
        <v>1.66569423989644</v>
      </c>
      <c r="Y346" s="68" t="n">
        <v>188.501064814947</v>
      </c>
      <c r="Z346" s="68" t="n">
        <v>113.166666666667</v>
      </c>
      <c r="AA346" s="70" t="s">
        <v>948</v>
      </c>
    </row>
    <row r="347" customFormat="false" ht="14.25" hidden="false" customHeight="false" outlineLevel="0" collapsed="false">
      <c r="A347" s="56"/>
      <c r="B347" s="56"/>
      <c r="C347" s="64" t="n">
        <v>342</v>
      </c>
      <c r="D347" s="71" t="s">
        <v>949</v>
      </c>
      <c r="E347" s="71" t="s">
        <v>947</v>
      </c>
      <c r="F347" s="71" t="s">
        <v>943</v>
      </c>
      <c r="G347" s="66" t="n">
        <v>44</v>
      </c>
      <c r="H347" s="67" t="n">
        <v>47</v>
      </c>
      <c r="I347" s="68" t="n">
        <v>393</v>
      </c>
      <c r="J347" s="68" t="n">
        <v>393</v>
      </c>
      <c r="K347" s="68" t="n">
        <v>393</v>
      </c>
      <c r="L347" s="68" t="s">
        <v>199</v>
      </c>
      <c r="M347" s="67" t="n">
        <v>0.2119043</v>
      </c>
      <c r="N347" s="67" t="n">
        <v>0.4065866</v>
      </c>
      <c r="O347" s="67" t="n">
        <v>4.093796</v>
      </c>
      <c r="P347" s="67" t="n">
        <v>0.5555478</v>
      </c>
      <c r="Q347" s="67" t="n">
        <v>1.32258</v>
      </c>
      <c r="R347" s="67" t="n">
        <v>1.882314</v>
      </c>
      <c r="S347" s="68" t="s">
        <v>200</v>
      </c>
      <c r="T347" s="68" t="s">
        <v>201</v>
      </c>
      <c r="U347" s="68" t="s">
        <v>945</v>
      </c>
      <c r="V347" s="69"/>
      <c r="W347" s="68" t="n">
        <v>266.8</v>
      </c>
      <c r="X347" s="68" t="n">
        <v>1.66569423989644</v>
      </c>
      <c r="Y347" s="68" t="n">
        <v>188.501064814947</v>
      </c>
      <c r="Z347" s="68" t="n">
        <v>113.166666666667</v>
      </c>
      <c r="AA347" s="70" t="s">
        <v>950</v>
      </c>
    </row>
    <row r="348" customFormat="false" ht="14.25" hidden="false" customHeight="false" outlineLevel="0" collapsed="false">
      <c r="A348" s="56"/>
      <c r="B348" s="56"/>
      <c r="C348" s="64" t="n">
        <v>343</v>
      </c>
      <c r="D348" s="71" t="s">
        <v>951</v>
      </c>
      <c r="E348" s="71" t="s">
        <v>947</v>
      </c>
      <c r="F348" s="71" t="s">
        <v>935</v>
      </c>
      <c r="G348" s="66" t="n">
        <v>44</v>
      </c>
      <c r="H348" s="67" t="n">
        <v>27.5</v>
      </c>
      <c r="I348" s="68" t="n">
        <v>393</v>
      </c>
      <c r="J348" s="68" t="n">
        <v>393</v>
      </c>
      <c r="K348" s="68" t="n">
        <v>393</v>
      </c>
      <c r="L348" s="68" t="s">
        <v>199</v>
      </c>
      <c r="M348" s="67" t="n">
        <v>0.2119043</v>
      </c>
      <c r="N348" s="67" t="n">
        <v>0.4065866</v>
      </c>
      <c r="O348" s="67" t="n">
        <v>4.093796</v>
      </c>
      <c r="P348" s="67" t="n">
        <v>0.5555478</v>
      </c>
      <c r="Q348" s="67" t="n">
        <v>1.32258</v>
      </c>
      <c r="R348" s="67" t="n">
        <v>1.882314</v>
      </c>
      <c r="S348" s="68" t="s">
        <v>200</v>
      </c>
      <c r="T348" s="68" t="s">
        <v>201</v>
      </c>
      <c r="U348" s="68" t="s">
        <v>771</v>
      </c>
      <c r="V348" s="69" t="n">
        <v>46387</v>
      </c>
      <c r="W348" s="68" t="n">
        <v>266.8</v>
      </c>
      <c r="X348" s="68"/>
      <c r="Y348" s="68"/>
      <c r="Z348" s="68"/>
      <c r="AA348" s="70"/>
    </row>
    <row r="349" customFormat="false" ht="14.25" hidden="false" customHeight="false" outlineLevel="0" collapsed="false">
      <c r="A349" s="56"/>
      <c r="B349" s="56"/>
      <c r="C349" s="64" t="n">
        <v>344</v>
      </c>
      <c r="D349" s="71" t="s">
        <v>952</v>
      </c>
      <c r="E349" s="71" t="s">
        <v>935</v>
      </c>
      <c r="F349" s="71" t="s">
        <v>943</v>
      </c>
      <c r="G349" s="66" t="n">
        <v>44</v>
      </c>
      <c r="H349" s="67" t="n">
        <v>25.2</v>
      </c>
      <c r="I349" s="68" t="n">
        <v>393</v>
      </c>
      <c r="J349" s="68" t="n">
        <v>393</v>
      </c>
      <c r="K349" s="68" t="n">
        <v>393</v>
      </c>
      <c r="L349" s="68" t="s">
        <v>199</v>
      </c>
      <c r="M349" s="67" t="n">
        <v>0.2119043</v>
      </c>
      <c r="N349" s="67" t="n">
        <v>0.4065866</v>
      </c>
      <c r="O349" s="67" t="n">
        <v>4.093796</v>
      </c>
      <c r="P349" s="67" t="n">
        <v>0.5555478</v>
      </c>
      <c r="Q349" s="67" t="n">
        <v>1.32258</v>
      </c>
      <c r="R349" s="67" t="n">
        <v>1.882314</v>
      </c>
      <c r="S349" s="68" t="s">
        <v>200</v>
      </c>
      <c r="T349" s="68" t="s">
        <v>201</v>
      </c>
      <c r="U349" s="68" t="s">
        <v>771</v>
      </c>
      <c r="V349" s="69" t="n">
        <v>46387</v>
      </c>
      <c r="W349" s="68" t="n">
        <v>266.8</v>
      </c>
      <c r="X349" s="68"/>
      <c r="Y349" s="68"/>
      <c r="Z349" s="68"/>
      <c r="AA349" s="70"/>
    </row>
    <row r="350" customFormat="false" ht="14.25" hidden="false" customHeight="false" outlineLevel="0" collapsed="false">
      <c r="A350" s="56"/>
      <c r="B350" s="56"/>
      <c r="C350" s="64" t="n">
        <v>345</v>
      </c>
      <c r="D350" s="71" t="s">
        <v>953</v>
      </c>
      <c r="E350" s="71" t="s">
        <v>947</v>
      </c>
      <c r="F350" s="71" t="s">
        <v>930</v>
      </c>
      <c r="G350" s="66" t="n">
        <v>44</v>
      </c>
      <c r="H350" s="67" t="n">
        <v>25.5</v>
      </c>
      <c r="I350" s="68" t="n">
        <v>393</v>
      </c>
      <c r="J350" s="68" t="n">
        <v>393</v>
      </c>
      <c r="K350" s="68" t="n">
        <v>393</v>
      </c>
      <c r="L350" s="68" t="s">
        <v>199</v>
      </c>
      <c r="M350" s="67" t="n">
        <v>0.2119043</v>
      </c>
      <c r="N350" s="67" t="n">
        <v>0.4065866</v>
      </c>
      <c r="O350" s="67" t="n">
        <v>4.093796</v>
      </c>
      <c r="P350" s="67" t="n">
        <v>0.5555478</v>
      </c>
      <c r="Q350" s="67" t="n">
        <v>1.32258</v>
      </c>
      <c r="R350" s="67" t="n">
        <v>1.882314</v>
      </c>
      <c r="S350" s="68" t="s">
        <v>200</v>
      </c>
      <c r="T350" s="68" t="s">
        <v>201</v>
      </c>
      <c r="U350" s="68" t="s">
        <v>945</v>
      </c>
      <c r="V350" s="69" t="n">
        <v>46387</v>
      </c>
      <c r="W350" s="68" t="n">
        <v>266.8</v>
      </c>
      <c r="X350" s="68" t="n">
        <v>0.949686111110786</v>
      </c>
      <c r="Y350" s="68" t="n">
        <v>31.6562037036929</v>
      </c>
      <c r="Z350" s="68" t="n">
        <v>33.3333333333333</v>
      </c>
      <c r="AA350" s="70"/>
    </row>
    <row r="351" customFormat="false" ht="14.25" hidden="false" customHeight="false" outlineLevel="0" collapsed="false">
      <c r="A351" s="56"/>
      <c r="B351" s="56"/>
      <c r="C351" s="64" t="n">
        <v>346</v>
      </c>
      <c r="D351" s="71" t="s">
        <v>954</v>
      </c>
      <c r="E351" s="71" t="s">
        <v>941</v>
      </c>
      <c r="F351" s="71" t="s">
        <v>930</v>
      </c>
      <c r="G351" s="66" t="n">
        <v>44</v>
      </c>
      <c r="H351" s="67" t="n">
        <v>1.5</v>
      </c>
      <c r="I351" s="68" t="n">
        <v>393</v>
      </c>
      <c r="J351" s="68" t="n">
        <v>393</v>
      </c>
      <c r="K351" s="68" t="n">
        <v>393</v>
      </c>
      <c r="L351" s="68" t="s">
        <v>199</v>
      </c>
      <c r="M351" s="67" t="n">
        <v>0.2119043</v>
      </c>
      <c r="N351" s="67" t="n">
        <v>0.4065866</v>
      </c>
      <c r="O351" s="67" t="n">
        <v>4.093796</v>
      </c>
      <c r="P351" s="67" t="n">
        <v>0.5555478</v>
      </c>
      <c r="Q351" s="67" t="n">
        <v>1.32258</v>
      </c>
      <c r="R351" s="67" t="n">
        <v>1.882314</v>
      </c>
      <c r="S351" s="68" t="s">
        <v>200</v>
      </c>
      <c r="T351" s="68" t="s">
        <v>201</v>
      </c>
      <c r="U351" s="68" t="s">
        <v>945</v>
      </c>
      <c r="V351" s="69" t="n">
        <v>46387</v>
      </c>
      <c r="W351" s="68" t="n">
        <v>266.8</v>
      </c>
      <c r="X351" s="68" t="n">
        <v>0.949686111110786</v>
      </c>
      <c r="Y351" s="68" t="n">
        <v>31.6562037036929</v>
      </c>
      <c r="Z351" s="68" t="n">
        <v>33.3333333333333</v>
      </c>
      <c r="AA351" s="70"/>
    </row>
    <row r="352" customFormat="false" ht="14.25" hidden="false" customHeight="false" outlineLevel="0" collapsed="false">
      <c r="A352" s="56"/>
      <c r="B352" s="56"/>
      <c r="C352" s="64" t="n">
        <v>347</v>
      </c>
      <c r="D352" s="71" t="s">
        <v>955</v>
      </c>
      <c r="E352" s="71" t="s">
        <v>944</v>
      </c>
      <c r="F352" s="71" t="s">
        <v>956</v>
      </c>
      <c r="G352" s="66" t="n">
        <v>44</v>
      </c>
      <c r="H352" s="67" t="n">
        <v>15</v>
      </c>
      <c r="I352" s="68" t="n">
        <v>310</v>
      </c>
      <c r="J352" s="68" t="n">
        <v>310</v>
      </c>
      <c r="K352" s="68" t="n">
        <v>310</v>
      </c>
      <c r="L352" s="68" t="s">
        <v>199</v>
      </c>
      <c r="M352" s="67" t="n">
        <v>0.2617387</v>
      </c>
      <c r="N352" s="67" t="n">
        <v>0.4265197</v>
      </c>
      <c r="O352" s="67" t="n">
        <v>4.032487</v>
      </c>
      <c r="P352" s="67" t="n">
        <v>0.6412922</v>
      </c>
      <c r="Q352" s="67" t="n">
        <v>1.453752</v>
      </c>
      <c r="R352" s="67" t="n">
        <v>1.860665</v>
      </c>
      <c r="S352" s="68" t="s">
        <v>200</v>
      </c>
      <c r="T352" s="68" t="s">
        <v>201</v>
      </c>
      <c r="U352" s="68" t="s">
        <v>945</v>
      </c>
      <c r="V352" s="69" t="n">
        <v>46387</v>
      </c>
      <c r="W352" s="68" t="s">
        <v>782</v>
      </c>
      <c r="X352" s="68" t="n">
        <v>0.546256790120387</v>
      </c>
      <c r="Y352" s="68" t="n">
        <v>40.9692592590291</v>
      </c>
      <c r="Z352" s="68" t="n">
        <v>75</v>
      </c>
      <c r="AA352" s="70"/>
    </row>
    <row r="353" customFormat="false" ht="14.25" hidden="false" customHeight="false" outlineLevel="0" collapsed="false">
      <c r="A353" s="56"/>
      <c r="B353" s="56"/>
      <c r="C353" s="64" t="n">
        <v>348</v>
      </c>
      <c r="D353" s="71" t="s">
        <v>957</v>
      </c>
      <c r="E353" s="71" t="s">
        <v>944</v>
      </c>
      <c r="F353" s="71" t="s">
        <v>958</v>
      </c>
      <c r="G353" s="66" t="n">
        <v>44</v>
      </c>
      <c r="H353" s="67" t="n">
        <v>6</v>
      </c>
      <c r="I353" s="68" t="n">
        <v>393</v>
      </c>
      <c r="J353" s="68" t="n">
        <v>393</v>
      </c>
      <c r="K353" s="68" t="n">
        <v>393</v>
      </c>
      <c r="L353" s="68" t="s">
        <v>199</v>
      </c>
      <c r="M353" s="67" t="n">
        <v>0.2119043</v>
      </c>
      <c r="N353" s="67" t="n">
        <v>0.4065866</v>
      </c>
      <c r="O353" s="67" t="n">
        <v>4.093796</v>
      </c>
      <c r="P353" s="67" t="n">
        <v>0.5555478</v>
      </c>
      <c r="Q353" s="67" t="n">
        <v>1.32258</v>
      </c>
      <c r="R353" s="67" t="n">
        <v>1.882314</v>
      </c>
      <c r="S353" s="68" t="s">
        <v>200</v>
      </c>
      <c r="T353" s="68" t="s">
        <v>201</v>
      </c>
      <c r="U353" s="68" t="s">
        <v>945</v>
      </c>
      <c r="V353" s="69" t="n">
        <v>46387</v>
      </c>
      <c r="W353" s="68" t="n">
        <v>266.8</v>
      </c>
      <c r="X353" s="68" t="n">
        <v>0.546256790120387</v>
      </c>
      <c r="Y353" s="68" t="n">
        <v>40.9692592590291</v>
      </c>
      <c r="Z353" s="68" t="n">
        <v>75</v>
      </c>
      <c r="AA353" s="70"/>
    </row>
    <row r="354" customFormat="false" ht="14.25" hidden="false" customHeight="false" outlineLevel="0" collapsed="false">
      <c r="A354" s="56"/>
      <c r="B354" s="56"/>
      <c r="C354" s="64" t="n">
        <v>349</v>
      </c>
      <c r="D354" s="71" t="s">
        <v>959</v>
      </c>
      <c r="E354" s="71" t="s">
        <v>960</v>
      </c>
      <c r="F354" s="71" t="s">
        <v>943</v>
      </c>
      <c r="G354" s="66" t="n">
        <v>44</v>
      </c>
      <c r="H354" s="67" t="n">
        <v>35.27</v>
      </c>
      <c r="I354" s="68" t="n">
        <v>310</v>
      </c>
      <c r="J354" s="68" t="n">
        <v>310</v>
      </c>
      <c r="K354" s="68" t="n">
        <v>310</v>
      </c>
      <c r="L354" s="68" t="s">
        <v>199</v>
      </c>
      <c r="M354" s="67" t="n">
        <v>0.2617387</v>
      </c>
      <c r="N354" s="67" t="n">
        <v>0.4265197</v>
      </c>
      <c r="O354" s="67" t="n">
        <v>4.032487</v>
      </c>
      <c r="P354" s="67" t="n">
        <v>0.6412922</v>
      </c>
      <c r="Q354" s="67" t="n">
        <v>1.453752</v>
      </c>
      <c r="R354" s="67" t="n">
        <v>1.860665</v>
      </c>
      <c r="S354" s="68" t="s">
        <v>200</v>
      </c>
      <c r="T354" s="68" t="s">
        <v>201</v>
      </c>
      <c r="U354" s="68" t="s">
        <v>945</v>
      </c>
      <c r="V354" s="69" t="n">
        <v>46387</v>
      </c>
      <c r="W354" s="68" t="s">
        <v>782</v>
      </c>
      <c r="X354" s="68" t="n">
        <v>2.22396324786555</v>
      </c>
      <c r="Y354" s="68" t="n">
        <v>120.46467592605</v>
      </c>
      <c r="Z354" s="68" t="n">
        <v>54.1666666666667</v>
      </c>
      <c r="AA354" s="70"/>
    </row>
    <row r="355" customFormat="false" ht="14.25" hidden="false" customHeight="false" outlineLevel="0" collapsed="false">
      <c r="A355" s="56"/>
      <c r="B355" s="56"/>
      <c r="C355" s="64" t="n">
        <v>350</v>
      </c>
      <c r="D355" s="71" t="s">
        <v>961</v>
      </c>
      <c r="E355" s="71" t="s">
        <v>960</v>
      </c>
      <c r="F355" s="71" t="s">
        <v>962</v>
      </c>
      <c r="G355" s="66" t="n">
        <v>44</v>
      </c>
      <c r="H355" s="67" t="n">
        <v>27.05</v>
      </c>
      <c r="I355" s="68" t="n">
        <v>310</v>
      </c>
      <c r="J355" s="68" t="n">
        <v>310</v>
      </c>
      <c r="K355" s="68" t="n">
        <v>310</v>
      </c>
      <c r="L355" s="68" t="s">
        <v>199</v>
      </c>
      <c r="M355" s="67" t="n">
        <v>0.2617387</v>
      </c>
      <c r="N355" s="67" t="n">
        <v>0.4265197</v>
      </c>
      <c r="O355" s="67" t="n">
        <v>4.032487</v>
      </c>
      <c r="P355" s="67" t="n">
        <v>0.6412922</v>
      </c>
      <c r="Q355" s="67" t="n">
        <v>1.453752</v>
      </c>
      <c r="R355" s="67" t="n">
        <v>1.860665</v>
      </c>
      <c r="S355" s="68" t="s">
        <v>200</v>
      </c>
      <c r="T355" s="68" t="s">
        <v>201</v>
      </c>
      <c r="U355" s="68" t="s">
        <v>945</v>
      </c>
      <c r="V355" s="69" t="n">
        <v>46387</v>
      </c>
      <c r="W355" s="68" t="s">
        <v>782</v>
      </c>
      <c r="X355" s="68" t="n">
        <v>0.318888097503979</v>
      </c>
      <c r="Y355" s="68" t="n">
        <v>18.6549537039828</v>
      </c>
      <c r="Z355" s="68" t="n">
        <v>58.5</v>
      </c>
      <c r="AA355" s="70"/>
    </row>
    <row r="356" customFormat="false" ht="14.25" hidden="false" customHeight="false" outlineLevel="0" collapsed="false">
      <c r="A356" s="56"/>
      <c r="B356" s="56"/>
      <c r="C356" s="64" t="n">
        <v>351</v>
      </c>
      <c r="D356" s="71" t="s">
        <v>963</v>
      </c>
      <c r="E356" s="71" t="s">
        <v>837</v>
      </c>
      <c r="F356" s="71" t="s">
        <v>964</v>
      </c>
      <c r="G356" s="66" t="n">
        <v>44</v>
      </c>
      <c r="H356" s="67" t="n">
        <v>52.82</v>
      </c>
      <c r="I356" s="68" t="n">
        <v>393</v>
      </c>
      <c r="J356" s="68" t="n">
        <v>393</v>
      </c>
      <c r="K356" s="68" t="n">
        <v>393</v>
      </c>
      <c r="L356" s="68" t="s">
        <v>199</v>
      </c>
      <c r="M356" s="67" t="n">
        <v>0.2119043</v>
      </c>
      <c r="N356" s="67" t="n">
        <v>0.4065866</v>
      </c>
      <c r="O356" s="67" t="n">
        <v>4.093796</v>
      </c>
      <c r="P356" s="67" t="n">
        <v>0.5555478</v>
      </c>
      <c r="Q356" s="67" t="n">
        <v>1.32258</v>
      </c>
      <c r="R356" s="67" t="n">
        <v>1.882314</v>
      </c>
      <c r="S356" s="68" t="s">
        <v>200</v>
      </c>
      <c r="T356" s="68" t="s">
        <v>201</v>
      </c>
      <c r="U356" s="68" t="s">
        <v>945</v>
      </c>
      <c r="V356" s="69" t="n">
        <v>46387</v>
      </c>
      <c r="W356" s="68" t="n">
        <v>266.8</v>
      </c>
      <c r="X356" s="68"/>
      <c r="Y356" s="68"/>
      <c r="Z356" s="68"/>
      <c r="AA356" s="70" t="s">
        <v>237</v>
      </c>
    </row>
    <row r="357" customFormat="false" ht="14.25" hidden="false" customHeight="false" outlineLevel="0" collapsed="false">
      <c r="A357" s="56"/>
      <c r="B357" s="56"/>
      <c r="C357" s="64" t="n">
        <v>352</v>
      </c>
      <c r="D357" s="71" t="s">
        <v>965</v>
      </c>
      <c r="E357" s="71" t="s">
        <v>935</v>
      </c>
      <c r="F357" s="71" t="s">
        <v>966</v>
      </c>
      <c r="G357" s="66" t="n">
        <v>44</v>
      </c>
      <c r="H357" s="67" t="n">
        <v>6</v>
      </c>
      <c r="I357" s="68" t="n">
        <v>393</v>
      </c>
      <c r="J357" s="68" t="n">
        <v>393</v>
      </c>
      <c r="K357" s="68" t="n">
        <v>393</v>
      </c>
      <c r="L357" s="68" t="s">
        <v>199</v>
      </c>
      <c r="M357" s="67" t="n">
        <v>0.2119043</v>
      </c>
      <c r="N357" s="67" t="n">
        <v>0.4065866</v>
      </c>
      <c r="O357" s="67" t="n">
        <v>4.093796</v>
      </c>
      <c r="P357" s="67" t="n">
        <v>0.5555478</v>
      </c>
      <c r="Q357" s="67" t="n">
        <v>1.32258</v>
      </c>
      <c r="R357" s="67" t="n">
        <v>1.882314</v>
      </c>
      <c r="S357" s="68" t="s">
        <v>200</v>
      </c>
      <c r="T357" s="68" t="s">
        <v>201</v>
      </c>
      <c r="U357" s="68" t="s">
        <v>771</v>
      </c>
      <c r="V357" s="69" t="n">
        <v>46387</v>
      </c>
      <c r="W357" s="68" t="n">
        <v>266.8</v>
      </c>
      <c r="X357" s="68"/>
      <c r="Y357" s="68"/>
      <c r="Z357" s="68"/>
      <c r="AA357" s="70" t="s">
        <v>967</v>
      </c>
    </row>
    <row r="358" customFormat="false" ht="14.25" hidden="false" customHeight="false" outlineLevel="0" collapsed="false">
      <c r="A358" s="56"/>
      <c r="B358" s="56"/>
      <c r="C358" s="64" t="n">
        <v>353</v>
      </c>
      <c r="D358" s="71" t="s">
        <v>968</v>
      </c>
      <c r="E358" s="71" t="s">
        <v>927</v>
      </c>
      <c r="F358" s="71" t="s">
        <v>969</v>
      </c>
      <c r="G358" s="66" t="n">
        <v>110</v>
      </c>
      <c r="H358" s="67" t="n">
        <v>23.67</v>
      </c>
      <c r="I358" s="68" t="n">
        <v>504.18</v>
      </c>
      <c r="J358" s="68" t="n">
        <v>504.18</v>
      </c>
      <c r="K358" s="68" t="n">
        <v>655.44</v>
      </c>
      <c r="L358" s="68" t="s">
        <v>199</v>
      </c>
      <c r="M358" s="67" t="n">
        <v>0.118</v>
      </c>
      <c r="N358" s="67" t="n">
        <v>0.495</v>
      </c>
      <c r="O358" s="67" t="n">
        <v>3.317</v>
      </c>
      <c r="P358" s="67" t="n">
        <v>0.4416</v>
      </c>
      <c r="Q358" s="67" t="n">
        <v>1.363</v>
      </c>
      <c r="R358" s="67" t="n">
        <v>1.784</v>
      </c>
      <c r="S358" s="68" t="s">
        <v>767</v>
      </c>
      <c r="T358" s="68" t="s">
        <v>201</v>
      </c>
      <c r="U358" s="68" t="s">
        <v>945</v>
      </c>
      <c r="V358" s="69"/>
      <c r="W358" s="68" t="n">
        <v>477</v>
      </c>
      <c r="X358" s="68" t="n">
        <v>4.26111111103091</v>
      </c>
      <c r="Y358" s="68" t="n">
        <v>8.52222222206183</v>
      </c>
      <c r="Z358" s="68" t="n">
        <v>2</v>
      </c>
      <c r="AA358" s="70"/>
    </row>
    <row r="359" customFormat="false" ht="14.25" hidden="false" customHeight="false" outlineLevel="0" collapsed="false">
      <c r="A359" s="56"/>
      <c r="B359" s="56"/>
      <c r="C359" s="64" t="n">
        <v>354</v>
      </c>
      <c r="D359" s="71" t="s">
        <v>970</v>
      </c>
      <c r="E359" s="71" t="s">
        <v>927</v>
      </c>
      <c r="F359" s="71" t="s">
        <v>971</v>
      </c>
      <c r="G359" s="66" t="n">
        <v>110</v>
      </c>
      <c r="H359" s="67" t="n">
        <v>27.5</v>
      </c>
      <c r="I359" s="68" t="n">
        <v>467</v>
      </c>
      <c r="J359" s="68" t="n">
        <v>667</v>
      </c>
      <c r="K359" s="68" t="n">
        <v>607.1</v>
      </c>
      <c r="L359" s="68" t="s">
        <v>199</v>
      </c>
      <c r="M359" s="67" t="n">
        <v>0.1342</v>
      </c>
      <c r="N359" s="67" t="n">
        <v>0.4896</v>
      </c>
      <c r="O359" s="67" t="n">
        <v>3.4298</v>
      </c>
      <c r="P359" s="67" t="n">
        <v>0.4089</v>
      </c>
      <c r="Q359" s="67" t="n">
        <v>1.587</v>
      </c>
      <c r="R359" s="67" t="n">
        <v>1.9463</v>
      </c>
      <c r="S359" s="68" t="s">
        <v>767</v>
      </c>
      <c r="T359" s="68" t="s">
        <v>201</v>
      </c>
      <c r="U359" s="68" t="s">
        <v>945</v>
      </c>
      <c r="V359" s="69"/>
      <c r="W359" s="68" t="s">
        <v>972</v>
      </c>
      <c r="X359" s="68" t="n">
        <v>1.16775423729046</v>
      </c>
      <c r="Y359" s="68" t="n">
        <v>11.4829166666896</v>
      </c>
      <c r="Z359" s="68" t="n">
        <v>9.83333333333333</v>
      </c>
      <c r="AA359" s="70"/>
    </row>
    <row r="360" customFormat="false" ht="14.25" hidden="false" customHeight="false" outlineLevel="0" collapsed="false">
      <c r="A360" s="56"/>
      <c r="B360" s="56"/>
      <c r="C360" s="64" t="n">
        <v>355</v>
      </c>
      <c r="D360" s="71" t="s">
        <v>973</v>
      </c>
      <c r="E360" s="71" t="s">
        <v>969</v>
      </c>
      <c r="F360" s="71" t="s">
        <v>974</v>
      </c>
      <c r="G360" s="66" t="n">
        <v>110</v>
      </c>
      <c r="H360" s="67" t="n">
        <v>54.25</v>
      </c>
      <c r="I360" s="68" t="n">
        <v>500.22</v>
      </c>
      <c r="J360" s="68" t="n">
        <v>500.22</v>
      </c>
      <c r="K360" s="68" t="n">
        <v>650.29</v>
      </c>
      <c r="L360" s="68" t="s">
        <v>199</v>
      </c>
      <c r="M360" s="67" t="n">
        <v>0.118</v>
      </c>
      <c r="N360" s="67" t="n">
        <v>0.495</v>
      </c>
      <c r="O360" s="67" t="n">
        <v>3.317</v>
      </c>
      <c r="P360" s="67" t="n">
        <v>0.439</v>
      </c>
      <c r="Q360" s="67" t="n">
        <v>1.359</v>
      </c>
      <c r="R360" s="67" t="n">
        <v>1.784</v>
      </c>
      <c r="S360" s="68" t="s">
        <v>767</v>
      </c>
      <c r="T360" s="68" t="s">
        <v>201</v>
      </c>
      <c r="U360" s="68" t="s">
        <v>945</v>
      </c>
      <c r="V360" s="69"/>
      <c r="W360" s="68" t="n">
        <v>477</v>
      </c>
      <c r="X360" s="68" t="n">
        <v>6.32307692305543</v>
      </c>
      <c r="Y360" s="68" t="n">
        <v>41.0999999998603</v>
      </c>
      <c r="Z360" s="68" t="n">
        <v>6.5</v>
      </c>
      <c r="AA360" s="70"/>
    </row>
    <row r="361" customFormat="false" ht="14.25" hidden="false" customHeight="false" outlineLevel="0" collapsed="false">
      <c r="A361" s="56"/>
      <c r="B361" s="56"/>
      <c r="C361" s="64" t="n">
        <v>356</v>
      </c>
      <c r="D361" s="71" t="s">
        <v>975</v>
      </c>
      <c r="E361" s="71" t="s">
        <v>927</v>
      </c>
      <c r="F361" s="71" t="s">
        <v>976</v>
      </c>
      <c r="G361" s="66" t="n">
        <v>110</v>
      </c>
      <c r="H361" s="67" t="n">
        <v>51.3</v>
      </c>
      <c r="I361" s="68" t="n">
        <v>304.43</v>
      </c>
      <c r="J361" s="68" t="n">
        <v>530</v>
      </c>
      <c r="K361" s="68" t="n">
        <v>304.43</v>
      </c>
      <c r="L361" s="68" t="s">
        <v>199</v>
      </c>
      <c r="M361" s="67" t="n">
        <v>0.1864</v>
      </c>
      <c r="N361" s="67" t="n">
        <v>0.5332</v>
      </c>
      <c r="O361" s="67" t="n">
        <v>3.0695</v>
      </c>
      <c r="P361" s="67" t="n">
        <v>0.4727</v>
      </c>
      <c r="Q361" s="67" t="n">
        <v>1.5004</v>
      </c>
      <c r="R361" s="67" t="n">
        <v>2.1359</v>
      </c>
      <c r="S361" s="68" t="s">
        <v>767</v>
      </c>
      <c r="T361" s="68" t="s">
        <v>201</v>
      </c>
      <c r="U361" s="68" t="s">
        <v>945</v>
      </c>
      <c r="V361" s="69"/>
      <c r="W361" s="68" t="s">
        <v>908</v>
      </c>
      <c r="X361" s="68" t="n">
        <v>3.81666666665011</v>
      </c>
      <c r="Y361" s="68" t="n">
        <v>35.6222222220677</v>
      </c>
      <c r="Z361" s="68" t="n">
        <v>9.33333333333333</v>
      </c>
      <c r="AA361" s="70"/>
    </row>
    <row r="362" customFormat="false" ht="14.25" hidden="false" customHeight="false" outlineLevel="0" collapsed="false">
      <c r="A362" s="56"/>
      <c r="B362" s="56"/>
      <c r="C362" s="64" t="n">
        <v>357</v>
      </c>
      <c r="D362" s="71" t="s">
        <v>977</v>
      </c>
      <c r="E362" s="71" t="s">
        <v>976</v>
      </c>
      <c r="F362" s="71" t="s">
        <v>974</v>
      </c>
      <c r="G362" s="66" t="n">
        <v>110</v>
      </c>
      <c r="H362" s="67" t="n">
        <v>26.5</v>
      </c>
      <c r="I362" s="68" t="n">
        <v>467</v>
      </c>
      <c r="J362" s="68" t="n">
        <v>661</v>
      </c>
      <c r="K362" s="68" t="n">
        <v>607</v>
      </c>
      <c r="L362" s="68" t="s">
        <v>199</v>
      </c>
      <c r="M362" s="67" t="n">
        <v>0.1174</v>
      </c>
      <c r="N362" s="67" t="n">
        <v>0.4844</v>
      </c>
      <c r="O362" s="67" t="n">
        <v>3.408</v>
      </c>
      <c r="P362" s="67" t="n">
        <v>0.352</v>
      </c>
      <c r="Q362" s="67" t="n">
        <v>1.595</v>
      </c>
      <c r="R362" s="67" t="n">
        <v>1.886</v>
      </c>
      <c r="S362" s="68" t="s">
        <v>767</v>
      </c>
      <c r="T362" s="68" t="s">
        <v>201</v>
      </c>
      <c r="U362" s="68" t="s">
        <v>945</v>
      </c>
      <c r="V362" s="69"/>
      <c r="W362" s="68" t="n">
        <v>477</v>
      </c>
      <c r="X362" s="68" t="n">
        <v>4.52242424242749</v>
      </c>
      <c r="Y362" s="68" t="n">
        <v>41.4555555555853</v>
      </c>
      <c r="Z362" s="68" t="n">
        <v>9.16666666666667</v>
      </c>
      <c r="AA362" s="70"/>
    </row>
    <row r="363" customFormat="false" ht="14.25" hidden="false" customHeight="false" outlineLevel="0" collapsed="false">
      <c r="A363" s="56"/>
      <c r="B363" s="56"/>
      <c r="C363" s="64" t="n">
        <v>358</v>
      </c>
      <c r="D363" s="71" t="s">
        <v>978</v>
      </c>
      <c r="E363" s="71" t="s">
        <v>979</v>
      </c>
      <c r="F363" s="71" t="s">
        <v>980</v>
      </c>
      <c r="G363" s="66" t="n">
        <v>44</v>
      </c>
      <c r="H363" s="67" t="n">
        <v>10.37</v>
      </c>
      <c r="I363" s="68" t="n">
        <v>275</v>
      </c>
      <c r="J363" s="68" t="n">
        <v>275</v>
      </c>
      <c r="K363" s="68" t="n">
        <v>275</v>
      </c>
      <c r="L363" s="68" t="s">
        <v>199</v>
      </c>
      <c r="M363" s="67" t="n">
        <v>0.4152247</v>
      </c>
      <c r="N363" s="67" t="n">
        <v>0.4443478</v>
      </c>
      <c r="O363" s="67" t="n">
        <v>3.860008</v>
      </c>
      <c r="P363" s="67" t="n">
        <v>0.8323398</v>
      </c>
      <c r="Q363" s="67" t="n">
        <v>1.62268</v>
      </c>
      <c r="R363" s="67" t="n">
        <v>1.815424</v>
      </c>
      <c r="S363" s="68" t="s">
        <v>200</v>
      </c>
      <c r="T363" s="68" t="s">
        <v>201</v>
      </c>
      <c r="U363" s="68" t="s">
        <v>945</v>
      </c>
      <c r="V363" s="69"/>
      <c r="W363" s="68" t="s">
        <v>981</v>
      </c>
      <c r="X363" s="68" t="n">
        <v>2.0763383838401</v>
      </c>
      <c r="Y363" s="68" t="n">
        <v>22.8397222222411</v>
      </c>
      <c r="Z363" s="68" t="n">
        <v>11</v>
      </c>
      <c r="AA363" s="70"/>
    </row>
    <row r="364" customFormat="false" ht="14.25" hidden="false" customHeight="false" outlineLevel="0" collapsed="false">
      <c r="A364" s="56"/>
      <c r="B364" s="56"/>
      <c r="C364" s="64" t="n">
        <v>359</v>
      </c>
      <c r="D364" s="71" t="s">
        <v>982</v>
      </c>
      <c r="E364" s="71" t="s">
        <v>983</v>
      </c>
      <c r="F364" s="71" t="s">
        <v>984</v>
      </c>
      <c r="G364" s="66" t="n">
        <v>44</v>
      </c>
      <c r="H364" s="67" t="n">
        <v>7.53</v>
      </c>
      <c r="I364" s="68" t="n">
        <v>310</v>
      </c>
      <c r="J364" s="68" t="n">
        <v>310</v>
      </c>
      <c r="K364" s="68" t="n">
        <v>310</v>
      </c>
      <c r="L364" s="68" t="s">
        <v>199</v>
      </c>
      <c r="M364" s="67" t="n">
        <v>0.2617358</v>
      </c>
      <c r="N364" s="67" t="n">
        <v>0.4266667</v>
      </c>
      <c r="O364" s="67" t="n">
        <v>4.032093</v>
      </c>
      <c r="P364" s="67" t="n">
        <v>0.6727617</v>
      </c>
      <c r="Q364" s="67" t="n">
        <v>1.585629</v>
      </c>
      <c r="R364" s="67" t="n">
        <v>1.852435</v>
      </c>
      <c r="S364" s="68" t="s">
        <v>200</v>
      </c>
      <c r="T364" s="68" t="s">
        <v>201</v>
      </c>
      <c r="U364" s="68" t="s">
        <v>945</v>
      </c>
      <c r="V364" s="69"/>
      <c r="W364" s="68" t="s">
        <v>782</v>
      </c>
      <c r="X364" s="68" t="n">
        <v>0.397098358253958</v>
      </c>
      <c r="Y364" s="68" t="n">
        <v>25.0833796297084</v>
      </c>
      <c r="Z364" s="68" t="n">
        <v>63.1666666666667</v>
      </c>
      <c r="AA364" s="70"/>
    </row>
    <row r="365" customFormat="false" ht="14.25" hidden="false" customHeight="false" outlineLevel="0" collapsed="false">
      <c r="A365" s="56"/>
      <c r="B365" s="56"/>
      <c r="C365" s="64" t="n">
        <v>360</v>
      </c>
      <c r="D365" s="71" t="s">
        <v>985</v>
      </c>
      <c r="E365" s="71" t="s">
        <v>984</v>
      </c>
      <c r="F365" s="71" t="s">
        <v>986</v>
      </c>
      <c r="G365" s="66" t="n">
        <v>44</v>
      </c>
      <c r="H365" s="67" t="n">
        <v>0.3</v>
      </c>
      <c r="I365" s="68" t="n">
        <v>275</v>
      </c>
      <c r="J365" s="68" t="n">
        <v>275</v>
      </c>
      <c r="K365" s="68" t="n">
        <v>275</v>
      </c>
      <c r="L365" s="68" t="s">
        <v>199</v>
      </c>
      <c r="M365" s="67" t="n">
        <v>0.4152247</v>
      </c>
      <c r="N365" s="67" t="n">
        <v>0.4443478</v>
      </c>
      <c r="O365" s="67" t="n">
        <v>3.860008</v>
      </c>
      <c r="P365" s="67" t="n">
        <v>0.8323398</v>
      </c>
      <c r="Q365" s="67" t="n">
        <v>1.62268</v>
      </c>
      <c r="R365" s="67" t="n">
        <v>1.815424</v>
      </c>
      <c r="S365" s="68" t="s">
        <v>200</v>
      </c>
      <c r="T365" s="68" t="s">
        <v>201</v>
      </c>
      <c r="U365" s="68" t="s">
        <v>945</v>
      </c>
      <c r="V365" s="69"/>
      <c r="W365" s="68" t="s">
        <v>981</v>
      </c>
      <c r="X365" s="68" t="n">
        <v>0.397098358253958</v>
      </c>
      <c r="Y365" s="68" t="n">
        <v>25.0833796297084</v>
      </c>
      <c r="Z365" s="68" t="n">
        <v>63.1666666666667</v>
      </c>
      <c r="AA365" s="70"/>
    </row>
    <row r="366" customFormat="false" ht="14.25" hidden="false" customHeight="false" outlineLevel="0" collapsed="false">
      <c r="A366" s="56"/>
      <c r="B366" s="56"/>
      <c r="C366" s="64" t="n">
        <v>361</v>
      </c>
      <c r="D366" s="71" t="s">
        <v>987</v>
      </c>
      <c r="E366" s="71" t="s">
        <v>986</v>
      </c>
      <c r="F366" s="71" t="s">
        <v>988</v>
      </c>
      <c r="G366" s="66" t="n">
        <v>44</v>
      </c>
      <c r="H366" s="67" t="n">
        <v>9.07</v>
      </c>
      <c r="I366" s="68" t="n">
        <v>275</v>
      </c>
      <c r="J366" s="68" t="n">
        <v>275</v>
      </c>
      <c r="K366" s="68" t="n">
        <v>275</v>
      </c>
      <c r="L366" s="68" t="s">
        <v>199</v>
      </c>
      <c r="M366" s="67" t="n">
        <v>0.4152247</v>
      </c>
      <c r="N366" s="67" t="n">
        <v>0.4443478</v>
      </c>
      <c r="O366" s="67" t="n">
        <v>3.860008</v>
      </c>
      <c r="P366" s="67" t="n">
        <v>0.8323398</v>
      </c>
      <c r="Q366" s="67" t="n">
        <v>1.62268</v>
      </c>
      <c r="R366" s="67" t="n">
        <v>1.815424</v>
      </c>
      <c r="S366" s="68" t="s">
        <v>200</v>
      </c>
      <c r="T366" s="68" t="s">
        <v>201</v>
      </c>
      <c r="U366" s="68" t="s">
        <v>945</v>
      </c>
      <c r="V366" s="69"/>
      <c r="W366" s="68" t="s">
        <v>981</v>
      </c>
      <c r="X366" s="68" t="n">
        <v>0.397098358253958</v>
      </c>
      <c r="Y366" s="68" t="n">
        <v>25.0833796297084</v>
      </c>
      <c r="Z366" s="68" t="n">
        <v>63.1666666666667</v>
      </c>
      <c r="AA366" s="70" t="s">
        <v>237</v>
      </c>
    </row>
    <row r="367" customFormat="false" ht="14.25" hidden="false" customHeight="false" outlineLevel="0" collapsed="false">
      <c r="A367" s="56"/>
      <c r="B367" s="56"/>
      <c r="C367" s="64" t="n">
        <v>362</v>
      </c>
      <c r="D367" s="71" t="s">
        <v>989</v>
      </c>
      <c r="E367" s="71" t="s">
        <v>990</v>
      </c>
      <c r="F367" s="71" t="s">
        <v>991</v>
      </c>
      <c r="G367" s="66" t="n">
        <v>44</v>
      </c>
      <c r="H367" s="67" t="n">
        <v>4.2</v>
      </c>
      <c r="I367" s="68" t="n">
        <v>310</v>
      </c>
      <c r="J367" s="68" t="n">
        <v>310</v>
      </c>
      <c r="K367" s="68" t="n">
        <v>310</v>
      </c>
      <c r="L367" s="68" t="s">
        <v>199</v>
      </c>
      <c r="M367" s="67" t="n">
        <v>0.2617358</v>
      </c>
      <c r="N367" s="67" t="n">
        <v>0.4266667</v>
      </c>
      <c r="O367" s="67" t="n">
        <v>4.032093</v>
      </c>
      <c r="P367" s="67" t="n">
        <v>0.6727617</v>
      </c>
      <c r="Q367" s="67" t="n">
        <v>1.585629</v>
      </c>
      <c r="R367" s="67" t="n">
        <v>1.852435</v>
      </c>
      <c r="S367" s="68" t="s">
        <v>200</v>
      </c>
      <c r="T367" s="68" t="s">
        <v>201</v>
      </c>
      <c r="U367" s="68" t="s">
        <v>945</v>
      </c>
      <c r="V367" s="69"/>
      <c r="W367" s="68" t="s">
        <v>782</v>
      </c>
      <c r="X367" s="68" t="n">
        <v>0.397098358253958</v>
      </c>
      <c r="Y367" s="68" t="n">
        <v>25.0833796297084</v>
      </c>
      <c r="Z367" s="68" t="n">
        <v>63.1666666666667</v>
      </c>
      <c r="AA367" s="70"/>
    </row>
    <row r="368" customFormat="false" ht="14.25" hidden="false" customHeight="false" outlineLevel="0" collapsed="false">
      <c r="A368" s="56"/>
      <c r="B368" s="56"/>
      <c r="C368" s="64" t="n">
        <v>363</v>
      </c>
      <c r="D368" s="71" t="s">
        <v>992</v>
      </c>
      <c r="E368" s="71" t="s">
        <v>990</v>
      </c>
      <c r="F368" s="71" t="s">
        <v>993</v>
      </c>
      <c r="G368" s="66" t="n">
        <v>44</v>
      </c>
      <c r="H368" s="67" t="n">
        <v>3.71</v>
      </c>
      <c r="I368" s="68" t="n">
        <v>275</v>
      </c>
      <c r="J368" s="68" t="n">
        <v>275</v>
      </c>
      <c r="K368" s="68" t="n">
        <v>275</v>
      </c>
      <c r="L368" s="68" t="s">
        <v>199</v>
      </c>
      <c r="M368" s="67" t="n">
        <v>0.4152247</v>
      </c>
      <c r="N368" s="67" t="n">
        <v>0.4443478</v>
      </c>
      <c r="O368" s="67" t="n">
        <v>3.860008</v>
      </c>
      <c r="P368" s="67" t="n">
        <v>0.8323398</v>
      </c>
      <c r="Q368" s="67" t="n">
        <v>1.62268</v>
      </c>
      <c r="R368" s="67" t="n">
        <v>1.815424</v>
      </c>
      <c r="S368" s="68" t="s">
        <v>200</v>
      </c>
      <c r="T368" s="68" t="s">
        <v>201</v>
      </c>
      <c r="U368" s="68" t="s">
        <v>945</v>
      </c>
      <c r="V368" s="69"/>
      <c r="W368" s="68" t="s">
        <v>981</v>
      </c>
      <c r="X368" s="68" t="n">
        <v>0.397098358253958</v>
      </c>
      <c r="Y368" s="68" t="n">
        <v>25.0833796297084</v>
      </c>
      <c r="Z368" s="68" t="n">
        <v>63.1666666666667</v>
      </c>
      <c r="AA368" s="70"/>
    </row>
    <row r="369" customFormat="false" ht="14.25" hidden="false" customHeight="false" outlineLevel="0" collapsed="false">
      <c r="A369" s="56"/>
      <c r="B369" s="56"/>
      <c r="C369" s="64" t="n">
        <v>364</v>
      </c>
      <c r="D369" s="71" t="s">
        <v>994</v>
      </c>
      <c r="E369" s="71" t="s">
        <v>993</v>
      </c>
      <c r="F369" s="71" t="s">
        <v>995</v>
      </c>
      <c r="G369" s="66" t="n">
        <v>44</v>
      </c>
      <c r="H369" s="67" t="n">
        <v>7.66</v>
      </c>
      <c r="I369" s="68" t="n">
        <v>393</v>
      </c>
      <c r="J369" s="68" t="n">
        <v>393</v>
      </c>
      <c r="K369" s="68" t="n">
        <v>393</v>
      </c>
      <c r="L369" s="68" t="s">
        <v>199</v>
      </c>
      <c r="M369" s="67" t="n">
        <v>0.2119043</v>
      </c>
      <c r="N369" s="67" t="n">
        <v>0.4065866</v>
      </c>
      <c r="O369" s="67" t="n">
        <v>4.093796</v>
      </c>
      <c r="P369" s="67" t="n">
        <v>0.5555478</v>
      </c>
      <c r="Q369" s="67" t="n">
        <v>1.32258</v>
      </c>
      <c r="R369" s="67" t="n">
        <v>1.882314</v>
      </c>
      <c r="S369" s="68" t="s">
        <v>200</v>
      </c>
      <c r="T369" s="68" t="s">
        <v>201</v>
      </c>
      <c r="U369" s="68" t="s">
        <v>945</v>
      </c>
      <c r="V369" s="69"/>
      <c r="W369" s="68" t="n">
        <v>266.8</v>
      </c>
      <c r="X369" s="68" t="n">
        <v>0.397098358253958</v>
      </c>
      <c r="Y369" s="68" t="n">
        <v>25.0833796297084</v>
      </c>
      <c r="Z369" s="68" t="n">
        <v>63.1666666666667</v>
      </c>
      <c r="AA369" s="70"/>
    </row>
    <row r="370" customFormat="false" ht="14.25" hidden="false" customHeight="false" outlineLevel="0" collapsed="false">
      <c r="A370" s="56"/>
      <c r="B370" s="56"/>
      <c r="C370" s="64" t="n">
        <v>365</v>
      </c>
      <c r="D370" s="71" t="s">
        <v>996</v>
      </c>
      <c r="E370" s="71" t="s">
        <v>997</v>
      </c>
      <c r="F370" s="71" t="s">
        <v>979</v>
      </c>
      <c r="G370" s="66" t="n">
        <v>44</v>
      </c>
      <c r="H370" s="67" t="n">
        <v>8.01</v>
      </c>
      <c r="I370" s="68" t="n">
        <v>275</v>
      </c>
      <c r="J370" s="68" t="n">
        <v>275</v>
      </c>
      <c r="K370" s="68" t="n">
        <v>275</v>
      </c>
      <c r="L370" s="68" t="s">
        <v>199</v>
      </c>
      <c r="M370" s="67" t="n">
        <v>0.4152247</v>
      </c>
      <c r="N370" s="67" t="n">
        <v>0.4443478</v>
      </c>
      <c r="O370" s="67" t="n">
        <v>3.860008</v>
      </c>
      <c r="P370" s="67" t="n">
        <v>0.8323398</v>
      </c>
      <c r="Q370" s="67" t="n">
        <v>1.62268</v>
      </c>
      <c r="R370" s="67" t="n">
        <v>1.815424</v>
      </c>
      <c r="S370" s="68" t="s">
        <v>200</v>
      </c>
      <c r="T370" s="68" t="s">
        <v>201</v>
      </c>
      <c r="U370" s="68" t="s">
        <v>945</v>
      </c>
      <c r="V370" s="69"/>
      <c r="W370" s="68" t="s">
        <v>981</v>
      </c>
      <c r="X370" s="68" t="n">
        <v>0.397098358253958</v>
      </c>
      <c r="Y370" s="68" t="n">
        <v>25.0833796297084</v>
      </c>
      <c r="Z370" s="68" t="n">
        <v>63.1666666666667</v>
      </c>
      <c r="AA370" s="70"/>
    </row>
    <row r="371" customFormat="false" ht="14.25" hidden="false" customHeight="false" outlineLevel="0" collapsed="false">
      <c r="A371" s="56"/>
      <c r="B371" s="56"/>
      <c r="C371" s="64" t="n">
        <v>366</v>
      </c>
      <c r="D371" s="71" t="s">
        <v>998</v>
      </c>
      <c r="E371" s="71" t="s">
        <v>976</v>
      </c>
      <c r="F371" s="71" t="s">
        <v>999</v>
      </c>
      <c r="G371" s="66" t="n">
        <v>44</v>
      </c>
      <c r="H371" s="67" t="n">
        <v>8.89</v>
      </c>
      <c r="I371" s="68" t="n">
        <v>275</v>
      </c>
      <c r="J371" s="68" t="n">
        <v>275</v>
      </c>
      <c r="K371" s="68" t="n">
        <v>275</v>
      </c>
      <c r="L371" s="68" t="s">
        <v>199</v>
      </c>
      <c r="M371" s="67" t="n">
        <v>0.4152247</v>
      </c>
      <c r="N371" s="67" t="n">
        <v>0.4443478</v>
      </c>
      <c r="O371" s="67" t="n">
        <v>3.860008</v>
      </c>
      <c r="P371" s="67" t="n">
        <v>0.8323398</v>
      </c>
      <c r="Q371" s="67" t="n">
        <v>1.62268</v>
      </c>
      <c r="R371" s="67" t="n">
        <v>1.815424</v>
      </c>
      <c r="S371" s="68" t="s">
        <v>200</v>
      </c>
      <c r="T371" s="68" t="s">
        <v>201</v>
      </c>
      <c r="U371" s="68" t="s">
        <v>945</v>
      </c>
      <c r="V371" s="69"/>
      <c r="W371" s="68" t="s">
        <v>981</v>
      </c>
      <c r="X371" s="68" t="n">
        <v>1.62273989899285</v>
      </c>
      <c r="Y371" s="68" t="n">
        <v>59.5004629630712</v>
      </c>
      <c r="Z371" s="68" t="n">
        <v>36.6666666666667</v>
      </c>
      <c r="AA371" s="70"/>
    </row>
    <row r="372" customFormat="false" ht="14.25" hidden="false" customHeight="false" outlineLevel="0" collapsed="false">
      <c r="A372" s="56"/>
      <c r="B372" s="56"/>
      <c r="C372" s="64" t="n">
        <v>367</v>
      </c>
      <c r="D372" s="71" t="s">
        <v>1000</v>
      </c>
      <c r="E372" s="71" t="s">
        <v>927</v>
      </c>
      <c r="F372" s="71" t="s">
        <v>1001</v>
      </c>
      <c r="G372" s="66" t="n">
        <v>44</v>
      </c>
      <c r="H372" s="67" t="n">
        <v>8</v>
      </c>
      <c r="I372" s="68" t="n">
        <v>310</v>
      </c>
      <c r="J372" s="68" t="n">
        <v>310</v>
      </c>
      <c r="K372" s="68" t="n">
        <v>310</v>
      </c>
      <c r="L372" s="68" t="s">
        <v>199</v>
      </c>
      <c r="M372" s="67" t="n">
        <v>0.2617358</v>
      </c>
      <c r="N372" s="67" t="n">
        <v>0.4266667</v>
      </c>
      <c r="O372" s="67" t="n">
        <v>4.032093</v>
      </c>
      <c r="P372" s="67" t="n">
        <v>0.6727617</v>
      </c>
      <c r="Q372" s="67" t="n">
        <v>1.585629</v>
      </c>
      <c r="R372" s="67" t="n">
        <v>1.852435</v>
      </c>
      <c r="S372" s="68" t="s">
        <v>200</v>
      </c>
      <c r="T372" s="68" t="s">
        <v>201</v>
      </c>
      <c r="U372" s="68" t="s">
        <v>945</v>
      </c>
      <c r="V372" s="69"/>
      <c r="W372" s="68" t="s">
        <v>782</v>
      </c>
      <c r="X372" s="68"/>
      <c r="Y372" s="68"/>
      <c r="Z372" s="68"/>
      <c r="AA372" s="70" t="s">
        <v>231</v>
      </c>
    </row>
    <row r="373" customFormat="false" ht="14.25" hidden="false" customHeight="false" outlineLevel="0" collapsed="false">
      <c r="A373" s="56"/>
      <c r="B373" s="56"/>
      <c r="C373" s="64" t="n">
        <v>368</v>
      </c>
      <c r="D373" s="71" t="s">
        <v>1002</v>
      </c>
      <c r="E373" s="71" t="s">
        <v>1003</v>
      </c>
      <c r="F373" s="71" t="s">
        <v>1004</v>
      </c>
      <c r="G373" s="66" t="n">
        <v>44</v>
      </c>
      <c r="H373" s="67" t="n">
        <v>15.63</v>
      </c>
      <c r="I373" s="68" t="n">
        <v>310</v>
      </c>
      <c r="J373" s="68" t="n">
        <v>310</v>
      </c>
      <c r="K373" s="68" t="n">
        <v>310</v>
      </c>
      <c r="L373" s="68" t="s">
        <v>199</v>
      </c>
      <c r="M373" s="67" t="n">
        <v>0.2617358</v>
      </c>
      <c r="N373" s="67" t="n">
        <v>0.4266667</v>
      </c>
      <c r="O373" s="67" t="n">
        <v>4.032093</v>
      </c>
      <c r="P373" s="67" t="n">
        <v>0.6727617</v>
      </c>
      <c r="Q373" s="67" t="n">
        <v>1.585629</v>
      </c>
      <c r="R373" s="67" t="n">
        <v>1.852435</v>
      </c>
      <c r="S373" s="68" t="s">
        <v>200</v>
      </c>
      <c r="T373" s="68" t="s">
        <v>201</v>
      </c>
      <c r="U373" s="68" t="s">
        <v>945</v>
      </c>
      <c r="V373" s="69"/>
      <c r="W373" s="68" t="s">
        <v>782</v>
      </c>
      <c r="X373" s="68" t="n">
        <v>1.43117370892113</v>
      </c>
      <c r="Y373" s="68" t="n">
        <v>50.8066666667</v>
      </c>
      <c r="Z373" s="68" t="n">
        <v>35.5</v>
      </c>
      <c r="AA373" s="70"/>
    </row>
    <row r="374" customFormat="false" ht="14.25" hidden="false" customHeight="false" outlineLevel="0" collapsed="false">
      <c r="A374" s="56"/>
      <c r="B374" s="56"/>
      <c r="C374" s="64" t="n">
        <v>369</v>
      </c>
      <c r="D374" s="71" t="s">
        <v>1005</v>
      </c>
      <c r="E374" s="71" t="s">
        <v>1003</v>
      </c>
      <c r="F374" s="71" t="s">
        <v>1006</v>
      </c>
      <c r="G374" s="66" t="n">
        <v>44</v>
      </c>
      <c r="H374" s="67" t="n">
        <v>15.99</v>
      </c>
      <c r="I374" s="68" t="n">
        <v>310</v>
      </c>
      <c r="J374" s="68" t="n">
        <v>310</v>
      </c>
      <c r="K374" s="68" t="n">
        <v>310</v>
      </c>
      <c r="L374" s="68" t="s">
        <v>199</v>
      </c>
      <c r="M374" s="67" t="n">
        <v>0.2617358</v>
      </c>
      <c r="N374" s="67" t="n">
        <v>0.4266667</v>
      </c>
      <c r="O374" s="67" t="n">
        <v>4.032093</v>
      </c>
      <c r="P374" s="67" t="n">
        <v>0.6727617</v>
      </c>
      <c r="Q374" s="67" t="n">
        <v>1.585629</v>
      </c>
      <c r="R374" s="67" t="n">
        <v>1.852435</v>
      </c>
      <c r="S374" s="68" t="s">
        <v>200</v>
      </c>
      <c r="T374" s="68" t="s">
        <v>201</v>
      </c>
      <c r="U374" s="68" t="s">
        <v>945</v>
      </c>
      <c r="V374" s="69"/>
      <c r="W374" s="68" t="s">
        <v>782</v>
      </c>
      <c r="X374" s="68" t="n">
        <v>16.1669444444269</v>
      </c>
      <c r="Y374" s="68" t="n">
        <v>32.3338888888538</v>
      </c>
      <c r="Z374" s="68" t="n">
        <v>2</v>
      </c>
      <c r="AA374" s="70"/>
    </row>
    <row r="375" customFormat="false" ht="14.25" hidden="false" customHeight="false" outlineLevel="0" collapsed="false">
      <c r="A375" s="56"/>
      <c r="B375" s="56"/>
      <c r="C375" s="64" t="n">
        <v>370</v>
      </c>
      <c r="D375" s="71" t="s">
        <v>1007</v>
      </c>
      <c r="E375" s="71" t="s">
        <v>974</v>
      </c>
      <c r="F375" s="71" t="s">
        <v>1008</v>
      </c>
      <c r="G375" s="66" t="n">
        <v>44</v>
      </c>
      <c r="H375" s="67" t="n">
        <v>5</v>
      </c>
      <c r="I375" s="68" t="n">
        <v>275</v>
      </c>
      <c r="J375" s="68" t="n">
        <v>275</v>
      </c>
      <c r="K375" s="68" t="n">
        <v>275</v>
      </c>
      <c r="L375" s="68" t="s">
        <v>199</v>
      </c>
      <c r="M375" s="67" t="n">
        <v>0.4152247</v>
      </c>
      <c r="N375" s="67" t="n">
        <v>0.4443478</v>
      </c>
      <c r="O375" s="67" t="n">
        <v>3.860008</v>
      </c>
      <c r="P375" s="67" t="n">
        <v>0.8323398</v>
      </c>
      <c r="Q375" s="67" t="n">
        <v>1.62268</v>
      </c>
      <c r="R375" s="67" t="n">
        <v>1.815424</v>
      </c>
      <c r="S375" s="68" t="s">
        <v>200</v>
      </c>
      <c r="T375" s="68" t="s">
        <v>201</v>
      </c>
      <c r="U375" s="68" t="s">
        <v>945</v>
      </c>
      <c r="V375" s="69"/>
      <c r="W375" s="68" t="s">
        <v>981</v>
      </c>
      <c r="X375" s="68" t="n">
        <v>2.50822222221692</v>
      </c>
      <c r="Y375" s="68" t="n">
        <v>108.6896296294</v>
      </c>
      <c r="Z375" s="68" t="n">
        <v>43.3333333333333</v>
      </c>
      <c r="AA375" s="70"/>
    </row>
    <row r="376" customFormat="false" ht="14.25" hidden="false" customHeight="false" outlineLevel="0" collapsed="false">
      <c r="A376" s="56"/>
      <c r="B376" s="56"/>
      <c r="C376" s="64" t="n">
        <v>371</v>
      </c>
      <c r="D376" s="71" t="s">
        <v>1009</v>
      </c>
      <c r="E376" s="71" t="s">
        <v>974</v>
      </c>
      <c r="F376" s="71" t="s">
        <v>1010</v>
      </c>
      <c r="G376" s="66" t="n">
        <v>44</v>
      </c>
      <c r="H376" s="67" t="n">
        <v>57</v>
      </c>
      <c r="I376" s="68" t="n">
        <v>393</v>
      </c>
      <c r="J376" s="68" t="n">
        <v>393</v>
      </c>
      <c r="K376" s="68" t="n">
        <v>393</v>
      </c>
      <c r="L376" s="68" t="s">
        <v>199</v>
      </c>
      <c r="M376" s="67" t="n">
        <v>0.2119043</v>
      </c>
      <c r="N376" s="67" t="n">
        <v>0.4065866</v>
      </c>
      <c r="O376" s="67" t="n">
        <v>4.093796</v>
      </c>
      <c r="P376" s="67" t="n">
        <v>0.5555478</v>
      </c>
      <c r="Q376" s="67" t="n">
        <v>1.32258</v>
      </c>
      <c r="R376" s="67" t="n">
        <v>1.882314</v>
      </c>
      <c r="S376" s="68" t="s">
        <v>200</v>
      </c>
      <c r="T376" s="68" t="s">
        <v>201</v>
      </c>
      <c r="U376" s="68" t="s">
        <v>945</v>
      </c>
      <c r="V376" s="69"/>
      <c r="W376" s="68" t="n">
        <v>266.8</v>
      </c>
      <c r="X376" s="68"/>
      <c r="Y376" s="68"/>
      <c r="Z376" s="68"/>
      <c r="AA376" s="70" t="s">
        <v>231</v>
      </c>
    </row>
    <row r="377" customFormat="false" ht="14.25" hidden="false" customHeight="false" outlineLevel="0" collapsed="false">
      <c r="A377" s="56"/>
      <c r="B377" s="56"/>
      <c r="C377" s="64" t="n">
        <v>372</v>
      </c>
      <c r="D377" s="71" t="s">
        <v>1011</v>
      </c>
      <c r="E377" s="71" t="s">
        <v>1012</v>
      </c>
      <c r="F377" s="71" t="s">
        <v>980</v>
      </c>
      <c r="G377" s="66" t="n">
        <v>44</v>
      </c>
      <c r="H377" s="67" t="n">
        <v>7.38</v>
      </c>
      <c r="I377" s="68" t="n">
        <v>275</v>
      </c>
      <c r="J377" s="68" t="n">
        <v>275</v>
      </c>
      <c r="K377" s="68" t="n">
        <v>275</v>
      </c>
      <c r="L377" s="68" t="s">
        <v>199</v>
      </c>
      <c r="M377" s="67" t="n">
        <v>0.4152247</v>
      </c>
      <c r="N377" s="67" t="n">
        <v>0.4443478</v>
      </c>
      <c r="O377" s="67" t="n">
        <v>3.860008</v>
      </c>
      <c r="P377" s="67" t="n">
        <v>0.8323398</v>
      </c>
      <c r="Q377" s="67" t="n">
        <v>1.62268</v>
      </c>
      <c r="R377" s="67" t="n">
        <v>1.815424</v>
      </c>
      <c r="S377" s="68" t="s">
        <v>200</v>
      </c>
      <c r="T377" s="68" t="s">
        <v>201</v>
      </c>
      <c r="U377" s="68" t="s">
        <v>945</v>
      </c>
      <c r="V377" s="69"/>
      <c r="W377" s="68" t="s">
        <v>981</v>
      </c>
      <c r="X377" s="68" t="n">
        <v>1.7759561965739</v>
      </c>
      <c r="Y377" s="68" t="n">
        <v>92.349722221843</v>
      </c>
      <c r="Z377" s="68" t="n">
        <v>52</v>
      </c>
      <c r="AA377" s="70"/>
    </row>
    <row r="378" customFormat="false" ht="14.25" hidden="false" customHeight="false" outlineLevel="0" collapsed="false">
      <c r="A378" s="56"/>
      <c r="B378" s="56"/>
      <c r="C378" s="64" t="n">
        <v>373</v>
      </c>
      <c r="D378" s="71" t="s">
        <v>1013</v>
      </c>
      <c r="E378" s="71" t="s">
        <v>1014</v>
      </c>
      <c r="F378" s="71" t="s">
        <v>1015</v>
      </c>
      <c r="G378" s="66" t="n">
        <v>44</v>
      </c>
      <c r="H378" s="67" t="n">
        <v>10</v>
      </c>
      <c r="I378" s="68" t="n">
        <v>275</v>
      </c>
      <c r="J378" s="68" t="n">
        <v>275</v>
      </c>
      <c r="K378" s="68" t="n">
        <v>275</v>
      </c>
      <c r="L378" s="68" t="s">
        <v>199</v>
      </c>
      <c r="M378" s="67" t="n">
        <v>0.4152247</v>
      </c>
      <c r="N378" s="67" t="n">
        <v>0.4443478</v>
      </c>
      <c r="O378" s="67" t="n">
        <v>3.860008</v>
      </c>
      <c r="P378" s="67" t="n">
        <v>0.8323398</v>
      </c>
      <c r="Q378" s="67" t="n">
        <v>1.62268</v>
      </c>
      <c r="R378" s="67" t="n">
        <v>1.815424</v>
      </c>
      <c r="S378" s="68" t="s">
        <v>200</v>
      </c>
      <c r="T378" s="68" t="s">
        <v>201</v>
      </c>
      <c r="U378" s="68" t="s">
        <v>945</v>
      </c>
      <c r="V378" s="69"/>
      <c r="W378" s="68" t="s">
        <v>981</v>
      </c>
      <c r="X378" s="68" t="n">
        <v>1.05721835225045</v>
      </c>
      <c r="Y378" s="68" t="n">
        <v>113.827175925631</v>
      </c>
      <c r="Z378" s="68" t="n">
        <v>107.666666666667</v>
      </c>
      <c r="AA378" s="70"/>
    </row>
    <row r="379" customFormat="false" ht="14.25" hidden="false" customHeight="false" outlineLevel="0" collapsed="false">
      <c r="A379" s="56"/>
      <c r="B379" s="56"/>
      <c r="C379" s="64" t="n">
        <v>374</v>
      </c>
      <c r="D379" s="71" t="s">
        <v>1016</v>
      </c>
      <c r="E379" s="71" t="s">
        <v>1015</v>
      </c>
      <c r="F379" s="71" t="s">
        <v>1017</v>
      </c>
      <c r="G379" s="66" t="n">
        <v>44</v>
      </c>
      <c r="H379" s="67" t="n">
        <v>17.08</v>
      </c>
      <c r="I379" s="68" t="n">
        <v>275</v>
      </c>
      <c r="J379" s="68" t="n">
        <v>275</v>
      </c>
      <c r="K379" s="68" t="n">
        <v>275</v>
      </c>
      <c r="L379" s="68" t="s">
        <v>199</v>
      </c>
      <c r="M379" s="67" t="n">
        <v>0.4152247</v>
      </c>
      <c r="N379" s="67" t="n">
        <v>0.4443478</v>
      </c>
      <c r="O379" s="67" t="n">
        <v>3.860008</v>
      </c>
      <c r="P379" s="67" t="n">
        <v>0.8323398</v>
      </c>
      <c r="Q379" s="67" t="n">
        <v>1.62268</v>
      </c>
      <c r="R379" s="67" t="n">
        <v>1.815424</v>
      </c>
      <c r="S379" s="68" t="s">
        <v>200</v>
      </c>
      <c r="T379" s="68" t="s">
        <v>201</v>
      </c>
      <c r="U379" s="68" t="s">
        <v>945</v>
      </c>
      <c r="V379" s="69"/>
      <c r="W379" s="68" t="s">
        <v>981</v>
      </c>
      <c r="X379" s="68" t="n">
        <v>1.05721835225045</v>
      </c>
      <c r="Y379" s="68" t="n">
        <v>113.827175925631</v>
      </c>
      <c r="Z379" s="68" t="n">
        <v>107.666666666667</v>
      </c>
      <c r="AA379" s="70"/>
    </row>
    <row r="380" customFormat="false" ht="14.25" hidden="false" customHeight="false" outlineLevel="0" collapsed="false">
      <c r="A380" s="56"/>
      <c r="B380" s="56"/>
      <c r="C380" s="64" t="n">
        <v>375</v>
      </c>
      <c r="D380" s="71" t="s">
        <v>1018</v>
      </c>
      <c r="E380" s="71" t="s">
        <v>1019</v>
      </c>
      <c r="F380" s="71" t="s">
        <v>980</v>
      </c>
      <c r="G380" s="66" t="n">
        <v>44</v>
      </c>
      <c r="H380" s="67" t="n">
        <v>24.2</v>
      </c>
      <c r="I380" s="68" t="n">
        <v>275</v>
      </c>
      <c r="J380" s="68" t="n">
        <v>275</v>
      </c>
      <c r="K380" s="68" t="n">
        <v>275</v>
      </c>
      <c r="L380" s="68" t="s">
        <v>199</v>
      </c>
      <c r="M380" s="67" t="n">
        <v>0.4152247</v>
      </c>
      <c r="N380" s="67" t="n">
        <v>0.4443478</v>
      </c>
      <c r="O380" s="67" t="n">
        <v>3.860008</v>
      </c>
      <c r="P380" s="67" t="n">
        <v>0.8323398</v>
      </c>
      <c r="Q380" s="67" t="n">
        <v>1.62268</v>
      </c>
      <c r="R380" s="67" t="n">
        <v>1.815424</v>
      </c>
      <c r="S380" s="68" t="s">
        <v>200</v>
      </c>
      <c r="T380" s="68" t="s">
        <v>201</v>
      </c>
      <c r="U380" s="68" t="s">
        <v>945</v>
      </c>
      <c r="V380" s="69"/>
      <c r="W380" s="68" t="s">
        <v>981</v>
      </c>
      <c r="X380" s="68"/>
      <c r="Y380" s="68"/>
      <c r="Z380" s="68"/>
      <c r="AA380" s="70" t="s">
        <v>231</v>
      </c>
    </row>
    <row r="381" customFormat="false" ht="14.25" hidden="false" customHeight="false" outlineLevel="0" collapsed="false">
      <c r="A381" s="56"/>
      <c r="B381" s="56"/>
      <c r="C381" s="64" t="n">
        <v>376</v>
      </c>
      <c r="D381" s="71" t="s">
        <v>1020</v>
      </c>
      <c r="E381" s="71" t="s">
        <v>1021</v>
      </c>
      <c r="F381" s="71" t="s">
        <v>1022</v>
      </c>
      <c r="G381" s="66" t="n">
        <v>44</v>
      </c>
      <c r="H381" s="67" t="n">
        <v>8.69</v>
      </c>
      <c r="I381" s="68" t="n">
        <v>275</v>
      </c>
      <c r="J381" s="68" t="n">
        <v>275</v>
      </c>
      <c r="K381" s="68" t="n">
        <v>275</v>
      </c>
      <c r="L381" s="68" t="s">
        <v>199</v>
      </c>
      <c r="M381" s="67" t="n">
        <v>0.4152247</v>
      </c>
      <c r="N381" s="67" t="n">
        <v>0.4443478</v>
      </c>
      <c r="O381" s="67" t="n">
        <v>3.860008</v>
      </c>
      <c r="P381" s="67" t="n">
        <v>0.8323398</v>
      </c>
      <c r="Q381" s="67" t="n">
        <v>1.62268</v>
      </c>
      <c r="R381" s="67" t="n">
        <v>1.815424</v>
      </c>
      <c r="S381" s="68" t="s">
        <v>200</v>
      </c>
      <c r="T381" s="68" t="s">
        <v>201</v>
      </c>
      <c r="U381" s="68" t="s">
        <v>945</v>
      </c>
      <c r="V381" s="69"/>
      <c r="W381" s="68" t="s">
        <v>981</v>
      </c>
      <c r="X381" s="68" t="n">
        <v>2.50822222221692</v>
      </c>
      <c r="Y381" s="68" t="n">
        <v>108.6896296294</v>
      </c>
      <c r="Z381" s="68" t="n">
        <v>43.3333333333333</v>
      </c>
      <c r="AA381" s="70"/>
    </row>
    <row r="382" customFormat="false" ht="14.25" hidden="false" customHeight="false" outlineLevel="0" collapsed="false">
      <c r="A382" s="56"/>
      <c r="B382" s="56"/>
      <c r="C382" s="64" t="n">
        <v>377</v>
      </c>
      <c r="D382" s="71" t="s">
        <v>1023</v>
      </c>
      <c r="E382" s="71" t="s">
        <v>1024</v>
      </c>
      <c r="F382" s="71" t="s">
        <v>983</v>
      </c>
      <c r="G382" s="66" t="n">
        <v>44</v>
      </c>
      <c r="H382" s="67" t="n">
        <v>9.67</v>
      </c>
      <c r="I382" s="68" t="n">
        <v>310</v>
      </c>
      <c r="J382" s="68" t="n">
        <v>310</v>
      </c>
      <c r="K382" s="68" t="n">
        <v>310</v>
      </c>
      <c r="L382" s="68" t="s">
        <v>199</v>
      </c>
      <c r="M382" s="67" t="n">
        <v>0.2617358</v>
      </c>
      <c r="N382" s="67" t="n">
        <v>0.4266667</v>
      </c>
      <c r="O382" s="67" t="n">
        <v>4.032093</v>
      </c>
      <c r="P382" s="67" t="n">
        <v>0.6727617</v>
      </c>
      <c r="Q382" s="67" t="n">
        <v>1.585629</v>
      </c>
      <c r="R382" s="67" t="n">
        <v>1.852435</v>
      </c>
      <c r="S382" s="68" t="s">
        <v>200</v>
      </c>
      <c r="T382" s="68" t="s">
        <v>201</v>
      </c>
      <c r="U382" s="68" t="s">
        <v>945</v>
      </c>
      <c r="V382" s="69"/>
      <c r="W382" s="68" t="s">
        <v>782</v>
      </c>
      <c r="X382" s="68" t="n">
        <v>0.397098358253958</v>
      </c>
      <c r="Y382" s="68" t="n">
        <v>25.0833796297084</v>
      </c>
      <c r="Z382" s="68" t="n">
        <v>63.1666666666667</v>
      </c>
      <c r="AA382" s="70"/>
    </row>
    <row r="383" customFormat="false" ht="14.25" hidden="false" customHeight="false" outlineLevel="0" collapsed="false">
      <c r="A383" s="56"/>
      <c r="B383" s="56"/>
      <c r="C383" s="64" t="n">
        <v>378</v>
      </c>
      <c r="D383" s="71" t="s">
        <v>1025</v>
      </c>
      <c r="E383" s="71" t="s">
        <v>980</v>
      </c>
      <c r="F383" s="71" t="s">
        <v>1026</v>
      </c>
      <c r="G383" s="66" t="n">
        <v>44</v>
      </c>
      <c r="H383" s="67" t="n">
        <v>11.76</v>
      </c>
      <c r="I383" s="68" t="n">
        <v>275</v>
      </c>
      <c r="J383" s="68" t="n">
        <v>275</v>
      </c>
      <c r="K383" s="68" t="n">
        <v>275</v>
      </c>
      <c r="L383" s="68" t="s">
        <v>199</v>
      </c>
      <c r="M383" s="67" t="n">
        <v>0.4152247</v>
      </c>
      <c r="N383" s="67" t="n">
        <v>0.4443478</v>
      </c>
      <c r="O383" s="67" t="n">
        <v>3.860008</v>
      </c>
      <c r="P383" s="67" t="n">
        <v>0.8323398</v>
      </c>
      <c r="Q383" s="67" t="n">
        <v>1.62268</v>
      </c>
      <c r="R383" s="67" t="n">
        <v>1.815424</v>
      </c>
      <c r="S383" s="68" t="s">
        <v>200</v>
      </c>
      <c r="T383" s="68" t="s">
        <v>201</v>
      </c>
      <c r="U383" s="68" t="s">
        <v>945</v>
      </c>
      <c r="V383" s="69"/>
      <c r="W383" s="68" t="s">
        <v>981</v>
      </c>
      <c r="X383" s="68" t="n">
        <v>0.968747927046228</v>
      </c>
      <c r="Y383" s="68" t="n">
        <v>21.6353703706991</v>
      </c>
      <c r="Z383" s="68" t="n">
        <v>22.3333333333333</v>
      </c>
      <c r="AA383" s="70"/>
    </row>
    <row r="384" customFormat="false" ht="14.25" hidden="false" customHeight="false" outlineLevel="0" collapsed="false">
      <c r="A384" s="56"/>
      <c r="B384" s="56"/>
      <c r="C384" s="64" t="n">
        <v>379</v>
      </c>
      <c r="D384" s="71" t="s">
        <v>1027</v>
      </c>
      <c r="E384" s="71" t="s">
        <v>1022</v>
      </c>
      <c r="F384" s="71" t="s">
        <v>976</v>
      </c>
      <c r="G384" s="66" t="n">
        <v>44</v>
      </c>
      <c r="H384" s="67" t="n">
        <v>12.71</v>
      </c>
      <c r="I384" s="68" t="n">
        <v>275</v>
      </c>
      <c r="J384" s="68" t="n">
        <v>275</v>
      </c>
      <c r="K384" s="68" t="n">
        <v>275</v>
      </c>
      <c r="L384" s="68" t="s">
        <v>199</v>
      </c>
      <c r="M384" s="67" t="n">
        <v>0.4152247</v>
      </c>
      <c r="N384" s="67" t="n">
        <v>0.4443478</v>
      </c>
      <c r="O384" s="67" t="n">
        <v>3.860008</v>
      </c>
      <c r="P384" s="67" t="n">
        <v>0.8323398</v>
      </c>
      <c r="Q384" s="67" t="n">
        <v>1.62268</v>
      </c>
      <c r="R384" s="67" t="n">
        <v>1.815424</v>
      </c>
      <c r="S384" s="68" t="s">
        <v>200</v>
      </c>
      <c r="T384" s="68" t="s">
        <v>201</v>
      </c>
      <c r="U384" s="68" t="s">
        <v>945</v>
      </c>
      <c r="V384" s="69"/>
      <c r="W384" s="68" t="s">
        <v>981</v>
      </c>
      <c r="X384" s="68" t="n">
        <v>2.50822222221692</v>
      </c>
      <c r="Y384" s="68" t="n">
        <v>108.6896296294</v>
      </c>
      <c r="Z384" s="68" t="n">
        <v>43.3333333333333</v>
      </c>
      <c r="AA384" s="70" t="s">
        <v>231</v>
      </c>
    </row>
    <row r="385" customFormat="false" ht="14.25" hidden="false" customHeight="false" outlineLevel="0" collapsed="false">
      <c r="A385" s="56"/>
      <c r="B385" s="56"/>
      <c r="C385" s="64" t="n">
        <v>380</v>
      </c>
      <c r="D385" s="71" t="s">
        <v>1028</v>
      </c>
      <c r="E385" s="71" t="s">
        <v>999</v>
      </c>
      <c r="F385" s="71" t="s">
        <v>1029</v>
      </c>
      <c r="G385" s="66" t="n">
        <v>44</v>
      </c>
      <c r="H385" s="67" t="n">
        <v>11.88</v>
      </c>
      <c r="I385" s="68" t="n">
        <v>275</v>
      </c>
      <c r="J385" s="68" t="n">
        <v>275</v>
      </c>
      <c r="K385" s="68" t="n">
        <v>275</v>
      </c>
      <c r="L385" s="68" t="s">
        <v>199</v>
      </c>
      <c r="M385" s="67" t="n">
        <v>0.4152247</v>
      </c>
      <c r="N385" s="67" t="n">
        <v>0.4443478</v>
      </c>
      <c r="O385" s="67" t="n">
        <v>3.860008</v>
      </c>
      <c r="P385" s="67" t="n">
        <v>0.8323398</v>
      </c>
      <c r="Q385" s="67" t="n">
        <v>1.62268</v>
      </c>
      <c r="R385" s="67" t="n">
        <v>1.815424</v>
      </c>
      <c r="S385" s="68" t="s">
        <v>200</v>
      </c>
      <c r="T385" s="68" t="s">
        <v>201</v>
      </c>
      <c r="U385" s="68" t="s">
        <v>945</v>
      </c>
      <c r="V385" s="69"/>
      <c r="W385" s="68" t="s">
        <v>981</v>
      </c>
      <c r="X385" s="68" t="n">
        <v>1.62273989899285</v>
      </c>
      <c r="Y385" s="68" t="n">
        <v>59.5004629630712</v>
      </c>
      <c r="Z385" s="68" t="n">
        <v>36.6666666666667</v>
      </c>
      <c r="AA385" s="70"/>
    </row>
    <row r="386" customFormat="false" ht="14.25" hidden="false" customHeight="false" outlineLevel="0" collapsed="false">
      <c r="A386" s="56"/>
      <c r="B386" s="56"/>
      <c r="C386" s="64" t="n">
        <v>381</v>
      </c>
      <c r="D386" s="71" t="s">
        <v>1030</v>
      </c>
      <c r="E386" s="71" t="s">
        <v>1029</v>
      </c>
      <c r="F386" s="71" t="s">
        <v>1012</v>
      </c>
      <c r="G386" s="66" t="n">
        <v>44</v>
      </c>
      <c r="H386" s="67" t="n">
        <v>15.34</v>
      </c>
      <c r="I386" s="68" t="n">
        <v>275</v>
      </c>
      <c r="J386" s="68" t="n">
        <v>275</v>
      </c>
      <c r="K386" s="68" t="n">
        <v>275</v>
      </c>
      <c r="L386" s="68" t="s">
        <v>199</v>
      </c>
      <c r="M386" s="67" t="n">
        <v>0.4152247</v>
      </c>
      <c r="N386" s="67" t="n">
        <v>0.4443478</v>
      </c>
      <c r="O386" s="67" t="n">
        <v>3.860008</v>
      </c>
      <c r="P386" s="67" t="n">
        <v>0.8323398</v>
      </c>
      <c r="Q386" s="67" t="n">
        <v>1.62268</v>
      </c>
      <c r="R386" s="67" t="n">
        <v>1.815424</v>
      </c>
      <c r="S386" s="68" t="s">
        <v>200</v>
      </c>
      <c r="T386" s="68" t="s">
        <v>201</v>
      </c>
      <c r="U386" s="68" t="s">
        <v>945</v>
      </c>
      <c r="V386" s="69"/>
      <c r="W386" s="68" t="s">
        <v>981</v>
      </c>
      <c r="X386" s="68" t="n">
        <v>1.62273989899285</v>
      </c>
      <c r="Y386" s="68" t="n">
        <v>59.5004629630712</v>
      </c>
      <c r="Z386" s="68" t="n">
        <v>36.6666666666667</v>
      </c>
      <c r="AA386" s="70"/>
    </row>
    <row r="387" customFormat="false" ht="14.25" hidden="false" customHeight="false" outlineLevel="0" collapsed="false">
      <c r="A387" s="56"/>
      <c r="B387" s="56"/>
      <c r="C387" s="64" t="n">
        <v>382</v>
      </c>
      <c r="D387" s="71" t="s">
        <v>1031</v>
      </c>
      <c r="E387" s="71" t="s">
        <v>1032</v>
      </c>
      <c r="F387" s="71" t="s">
        <v>1033</v>
      </c>
      <c r="G387" s="66" t="n">
        <v>110</v>
      </c>
      <c r="H387" s="67" t="n">
        <v>15</v>
      </c>
      <c r="I387" s="68" t="n">
        <v>467</v>
      </c>
      <c r="J387" s="68" t="n">
        <v>611</v>
      </c>
      <c r="K387" s="68" t="n">
        <v>607</v>
      </c>
      <c r="L387" s="68" t="s">
        <v>199</v>
      </c>
      <c r="M387" s="67" t="n">
        <v>0.1347</v>
      </c>
      <c r="N387" s="67" t="n">
        <v>0.484</v>
      </c>
      <c r="O387" s="67" t="n">
        <v>3.416</v>
      </c>
      <c r="P387" s="67" t="n">
        <v>0.3969</v>
      </c>
      <c r="Q387" s="67" t="n">
        <v>1.5673</v>
      </c>
      <c r="R387" s="67" t="n">
        <v>2.1487</v>
      </c>
      <c r="S387" s="68" t="s">
        <v>767</v>
      </c>
      <c r="T387" s="68" t="s">
        <v>201</v>
      </c>
      <c r="U387" s="68" t="s">
        <v>945</v>
      </c>
      <c r="V387" s="69"/>
      <c r="W387" s="68" t="n">
        <v>477</v>
      </c>
      <c r="X387" s="68" t="n">
        <v>16.2326086956917</v>
      </c>
      <c r="Y387" s="68" t="n">
        <v>62.2250000001513</v>
      </c>
      <c r="Z387" s="68" t="n">
        <v>3.83333333333333</v>
      </c>
      <c r="AA387" s="70" t="s">
        <v>1034</v>
      </c>
    </row>
    <row r="388" customFormat="false" ht="14.25" hidden="false" customHeight="false" outlineLevel="0" collapsed="false">
      <c r="A388" s="56"/>
      <c r="B388" s="56"/>
      <c r="C388" s="64" t="n">
        <v>383</v>
      </c>
      <c r="D388" s="71" t="s">
        <v>1035</v>
      </c>
      <c r="E388" s="71" t="s">
        <v>1032</v>
      </c>
      <c r="F388" s="71" t="s">
        <v>1036</v>
      </c>
      <c r="G388" s="66" t="n">
        <v>110</v>
      </c>
      <c r="H388" s="67" t="n">
        <v>23.2</v>
      </c>
      <c r="I388" s="68" t="n">
        <v>467</v>
      </c>
      <c r="J388" s="68" t="n">
        <v>607</v>
      </c>
      <c r="K388" s="68" t="n">
        <v>607</v>
      </c>
      <c r="L388" s="68" t="s">
        <v>199</v>
      </c>
      <c r="M388" s="67" t="n">
        <v>0.1347</v>
      </c>
      <c r="N388" s="67" t="n">
        <v>0.484</v>
      </c>
      <c r="O388" s="67" t="n">
        <v>3.416</v>
      </c>
      <c r="P388" s="67" t="n">
        <v>0.3969</v>
      </c>
      <c r="Q388" s="67" t="n">
        <v>1.5673</v>
      </c>
      <c r="R388" s="67" t="n">
        <v>2.1487</v>
      </c>
      <c r="S388" s="68" t="s">
        <v>767</v>
      </c>
      <c r="T388" s="68" t="s">
        <v>201</v>
      </c>
      <c r="U388" s="68" t="s">
        <v>771</v>
      </c>
      <c r="V388" s="69" t="n">
        <v>46752</v>
      </c>
      <c r="W388" s="68" t="n">
        <v>477</v>
      </c>
      <c r="X388" s="68"/>
      <c r="Y388" s="68"/>
      <c r="Z388" s="68"/>
      <c r="AA388" s="70"/>
    </row>
    <row r="389" customFormat="false" ht="14.25" hidden="false" customHeight="false" outlineLevel="0" collapsed="false">
      <c r="A389" s="56"/>
      <c r="B389" s="56"/>
      <c r="C389" s="64" t="n">
        <v>384</v>
      </c>
      <c r="D389" s="71" t="s">
        <v>1037</v>
      </c>
      <c r="E389" s="71" t="s">
        <v>1036</v>
      </c>
      <c r="F389" s="71" t="s">
        <v>1033</v>
      </c>
      <c r="G389" s="66" t="n">
        <v>110</v>
      </c>
      <c r="H389" s="67" t="n">
        <v>12.2</v>
      </c>
      <c r="I389" s="68" t="n">
        <v>467</v>
      </c>
      <c r="J389" s="68" t="n">
        <v>607</v>
      </c>
      <c r="K389" s="68" t="n">
        <v>607</v>
      </c>
      <c r="L389" s="68" t="s">
        <v>199</v>
      </c>
      <c r="M389" s="67" t="n">
        <v>0.1347</v>
      </c>
      <c r="N389" s="67" t="n">
        <v>0.484</v>
      </c>
      <c r="O389" s="67" t="n">
        <v>3.416</v>
      </c>
      <c r="P389" s="67" t="n">
        <v>0.3969</v>
      </c>
      <c r="Q389" s="67" t="n">
        <v>1.5673</v>
      </c>
      <c r="R389" s="67" t="n">
        <v>2.1487</v>
      </c>
      <c r="S389" s="68" t="s">
        <v>767</v>
      </c>
      <c r="T389" s="68" t="s">
        <v>201</v>
      </c>
      <c r="U389" s="68" t="s">
        <v>771</v>
      </c>
      <c r="V389" s="69" t="n">
        <v>46752</v>
      </c>
      <c r="W389" s="68" t="n">
        <v>477</v>
      </c>
      <c r="X389" s="68"/>
      <c r="Y389" s="68"/>
      <c r="Z389" s="68"/>
      <c r="AA389" s="70"/>
    </row>
    <row r="390" customFormat="false" ht="14.25" hidden="false" customHeight="false" outlineLevel="0" collapsed="false">
      <c r="A390" s="56"/>
      <c r="B390" s="56"/>
      <c r="C390" s="64" t="n">
        <v>385</v>
      </c>
      <c r="D390" s="71" t="s">
        <v>1038</v>
      </c>
      <c r="E390" s="71" t="s">
        <v>1032</v>
      </c>
      <c r="F390" s="71" t="s">
        <v>1039</v>
      </c>
      <c r="G390" s="66" t="n">
        <v>110</v>
      </c>
      <c r="H390" s="67" t="n">
        <v>7.9</v>
      </c>
      <c r="I390" s="68" t="n">
        <v>630</v>
      </c>
      <c r="J390" s="68" t="n">
        <v>900</v>
      </c>
      <c r="K390" s="68" t="n">
        <v>819</v>
      </c>
      <c r="L390" s="68" t="s">
        <v>199</v>
      </c>
      <c r="M390" s="67" t="n">
        <v>0.0814</v>
      </c>
      <c r="N390" s="67" t="n">
        <v>0.4691</v>
      </c>
      <c r="O390" s="67" t="n">
        <v>3.586</v>
      </c>
      <c r="P390" s="67" t="n">
        <v>0.3557</v>
      </c>
      <c r="Q390" s="67" t="n">
        <v>1.5665</v>
      </c>
      <c r="R390" s="67" t="n">
        <v>1.9942</v>
      </c>
      <c r="S390" s="68" t="s">
        <v>767</v>
      </c>
      <c r="T390" s="68" t="s">
        <v>201</v>
      </c>
      <c r="U390" s="68" t="s">
        <v>945</v>
      </c>
      <c r="V390" s="69"/>
      <c r="W390" s="68"/>
      <c r="X390" s="68" t="n">
        <v>4.88333333334462</v>
      </c>
      <c r="Y390" s="68" t="n">
        <v>8.95277777779847</v>
      </c>
      <c r="Z390" s="68" t="n">
        <v>1.83333333333333</v>
      </c>
      <c r="AA390" s="70"/>
    </row>
    <row r="391" customFormat="false" ht="14.25" hidden="false" customHeight="false" outlineLevel="0" collapsed="false">
      <c r="A391" s="56"/>
      <c r="B391" s="56"/>
      <c r="C391" s="64" t="n">
        <v>386</v>
      </c>
      <c r="D391" s="71" t="s">
        <v>1040</v>
      </c>
      <c r="E391" s="71" t="s">
        <v>1032</v>
      </c>
      <c r="F391" s="71" t="s">
        <v>1041</v>
      </c>
      <c r="G391" s="66" t="n">
        <v>110</v>
      </c>
      <c r="H391" s="67" t="n">
        <v>5.8</v>
      </c>
      <c r="I391" s="68" t="n">
        <v>630</v>
      </c>
      <c r="J391" s="68" t="n">
        <v>900</v>
      </c>
      <c r="K391" s="68" t="n">
        <v>819</v>
      </c>
      <c r="L391" s="68" t="s">
        <v>199</v>
      </c>
      <c r="M391" s="67" t="n">
        <v>0.0814</v>
      </c>
      <c r="N391" s="67" t="n">
        <v>0.4691</v>
      </c>
      <c r="O391" s="67" t="n">
        <v>3.586</v>
      </c>
      <c r="P391" s="67" t="n">
        <v>0.3557</v>
      </c>
      <c r="Q391" s="67" t="n">
        <v>1.5665</v>
      </c>
      <c r="R391" s="67" t="n">
        <v>1.9942</v>
      </c>
      <c r="S391" s="68" t="s">
        <v>767</v>
      </c>
      <c r="T391" s="68" t="s">
        <v>201</v>
      </c>
      <c r="U391" s="68" t="s">
        <v>945</v>
      </c>
      <c r="V391" s="69"/>
      <c r="W391" s="68"/>
      <c r="X391" s="68" t="n">
        <v>5.77222222221705</v>
      </c>
      <c r="Y391" s="68" t="n">
        <v>8.65833333332557</v>
      </c>
      <c r="Z391" s="68" t="n">
        <v>1.5</v>
      </c>
      <c r="AA391" s="70"/>
    </row>
    <row r="392" customFormat="false" ht="14.25" hidden="false" customHeight="false" outlineLevel="0" collapsed="false">
      <c r="A392" s="56"/>
      <c r="B392" s="56"/>
      <c r="C392" s="64" t="n">
        <v>387</v>
      </c>
      <c r="D392" s="71" t="s">
        <v>1042</v>
      </c>
      <c r="E392" s="71" t="s">
        <v>1039</v>
      </c>
      <c r="F392" s="71" t="s">
        <v>1043</v>
      </c>
      <c r="G392" s="66" t="n">
        <v>110</v>
      </c>
      <c r="H392" s="67" t="n">
        <v>16.3</v>
      </c>
      <c r="I392" s="68" t="n">
        <v>430.4</v>
      </c>
      <c r="J392" s="68" t="n">
        <v>667</v>
      </c>
      <c r="K392" s="68" t="n">
        <v>430.4</v>
      </c>
      <c r="L392" s="68" t="s">
        <v>199</v>
      </c>
      <c r="M392" s="67" t="n">
        <v>0.1287</v>
      </c>
      <c r="N392" s="67" t="n">
        <v>0.4687</v>
      </c>
      <c r="O392" s="67" t="n">
        <v>3.4964</v>
      </c>
      <c r="P392" s="67" t="n">
        <v>0.3938</v>
      </c>
      <c r="Q392" s="67" t="n">
        <v>1.6004</v>
      </c>
      <c r="R392" s="67" t="n">
        <v>1.7425</v>
      </c>
      <c r="S392" s="68" t="s">
        <v>767</v>
      </c>
      <c r="T392" s="68" t="s">
        <v>201</v>
      </c>
      <c r="U392" s="68" t="s">
        <v>945</v>
      </c>
      <c r="V392" s="69"/>
      <c r="W392" s="68"/>
      <c r="X392" s="68" t="n">
        <v>8.75222222219454</v>
      </c>
      <c r="Y392" s="68" t="n">
        <v>21.8805555554864</v>
      </c>
      <c r="Z392" s="68" t="n">
        <v>2.5</v>
      </c>
      <c r="AA392" s="70"/>
    </row>
    <row r="393" customFormat="false" ht="14.25" hidden="false" customHeight="false" outlineLevel="0" collapsed="false">
      <c r="A393" s="56"/>
      <c r="B393" s="56"/>
      <c r="C393" s="64" t="n">
        <v>388</v>
      </c>
      <c r="D393" s="71" t="s">
        <v>1044</v>
      </c>
      <c r="E393" s="71" t="s">
        <v>1039</v>
      </c>
      <c r="F393" s="71" t="s">
        <v>1041</v>
      </c>
      <c r="G393" s="66" t="n">
        <v>110</v>
      </c>
      <c r="H393" s="67" t="n">
        <v>2.1</v>
      </c>
      <c r="I393" s="68" t="n">
        <v>630</v>
      </c>
      <c r="J393" s="68" t="n">
        <v>900</v>
      </c>
      <c r="K393" s="68" t="n">
        <v>819</v>
      </c>
      <c r="L393" s="68" t="s">
        <v>199</v>
      </c>
      <c r="M393" s="67" t="n">
        <v>0.0814</v>
      </c>
      <c r="N393" s="67" t="n">
        <v>0.4691</v>
      </c>
      <c r="O393" s="67" t="n">
        <v>3.586</v>
      </c>
      <c r="P393" s="67" t="n">
        <v>0.3557</v>
      </c>
      <c r="Q393" s="67" t="n">
        <v>1.5665</v>
      </c>
      <c r="R393" s="67" t="n">
        <v>1.9942</v>
      </c>
      <c r="S393" s="68" t="s">
        <v>767</v>
      </c>
      <c r="T393" s="68" t="s">
        <v>201</v>
      </c>
      <c r="U393" s="68" t="s">
        <v>945</v>
      </c>
      <c r="V393" s="69"/>
      <c r="W393" s="68"/>
      <c r="X393" s="68" t="n">
        <v>4.81166666668723</v>
      </c>
      <c r="Y393" s="68" t="n">
        <v>8.01944444447872</v>
      </c>
      <c r="Z393" s="68" t="n">
        <v>1.66666666666667</v>
      </c>
      <c r="AA393" s="70"/>
    </row>
    <row r="394" customFormat="false" ht="14.25" hidden="false" customHeight="false" outlineLevel="0" collapsed="false">
      <c r="A394" s="56"/>
      <c r="B394" s="56"/>
      <c r="C394" s="64" t="n">
        <v>389</v>
      </c>
      <c r="D394" s="71" t="s">
        <v>1045</v>
      </c>
      <c r="E394" s="71" t="s">
        <v>1046</v>
      </c>
      <c r="F394" s="71" t="s">
        <v>1047</v>
      </c>
      <c r="G394" s="66" t="n">
        <v>110</v>
      </c>
      <c r="H394" s="67" t="n">
        <v>49.104</v>
      </c>
      <c r="I394" s="68" t="n">
        <v>585</v>
      </c>
      <c r="J394" s="68" t="n">
        <v>800</v>
      </c>
      <c r="K394" s="68" t="n">
        <v>618</v>
      </c>
      <c r="L394" s="68" t="s">
        <v>199</v>
      </c>
      <c r="M394" s="67" t="n">
        <v>0.1185</v>
      </c>
      <c r="N394" s="67" t="n">
        <v>0.4777</v>
      </c>
      <c r="O394" s="67" t="n">
        <v>3.4705</v>
      </c>
      <c r="P394" s="67" t="n">
        <v>0.4591</v>
      </c>
      <c r="Q394" s="67" t="n">
        <v>1.3159</v>
      </c>
      <c r="R394" s="67" t="n">
        <v>2.054</v>
      </c>
      <c r="S394" s="68" t="s">
        <v>767</v>
      </c>
      <c r="T394" s="68" t="s">
        <v>201</v>
      </c>
      <c r="U394" s="68" t="s">
        <v>945</v>
      </c>
      <c r="V394" s="69"/>
      <c r="W394" s="68"/>
      <c r="X394" s="68" t="n">
        <v>14.1349999999569</v>
      </c>
      <c r="Y394" s="68" t="n">
        <v>47.1166666665231</v>
      </c>
      <c r="Z394" s="68" t="n">
        <v>3.33333333333333</v>
      </c>
      <c r="AA394" s="70"/>
    </row>
    <row r="395" customFormat="false" ht="14.25" hidden="false" customHeight="false" outlineLevel="0" collapsed="false">
      <c r="A395" s="56"/>
      <c r="B395" s="56"/>
      <c r="C395" s="64" t="n">
        <v>390</v>
      </c>
      <c r="D395" s="71" t="s">
        <v>1048</v>
      </c>
      <c r="E395" s="71" t="s">
        <v>1049</v>
      </c>
      <c r="F395" s="71" t="s">
        <v>1047</v>
      </c>
      <c r="G395" s="66" t="n">
        <v>44</v>
      </c>
      <c r="H395" s="67" t="n">
        <v>16.09</v>
      </c>
      <c r="I395" s="68" t="n">
        <v>310</v>
      </c>
      <c r="J395" s="68" t="n">
        <v>310</v>
      </c>
      <c r="K395" s="68" t="n">
        <v>310</v>
      </c>
      <c r="L395" s="68" t="s">
        <v>199</v>
      </c>
      <c r="M395" s="67" t="n">
        <v>0.2617358</v>
      </c>
      <c r="N395" s="67" t="n">
        <v>0.4266667</v>
      </c>
      <c r="O395" s="67" t="n">
        <v>4.032093</v>
      </c>
      <c r="P395" s="67" t="n">
        <v>0.6727617</v>
      </c>
      <c r="Q395" s="67" t="n">
        <v>1.585629</v>
      </c>
      <c r="R395" s="67" t="n">
        <v>1.852435</v>
      </c>
      <c r="S395" s="68" t="s">
        <v>200</v>
      </c>
      <c r="T395" s="68" t="s">
        <v>201</v>
      </c>
      <c r="U395" s="68" t="s">
        <v>945</v>
      </c>
      <c r="V395" s="69"/>
      <c r="W395" s="68" t="s">
        <v>782</v>
      </c>
      <c r="X395" s="68" t="n">
        <v>0.846194225724596</v>
      </c>
      <c r="Y395" s="68" t="n">
        <v>17.9111111111706</v>
      </c>
      <c r="Z395" s="68" t="n">
        <v>21.1666666666667</v>
      </c>
      <c r="AA395" s="70"/>
    </row>
    <row r="396" customFormat="false" ht="14.25" hidden="false" customHeight="false" outlineLevel="0" collapsed="false">
      <c r="A396" s="56"/>
      <c r="B396" s="56"/>
      <c r="C396" s="64" t="n">
        <v>391</v>
      </c>
      <c r="D396" s="71" t="s">
        <v>1050</v>
      </c>
      <c r="E396" s="71" t="s">
        <v>1051</v>
      </c>
      <c r="F396" s="71" t="s">
        <v>1052</v>
      </c>
      <c r="G396" s="66" t="n">
        <v>44</v>
      </c>
      <c r="H396" s="67" t="n">
        <v>11</v>
      </c>
      <c r="I396" s="68" t="n">
        <v>310</v>
      </c>
      <c r="J396" s="68" t="n">
        <v>310</v>
      </c>
      <c r="K396" s="68" t="n">
        <v>310</v>
      </c>
      <c r="L396" s="68" t="s">
        <v>199</v>
      </c>
      <c r="M396" s="67" t="n">
        <v>0.2617358</v>
      </c>
      <c r="N396" s="67" t="n">
        <v>0.4266667</v>
      </c>
      <c r="O396" s="67" t="n">
        <v>4.032093</v>
      </c>
      <c r="P396" s="67" t="n">
        <v>0.6727617</v>
      </c>
      <c r="Q396" s="67" t="n">
        <v>1.585629</v>
      </c>
      <c r="R396" s="67" t="n">
        <v>1.852435</v>
      </c>
      <c r="S396" s="68" t="s">
        <v>200</v>
      </c>
      <c r="T396" s="68" t="s">
        <v>201</v>
      </c>
      <c r="U396" s="68" t="s">
        <v>945</v>
      </c>
      <c r="V396" s="69"/>
      <c r="W396" s="68" t="s">
        <v>782</v>
      </c>
      <c r="X396" s="68"/>
      <c r="Y396" s="68"/>
      <c r="Z396" s="68"/>
      <c r="AA396" s="70" t="s">
        <v>231</v>
      </c>
    </row>
    <row r="397" customFormat="false" ht="14.25" hidden="false" customHeight="false" outlineLevel="0" collapsed="false">
      <c r="A397" s="56"/>
      <c r="B397" s="56"/>
      <c r="C397" s="64" t="n">
        <v>392</v>
      </c>
      <c r="D397" s="71" t="s">
        <v>1053</v>
      </c>
      <c r="E397" s="71" t="s">
        <v>1054</v>
      </c>
      <c r="F397" s="65" t="s">
        <v>1055</v>
      </c>
      <c r="G397" s="66" t="n">
        <v>44</v>
      </c>
      <c r="H397" s="67" t="n">
        <v>9.82</v>
      </c>
      <c r="I397" s="68" t="n">
        <v>310</v>
      </c>
      <c r="J397" s="68" t="n">
        <v>310</v>
      </c>
      <c r="K397" s="68" t="n">
        <v>310</v>
      </c>
      <c r="L397" s="68" t="s">
        <v>199</v>
      </c>
      <c r="M397" s="67" t="n">
        <v>0.2617358</v>
      </c>
      <c r="N397" s="67" t="n">
        <v>0.4266667</v>
      </c>
      <c r="O397" s="67" t="n">
        <v>4.032093</v>
      </c>
      <c r="P397" s="67" t="n">
        <v>0.6727617</v>
      </c>
      <c r="Q397" s="67" t="n">
        <v>1.585629</v>
      </c>
      <c r="R397" s="67" t="n">
        <v>1.852435</v>
      </c>
      <c r="S397" s="68" t="s">
        <v>200</v>
      </c>
      <c r="T397" s="68" t="s">
        <v>201</v>
      </c>
      <c r="U397" s="68" t="s">
        <v>945</v>
      </c>
      <c r="V397" s="69"/>
      <c r="W397" s="68" t="s">
        <v>782</v>
      </c>
      <c r="X397" s="68" t="n">
        <v>1.17614316239449</v>
      </c>
      <c r="Y397" s="68" t="n">
        <v>35.6763425926329</v>
      </c>
      <c r="Z397" s="68" t="n">
        <v>30.3333333333333</v>
      </c>
      <c r="AA397" s="70"/>
    </row>
    <row r="398" customFormat="false" ht="14.25" hidden="false" customHeight="false" outlineLevel="0" collapsed="false">
      <c r="A398" s="56"/>
      <c r="B398" s="56"/>
      <c r="C398" s="64" t="n">
        <v>393</v>
      </c>
      <c r="D398" s="71" t="s">
        <v>1056</v>
      </c>
      <c r="E398" s="71" t="s">
        <v>1046</v>
      </c>
      <c r="F398" s="71" t="s">
        <v>1057</v>
      </c>
      <c r="G398" s="66" t="n">
        <v>44</v>
      </c>
      <c r="H398" s="67" t="n">
        <v>11.49</v>
      </c>
      <c r="I398" s="68" t="n">
        <v>310</v>
      </c>
      <c r="J398" s="68" t="n">
        <v>310</v>
      </c>
      <c r="K398" s="68" t="n">
        <v>310</v>
      </c>
      <c r="L398" s="68" t="s">
        <v>199</v>
      </c>
      <c r="M398" s="67" t="n">
        <v>0.2617358</v>
      </c>
      <c r="N398" s="67" t="n">
        <v>0.4266667</v>
      </c>
      <c r="O398" s="67" t="n">
        <v>4.032093</v>
      </c>
      <c r="P398" s="67" t="n">
        <v>0.6727617</v>
      </c>
      <c r="Q398" s="67" t="n">
        <v>1.585629</v>
      </c>
      <c r="R398" s="67" t="n">
        <v>1.852435</v>
      </c>
      <c r="S398" s="68" t="s">
        <v>200</v>
      </c>
      <c r="T398" s="68" t="s">
        <v>201</v>
      </c>
      <c r="U398" s="68" t="s">
        <v>945</v>
      </c>
      <c r="V398" s="69"/>
      <c r="W398" s="68" t="s">
        <v>782</v>
      </c>
      <c r="X398" s="68" t="n">
        <v>5.27525925926332</v>
      </c>
      <c r="Y398" s="68" t="n">
        <v>92.3170370371081</v>
      </c>
      <c r="Z398" s="68" t="n">
        <v>17.5</v>
      </c>
      <c r="AA398" s="70"/>
    </row>
    <row r="399" customFormat="false" ht="14.25" hidden="false" customHeight="false" outlineLevel="0" collapsed="false">
      <c r="A399" s="56"/>
      <c r="B399" s="56"/>
      <c r="C399" s="64" t="n">
        <v>394</v>
      </c>
      <c r="D399" s="71" t="s">
        <v>1058</v>
      </c>
      <c r="E399" s="71" t="s">
        <v>1057</v>
      </c>
      <c r="F399" s="71" t="s">
        <v>1049</v>
      </c>
      <c r="G399" s="66" t="n">
        <v>44</v>
      </c>
      <c r="H399" s="67" t="n">
        <v>26.07</v>
      </c>
      <c r="I399" s="68" t="n">
        <v>310</v>
      </c>
      <c r="J399" s="68" t="n">
        <v>310</v>
      </c>
      <c r="K399" s="68" t="n">
        <v>310</v>
      </c>
      <c r="L399" s="68" t="s">
        <v>199</v>
      </c>
      <c r="M399" s="67" t="n">
        <v>0.2617358</v>
      </c>
      <c r="N399" s="67" t="n">
        <v>0.4266667</v>
      </c>
      <c r="O399" s="67" t="n">
        <v>4.032093</v>
      </c>
      <c r="P399" s="67" t="n">
        <v>0.6727617</v>
      </c>
      <c r="Q399" s="67" t="n">
        <v>1.585629</v>
      </c>
      <c r="R399" s="67" t="n">
        <v>1.852435</v>
      </c>
      <c r="S399" s="68" t="s">
        <v>200</v>
      </c>
      <c r="T399" s="68" t="s">
        <v>201</v>
      </c>
      <c r="U399" s="68" t="s">
        <v>945</v>
      </c>
      <c r="V399" s="69"/>
      <c r="W399" s="68" t="s">
        <v>782</v>
      </c>
      <c r="X399" s="68" t="n">
        <v>1.13537222222309</v>
      </c>
      <c r="Y399" s="68" t="n">
        <v>37.8457407407695</v>
      </c>
      <c r="Z399" s="68" t="n">
        <v>33.3333333333333</v>
      </c>
      <c r="AA399" s="70"/>
    </row>
    <row r="400" customFormat="false" ht="14.25" hidden="false" customHeight="false" outlineLevel="0" collapsed="false">
      <c r="A400" s="56"/>
      <c r="B400" s="56"/>
      <c r="C400" s="64" t="n">
        <v>395</v>
      </c>
      <c r="D400" s="71" t="s">
        <v>1059</v>
      </c>
      <c r="E400" s="71" t="s">
        <v>1060</v>
      </c>
      <c r="F400" s="71" t="s">
        <v>1052</v>
      </c>
      <c r="G400" s="66" t="n">
        <v>44</v>
      </c>
      <c r="H400" s="67" t="n">
        <v>8.82</v>
      </c>
      <c r="I400" s="68" t="n">
        <v>310</v>
      </c>
      <c r="J400" s="68" t="n">
        <v>310</v>
      </c>
      <c r="K400" s="68" t="n">
        <v>310</v>
      </c>
      <c r="L400" s="68" t="s">
        <v>199</v>
      </c>
      <c r="M400" s="67" t="n">
        <v>0.2617358</v>
      </c>
      <c r="N400" s="67" t="n">
        <v>0.4266667</v>
      </c>
      <c r="O400" s="67" t="n">
        <v>4.032093</v>
      </c>
      <c r="P400" s="67" t="n">
        <v>0.6727617</v>
      </c>
      <c r="Q400" s="67" t="n">
        <v>1.585629</v>
      </c>
      <c r="R400" s="67" t="n">
        <v>1.852435</v>
      </c>
      <c r="S400" s="68" t="s">
        <v>200</v>
      </c>
      <c r="T400" s="68" t="s">
        <v>201</v>
      </c>
      <c r="U400" s="68" t="s">
        <v>945</v>
      </c>
      <c r="V400" s="69"/>
      <c r="W400" s="68" t="s">
        <v>782</v>
      </c>
      <c r="X400" s="68" t="n">
        <v>3.51878245068153</v>
      </c>
      <c r="Y400" s="68" t="n">
        <v>62.7516203704872</v>
      </c>
      <c r="Z400" s="68" t="n">
        <v>17.8333333333333</v>
      </c>
      <c r="AA400" s="70"/>
    </row>
    <row r="401" customFormat="false" ht="14.25" hidden="false" customHeight="false" outlineLevel="0" collapsed="false">
      <c r="A401" s="56"/>
      <c r="B401" s="56"/>
      <c r="C401" s="64" t="n">
        <v>396</v>
      </c>
      <c r="D401" s="71" t="s">
        <v>1061</v>
      </c>
      <c r="E401" s="71" t="s">
        <v>1039</v>
      </c>
      <c r="F401" s="71" t="s">
        <v>1062</v>
      </c>
      <c r="G401" s="66" t="n">
        <v>44</v>
      </c>
      <c r="H401" s="67" t="n">
        <v>16.8</v>
      </c>
      <c r="I401" s="68" t="n">
        <v>310</v>
      </c>
      <c r="J401" s="68" t="n">
        <v>310</v>
      </c>
      <c r="K401" s="68" t="n">
        <v>310</v>
      </c>
      <c r="L401" s="68" t="s">
        <v>199</v>
      </c>
      <c r="M401" s="67" t="n">
        <v>0.2617358</v>
      </c>
      <c r="N401" s="67" t="n">
        <v>0.4266667</v>
      </c>
      <c r="O401" s="67" t="n">
        <v>4.032093</v>
      </c>
      <c r="P401" s="67" t="n">
        <v>0.6727617</v>
      </c>
      <c r="Q401" s="67" t="n">
        <v>1.585629</v>
      </c>
      <c r="R401" s="67" t="n">
        <v>1.852435</v>
      </c>
      <c r="S401" s="68" t="s">
        <v>200</v>
      </c>
      <c r="T401" s="68" t="s">
        <v>201</v>
      </c>
      <c r="U401" s="68" t="s">
        <v>945</v>
      </c>
      <c r="V401" s="69"/>
      <c r="W401" s="68" t="s">
        <v>782</v>
      </c>
      <c r="X401" s="68" t="n">
        <v>2.42612620773371</v>
      </c>
      <c r="Y401" s="68" t="n">
        <v>74.4012037038337</v>
      </c>
      <c r="Z401" s="68" t="n">
        <v>30.6666666666667</v>
      </c>
      <c r="AA401" s="70"/>
    </row>
    <row r="402" customFormat="false" ht="14.25" hidden="false" customHeight="false" outlineLevel="0" collapsed="false">
      <c r="A402" s="56"/>
      <c r="B402" s="56"/>
      <c r="C402" s="64" t="n">
        <v>397</v>
      </c>
      <c r="D402" s="71" t="s">
        <v>1063</v>
      </c>
      <c r="E402" s="71" t="s">
        <v>1039</v>
      </c>
      <c r="F402" s="71" t="s">
        <v>1051</v>
      </c>
      <c r="G402" s="66" t="n">
        <v>44</v>
      </c>
      <c r="H402" s="67" t="n">
        <v>11.22</v>
      </c>
      <c r="I402" s="68" t="n">
        <v>310</v>
      </c>
      <c r="J402" s="68" t="n">
        <v>310</v>
      </c>
      <c r="K402" s="68" t="n">
        <v>310</v>
      </c>
      <c r="L402" s="68" t="s">
        <v>199</v>
      </c>
      <c r="M402" s="67" t="n">
        <v>0.2617358</v>
      </c>
      <c r="N402" s="67" t="n">
        <v>0.4266667</v>
      </c>
      <c r="O402" s="67" t="n">
        <v>4.032093</v>
      </c>
      <c r="P402" s="67" t="n">
        <v>0.6727617</v>
      </c>
      <c r="Q402" s="67" t="n">
        <v>1.585629</v>
      </c>
      <c r="R402" s="67" t="n">
        <v>1.852435</v>
      </c>
      <c r="S402" s="68" t="s">
        <v>200</v>
      </c>
      <c r="T402" s="68" t="s">
        <v>201</v>
      </c>
      <c r="U402" s="68" t="s">
        <v>945</v>
      </c>
      <c r="V402" s="69"/>
      <c r="W402" s="68" t="s">
        <v>782</v>
      </c>
      <c r="X402" s="68" t="n">
        <v>1.56899594907281</v>
      </c>
      <c r="Y402" s="68" t="n">
        <v>50.2078703703301</v>
      </c>
      <c r="Z402" s="68" t="n">
        <v>32</v>
      </c>
      <c r="AA402" s="70"/>
    </row>
    <row r="403" customFormat="false" ht="14.25" hidden="false" customHeight="false" outlineLevel="0" collapsed="false">
      <c r="A403" s="56"/>
      <c r="B403" s="56"/>
      <c r="C403" s="64" t="n">
        <v>398</v>
      </c>
      <c r="D403" s="71" t="s">
        <v>1064</v>
      </c>
      <c r="E403" s="71" t="s">
        <v>1039</v>
      </c>
      <c r="F403" s="71" t="s">
        <v>1065</v>
      </c>
      <c r="G403" s="66" t="n">
        <v>44</v>
      </c>
      <c r="H403" s="67" t="n">
        <v>0.373</v>
      </c>
      <c r="I403" s="68" t="n">
        <v>310</v>
      </c>
      <c r="J403" s="68" t="n">
        <v>310</v>
      </c>
      <c r="K403" s="68" t="n">
        <v>310</v>
      </c>
      <c r="L403" s="68" t="s">
        <v>199</v>
      </c>
      <c r="M403" s="67" t="n">
        <v>0.2617358</v>
      </c>
      <c r="N403" s="67" t="n">
        <v>0.4266667</v>
      </c>
      <c r="O403" s="67" t="n">
        <v>4.032093</v>
      </c>
      <c r="P403" s="67" t="n">
        <v>0.6727617</v>
      </c>
      <c r="Q403" s="67" t="n">
        <v>1.585629</v>
      </c>
      <c r="R403" s="67" t="n">
        <v>1.852435</v>
      </c>
      <c r="S403" s="68" t="s">
        <v>200</v>
      </c>
      <c r="T403" s="68" t="s">
        <v>201</v>
      </c>
      <c r="U403" s="68" t="s">
        <v>945</v>
      </c>
      <c r="V403" s="69"/>
      <c r="W403" s="68" t="s">
        <v>782</v>
      </c>
      <c r="X403" s="68" t="n">
        <v>2.49143013100325</v>
      </c>
      <c r="Y403" s="68" t="n">
        <v>95.0895833332907</v>
      </c>
      <c r="Z403" s="68" t="n">
        <v>38.1666666666667</v>
      </c>
      <c r="AA403" s="70"/>
    </row>
    <row r="404" customFormat="false" ht="14.25" hidden="false" customHeight="false" outlineLevel="0" collapsed="false">
      <c r="A404" s="56"/>
      <c r="B404" s="56"/>
      <c r="C404" s="64" t="n">
        <v>399</v>
      </c>
      <c r="D404" s="71" t="s">
        <v>1066</v>
      </c>
      <c r="E404" s="71" t="s">
        <v>1065</v>
      </c>
      <c r="F404" s="71" t="s">
        <v>1060</v>
      </c>
      <c r="G404" s="66" t="n">
        <v>44</v>
      </c>
      <c r="H404" s="67" t="n">
        <v>7.13</v>
      </c>
      <c r="I404" s="68" t="n">
        <v>310</v>
      </c>
      <c r="J404" s="68" t="n">
        <v>310</v>
      </c>
      <c r="K404" s="68" t="n">
        <v>310</v>
      </c>
      <c r="L404" s="68" t="s">
        <v>199</v>
      </c>
      <c r="M404" s="67" t="n">
        <v>0.2617358</v>
      </c>
      <c r="N404" s="67" t="n">
        <v>0.4266667</v>
      </c>
      <c r="O404" s="67" t="n">
        <v>4.032093</v>
      </c>
      <c r="P404" s="67" t="n">
        <v>0.6727617</v>
      </c>
      <c r="Q404" s="67" t="n">
        <v>1.585629</v>
      </c>
      <c r="R404" s="67" t="n">
        <v>1.852435</v>
      </c>
      <c r="S404" s="68" t="s">
        <v>200</v>
      </c>
      <c r="T404" s="68" t="s">
        <v>201</v>
      </c>
      <c r="U404" s="68" t="s">
        <v>945</v>
      </c>
      <c r="V404" s="69"/>
      <c r="W404" s="68" t="s">
        <v>782</v>
      </c>
      <c r="X404" s="68" t="n">
        <v>2.49143013100325</v>
      </c>
      <c r="Y404" s="68" t="n">
        <v>95.0895833332907</v>
      </c>
      <c r="Z404" s="68" t="n">
        <v>38.1666666666667</v>
      </c>
      <c r="AA404" s="70"/>
    </row>
    <row r="405" customFormat="false" ht="14.25" hidden="false" customHeight="false" outlineLevel="0" collapsed="false">
      <c r="A405" s="56"/>
      <c r="B405" s="56"/>
      <c r="C405" s="64" t="n">
        <v>400</v>
      </c>
      <c r="D405" s="71" t="s">
        <v>1067</v>
      </c>
      <c r="E405" s="71" t="s">
        <v>1039</v>
      </c>
      <c r="F405" s="71" t="s">
        <v>1068</v>
      </c>
      <c r="G405" s="66" t="n">
        <v>44</v>
      </c>
      <c r="H405" s="67" t="n">
        <v>2.706</v>
      </c>
      <c r="I405" s="68" t="n">
        <v>310</v>
      </c>
      <c r="J405" s="68" t="n">
        <v>310</v>
      </c>
      <c r="K405" s="68" t="n">
        <v>310</v>
      </c>
      <c r="L405" s="68" t="s">
        <v>199</v>
      </c>
      <c r="M405" s="67" t="n">
        <v>0.2617358</v>
      </c>
      <c r="N405" s="67" t="n">
        <v>0.4266667</v>
      </c>
      <c r="O405" s="67" t="n">
        <v>4.032093</v>
      </c>
      <c r="P405" s="67" t="n">
        <v>0.6727617</v>
      </c>
      <c r="Q405" s="67" t="n">
        <v>1.585629</v>
      </c>
      <c r="R405" s="67" t="n">
        <v>1.852435</v>
      </c>
      <c r="S405" s="68" t="s">
        <v>200</v>
      </c>
      <c r="T405" s="68" t="s">
        <v>201</v>
      </c>
      <c r="U405" s="68" t="s">
        <v>945</v>
      </c>
      <c r="V405" s="69"/>
      <c r="W405" s="68" t="s">
        <v>782</v>
      </c>
      <c r="X405" s="68" t="n">
        <v>0.648682965302094</v>
      </c>
      <c r="Y405" s="68" t="n">
        <v>34.2720833334606</v>
      </c>
      <c r="Z405" s="68" t="n">
        <v>52.8333333333333</v>
      </c>
      <c r="AA405" s="70"/>
    </row>
    <row r="406" customFormat="false" ht="14.25" hidden="false" customHeight="false" outlineLevel="0" collapsed="false">
      <c r="A406" s="56"/>
      <c r="B406" s="56"/>
      <c r="C406" s="64" t="n">
        <v>401</v>
      </c>
      <c r="D406" s="71" t="s">
        <v>1069</v>
      </c>
      <c r="E406" s="71" t="s">
        <v>1068</v>
      </c>
      <c r="F406" s="71" t="s">
        <v>1060</v>
      </c>
      <c r="G406" s="66" t="n">
        <v>44</v>
      </c>
      <c r="H406" s="67" t="n">
        <v>3.71</v>
      </c>
      <c r="I406" s="68" t="n">
        <v>310</v>
      </c>
      <c r="J406" s="68" t="n">
        <v>310</v>
      </c>
      <c r="K406" s="68" t="n">
        <v>310</v>
      </c>
      <c r="L406" s="68" t="s">
        <v>199</v>
      </c>
      <c r="M406" s="67" t="n">
        <v>0.2617358</v>
      </c>
      <c r="N406" s="67" t="n">
        <v>0.4266667</v>
      </c>
      <c r="O406" s="67" t="n">
        <v>4.032093</v>
      </c>
      <c r="P406" s="67" t="n">
        <v>0.6727617</v>
      </c>
      <c r="Q406" s="67" t="n">
        <v>1.585629</v>
      </c>
      <c r="R406" s="67" t="n">
        <v>1.852435</v>
      </c>
      <c r="S406" s="68" t="s">
        <v>200</v>
      </c>
      <c r="T406" s="68" t="s">
        <v>201</v>
      </c>
      <c r="U406" s="68" t="s">
        <v>945</v>
      </c>
      <c r="V406" s="69"/>
      <c r="W406" s="68" t="s">
        <v>782</v>
      </c>
      <c r="X406" s="68" t="n">
        <v>0.648682965302094</v>
      </c>
      <c r="Y406" s="68" t="n">
        <v>34.2720833334606</v>
      </c>
      <c r="Z406" s="68" t="n">
        <v>52.8333333333333</v>
      </c>
      <c r="AA406" s="70"/>
    </row>
    <row r="407" customFormat="false" ht="14.25" hidden="false" customHeight="false" outlineLevel="0" collapsed="false">
      <c r="A407" s="56"/>
      <c r="B407" s="56"/>
      <c r="C407" s="64" t="n">
        <v>402</v>
      </c>
      <c r="D407" s="71" t="s">
        <v>1070</v>
      </c>
      <c r="E407" s="71" t="s">
        <v>1071</v>
      </c>
      <c r="F407" s="71" t="s">
        <v>1072</v>
      </c>
      <c r="G407" s="66" t="n">
        <v>44</v>
      </c>
      <c r="H407" s="67" t="n">
        <v>15</v>
      </c>
      <c r="I407" s="68" t="n">
        <v>310</v>
      </c>
      <c r="J407" s="68" t="n">
        <v>310</v>
      </c>
      <c r="K407" s="68" t="n">
        <v>310</v>
      </c>
      <c r="L407" s="68" t="s">
        <v>199</v>
      </c>
      <c r="M407" s="67" t="n">
        <v>0.2617358</v>
      </c>
      <c r="N407" s="67" t="n">
        <v>0.4266667</v>
      </c>
      <c r="O407" s="67" t="n">
        <v>4.032093</v>
      </c>
      <c r="P407" s="67" t="n">
        <v>0.6727617</v>
      </c>
      <c r="Q407" s="67" t="n">
        <v>1.585629</v>
      </c>
      <c r="R407" s="67" t="n">
        <v>1.852435</v>
      </c>
      <c r="S407" s="68" t="s">
        <v>200</v>
      </c>
      <c r="T407" s="68" t="s">
        <v>201</v>
      </c>
      <c r="U407" s="68" t="s">
        <v>945</v>
      </c>
      <c r="V407" s="69"/>
      <c r="W407" s="68" t="s">
        <v>782</v>
      </c>
      <c r="X407" s="68" t="n">
        <v>2.77234589713198</v>
      </c>
      <c r="Y407" s="68" t="n">
        <v>130.762314814725</v>
      </c>
      <c r="Z407" s="68" t="n">
        <v>47.1666666666667</v>
      </c>
      <c r="AA407" s="70" t="s">
        <v>231</v>
      </c>
    </row>
    <row r="408" customFormat="false" ht="14.25" hidden="false" customHeight="false" outlineLevel="0" collapsed="false">
      <c r="A408" s="56"/>
      <c r="B408" s="56"/>
      <c r="C408" s="64" t="n">
        <v>403</v>
      </c>
      <c r="D408" s="71" t="s">
        <v>1073</v>
      </c>
      <c r="E408" s="71" t="s">
        <v>1041</v>
      </c>
      <c r="F408" s="71" t="s">
        <v>1074</v>
      </c>
      <c r="G408" s="66" t="n">
        <v>44</v>
      </c>
      <c r="H408" s="67" t="n">
        <v>14.6</v>
      </c>
      <c r="I408" s="68" t="n">
        <v>310</v>
      </c>
      <c r="J408" s="68" t="n">
        <v>310</v>
      </c>
      <c r="K408" s="68" t="n">
        <v>310</v>
      </c>
      <c r="L408" s="68" t="s">
        <v>199</v>
      </c>
      <c r="M408" s="67" t="n">
        <v>0.2617358</v>
      </c>
      <c r="N408" s="67" t="n">
        <v>0.4266667</v>
      </c>
      <c r="O408" s="67" t="n">
        <v>4.032093</v>
      </c>
      <c r="P408" s="67" t="n">
        <v>0.6727617</v>
      </c>
      <c r="Q408" s="67" t="n">
        <v>1.585629</v>
      </c>
      <c r="R408" s="67" t="n">
        <v>1.852435</v>
      </c>
      <c r="S408" s="68" t="s">
        <v>200</v>
      </c>
      <c r="T408" s="68" t="s">
        <v>201</v>
      </c>
      <c r="U408" s="68" t="s">
        <v>945</v>
      </c>
      <c r="V408" s="69"/>
      <c r="W408" s="68" t="s">
        <v>782</v>
      </c>
      <c r="X408" s="68" t="n">
        <v>7.03841731266449</v>
      </c>
      <c r="Y408" s="68" t="n">
        <v>151.325972222287</v>
      </c>
      <c r="Z408" s="68" t="n">
        <v>21.5</v>
      </c>
      <c r="AA408" s="70"/>
    </row>
    <row r="409" customFormat="false" ht="14.25" hidden="false" customHeight="false" outlineLevel="0" collapsed="false">
      <c r="A409" s="56"/>
      <c r="B409" s="56"/>
      <c r="C409" s="64" t="n">
        <v>404</v>
      </c>
      <c r="D409" s="71" t="s">
        <v>1075</v>
      </c>
      <c r="E409" s="71" t="s">
        <v>1041</v>
      </c>
      <c r="F409" s="71" t="s">
        <v>1076</v>
      </c>
      <c r="G409" s="66" t="n">
        <v>44</v>
      </c>
      <c r="H409" s="67" t="n">
        <v>16.8</v>
      </c>
      <c r="I409" s="68" t="n">
        <v>310</v>
      </c>
      <c r="J409" s="68" t="n">
        <v>310</v>
      </c>
      <c r="K409" s="68" t="n">
        <v>310</v>
      </c>
      <c r="L409" s="68" t="s">
        <v>199</v>
      </c>
      <c r="M409" s="67" t="n">
        <v>0.2617358</v>
      </c>
      <c r="N409" s="67" t="n">
        <v>0.4266667</v>
      </c>
      <c r="O409" s="67" t="n">
        <v>4.032093</v>
      </c>
      <c r="P409" s="67" t="n">
        <v>0.6727617</v>
      </c>
      <c r="Q409" s="67" t="n">
        <v>1.585629</v>
      </c>
      <c r="R409" s="67" t="n">
        <v>1.852435</v>
      </c>
      <c r="S409" s="68" t="s">
        <v>200</v>
      </c>
      <c r="T409" s="68" t="s">
        <v>201</v>
      </c>
      <c r="U409" s="68" t="s">
        <v>945</v>
      </c>
      <c r="V409" s="69"/>
      <c r="W409" s="68" t="s">
        <v>782</v>
      </c>
      <c r="X409" s="68" t="n">
        <v>1.05680851062928</v>
      </c>
      <c r="Y409" s="68" t="n">
        <v>16.5566666665254</v>
      </c>
      <c r="Z409" s="68" t="n">
        <v>15.6666666666667</v>
      </c>
      <c r="AA409" s="70"/>
    </row>
    <row r="410" customFormat="false" ht="14.25" hidden="false" customHeight="false" outlineLevel="0" collapsed="false">
      <c r="A410" s="56"/>
      <c r="B410" s="56"/>
      <c r="C410" s="64" t="n">
        <v>405</v>
      </c>
      <c r="D410" s="71" t="s">
        <v>1077</v>
      </c>
      <c r="E410" s="71" t="s">
        <v>1078</v>
      </c>
      <c r="F410" s="71" t="s">
        <v>1054</v>
      </c>
      <c r="G410" s="66" t="n">
        <v>44</v>
      </c>
      <c r="H410" s="67" t="n">
        <v>11.66</v>
      </c>
      <c r="I410" s="68" t="n">
        <v>310</v>
      </c>
      <c r="J410" s="68" t="n">
        <v>310</v>
      </c>
      <c r="K410" s="68" t="n">
        <v>310</v>
      </c>
      <c r="L410" s="68" t="s">
        <v>199</v>
      </c>
      <c r="M410" s="67" t="n">
        <v>0.2617358</v>
      </c>
      <c r="N410" s="67" t="n">
        <v>0.4266667</v>
      </c>
      <c r="O410" s="67" t="n">
        <v>4.032093</v>
      </c>
      <c r="P410" s="67" t="n">
        <v>0.6727617</v>
      </c>
      <c r="Q410" s="67" t="n">
        <v>1.585629</v>
      </c>
      <c r="R410" s="67" t="n">
        <v>1.852435</v>
      </c>
      <c r="S410" s="68" t="s">
        <v>200</v>
      </c>
      <c r="T410" s="68" t="s">
        <v>201</v>
      </c>
      <c r="U410" s="68" t="s">
        <v>945</v>
      </c>
      <c r="V410" s="69"/>
      <c r="W410" s="68" t="s">
        <v>782</v>
      </c>
      <c r="X410" s="68" t="n">
        <v>0.460102459018836</v>
      </c>
      <c r="Y410" s="68" t="n">
        <v>18.7108333334327</v>
      </c>
      <c r="Z410" s="68" t="n">
        <v>40.6666666666667</v>
      </c>
      <c r="AA410" s="70" t="s">
        <v>1079</v>
      </c>
    </row>
    <row r="411" customFormat="false" ht="14.25" hidden="false" customHeight="false" outlineLevel="0" collapsed="false">
      <c r="A411" s="56"/>
      <c r="B411" s="56"/>
      <c r="C411" s="64" t="n">
        <v>406</v>
      </c>
      <c r="D411" s="71" t="s">
        <v>1080</v>
      </c>
      <c r="E411" s="71" t="s">
        <v>1047</v>
      </c>
      <c r="F411" s="71" t="s">
        <v>1081</v>
      </c>
      <c r="G411" s="66" t="n">
        <v>44</v>
      </c>
      <c r="H411" s="67" t="n">
        <v>20.3</v>
      </c>
      <c r="I411" s="68" t="n">
        <v>310</v>
      </c>
      <c r="J411" s="68" t="n">
        <v>310</v>
      </c>
      <c r="K411" s="68" t="n">
        <v>310</v>
      </c>
      <c r="L411" s="68" t="s">
        <v>199</v>
      </c>
      <c r="M411" s="67" t="n">
        <v>0.2617358</v>
      </c>
      <c r="N411" s="67" t="n">
        <v>0.4266667</v>
      </c>
      <c r="O411" s="67" t="n">
        <v>4.032093</v>
      </c>
      <c r="P411" s="67" t="n">
        <v>0.6727617</v>
      </c>
      <c r="Q411" s="67" t="n">
        <v>1.585629</v>
      </c>
      <c r="R411" s="67" t="n">
        <v>1.852435</v>
      </c>
      <c r="S411" s="68" t="s">
        <v>200</v>
      </c>
      <c r="T411" s="68" t="s">
        <v>201</v>
      </c>
      <c r="U411" s="68" t="s">
        <v>945</v>
      </c>
      <c r="V411" s="69"/>
      <c r="W411" s="68" t="s">
        <v>782</v>
      </c>
      <c r="X411" s="68" t="n">
        <v>4.50309370529025</v>
      </c>
      <c r="Y411" s="68" t="n">
        <v>174.870138888771</v>
      </c>
      <c r="Z411" s="68" t="n">
        <v>38.8333333333333</v>
      </c>
      <c r="AA411" s="70"/>
    </row>
    <row r="412" customFormat="false" ht="14.25" hidden="false" customHeight="false" outlineLevel="0" collapsed="false">
      <c r="A412" s="56"/>
      <c r="B412" s="56"/>
      <c r="C412" s="64" t="n">
        <v>407</v>
      </c>
      <c r="D412" s="71" t="s">
        <v>1082</v>
      </c>
      <c r="E412" s="71" t="s">
        <v>1083</v>
      </c>
      <c r="F412" s="71" t="s">
        <v>1084</v>
      </c>
      <c r="G412" s="66" t="n">
        <v>44</v>
      </c>
      <c r="H412" s="67" t="n">
        <v>7.08</v>
      </c>
      <c r="I412" s="68" t="n">
        <v>310</v>
      </c>
      <c r="J412" s="68" t="n">
        <v>310</v>
      </c>
      <c r="K412" s="68" t="n">
        <v>310</v>
      </c>
      <c r="L412" s="68" t="s">
        <v>199</v>
      </c>
      <c r="M412" s="67" t="n">
        <v>0.2617358</v>
      </c>
      <c r="N412" s="67" t="n">
        <v>0.4266667</v>
      </c>
      <c r="O412" s="67" t="n">
        <v>4.032093</v>
      </c>
      <c r="P412" s="67" t="n">
        <v>0.6727617</v>
      </c>
      <c r="Q412" s="67" t="n">
        <v>1.585629</v>
      </c>
      <c r="R412" s="67" t="n">
        <v>1.852435</v>
      </c>
      <c r="S412" s="68" t="s">
        <v>200</v>
      </c>
      <c r="T412" s="68" t="s">
        <v>201</v>
      </c>
      <c r="U412" s="68" t="s">
        <v>945</v>
      </c>
      <c r="V412" s="69"/>
      <c r="W412" s="68" t="s">
        <v>782</v>
      </c>
      <c r="X412" s="68" t="n">
        <v>2.38317334118555</v>
      </c>
      <c r="Y412" s="68" t="n">
        <v>112.406342592585</v>
      </c>
      <c r="Z412" s="68" t="n">
        <v>47.1666666666667</v>
      </c>
      <c r="AA412" s="70"/>
    </row>
    <row r="413" customFormat="false" ht="14.25" hidden="false" customHeight="false" outlineLevel="0" collapsed="false">
      <c r="A413" s="56"/>
      <c r="B413" s="56"/>
      <c r="C413" s="64" t="n">
        <v>408</v>
      </c>
      <c r="D413" s="71" t="s">
        <v>1085</v>
      </c>
      <c r="E413" s="71" t="s">
        <v>1084</v>
      </c>
      <c r="F413" s="71" t="s">
        <v>1065</v>
      </c>
      <c r="G413" s="66" t="n">
        <v>44</v>
      </c>
      <c r="H413" s="67" t="n">
        <v>2</v>
      </c>
      <c r="I413" s="68" t="n">
        <v>310</v>
      </c>
      <c r="J413" s="68" t="n">
        <v>310</v>
      </c>
      <c r="K413" s="68" t="n">
        <v>310</v>
      </c>
      <c r="L413" s="68" t="s">
        <v>199</v>
      </c>
      <c r="M413" s="67" t="n">
        <v>0.2617358</v>
      </c>
      <c r="N413" s="67" t="n">
        <v>0.4266667</v>
      </c>
      <c r="O413" s="67" t="n">
        <v>4.032093</v>
      </c>
      <c r="P413" s="67" t="n">
        <v>0.6727617</v>
      </c>
      <c r="Q413" s="67" t="n">
        <v>1.585629</v>
      </c>
      <c r="R413" s="67" t="n">
        <v>1.852435</v>
      </c>
      <c r="S413" s="68" t="s">
        <v>200</v>
      </c>
      <c r="T413" s="68" t="s">
        <v>201</v>
      </c>
      <c r="U413" s="68" t="s">
        <v>945</v>
      </c>
      <c r="V413" s="69"/>
      <c r="W413" s="68" t="s">
        <v>782</v>
      </c>
      <c r="X413" s="68"/>
      <c r="Y413" s="68"/>
      <c r="Z413" s="68"/>
      <c r="AA413" s="70" t="s">
        <v>237</v>
      </c>
    </row>
    <row r="414" customFormat="false" ht="14.25" hidden="false" customHeight="false" outlineLevel="0" collapsed="false">
      <c r="A414" s="56"/>
      <c r="B414" s="56"/>
      <c r="C414" s="64" t="n">
        <v>409</v>
      </c>
      <c r="D414" s="71" t="s">
        <v>1086</v>
      </c>
      <c r="E414" s="71" t="s">
        <v>1046</v>
      </c>
      <c r="F414" s="71" t="s">
        <v>1083</v>
      </c>
      <c r="G414" s="66" t="n">
        <v>44</v>
      </c>
      <c r="H414" s="67" t="n">
        <v>6.63</v>
      </c>
      <c r="I414" s="68" t="n">
        <v>310</v>
      </c>
      <c r="J414" s="68" t="n">
        <v>310</v>
      </c>
      <c r="K414" s="68" t="n">
        <v>310</v>
      </c>
      <c r="L414" s="68" t="s">
        <v>199</v>
      </c>
      <c r="M414" s="67" t="n">
        <v>0.2617358</v>
      </c>
      <c r="N414" s="67" t="n">
        <v>0.4266667</v>
      </c>
      <c r="O414" s="67" t="n">
        <v>4.032093</v>
      </c>
      <c r="P414" s="67" t="n">
        <v>0.6727617</v>
      </c>
      <c r="Q414" s="67" t="n">
        <v>1.585629</v>
      </c>
      <c r="R414" s="67" t="n">
        <v>1.852435</v>
      </c>
      <c r="S414" s="68" t="s">
        <v>200</v>
      </c>
      <c r="T414" s="68" t="s">
        <v>201</v>
      </c>
      <c r="U414" s="68" t="s">
        <v>945</v>
      </c>
      <c r="V414" s="69"/>
      <c r="W414" s="68" t="s">
        <v>782</v>
      </c>
      <c r="X414" s="68" t="n">
        <v>2.38317334118555</v>
      </c>
      <c r="Y414" s="68" t="n">
        <v>112.406342592585</v>
      </c>
      <c r="Z414" s="68" t="n">
        <v>47.1666666666667</v>
      </c>
      <c r="AA414" s="70"/>
    </row>
    <row r="415" customFormat="false" ht="14.25" hidden="false" customHeight="false" outlineLevel="0" collapsed="false">
      <c r="A415" s="56"/>
      <c r="B415" s="56"/>
      <c r="C415" s="64" t="n">
        <v>410</v>
      </c>
      <c r="D415" s="71" t="s">
        <v>1087</v>
      </c>
      <c r="E415" s="71" t="s">
        <v>1083</v>
      </c>
      <c r="F415" s="71" t="s">
        <v>1088</v>
      </c>
      <c r="G415" s="66" t="n">
        <v>44</v>
      </c>
      <c r="H415" s="67" t="n">
        <v>5.88</v>
      </c>
      <c r="I415" s="68" t="n">
        <v>310</v>
      </c>
      <c r="J415" s="68" t="n">
        <v>310</v>
      </c>
      <c r="K415" s="68" t="n">
        <v>310</v>
      </c>
      <c r="L415" s="68" t="s">
        <v>199</v>
      </c>
      <c r="M415" s="67" t="n">
        <v>0.2617358</v>
      </c>
      <c r="N415" s="67" t="n">
        <v>0.4266667</v>
      </c>
      <c r="O415" s="67" t="n">
        <v>4.032093</v>
      </c>
      <c r="P415" s="67" t="n">
        <v>0.6727617</v>
      </c>
      <c r="Q415" s="67" t="n">
        <v>1.585629</v>
      </c>
      <c r="R415" s="67" t="n">
        <v>1.852435</v>
      </c>
      <c r="S415" s="68" t="s">
        <v>200</v>
      </c>
      <c r="T415" s="68" t="s">
        <v>201</v>
      </c>
      <c r="U415" s="68" t="s">
        <v>945</v>
      </c>
      <c r="V415" s="69"/>
      <c r="W415" s="68" t="s">
        <v>782</v>
      </c>
      <c r="X415" s="68"/>
      <c r="Y415" s="68"/>
      <c r="Z415" s="68"/>
      <c r="AA415" s="70" t="s">
        <v>231</v>
      </c>
    </row>
    <row r="416" customFormat="false" ht="14.25" hidden="false" customHeight="false" outlineLevel="0" collapsed="false">
      <c r="A416" s="56"/>
      <c r="B416" s="56"/>
      <c r="C416" s="64" t="n">
        <v>411</v>
      </c>
      <c r="D416" s="71" t="s">
        <v>1089</v>
      </c>
      <c r="E416" s="71" t="s">
        <v>1068</v>
      </c>
      <c r="F416" s="71" t="s">
        <v>1090</v>
      </c>
      <c r="G416" s="66" t="n">
        <v>44</v>
      </c>
      <c r="H416" s="67" t="n">
        <v>14.48</v>
      </c>
      <c r="I416" s="68" t="n">
        <v>310</v>
      </c>
      <c r="J416" s="68" t="n">
        <v>310</v>
      </c>
      <c r="K416" s="68" t="n">
        <v>310</v>
      </c>
      <c r="L416" s="68" t="s">
        <v>199</v>
      </c>
      <c r="M416" s="67" t="n">
        <v>0.2617358</v>
      </c>
      <c r="N416" s="67" t="n">
        <v>0.4266667</v>
      </c>
      <c r="O416" s="67" t="n">
        <v>4.032093</v>
      </c>
      <c r="P416" s="67" t="n">
        <v>0.6727617</v>
      </c>
      <c r="Q416" s="67" t="n">
        <v>1.585629</v>
      </c>
      <c r="R416" s="67" t="n">
        <v>1.852435</v>
      </c>
      <c r="S416" s="68" t="s">
        <v>200</v>
      </c>
      <c r="T416" s="68" t="s">
        <v>201</v>
      </c>
      <c r="U416" s="68" t="s">
        <v>945</v>
      </c>
      <c r="V416" s="69"/>
      <c r="W416" s="68" t="s">
        <v>782</v>
      </c>
      <c r="X416" s="68" t="n">
        <v>0.648682965302094</v>
      </c>
      <c r="Y416" s="68" t="n">
        <v>34.2720833334606</v>
      </c>
      <c r="Z416" s="68" t="n">
        <v>52.8333333333333</v>
      </c>
      <c r="AA416" s="70"/>
    </row>
    <row r="417" customFormat="false" ht="14.25" hidden="false" customHeight="false" outlineLevel="0" collapsed="false">
      <c r="A417" s="56"/>
      <c r="B417" s="56"/>
      <c r="C417" s="64" t="n">
        <v>412</v>
      </c>
      <c r="D417" s="71" t="s">
        <v>1091</v>
      </c>
      <c r="E417" s="71" t="s">
        <v>1092</v>
      </c>
      <c r="F417" s="71" t="s">
        <v>1093</v>
      </c>
      <c r="G417" s="66" t="n">
        <v>110</v>
      </c>
      <c r="H417" s="67" t="n">
        <v>17.99</v>
      </c>
      <c r="I417" s="68" t="n">
        <v>467</v>
      </c>
      <c r="J417" s="68" t="n">
        <v>607</v>
      </c>
      <c r="K417" s="68" t="n">
        <v>607.1</v>
      </c>
      <c r="L417" s="68" t="s">
        <v>199</v>
      </c>
      <c r="M417" s="67" t="n">
        <v>0.1208</v>
      </c>
      <c r="N417" s="67" t="n">
        <v>0.4678</v>
      </c>
      <c r="O417" s="67" t="n">
        <v>3.5426</v>
      </c>
      <c r="P417" s="67" t="n">
        <v>0.5008</v>
      </c>
      <c r="Q417" s="67" t="n">
        <v>1.7812</v>
      </c>
      <c r="R417" s="67" t="n">
        <v>2.0486</v>
      </c>
      <c r="S417" s="68" t="s">
        <v>767</v>
      </c>
      <c r="T417" s="68" t="s">
        <v>201</v>
      </c>
      <c r="U417" s="68" t="s">
        <v>945</v>
      </c>
      <c r="V417" s="69"/>
      <c r="W417" s="68" t="n">
        <v>477</v>
      </c>
      <c r="X417" s="68" t="n">
        <v>4.94757575757738</v>
      </c>
      <c r="Y417" s="68" t="n">
        <v>45.3527777777927</v>
      </c>
      <c r="Z417" s="68" t="n">
        <v>9.16666666666667</v>
      </c>
      <c r="AA417" s="70" t="s">
        <v>1094</v>
      </c>
    </row>
    <row r="418" customFormat="false" ht="14.25" hidden="false" customHeight="false" outlineLevel="0" collapsed="false">
      <c r="A418" s="56"/>
      <c r="B418" s="56"/>
      <c r="C418" s="64" t="n">
        <v>413</v>
      </c>
      <c r="D418" s="71" t="s">
        <v>1095</v>
      </c>
      <c r="E418" s="71" t="s">
        <v>1093</v>
      </c>
      <c r="F418" s="71" t="s">
        <v>1096</v>
      </c>
      <c r="G418" s="66" t="n">
        <v>110</v>
      </c>
      <c r="H418" s="67" t="n">
        <v>49.65</v>
      </c>
      <c r="I418" s="68" t="n">
        <v>467</v>
      </c>
      <c r="J418" s="68" t="n">
        <v>607</v>
      </c>
      <c r="K418" s="68" t="n">
        <v>607</v>
      </c>
      <c r="L418" s="68" t="s">
        <v>199</v>
      </c>
      <c r="M418" s="67" t="n">
        <v>0.1287</v>
      </c>
      <c r="N418" s="67" t="n">
        <v>0.4792</v>
      </c>
      <c r="O418" s="67" t="n">
        <v>3.448</v>
      </c>
      <c r="P418" s="67" t="n">
        <v>0.4102</v>
      </c>
      <c r="Q418" s="67" t="n">
        <v>1.5682</v>
      </c>
      <c r="R418" s="67" t="n">
        <v>1.86</v>
      </c>
      <c r="S418" s="68" t="s">
        <v>767</v>
      </c>
      <c r="T418" s="68" t="s">
        <v>201</v>
      </c>
      <c r="U418" s="68" t="s">
        <v>945</v>
      </c>
      <c r="V418" s="69"/>
      <c r="W418" s="68" t="n">
        <v>477</v>
      </c>
      <c r="X418" s="68" t="n">
        <v>4.28650793651052</v>
      </c>
      <c r="Y418" s="68" t="n">
        <v>45.0083333333605</v>
      </c>
      <c r="Z418" s="68" t="n">
        <v>10.5</v>
      </c>
      <c r="AA418" s="70" t="s">
        <v>1097</v>
      </c>
    </row>
    <row r="419" customFormat="false" ht="14.25" hidden="false" customHeight="false" outlineLevel="0" collapsed="false">
      <c r="B419" s="56"/>
      <c r="C419" s="64" t="n">
        <v>414</v>
      </c>
      <c r="D419" s="71" t="s">
        <v>1098</v>
      </c>
      <c r="E419" s="71" t="s">
        <v>1093</v>
      </c>
      <c r="F419" s="71" t="s">
        <v>1099</v>
      </c>
      <c r="G419" s="66" t="n">
        <v>110</v>
      </c>
      <c r="H419" s="67" t="n">
        <v>2.5</v>
      </c>
      <c r="I419" s="68" t="n">
        <v>630</v>
      </c>
      <c r="J419" s="68" t="n">
        <v>819</v>
      </c>
      <c r="K419" s="68" t="n">
        <v>819</v>
      </c>
      <c r="L419" s="68" t="s">
        <v>199</v>
      </c>
      <c r="M419" s="67" t="n">
        <v>0.0814</v>
      </c>
      <c r="N419" s="67" t="n">
        <v>0.4691</v>
      </c>
      <c r="O419" s="67" t="n">
        <v>3.586</v>
      </c>
      <c r="P419" s="67" t="n">
        <v>0.3557</v>
      </c>
      <c r="Q419" s="67" t="n">
        <v>1.5665</v>
      </c>
      <c r="R419" s="67" t="n">
        <v>1.9942</v>
      </c>
      <c r="S419" s="68" t="s">
        <v>767</v>
      </c>
      <c r="T419" s="68" t="s">
        <v>201</v>
      </c>
      <c r="U419" s="68" t="s">
        <v>771</v>
      </c>
      <c r="V419" s="69" t="n">
        <v>45688</v>
      </c>
      <c r="W419" s="68" t="n">
        <v>798</v>
      </c>
      <c r="X419" s="68"/>
      <c r="Y419" s="68"/>
      <c r="Z419" s="68"/>
      <c r="AA419" s="70"/>
    </row>
    <row r="420" customFormat="false" ht="14.25" hidden="false" customHeight="false" outlineLevel="0" collapsed="false">
      <c r="A420" s="56"/>
      <c r="B420" s="56"/>
      <c r="C420" s="64" t="n">
        <v>415</v>
      </c>
      <c r="D420" s="71" t="s">
        <v>1100</v>
      </c>
      <c r="E420" s="71" t="s">
        <v>1099</v>
      </c>
      <c r="F420" s="71" t="s">
        <v>1096</v>
      </c>
      <c r="G420" s="66" t="n">
        <v>110</v>
      </c>
      <c r="H420" s="67" t="n">
        <v>51.14</v>
      </c>
      <c r="I420" s="68" t="n">
        <v>467</v>
      </c>
      <c r="J420" s="68" t="n">
        <v>607</v>
      </c>
      <c r="K420" s="68" t="n">
        <v>607</v>
      </c>
      <c r="L420" s="68" t="s">
        <v>199</v>
      </c>
      <c r="M420" s="67" t="n">
        <v>0.1318</v>
      </c>
      <c r="N420" s="67" t="n">
        <v>0.4842</v>
      </c>
      <c r="O420" s="67" t="n">
        <v>3.395</v>
      </c>
      <c r="P420" s="67" t="n">
        <v>0.3969</v>
      </c>
      <c r="Q420" s="67" t="n">
        <v>1.5689</v>
      </c>
      <c r="R420" s="67" t="n">
        <v>1.8512</v>
      </c>
      <c r="S420" s="68" t="s">
        <v>767</v>
      </c>
      <c r="T420" s="68" t="s">
        <v>201</v>
      </c>
      <c r="U420" s="68" t="s">
        <v>771</v>
      </c>
      <c r="V420" s="69" t="n">
        <v>45688</v>
      </c>
      <c r="W420" s="68" t="n">
        <v>477</v>
      </c>
      <c r="X420" s="68"/>
      <c r="Y420" s="68"/>
      <c r="Z420" s="68"/>
      <c r="AA420" s="70"/>
    </row>
    <row r="421" customFormat="false" ht="14.25" hidden="false" customHeight="false" outlineLevel="0" collapsed="false">
      <c r="A421" s="56"/>
      <c r="B421" s="56"/>
      <c r="C421" s="64" t="n">
        <v>416</v>
      </c>
      <c r="D421" s="71" t="s">
        <v>1101</v>
      </c>
      <c r="E421" s="71" t="s">
        <v>1093</v>
      </c>
      <c r="F421" s="71" t="s">
        <v>1096</v>
      </c>
      <c r="G421" s="66" t="n">
        <v>110</v>
      </c>
      <c r="H421" s="67" t="n">
        <v>39.88</v>
      </c>
      <c r="I421" s="68" t="n">
        <v>586</v>
      </c>
      <c r="J421" s="68" t="n">
        <v>765</v>
      </c>
      <c r="K421" s="68" t="n">
        <v>735</v>
      </c>
      <c r="L421" s="68" t="s">
        <v>199</v>
      </c>
      <c r="M421" s="67" t="n">
        <v>0.1211</v>
      </c>
      <c r="N421" s="67" t="n">
        <v>0.4864</v>
      </c>
      <c r="O421" s="67" t="n">
        <v>3.3878</v>
      </c>
      <c r="P421" s="67" t="n">
        <v>0.3601</v>
      </c>
      <c r="Q421" s="67" t="n">
        <v>1.325</v>
      </c>
      <c r="R421" s="67" t="n">
        <v>1.7517</v>
      </c>
      <c r="S421" s="68" t="s">
        <v>767</v>
      </c>
      <c r="T421" s="68" t="s">
        <v>201</v>
      </c>
      <c r="U421" s="68" t="s">
        <v>945</v>
      </c>
      <c r="V421" s="69"/>
      <c r="W421" s="68" t="n">
        <v>477</v>
      </c>
      <c r="X421" s="68" t="n">
        <v>4.28650793651052</v>
      </c>
      <c r="Y421" s="68" t="n">
        <v>45.0083333333605</v>
      </c>
      <c r="Z421" s="68" t="n">
        <v>10.5</v>
      </c>
      <c r="AA421" s="70" t="s">
        <v>1102</v>
      </c>
    </row>
    <row r="422" customFormat="false" ht="14.25" hidden="false" customHeight="false" outlineLevel="0" collapsed="false">
      <c r="B422" s="56"/>
      <c r="C422" s="64" t="n">
        <v>417</v>
      </c>
      <c r="D422" s="71" t="s">
        <v>1103</v>
      </c>
      <c r="E422" s="71" t="s">
        <v>1093</v>
      </c>
      <c r="F422" s="71" t="s">
        <v>1099</v>
      </c>
      <c r="G422" s="66" t="n">
        <v>110</v>
      </c>
      <c r="H422" s="67" t="n">
        <v>2.5</v>
      </c>
      <c r="I422" s="68" t="n">
        <v>630</v>
      </c>
      <c r="J422" s="68" t="n">
        <v>819</v>
      </c>
      <c r="K422" s="68" t="n">
        <v>819</v>
      </c>
      <c r="L422" s="68" t="s">
        <v>199</v>
      </c>
      <c r="M422" s="67" t="n">
        <v>0.0814</v>
      </c>
      <c r="N422" s="67" t="n">
        <v>0.4691</v>
      </c>
      <c r="O422" s="67" t="n">
        <v>3.586</v>
      </c>
      <c r="P422" s="67" t="n">
        <v>0.3557</v>
      </c>
      <c r="Q422" s="67" t="n">
        <v>1.5665</v>
      </c>
      <c r="R422" s="67" t="n">
        <v>1.9942</v>
      </c>
      <c r="S422" s="68" t="s">
        <v>767</v>
      </c>
      <c r="T422" s="68" t="s">
        <v>201</v>
      </c>
      <c r="U422" s="68" t="s">
        <v>771</v>
      </c>
      <c r="V422" s="69" t="n">
        <v>45688</v>
      </c>
      <c r="W422" s="68" t="n">
        <v>798</v>
      </c>
      <c r="X422" s="68"/>
      <c r="Y422" s="68"/>
      <c r="Z422" s="68"/>
      <c r="AA422" s="70"/>
    </row>
    <row r="423" customFormat="false" ht="14.25" hidden="false" customHeight="false" outlineLevel="0" collapsed="false">
      <c r="A423" s="56"/>
      <c r="B423" s="56"/>
      <c r="C423" s="64" t="n">
        <v>418</v>
      </c>
      <c r="D423" s="71" t="s">
        <v>1104</v>
      </c>
      <c r="E423" s="71" t="s">
        <v>1099</v>
      </c>
      <c r="F423" s="71" t="s">
        <v>1096</v>
      </c>
      <c r="G423" s="66" t="n">
        <v>110</v>
      </c>
      <c r="H423" s="67" t="n">
        <v>41.49</v>
      </c>
      <c r="I423" s="68" t="n">
        <v>586</v>
      </c>
      <c r="J423" s="68" t="n">
        <v>765</v>
      </c>
      <c r="K423" s="68" t="n">
        <v>735</v>
      </c>
      <c r="L423" s="68" t="s">
        <v>199</v>
      </c>
      <c r="M423" s="67" t="n">
        <v>0.1318</v>
      </c>
      <c r="N423" s="67" t="n">
        <v>0.4842</v>
      </c>
      <c r="O423" s="67" t="n">
        <v>3.395</v>
      </c>
      <c r="P423" s="67" t="n">
        <v>0.3969</v>
      </c>
      <c r="Q423" s="67" t="n">
        <v>1.5689</v>
      </c>
      <c r="R423" s="67" t="n">
        <v>1.8512</v>
      </c>
      <c r="S423" s="68" t="s">
        <v>767</v>
      </c>
      <c r="T423" s="68" t="s">
        <v>201</v>
      </c>
      <c r="U423" s="68" t="s">
        <v>771</v>
      </c>
      <c r="V423" s="69" t="n">
        <v>45688</v>
      </c>
      <c r="W423" s="68" t="n">
        <v>477</v>
      </c>
      <c r="X423" s="68"/>
      <c r="Y423" s="68"/>
      <c r="Z423" s="68"/>
      <c r="AA423" s="70"/>
    </row>
    <row r="424" customFormat="false" ht="14.25" hidden="false" customHeight="false" outlineLevel="0" collapsed="false">
      <c r="A424" s="56"/>
      <c r="B424" s="56"/>
      <c r="C424" s="64" t="n">
        <v>419</v>
      </c>
      <c r="D424" s="71" t="s">
        <v>1105</v>
      </c>
      <c r="E424" s="71" t="s">
        <v>1096</v>
      </c>
      <c r="F424" s="71" t="s">
        <v>1106</v>
      </c>
      <c r="G424" s="66" t="n">
        <v>110</v>
      </c>
      <c r="H424" s="67" t="n">
        <v>8</v>
      </c>
      <c r="I424" s="68" t="n">
        <v>467</v>
      </c>
      <c r="J424" s="68" t="n">
        <v>607</v>
      </c>
      <c r="K424" s="68" t="n">
        <v>607</v>
      </c>
      <c r="L424" s="68" t="s">
        <v>199</v>
      </c>
      <c r="M424" s="67" t="n">
        <v>0.1318</v>
      </c>
      <c r="N424" s="67" t="n">
        <v>0.4842</v>
      </c>
      <c r="O424" s="67" t="n">
        <v>3.395</v>
      </c>
      <c r="P424" s="67" t="n">
        <v>0.3969</v>
      </c>
      <c r="Q424" s="67" t="n">
        <v>1.5689</v>
      </c>
      <c r="R424" s="67" t="n">
        <v>1.851</v>
      </c>
      <c r="S424" s="68" t="s">
        <v>767</v>
      </c>
      <c r="T424" s="68" t="s">
        <v>201</v>
      </c>
      <c r="U424" s="68" t="s">
        <v>945</v>
      </c>
      <c r="V424" s="69"/>
      <c r="W424" s="68" t="n">
        <v>477</v>
      </c>
      <c r="X424" s="68" t="n">
        <v>4.50151515153597</v>
      </c>
      <c r="Y424" s="68" t="n">
        <v>24.7583333334478</v>
      </c>
      <c r="Z424" s="68" t="n">
        <v>5.5</v>
      </c>
      <c r="AA424" s="70"/>
    </row>
    <row r="425" customFormat="false" ht="14.25" hidden="false" customHeight="false" outlineLevel="0" collapsed="false">
      <c r="A425" s="56"/>
      <c r="B425" s="56"/>
      <c r="C425" s="64" t="n">
        <v>420</v>
      </c>
      <c r="D425" s="71" t="s">
        <v>1107</v>
      </c>
      <c r="E425" s="71" t="s">
        <v>1047</v>
      </c>
      <c r="F425" s="71" t="s">
        <v>1093</v>
      </c>
      <c r="G425" s="66" t="n">
        <v>110</v>
      </c>
      <c r="H425" s="67" t="n">
        <v>69.09</v>
      </c>
      <c r="I425" s="68" t="n">
        <v>585</v>
      </c>
      <c r="J425" s="68" t="n">
        <v>800</v>
      </c>
      <c r="K425" s="68" t="n">
        <v>618</v>
      </c>
      <c r="L425" s="68" t="s">
        <v>199</v>
      </c>
      <c r="M425" s="67" t="n">
        <v>0.1182</v>
      </c>
      <c r="N425" s="67" t="n">
        <v>0.4779</v>
      </c>
      <c r="O425" s="67" t="n">
        <v>3.4607</v>
      </c>
      <c r="P425" s="67" t="n">
        <v>0.4343</v>
      </c>
      <c r="Q425" s="67" t="n">
        <v>1.3462</v>
      </c>
      <c r="R425" s="67" t="n">
        <v>1.8721</v>
      </c>
      <c r="S425" s="68" t="s">
        <v>767</v>
      </c>
      <c r="T425" s="68" t="s">
        <v>201</v>
      </c>
      <c r="U425" s="68" t="s">
        <v>945</v>
      </c>
      <c r="V425" s="69"/>
      <c r="W425" s="68" t="n">
        <v>477</v>
      </c>
      <c r="X425" s="68" t="n">
        <v>4.57777777776937</v>
      </c>
      <c r="Y425" s="68" t="n">
        <v>13.7333333333081</v>
      </c>
      <c r="Z425" s="68" t="n">
        <v>9</v>
      </c>
      <c r="AA425" s="70" t="s">
        <v>1108</v>
      </c>
    </row>
    <row r="426" customFormat="false" ht="14.25" hidden="false" customHeight="false" outlineLevel="0" collapsed="false">
      <c r="A426" s="56"/>
      <c r="B426" s="56"/>
      <c r="C426" s="64" t="n">
        <v>421</v>
      </c>
      <c r="D426" s="71" t="s">
        <v>1109</v>
      </c>
      <c r="E426" s="71" t="s">
        <v>1110</v>
      </c>
      <c r="F426" s="71" t="s">
        <v>1111</v>
      </c>
      <c r="G426" s="66" t="n">
        <v>110</v>
      </c>
      <c r="H426" s="67" t="n">
        <v>28.5</v>
      </c>
      <c r="I426" s="68" t="n">
        <v>613</v>
      </c>
      <c r="J426" s="68" t="n">
        <v>579</v>
      </c>
      <c r="K426" s="68" t="n">
        <v>745</v>
      </c>
      <c r="L426" s="68" t="s">
        <v>199</v>
      </c>
      <c r="M426" s="67" t="n">
        <v>0.118</v>
      </c>
      <c r="N426" s="67" t="n">
        <v>0.4882</v>
      </c>
      <c r="O426" s="67" t="n">
        <v>3.3949</v>
      </c>
      <c r="P426" s="67" t="n">
        <v>0.2924</v>
      </c>
      <c r="Q426" s="67" t="n">
        <v>1.8135</v>
      </c>
      <c r="R426" s="67" t="n">
        <v>1.9475</v>
      </c>
      <c r="S426" s="68" t="s">
        <v>767</v>
      </c>
      <c r="T426" s="68" t="s">
        <v>201</v>
      </c>
      <c r="U426" s="68" t="s">
        <v>945</v>
      </c>
      <c r="V426" s="69"/>
      <c r="W426" s="68" t="n">
        <v>477</v>
      </c>
      <c r="X426" s="68" t="n">
        <v>3.26562499998181</v>
      </c>
      <c r="Y426" s="68" t="n">
        <v>17.4166666665697</v>
      </c>
      <c r="Z426" s="68" t="n">
        <v>5.33333333333333</v>
      </c>
      <c r="AA426" s="70"/>
    </row>
    <row r="427" customFormat="false" ht="14.25" hidden="false" customHeight="false" outlineLevel="0" collapsed="false">
      <c r="A427" s="56"/>
      <c r="B427" s="56"/>
      <c r="C427" s="64" t="n">
        <v>422</v>
      </c>
      <c r="D427" s="71" t="s">
        <v>1112</v>
      </c>
      <c r="E427" s="71" t="s">
        <v>1092</v>
      </c>
      <c r="F427" s="71" t="s">
        <v>1113</v>
      </c>
      <c r="G427" s="66" t="n">
        <v>110</v>
      </c>
      <c r="H427" s="67" t="n">
        <v>15.15</v>
      </c>
      <c r="I427" s="68" t="n">
        <v>467</v>
      </c>
      <c r="J427" s="68" t="n">
        <v>467</v>
      </c>
      <c r="K427" s="68" t="n">
        <v>607.1</v>
      </c>
      <c r="L427" s="68" t="s">
        <v>199</v>
      </c>
      <c r="M427" s="67" t="n">
        <v>0.1318</v>
      </c>
      <c r="N427" s="67" t="n">
        <v>0.4842</v>
      </c>
      <c r="O427" s="67" t="n">
        <v>3.3953</v>
      </c>
      <c r="P427" s="67" t="n">
        <v>0.3969</v>
      </c>
      <c r="Q427" s="67" t="n">
        <v>1.5689</v>
      </c>
      <c r="R427" s="67" t="n">
        <v>1.8512</v>
      </c>
      <c r="S427" s="68" t="s">
        <v>767</v>
      </c>
      <c r="T427" s="68" t="s">
        <v>201</v>
      </c>
      <c r="U427" s="68" t="s">
        <v>945</v>
      </c>
      <c r="V427" s="69"/>
      <c r="W427" s="68" t="n">
        <v>477</v>
      </c>
      <c r="X427" s="68" t="n">
        <v>3.96434108526744</v>
      </c>
      <c r="Y427" s="68" t="n">
        <v>28.4111111110833</v>
      </c>
      <c r="Z427" s="68" t="n">
        <v>7.16666666666667</v>
      </c>
      <c r="AA427" s="70"/>
    </row>
    <row r="428" customFormat="false" ht="14.25" hidden="false" customHeight="false" outlineLevel="0" collapsed="false">
      <c r="A428" s="56"/>
      <c r="B428" s="56"/>
      <c r="C428" s="64" t="n">
        <v>423</v>
      </c>
      <c r="D428" s="71" t="s">
        <v>1114</v>
      </c>
      <c r="E428" s="71" t="s">
        <v>1111</v>
      </c>
      <c r="F428" s="71" t="s">
        <v>1115</v>
      </c>
      <c r="G428" s="66" t="n">
        <v>110</v>
      </c>
      <c r="H428" s="67" t="n">
        <v>6.15</v>
      </c>
      <c r="I428" s="68" t="n">
        <v>400</v>
      </c>
      <c r="J428" s="68" t="n">
        <v>493</v>
      </c>
      <c r="K428" s="68" t="n">
        <v>480</v>
      </c>
      <c r="L428" s="68" t="s">
        <v>199</v>
      </c>
      <c r="M428" s="67" t="n">
        <v>0.1958</v>
      </c>
      <c r="N428" s="67" t="n">
        <v>0.4959</v>
      </c>
      <c r="O428" s="67" t="n">
        <v>3.328</v>
      </c>
      <c r="P428" s="67" t="n">
        <v>1.4726</v>
      </c>
      <c r="Q428" s="67" t="n">
        <v>1.5565</v>
      </c>
      <c r="R428" s="67" t="n">
        <v>2.054</v>
      </c>
      <c r="S428" s="68" t="s">
        <v>767</v>
      </c>
      <c r="T428" s="68" t="s">
        <v>201</v>
      </c>
      <c r="U428" s="68" t="s">
        <v>945</v>
      </c>
      <c r="V428" s="69"/>
      <c r="W428" s="68"/>
      <c r="X428" s="68" t="n">
        <v>3.26933333336609</v>
      </c>
      <c r="Y428" s="68" t="n">
        <v>13.6222222223587</v>
      </c>
      <c r="Z428" s="68" t="n">
        <v>4.16666666666667</v>
      </c>
      <c r="AA428" s="70" t="s">
        <v>1116</v>
      </c>
    </row>
    <row r="429" customFormat="false" ht="14.25" hidden="false" customHeight="false" outlineLevel="0" collapsed="false">
      <c r="A429" s="56"/>
      <c r="B429" s="56"/>
      <c r="C429" s="64" t="n">
        <v>424</v>
      </c>
      <c r="D429" s="71" t="s">
        <v>1117</v>
      </c>
      <c r="E429" s="71" t="s">
        <v>1111</v>
      </c>
      <c r="F429" s="71" t="s">
        <v>1118</v>
      </c>
      <c r="G429" s="66" t="n">
        <v>110</v>
      </c>
      <c r="H429" s="67" t="n">
        <v>20.06</v>
      </c>
      <c r="I429" s="68" t="n">
        <v>467</v>
      </c>
      <c r="J429" s="68" t="n">
        <v>667</v>
      </c>
      <c r="K429" s="68" t="n">
        <v>607.1</v>
      </c>
      <c r="L429" s="68" t="s">
        <v>199</v>
      </c>
      <c r="M429" s="67" t="n">
        <v>0.1318</v>
      </c>
      <c r="N429" s="67" t="n">
        <v>0.4842</v>
      </c>
      <c r="O429" s="67" t="n">
        <v>3.395</v>
      </c>
      <c r="P429" s="67" t="n">
        <v>0.3969</v>
      </c>
      <c r="Q429" s="67" t="n">
        <v>1.5689</v>
      </c>
      <c r="R429" s="67" t="n">
        <v>1.8512</v>
      </c>
      <c r="S429" s="68" t="s">
        <v>767</v>
      </c>
      <c r="T429" s="68" t="s">
        <v>201</v>
      </c>
      <c r="U429" s="68" t="s">
        <v>945</v>
      </c>
      <c r="V429" s="69"/>
      <c r="W429" s="68" t="n">
        <v>477</v>
      </c>
      <c r="X429" s="68" t="n">
        <v>4.43542270529661</v>
      </c>
      <c r="Y429" s="68" t="n">
        <v>17.002453703637</v>
      </c>
      <c r="Z429" s="68" t="n">
        <v>3.83333333333333</v>
      </c>
      <c r="AA429" s="70"/>
    </row>
    <row r="430" customFormat="false" ht="14.25" hidden="false" customHeight="false" outlineLevel="0" collapsed="false">
      <c r="A430" s="56"/>
      <c r="B430" s="56"/>
      <c r="C430" s="64" t="n">
        <v>425</v>
      </c>
      <c r="D430" s="71" t="s">
        <v>1119</v>
      </c>
      <c r="E430" s="71" t="s">
        <v>1111</v>
      </c>
      <c r="F430" s="71" t="s">
        <v>1106</v>
      </c>
      <c r="G430" s="66" t="n">
        <v>110</v>
      </c>
      <c r="H430" s="67" t="n">
        <v>35.15</v>
      </c>
      <c r="I430" s="68" t="n">
        <v>467</v>
      </c>
      <c r="J430" s="68" t="n">
        <v>667</v>
      </c>
      <c r="K430" s="68" t="n">
        <v>607</v>
      </c>
      <c r="L430" s="68" t="s">
        <v>199</v>
      </c>
      <c r="M430" s="67" t="n">
        <v>0.1318</v>
      </c>
      <c r="N430" s="67" t="n">
        <v>0.4842</v>
      </c>
      <c r="O430" s="67" t="n">
        <v>3.395</v>
      </c>
      <c r="P430" s="67" t="n">
        <v>0.3969</v>
      </c>
      <c r="Q430" s="67" t="n">
        <v>1.5689</v>
      </c>
      <c r="R430" s="67" t="n">
        <v>1.8512</v>
      </c>
      <c r="S430" s="68" t="s">
        <v>767</v>
      </c>
      <c r="T430" s="68" t="s">
        <v>201</v>
      </c>
      <c r="U430" s="68" t="s">
        <v>945</v>
      </c>
      <c r="V430" s="69"/>
      <c r="W430" s="68" t="n">
        <v>477</v>
      </c>
      <c r="X430" s="68" t="n">
        <v>3.99912280702081</v>
      </c>
      <c r="Y430" s="68" t="n">
        <v>12.6638888888992</v>
      </c>
      <c r="Z430" s="68" t="n">
        <v>3.16666666666667</v>
      </c>
      <c r="AA430" s="70"/>
    </row>
    <row r="431" customFormat="false" ht="14.25" hidden="false" customHeight="false" outlineLevel="0" collapsed="false">
      <c r="A431" s="56"/>
      <c r="B431" s="56"/>
      <c r="C431" s="64" t="n">
        <v>426</v>
      </c>
      <c r="D431" s="71" t="s">
        <v>1120</v>
      </c>
      <c r="E431" s="71" t="s">
        <v>1111</v>
      </c>
      <c r="F431" s="71" t="s">
        <v>1121</v>
      </c>
      <c r="G431" s="66" t="n">
        <v>110</v>
      </c>
      <c r="H431" s="67" t="n">
        <v>4</v>
      </c>
      <c r="I431" s="68" t="n">
        <v>240</v>
      </c>
      <c r="J431" s="68" t="n">
        <v>312</v>
      </c>
      <c r="K431" s="68" t="n">
        <v>312</v>
      </c>
      <c r="L431" s="68" t="s">
        <v>199</v>
      </c>
      <c r="M431" s="67" t="n">
        <v>0.2613</v>
      </c>
      <c r="N431" s="67" t="n">
        <v>0.5194</v>
      </c>
      <c r="O431" s="67" t="n">
        <v>3.171</v>
      </c>
      <c r="P431" s="67" t="n">
        <v>0.4872</v>
      </c>
      <c r="Q431" s="67" t="n">
        <v>1.336</v>
      </c>
      <c r="R431" s="67" t="n">
        <v>1.858</v>
      </c>
      <c r="S431" s="68" t="s">
        <v>767</v>
      </c>
      <c r="T431" s="68" t="s">
        <v>201</v>
      </c>
      <c r="U431" s="68" t="s">
        <v>945</v>
      </c>
      <c r="V431" s="69"/>
      <c r="W431" s="68"/>
      <c r="X431" s="68"/>
      <c r="Y431" s="68"/>
      <c r="Z431" s="68"/>
      <c r="AA431" s="70"/>
    </row>
    <row r="432" customFormat="false" ht="14.25" hidden="false" customHeight="false" outlineLevel="0" collapsed="false">
      <c r="A432" s="56"/>
      <c r="B432" s="56"/>
      <c r="C432" s="64" t="n">
        <v>427</v>
      </c>
      <c r="D432" s="71" t="s">
        <v>1122</v>
      </c>
      <c r="E432" s="71" t="s">
        <v>1123</v>
      </c>
      <c r="F432" s="71" t="s">
        <v>1124</v>
      </c>
      <c r="G432" s="66" t="n">
        <v>110</v>
      </c>
      <c r="H432" s="67" t="n">
        <v>24.2</v>
      </c>
      <c r="I432" s="68" t="n">
        <v>467</v>
      </c>
      <c r="J432" s="68" t="n">
        <v>667</v>
      </c>
      <c r="K432" s="68" t="n">
        <v>607.1</v>
      </c>
      <c r="L432" s="68" t="s">
        <v>199</v>
      </c>
      <c r="M432" s="67" t="n">
        <v>0.1318</v>
      </c>
      <c r="N432" s="67" t="n">
        <v>0.4842</v>
      </c>
      <c r="O432" s="67" t="n">
        <v>3.395</v>
      </c>
      <c r="P432" s="67" t="n">
        <v>0.3969</v>
      </c>
      <c r="Q432" s="67" t="n">
        <v>1.5689</v>
      </c>
      <c r="R432" s="67" t="n">
        <v>1.8512</v>
      </c>
      <c r="S432" s="68" t="s">
        <v>767</v>
      </c>
      <c r="T432" s="68" t="s">
        <v>201</v>
      </c>
      <c r="U432" s="68" t="s">
        <v>945</v>
      </c>
      <c r="V432" s="69"/>
      <c r="W432" s="68" t="n">
        <v>477</v>
      </c>
      <c r="X432" s="68" t="n">
        <v>8.15833333333389</v>
      </c>
      <c r="Y432" s="68" t="n">
        <v>19.0361111111124</v>
      </c>
      <c r="Z432" s="68" t="n">
        <v>2.33333333333333</v>
      </c>
      <c r="AA432" s="70"/>
    </row>
    <row r="433" customFormat="false" ht="14.25" hidden="false" customHeight="false" outlineLevel="0" collapsed="false">
      <c r="A433" s="56"/>
      <c r="B433" s="56"/>
      <c r="C433" s="64" t="n">
        <v>428</v>
      </c>
      <c r="D433" s="71" t="s">
        <v>1125</v>
      </c>
      <c r="E433" s="71" t="s">
        <v>1126</v>
      </c>
      <c r="F433" s="71" t="s">
        <v>1127</v>
      </c>
      <c r="G433" s="66" t="n">
        <v>110</v>
      </c>
      <c r="H433" s="67" t="n">
        <v>2.2</v>
      </c>
      <c r="I433" s="68" t="n">
        <v>316</v>
      </c>
      <c r="J433" s="68" t="n">
        <v>316</v>
      </c>
      <c r="K433" s="68" t="n">
        <v>316</v>
      </c>
      <c r="L433" s="68" t="s">
        <v>199</v>
      </c>
      <c r="M433" s="67" t="n">
        <v>0.2123</v>
      </c>
      <c r="N433" s="67" t="n">
        <v>0.5095</v>
      </c>
      <c r="O433" s="67" t="n">
        <v>3.235</v>
      </c>
      <c r="P433" s="67" t="n">
        <v>0.4383</v>
      </c>
      <c r="Q433" s="67" t="n">
        <v>1.326</v>
      </c>
      <c r="R433" s="67" t="n">
        <v>1.88</v>
      </c>
      <c r="S433" s="68" t="s">
        <v>767</v>
      </c>
      <c r="T433" s="68" t="s">
        <v>201</v>
      </c>
      <c r="U433" s="68" t="s">
        <v>945</v>
      </c>
      <c r="V433" s="69"/>
      <c r="W433" s="68"/>
      <c r="X433" s="68" t="n">
        <v>4.75833333335602</v>
      </c>
      <c r="Y433" s="68" t="n">
        <v>20.6194444445428</v>
      </c>
      <c r="Z433" s="68" t="n">
        <v>4.33333333333333</v>
      </c>
      <c r="AA433" s="70"/>
    </row>
    <row r="434" customFormat="false" ht="15" hidden="false" customHeight="true" outlineLevel="0" collapsed="false">
      <c r="A434" s="56"/>
      <c r="B434" s="56"/>
      <c r="C434" s="64" t="n">
        <v>429</v>
      </c>
      <c r="D434" s="71" t="s">
        <v>1128</v>
      </c>
      <c r="E434" s="71" t="s">
        <v>1124</v>
      </c>
      <c r="F434" s="71" t="s">
        <v>1129</v>
      </c>
      <c r="G434" s="66" t="n">
        <v>110</v>
      </c>
      <c r="H434" s="67" t="n">
        <v>41.7</v>
      </c>
      <c r="I434" s="68" t="n">
        <v>467</v>
      </c>
      <c r="J434" s="68" t="n">
        <v>667</v>
      </c>
      <c r="K434" s="68" t="n">
        <v>607.1</v>
      </c>
      <c r="L434" s="68" t="s">
        <v>199</v>
      </c>
      <c r="M434" s="67" t="n">
        <v>0.1318</v>
      </c>
      <c r="N434" s="67" t="n">
        <v>0.4842</v>
      </c>
      <c r="O434" s="67" t="n">
        <v>3.395</v>
      </c>
      <c r="P434" s="67" t="n">
        <v>0.3969</v>
      </c>
      <c r="Q434" s="67" t="n">
        <v>1.5689</v>
      </c>
      <c r="R434" s="67" t="n">
        <v>1.8512</v>
      </c>
      <c r="S434" s="68" t="s">
        <v>767</v>
      </c>
      <c r="T434" s="68" t="s">
        <v>201</v>
      </c>
      <c r="U434" s="68" t="s">
        <v>945</v>
      </c>
      <c r="V434" s="69"/>
      <c r="W434" s="68" t="n">
        <v>477</v>
      </c>
      <c r="X434" s="68" t="n">
        <v>4.37098958334173</v>
      </c>
      <c r="Y434" s="68" t="n">
        <v>23.3119444444892</v>
      </c>
      <c r="Z434" s="68" t="n">
        <v>5.33333333333333</v>
      </c>
      <c r="AA434" s="70"/>
    </row>
    <row r="435" customFormat="false" ht="14.25" hidden="false" customHeight="false" outlineLevel="0" collapsed="false">
      <c r="A435" s="56"/>
      <c r="B435" s="56"/>
      <c r="C435" s="64" t="n">
        <v>430</v>
      </c>
      <c r="D435" s="71" t="s">
        <v>1130</v>
      </c>
      <c r="E435" s="71" t="s">
        <v>1131</v>
      </c>
      <c r="F435" s="71" t="s">
        <v>1132</v>
      </c>
      <c r="G435" s="66" t="n">
        <v>110</v>
      </c>
      <c r="H435" s="67" t="n">
        <v>11.47</v>
      </c>
      <c r="I435" s="68" t="n">
        <v>400</v>
      </c>
      <c r="J435" s="68" t="n">
        <v>492</v>
      </c>
      <c r="K435" s="68" t="n">
        <v>492</v>
      </c>
      <c r="L435" s="68" t="s">
        <v>199</v>
      </c>
      <c r="M435" s="67" t="n">
        <v>0.1958</v>
      </c>
      <c r="N435" s="67" t="n">
        <v>0.4959</v>
      </c>
      <c r="O435" s="67" t="n">
        <v>3.328</v>
      </c>
      <c r="P435" s="67" t="n">
        <v>0.6192</v>
      </c>
      <c r="Q435" s="67" t="n">
        <v>1.4726</v>
      </c>
      <c r="R435" s="67" t="n">
        <v>2.054</v>
      </c>
      <c r="S435" s="68" t="s">
        <v>767</v>
      </c>
      <c r="T435" s="68" t="s">
        <v>201</v>
      </c>
      <c r="U435" s="68" t="s">
        <v>945</v>
      </c>
      <c r="V435" s="69"/>
      <c r="W435" s="68"/>
      <c r="X435" s="68"/>
      <c r="Y435" s="68"/>
      <c r="Z435" s="68"/>
      <c r="AA435" s="70" t="s">
        <v>1116</v>
      </c>
    </row>
    <row r="436" customFormat="false" ht="14.25" hidden="false" customHeight="false" outlineLevel="0" collapsed="false">
      <c r="A436" s="56"/>
      <c r="B436" s="56"/>
      <c r="C436" s="64" t="n">
        <v>431</v>
      </c>
      <c r="D436" s="71" t="s">
        <v>1133</v>
      </c>
      <c r="E436" s="71" t="s">
        <v>1118</v>
      </c>
      <c r="F436" s="71" t="s">
        <v>1134</v>
      </c>
      <c r="G436" s="66" t="n">
        <v>110</v>
      </c>
      <c r="H436" s="67" t="n">
        <v>10.2</v>
      </c>
      <c r="I436" s="68" t="n">
        <v>467</v>
      </c>
      <c r="J436" s="68" t="n">
        <v>667</v>
      </c>
      <c r="K436" s="68" t="n">
        <v>607.1</v>
      </c>
      <c r="L436" s="68" t="s">
        <v>199</v>
      </c>
      <c r="M436" s="67" t="n">
        <v>0.1318</v>
      </c>
      <c r="N436" s="67" t="n">
        <v>0.4842</v>
      </c>
      <c r="O436" s="67" t="n">
        <v>3.395</v>
      </c>
      <c r="P436" s="67" t="n">
        <v>0.3969</v>
      </c>
      <c r="Q436" s="67" t="n">
        <v>1.5689</v>
      </c>
      <c r="R436" s="67" t="n">
        <v>1.8512</v>
      </c>
      <c r="S436" s="68" t="s">
        <v>767</v>
      </c>
      <c r="T436" s="68" t="s">
        <v>201</v>
      </c>
      <c r="U436" s="68" t="s">
        <v>945</v>
      </c>
      <c r="V436" s="69"/>
      <c r="W436" s="68" t="n">
        <v>477</v>
      </c>
      <c r="X436" s="68" t="n">
        <v>7.14411764703896</v>
      </c>
      <c r="Y436" s="68" t="n">
        <v>20.2416666666104</v>
      </c>
      <c r="Z436" s="68" t="n">
        <v>2.83333333333333</v>
      </c>
      <c r="AA436" s="70"/>
    </row>
    <row r="437" customFormat="false" ht="14.25" hidden="false" customHeight="false" outlineLevel="0" collapsed="false">
      <c r="A437" s="56"/>
      <c r="B437" s="56"/>
      <c r="C437" s="64" t="n">
        <v>432</v>
      </c>
      <c r="D437" s="71" t="s">
        <v>1135</v>
      </c>
      <c r="E437" s="71" t="s">
        <v>1118</v>
      </c>
      <c r="F437" s="71" t="s">
        <v>1136</v>
      </c>
      <c r="G437" s="66" t="n">
        <v>110</v>
      </c>
      <c r="H437" s="67" t="n">
        <v>7.23</v>
      </c>
      <c r="I437" s="68" t="n">
        <v>305</v>
      </c>
      <c r="J437" s="68" t="n">
        <v>440</v>
      </c>
      <c r="K437" s="68" t="n">
        <v>305</v>
      </c>
      <c r="L437" s="68" t="s">
        <v>199</v>
      </c>
      <c r="M437" s="67" t="n">
        <v>0.2122</v>
      </c>
      <c r="N437" s="67" t="n">
        <v>0.5096</v>
      </c>
      <c r="O437" s="67" t="n">
        <v>3.235</v>
      </c>
      <c r="P437" s="67" t="n">
        <v>0.4431</v>
      </c>
      <c r="Q437" s="67" t="n">
        <v>1.62</v>
      </c>
      <c r="R437" s="67" t="n">
        <v>1.876</v>
      </c>
      <c r="S437" s="68" t="s">
        <v>767</v>
      </c>
      <c r="T437" s="68" t="s">
        <v>201</v>
      </c>
      <c r="U437" s="68" t="s">
        <v>945</v>
      </c>
      <c r="V437" s="69"/>
      <c r="W437" s="68"/>
      <c r="X437" s="68" t="n">
        <v>0.0334722222411074</v>
      </c>
      <c r="Y437" s="68" t="n">
        <v>0.111574074137025</v>
      </c>
      <c r="Z437" s="68" t="n">
        <v>3.33333333333333</v>
      </c>
      <c r="AA437" s="70"/>
    </row>
    <row r="438" customFormat="false" ht="14.25" hidden="false" customHeight="false" outlineLevel="0" collapsed="false">
      <c r="A438" s="56"/>
      <c r="B438" s="56"/>
      <c r="C438" s="64" t="n">
        <v>433</v>
      </c>
      <c r="D438" s="71" t="s">
        <v>1137</v>
      </c>
      <c r="E438" s="71" t="s">
        <v>1121</v>
      </c>
      <c r="F438" s="71" t="s">
        <v>1132</v>
      </c>
      <c r="G438" s="66" t="n">
        <v>110</v>
      </c>
      <c r="H438" s="67" t="n">
        <v>6.7</v>
      </c>
      <c r="I438" s="68" t="n">
        <v>467</v>
      </c>
      <c r="J438" s="68" t="n">
        <v>467</v>
      </c>
      <c r="K438" s="68" t="n">
        <v>467</v>
      </c>
      <c r="L438" s="68" t="s">
        <v>199</v>
      </c>
      <c r="M438" s="67" t="n">
        <v>0.209176</v>
      </c>
      <c r="N438" s="67" t="n">
        <v>0.52756</v>
      </c>
      <c r="O438" s="67" t="n">
        <v>3.4267</v>
      </c>
      <c r="P438" s="67" t="n">
        <v>0.447656</v>
      </c>
      <c r="Q438" s="67" t="n">
        <v>1.656368</v>
      </c>
      <c r="R438" s="67" t="n">
        <v>1.9888</v>
      </c>
      <c r="S438" s="68" t="s">
        <v>767</v>
      </c>
      <c r="T438" s="68" t="s">
        <v>201</v>
      </c>
      <c r="U438" s="68" t="s">
        <v>945</v>
      </c>
      <c r="V438" s="69"/>
      <c r="W438" s="68"/>
      <c r="X438" s="68"/>
      <c r="Y438" s="68"/>
      <c r="Z438" s="68"/>
      <c r="AA438" s="70"/>
    </row>
    <row r="439" customFormat="false" ht="14.25" hidden="false" customHeight="false" outlineLevel="0" collapsed="false">
      <c r="A439" s="56"/>
      <c r="B439" s="56"/>
      <c r="C439" s="64" t="n">
        <v>434</v>
      </c>
      <c r="D439" s="71" t="s">
        <v>1138</v>
      </c>
      <c r="E439" s="71" t="s">
        <v>1132</v>
      </c>
      <c r="F439" s="71" t="s">
        <v>1126</v>
      </c>
      <c r="G439" s="66" t="n">
        <v>110</v>
      </c>
      <c r="H439" s="67" t="n">
        <v>6.2</v>
      </c>
      <c r="I439" s="68" t="n">
        <v>238</v>
      </c>
      <c r="J439" s="68" t="n">
        <v>238</v>
      </c>
      <c r="K439" s="68" t="n">
        <v>238</v>
      </c>
      <c r="L439" s="68" t="s">
        <v>199</v>
      </c>
      <c r="M439" s="67" t="n">
        <v>0.26276</v>
      </c>
      <c r="N439" s="67" t="n">
        <v>0.48817</v>
      </c>
      <c r="O439" s="67" t="n">
        <v>3.3756</v>
      </c>
      <c r="P439" s="67" t="n">
        <v>0.54858</v>
      </c>
      <c r="Q439" s="67" t="n">
        <v>1.50184</v>
      </c>
      <c r="R439" s="67" t="n">
        <v>2.0232</v>
      </c>
      <c r="S439" s="68" t="s">
        <v>767</v>
      </c>
      <c r="T439" s="68" t="s">
        <v>201</v>
      </c>
      <c r="U439" s="68" t="s">
        <v>945</v>
      </c>
      <c r="V439" s="69"/>
      <c r="W439" s="68"/>
      <c r="X439" s="68"/>
      <c r="Y439" s="68"/>
      <c r="Z439" s="68"/>
      <c r="AA439" s="70"/>
    </row>
    <row r="440" customFormat="false" ht="14.25" hidden="false" customHeight="false" outlineLevel="0" collapsed="false">
      <c r="A440" s="56"/>
      <c r="B440" s="56"/>
      <c r="C440" s="64" t="n">
        <v>435</v>
      </c>
      <c r="D440" s="71" t="s">
        <v>1139</v>
      </c>
      <c r="E440" s="71" t="s">
        <v>1096</v>
      </c>
      <c r="F440" s="71" t="s">
        <v>1140</v>
      </c>
      <c r="G440" s="66" t="n">
        <v>44</v>
      </c>
      <c r="H440" s="67" t="n">
        <v>16.3</v>
      </c>
      <c r="I440" s="68" t="n">
        <v>310</v>
      </c>
      <c r="J440" s="68" t="n">
        <v>310</v>
      </c>
      <c r="K440" s="68" t="n">
        <v>310</v>
      </c>
      <c r="L440" s="68" t="s">
        <v>199</v>
      </c>
      <c r="M440" s="67" t="n">
        <v>0.2617358</v>
      </c>
      <c r="N440" s="67" t="n">
        <v>0.4266667</v>
      </c>
      <c r="O440" s="67" t="n">
        <v>4.032093</v>
      </c>
      <c r="P440" s="67" t="n">
        <v>0.6727617</v>
      </c>
      <c r="Q440" s="67" t="n">
        <v>1.585629</v>
      </c>
      <c r="R440" s="67" t="n">
        <v>1.852435</v>
      </c>
      <c r="S440" s="68" t="s">
        <v>200</v>
      </c>
      <c r="T440" s="68" t="s">
        <v>201</v>
      </c>
      <c r="U440" s="68" t="s">
        <v>945</v>
      </c>
      <c r="V440" s="69"/>
      <c r="W440" s="68" t="s">
        <v>782</v>
      </c>
      <c r="X440" s="68" t="n">
        <v>2.97379960318046</v>
      </c>
      <c r="Y440" s="68" t="n">
        <v>83.2663888890529</v>
      </c>
      <c r="Z440" s="68" t="n">
        <v>28</v>
      </c>
      <c r="AA440" s="70"/>
    </row>
    <row r="441" customFormat="false" ht="14.25" hidden="false" customHeight="false" outlineLevel="0" collapsed="false">
      <c r="A441" s="56"/>
      <c r="B441" s="56"/>
      <c r="C441" s="64" t="n">
        <v>436</v>
      </c>
      <c r="D441" s="71" t="s">
        <v>1141</v>
      </c>
      <c r="E441" s="71" t="s">
        <v>1111</v>
      </c>
      <c r="F441" s="71" t="s">
        <v>1142</v>
      </c>
      <c r="G441" s="66" t="n">
        <v>44</v>
      </c>
      <c r="H441" s="67" t="n">
        <v>15.29</v>
      </c>
      <c r="I441" s="68" t="n">
        <v>310</v>
      </c>
      <c r="J441" s="68" t="n">
        <v>310</v>
      </c>
      <c r="K441" s="68" t="n">
        <v>310</v>
      </c>
      <c r="L441" s="68" t="s">
        <v>199</v>
      </c>
      <c r="M441" s="67" t="n">
        <v>0.2617358</v>
      </c>
      <c r="N441" s="67" t="n">
        <v>0.4266667</v>
      </c>
      <c r="O441" s="67" t="n">
        <v>4.032093</v>
      </c>
      <c r="P441" s="67" t="n">
        <v>0.6727617</v>
      </c>
      <c r="Q441" s="67" t="n">
        <v>1.585629</v>
      </c>
      <c r="R441" s="67" t="n">
        <v>1.852435</v>
      </c>
      <c r="S441" s="68" t="s">
        <v>200</v>
      </c>
      <c r="T441" s="68" t="s">
        <v>201</v>
      </c>
      <c r="U441" s="68" t="s">
        <v>945</v>
      </c>
      <c r="V441" s="69"/>
      <c r="W441" s="68" t="s">
        <v>782</v>
      </c>
      <c r="X441" s="68" t="n">
        <v>0.336070244012997</v>
      </c>
      <c r="Y441" s="68" t="n">
        <v>26.2694907403493</v>
      </c>
      <c r="Z441" s="68" t="n">
        <v>78.1666666666667</v>
      </c>
      <c r="AA441" s="70"/>
    </row>
    <row r="442" customFormat="false" ht="14.25" hidden="false" customHeight="false" outlineLevel="0" collapsed="false">
      <c r="A442" s="56"/>
      <c r="B442" s="56"/>
      <c r="C442" s="64" t="n">
        <v>437</v>
      </c>
      <c r="D442" s="71" t="s">
        <v>1143</v>
      </c>
      <c r="E442" s="71" t="s">
        <v>1142</v>
      </c>
      <c r="F442" s="71" t="s">
        <v>1144</v>
      </c>
      <c r="G442" s="66" t="n">
        <v>44</v>
      </c>
      <c r="H442" s="67" t="n">
        <v>2.69</v>
      </c>
      <c r="I442" s="68" t="n">
        <v>310</v>
      </c>
      <c r="J442" s="68" t="n">
        <v>310</v>
      </c>
      <c r="K442" s="68" t="n">
        <v>310</v>
      </c>
      <c r="L442" s="68" t="s">
        <v>199</v>
      </c>
      <c r="M442" s="67" t="n">
        <v>0.2617358</v>
      </c>
      <c r="N442" s="67" t="n">
        <v>0.4266667</v>
      </c>
      <c r="O442" s="67" t="n">
        <v>4.032093</v>
      </c>
      <c r="P442" s="67" t="n">
        <v>0.6727617</v>
      </c>
      <c r="Q442" s="67" t="n">
        <v>1.585629</v>
      </c>
      <c r="R442" s="67" t="n">
        <v>1.852435</v>
      </c>
      <c r="S442" s="68" t="s">
        <v>200</v>
      </c>
      <c r="T442" s="68" t="s">
        <v>201</v>
      </c>
      <c r="U442" s="68" t="s">
        <v>945</v>
      </c>
      <c r="V442" s="69"/>
      <c r="W442" s="68" t="s">
        <v>782</v>
      </c>
      <c r="X442" s="68" t="n">
        <v>0.336070244012997</v>
      </c>
      <c r="Y442" s="68" t="n">
        <v>26.2694907403493</v>
      </c>
      <c r="Z442" s="68" t="n">
        <v>78.1666666666667</v>
      </c>
      <c r="AA442" s="70"/>
    </row>
    <row r="443" customFormat="false" ht="14.25" hidden="false" customHeight="false" outlineLevel="0" collapsed="false">
      <c r="A443" s="56"/>
      <c r="B443" s="56"/>
      <c r="C443" s="64" t="n">
        <v>438</v>
      </c>
      <c r="D443" s="71" t="s">
        <v>1145</v>
      </c>
      <c r="E443" s="71" t="s">
        <v>1124</v>
      </c>
      <c r="F443" s="71" t="s">
        <v>1146</v>
      </c>
      <c r="G443" s="66" t="n">
        <v>44</v>
      </c>
      <c r="H443" s="67" t="n">
        <v>0.485</v>
      </c>
      <c r="I443" s="68" t="n">
        <v>310</v>
      </c>
      <c r="J443" s="68" t="n">
        <v>310</v>
      </c>
      <c r="K443" s="68" t="n">
        <v>310</v>
      </c>
      <c r="L443" s="68" t="s">
        <v>199</v>
      </c>
      <c r="M443" s="67" t="n">
        <v>0.2617358</v>
      </c>
      <c r="N443" s="67" t="n">
        <v>0.4266667</v>
      </c>
      <c r="O443" s="67" t="n">
        <v>4.032093</v>
      </c>
      <c r="P443" s="67" t="n">
        <v>0.6727617</v>
      </c>
      <c r="Q443" s="67" t="n">
        <v>1.585629</v>
      </c>
      <c r="R443" s="67" t="n">
        <v>1.852435</v>
      </c>
      <c r="S443" s="68" t="s">
        <v>200</v>
      </c>
      <c r="T443" s="68" t="s">
        <v>201</v>
      </c>
      <c r="U443" s="68" t="s">
        <v>945</v>
      </c>
      <c r="V443" s="69"/>
      <c r="W443" s="68" t="s">
        <v>782</v>
      </c>
      <c r="X443" s="68" t="n">
        <v>0.259124113465511</v>
      </c>
      <c r="Y443" s="68" t="n">
        <v>10.1490277773992</v>
      </c>
      <c r="Z443" s="68" t="n">
        <v>39.1666666666667</v>
      </c>
      <c r="AA443" s="70"/>
    </row>
    <row r="444" customFormat="false" ht="14.25" hidden="false" customHeight="false" outlineLevel="0" collapsed="false">
      <c r="A444" s="56"/>
      <c r="B444" s="56"/>
      <c r="C444" s="64" t="n">
        <v>439</v>
      </c>
      <c r="D444" s="71" t="s">
        <v>1147</v>
      </c>
      <c r="E444" s="71" t="s">
        <v>1146</v>
      </c>
      <c r="F444" s="71" t="s">
        <v>1148</v>
      </c>
      <c r="G444" s="66" t="n">
        <v>44</v>
      </c>
      <c r="H444" s="67" t="n">
        <v>13.23</v>
      </c>
      <c r="I444" s="68" t="n">
        <v>310</v>
      </c>
      <c r="J444" s="68" t="n">
        <v>310</v>
      </c>
      <c r="K444" s="68" t="n">
        <v>310</v>
      </c>
      <c r="L444" s="68" t="s">
        <v>199</v>
      </c>
      <c r="M444" s="67" t="n">
        <v>0.2617358</v>
      </c>
      <c r="N444" s="67" t="n">
        <v>0.4266667</v>
      </c>
      <c r="O444" s="67" t="n">
        <v>4.032093</v>
      </c>
      <c r="P444" s="67" t="n">
        <v>0.6727617</v>
      </c>
      <c r="Q444" s="67" t="n">
        <v>1.585629</v>
      </c>
      <c r="R444" s="67" t="n">
        <v>1.852435</v>
      </c>
      <c r="S444" s="68" t="s">
        <v>200</v>
      </c>
      <c r="T444" s="68" t="s">
        <v>201</v>
      </c>
      <c r="U444" s="68" t="s">
        <v>945</v>
      </c>
      <c r="V444" s="69"/>
      <c r="W444" s="68" t="s">
        <v>782</v>
      </c>
      <c r="X444" s="68" t="n">
        <v>0.259124113465511</v>
      </c>
      <c r="Y444" s="68" t="n">
        <v>10.1490277773992</v>
      </c>
      <c r="Z444" s="68" t="n">
        <v>39.1666666666667</v>
      </c>
      <c r="AA444" s="70"/>
    </row>
    <row r="445" customFormat="false" ht="14.25" hidden="false" customHeight="false" outlineLevel="0" collapsed="false">
      <c r="A445" s="56"/>
      <c r="B445" s="56"/>
      <c r="C445" s="64" t="n">
        <v>440</v>
      </c>
      <c r="D445" s="71" t="s">
        <v>1149</v>
      </c>
      <c r="E445" s="71" t="s">
        <v>1142</v>
      </c>
      <c r="F445" s="71" t="s">
        <v>1150</v>
      </c>
      <c r="G445" s="66" t="n">
        <v>44</v>
      </c>
      <c r="H445" s="67" t="n">
        <v>7.51</v>
      </c>
      <c r="I445" s="68" t="n">
        <v>310</v>
      </c>
      <c r="J445" s="68" t="n">
        <v>310</v>
      </c>
      <c r="K445" s="68" t="n">
        <v>310</v>
      </c>
      <c r="L445" s="68" t="s">
        <v>199</v>
      </c>
      <c r="M445" s="67" t="n">
        <v>0.2617358</v>
      </c>
      <c r="N445" s="67" t="n">
        <v>0.4266667</v>
      </c>
      <c r="O445" s="67" t="n">
        <v>4.032093</v>
      </c>
      <c r="P445" s="67" t="n">
        <v>0.6727617</v>
      </c>
      <c r="Q445" s="67" t="n">
        <v>1.585629</v>
      </c>
      <c r="R445" s="67" t="n">
        <v>1.852435</v>
      </c>
      <c r="S445" s="68" t="s">
        <v>200</v>
      </c>
      <c r="T445" s="68" t="s">
        <v>201</v>
      </c>
      <c r="U445" s="68" t="s">
        <v>945</v>
      </c>
      <c r="V445" s="69"/>
      <c r="W445" s="68" t="s">
        <v>782</v>
      </c>
      <c r="X445" s="68"/>
      <c r="Y445" s="68"/>
      <c r="Z445" s="68"/>
      <c r="AA445" s="70" t="s">
        <v>237</v>
      </c>
    </row>
    <row r="446" customFormat="false" ht="14.25" hidden="false" customHeight="false" outlineLevel="0" collapsed="false">
      <c r="A446" s="56"/>
      <c r="B446" s="56"/>
      <c r="C446" s="64" t="n">
        <v>441</v>
      </c>
      <c r="D446" s="71" t="s">
        <v>1151</v>
      </c>
      <c r="E446" s="71" t="s">
        <v>1152</v>
      </c>
      <c r="F446" s="71" t="s">
        <v>1140</v>
      </c>
      <c r="G446" s="66" t="n">
        <v>44</v>
      </c>
      <c r="H446" s="67" t="n">
        <v>3</v>
      </c>
      <c r="I446" s="68" t="n">
        <v>310</v>
      </c>
      <c r="J446" s="68" t="n">
        <v>310</v>
      </c>
      <c r="K446" s="68" t="n">
        <v>310</v>
      </c>
      <c r="L446" s="68" t="s">
        <v>199</v>
      </c>
      <c r="M446" s="67" t="n">
        <v>0.2617358</v>
      </c>
      <c r="N446" s="67" t="n">
        <v>0.4266667</v>
      </c>
      <c r="O446" s="67" t="n">
        <v>4.032093</v>
      </c>
      <c r="P446" s="67" t="n">
        <v>0.6727617</v>
      </c>
      <c r="Q446" s="67" t="n">
        <v>1.585629</v>
      </c>
      <c r="R446" s="67" t="n">
        <v>1.852435</v>
      </c>
      <c r="S446" s="68" t="s">
        <v>200</v>
      </c>
      <c r="T446" s="68" t="s">
        <v>201</v>
      </c>
      <c r="U446" s="68" t="s">
        <v>945</v>
      </c>
      <c r="V446" s="69"/>
      <c r="W446" s="68" t="s">
        <v>782</v>
      </c>
      <c r="X446" s="68" t="n">
        <v>2.97379960318046</v>
      </c>
      <c r="Y446" s="68" t="n">
        <v>83.2663888890529</v>
      </c>
      <c r="Z446" s="68" t="n">
        <v>28</v>
      </c>
      <c r="AA446" s="70"/>
    </row>
    <row r="447" customFormat="false" ht="14.25" hidden="false" customHeight="false" outlineLevel="0" collapsed="false">
      <c r="A447" s="56"/>
      <c r="B447" s="56"/>
      <c r="C447" s="64" t="n">
        <v>442</v>
      </c>
      <c r="D447" s="71" t="s">
        <v>1153</v>
      </c>
      <c r="E447" s="71" t="s">
        <v>1146</v>
      </c>
      <c r="F447" s="71" t="s">
        <v>1154</v>
      </c>
      <c r="G447" s="66" t="n">
        <v>44</v>
      </c>
      <c r="H447" s="67" t="n">
        <v>14.65</v>
      </c>
      <c r="I447" s="68" t="n">
        <v>310</v>
      </c>
      <c r="J447" s="68" t="n">
        <v>310</v>
      </c>
      <c r="K447" s="68" t="n">
        <v>310</v>
      </c>
      <c r="L447" s="68" t="s">
        <v>199</v>
      </c>
      <c r="M447" s="67" t="n">
        <v>0.2617358</v>
      </c>
      <c r="N447" s="67" t="n">
        <v>0.4266667</v>
      </c>
      <c r="O447" s="67" t="n">
        <v>4.032093</v>
      </c>
      <c r="P447" s="67" t="n">
        <v>0.6727617</v>
      </c>
      <c r="Q447" s="67" t="n">
        <v>1.585629</v>
      </c>
      <c r="R447" s="67" t="n">
        <v>1.852435</v>
      </c>
      <c r="S447" s="68" t="s">
        <v>200</v>
      </c>
      <c r="T447" s="68" t="s">
        <v>201</v>
      </c>
      <c r="U447" s="68" t="s">
        <v>945</v>
      </c>
      <c r="V447" s="69"/>
      <c r="W447" s="68" t="s">
        <v>782</v>
      </c>
      <c r="X447" s="68" t="n">
        <v>0.259124113465511</v>
      </c>
      <c r="Y447" s="68" t="n">
        <v>10.1490277773992</v>
      </c>
      <c r="Z447" s="68" t="n">
        <v>39.1666666666667</v>
      </c>
      <c r="AA447" s="70"/>
    </row>
    <row r="448" customFormat="false" ht="14.25" hidden="false" customHeight="false" outlineLevel="0" collapsed="false">
      <c r="A448" s="56"/>
      <c r="B448" s="56"/>
      <c r="C448" s="64" t="n">
        <v>443</v>
      </c>
      <c r="D448" s="71" t="s">
        <v>1155</v>
      </c>
      <c r="E448" s="71" t="s">
        <v>1156</v>
      </c>
      <c r="F448" s="71" t="s">
        <v>1157</v>
      </c>
      <c r="G448" s="66" t="n">
        <v>110</v>
      </c>
      <c r="H448" s="67" t="n">
        <v>34</v>
      </c>
      <c r="I448" s="68" t="n">
        <v>467</v>
      </c>
      <c r="J448" s="68" t="n">
        <v>667</v>
      </c>
      <c r="K448" s="68" t="n">
        <v>607.1</v>
      </c>
      <c r="L448" s="68" t="s">
        <v>199</v>
      </c>
      <c r="M448" s="67" t="n">
        <v>0.1318</v>
      </c>
      <c r="N448" s="67" t="n">
        <v>0.4842</v>
      </c>
      <c r="O448" s="67" t="n">
        <v>3.395</v>
      </c>
      <c r="P448" s="67" t="n">
        <v>0.3969</v>
      </c>
      <c r="Q448" s="67" t="n">
        <v>1.5689</v>
      </c>
      <c r="R448" s="67" t="n">
        <v>1.8512</v>
      </c>
      <c r="S448" s="68" t="s">
        <v>767</v>
      </c>
      <c r="T448" s="68" t="s">
        <v>201</v>
      </c>
      <c r="U448" s="68" t="s">
        <v>945</v>
      </c>
      <c r="V448" s="69"/>
      <c r="W448" s="68" t="n">
        <v>477</v>
      </c>
      <c r="X448" s="68" t="n">
        <v>4.48415300545004</v>
      </c>
      <c r="Y448" s="68" t="n">
        <v>45.5888888887421</v>
      </c>
      <c r="Z448" s="68" t="n">
        <v>10.1666666666667</v>
      </c>
      <c r="AA448" s="70"/>
    </row>
    <row r="449" customFormat="false" ht="14.25" hidden="false" customHeight="false" outlineLevel="0" collapsed="false">
      <c r="A449" s="56"/>
      <c r="B449" s="56"/>
      <c r="C449" s="64" t="n">
        <v>444</v>
      </c>
      <c r="D449" s="71" t="s">
        <v>1158</v>
      </c>
      <c r="E449" s="71" t="s">
        <v>1156</v>
      </c>
      <c r="F449" s="71" t="s">
        <v>1157</v>
      </c>
      <c r="G449" s="66" t="n">
        <v>110</v>
      </c>
      <c r="H449" s="67" t="n">
        <v>34.8</v>
      </c>
      <c r="I449" s="68" t="n">
        <v>467</v>
      </c>
      <c r="J449" s="68" t="n">
        <v>667</v>
      </c>
      <c r="K449" s="68" t="n">
        <v>607.1</v>
      </c>
      <c r="L449" s="68" t="s">
        <v>199</v>
      </c>
      <c r="M449" s="67" t="n">
        <v>0.1318</v>
      </c>
      <c r="N449" s="67" t="n">
        <v>0.4842</v>
      </c>
      <c r="O449" s="67" t="n">
        <v>3.395</v>
      </c>
      <c r="P449" s="67" t="n">
        <v>0.3969</v>
      </c>
      <c r="Q449" s="67" t="n">
        <v>1.5689</v>
      </c>
      <c r="R449" s="67" t="n">
        <v>1.8512</v>
      </c>
      <c r="S449" s="68" t="s">
        <v>767</v>
      </c>
      <c r="T449" s="68" t="s">
        <v>201</v>
      </c>
      <c r="U449" s="68" t="s">
        <v>945</v>
      </c>
      <c r="V449" s="69"/>
      <c r="W449" s="68" t="n">
        <v>477</v>
      </c>
      <c r="X449" s="68" t="n">
        <v>3.12291666668534</v>
      </c>
      <c r="Y449" s="68" t="n">
        <v>33.3111111113103</v>
      </c>
      <c r="Z449" s="68" t="n">
        <v>10.6666666666667</v>
      </c>
      <c r="AA449" s="70"/>
    </row>
    <row r="450" customFormat="false" ht="14.25" hidden="false" customHeight="false" outlineLevel="0" collapsed="false">
      <c r="A450" s="56"/>
      <c r="B450" s="56"/>
      <c r="C450" s="64" t="n">
        <v>445</v>
      </c>
      <c r="D450" s="71" t="s">
        <v>1159</v>
      </c>
      <c r="E450" s="71" t="s">
        <v>1160</v>
      </c>
      <c r="F450" s="71" t="s">
        <v>1161</v>
      </c>
      <c r="G450" s="66" t="n">
        <v>44</v>
      </c>
      <c r="H450" s="67" t="n">
        <v>24.5</v>
      </c>
      <c r="I450" s="68" t="n">
        <v>310</v>
      </c>
      <c r="J450" s="68" t="n">
        <v>310</v>
      </c>
      <c r="K450" s="68" t="n">
        <v>310</v>
      </c>
      <c r="L450" s="68" t="s">
        <v>199</v>
      </c>
      <c r="M450" s="67" t="n">
        <v>0.2617387</v>
      </c>
      <c r="N450" s="67" t="n">
        <v>0.4265197</v>
      </c>
      <c r="O450" s="67" t="n">
        <v>4.032487</v>
      </c>
      <c r="P450" s="67" t="n">
        <v>0.6412922</v>
      </c>
      <c r="Q450" s="67" t="n">
        <v>1.453752</v>
      </c>
      <c r="R450" s="67" t="n">
        <v>1.860665</v>
      </c>
      <c r="S450" s="68" t="s">
        <v>200</v>
      </c>
      <c r="T450" s="68" t="s">
        <v>201</v>
      </c>
      <c r="U450" s="68" t="s">
        <v>945</v>
      </c>
      <c r="V450" s="69"/>
      <c r="W450" s="68" t="s">
        <v>782</v>
      </c>
      <c r="X450" s="68" t="n">
        <v>3.29361556743768</v>
      </c>
      <c r="Y450" s="68" t="n">
        <v>205.302037036949</v>
      </c>
      <c r="Z450" s="68" t="n">
        <v>62.3333333333333</v>
      </c>
      <c r="AA450" s="70"/>
    </row>
    <row r="451" customFormat="false" ht="14.25" hidden="false" customHeight="false" outlineLevel="0" collapsed="false">
      <c r="A451" s="56"/>
      <c r="B451" s="56"/>
      <c r="C451" s="64" t="n">
        <v>446</v>
      </c>
      <c r="D451" s="71" t="s">
        <v>1162</v>
      </c>
      <c r="E451" s="71" t="s">
        <v>1160</v>
      </c>
      <c r="F451" s="71" t="s">
        <v>1163</v>
      </c>
      <c r="G451" s="66" t="n">
        <v>44</v>
      </c>
      <c r="H451" s="67" t="n">
        <v>5.84</v>
      </c>
      <c r="I451" s="68" t="n">
        <v>310</v>
      </c>
      <c r="J451" s="68" t="n">
        <v>310</v>
      </c>
      <c r="K451" s="68" t="n">
        <v>310</v>
      </c>
      <c r="L451" s="68" t="s">
        <v>199</v>
      </c>
      <c r="M451" s="67" t="n">
        <v>0.2617387</v>
      </c>
      <c r="N451" s="67" t="n">
        <v>0.4265197</v>
      </c>
      <c r="O451" s="67" t="n">
        <v>4.032487</v>
      </c>
      <c r="P451" s="67" t="n">
        <v>0.6412922</v>
      </c>
      <c r="Q451" s="67" t="n">
        <v>1.453752</v>
      </c>
      <c r="R451" s="67" t="n">
        <v>1.860665</v>
      </c>
      <c r="S451" s="68" t="s">
        <v>200</v>
      </c>
      <c r="T451" s="68" t="s">
        <v>201</v>
      </c>
      <c r="U451" s="68" t="s">
        <v>945</v>
      </c>
      <c r="V451" s="69"/>
      <c r="W451" s="68" t="s">
        <v>782</v>
      </c>
      <c r="X451" s="68" t="n">
        <v>1.49531460438051</v>
      </c>
      <c r="Y451" s="68" t="n">
        <v>65.7938425927423</v>
      </c>
      <c r="Z451" s="68" t="n">
        <v>44</v>
      </c>
      <c r="AA451" s="70"/>
    </row>
    <row r="452" customFormat="false" ht="14.25" hidden="false" customHeight="false" outlineLevel="0" collapsed="false">
      <c r="A452" s="56"/>
      <c r="B452" s="56"/>
      <c r="C452" s="64" t="n">
        <v>447</v>
      </c>
      <c r="D452" s="71" t="s">
        <v>1164</v>
      </c>
      <c r="E452" s="71" t="s">
        <v>1156</v>
      </c>
      <c r="F452" s="71" t="s">
        <v>1165</v>
      </c>
      <c r="G452" s="66" t="n">
        <v>44</v>
      </c>
      <c r="H452" s="67" t="n">
        <v>11.612</v>
      </c>
      <c r="I452" s="68" t="n">
        <v>310</v>
      </c>
      <c r="J452" s="68" t="n">
        <v>310</v>
      </c>
      <c r="K452" s="68" t="n">
        <v>310</v>
      </c>
      <c r="L452" s="68" t="s">
        <v>199</v>
      </c>
      <c r="M452" s="67" t="n">
        <v>0.2617387</v>
      </c>
      <c r="N452" s="67" t="n">
        <v>0.4265197</v>
      </c>
      <c r="O452" s="67" t="n">
        <v>4.032487</v>
      </c>
      <c r="P452" s="67" t="n">
        <v>0.6412922</v>
      </c>
      <c r="Q452" s="67" t="n">
        <v>1.453752</v>
      </c>
      <c r="R452" s="67" t="n">
        <v>1.860665</v>
      </c>
      <c r="S452" s="68" t="s">
        <v>200</v>
      </c>
      <c r="T452" s="68" t="s">
        <v>201</v>
      </c>
      <c r="U452" s="68" t="s">
        <v>945</v>
      </c>
      <c r="V452" s="69"/>
      <c r="W452" s="68" t="s">
        <v>782</v>
      </c>
      <c r="X452" s="68" t="n">
        <v>2.51425951718425</v>
      </c>
      <c r="Y452" s="68" t="n">
        <v>180.523833333829</v>
      </c>
      <c r="Z452" s="68" t="n">
        <v>71.8</v>
      </c>
      <c r="AA452" s="70"/>
    </row>
    <row r="453" customFormat="false" ht="14.25" hidden="false" customHeight="false" outlineLevel="0" collapsed="false">
      <c r="A453" s="56"/>
      <c r="B453" s="56"/>
      <c r="C453" s="64" t="n">
        <v>448</v>
      </c>
      <c r="D453" s="71" t="s">
        <v>1166</v>
      </c>
      <c r="E453" s="71" t="s">
        <v>1165</v>
      </c>
      <c r="F453" s="71" t="s">
        <v>1167</v>
      </c>
      <c r="G453" s="66" t="n">
        <v>44</v>
      </c>
      <c r="H453" s="67" t="n">
        <v>3.25</v>
      </c>
      <c r="I453" s="68" t="n">
        <v>310</v>
      </c>
      <c r="J453" s="68" t="n">
        <v>310</v>
      </c>
      <c r="K453" s="68" t="n">
        <v>310</v>
      </c>
      <c r="L453" s="68" t="s">
        <v>199</v>
      </c>
      <c r="M453" s="67" t="n">
        <v>0.2617387</v>
      </c>
      <c r="N453" s="67" t="n">
        <v>0.4265197</v>
      </c>
      <c r="O453" s="67" t="n">
        <v>4.032487</v>
      </c>
      <c r="P453" s="67" t="n">
        <v>0.6412922</v>
      </c>
      <c r="Q453" s="67" t="n">
        <v>1.453752</v>
      </c>
      <c r="R453" s="67" t="n">
        <v>1.860665</v>
      </c>
      <c r="S453" s="68" t="s">
        <v>200</v>
      </c>
      <c r="T453" s="68" t="s">
        <v>201</v>
      </c>
      <c r="U453" s="68" t="s">
        <v>945</v>
      </c>
      <c r="V453" s="69"/>
      <c r="W453" s="68" t="s">
        <v>782</v>
      </c>
      <c r="X453" s="68" t="n">
        <v>2.51425951718425</v>
      </c>
      <c r="Y453" s="68" t="n">
        <v>180.523833333829</v>
      </c>
      <c r="Z453" s="68" t="n">
        <v>71.8</v>
      </c>
      <c r="AA453" s="70"/>
    </row>
    <row r="454" customFormat="false" ht="14.25" hidden="false" customHeight="false" outlineLevel="0" collapsed="false">
      <c r="A454" s="56"/>
      <c r="B454" s="56"/>
      <c r="C454" s="64" t="n">
        <v>449</v>
      </c>
      <c r="D454" s="71" t="s">
        <v>1168</v>
      </c>
      <c r="E454" s="71" t="s">
        <v>1156</v>
      </c>
      <c r="F454" s="71" t="s">
        <v>1169</v>
      </c>
      <c r="G454" s="66" t="n">
        <v>44</v>
      </c>
      <c r="H454" s="67" t="n">
        <v>21.83</v>
      </c>
      <c r="I454" s="68" t="n">
        <v>310</v>
      </c>
      <c r="J454" s="68" t="n">
        <v>310</v>
      </c>
      <c r="K454" s="68" t="n">
        <v>310</v>
      </c>
      <c r="L454" s="68" t="s">
        <v>199</v>
      </c>
      <c r="M454" s="67" t="n">
        <v>0.2617387</v>
      </c>
      <c r="N454" s="67" t="n">
        <v>0.4265197</v>
      </c>
      <c r="O454" s="67" t="n">
        <v>4.032487</v>
      </c>
      <c r="P454" s="67" t="n">
        <v>0.6412922</v>
      </c>
      <c r="Q454" s="67" t="n">
        <v>1.453752</v>
      </c>
      <c r="R454" s="67" t="n">
        <v>1.860665</v>
      </c>
      <c r="S454" s="68" t="s">
        <v>200</v>
      </c>
      <c r="T454" s="68" t="s">
        <v>201</v>
      </c>
      <c r="U454" s="68" t="s">
        <v>945</v>
      </c>
      <c r="V454" s="69"/>
      <c r="W454" s="68" t="s">
        <v>782</v>
      </c>
      <c r="X454" s="68" t="n">
        <v>0.75880216189599</v>
      </c>
      <c r="Y454" s="68" t="n">
        <v>33.5390555558028</v>
      </c>
      <c r="Z454" s="68" t="n">
        <v>44.2</v>
      </c>
      <c r="AA454" s="70"/>
    </row>
    <row r="455" customFormat="false" ht="14.25" hidden="false" customHeight="false" outlineLevel="0" collapsed="false">
      <c r="A455" s="56"/>
      <c r="B455" s="56"/>
      <c r="C455" s="64" t="n">
        <v>450</v>
      </c>
      <c r="D455" s="71" t="s">
        <v>1170</v>
      </c>
      <c r="E455" s="71" t="s">
        <v>1156</v>
      </c>
      <c r="F455" s="71" t="s">
        <v>1171</v>
      </c>
      <c r="G455" s="66" t="n">
        <v>44</v>
      </c>
      <c r="H455" s="67" t="n">
        <v>36.06</v>
      </c>
      <c r="I455" s="68" t="n">
        <v>310</v>
      </c>
      <c r="J455" s="68" t="n">
        <v>310</v>
      </c>
      <c r="K455" s="68" t="n">
        <v>310</v>
      </c>
      <c r="L455" s="68" t="s">
        <v>199</v>
      </c>
      <c r="M455" s="67" t="n">
        <v>0.2617387</v>
      </c>
      <c r="N455" s="67" t="n">
        <v>0.4265197</v>
      </c>
      <c r="O455" s="67" t="n">
        <v>4.032487</v>
      </c>
      <c r="P455" s="67" t="n">
        <v>0.6412922</v>
      </c>
      <c r="Q455" s="67" t="n">
        <v>1.453752</v>
      </c>
      <c r="R455" s="67" t="n">
        <v>1.860665</v>
      </c>
      <c r="S455" s="68" t="s">
        <v>200</v>
      </c>
      <c r="T455" s="68" t="s">
        <v>201</v>
      </c>
      <c r="U455" s="68" t="s">
        <v>945</v>
      </c>
      <c r="V455" s="69"/>
      <c r="W455" s="68" t="s">
        <v>782</v>
      </c>
      <c r="X455" s="68" t="n">
        <v>1.81559960841327</v>
      </c>
      <c r="Y455" s="68" t="n">
        <v>82.4282222219626</v>
      </c>
      <c r="Z455" s="68" t="n">
        <v>45.4</v>
      </c>
      <c r="AA455" s="70"/>
    </row>
    <row r="456" customFormat="false" ht="14.25" hidden="false" customHeight="false" outlineLevel="0" collapsed="false">
      <c r="A456" s="56"/>
      <c r="B456" s="56"/>
      <c r="C456" s="64" t="n">
        <v>451</v>
      </c>
      <c r="D456" s="71" t="s">
        <v>1172</v>
      </c>
      <c r="E456" s="71" t="s">
        <v>1173</v>
      </c>
      <c r="F456" s="71" t="s">
        <v>1174</v>
      </c>
      <c r="G456" s="66" t="n">
        <v>44</v>
      </c>
      <c r="H456" s="67" t="n">
        <v>13.62</v>
      </c>
      <c r="I456" s="68" t="n">
        <v>310</v>
      </c>
      <c r="J456" s="68" t="n">
        <v>310</v>
      </c>
      <c r="K456" s="68" t="n">
        <v>310</v>
      </c>
      <c r="L456" s="68" t="s">
        <v>199</v>
      </c>
      <c r="M456" s="67" t="n">
        <v>0.2617387</v>
      </c>
      <c r="N456" s="67" t="n">
        <v>0.4265197</v>
      </c>
      <c r="O456" s="67" t="n">
        <v>4.032487</v>
      </c>
      <c r="P456" s="67" t="n">
        <v>0.6412922</v>
      </c>
      <c r="Q456" s="67" t="n">
        <v>1.453752</v>
      </c>
      <c r="R456" s="67" t="n">
        <v>1.860665</v>
      </c>
      <c r="S456" s="68" t="s">
        <v>200</v>
      </c>
      <c r="T456" s="68" t="s">
        <v>201</v>
      </c>
      <c r="U456" s="68" t="s">
        <v>945</v>
      </c>
      <c r="V456" s="69"/>
      <c r="W456" s="68" t="s">
        <v>782</v>
      </c>
      <c r="X456" s="68" t="n">
        <v>1.81559960841327</v>
      </c>
      <c r="Y456" s="68" t="n">
        <v>82.4282222219626</v>
      </c>
      <c r="Z456" s="68" t="n">
        <v>45.4</v>
      </c>
      <c r="AA456" s="70"/>
    </row>
    <row r="457" customFormat="false" ht="14.25" hidden="false" customHeight="false" outlineLevel="0" collapsed="false">
      <c r="A457" s="56"/>
      <c r="B457" s="56"/>
      <c r="C457" s="64" t="n">
        <v>452</v>
      </c>
      <c r="D457" s="71" t="s">
        <v>1175</v>
      </c>
      <c r="E457" s="71" t="s">
        <v>1176</v>
      </c>
      <c r="F457" s="71" t="s">
        <v>1177</v>
      </c>
      <c r="G457" s="66" t="n">
        <v>44</v>
      </c>
      <c r="H457" s="67" t="n">
        <v>19.2</v>
      </c>
      <c r="I457" s="68" t="n">
        <v>310</v>
      </c>
      <c r="J457" s="68" t="n">
        <v>310</v>
      </c>
      <c r="K457" s="68" t="n">
        <v>310</v>
      </c>
      <c r="L457" s="68" t="s">
        <v>199</v>
      </c>
      <c r="M457" s="67" t="n">
        <v>0.2617387</v>
      </c>
      <c r="N457" s="67" t="n">
        <v>0.4265197</v>
      </c>
      <c r="O457" s="67" t="n">
        <v>4.032487</v>
      </c>
      <c r="P457" s="67" t="n">
        <v>0.6412922</v>
      </c>
      <c r="Q457" s="67" t="n">
        <v>1.453752</v>
      </c>
      <c r="R457" s="67" t="n">
        <v>1.860665</v>
      </c>
      <c r="S457" s="68" t="s">
        <v>200</v>
      </c>
      <c r="T457" s="68" t="s">
        <v>201</v>
      </c>
      <c r="U457" s="68" t="s">
        <v>945</v>
      </c>
      <c r="V457" s="69"/>
      <c r="W457" s="68" t="s">
        <v>782</v>
      </c>
      <c r="X457" s="68" t="n">
        <v>6.84415606445902</v>
      </c>
      <c r="Y457" s="68" t="n">
        <v>298.861481481377</v>
      </c>
      <c r="Z457" s="68" t="n">
        <v>43.6666666666667</v>
      </c>
      <c r="AA457" s="70"/>
    </row>
    <row r="458" customFormat="false" ht="14.25" hidden="false" customHeight="false" outlineLevel="0" collapsed="false">
      <c r="A458" s="56"/>
      <c r="B458" s="56"/>
      <c r="C458" s="64" t="n">
        <v>453</v>
      </c>
      <c r="D458" s="71" t="s">
        <v>1178</v>
      </c>
      <c r="E458" s="71" t="s">
        <v>1179</v>
      </c>
      <c r="F458" s="71" t="s">
        <v>1180</v>
      </c>
      <c r="G458" s="66" t="n">
        <v>44</v>
      </c>
      <c r="H458" s="67" t="n">
        <v>25.93</v>
      </c>
      <c r="I458" s="68" t="n">
        <v>310</v>
      </c>
      <c r="J458" s="68" t="n">
        <v>310</v>
      </c>
      <c r="K458" s="68" t="n">
        <v>310</v>
      </c>
      <c r="L458" s="68" t="s">
        <v>199</v>
      </c>
      <c r="M458" s="67" t="n">
        <v>0.2617387</v>
      </c>
      <c r="N458" s="67" t="n">
        <v>0.4265197</v>
      </c>
      <c r="O458" s="67" t="n">
        <v>4.032487</v>
      </c>
      <c r="P458" s="67" t="n">
        <v>0.6412922</v>
      </c>
      <c r="Q458" s="67" t="n">
        <v>1.453752</v>
      </c>
      <c r="R458" s="67" t="n">
        <v>1.860665</v>
      </c>
      <c r="S458" s="68" t="s">
        <v>200</v>
      </c>
      <c r="T458" s="68" t="s">
        <v>201</v>
      </c>
      <c r="U458" s="68" t="s">
        <v>945</v>
      </c>
      <c r="V458" s="69"/>
      <c r="W458" s="68" t="s">
        <v>782</v>
      </c>
      <c r="X458" s="68" t="n">
        <v>2.51425951718425</v>
      </c>
      <c r="Y458" s="68" t="n">
        <v>180.523833333829</v>
      </c>
      <c r="Z458" s="68" t="n">
        <v>71.8</v>
      </c>
      <c r="AA458" s="70"/>
    </row>
    <row r="459" customFormat="false" ht="14.25" hidden="false" customHeight="false" outlineLevel="0" collapsed="false">
      <c r="A459" s="56"/>
      <c r="B459" s="56"/>
      <c r="C459" s="64" t="n">
        <v>454</v>
      </c>
      <c r="D459" s="71" t="s">
        <v>1181</v>
      </c>
      <c r="E459" s="71" t="s">
        <v>1182</v>
      </c>
      <c r="F459" s="71" t="s">
        <v>1183</v>
      </c>
      <c r="G459" s="66" t="n">
        <v>44</v>
      </c>
      <c r="H459" s="67" t="n">
        <v>14.3</v>
      </c>
      <c r="I459" s="68" t="n">
        <v>310</v>
      </c>
      <c r="J459" s="68" t="n">
        <v>310</v>
      </c>
      <c r="K459" s="68" t="n">
        <v>310</v>
      </c>
      <c r="L459" s="68" t="s">
        <v>199</v>
      </c>
      <c r="M459" s="67" t="n">
        <v>0.2617387</v>
      </c>
      <c r="N459" s="67" t="n">
        <v>0.4265197</v>
      </c>
      <c r="O459" s="67" t="n">
        <v>4.032487</v>
      </c>
      <c r="P459" s="67" t="n">
        <v>0.6412922</v>
      </c>
      <c r="Q459" s="67" t="n">
        <v>1.453752</v>
      </c>
      <c r="R459" s="67" t="n">
        <v>1.860665</v>
      </c>
      <c r="S459" s="68" t="s">
        <v>200</v>
      </c>
      <c r="T459" s="68" t="s">
        <v>201</v>
      </c>
      <c r="U459" s="68" t="s">
        <v>945</v>
      </c>
      <c r="V459" s="69"/>
      <c r="W459" s="68" t="s">
        <v>782</v>
      </c>
      <c r="X459" s="68" t="n">
        <v>2.51425951718425</v>
      </c>
      <c r="Y459" s="68" t="n">
        <v>180.523833333829</v>
      </c>
      <c r="Z459" s="68" t="n">
        <v>71.8</v>
      </c>
      <c r="AA459" s="70"/>
    </row>
    <row r="460" customFormat="false" ht="14.25" hidden="false" customHeight="false" outlineLevel="0" collapsed="false">
      <c r="A460" s="56"/>
      <c r="B460" s="56"/>
      <c r="C460" s="64" t="n">
        <v>455</v>
      </c>
      <c r="D460" s="71" t="s">
        <v>1184</v>
      </c>
      <c r="E460" s="71" t="s">
        <v>1185</v>
      </c>
      <c r="F460" s="71" t="s">
        <v>1186</v>
      </c>
      <c r="G460" s="66" t="n">
        <v>44</v>
      </c>
      <c r="H460" s="67" t="n">
        <v>12.84</v>
      </c>
      <c r="I460" s="68" t="n">
        <v>310</v>
      </c>
      <c r="J460" s="68" t="n">
        <v>310</v>
      </c>
      <c r="K460" s="68" t="n">
        <v>310</v>
      </c>
      <c r="L460" s="68" t="s">
        <v>199</v>
      </c>
      <c r="M460" s="67" t="n">
        <v>0.2617387</v>
      </c>
      <c r="N460" s="67" t="n">
        <v>0.4265197</v>
      </c>
      <c r="O460" s="67" t="n">
        <v>4.032487</v>
      </c>
      <c r="P460" s="67" t="n">
        <v>0.6412922</v>
      </c>
      <c r="Q460" s="67" t="n">
        <v>1.453752</v>
      </c>
      <c r="R460" s="67" t="n">
        <v>1.860665</v>
      </c>
      <c r="S460" s="68" t="s">
        <v>200</v>
      </c>
      <c r="T460" s="68" t="s">
        <v>201</v>
      </c>
      <c r="U460" s="68" t="s">
        <v>945</v>
      </c>
      <c r="V460" s="69"/>
      <c r="W460" s="68" t="s">
        <v>782</v>
      </c>
      <c r="X460" s="68" t="n">
        <v>1.49531460438051</v>
      </c>
      <c r="Y460" s="68" t="n">
        <v>65.7938425927423</v>
      </c>
      <c r="Z460" s="68" t="n">
        <v>44</v>
      </c>
      <c r="AA460" s="70"/>
    </row>
    <row r="461" customFormat="false" ht="14.25" hidden="false" customHeight="false" outlineLevel="0" collapsed="false">
      <c r="A461" s="56"/>
      <c r="B461" s="56"/>
      <c r="C461" s="64" t="n">
        <v>456</v>
      </c>
      <c r="D461" s="71" t="s">
        <v>1187</v>
      </c>
      <c r="E461" s="71" t="s">
        <v>1185</v>
      </c>
      <c r="F461" s="71" t="s">
        <v>1176</v>
      </c>
      <c r="G461" s="66" t="n">
        <v>44</v>
      </c>
      <c r="H461" s="67" t="n">
        <v>24.2300004</v>
      </c>
      <c r="I461" s="68" t="n">
        <v>310</v>
      </c>
      <c r="J461" s="68" t="n">
        <v>310</v>
      </c>
      <c r="K461" s="68" t="n">
        <v>310</v>
      </c>
      <c r="L461" s="68" t="s">
        <v>199</v>
      </c>
      <c r="M461" s="67" t="n">
        <v>0.2617387</v>
      </c>
      <c r="N461" s="67" t="n">
        <v>0.4265197</v>
      </c>
      <c r="O461" s="67" t="n">
        <v>4.032487</v>
      </c>
      <c r="P461" s="67" t="n">
        <v>0.6412922</v>
      </c>
      <c r="Q461" s="67" t="n">
        <v>1.453752</v>
      </c>
      <c r="R461" s="67" t="n">
        <v>1.860665</v>
      </c>
      <c r="S461" s="68" t="s">
        <v>200</v>
      </c>
      <c r="T461" s="68" t="s">
        <v>201</v>
      </c>
      <c r="U461" s="68" t="s">
        <v>945</v>
      </c>
      <c r="V461" s="69"/>
      <c r="W461" s="68" t="s">
        <v>782</v>
      </c>
      <c r="X461" s="68" t="n">
        <v>1.49531460438051</v>
      </c>
      <c r="Y461" s="68" t="n">
        <v>65.7938425927423</v>
      </c>
      <c r="Z461" s="68" t="n">
        <v>44</v>
      </c>
      <c r="AA461" s="70"/>
    </row>
    <row r="462" customFormat="false" ht="14.25" hidden="false" customHeight="false" outlineLevel="0" collapsed="false">
      <c r="A462" s="56"/>
      <c r="B462" s="56"/>
      <c r="C462" s="64" t="n">
        <v>457</v>
      </c>
      <c r="D462" s="71" t="s">
        <v>1188</v>
      </c>
      <c r="E462" s="71" t="s">
        <v>1189</v>
      </c>
      <c r="F462" s="71" t="s">
        <v>1160</v>
      </c>
      <c r="G462" s="66" t="n">
        <v>44</v>
      </c>
      <c r="H462" s="67" t="n">
        <v>17.8</v>
      </c>
      <c r="I462" s="68" t="n">
        <v>310</v>
      </c>
      <c r="J462" s="68" t="n">
        <v>310</v>
      </c>
      <c r="K462" s="68" t="n">
        <v>310</v>
      </c>
      <c r="L462" s="68" t="s">
        <v>199</v>
      </c>
      <c r="M462" s="67" t="n">
        <v>0.2617387</v>
      </c>
      <c r="N462" s="67" t="n">
        <v>0.4265197</v>
      </c>
      <c r="O462" s="67" t="n">
        <v>4.032487</v>
      </c>
      <c r="P462" s="67" t="n">
        <v>0.6412922</v>
      </c>
      <c r="Q462" s="67" t="n">
        <v>1.453752</v>
      </c>
      <c r="R462" s="67" t="n">
        <v>1.860665</v>
      </c>
      <c r="S462" s="68" t="s">
        <v>200</v>
      </c>
      <c r="T462" s="68" t="s">
        <v>201</v>
      </c>
      <c r="U462" s="68" t="s">
        <v>945</v>
      </c>
      <c r="V462" s="69"/>
      <c r="W462" s="68" t="s">
        <v>782</v>
      </c>
      <c r="X462" s="68" t="n">
        <v>0.75880216189599</v>
      </c>
      <c r="Y462" s="68" t="n">
        <v>33.5390555558028</v>
      </c>
      <c r="Z462" s="68" t="n">
        <v>44.2</v>
      </c>
      <c r="AA462" s="70"/>
    </row>
    <row r="463" customFormat="false" ht="14.25" hidden="false" customHeight="false" outlineLevel="0" collapsed="false">
      <c r="A463" s="56"/>
      <c r="B463" s="56"/>
      <c r="C463" s="64" t="n">
        <v>458</v>
      </c>
      <c r="D463" s="71" t="s">
        <v>1190</v>
      </c>
      <c r="E463" s="71" t="s">
        <v>1191</v>
      </c>
      <c r="F463" s="71" t="s">
        <v>1192</v>
      </c>
      <c r="G463" s="66" t="n">
        <v>44</v>
      </c>
      <c r="H463" s="67" t="n">
        <v>17.01</v>
      </c>
      <c r="I463" s="68" t="n">
        <v>310</v>
      </c>
      <c r="J463" s="68" t="n">
        <v>310</v>
      </c>
      <c r="K463" s="68" t="n">
        <v>310</v>
      </c>
      <c r="L463" s="68" t="s">
        <v>199</v>
      </c>
      <c r="M463" s="67" t="n">
        <v>0.2617387</v>
      </c>
      <c r="N463" s="67" t="n">
        <v>0.4265197</v>
      </c>
      <c r="O463" s="67" t="n">
        <v>4.032487</v>
      </c>
      <c r="P463" s="67" t="n">
        <v>0.6412922</v>
      </c>
      <c r="Q463" s="67" t="n">
        <v>1.453752</v>
      </c>
      <c r="R463" s="67" t="n">
        <v>1.860665</v>
      </c>
      <c r="S463" s="68" t="s">
        <v>200</v>
      </c>
      <c r="T463" s="68" t="s">
        <v>201</v>
      </c>
      <c r="U463" s="68" t="s">
        <v>945</v>
      </c>
      <c r="V463" s="69"/>
      <c r="W463" s="68" t="s">
        <v>782</v>
      </c>
      <c r="X463" s="68" t="n">
        <v>1.81559960841327</v>
      </c>
      <c r="Y463" s="68" t="n">
        <v>82.4282222219626</v>
      </c>
      <c r="Z463" s="68" t="n">
        <v>45.4</v>
      </c>
      <c r="AA463" s="70"/>
    </row>
    <row r="464" customFormat="false" ht="14.25" hidden="false" customHeight="false" outlineLevel="0" collapsed="false">
      <c r="A464" s="56"/>
      <c r="B464" s="56"/>
      <c r="C464" s="64" t="n">
        <v>459</v>
      </c>
      <c r="D464" s="71" t="s">
        <v>1193</v>
      </c>
      <c r="E464" s="71" t="s">
        <v>1194</v>
      </c>
      <c r="F464" s="71" t="s">
        <v>1195</v>
      </c>
      <c r="G464" s="65" t="n">
        <v>110</v>
      </c>
      <c r="H464" s="68" t="n">
        <v>20.1</v>
      </c>
      <c r="I464" s="68" t="n">
        <v>630</v>
      </c>
      <c r="J464" s="68" t="n">
        <v>900</v>
      </c>
      <c r="K464" s="68" t="n">
        <v>819</v>
      </c>
      <c r="L464" s="68" t="s">
        <v>199</v>
      </c>
      <c r="M464" s="67" t="n">
        <v>0.0798</v>
      </c>
      <c r="N464" s="68" t="n">
        <v>0.4594</v>
      </c>
      <c r="O464" s="68" t="n">
        <v>3.6339</v>
      </c>
      <c r="P464" s="68" t="n">
        <v>0.3542</v>
      </c>
      <c r="Q464" s="68" t="n">
        <v>1.5568</v>
      </c>
      <c r="R464" s="67" t="n">
        <v>2.0083</v>
      </c>
      <c r="S464" s="68" t="s">
        <v>767</v>
      </c>
      <c r="T464" s="68" t="s">
        <v>201</v>
      </c>
      <c r="U464" s="68" t="s">
        <v>945</v>
      </c>
      <c r="V464" s="69"/>
      <c r="W464" s="68"/>
      <c r="X464" s="68" t="n">
        <v>12.3132183907839</v>
      </c>
      <c r="Y464" s="68" t="n">
        <v>59.5138888887886</v>
      </c>
      <c r="Z464" s="68" t="n">
        <v>4.83333333333333</v>
      </c>
      <c r="AA464" s="70"/>
    </row>
    <row r="465" customFormat="false" ht="14.25" hidden="false" customHeight="false" outlineLevel="0" collapsed="false">
      <c r="A465" s="56"/>
      <c r="B465" s="56"/>
      <c r="C465" s="64" t="n">
        <v>460</v>
      </c>
      <c r="D465" s="71" t="s">
        <v>1196</v>
      </c>
      <c r="E465" s="71" t="s">
        <v>1194</v>
      </c>
      <c r="F465" s="71" t="s">
        <v>1197</v>
      </c>
      <c r="G465" s="65" t="n">
        <v>110</v>
      </c>
      <c r="H465" s="68" t="n">
        <v>5.7</v>
      </c>
      <c r="I465" s="68" t="n">
        <v>467</v>
      </c>
      <c r="J465" s="68" t="n">
        <v>667</v>
      </c>
      <c r="K465" s="68" t="n">
        <v>467</v>
      </c>
      <c r="L465" s="68" t="s">
        <v>199</v>
      </c>
      <c r="M465" s="67" t="n">
        <v>0.1342</v>
      </c>
      <c r="N465" s="68" t="n">
        <v>0.4374</v>
      </c>
      <c r="O465" s="68" t="n">
        <v>3.8347</v>
      </c>
      <c r="P465" s="68" t="n">
        <v>0.4073</v>
      </c>
      <c r="Q465" s="68" t="n">
        <v>1.597</v>
      </c>
      <c r="R465" s="67" t="n">
        <v>1.7548</v>
      </c>
      <c r="S465" s="68" t="s">
        <v>767</v>
      </c>
      <c r="T465" s="68" t="s">
        <v>201</v>
      </c>
      <c r="U465" s="68" t="s">
        <v>945</v>
      </c>
      <c r="V465" s="69"/>
      <c r="W465" s="68"/>
      <c r="X465" s="68" t="n">
        <v>36.0717948717871</v>
      </c>
      <c r="Y465" s="68" t="n">
        <v>234.466666666616</v>
      </c>
      <c r="Z465" s="68" t="n">
        <v>6.5</v>
      </c>
      <c r="AA465" s="77"/>
      <c r="AB465" s="78"/>
    </row>
    <row r="466" customFormat="false" ht="14.25" hidden="false" customHeight="false" outlineLevel="0" collapsed="false">
      <c r="A466" s="56"/>
      <c r="B466" s="56"/>
      <c r="C466" s="64" t="n">
        <v>461</v>
      </c>
      <c r="D466" s="71" t="s">
        <v>1198</v>
      </c>
      <c r="E466" s="71" t="s">
        <v>1194</v>
      </c>
      <c r="F466" s="71" t="s">
        <v>1199</v>
      </c>
      <c r="G466" s="65" t="n">
        <v>110</v>
      </c>
      <c r="H466" s="68" t="n">
        <v>10</v>
      </c>
      <c r="I466" s="68" t="n">
        <v>467</v>
      </c>
      <c r="J466" s="68" t="n">
        <v>667</v>
      </c>
      <c r="K466" s="68" t="n">
        <v>467</v>
      </c>
      <c r="L466" s="68" t="s">
        <v>199</v>
      </c>
      <c r="M466" s="67" t="n">
        <v>0.1342</v>
      </c>
      <c r="N466" s="68" t="n">
        <v>0.4374</v>
      </c>
      <c r="O466" s="68" t="n">
        <v>3.8347</v>
      </c>
      <c r="P466" s="68" t="n">
        <v>0.4073</v>
      </c>
      <c r="Q466" s="68" t="n">
        <v>1.597</v>
      </c>
      <c r="R466" s="67" t="n">
        <v>1.7548</v>
      </c>
      <c r="S466" s="68" t="s">
        <v>767</v>
      </c>
      <c r="T466" s="68" t="s">
        <v>201</v>
      </c>
      <c r="U466" s="68" t="s">
        <v>945</v>
      </c>
      <c r="V466" s="69"/>
      <c r="W466" s="68"/>
      <c r="X466" s="68" t="n">
        <v>40.5301075268785</v>
      </c>
      <c r="Y466" s="68" t="n">
        <v>209.405555555539</v>
      </c>
      <c r="Z466" s="68" t="n">
        <v>5.16666666666667</v>
      </c>
      <c r="AA466" s="70" t="s">
        <v>1200</v>
      </c>
    </row>
    <row r="467" customFormat="false" ht="14.25" hidden="false" customHeight="false" outlineLevel="0" collapsed="false">
      <c r="B467" s="56"/>
      <c r="C467" s="64" t="n">
        <v>462</v>
      </c>
      <c r="D467" s="71" t="s">
        <v>1201</v>
      </c>
      <c r="E467" s="71" t="s">
        <v>1194</v>
      </c>
      <c r="F467" s="71" t="s">
        <v>1202</v>
      </c>
      <c r="G467" s="65" t="n">
        <v>110</v>
      </c>
      <c r="H467" s="68" t="n">
        <v>9.93</v>
      </c>
      <c r="I467" s="68" t="n">
        <v>467</v>
      </c>
      <c r="J467" s="68" t="n">
        <v>667</v>
      </c>
      <c r="K467" s="68" t="n">
        <v>467</v>
      </c>
      <c r="L467" s="68" t="s">
        <v>199</v>
      </c>
      <c r="M467" s="67" t="n">
        <v>0.1342</v>
      </c>
      <c r="N467" s="68" t="n">
        <v>0.4374</v>
      </c>
      <c r="O467" s="68" t="n">
        <v>3.8347</v>
      </c>
      <c r="P467" s="68" t="n">
        <v>0.4073</v>
      </c>
      <c r="Q467" s="68" t="n">
        <v>1.597</v>
      </c>
      <c r="R467" s="67" t="n">
        <v>1.7548</v>
      </c>
      <c r="S467" s="68" t="s">
        <v>767</v>
      </c>
      <c r="T467" s="68" t="s">
        <v>201</v>
      </c>
      <c r="U467" s="68" t="s">
        <v>771</v>
      </c>
      <c r="V467" s="69" t="n">
        <v>45260</v>
      </c>
      <c r="W467" s="68"/>
      <c r="X467" s="68"/>
      <c r="Y467" s="68"/>
      <c r="Z467" s="68"/>
      <c r="AA467" s="70"/>
    </row>
    <row r="468" customFormat="false" ht="14.25" hidden="false" customHeight="false" outlineLevel="0" collapsed="false">
      <c r="B468" s="56"/>
      <c r="C468" s="64" t="n">
        <v>463</v>
      </c>
      <c r="D468" s="71" t="s">
        <v>1203</v>
      </c>
      <c r="E468" s="71" t="s">
        <v>1202</v>
      </c>
      <c r="F468" s="71" t="s">
        <v>1199</v>
      </c>
      <c r="G468" s="65" t="n">
        <v>110</v>
      </c>
      <c r="H468" s="68" t="n">
        <v>3.93</v>
      </c>
      <c r="I468" s="68" t="n">
        <v>467</v>
      </c>
      <c r="J468" s="68" t="n">
        <v>667</v>
      </c>
      <c r="K468" s="68" t="n">
        <v>467</v>
      </c>
      <c r="L468" s="68" t="s">
        <v>199</v>
      </c>
      <c r="M468" s="67" t="n">
        <v>0.1342</v>
      </c>
      <c r="N468" s="68" t="n">
        <v>0.4374</v>
      </c>
      <c r="O468" s="68" t="n">
        <v>3.8347</v>
      </c>
      <c r="P468" s="68" t="n">
        <v>0.4073</v>
      </c>
      <c r="Q468" s="68" t="n">
        <v>1.597</v>
      </c>
      <c r="R468" s="67" t="n">
        <v>1.7548</v>
      </c>
      <c r="S468" s="68" t="s">
        <v>767</v>
      </c>
      <c r="T468" s="68" t="s">
        <v>201</v>
      </c>
      <c r="U468" s="68" t="s">
        <v>771</v>
      </c>
      <c r="V468" s="69" t="n">
        <v>45260</v>
      </c>
      <c r="W468" s="68"/>
      <c r="X468" s="68"/>
      <c r="Y468" s="68"/>
      <c r="Z468" s="68"/>
      <c r="AA468" s="70"/>
    </row>
    <row r="469" customFormat="false" ht="14.25" hidden="false" customHeight="false" outlineLevel="0" collapsed="false">
      <c r="A469" s="56"/>
      <c r="B469" s="56"/>
      <c r="C469" s="64" t="n">
        <v>464</v>
      </c>
      <c r="D469" s="71" t="s">
        <v>1204</v>
      </c>
      <c r="E469" s="71" t="s">
        <v>1205</v>
      </c>
      <c r="F469" s="71" t="s">
        <v>927</v>
      </c>
      <c r="G469" s="65" t="n">
        <v>110</v>
      </c>
      <c r="H469" s="68" t="n">
        <v>45</v>
      </c>
      <c r="I469" s="68" t="n">
        <v>467</v>
      </c>
      <c r="J469" s="68" t="n">
        <v>667</v>
      </c>
      <c r="K469" s="68" t="n">
        <v>607.1</v>
      </c>
      <c r="L469" s="68" t="s">
        <v>199</v>
      </c>
      <c r="M469" s="67" t="n">
        <v>0.1318</v>
      </c>
      <c r="N469" s="68" t="n">
        <v>0.4787</v>
      </c>
      <c r="O469" s="68" t="n">
        <v>3.4793</v>
      </c>
      <c r="P469" s="68" t="n">
        <v>0.4062</v>
      </c>
      <c r="Q469" s="68" t="n">
        <v>1.576</v>
      </c>
      <c r="R469" s="67" t="n">
        <v>1.9612</v>
      </c>
      <c r="S469" s="68" t="s">
        <v>767</v>
      </c>
      <c r="T469" s="68" t="s">
        <v>201</v>
      </c>
      <c r="U469" s="68" t="s">
        <v>945</v>
      </c>
      <c r="V469" s="69"/>
      <c r="W469" s="68"/>
      <c r="X469" s="68" t="n">
        <v>3.69353632478633</v>
      </c>
      <c r="Y469" s="68" t="n">
        <v>16.0053240740741</v>
      </c>
      <c r="Z469" s="68" t="n">
        <v>4.33333333333333</v>
      </c>
      <c r="AA469" s="70"/>
    </row>
    <row r="470" customFormat="false" ht="14.25" hidden="false" customHeight="false" outlineLevel="0" collapsed="false">
      <c r="A470" s="56"/>
      <c r="B470" s="56"/>
      <c r="C470" s="64" t="n">
        <v>465</v>
      </c>
      <c r="D470" s="71" t="s">
        <v>1206</v>
      </c>
      <c r="E470" s="71" t="s">
        <v>1205</v>
      </c>
      <c r="F470" s="71" t="s">
        <v>1207</v>
      </c>
      <c r="G470" s="65" t="n">
        <v>110</v>
      </c>
      <c r="H470" s="68" t="n">
        <v>15.8</v>
      </c>
      <c r="I470" s="68" t="n">
        <v>467</v>
      </c>
      <c r="J470" s="68" t="n">
        <v>667</v>
      </c>
      <c r="K470" s="68" t="n">
        <v>607.1</v>
      </c>
      <c r="L470" s="68" t="s">
        <v>199</v>
      </c>
      <c r="M470" s="67" t="n">
        <v>0.1318</v>
      </c>
      <c r="N470" s="68" t="n">
        <v>0.4787</v>
      </c>
      <c r="O470" s="68" t="n">
        <v>3.4793</v>
      </c>
      <c r="P470" s="68" t="n">
        <v>0.4088</v>
      </c>
      <c r="Q470" s="68" t="n">
        <v>1.587</v>
      </c>
      <c r="R470" s="67" t="n">
        <v>1.9472</v>
      </c>
      <c r="S470" s="68" t="s">
        <v>767</v>
      </c>
      <c r="T470" s="68" t="s">
        <v>201</v>
      </c>
      <c r="U470" s="68" t="s">
        <v>945</v>
      </c>
      <c r="V470" s="69"/>
      <c r="W470" s="68"/>
      <c r="X470" s="68" t="n">
        <v>42.6881944444394</v>
      </c>
      <c r="Y470" s="68" t="n">
        <v>170.752777777758</v>
      </c>
      <c r="Z470" s="68" t="n">
        <v>4</v>
      </c>
      <c r="AA470" s="70"/>
    </row>
    <row r="471" customFormat="false" ht="14.25" hidden="false" customHeight="false" outlineLevel="0" collapsed="false">
      <c r="A471" s="56"/>
      <c r="B471" s="56"/>
      <c r="C471" s="64" t="n">
        <v>466</v>
      </c>
      <c r="D471" s="71" t="s">
        <v>1208</v>
      </c>
      <c r="E471" s="71" t="s">
        <v>1195</v>
      </c>
      <c r="F471" s="71" t="s">
        <v>1209</v>
      </c>
      <c r="G471" s="65" t="n">
        <v>110</v>
      </c>
      <c r="H471" s="68" t="n">
        <v>6.4</v>
      </c>
      <c r="I471" s="68" t="n">
        <v>630</v>
      </c>
      <c r="J471" s="68" t="n">
        <v>900</v>
      </c>
      <c r="K471" s="68" t="n">
        <v>819</v>
      </c>
      <c r="L471" s="68" t="s">
        <v>199</v>
      </c>
      <c r="M471" s="67" t="n">
        <v>0.0798</v>
      </c>
      <c r="N471" s="68" t="n">
        <v>0.4594</v>
      </c>
      <c r="O471" s="68" t="n">
        <v>3.6339</v>
      </c>
      <c r="P471" s="68" t="n">
        <v>0.3647</v>
      </c>
      <c r="Q471" s="68" t="n">
        <v>1.5645</v>
      </c>
      <c r="R471" s="67" t="n">
        <v>1.8724</v>
      </c>
      <c r="S471" s="68" t="s">
        <v>767</v>
      </c>
      <c r="T471" s="68" t="s">
        <v>201</v>
      </c>
      <c r="U471" s="68" t="s">
        <v>945</v>
      </c>
      <c r="V471" s="69"/>
      <c r="W471" s="68"/>
      <c r="X471" s="68" t="n">
        <v>19.2166666666511</v>
      </c>
      <c r="Y471" s="68" t="n">
        <v>32.0277777777519</v>
      </c>
      <c r="Z471" s="68" t="n">
        <v>1.66666666666667</v>
      </c>
      <c r="AA471" s="70"/>
    </row>
    <row r="472" customFormat="false" ht="14.25" hidden="false" customHeight="false" outlineLevel="0" collapsed="false">
      <c r="A472" s="56"/>
      <c r="B472" s="56"/>
      <c r="C472" s="64" t="n">
        <v>467</v>
      </c>
      <c r="D472" s="71" t="s">
        <v>1210</v>
      </c>
      <c r="E472" s="71" t="s">
        <v>1195</v>
      </c>
      <c r="F472" s="71" t="s">
        <v>1211</v>
      </c>
      <c r="G472" s="65" t="n">
        <v>110</v>
      </c>
      <c r="H472" s="68" t="n">
        <v>7.1</v>
      </c>
      <c r="I472" s="68" t="n">
        <v>630</v>
      </c>
      <c r="J472" s="68" t="n">
        <v>900</v>
      </c>
      <c r="K472" s="68" t="n">
        <v>819</v>
      </c>
      <c r="L472" s="68" t="s">
        <v>199</v>
      </c>
      <c r="M472" s="67" t="n">
        <v>0.0798</v>
      </c>
      <c r="N472" s="68" t="n">
        <v>0.4594</v>
      </c>
      <c r="O472" s="68" t="n">
        <v>3.6339</v>
      </c>
      <c r="P472" s="68" t="n">
        <v>0.3542</v>
      </c>
      <c r="Q472" s="68" t="n">
        <v>1.5568</v>
      </c>
      <c r="R472" s="67" t="n">
        <v>2.0083</v>
      </c>
      <c r="S472" s="68" t="s">
        <v>767</v>
      </c>
      <c r="T472" s="68" t="s">
        <v>201</v>
      </c>
      <c r="U472" s="68" t="s">
        <v>945</v>
      </c>
      <c r="V472" s="69"/>
      <c r="W472" s="68"/>
      <c r="X472" s="68" t="n">
        <v>21.5097222221812</v>
      </c>
      <c r="Y472" s="68" t="n">
        <v>43.0194444443623</v>
      </c>
      <c r="Z472" s="68" t="n">
        <v>2</v>
      </c>
      <c r="AA472" s="70"/>
    </row>
    <row r="473" customFormat="false" ht="14.25" hidden="false" customHeight="false" outlineLevel="0" collapsed="false">
      <c r="A473" s="56"/>
      <c r="B473" s="56"/>
      <c r="C473" s="64" t="n">
        <v>468</v>
      </c>
      <c r="D473" s="71" t="s">
        <v>1212</v>
      </c>
      <c r="E473" s="71" t="s">
        <v>1195</v>
      </c>
      <c r="F473" s="71" t="s">
        <v>819</v>
      </c>
      <c r="G473" s="65" t="n">
        <v>110</v>
      </c>
      <c r="H473" s="68" t="n">
        <v>15</v>
      </c>
      <c r="I473" s="68" t="n">
        <v>630</v>
      </c>
      <c r="J473" s="68" t="n">
        <v>900</v>
      </c>
      <c r="K473" s="68" t="n">
        <v>819</v>
      </c>
      <c r="L473" s="68" t="s">
        <v>199</v>
      </c>
      <c r="M473" s="67" t="n">
        <v>0.0798</v>
      </c>
      <c r="N473" s="68" t="n">
        <v>0.4594</v>
      </c>
      <c r="O473" s="68" t="n">
        <v>3.6339</v>
      </c>
      <c r="P473" s="68" t="n">
        <v>0.3542</v>
      </c>
      <c r="Q473" s="68" t="n">
        <v>1.5568</v>
      </c>
      <c r="R473" s="67" t="n">
        <v>2.0083</v>
      </c>
      <c r="S473" s="68" t="s">
        <v>767</v>
      </c>
      <c r="T473" s="68" t="s">
        <v>201</v>
      </c>
      <c r="U473" s="68" t="s">
        <v>945</v>
      </c>
      <c r="V473" s="69"/>
      <c r="W473" s="68"/>
      <c r="X473" s="68" t="n">
        <v>32.681578947369</v>
      </c>
      <c r="Y473" s="68" t="n">
        <v>103.491666666669</v>
      </c>
      <c r="Z473" s="68" t="n">
        <v>3.16666666666667</v>
      </c>
      <c r="AA473" s="70"/>
    </row>
    <row r="474" customFormat="false" ht="14.25" hidden="false" customHeight="false" outlineLevel="0" collapsed="false">
      <c r="A474" s="56"/>
      <c r="B474" s="56"/>
      <c r="C474" s="64" t="n">
        <v>469</v>
      </c>
      <c r="D474" s="71" t="s">
        <v>1213</v>
      </c>
      <c r="E474" s="71" t="s">
        <v>1214</v>
      </c>
      <c r="F474" s="71" t="s">
        <v>1215</v>
      </c>
      <c r="G474" s="65" t="n">
        <v>110</v>
      </c>
      <c r="H474" s="68" t="n">
        <v>7.89</v>
      </c>
      <c r="I474" s="68" t="n">
        <v>467</v>
      </c>
      <c r="J474" s="68" t="n">
        <v>667</v>
      </c>
      <c r="K474" s="68" t="n">
        <v>607.1</v>
      </c>
      <c r="L474" s="68" t="s">
        <v>199</v>
      </c>
      <c r="M474" s="67" t="n">
        <v>0.1318</v>
      </c>
      <c r="N474" s="68" t="n">
        <v>0.4787</v>
      </c>
      <c r="O474" s="68" t="n">
        <v>3.4793</v>
      </c>
      <c r="P474" s="68" t="n">
        <v>0.4062</v>
      </c>
      <c r="Q474" s="68" t="n">
        <v>1.576</v>
      </c>
      <c r="R474" s="67" t="n">
        <v>1.9612</v>
      </c>
      <c r="S474" s="68" t="s">
        <v>767</v>
      </c>
      <c r="T474" s="68" t="s">
        <v>201</v>
      </c>
      <c r="U474" s="68" t="s">
        <v>945</v>
      </c>
      <c r="V474" s="69"/>
      <c r="W474" s="68"/>
      <c r="X474" s="68" t="n">
        <v>77.9408045976949</v>
      </c>
      <c r="Y474" s="68" t="n">
        <v>376.713888888859</v>
      </c>
      <c r="Z474" s="68" t="n">
        <v>4.83333333333333</v>
      </c>
      <c r="AA474" s="70"/>
    </row>
    <row r="475" customFormat="false" ht="14.25" hidden="false" customHeight="false" outlineLevel="0" collapsed="false">
      <c r="A475" s="56"/>
      <c r="B475" s="56"/>
      <c r="C475" s="64" t="n">
        <v>470</v>
      </c>
      <c r="D475" s="71" t="s">
        <v>1216</v>
      </c>
      <c r="E475" s="71" t="s">
        <v>1214</v>
      </c>
      <c r="F475" s="71" t="s">
        <v>1215</v>
      </c>
      <c r="G475" s="65" t="n">
        <v>110</v>
      </c>
      <c r="H475" s="68" t="n">
        <v>7.89</v>
      </c>
      <c r="I475" s="68" t="n">
        <v>467</v>
      </c>
      <c r="J475" s="68" t="n">
        <v>667</v>
      </c>
      <c r="K475" s="68" t="n">
        <v>607.1</v>
      </c>
      <c r="L475" s="68" t="s">
        <v>199</v>
      </c>
      <c r="M475" s="67" t="n">
        <v>0.1318</v>
      </c>
      <c r="N475" s="68" t="n">
        <v>0.4787</v>
      </c>
      <c r="O475" s="68" t="n">
        <v>3.4793</v>
      </c>
      <c r="P475" s="68" t="n">
        <v>0.4062</v>
      </c>
      <c r="Q475" s="68" t="n">
        <v>1.576</v>
      </c>
      <c r="R475" s="67" t="n">
        <v>1.9612</v>
      </c>
      <c r="S475" s="68" t="s">
        <v>767</v>
      </c>
      <c r="T475" s="68" t="s">
        <v>201</v>
      </c>
      <c r="U475" s="68" t="s">
        <v>945</v>
      </c>
      <c r="V475" s="69"/>
      <c r="W475" s="68"/>
      <c r="X475" s="68" t="n">
        <v>79.6555555555485</v>
      </c>
      <c r="Y475" s="68" t="n">
        <v>238.966666666645</v>
      </c>
      <c r="Z475" s="68" t="n">
        <v>3</v>
      </c>
      <c r="AA475" s="70"/>
    </row>
    <row r="476" customFormat="false" ht="14.25" hidden="false" customHeight="false" outlineLevel="0" collapsed="false">
      <c r="A476" s="56"/>
      <c r="B476" s="56"/>
      <c r="C476" s="64" t="n">
        <v>471</v>
      </c>
      <c r="D476" s="71" t="s">
        <v>1217</v>
      </c>
      <c r="E476" s="71" t="s">
        <v>1214</v>
      </c>
      <c r="F476" s="71" t="s">
        <v>1218</v>
      </c>
      <c r="G476" s="65" t="n">
        <v>110</v>
      </c>
      <c r="H476" s="68" t="n">
        <v>12.08</v>
      </c>
      <c r="I476" s="68" t="n">
        <v>467</v>
      </c>
      <c r="J476" s="68" t="n">
        <v>667</v>
      </c>
      <c r="K476" s="68" t="n">
        <v>607.1</v>
      </c>
      <c r="L476" s="68" t="s">
        <v>199</v>
      </c>
      <c r="M476" s="67" t="n">
        <v>0.1318</v>
      </c>
      <c r="N476" s="68" t="n">
        <v>0.4787</v>
      </c>
      <c r="O476" s="68" t="n">
        <v>3.4793</v>
      </c>
      <c r="P476" s="68" t="n">
        <v>0.4062</v>
      </c>
      <c r="Q476" s="68" t="n">
        <v>1.576</v>
      </c>
      <c r="R476" s="67" t="n">
        <v>1.9612</v>
      </c>
      <c r="S476" s="68" t="s">
        <v>767</v>
      </c>
      <c r="T476" s="68" t="s">
        <v>201</v>
      </c>
      <c r="U476" s="68" t="s">
        <v>945</v>
      </c>
      <c r="V476" s="69"/>
      <c r="W476" s="68"/>
      <c r="X476" s="68" t="n">
        <v>42.4264705882182</v>
      </c>
      <c r="Y476" s="68" t="n">
        <v>120.208333333285</v>
      </c>
      <c r="Z476" s="68" t="n">
        <v>2.83333333333333</v>
      </c>
      <c r="AA476" s="70"/>
    </row>
    <row r="477" customFormat="false" ht="14.25" hidden="false" customHeight="false" outlineLevel="0" collapsed="false">
      <c r="A477" s="56"/>
      <c r="B477" s="56"/>
      <c r="C477" s="64" t="n">
        <v>472</v>
      </c>
      <c r="D477" s="71" t="s">
        <v>1219</v>
      </c>
      <c r="E477" s="71" t="s">
        <v>1214</v>
      </c>
      <c r="F477" s="71" t="s">
        <v>1218</v>
      </c>
      <c r="G477" s="65" t="n">
        <v>110</v>
      </c>
      <c r="H477" s="68" t="n">
        <v>12.08</v>
      </c>
      <c r="I477" s="68" t="n">
        <v>467</v>
      </c>
      <c r="J477" s="68" t="n">
        <v>667</v>
      </c>
      <c r="K477" s="68" t="n">
        <v>607.1</v>
      </c>
      <c r="L477" s="68" t="s">
        <v>199</v>
      </c>
      <c r="M477" s="67" t="n">
        <v>0.1318</v>
      </c>
      <c r="N477" s="68" t="n">
        <v>0.4787</v>
      </c>
      <c r="O477" s="68" t="n">
        <v>3.4793</v>
      </c>
      <c r="P477" s="68" t="n">
        <v>0.4062</v>
      </c>
      <c r="Q477" s="68" t="n">
        <v>1.576</v>
      </c>
      <c r="R477" s="67" t="n">
        <v>1.9612</v>
      </c>
      <c r="S477" s="68" t="s">
        <v>767</v>
      </c>
      <c r="T477" s="68" t="s">
        <v>201</v>
      </c>
      <c r="U477" s="68" t="s">
        <v>945</v>
      </c>
      <c r="V477" s="69"/>
      <c r="W477" s="68"/>
      <c r="X477" s="68" t="n">
        <v>24.582407407385</v>
      </c>
      <c r="Y477" s="68" t="n">
        <v>73.747222222155</v>
      </c>
      <c r="Z477" s="68" t="n">
        <v>3</v>
      </c>
      <c r="AA477" s="70"/>
    </row>
    <row r="478" customFormat="false" ht="14.25" hidden="false" customHeight="false" outlineLevel="0" collapsed="false">
      <c r="A478" s="56"/>
      <c r="B478" s="56"/>
      <c r="C478" s="64" t="n">
        <v>473</v>
      </c>
      <c r="D478" s="71" t="s">
        <v>1220</v>
      </c>
      <c r="E478" s="71" t="s">
        <v>1214</v>
      </c>
      <c r="F478" s="71" t="s">
        <v>1221</v>
      </c>
      <c r="G478" s="65" t="n">
        <v>110</v>
      </c>
      <c r="H478" s="68" t="n">
        <v>7.19</v>
      </c>
      <c r="I478" s="68" t="n">
        <v>467</v>
      </c>
      <c r="J478" s="68" t="n">
        <v>667</v>
      </c>
      <c r="K478" s="68" t="n">
        <v>607.1</v>
      </c>
      <c r="L478" s="68" t="s">
        <v>199</v>
      </c>
      <c r="M478" s="67" t="n">
        <v>0.1318</v>
      </c>
      <c r="N478" s="68" t="n">
        <v>0.4787</v>
      </c>
      <c r="O478" s="68" t="n">
        <v>3.4793</v>
      </c>
      <c r="P478" s="68" t="n">
        <v>0.4062</v>
      </c>
      <c r="Q478" s="68" t="n">
        <v>1.576</v>
      </c>
      <c r="R478" s="67" t="n">
        <v>1.9612</v>
      </c>
      <c r="S478" s="68" t="s">
        <v>767</v>
      </c>
      <c r="T478" s="68" t="s">
        <v>201</v>
      </c>
      <c r="U478" s="68" t="s">
        <v>945</v>
      </c>
      <c r="V478" s="69"/>
      <c r="W478" s="68"/>
      <c r="X478" s="68" t="n">
        <v>41.7229166666584</v>
      </c>
      <c r="Y478" s="68" t="n">
        <v>111.261111111089</v>
      </c>
      <c r="Z478" s="68" t="n">
        <v>2.66666666666667</v>
      </c>
      <c r="AA478" s="70"/>
    </row>
    <row r="479" customFormat="false" ht="14.25" hidden="false" customHeight="false" outlineLevel="0" collapsed="false">
      <c r="A479" s="56"/>
      <c r="B479" s="56"/>
      <c r="C479" s="64" t="n">
        <v>474</v>
      </c>
      <c r="D479" s="71" t="s">
        <v>1222</v>
      </c>
      <c r="E479" s="71" t="s">
        <v>1214</v>
      </c>
      <c r="F479" s="71" t="s">
        <v>929</v>
      </c>
      <c r="G479" s="65" t="n">
        <v>110</v>
      </c>
      <c r="H479" s="68" t="n">
        <v>36</v>
      </c>
      <c r="I479" s="68" t="n">
        <v>467</v>
      </c>
      <c r="J479" s="68" t="n">
        <v>667</v>
      </c>
      <c r="K479" s="68" t="n">
        <v>607.1</v>
      </c>
      <c r="L479" s="68" t="s">
        <v>199</v>
      </c>
      <c r="M479" s="67" t="n">
        <v>0.1318</v>
      </c>
      <c r="N479" s="68" t="n">
        <v>0.4787</v>
      </c>
      <c r="O479" s="68" t="n">
        <v>3.4793</v>
      </c>
      <c r="P479" s="68" t="n">
        <v>0.4062</v>
      </c>
      <c r="Q479" s="68" t="n">
        <v>1.576</v>
      </c>
      <c r="R479" s="67" t="n">
        <v>1.9612</v>
      </c>
      <c r="S479" s="68" t="s">
        <v>767</v>
      </c>
      <c r="T479" s="68" t="s">
        <v>201</v>
      </c>
      <c r="U479" s="68" t="s">
        <v>945</v>
      </c>
      <c r="V479" s="69"/>
      <c r="W479" s="68"/>
      <c r="X479" s="68" t="n">
        <v>11.3860215053916</v>
      </c>
      <c r="Y479" s="68" t="n">
        <v>58.8277777778567</v>
      </c>
      <c r="Z479" s="68" t="n">
        <v>5.16666666666667</v>
      </c>
      <c r="AA479" s="70"/>
    </row>
    <row r="480" customFormat="false" ht="14.25" hidden="false" customHeight="false" outlineLevel="0" collapsed="false">
      <c r="A480" s="56"/>
      <c r="B480" s="56"/>
      <c r="C480" s="64" t="n">
        <v>475</v>
      </c>
      <c r="D480" s="71" t="s">
        <v>1223</v>
      </c>
      <c r="E480" s="71" t="s">
        <v>1224</v>
      </c>
      <c r="F480" s="71" t="s">
        <v>1225</v>
      </c>
      <c r="G480" s="65" t="n">
        <v>110</v>
      </c>
      <c r="H480" s="68" t="n">
        <v>12</v>
      </c>
      <c r="I480" s="68" t="n">
        <v>630</v>
      </c>
      <c r="J480" s="68" t="n">
        <v>630</v>
      </c>
      <c r="K480" s="68" t="n">
        <v>819</v>
      </c>
      <c r="L480" s="68" t="s">
        <v>199</v>
      </c>
      <c r="M480" s="67" t="n">
        <v>0.075</v>
      </c>
      <c r="N480" s="68" t="n">
        <v>0.4595</v>
      </c>
      <c r="O480" s="68" t="n">
        <v>3.6276</v>
      </c>
      <c r="P480" s="68" t="n">
        <v>0.3637</v>
      </c>
      <c r="Q480" s="68" t="n">
        <v>1.6045</v>
      </c>
      <c r="R480" s="67" t="n">
        <v>1.8682</v>
      </c>
      <c r="S480" s="68" t="s">
        <v>767</v>
      </c>
      <c r="T480" s="68" t="s">
        <v>201</v>
      </c>
      <c r="U480" s="68" t="s">
        <v>945</v>
      </c>
      <c r="V480" s="69"/>
      <c r="W480" s="68"/>
      <c r="X480" s="68" t="n">
        <v>44.0905797101416</v>
      </c>
      <c r="Y480" s="68" t="n">
        <v>169.013888888876</v>
      </c>
      <c r="Z480" s="68" t="n">
        <v>3.83333333333333</v>
      </c>
      <c r="AA480" s="70"/>
    </row>
    <row r="481" customFormat="false" ht="14.25" hidden="false" customHeight="false" outlineLevel="0" collapsed="false">
      <c r="A481" s="56"/>
      <c r="B481" s="56"/>
      <c r="C481" s="64" t="n">
        <v>476</v>
      </c>
      <c r="D481" s="71" t="s">
        <v>1226</v>
      </c>
      <c r="E481" s="71" t="s">
        <v>1224</v>
      </c>
      <c r="F481" s="71" t="s">
        <v>1227</v>
      </c>
      <c r="G481" s="65" t="n">
        <v>110</v>
      </c>
      <c r="H481" s="68" t="n">
        <v>5.87</v>
      </c>
      <c r="I481" s="68" t="n">
        <v>630</v>
      </c>
      <c r="J481" s="68" t="n">
        <v>630</v>
      </c>
      <c r="K481" s="68" t="n">
        <v>819</v>
      </c>
      <c r="L481" s="68" t="s">
        <v>199</v>
      </c>
      <c r="M481" s="67" t="n">
        <v>0.075</v>
      </c>
      <c r="N481" s="68" t="n">
        <v>0.4595</v>
      </c>
      <c r="O481" s="68" t="n">
        <v>3.6276</v>
      </c>
      <c r="P481" s="68" t="n">
        <v>0.3637</v>
      </c>
      <c r="Q481" s="68" t="n">
        <v>1.6045</v>
      </c>
      <c r="R481" s="67" t="n">
        <v>1.8682</v>
      </c>
      <c r="S481" s="68" t="s">
        <v>767</v>
      </c>
      <c r="T481" s="68" t="s">
        <v>201</v>
      </c>
      <c r="U481" s="68" t="s">
        <v>945</v>
      </c>
      <c r="V481" s="69"/>
      <c r="W481" s="68"/>
      <c r="X481" s="68" t="n">
        <v>4.07156862742062</v>
      </c>
      <c r="Y481" s="68" t="n">
        <v>11.5361111110251</v>
      </c>
      <c r="Z481" s="68" t="n">
        <v>2.83333333333333</v>
      </c>
      <c r="AA481" s="70"/>
    </row>
    <row r="482" customFormat="false" ht="14.25" hidden="false" customHeight="false" outlineLevel="0" collapsed="false">
      <c r="A482" s="56"/>
      <c r="B482" s="56"/>
      <c r="C482" s="64" t="n">
        <v>477</v>
      </c>
      <c r="D482" s="71" t="s">
        <v>1228</v>
      </c>
      <c r="E482" s="71" t="s">
        <v>1215</v>
      </c>
      <c r="F482" s="71" t="s">
        <v>1218</v>
      </c>
      <c r="G482" s="65" t="n">
        <v>110</v>
      </c>
      <c r="H482" s="68" t="n">
        <v>5.15</v>
      </c>
      <c r="I482" s="68" t="n">
        <v>467</v>
      </c>
      <c r="J482" s="68" t="n">
        <v>667</v>
      </c>
      <c r="K482" s="68" t="n">
        <v>607.1</v>
      </c>
      <c r="L482" s="68" t="s">
        <v>199</v>
      </c>
      <c r="M482" s="67" t="n">
        <v>0.1318</v>
      </c>
      <c r="N482" s="68" t="n">
        <v>0.4787</v>
      </c>
      <c r="O482" s="68" t="n">
        <v>3.4793</v>
      </c>
      <c r="P482" s="68" t="n">
        <v>0.4062</v>
      </c>
      <c r="Q482" s="68" t="n">
        <v>1.576</v>
      </c>
      <c r="R482" s="67" t="n">
        <v>1.9612</v>
      </c>
      <c r="S482" s="68" t="s">
        <v>767</v>
      </c>
      <c r="T482" s="68" t="s">
        <v>201</v>
      </c>
      <c r="U482" s="68" t="s">
        <v>945</v>
      </c>
      <c r="V482" s="69"/>
      <c r="W482" s="68"/>
      <c r="X482" s="68" t="n">
        <v>66.5154761904975</v>
      </c>
      <c r="Y482" s="68" t="n">
        <v>155.202777777828</v>
      </c>
      <c r="Z482" s="68" t="n">
        <v>2.33333333333333</v>
      </c>
      <c r="AA482" s="70"/>
    </row>
    <row r="483" customFormat="false" ht="14.25" hidden="false" customHeight="false" outlineLevel="0" collapsed="false">
      <c r="A483" s="56"/>
      <c r="B483" s="56"/>
      <c r="C483" s="64" t="n">
        <v>478</v>
      </c>
      <c r="D483" s="71" t="s">
        <v>1229</v>
      </c>
      <c r="E483" s="71" t="s">
        <v>1215</v>
      </c>
      <c r="F483" s="71" t="s">
        <v>1218</v>
      </c>
      <c r="G483" s="65" t="n">
        <v>110</v>
      </c>
      <c r="H483" s="68" t="n">
        <v>5.15</v>
      </c>
      <c r="I483" s="68" t="n">
        <v>467</v>
      </c>
      <c r="J483" s="68" t="n">
        <v>667</v>
      </c>
      <c r="K483" s="68" t="n">
        <v>607.1</v>
      </c>
      <c r="L483" s="68" t="s">
        <v>199</v>
      </c>
      <c r="M483" s="67" t="n">
        <v>0.1318</v>
      </c>
      <c r="N483" s="68" t="n">
        <v>0.4787</v>
      </c>
      <c r="O483" s="68" t="n">
        <v>3.4793</v>
      </c>
      <c r="P483" s="68" t="n">
        <v>0.4062</v>
      </c>
      <c r="Q483" s="68" t="n">
        <v>1.576</v>
      </c>
      <c r="R483" s="67" t="n">
        <v>1.9612</v>
      </c>
      <c r="S483" s="68" t="s">
        <v>767</v>
      </c>
      <c r="T483" s="68" t="s">
        <v>201</v>
      </c>
      <c r="U483" s="68" t="s">
        <v>945</v>
      </c>
      <c r="V483" s="69"/>
      <c r="W483" s="68"/>
      <c r="X483" s="68" t="n">
        <v>53.4901960784439</v>
      </c>
      <c r="Y483" s="68" t="n">
        <v>151.555555555591</v>
      </c>
      <c r="Z483" s="68" t="n">
        <v>2.83333333333333</v>
      </c>
      <c r="AA483" s="70"/>
    </row>
    <row r="484" customFormat="false" ht="14.25" hidden="false" customHeight="false" outlineLevel="0" collapsed="false">
      <c r="A484" s="56"/>
      <c r="B484" s="56"/>
      <c r="C484" s="64" t="n">
        <v>479</v>
      </c>
      <c r="D484" s="71" t="s">
        <v>1230</v>
      </c>
      <c r="E484" s="71" t="s">
        <v>1218</v>
      </c>
      <c r="F484" s="71" t="s">
        <v>1199</v>
      </c>
      <c r="G484" s="65" t="n">
        <v>110</v>
      </c>
      <c r="H484" s="68" t="n">
        <v>5.03</v>
      </c>
      <c r="I484" s="68" t="n">
        <v>467</v>
      </c>
      <c r="J484" s="68" t="n">
        <v>667</v>
      </c>
      <c r="K484" s="68" t="n">
        <v>607.1</v>
      </c>
      <c r="L484" s="68" t="s">
        <v>199</v>
      </c>
      <c r="M484" s="67" t="n">
        <v>0.1269</v>
      </c>
      <c r="N484" s="68" t="n">
        <v>0.4499</v>
      </c>
      <c r="O484" s="68" t="n">
        <v>10.7787</v>
      </c>
      <c r="P484" s="68" t="n">
        <v>0.3929</v>
      </c>
      <c r="Q484" s="68" t="n">
        <v>1.4927</v>
      </c>
      <c r="R484" s="67" t="n">
        <v>9.3853</v>
      </c>
      <c r="S484" s="68" t="s">
        <v>767</v>
      </c>
      <c r="T484" s="68" t="s">
        <v>201</v>
      </c>
      <c r="U484" s="68" t="s">
        <v>945</v>
      </c>
      <c r="V484" s="69"/>
      <c r="W484" s="68"/>
      <c r="X484" s="68" t="n">
        <v>10.079999999993</v>
      </c>
      <c r="Y484" s="68" t="n">
        <v>8.39999999999418</v>
      </c>
      <c r="Z484" s="68" t="n">
        <v>0.833333333333333</v>
      </c>
      <c r="AA484" s="70"/>
    </row>
    <row r="485" customFormat="false" ht="14.25" hidden="false" customHeight="false" outlineLevel="0" collapsed="false">
      <c r="A485" s="56"/>
      <c r="B485" s="56"/>
      <c r="C485" s="64" t="n">
        <v>480</v>
      </c>
      <c r="D485" s="71" t="s">
        <v>1231</v>
      </c>
      <c r="E485" s="71" t="s">
        <v>1218</v>
      </c>
      <c r="F485" s="71" t="s">
        <v>1199</v>
      </c>
      <c r="G485" s="65" t="n">
        <v>110</v>
      </c>
      <c r="H485" s="68" t="n">
        <v>5.03</v>
      </c>
      <c r="I485" s="68" t="n">
        <v>467</v>
      </c>
      <c r="J485" s="68" t="n">
        <v>667</v>
      </c>
      <c r="K485" s="68" t="n">
        <v>607.1</v>
      </c>
      <c r="L485" s="68" t="s">
        <v>199</v>
      </c>
      <c r="M485" s="67" t="n">
        <v>0.1269</v>
      </c>
      <c r="N485" s="68" t="n">
        <v>0.4499</v>
      </c>
      <c r="O485" s="68" t="n">
        <v>10.7787</v>
      </c>
      <c r="P485" s="68" t="n">
        <v>0.3929</v>
      </c>
      <c r="Q485" s="68" t="n">
        <v>1.4927</v>
      </c>
      <c r="R485" s="67" t="n">
        <v>9.3853</v>
      </c>
      <c r="S485" s="68" t="s">
        <v>767</v>
      </c>
      <c r="T485" s="68" t="s">
        <v>201</v>
      </c>
      <c r="U485" s="68" t="s">
        <v>945</v>
      </c>
      <c r="V485" s="69"/>
      <c r="W485" s="68"/>
      <c r="X485" s="68" t="n">
        <v>30.3850000000239</v>
      </c>
      <c r="Y485" s="68" t="n">
        <v>101.283333333413</v>
      </c>
      <c r="Z485" s="68" t="n">
        <v>3.33333333333333</v>
      </c>
      <c r="AA485" s="70"/>
    </row>
    <row r="486" customFormat="false" ht="14.25" hidden="false" customHeight="false" outlineLevel="0" collapsed="false">
      <c r="A486" s="56"/>
      <c r="B486" s="56"/>
      <c r="C486" s="64" t="n">
        <v>481</v>
      </c>
      <c r="D486" s="71" t="s">
        <v>1232</v>
      </c>
      <c r="E486" s="71" t="s">
        <v>1209</v>
      </c>
      <c r="F486" s="71" t="s">
        <v>1233</v>
      </c>
      <c r="G486" s="65" t="n">
        <v>110</v>
      </c>
      <c r="H486" s="68" t="n">
        <v>4.5</v>
      </c>
      <c r="I486" s="68" t="n">
        <v>630</v>
      </c>
      <c r="J486" s="68" t="n">
        <v>900</v>
      </c>
      <c r="K486" s="68" t="n">
        <v>819</v>
      </c>
      <c r="L486" s="68" t="s">
        <v>199</v>
      </c>
      <c r="M486" s="67" t="n">
        <v>0.0798</v>
      </c>
      <c r="N486" s="68" t="n">
        <v>0.4594</v>
      </c>
      <c r="O486" s="68" t="n">
        <v>3.6339</v>
      </c>
      <c r="P486" s="68" t="n">
        <v>0.3542</v>
      </c>
      <c r="Q486" s="68" t="n">
        <v>1.5568</v>
      </c>
      <c r="R486" s="67" t="n">
        <v>2.0083</v>
      </c>
      <c r="S486" s="68" t="s">
        <v>767</v>
      </c>
      <c r="T486" s="68" t="s">
        <v>201</v>
      </c>
      <c r="U486" s="68" t="s">
        <v>945</v>
      </c>
      <c r="V486" s="69"/>
      <c r="W486" s="68"/>
      <c r="X486" s="68" t="n">
        <v>75.4194444444293</v>
      </c>
      <c r="Y486" s="68" t="n">
        <v>150.838888888859</v>
      </c>
      <c r="Z486" s="68" t="n">
        <v>2</v>
      </c>
      <c r="AA486" s="70"/>
    </row>
    <row r="487" customFormat="false" ht="14.25" hidden="false" customHeight="false" outlineLevel="0" collapsed="false">
      <c r="A487" s="56"/>
      <c r="B487" s="56"/>
      <c r="C487" s="64" t="n">
        <v>482</v>
      </c>
      <c r="D487" s="71" t="s">
        <v>1234</v>
      </c>
      <c r="E487" s="71" t="s">
        <v>1209</v>
      </c>
      <c r="F487" s="71" t="s">
        <v>819</v>
      </c>
      <c r="G487" s="65" t="n">
        <v>110</v>
      </c>
      <c r="H487" s="68" t="n">
        <v>10</v>
      </c>
      <c r="I487" s="68" t="n">
        <v>630</v>
      </c>
      <c r="J487" s="68" t="n">
        <v>900</v>
      </c>
      <c r="K487" s="68" t="n">
        <v>819</v>
      </c>
      <c r="L487" s="68" t="s">
        <v>199</v>
      </c>
      <c r="M487" s="67" t="n">
        <v>0.0798</v>
      </c>
      <c r="N487" s="68" t="n">
        <v>0.4594</v>
      </c>
      <c r="O487" s="68" t="n">
        <v>3.6339</v>
      </c>
      <c r="P487" s="68" t="n">
        <v>0.3542</v>
      </c>
      <c r="Q487" s="68" t="n">
        <v>1.5568</v>
      </c>
      <c r="R487" s="67" t="n">
        <v>2.0083</v>
      </c>
      <c r="S487" s="68" t="s">
        <v>767</v>
      </c>
      <c r="T487" s="68" t="s">
        <v>201</v>
      </c>
      <c r="U487" s="68" t="s">
        <v>945</v>
      </c>
      <c r="V487" s="69"/>
      <c r="W487" s="68"/>
      <c r="X487" s="68" t="n">
        <v>9.57000000000699</v>
      </c>
      <c r="Y487" s="68" t="n">
        <v>15.9500000000116</v>
      </c>
      <c r="Z487" s="68" t="n">
        <v>1.66666666666667</v>
      </c>
      <c r="AA487" s="70"/>
    </row>
    <row r="488" customFormat="false" ht="14.25" hidden="false" customHeight="false" outlineLevel="0" collapsed="false">
      <c r="A488" s="56"/>
      <c r="B488" s="56"/>
      <c r="C488" s="64" t="n">
        <v>483</v>
      </c>
      <c r="D488" s="71" t="s">
        <v>1235</v>
      </c>
      <c r="E488" s="71" t="s">
        <v>1211</v>
      </c>
      <c r="F488" s="71" t="s">
        <v>1236</v>
      </c>
      <c r="G488" s="65" t="n">
        <v>110</v>
      </c>
      <c r="H488" s="68" t="n">
        <v>7</v>
      </c>
      <c r="I488" s="68" t="n">
        <v>630</v>
      </c>
      <c r="J488" s="68" t="n">
        <v>900</v>
      </c>
      <c r="K488" s="68" t="n">
        <v>819</v>
      </c>
      <c r="L488" s="68" t="s">
        <v>199</v>
      </c>
      <c r="M488" s="67" t="n">
        <v>0.0798</v>
      </c>
      <c r="N488" s="68" t="n">
        <v>0.4594</v>
      </c>
      <c r="O488" s="68" t="n">
        <v>3.6339</v>
      </c>
      <c r="P488" s="68" t="n">
        <v>0.3542</v>
      </c>
      <c r="Q488" s="68" t="n">
        <v>1.5569</v>
      </c>
      <c r="R488" s="67" t="n">
        <v>2.0071</v>
      </c>
      <c r="S488" s="68" t="s">
        <v>767</v>
      </c>
      <c r="T488" s="68" t="s">
        <v>201</v>
      </c>
      <c r="U488" s="68" t="s">
        <v>945</v>
      </c>
      <c r="V488" s="69"/>
      <c r="W488" s="68"/>
      <c r="X488" s="68" t="n">
        <v>6.20249999999651</v>
      </c>
      <c r="Y488" s="68" t="n">
        <v>20.6749999999884</v>
      </c>
      <c r="Z488" s="68" t="n">
        <v>3.33333333333333</v>
      </c>
      <c r="AA488" s="70"/>
    </row>
    <row r="489" customFormat="false" ht="14.25" hidden="false" customHeight="false" outlineLevel="0" collapsed="false">
      <c r="A489" s="56"/>
      <c r="B489" s="56"/>
      <c r="C489" s="64" t="n">
        <v>484</v>
      </c>
      <c r="D489" s="71" t="s">
        <v>1237</v>
      </c>
      <c r="E489" s="71" t="s">
        <v>927</v>
      </c>
      <c r="F489" s="71" t="s">
        <v>1238</v>
      </c>
      <c r="G489" s="65" t="n">
        <v>110</v>
      </c>
      <c r="H489" s="68" t="n">
        <v>77</v>
      </c>
      <c r="I489" s="68" t="n">
        <v>467</v>
      </c>
      <c r="J489" s="68" t="n">
        <v>667</v>
      </c>
      <c r="K489" s="68" t="n">
        <v>607.1</v>
      </c>
      <c r="L489" s="68" t="s">
        <v>199</v>
      </c>
      <c r="M489" s="67" t="n">
        <v>0.1342</v>
      </c>
      <c r="N489" s="68" t="n">
        <v>0.4896</v>
      </c>
      <c r="O489" s="68" t="n">
        <v>3.4298</v>
      </c>
      <c r="P489" s="68" t="n">
        <v>0.4089</v>
      </c>
      <c r="Q489" s="68" t="n">
        <v>1.587</v>
      </c>
      <c r="R489" s="67" t="n">
        <v>1.9463</v>
      </c>
      <c r="S489" s="68" t="s">
        <v>767</v>
      </c>
      <c r="T489" s="68" t="s">
        <v>201</v>
      </c>
      <c r="U489" s="68" t="s">
        <v>945</v>
      </c>
      <c r="V489" s="69"/>
      <c r="W489" s="68"/>
      <c r="X489" s="68" t="n">
        <v>7.76720410628806</v>
      </c>
      <c r="Y489" s="68" t="n">
        <v>59.5485648148751</v>
      </c>
      <c r="Z489" s="68" t="n">
        <v>7.66666666666667</v>
      </c>
      <c r="AA489" s="70"/>
    </row>
    <row r="490" customFormat="false" ht="14.25" hidden="false" customHeight="false" outlineLevel="0" collapsed="false">
      <c r="A490" s="56"/>
      <c r="B490" s="56"/>
      <c r="C490" s="64" t="n">
        <v>485</v>
      </c>
      <c r="D490" s="71" t="s">
        <v>1239</v>
      </c>
      <c r="E490" s="71" t="s">
        <v>1197</v>
      </c>
      <c r="F490" s="71" t="s">
        <v>1199</v>
      </c>
      <c r="G490" s="65" t="n">
        <v>110</v>
      </c>
      <c r="H490" s="68" t="n">
        <v>4.3</v>
      </c>
      <c r="I490" s="68" t="n">
        <v>467</v>
      </c>
      <c r="J490" s="68" t="n">
        <v>667</v>
      </c>
      <c r="K490" s="68" t="n">
        <v>467</v>
      </c>
      <c r="L490" s="68" t="s">
        <v>199</v>
      </c>
      <c r="M490" s="67" t="n">
        <v>0.1342</v>
      </c>
      <c r="N490" s="68" t="n">
        <v>0.4374</v>
      </c>
      <c r="O490" s="68" t="n">
        <v>3.8347</v>
      </c>
      <c r="P490" s="68" t="n">
        <v>0.4073</v>
      </c>
      <c r="Q490" s="68" t="n">
        <v>1.597</v>
      </c>
      <c r="R490" s="67" t="n">
        <v>1.7548</v>
      </c>
      <c r="S490" s="68" t="s">
        <v>767</v>
      </c>
      <c r="T490" s="68" t="s">
        <v>201</v>
      </c>
      <c r="U490" s="68" t="s">
        <v>945</v>
      </c>
      <c r="V490" s="69"/>
      <c r="W490" s="68"/>
      <c r="X490" s="68" t="n">
        <v>69.2954594017199</v>
      </c>
      <c r="Y490" s="68" t="n">
        <v>300.28032407412</v>
      </c>
      <c r="Z490" s="68" t="n">
        <v>4.33333333333333</v>
      </c>
      <c r="AA490" s="70"/>
    </row>
    <row r="491" customFormat="false" ht="14.25" hidden="false" customHeight="false" outlineLevel="0" collapsed="false">
      <c r="A491" s="56"/>
      <c r="B491" s="56"/>
      <c r="C491" s="64" t="n">
        <v>486</v>
      </c>
      <c r="D491" s="71" t="s">
        <v>1240</v>
      </c>
      <c r="E491" s="71" t="s">
        <v>1197</v>
      </c>
      <c r="F491" s="71" t="s">
        <v>1236</v>
      </c>
      <c r="G491" s="65" t="n">
        <v>110</v>
      </c>
      <c r="H491" s="68" t="n">
        <v>5.9</v>
      </c>
      <c r="I491" s="68" t="n">
        <v>630</v>
      </c>
      <c r="J491" s="68" t="n">
        <v>900</v>
      </c>
      <c r="K491" s="68" t="n">
        <v>819</v>
      </c>
      <c r="L491" s="68" t="s">
        <v>199</v>
      </c>
      <c r="M491" s="67" t="n">
        <v>0.0798</v>
      </c>
      <c r="N491" s="68" t="n">
        <v>0.4594</v>
      </c>
      <c r="O491" s="68" t="n">
        <v>3.6339</v>
      </c>
      <c r="P491" s="68" t="n">
        <v>0.3541</v>
      </c>
      <c r="Q491" s="68" t="n">
        <v>1.5567</v>
      </c>
      <c r="R491" s="67" t="n">
        <v>2.0144</v>
      </c>
      <c r="S491" s="68" t="s">
        <v>767</v>
      </c>
      <c r="T491" s="68" t="s">
        <v>201</v>
      </c>
      <c r="U491" s="68" t="s">
        <v>945</v>
      </c>
      <c r="V491" s="69"/>
      <c r="W491" s="68"/>
      <c r="X491" s="68" t="n">
        <v>71.9377777777729</v>
      </c>
      <c r="Y491" s="68" t="n">
        <v>179.844444444432</v>
      </c>
      <c r="Z491" s="68" t="n">
        <v>2.5</v>
      </c>
      <c r="AA491" s="70"/>
    </row>
    <row r="492" customFormat="false" ht="14.25" hidden="false" customHeight="false" outlineLevel="0" collapsed="false">
      <c r="A492" s="56"/>
      <c r="B492" s="56"/>
      <c r="C492" s="64" t="n">
        <v>487</v>
      </c>
      <c r="D492" s="71" t="s">
        <v>1241</v>
      </c>
      <c r="E492" s="71" t="s">
        <v>1207</v>
      </c>
      <c r="F492" s="71" t="s">
        <v>1221</v>
      </c>
      <c r="G492" s="65" t="n">
        <v>110</v>
      </c>
      <c r="H492" s="68" t="n">
        <v>19.69</v>
      </c>
      <c r="I492" s="68" t="n">
        <v>467</v>
      </c>
      <c r="J492" s="68" t="n">
        <v>667</v>
      </c>
      <c r="K492" s="68" t="n">
        <v>607.1</v>
      </c>
      <c r="L492" s="68" t="s">
        <v>199</v>
      </c>
      <c r="M492" s="67" t="n">
        <v>0.1318</v>
      </c>
      <c r="N492" s="68" t="n">
        <v>0.4787</v>
      </c>
      <c r="O492" s="68" t="n">
        <v>3.4793</v>
      </c>
      <c r="P492" s="68" t="n">
        <v>0.4043</v>
      </c>
      <c r="Q492" s="68" t="n">
        <v>1.5292</v>
      </c>
      <c r="R492" s="67" t="n">
        <v>2.1605</v>
      </c>
      <c r="S492" s="68" t="s">
        <v>767</v>
      </c>
      <c r="T492" s="68" t="s">
        <v>201</v>
      </c>
      <c r="U492" s="68" t="s">
        <v>945</v>
      </c>
      <c r="V492" s="69"/>
      <c r="W492" s="68"/>
      <c r="X492" s="68" t="n">
        <v>47.4388888888726</v>
      </c>
      <c r="Y492" s="68" t="n">
        <v>166.036111111054</v>
      </c>
      <c r="Z492" s="68" t="n">
        <v>3.5</v>
      </c>
      <c r="AA492" s="70"/>
    </row>
    <row r="493" customFormat="false" ht="14.25" hidden="false" customHeight="false" outlineLevel="0" collapsed="false">
      <c r="A493" s="56"/>
      <c r="B493" s="56"/>
      <c r="C493" s="64" t="n">
        <v>488</v>
      </c>
      <c r="D493" s="71" t="s">
        <v>1242</v>
      </c>
      <c r="E493" s="71" t="s">
        <v>1207</v>
      </c>
      <c r="F493" s="71" t="s">
        <v>929</v>
      </c>
      <c r="G493" s="65" t="n">
        <v>110</v>
      </c>
      <c r="H493" s="68" t="n">
        <v>24.5</v>
      </c>
      <c r="I493" s="68" t="n">
        <v>467</v>
      </c>
      <c r="J493" s="68" t="n">
        <v>667</v>
      </c>
      <c r="K493" s="68" t="n">
        <v>607.1</v>
      </c>
      <c r="L493" s="68" t="s">
        <v>199</v>
      </c>
      <c r="M493" s="67" t="n">
        <v>0.1318</v>
      </c>
      <c r="N493" s="68" t="n">
        <v>0.4787</v>
      </c>
      <c r="O493" s="68" t="n">
        <v>3.4793</v>
      </c>
      <c r="P493" s="68" t="n">
        <v>0.4042</v>
      </c>
      <c r="Q493" s="68" t="n">
        <v>1.5292</v>
      </c>
      <c r="R493" s="67" t="n">
        <v>2.1579</v>
      </c>
      <c r="S493" s="68" t="s">
        <v>767</v>
      </c>
      <c r="T493" s="68" t="s">
        <v>201</v>
      </c>
      <c r="U493" s="68" t="s">
        <v>945</v>
      </c>
      <c r="V493" s="69"/>
      <c r="W493" s="68"/>
      <c r="X493" s="68" t="n">
        <v>3.96414141415153</v>
      </c>
      <c r="Y493" s="68" t="n">
        <v>21.8027777778334</v>
      </c>
      <c r="Z493" s="68" t="n">
        <v>5.5</v>
      </c>
      <c r="AA493" s="70"/>
    </row>
    <row r="494" customFormat="false" ht="14.25" hidden="false" customHeight="false" outlineLevel="0" collapsed="false">
      <c r="A494" s="56"/>
      <c r="B494" s="56"/>
      <c r="C494" s="64" t="n">
        <v>489</v>
      </c>
      <c r="D494" s="71" t="s">
        <v>1243</v>
      </c>
      <c r="E494" s="71" t="s">
        <v>1207</v>
      </c>
      <c r="F494" s="71" t="s">
        <v>1238</v>
      </c>
      <c r="G494" s="65" t="n">
        <v>110</v>
      </c>
      <c r="H494" s="68" t="n">
        <v>14.7</v>
      </c>
      <c r="I494" s="68" t="n">
        <v>467</v>
      </c>
      <c r="J494" s="68" t="n">
        <v>667</v>
      </c>
      <c r="K494" s="68" t="n">
        <v>607.1</v>
      </c>
      <c r="L494" s="68" t="s">
        <v>199</v>
      </c>
      <c r="M494" s="67" t="n">
        <v>0.1342</v>
      </c>
      <c r="N494" s="68" t="n">
        <v>0.4896</v>
      </c>
      <c r="O494" s="68" t="n">
        <v>3.4298</v>
      </c>
      <c r="P494" s="68" t="n">
        <v>0.4089</v>
      </c>
      <c r="Q494" s="68" t="n">
        <v>1.587</v>
      </c>
      <c r="R494" s="67" t="n">
        <v>1.9463</v>
      </c>
      <c r="S494" s="68" t="s">
        <v>767</v>
      </c>
      <c r="T494" s="68" t="s">
        <v>201</v>
      </c>
      <c r="U494" s="68" t="s">
        <v>945</v>
      </c>
      <c r="V494" s="69"/>
      <c r="W494" s="68"/>
      <c r="X494" s="68" t="n">
        <v>6.20972222224373</v>
      </c>
      <c r="Y494" s="68" t="n">
        <v>24.8388888889749</v>
      </c>
      <c r="Z494" s="68" t="n">
        <v>4</v>
      </c>
      <c r="AA494" s="70"/>
    </row>
    <row r="495" customFormat="false" ht="14.25" hidden="false" customHeight="false" outlineLevel="0" collapsed="false">
      <c r="A495" s="56"/>
      <c r="B495" s="56"/>
      <c r="C495" s="64" t="n">
        <v>490</v>
      </c>
      <c r="D495" s="71" t="s">
        <v>1244</v>
      </c>
      <c r="E495" s="71" t="s">
        <v>1199</v>
      </c>
      <c r="F495" s="71" t="s">
        <v>1245</v>
      </c>
      <c r="G495" s="65" t="n">
        <v>110</v>
      </c>
      <c r="H495" s="68" t="n">
        <v>3.1</v>
      </c>
      <c r="I495" s="68" t="n">
        <v>630</v>
      </c>
      <c r="J495" s="68" t="n">
        <v>900</v>
      </c>
      <c r="K495" s="68" t="n">
        <v>819</v>
      </c>
      <c r="L495" s="68" t="s">
        <v>199</v>
      </c>
      <c r="M495" s="67" t="n">
        <v>0.0798</v>
      </c>
      <c r="N495" s="68" t="n">
        <v>0.4594</v>
      </c>
      <c r="O495" s="68" t="n">
        <v>3.6339</v>
      </c>
      <c r="P495" s="68" t="n">
        <v>0.3542</v>
      </c>
      <c r="Q495" s="68" t="n">
        <v>1.5568</v>
      </c>
      <c r="R495" s="67" t="n">
        <v>2.0083</v>
      </c>
      <c r="S495" s="68" t="s">
        <v>767</v>
      </c>
      <c r="T495" s="68" t="s">
        <v>201</v>
      </c>
      <c r="U495" s="68" t="s">
        <v>945</v>
      </c>
      <c r="V495" s="69"/>
      <c r="W495" s="68"/>
      <c r="X495" s="68" t="n">
        <v>7.54880952381895</v>
      </c>
      <c r="Y495" s="68" t="n">
        <v>17.6138888889109</v>
      </c>
      <c r="Z495" s="68" t="n">
        <v>2.33333333333333</v>
      </c>
      <c r="AA495" s="70"/>
    </row>
    <row r="496" customFormat="false" ht="14.25" hidden="false" customHeight="false" outlineLevel="0" collapsed="false">
      <c r="A496" s="56"/>
      <c r="B496" s="56"/>
      <c r="C496" s="64" t="n">
        <v>491</v>
      </c>
      <c r="D496" s="71" t="s">
        <v>1246</v>
      </c>
      <c r="E496" s="71" t="s">
        <v>1199</v>
      </c>
      <c r="F496" s="71" t="s">
        <v>1247</v>
      </c>
      <c r="G496" s="65" t="n">
        <v>110</v>
      </c>
      <c r="H496" s="68" t="n">
        <v>5.1</v>
      </c>
      <c r="I496" s="68" t="n">
        <v>630</v>
      </c>
      <c r="J496" s="68" t="n">
        <v>900</v>
      </c>
      <c r="K496" s="68" t="n">
        <v>819</v>
      </c>
      <c r="L496" s="68" t="s">
        <v>199</v>
      </c>
      <c r="M496" s="67" t="n">
        <v>0.0798</v>
      </c>
      <c r="N496" s="68" t="n">
        <v>0.4594</v>
      </c>
      <c r="O496" s="68" t="n">
        <v>3.6339</v>
      </c>
      <c r="P496" s="68" t="n">
        <v>0.3542</v>
      </c>
      <c r="Q496" s="68" t="n">
        <v>1.5568</v>
      </c>
      <c r="R496" s="67" t="n">
        <v>2.0083</v>
      </c>
      <c r="S496" s="68" t="s">
        <v>767</v>
      </c>
      <c r="T496" s="68" t="s">
        <v>201</v>
      </c>
      <c r="U496" s="68" t="s">
        <v>945</v>
      </c>
      <c r="V496" s="69"/>
      <c r="W496" s="68"/>
      <c r="X496" s="68" t="n">
        <v>10.2190476190424</v>
      </c>
      <c r="Y496" s="68" t="n">
        <v>23.8444444444322</v>
      </c>
      <c r="Z496" s="68" t="n">
        <v>2.33333333333333</v>
      </c>
      <c r="AA496" s="70" t="s">
        <v>1248</v>
      </c>
    </row>
    <row r="497" customFormat="false" ht="14.25" hidden="false" customHeight="false" outlineLevel="0" collapsed="false">
      <c r="A497" s="56"/>
      <c r="B497" s="56"/>
      <c r="C497" s="64" t="n">
        <v>492</v>
      </c>
      <c r="D497" s="71" t="s">
        <v>1249</v>
      </c>
      <c r="E497" s="71" t="s">
        <v>1199</v>
      </c>
      <c r="F497" s="71" t="s">
        <v>1250</v>
      </c>
      <c r="G497" s="65" t="n">
        <v>110</v>
      </c>
      <c r="H497" s="68" t="n">
        <v>2.55</v>
      </c>
      <c r="I497" s="68" t="n">
        <v>630</v>
      </c>
      <c r="J497" s="68" t="n">
        <v>900</v>
      </c>
      <c r="K497" s="68" t="n">
        <v>819</v>
      </c>
      <c r="L497" s="68" t="s">
        <v>199</v>
      </c>
      <c r="M497" s="67" t="n">
        <v>0.0798</v>
      </c>
      <c r="N497" s="68" t="n">
        <v>0.4594</v>
      </c>
      <c r="O497" s="68" t="n">
        <v>3.6339</v>
      </c>
      <c r="P497" s="68" t="n">
        <v>0.3542</v>
      </c>
      <c r="Q497" s="68" t="n">
        <v>1.5568</v>
      </c>
      <c r="R497" s="67" t="n">
        <v>2.0083</v>
      </c>
      <c r="S497" s="68" t="s">
        <v>767</v>
      </c>
      <c r="T497" s="68" t="s">
        <v>201</v>
      </c>
      <c r="U497" s="68" t="s">
        <v>771</v>
      </c>
      <c r="V497" s="69" t="n">
        <v>46387</v>
      </c>
      <c r="W497" s="68"/>
      <c r="X497" s="68"/>
      <c r="Y497" s="68"/>
      <c r="Z497" s="68"/>
      <c r="AA497" s="70"/>
    </row>
    <row r="498" customFormat="false" ht="14.25" hidden="false" customHeight="false" outlineLevel="0" collapsed="false">
      <c r="A498" s="56"/>
      <c r="B498" s="56"/>
      <c r="C498" s="64" t="n">
        <v>493</v>
      </c>
      <c r="D498" s="71" t="s">
        <v>1251</v>
      </c>
      <c r="E498" s="71" t="s">
        <v>1250</v>
      </c>
      <c r="F498" s="71" t="s">
        <v>1247</v>
      </c>
      <c r="G498" s="65" t="n">
        <v>110</v>
      </c>
      <c r="H498" s="68" t="n">
        <v>2.65</v>
      </c>
      <c r="I498" s="68" t="n">
        <v>630</v>
      </c>
      <c r="J498" s="68" t="n">
        <v>900</v>
      </c>
      <c r="K498" s="68" t="n">
        <v>819</v>
      </c>
      <c r="L498" s="68" t="s">
        <v>199</v>
      </c>
      <c r="M498" s="67" t="n">
        <v>0.0798</v>
      </c>
      <c r="N498" s="68" t="n">
        <v>0.4594</v>
      </c>
      <c r="O498" s="68" t="n">
        <v>3.6339</v>
      </c>
      <c r="P498" s="68" t="n">
        <v>0.3542</v>
      </c>
      <c r="Q498" s="68" t="n">
        <v>1.5568</v>
      </c>
      <c r="R498" s="67" t="n">
        <v>2.0083</v>
      </c>
      <c r="S498" s="68" t="s">
        <v>767</v>
      </c>
      <c r="T498" s="68" t="s">
        <v>201</v>
      </c>
      <c r="U498" s="68" t="s">
        <v>771</v>
      </c>
      <c r="V498" s="69" t="n">
        <v>46387</v>
      </c>
      <c r="W498" s="68"/>
      <c r="X498" s="68"/>
      <c r="Y498" s="68"/>
      <c r="Z498" s="68"/>
      <c r="AA498" s="70"/>
    </row>
    <row r="499" customFormat="false" ht="14.25" hidden="false" customHeight="false" outlineLevel="0" collapsed="false">
      <c r="A499" s="56"/>
      <c r="B499" s="56"/>
      <c r="C499" s="64" t="n">
        <v>494</v>
      </c>
      <c r="D499" s="71" t="s">
        <v>1252</v>
      </c>
      <c r="E499" s="71" t="s">
        <v>1233</v>
      </c>
      <c r="F499" s="71" t="s">
        <v>1238</v>
      </c>
      <c r="G499" s="65" t="n">
        <v>110</v>
      </c>
      <c r="H499" s="68" t="n">
        <v>6.5</v>
      </c>
      <c r="I499" s="68" t="n">
        <v>630</v>
      </c>
      <c r="J499" s="68" t="n">
        <v>900</v>
      </c>
      <c r="K499" s="68" t="n">
        <v>819</v>
      </c>
      <c r="L499" s="68" t="s">
        <v>199</v>
      </c>
      <c r="M499" s="67" t="n">
        <v>0.0798</v>
      </c>
      <c r="N499" s="68" t="n">
        <v>0.4594</v>
      </c>
      <c r="O499" s="68" t="n">
        <v>3.6339</v>
      </c>
      <c r="P499" s="68" t="n">
        <v>0.3542</v>
      </c>
      <c r="Q499" s="68" t="n">
        <v>1.5568</v>
      </c>
      <c r="R499" s="67" t="n">
        <v>2.0083</v>
      </c>
      <c r="S499" s="68" t="s">
        <v>767</v>
      </c>
      <c r="T499" s="68" t="s">
        <v>201</v>
      </c>
      <c r="U499" s="68" t="s">
        <v>945</v>
      </c>
      <c r="V499" s="69"/>
      <c r="W499" s="68"/>
      <c r="X499" s="68" t="n">
        <v>5.17878787879388</v>
      </c>
      <c r="Y499" s="68" t="n">
        <v>9.49444444445544</v>
      </c>
      <c r="Z499" s="68" t="n">
        <v>1.83333333333333</v>
      </c>
      <c r="AA499" s="70"/>
    </row>
    <row r="500" customFormat="false" ht="14.25" hidden="false" customHeight="false" outlineLevel="0" collapsed="false">
      <c r="A500" s="56"/>
      <c r="B500" s="56"/>
      <c r="C500" s="64" t="n">
        <v>495</v>
      </c>
      <c r="D500" s="71" t="s">
        <v>1253</v>
      </c>
      <c r="E500" s="71" t="s">
        <v>1033</v>
      </c>
      <c r="F500" s="71" t="s">
        <v>1221</v>
      </c>
      <c r="G500" s="65" t="n">
        <v>110</v>
      </c>
      <c r="H500" s="68" t="n">
        <v>5.13</v>
      </c>
      <c r="I500" s="68" t="n">
        <v>467</v>
      </c>
      <c r="J500" s="68" t="n">
        <v>667</v>
      </c>
      <c r="K500" s="68" t="n">
        <v>607.1</v>
      </c>
      <c r="L500" s="68" t="s">
        <v>199</v>
      </c>
      <c r="M500" s="67" t="n">
        <v>0.1318</v>
      </c>
      <c r="N500" s="68" t="n">
        <v>0.4787</v>
      </c>
      <c r="O500" s="68" t="n">
        <v>3.4793</v>
      </c>
      <c r="P500" s="68" t="n">
        <v>0.4062</v>
      </c>
      <c r="Q500" s="68" t="n">
        <v>1.576</v>
      </c>
      <c r="R500" s="67" t="n">
        <v>1.9612</v>
      </c>
      <c r="S500" s="68" t="s">
        <v>767</v>
      </c>
      <c r="T500" s="68" t="s">
        <v>201</v>
      </c>
      <c r="U500" s="68" t="s">
        <v>945</v>
      </c>
      <c r="V500" s="69"/>
      <c r="W500" s="68"/>
      <c r="X500" s="68" t="n">
        <v>41.2440476190532</v>
      </c>
      <c r="Y500" s="68" t="n">
        <v>96.2361111111241</v>
      </c>
      <c r="Z500" s="68" t="n">
        <v>2.33333333333333</v>
      </c>
      <c r="AA500" s="70"/>
    </row>
    <row r="501" customFormat="false" ht="14.25" hidden="false" customHeight="false" outlineLevel="0" collapsed="false">
      <c r="A501" s="56"/>
      <c r="B501" s="56"/>
      <c r="C501" s="64" t="n">
        <v>496</v>
      </c>
      <c r="D501" s="71" t="s">
        <v>1254</v>
      </c>
      <c r="E501" s="71" t="s">
        <v>1033</v>
      </c>
      <c r="F501" s="71" t="s">
        <v>1247</v>
      </c>
      <c r="G501" s="65" t="n">
        <v>110</v>
      </c>
      <c r="H501" s="68" t="n">
        <v>4.2</v>
      </c>
      <c r="I501" s="68" t="n">
        <v>630</v>
      </c>
      <c r="J501" s="68" t="n">
        <v>900</v>
      </c>
      <c r="K501" s="68" t="n">
        <v>819</v>
      </c>
      <c r="L501" s="68" t="s">
        <v>199</v>
      </c>
      <c r="M501" s="67" t="n">
        <v>0.0798</v>
      </c>
      <c r="N501" s="68" t="n">
        <v>0.4594</v>
      </c>
      <c r="O501" s="68" t="n">
        <v>3.6339</v>
      </c>
      <c r="P501" s="68" t="n">
        <v>0.3542</v>
      </c>
      <c r="Q501" s="68" t="n">
        <v>1.5568</v>
      </c>
      <c r="R501" s="67" t="n">
        <v>2.0083</v>
      </c>
      <c r="S501" s="68" t="s">
        <v>767</v>
      </c>
      <c r="T501" s="68" t="s">
        <v>201</v>
      </c>
      <c r="U501" s="68" t="s">
        <v>945</v>
      </c>
      <c r="V501" s="69"/>
      <c r="W501" s="68"/>
      <c r="X501" s="68" t="n">
        <v>18.4027777777883</v>
      </c>
      <c r="Y501" s="68" t="n">
        <v>73.6111111111532</v>
      </c>
      <c r="Z501" s="68" t="n">
        <v>4</v>
      </c>
      <c r="AA501" s="70"/>
    </row>
    <row r="502" customFormat="false" ht="14.25" hidden="false" customHeight="false" outlineLevel="0" collapsed="false">
      <c r="A502" s="56"/>
      <c r="B502" s="56"/>
      <c r="C502" s="64" t="n">
        <v>497</v>
      </c>
      <c r="D502" s="71" t="s">
        <v>1255</v>
      </c>
      <c r="E502" s="71" t="s">
        <v>1033</v>
      </c>
      <c r="F502" s="71" t="s">
        <v>1247</v>
      </c>
      <c r="G502" s="65" t="n">
        <v>110</v>
      </c>
      <c r="H502" s="68" t="n">
        <v>4.2</v>
      </c>
      <c r="I502" s="68" t="n">
        <v>630</v>
      </c>
      <c r="J502" s="68" t="n">
        <v>900</v>
      </c>
      <c r="K502" s="68" t="n">
        <v>819</v>
      </c>
      <c r="L502" s="68" t="s">
        <v>199</v>
      </c>
      <c r="M502" s="67" t="n">
        <v>0.0798</v>
      </c>
      <c r="N502" s="68" t="n">
        <v>0.4594</v>
      </c>
      <c r="O502" s="68" t="n">
        <v>3.6339</v>
      </c>
      <c r="P502" s="68" t="n">
        <v>0.3542</v>
      </c>
      <c r="Q502" s="68" t="n">
        <v>1.5568</v>
      </c>
      <c r="R502" s="67" t="n">
        <v>2.0083</v>
      </c>
      <c r="S502" s="68" t="s">
        <v>767</v>
      </c>
      <c r="T502" s="68" t="s">
        <v>201</v>
      </c>
      <c r="U502" s="68" t="s">
        <v>945</v>
      </c>
      <c r="V502" s="69"/>
      <c r="W502" s="68"/>
      <c r="X502" s="68" t="n">
        <v>25.9083333333692</v>
      </c>
      <c r="Y502" s="68" t="n">
        <v>51.8166666667385</v>
      </c>
      <c r="Z502" s="68" t="n">
        <v>2</v>
      </c>
      <c r="AA502" s="70"/>
    </row>
    <row r="503" customFormat="false" ht="14.25" hidden="false" customHeight="false" outlineLevel="0" collapsed="false">
      <c r="A503" s="56"/>
      <c r="B503" s="56"/>
      <c r="C503" s="64" t="n">
        <v>498</v>
      </c>
      <c r="D503" s="71" t="s">
        <v>1256</v>
      </c>
      <c r="E503" s="71" t="s">
        <v>1033</v>
      </c>
      <c r="F503" s="71" t="s">
        <v>1257</v>
      </c>
      <c r="G503" s="65" t="n">
        <v>110</v>
      </c>
      <c r="H503" s="68" t="n">
        <v>5</v>
      </c>
      <c r="I503" s="68" t="n">
        <v>467</v>
      </c>
      <c r="J503" s="68" t="n">
        <v>667</v>
      </c>
      <c r="K503" s="68" t="n">
        <v>607.1</v>
      </c>
      <c r="L503" s="68" t="s">
        <v>199</v>
      </c>
      <c r="M503" s="67" t="n">
        <v>0.1318</v>
      </c>
      <c r="N503" s="68" t="n">
        <v>0.4787</v>
      </c>
      <c r="O503" s="68" t="n">
        <v>3.4793</v>
      </c>
      <c r="P503" s="68" t="n">
        <v>0.4062</v>
      </c>
      <c r="Q503" s="68" t="n">
        <v>1.576</v>
      </c>
      <c r="R503" s="67" t="n">
        <v>1.9612</v>
      </c>
      <c r="S503" s="68" t="s">
        <v>767</v>
      </c>
      <c r="T503" s="68" t="s">
        <v>201</v>
      </c>
      <c r="U503" s="68" t="s">
        <v>945</v>
      </c>
      <c r="V503" s="69"/>
      <c r="W503" s="68"/>
      <c r="X503" s="68" t="n">
        <v>44.771568627446</v>
      </c>
      <c r="Y503" s="68" t="n">
        <v>126.852777777764</v>
      </c>
      <c r="Z503" s="68" t="n">
        <v>2.83333333333333</v>
      </c>
      <c r="AA503" s="70"/>
    </row>
    <row r="504" customFormat="false" ht="14.25" hidden="false" customHeight="false" outlineLevel="0" collapsed="false">
      <c r="A504" s="56"/>
      <c r="B504" s="56"/>
      <c r="C504" s="64" t="n">
        <v>499</v>
      </c>
      <c r="D504" s="71" t="s">
        <v>1258</v>
      </c>
      <c r="E504" s="71" t="s">
        <v>819</v>
      </c>
      <c r="F504" s="71" t="s">
        <v>1238</v>
      </c>
      <c r="G504" s="65" t="n">
        <v>110</v>
      </c>
      <c r="H504" s="68" t="n">
        <v>9</v>
      </c>
      <c r="I504" s="68" t="n">
        <v>630</v>
      </c>
      <c r="J504" s="68" t="n">
        <v>900</v>
      </c>
      <c r="K504" s="68" t="n">
        <v>819</v>
      </c>
      <c r="L504" s="68" t="s">
        <v>199</v>
      </c>
      <c r="M504" s="67" t="n">
        <v>0.0798</v>
      </c>
      <c r="N504" s="68" t="n">
        <v>0.4594</v>
      </c>
      <c r="O504" s="68" t="n">
        <v>3.6339</v>
      </c>
      <c r="P504" s="68" t="n">
        <v>0.3542</v>
      </c>
      <c r="Q504" s="68" t="n">
        <v>1.5568</v>
      </c>
      <c r="R504" s="67" t="n">
        <v>2.0083</v>
      </c>
      <c r="S504" s="68" t="s">
        <v>767</v>
      </c>
      <c r="T504" s="68" t="s">
        <v>201</v>
      </c>
      <c r="U504" s="68" t="s">
        <v>945</v>
      </c>
      <c r="V504" s="69"/>
      <c r="W504" s="68"/>
      <c r="X504" s="68" t="n">
        <v>4.90222222221783</v>
      </c>
      <c r="Y504" s="68" t="n">
        <v>12.2555555555446</v>
      </c>
      <c r="Z504" s="68" t="n">
        <v>2.5</v>
      </c>
      <c r="AA504" s="70"/>
    </row>
    <row r="505" customFormat="false" ht="14.25" hidden="false" customHeight="false" outlineLevel="0" collapsed="false">
      <c r="A505" s="56"/>
      <c r="B505" s="56"/>
      <c r="C505" s="64" t="n">
        <v>500</v>
      </c>
      <c r="D505" s="71" t="s">
        <v>1259</v>
      </c>
      <c r="E505" s="71" t="s">
        <v>1260</v>
      </c>
      <c r="F505" s="71" t="s">
        <v>1257</v>
      </c>
      <c r="G505" s="65" t="n">
        <v>110</v>
      </c>
      <c r="H505" s="68" t="n">
        <v>4.13</v>
      </c>
      <c r="I505" s="68" t="n">
        <v>467</v>
      </c>
      <c r="J505" s="68" t="n">
        <v>667</v>
      </c>
      <c r="K505" s="68" t="n">
        <v>607.1</v>
      </c>
      <c r="L505" s="68" t="s">
        <v>199</v>
      </c>
      <c r="M505" s="67" t="n">
        <v>0.1318</v>
      </c>
      <c r="N505" s="68" t="n">
        <v>0.4787</v>
      </c>
      <c r="O505" s="68" t="n">
        <v>3.4793</v>
      </c>
      <c r="P505" s="68" t="n">
        <v>0.4062</v>
      </c>
      <c r="Q505" s="68" t="n">
        <v>1.576</v>
      </c>
      <c r="R505" s="67" t="n">
        <v>1.9612</v>
      </c>
      <c r="S505" s="68" t="s">
        <v>767</v>
      </c>
      <c r="T505" s="68" t="s">
        <v>201</v>
      </c>
      <c r="U505" s="68" t="s">
        <v>945</v>
      </c>
      <c r="V505" s="69"/>
      <c r="W505" s="68"/>
      <c r="X505" s="68" t="n">
        <v>55.0050000000105</v>
      </c>
      <c r="Y505" s="68" t="n">
        <v>91.6750000000175</v>
      </c>
      <c r="Z505" s="68" t="n">
        <v>1.66666666666667</v>
      </c>
      <c r="AA505" s="70"/>
    </row>
    <row r="506" customFormat="false" ht="14.25" hidden="false" customHeight="false" outlineLevel="0" collapsed="false">
      <c r="A506" s="56"/>
      <c r="B506" s="56"/>
      <c r="C506" s="64" t="n">
        <v>501</v>
      </c>
      <c r="D506" s="71" t="s">
        <v>1261</v>
      </c>
      <c r="E506" s="71" t="s">
        <v>1245</v>
      </c>
      <c r="F506" s="71" t="s">
        <v>1247</v>
      </c>
      <c r="G506" s="65" t="n">
        <v>110</v>
      </c>
      <c r="H506" s="68" t="n">
        <v>6.8</v>
      </c>
      <c r="I506" s="68" t="n">
        <v>630</v>
      </c>
      <c r="J506" s="68" t="n">
        <v>900</v>
      </c>
      <c r="K506" s="68" t="n">
        <v>819</v>
      </c>
      <c r="L506" s="68" t="s">
        <v>199</v>
      </c>
      <c r="M506" s="67" t="n">
        <v>0.0798</v>
      </c>
      <c r="N506" s="68" t="n">
        <v>0.4594</v>
      </c>
      <c r="O506" s="68" t="n">
        <v>3.6339</v>
      </c>
      <c r="P506" s="68" t="n">
        <v>0.3542</v>
      </c>
      <c r="Q506" s="68" t="n">
        <v>1.5568</v>
      </c>
      <c r="R506" s="67" t="n">
        <v>2.0083</v>
      </c>
      <c r="S506" s="68" t="s">
        <v>767</v>
      </c>
      <c r="T506" s="68" t="s">
        <v>201</v>
      </c>
      <c r="U506" s="68" t="s">
        <v>945</v>
      </c>
      <c r="V506" s="69"/>
      <c r="W506" s="68"/>
      <c r="X506" s="68" t="n">
        <v>5.84658119655572</v>
      </c>
      <c r="Y506" s="68" t="n">
        <v>12.6675925925374</v>
      </c>
      <c r="Z506" s="68" t="n">
        <v>2.16666666666667</v>
      </c>
      <c r="AA506" s="70" t="s">
        <v>1262</v>
      </c>
    </row>
    <row r="507" customFormat="false" ht="14.25" hidden="false" customHeight="false" outlineLevel="0" collapsed="false">
      <c r="A507" s="56"/>
      <c r="B507" s="56"/>
      <c r="C507" s="64" t="n">
        <v>502</v>
      </c>
      <c r="D507" s="71" t="s">
        <v>1263</v>
      </c>
      <c r="E507" s="71" t="s">
        <v>1245</v>
      </c>
      <c r="F507" s="71" t="s">
        <v>1250</v>
      </c>
      <c r="G507" s="65" t="n">
        <v>110</v>
      </c>
      <c r="H507" s="68" t="n">
        <v>4.25</v>
      </c>
      <c r="I507" s="68" t="n">
        <v>630</v>
      </c>
      <c r="J507" s="68" t="n">
        <v>900</v>
      </c>
      <c r="K507" s="68" t="n">
        <v>819</v>
      </c>
      <c r="L507" s="68" t="s">
        <v>199</v>
      </c>
      <c r="M507" s="67" t="n">
        <v>0.0798</v>
      </c>
      <c r="N507" s="68" t="n">
        <v>0.4594</v>
      </c>
      <c r="O507" s="68" t="n">
        <v>3.6339</v>
      </c>
      <c r="P507" s="68" t="n">
        <v>0.3542</v>
      </c>
      <c r="Q507" s="68" t="n">
        <v>1.5568</v>
      </c>
      <c r="R507" s="67" t="n">
        <v>2.0083</v>
      </c>
      <c r="S507" s="68" t="s">
        <v>767</v>
      </c>
      <c r="T507" s="68" t="s">
        <v>201</v>
      </c>
      <c r="U507" s="68" t="s">
        <v>771</v>
      </c>
      <c r="V507" s="69" t="n">
        <v>46387</v>
      </c>
      <c r="W507" s="68"/>
      <c r="X507" s="68"/>
      <c r="Y507" s="68"/>
      <c r="Z507" s="68"/>
      <c r="AA507" s="70"/>
    </row>
    <row r="508" customFormat="false" ht="14.25" hidden="false" customHeight="false" outlineLevel="0" collapsed="false">
      <c r="A508" s="56"/>
      <c r="B508" s="56"/>
      <c r="C508" s="64" t="n">
        <v>503</v>
      </c>
      <c r="D508" s="71" t="s">
        <v>1264</v>
      </c>
      <c r="E508" s="71" t="s">
        <v>1250</v>
      </c>
      <c r="F508" s="71" t="s">
        <v>1247</v>
      </c>
      <c r="G508" s="65" t="n">
        <v>110</v>
      </c>
      <c r="H508" s="68" t="n">
        <v>2.65</v>
      </c>
      <c r="I508" s="68" t="n">
        <v>630</v>
      </c>
      <c r="J508" s="68" t="n">
        <v>900</v>
      </c>
      <c r="K508" s="68" t="n">
        <v>819</v>
      </c>
      <c r="L508" s="68" t="s">
        <v>199</v>
      </c>
      <c r="M508" s="67" t="n">
        <v>0.0798</v>
      </c>
      <c r="N508" s="68" t="n">
        <v>0.4594</v>
      </c>
      <c r="O508" s="68" t="n">
        <v>3.6339</v>
      </c>
      <c r="P508" s="68" t="n">
        <v>0.3542</v>
      </c>
      <c r="Q508" s="68" t="n">
        <v>1.5568</v>
      </c>
      <c r="R508" s="67" t="n">
        <v>2.0083</v>
      </c>
      <c r="S508" s="68" t="s">
        <v>767</v>
      </c>
      <c r="T508" s="68" t="s">
        <v>201</v>
      </c>
      <c r="U508" s="68" t="s">
        <v>771</v>
      </c>
      <c r="V508" s="69" t="n">
        <v>46387</v>
      </c>
      <c r="W508" s="68"/>
      <c r="X508" s="68"/>
      <c r="Y508" s="68"/>
      <c r="Z508" s="68"/>
      <c r="AA508" s="70"/>
    </row>
    <row r="509" customFormat="false" ht="14.25" hidden="false" customHeight="false" outlineLevel="0" collapsed="false">
      <c r="A509" s="56"/>
      <c r="B509" s="56"/>
      <c r="C509" s="64" t="n">
        <v>504</v>
      </c>
      <c r="D509" s="71" t="s">
        <v>1265</v>
      </c>
      <c r="E509" s="71" t="s">
        <v>814</v>
      </c>
      <c r="F509" s="71" t="s">
        <v>1266</v>
      </c>
      <c r="G509" s="65" t="n">
        <v>110</v>
      </c>
      <c r="H509" s="68" t="n">
        <v>31.8</v>
      </c>
      <c r="I509" s="68" t="n">
        <v>430</v>
      </c>
      <c r="J509" s="68" t="n">
        <v>430</v>
      </c>
      <c r="K509" s="68" t="n">
        <v>430</v>
      </c>
      <c r="L509" s="68" t="s">
        <v>199</v>
      </c>
      <c r="M509" s="67" t="n">
        <v>0.1864</v>
      </c>
      <c r="N509" s="68" t="n">
        <v>0.5332</v>
      </c>
      <c r="O509" s="68" t="n">
        <v>3.0695</v>
      </c>
      <c r="P509" s="68" t="n">
        <v>0.4727</v>
      </c>
      <c r="Q509" s="68" t="n">
        <v>1.5004</v>
      </c>
      <c r="R509" s="67" t="n">
        <v>2.1359</v>
      </c>
      <c r="S509" s="68" t="s">
        <v>767</v>
      </c>
      <c r="T509" s="68" t="s">
        <v>201</v>
      </c>
      <c r="U509" s="68" t="s">
        <v>945</v>
      </c>
      <c r="V509" s="69"/>
      <c r="W509" s="68"/>
      <c r="X509" s="68" t="n">
        <v>7.60416666665697</v>
      </c>
      <c r="Y509" s="68" t="n">
        <v>5.06944444443798</v>
      </c>
      <c r="Z509" s="68" t="n">
        <v>0.666666666666667</v>
      </c>
      <c r="AA509" s="70"/>
    </row>
    <row r="510" customFormat="false" ht="14.25" hidden="false" customHeight="false" outlineLevel="0" collapsed="false">
      <c r="A510" s="56"/>
      <c r="B510" s="56"/>
      <c r="C510" s="64" t="n">
        <v>505</v>
      </c>
      <c r="D510" s="65" t="s">
        <v>1267</v>
      </c>
      <c r="E510" s="65" t="s">
        <v>1268</v>
      </c>
      <c r="F510" s="65" t="s">
        <v>1269</v>
      </c>
      <c r="G510" s="66" t="n">
        <v>34.5</v>
      </c>
      <c r="H510" s="67" t="n">
        <v>18.697</v>
      </c>
      <c r="I510" s="68" t="n">
        <v>393</v>
      </c>
      <c r="J510" s="68" t="n">
        <v>393</v>
      </c>
      <c r="K510" s="68" t="n">
        <v>393</v>
      </c>
      <c r="L510" s="68" t="s">
        <v>199</v>
      </c>
      <c r="M510" s="67" t="n">
        <v>0.2119043</v>
      </c>
      <c r="N510" s="67" t="n">
        <v>0.4065866</v>
      </c>
      <c r="O510" s="67" t="n">
        <v>4.093796</v>
      </c>
      <c r="P510" s="67" t="n">
        <v>0.5555478</v>
      </c>
      <c r="Q510" s="67" t="n">
        <v>1.32258</v>
      </c>
      <c r="R510" s="67" t="n">
        <v>1.882314</v>
      </c>
      <c r="S510" s="68" t="s">
        <v>200</v>
      </c>
      <c r="T510" s="68" t="s">
        <v>201</v>
      </c>
      <c r="U510" s="68" t="s">
        <v>945</v>
      </c>
      <c r="V510" s="69"/>
      <c r="W510" s="68" t="n">
        <v>266.8</v>
      </c>
      <c r="X510" s="68"/>
      <c r="Y510" s="68"/>
      <c r="Z510" s="68"/>
      <c r="AA510" s="70"/>
    </row>
    <row r="511" customFormat="false" ht="14.25" hidden="false" customHeight="false" outlineLevel="0" collapsed="false">
      <c r="A511" s="56"/>
      <c r="B511" s="56"/>
      <c r="C511" s="64" t="n">
        <v>506</v>
      </c>
      <c r="D511" s="65" t="s">
        <v>1270</v>
      </c>
      <c r="E511" s="65" t="s">
        <v>1099</v>
      </c>
      <c r="F511" s="65" t="s">
        <v>1055</v>
      </c>
      <c r="G511" s="66" t="n">
        <v>44</v>
      </c>
      <c r="H511" s="67" t="n">
        <v>11.6</v>
      </c>
      <c r="I511" s="68" t="n">
        <v>310</v>
      </c>
      <c r="J511" s="68" t="n">
        <v>310</v>
      </c>
      <c r="K511" s="68" t="n">
        <v>310</v>
      </c>
      <c r="L511" s="68" t="s">
        <v>199</v>
      </c>
      <c r="M511" s="67" t="n">
        <v>0.2617358</v>
      </c>
      <c r="N511" s="67" t="n">
        <v>0.4266667</v>
      </c>
      <c r="O511" s="67" t="n">
        <v>4.032093</v>
      </c>
      <c r="P511" s="67" t="n">
        <v>0.6727617</v>
      </c>
      <c r="Q511" s="67" t="n">
        <v>1.585629</v>
      </c>
      <c r="R511" s="67" t="n">
        <v>1.852435</v>
      </c>
      <c r="S511" s="68" t="s">
        <v>200</v>
      </c>
      <c r="T511" s="68" t="s">
        <v>201</v>
      </c>
      <c r="U511" s="68" t="s">
        <v>771</v>
      </c>
      <c r="V511" s="69" t="n">
        <v>46752</v>
      </c>
      <c r="W511" s="68" t="s">
        <v>782</v>
      </c>
      <c r="X511" s="68"/>
      <c r="Y511" s="68"/>
      <c r="Z511" s="68"/>
      <c r="AA511" s="70"/>
    </row>
    <row r="514" customFormat="false" ht="14.25" hidden="false" customHeight="false" outlineLevel="0" collapsed="false">
      <c r="K514" s="79"/>
    </row>
  </sheetData>
  <mergeCells count="28">
    <mergeCell ref="C3:AA3"/>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s>
  <dataValidations count="5">
    <dataValidation allowBlank="false" errorStyle="stop" operator="between" showDropDown="false" showErrorMessage="true" showInputMessage="true" sqref="G1:K3 M1:R3 G6:K285 M6:R463 G286:H463 K286:K300 M464:M511 R464:R511 G510:H547 N510:Q511 M512:R1511 G548:K1511" type="decimal">
      <formula1>-100000000000000</formula1>
      <formula2>10000000000</formula2>
    </dataValidation>
    <dataValidation allowBlank="true" errorStyle="stop" operator="greaterThan" showDropDown="false" showErrorMessage="true" showInputMessage="true" sqref="V1:V3 V6:V1511" type="date">
      <formula1>1</formula1>
      <formula2>0</formula2>
    </dataValidation>
    <dataValidation allowBlank="true" errorStyle="stop" operator="between" showDropDown="false" showErrorMessage="true" showInputMessage="true" sqref="T6:T54" type="list">
      <formula1>TProyecto</formula1>
      <formula2>0</formula2>
    </dataValidation>
    <dataValidation allowBlank="true" errorStyle="stop" operator="between" showDropDown="false" showErrorMessage="true" showInputMessage="true" sqref="U6:U54" type="list">
      <formula1>Recurso</formula1>
      <formula2>0</formula2>
    </dataValidation>
    <dataValidation allowBlank="true" errorStyle="stop" operator="between" showDropDown="false" showErrorMessage="true" showInputMessage="true" sqref="S6:S54" type="list">
      <formula1>'Listas Desplegables'!$B$4:$B$6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H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51" activePane="bottomRight" state="frozen"/>
      <selection pane="topLeft" activeCell="A1" activeCellId="0" sqref="A1"/>
      <selection pane="topRight" activeCell="E1" activeCellId="0" sqref="E1"/>
      <selection pane="bottomLeft" activeCell="A51" activeCellId="0" sqref="A51"/>
      <selection pane="bottomRight" activeCell="C3" activeCellId="0" sqref="C3"/>
    </sheetView>
  </sheetViews>
  <sheetFormatPr defaultColWidth="11.55859375" defaultRowHeight="14.25" zeroHeight="false" outlineLevelRow="0" outlineLevelCol="0"/>
  <cols>
    <col collapsed="false" customWidth="true" hidden="true" outlineLevel="0" max="2" min="1" style="56" width="3"/>
    <col collapsed="false" customWidth="true" hidden="false" outlineLevel="0" max="3" min="3" style="46" width="6.67"/>
    <col collapsed="false" customWidth="true" hidden="false" outlineLevel="0" max="4" min="4" style="0" width="33"/>
    <col collapsed="false" customWidth="true" hidden="false" outlineLevel="0" max="5" min="5" style="0" width="14.56"/>
    <col collapsed="false" customWidth="true" hidden="false" outlineLevel="0" max="8" min="6" style="0" width="12.67"/>
    <col collapsed="false" customWidth="true" hidden="false" outlineLevel="0" max="11" min="11" style="0" width="11.45"/>
    <col collapsed="false" customWidth="true" hidden="false" outlineLevel="0" max="13" min="13" style="0" width="16.33"/>
    <col collapsed="false" customWidth="true" hidden="false" outlineLevel="0" max="14" min="14" style="0" width="16"/>
    <col collapsed="false" customWidth="true" hidden="false" outlineLevel="0" max="15" min="15" style="0" width="15.55"/>
    <col collapsed="false" customWidth="true" hidden="false" outlineLevel="0" max="16" min="16" style="0" width="18.44"/>
    <col collapsed="false" customWidth="true" hidden="false" outlineLevel="0" max="17" min="17" style="0" width="15.67"/>
    <col collapsed="false" customWidth="true" hidden="false" outlineLevel="0" max="18" min="18" style="0" width="15.89"/>
    <col collapsed="false" customWidth="true" hidden="false" outlineLevel="0" max="19" min="19" style="0" width="11.45"/>
    <col collapsed="false" customWidth="false" hidden="false" outlineLevel="0" max="26" min="26" style="47" width="11.55"/>
    <col collapsed="false" customWidth="true" hidden="false" outlineLevel="0" max="33" min="31" style="0" width="16.55"/>
    <col collapsed="false" customWidth="true" hidden="false" outlineLevel="0" max="34" min="34" style="0" width="33"/>
  </cols>
  <sheetData>
    <row r="1" s="81" customFormat="true" ht="14.25" hidden="true" customHeight="false" outlineLevel="0" collapsed="false">
      <c r="A1" s="56"/>
      <c r="B1" s="56"/>
      <c r="C1" s="80"/>
      <c r="Z1" s="82"/>
    </row>
    <row r="2" s="81" customFormat="true" ht="15" hidden="true" customHeight="false" outlineLevel="0" collapsed="false">
      <c r="A2" s="56"/>
      <c r="B2" s="56"/>
      <c r="C2" s="80"/>
      <c r="Z2" s="82"/>
    </row>
    <row r="3" s="50" customFormat="true" ht="15" hidden="false" customHeight="false" outlineLevel="0" collapsed="false">
      <c r="A3" s="83"/>
      <c r="B3" s="83"/>
      <c r="C3" s="49" t="s">
        <v>1271</v>
      </c>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row>
    <row r="4" s="88" customFormat="true" ht="12" hidden="false" customHeight="true" outlineLevel="0" collapsed="false">
      <c r="A4" s="84"/>
      <c r="B4" s="84"/>
      <c r="C4" s="53" t="s">
        <v>195</v>
      </c>
      <c r="D4" s="54" t="str">
        <f aca="false">'Manual de Uso'!C53</f>
        <v>Nombre</v>
      </c>
      <c r="E4" s="54" t="str">
        <f aca="false">'Manual de Uso'!C54</f>
        <v>Subestación</v>
      </c>
      <c r="F4" s="54" t="str">
        <f aca="false">'Manual de Uso'!C55</f>
        <v>Nivel de tensión HV [kV]</v>
      </c>
      <c r="G4" s="54" t="str">
        <f aca="false">'Manual de Uso'!C56</f>
        <v>Nivel de tensión MV [kV]</v>
      </c>
      <c r="H4" s="54" t="str">
        <f aca="false">'Manual de Uso'!C57</f>
        <v>Nivel de tensión LV [kV]</v>
      </c>
      <c r="I4" s="54" t="str">
        <f aca="false">'Manual de Uso'!C58</f>
        <v>Capacidad HV [MVA]</v>
      </c>
      <c r="J4" s="54" t="str">
        <f aca="false">'Manual de Uso'!C59</f>
        <v>Capacidad MV [MVA]</v>
      </c>
      <c r="K4" s="54" t="str">
        <f aca="false">'Manual de Uso'!C60</f>
        <v>Capacidad LV [MVA]</v>
      </c>
      <c r="L4" s="54" t="str">
        <f aca="false">'Manual de Uso'!C61</f>
        <v>Grupo de conexión</v>
      </c>
      <c r="M4" s="85" t="str">
        <f aca="false">'Manual de Uso'!C62</f>
        <v>Impedancia HV-MV Secuencia +[%]</v>
      </c>
      <c r="N4" s="85" t="str">
        <f aca="false">'Manual de Uso'!C63</f>
        <v>Impedancia HV-LV Secuencia +[%]</v>
      </c>
      <c r="O4" s="85" t="str">
        <f aca="false">'Manual de Uso'!C64</f>
        <v>Impedancia MV-LV Secuencia +[%]</v>
      </c>
      <c r="P4" s="85" t="str">
        <f aca="false">'Manual de Uso'!C65</f>
        <v>Impedancia HV-MV Secuencia 0[%]</v>
      </c>
      <c r="Q4" s="85" t="str">
        <f aca="false">'Manual de Uso'!C66</f>
        <v>Impedancia HV-LV Secuencia 0[%]</v>
      </c>
      <c r="R4" s="85" t="str">
        <f aca="false">'Manual de Uso'!C67</f>
        <v>Impedancia MV-LV Secuencia 0[%]</v>
      </c>
      <c r="S4" s="54" t="str">
        <f aca="false">'Manual de Uso'!C68</f>
        <v>Posición Neutral Tap</v>
      </c>
      <c r="T4" s="54" t="str">
        <f aca="false">'Manual de Uso'!C69</f>
        <v>Posición Máxima Tap</v>
      </c>
      <c r="U4" s="54" t="str">
        <f aca="false">'Manual de Uso'!C70</f>
        <v>Posición Mínima Tap</v>
      </c>
      <c r="V4" s="54" t="str">
        <f aca="false">'Manual de Uso'!C71</f>
        <v>Delta Tap [%]</v>
      </c>
      <c r="W4" s="86" t="str">
        <f aca="false">'Manual de Uso'!C72</f>
        <v>Sobrecarga en emergencia</v>
      </c>
      <c r="X4" s="86"/>
      <c r="Y4" s="54" t="str">
        <f aca="false">'Manual de Uso'!C73</f>
        <v>En Operación</v>
      </c>
      <c r="Z4" s="87" t="str">
        <f aca="false">'Manual de Uso'!C74</f>
        <v>FPO</v>
      </c>
      <c r="AA4" s="87" t="str">
        <f aca="false">'Manual de Uso'!C75</f>
        <v>Sistema</v>
      </c>
      <c r="AB4" s="54" t="str">
        <f aca="false">'Manual de Uso'!C76</f>
        <v>Pérdidas Cu HV-MV [kW]</v>
      </c>
      <c r="AC4" s="87" t="str">
        <f aca="false">'Manual de Uso'!C77</f>
        <v>Pérdidas Cu HV-LV [kW]</v>
      </c>
      <c r="AD4" s="87" t="str">
        <f aca="false">'Manual de Uso'!C78</f>
        <v>Pérdidas Cu MV-LV [kW]</v>
      </c>
      <c r="AE4" s="87" t="str">
        <f aca="false">'Manual de Uso'!C79</f>
        <v>Tiempo medio de reparación por evento [h]</v>
      </c>
      <c r="AF4" s="87" t="str">
        <f aca="false">'Manual de Uso'!C80</f>
        <v>Horas anuales de indisponibilidad [h]</v>
      </c>
      <c r="AG4" s="87" t="str">
        <f aca="false">'Manual de Uso'!C81</f>
        <v>Eventos anuales de indisponibilidad</v>
      </c>
      <c r="AH4" s="87" t="str">
        <f aca="false">'Manual de Uso'!C82</f>
        <v>Observaciones transportador</v>
      </c>
    </row>
    <row r="5" s="55" customFormat="true" ht="24" hidden="false" customHeight="true" outlineLevel="0" collapsed="false">
      <c r="A5" s="89"/>
      <c r="B5" s="89"/>
      <c r="C5" s="53"/>
      <c r="D5" s="54"/>
      <c r="E5" s="54"/>
      <c r="F5" s="54"/>
      <c r="G5" s="54"/>
      <c r="H5" s="54"/>
      <c r="I5" s="54"/>
      <c r="J5" s="54"/>
      <c r="K5" s="54"/>
      <c r="L5" s="54"/>
      <c r="M5" s="54"/>
      <c r="N5" s="54"/>
      <c r="O5" s="54"/>
      <c r="P5" s="85"/>
      <c r="Q5" s="85"/>
      <c r="R5" s="85"/>
      <c r="S5" s="54"/>
      <c r="T5" s="54"/>
      <c r="U5" s="54"/>
      <c r="V5" s="54"/>
      <c r="W5" s="90" t="s">
        <v>1272</v>
      </c>
      <c r="X5" s="90" t="s">
        <v>1273</v>
      </c>
      <c r="Y5" s="54"/>
      <c r="Z5" s="87"/>
      <c r="AA5" s="87"/>
      <c r="AB5" s="54"/>
      <c r="AC5" s="87"/>
      <c r="AD5" s="87"/>
      <c r="AE5" s="87"/>
      <c r="AF5" s="87"/>
      <c r="AG5" s="87"/>
      <c r="AH5" s="87"/>
    </row>
    <row r="6" customFormat="false" ht="14.25" hidden="false" customHeight="false" outlineLevel="0" collapsed="false">
      <c r="C6" s="57" t="n">
        <v>1</v>
      </c>
      <c r="D6" s="58" t="s">
        <v>1274</v>
      </c>
      <c r="E6" s="58" t="s">
        <v>855</v>
      </c>
      <c r="F6" s="59" t="n">
        <v>110</v>
      </c>
      <c r="G6" s="59" t="n">
        <v>46</v>
      </c>
      <c r="H6" s="60" t="n">
        <v>13.8</v>
      </c>
      <c r="I6" s="60" t="n">
        <v>40</v>
      </c>
      <c r="J6" s="60" t="n">
        <v>40</v>
      </c>
      <c r="K6" s="60" t="n">
        <v>13.3</v>
      </c>
      <c r="L6" s="61" t="s">
        <v>1275</v>
      </c>
      <c r="M6" s="60" t="n">
        <v>12.43</v>
      </c>
      <c r="N6" s="60" t="n">
        <v>7.69</v>
      </c>
      <c r="O6" s="60" t="n">
        <v>2.21</v>
      </c>
      <c r="P6" s="60" t="n">
        <v>12.43</v>
      </c>
      <c r="Q6" s="60" t="n">
        <v>7.69</v>
      </c>
      <c r="R6" s="60" t="n">
        <v>2.21</v>
      </c>
      <c r="S6" s="60" t="n">
        <v>0</v>
      </c>
      <c r="T6" s="60" t="n">
        <v>8</v>
      </c>
      <c r="U6" s="60" t="n">
        <v>-12</v>
      </c>
      <c r="V6" s="91" t="n">
        <v>1.25</v>
      </c>
      <c r="W6" s="60" t="n">
        <v>0</v>
      </c>
      <c r="X6" s="60"/>
      <c r="Y6" s="61" t="s">
        <v>202</v>
      </c>
      <c r="Z6" s="62"/>
      <c r="AA6" s="61" t="s">
        <v>200</v>
      </c>
      <c r="AB6" s="61"/>
      <c r="AC6" s="61"/>
      <c r="AD6" s="61"/>
      <c r="AE6" s="61" t="n">
        <v>1.83657407</v>
      </c>
      <c r="AF6" s="61" t="n">
        <v>7.04020059554475</v>
      </c>
      <c r="AG6" s="61" t="n">
        <v>3.83333333</v>
      </c>
      <c r="AH6" s="92" t="s">
        <v>1276</v>
      </c>
    </row>
    <row r="7" customFormat="false" ht="14.25" hidden="false" customHeight="false" outlineLevel="0" collapsed="false">
      <c r="C7" s="64" t="n">
        <v>2</v>
      </c>
      <c r="D7" s="65" t="s">
        <v>1274</v>
      </c>
      <c r="E7" s="65" t="s">
        <v>855</v>
      </c>
      <c r="F7" s="66" t="n">
        <v>110</v>
      </c>
      <c r="G7" s="66" t="n">
        <v>46</v>
      </c>
      <c r="H7" s="67" t="n">
        <v>13.8</v>
      </c>
      <c r="I7" s="67" t="n">
        <v>40</v>
      </c>
      <c r="J7" s="67" t="n">
        <v>40</v>
      </c>
      <c r="K7" s="67" t="n">
        <v>20</v>
      </c>
      <c r="L7" s="68" t="s">
        <v>1277</v>
      </c>
      <c r="M7" s="67" t="n">
        <v>12.43</v>
      </c>
      <c r="N7" s="67" t="n">
        <v>7.69</v>
      </c>
      <c r="O7" s="67" t="n">
        <v>2.21</v>
      </c>
      <c r="P7" s="67" t="n">
        <v>12.43</v>
      </c>
      <c r="Q7" s="67" t="n">
        <v>7.69</v>
      </c>
      <c r="R7" s="67" t="n">
        <v>2.21</v>
      </c>
      <c r="S7" s="67" t="n">
        <v>0</v>
      </c>
      <c r="T7" s="67" t="n">
        <v>8</v>
      </c>
      <c r="U7" s="67" t="n">
        <v>-8</v>
      </c>
      <c r="V7" s="66" t="n">
        <v>1.25</v>
      </c>
      <c r="W7" s="67" t="n">
        <v>0</v>
      </c>
      <c r="X7" s="67"/>
      <c r="Y7" s="68" t="s">
        <v>771</v>
      </c>
      <c r="Z7" s="69" t="n">
        <v>46752</v>
      </c>
      <c r="AA7" s="68" t="s">
        <v>200</v>
      </c>
      <c r="AB7" s="68"/>
      <c r="AC7" s="68"/>
      <c r="AD7" s="68"/>
      <c r="AE7" s="68"/>
      <c r="AF7" s="68"/>
      <c r="AG7" s="68"/>
      <c r="AH7" s="92"/>
    </row>
    <row r="8" customFormat="false" ht="14.25" hidden="false" customHeight="false" outlineLevel="0" collapsed="false">
      <c r="C8" s="64" t="n">
        <v>3</v>
      </c>
      <c r="D8" s="65" t="s">
        <v>1278</v>
      </c>
      <c r="E8" s="65" t="s">
        <v>851</v>
      </c>
      <c r="F8" s="66" t="n">
        <v>112</v>
      </c>
      <c r="G8" s="66" t="n">
        <v>46</v>
      </c>
      <c r="H8" s="67" t="n">
        <v>13.8</v>
      </c>
      <c r="I8" s="67" t="n">
        <v>60</v>
      </c>
      <c r="J8" s="67" t="n">
        <v>20</v>
      </c>
      <c r="K8" s="67" t="n">
        <v>60</v>
      </c>
      <c r="L8" s="68" t="s">
        <v>1277</v>
      </c>
      <c r="M8" s="67" t="n">
        <v>9.8</v>
      </c>
      <c r="N8" s="67" t="n">
        <v>18.032</v>
      </c>
      <c r="O8" s="67" t="n">
        <v>2.87</v>
      </c>
      <c r="P8" s="67" t="n">
        <v>9.8</v>
      </c>
      <c r="Q8" s="67" t="n">
        <v>18.032</v>
      </c>
      <c r="R8" s="67" t="n">
        <v>2.87</v>
      </c>
      <c r="S8" s="67" t="n">
        <v>0</v>
      </c>
      <c r="T8" s="67" t="n">
        <v>8</v>
      </c>
      <c r="U8" s="67" t="n">
        <v>-8</v>
      </c>
      <c r="V8" s="66" t="n">
        <v>1.25</v>
      </c>
      <c r="W8" s="67" t="n">
        <v>0</v>
      </c>
      <c r="X8" s="67"/>
      <c r="Y8" s="68" t="s">
        <v>202</v>
      </c>
      <c r="Z8" s="69"/>
      <c r="AA8" s="68" t="s">
        <v>200</v>
      </c>
      <c r="AB8" s="68"/>
      <c r="AC8" s="68"/>
      <c r="AD8" s="68"/>
      <c r="AE8" s="68" t="n">
        <v>61.0792593</v>
      </c>
      <c r="AF8" s="68" t="n">
        <v>671.8718523</v>
      </c>
      <c r="AG8" s="68" t="n">
        <v>11</v>
      </c>
      <c r="AH8" s="92"/>
    </row>
    <row r="9" customFormat="false" ht="14.25" hidden="false" customHeight="false" outlineLevel="0" collapsed="false">
      <c r="C9" s="64" t="n">
        <v>4</v>
      </c>
      <c r="D9" s="65" t="s">
        <v>1279</v>
      </c>
      <c r="E9" s="65" t="s">
        <v>851</v>
      </c>
      <c r="F9" s="66" t="n">
        <v>214.5</v>
      </c>
      <c r="G9" s="66" t="n">
        <v>110</v>
      </c>
      <c r="H9" s="67" t="n">
        <v>46</v>
      </c>
      <c r="I9" s="67" t="n">
        <v>180</v>
      </c>
      <c r="J9" s="67" t="n">
        <v>180</v>
      </c>
      <c r="K9" s="67" t="n">
        <v>60</v>
      </c>
      <c r="L9" s="68" t="s">
        <v>1275</v>
      </c>
      <c r="M9" s="67" t="n">
        <v>9.23</v>
      </c>
      <c r="N9" s="67" t="n">
        <v>13.01</v>
      </c>
      <c r="O9" s="67" t="n">
        <v>8.86</v>
      </c>
      <c r="P9" s="67" t="n">
        <v>8.778</v>
      </c>
      <c r="Q9" s="67" t="n">
        <v>12.3595</v>
      </c>
      <c r="R9" s="67" t="n">
        <v>8.417</v>
      </c>
      <c r="S9" s="67" t="n">
        <v>11</v>
      </c>
      <c r="T9" s="67" t="n">
        <v>21</v>
      </c>
      <c r="U9" s="67" t="n">
        <v>1</v>
      </c>
      <c r="V9" s="66" t="n">
        <v>1.3</v>
      </c>
      <c r="W9" s="67" t="n">
        <v>30</v>
      </c>
      <c r="X9" s="67"/>
      <c r="Y9" s="68" t="s">
        <v>202</v>
      </c>
      <c r="Z9" s="69"/>
      <c r="AA9" s="68" t="s">
        <v>767</v>
      </c>
      <c r="AB9" s="68"/>
      <c r="AC9" s="68"/>
      <c r="AD9" s="68"/>
      <c r="AE9" s="68" t="n">
        <v>28.1748611</v>
      </c>
      <c r="AF9" s="68" t="n">
        <v>216.00726852725</v>
      </c>
      <c r="AG9" s="68" t="n">
        <v>7.66666667</v>
      </c>
      <c r="AH9" s="92"/>
    </row>
    <row r="10" customFormat="false" ht="14.25" hidden="false" customHeight="false" outlineLevel="0" collapsed="false">
      <c r="C10" s="64" t="n">
        <v>5</v>
      </c>
      <c r="D10" s="65" t="s">
        <v>1280</v>
      </c>
      <c r="E10" s="65" t="s">
        <v>851</v>
      </c>
      <c r="F10" s="66" t="n">
        <v>110</v>
      </c>
      <c r="G10" s="66" t="n">
        <v>46.9</v>
      </c>
      <c r="H10" s="67" t="n">
        <v>15</v>
      </c>
      <c r="I10" s="67" t="n">
        <v>60</v>
      </c>
      <c r="J10" s="67" t="n">
        <v>20</v>
      </c>
      <c r="K10" s="67" t="n">
        <v>60</v>
      </c>
      <c r="L10" s="68" t="s">
        <v>1281</v>
      </c>
      <c r="M10" s="67" t="n">
        <v>10.09</v>
      </c>
      <c r="N10" s="67" t="n">
        <v>17.55</v>
      </c>
      <c r="O10" s="67" t="n">
        <v>2.99</v>
      </c>
      <c r="P10" s="67" t="n">
        <v>10.09</v>
      </c>
      <c r="Q10" s="67" t="n">
        <v>17.55</v>
      </c>
      <c r="R10" s="67" t="n">
        <v>2.99</v>
      </c>
      <c r="S10" s="67" t="n">
        <v>0</v>
      </c>
      <c r="T10" s="67" t="n">
        <v>8</v>
      </c>
      <c r="U10" s="67" t="n">
        <v>-8</v>
      </c>
      <c r="V10" s="66" t="n">
        <v>1.25</v>
      </c>
      <c r="W10" s="67" t="n">
        <v>0</v>
      </c>
      <c r="X10" s="67"/>
      <c r="Y10" s="68" t="s">
        <v>202</v>
      </c>
      <c r="Z10" s="69"/>
      <c r="AA10" s="68" t="s">
        <v>200</v>
      </c>
      <c r="AB10" s="68"/>
      <c r="AC10" s="68"/>
      <c r="AD10" s="68"/>
      <c r="AE10" s="68" t="n">
        <v>17.0933333</v>
      </c>
      <c r="AF10" s="68" t="n">
        <v>128.19999975</v>
      </c>
      <c r="AG10" s="68" t="n">
        <v>7.5</v>
      </c>
      <c r="AH10" s="92"/>
    </row>
    <row r="11" customFormat="false" ht="14.25" hidden="false" customHeight="false" outlineLevel="0" collapsed="false">
      <c r="C11" s="64" t="n">
        <v>6</v>
      </c>
      <c r="D11" s="65" t="s">
        <v>1282</v>
      </c>
      <c r="E11" s="65" t="s">
        <v>851</v>
      </c>
      <c r="F11" s="66" t="n">
        <v>214.5</v>
      </c>
      <c r="G11" s="66" t="n">
        <v>110</v>
      </c>
      <c r="H11" s="67" t="n">
        <v>46</v>
      </c>
      <c r="I11" s="67" t="n">
        <v>180</v>
      </c>
      <c r="J11" s="67" t="n">
        <v>180</v>
      </c>
      <c r="K11" s="67" t="n">
        <v>60</v>
      </c>
      <c r="L11" s="68" t="s">
        <v>1275</v>
      </c>
      <c r="M11" s="67" t="n">
        <v>9.2</v>
      </c>
      <c r="N11" s="67" t="n">
        <v>13.02</v>
      </c>
      <c r="O11" s="67" t="n">
        <v>8.81</v>
      </c>
      <c r="P11" s="67" t="n">
        <v>9.2</v>
      </c>
      <c r="Q11" s="67" t="n">
        <v>12.1885</v>
      </c>
      <c r="R11" s="67" t="n">
        <v>8.5405</v>
      </c>
      <c r="S11" s="67" t="n">
        <v>11</v>
      </c>
      <c r="T11" s="67" t="n">
        <v>21</v>
      </c>
      <c r="U11" s="67" t="n">
        <v>1</v>
      </c>
      <c r="V11" s="66" t="n">
        <v>1.3</v>
      </c>
      <c r="W11" s="67" t="n">
        <v>30</v>
      </c>
      <c r="X11" s="67"/>
      <c r="Y11" s="68" t="s">
        <v>202</v>
      </c>
      <c r="Z11" s="69"/>
      <c r="AA11" s="68" t="s">
        <v>767</v>
      </c>
      <c r="AB11" s="68"/>
      <c r="AC11" s="68"/>
      <c r="AD11" s="68"/>
      <c r="AE11" s="68" t="n">
        <v>13.8005093</v>
      </c>
      <c r="AF11" s="68" t="n">
        <v>29.901103529335</v>
      </c>
      <c r="AG11" s="68" t="n">
        <v>2.16666667</v>
      </c>
      <c r="AH11" s="92"/>
    </row>
    <row r="12" customFormat="false" ht="14.25" hidden="false" customHeight="false" outlineLevel="0" collapsed="false">
      <c r="C12" s="64" t="n">
        <v>7</v>
      </c>
      <c r="D12" s="65" t="s">
        <v>1283</v>
      </c>
      <c r="E12" s="65" t="s">
        <v>1036</v>
      </c>
      <c r="F12" s="66" t="n">
        <v>112</v>
      </c>
      <c r="G12" s="66" t="n">
        <v>46</v>
      </c>
      <c r="H12" s="67" t="n">
        <v>13.8</v>
      </c>
      <c r="I12" s="67" t="n">
        <v>60</v>
      </c>
      <c r="J12" s="67" t="n">
        <v>20</v>
      </c>
      <c r="K12" s="67" t="n">
        <v>60</v>
      </c>
      <c r="L12" s="68" t="s">
        <v>1277</v>
      </c>
      <c r="M12" s="67" t="n">
        <v>9.84</v>
      </c>
      <c r="N12" s="67" t="n">
        <v>18.12</v>
      </c>
      <c r="O12" s="67" t="n">
        <v>2.85</v>
      </c>
      <c r="P12" s="67" t="n">
        <v>9.84</v>
      </c>
      <c r="Q12" s="67" t="n">
        <v>18.12</v>
      </c>
      <c r="R12" s="67" t="n">
        <v>2.85</v>
      </c>
      <c r="S12" s="67" t="n">
        <v>0</v>
      </c>
      <c r="T12" s="67" t="n">
        <v>8</v>
      </c>
      <c r="U12" s="67" t="n">
        <v>-8</v>
      </c>
      <c r="V12" s="66" t="n">
        <v>1.25</v>
      </c>
      <c r="W12" s="67" t="n">
        <v>0</v>
      </c>
      <c r="X12" s="67"/>
      <c r="Y12" s="68" t="s">
        <v>771</v>
      </c>
      <c r="Z12" s="69" t="n">
        <v>46752</v>
      </c>
      <c r="AA12" s="68" t="s">
        <v>200</v>
      </c>
      <c r="AB12" s="68"/>
      <c r="AC12" s="68"/>
      <c r="AD12" s="68"/>
      <c r="AE12" s="68"/>
      <c r="AF12" s="68"/>
      <c r="AG12" s="68"/>
      <c r="AH12" s="92"/>
    </row>
    <row r="13" customFormat="false" ht="14.25" hidden="false" customHeight="false" outlineLevel="0" collapsed="false">
      <c r="C13" s="64" t="n">
        <v>8</v>
      </c>
      <c r="D13" s="65" t="s">
        <v>1284</v>
      </c>
      <c r="E13" s="65" t="s">
        <v>1205</v>
      </c>
      <c r="F13" s="66" t="n">
        <v>110</v>
      </c>
      <c r="G13" s="66" t="n">
        <v>47.16</v>
      </c>
      <c r="H13" s="67" t="n">
        <v>6.35</v>
      </c>
      <c r="I13" s="67" t="n">
        <v>30</v>
      </c>
      <c r="J13" s="67" t="n">
        <v>30</v>
      </c>
      <c r="K13" s="67" t="n">
        <v>9.4</v>
      </c>
      <c r="L13" s="68" t="s">
        <v>1275</v>
      </c>
      <c r="M13" s="67" t="n">
        <v>9.46</v>
      </c>
      <c r="N13" s="67" t="n">
        <v>5.045</v>
      </c>
      <c r="O13" s="67" t="n">
        <v>3.1</v>
      </c>
      <c r="P13" s="67" t="n">
        <v>9.46</v>
      </c>
      <c r="Q13" s="67" t="n">
        <v>5.045</v>
      </c>
      <c r="R13" s="67" t="n">
        <v>3.1</v>
      </c>
      <c r="S13" s="67" t="n">
        <v>0</v>
      </c>
      <c r="T13" s="67" t="n">
        <v>8</v>
      </c>
      <c r="U13" s="67" t="n">
        <v>-8</v>
      </c>
      <c r="V13" s="66" t="n">
        <v>1.25</v>
      </c>
      <c r="W13" s="67" t="n">
        <v>0</v>
      </c>
      <c r="X13" s="67"/>
      <c r="Y13" s="68" t="s">
        <v>202</v>
      </c>
      <c r="Z13" s="69"/>
      <c r="AA13" s="68" t="s">
        <v>200</v>
      </c>
      <c r="AB13" s="68"/>
      <c r="AC13" s="68"/>
      <c r="AD13" s="68"/>
      <c r="AE13" s="68" t="n">
        <v>18.5675694</v>
      </c>
      <c r="AF13" s="68" t="n">
        <v>111.4054164</v>
      </c>
      <c r="AG13" s="68" t="n">
        <v>6</v>
      </c>
      <c r="AH13" s="92"/>
    </row>
    <row r="14" customFormat="false" ht="14.25" hidden="false" customHeight="false" outlineLevel="0" collapsed="false">
      <c r="C14" s="64" t="n">
        <v>9</v>
      </c>
      <c r="D14" s="65" t="s">
        <v>1285</v>
      </c>
      <c r="E14" s="65" t="s">
        <v>1205</v>
      </c>
      <c r="F14" s="66" t="n">
        <v>110</v>
      </c>
      <c r="G14" s="66" t="n">
        <v>46.85</v>
      </c>
      <c r="H14" s="67" t="n">
        <v>14.9</v>
      </c>
      <c r="I14" s="67" t="n">
        <v>30</v>
      </c>
      <c r="J14" s="67" t="n">
        <v>10</v>
      </c>
      <c r="K14" s="67" t="n">
        <v>30</v>
      </c>
      <c r="L14" s="68" t="s">
        <v>1281</v>
      </c>
      <c r="M14" s="67" t="n">
        <v>9.72</v>
      </c>
      <c r="N14" s="67" t="n">
        <v>17.57</v>
      </c>
      <c r="O14" s="67" t="n">
        <v>2.78</v>
      </c>
      <c r="P14" s="67" t="n">
        <v>9.72</v>
      </c>
      <c r="Q14" s="67" t="n">
        <v>17.57</v>
      </c>
      <c r="R14" s="67" t="n">
        <v>2.78</v>
      </c>
      <c r="S14" s="67" t="n">
        <v>0</v>
      </c>
      <c r="T14" s="67" t="n">
        <v>8</v>
      </c>
      <c r="U14" s="67" t="n">
        <v>-8</v>
      </c>
      <c r="V14" s="66" t="n">
        <v>1.25</v>
      </c>
      <c r="W14" s="67" t="n">
        <v>0</v>
      </c>
      <c r="X14" s="67"/>
      <c r="Y14" s="68" t="s">
        <v>202</v>
      </c>
      <c r="Z14" s="69"/>
      <c r="AA14" s="68" t="s">
        <v>200</v>
      </c>
      <c r="AB14" s="68"/>
      <c r="AC14" s="68"/>
      <c r="AD14" s="68"/>
      <c r="AE14" s="68" t="n">
        <v>3.9062037</v>
      </c>
      <c r="AF14" s="68" t="n">
        <v>6.51033951302068</v>
      </c>
      <c r="AG14" s="68" t="n">
        <v>1.66666667</v>
      </c>
      <c r="AH14" s="92"/>
    </row>
    <row r="15" customFormat="false" ht="14.25" hidden="false" customHeight="false" outlineLevel="0" collapsed="false">
      <c r="C15" s="64" t="n">
        <v>10</v>
      </c>
      <c r="D15" s="65" t="s">
        <v>1286</v>
      </c>
      <c r="E15" s="65" t="s">
        <v>1205</v>
      </c>
      <c r="F15" s="66" t="n">
        <v>220</v>
      </c>
      <c r="G15" s="66" t="n">
        <v>110</v>
      </c>
      <c r="H15" s="67" t="n">
        <v>44</v>
      </c>
      <c r="I15" s="67" t="n">
        <v>180</v>
      </c>
      <c r="J15" s="67" t="n">
        <v>180</v>
      </c>
      <c r="K15" s="67" t="n">
        <v>60</v>
      </c>
      <c r="L15" s="68" t="s">
        <v>1287</v>
      </c>
      <c r="M15" s="67" t="n">
        <v>9.76</v>
      </c>
      <c r="N15" s="67" t="n">
        <v>12.803</v>
      </c>
      <c r="O15" s="67" t="n">
        <v>8.817</v>
      </c>
      <c r="P15" s="67" t="n">
        <v>9.272</v>
      </c>
      <c r="Q15" s="67" t="n">
        <v>12.16285</v>
      </c>
      <c r="R15" s="67" t="n">
        <v>8.37615</v>
      </c>
      <c r="S15" s="67" t="n">
        <v>0</v>
      </c>
      <c r="T15" s="67" t="n">
        <v>10</v>
      </c>
      <c r="U15" s="67" t="n">
        <v>-10</v>
      </c>
      <c r="V15" s="66" t="n">
        <v>1.25</v>
      </c>
      <c r="W15" s="67" t="n">
        <v>20</v>
      </c>
      <c r="X15" s="67"/>
      <c r="Y15" s="68" t="s">
        <v>202</v>
      </c>
      <c r="Z15" s="69"/>
      <c r="AA15" s="68" t="s">
        <v>767</v>
      </c>
      <c r="AB15" s="68"/>
      <c r="AC15" s="68"/>
      <c r="AD15" s="68"/>
      <c r="AE15" s="68" t="n">
        <v>33.825</v>
      </c>
      <c r="AF15" s="68" t="n">
        <v>363.61875</v>
      </c>
      <c r="AG15" s="68" t="n">
        <v>10.75</v>
      </c>
      <c r="AH15" s="92"/>
    </row>
    <row r="16" customFormat="false" ht="14.25" hidden="false" customHeight="false" outlineLevel="0" collapsed="false">
      <c r="C16" s="64" t="n">
        <v>11</v>
      </c>
      <c r="D16" s="65" t="s">
        <v>1288</v>
      </c>
      <c r="E16" s="65" t="s">
        <v>1289</v>
      </c>
      <c r="F16" s="66" t="n">
        <v>110</v>
      </c>
      <c r="G16" s="66" t="n">
        <v>48.33</v>
      </c>
      <c r="H16" s="67" t="n">
        <v>14.15</v>
      </c>
      <c r="I16" s="67" t="n">
        <v>60</v>
      </c>
      <c r="J16" s="67" t="n">
        <v>20</v>
      </c>
      <c r="K16" s="67" t="n">
        <v>60</v>
      </c>
      <c r="L16" s="68" t="s">
        <v>1281</v>
      </c>
      <c r="M16" s="67" t="n">
        <v>8</v>
      </c>
      <c r="N16" s="67" t="n">
        <v>12.2</v>
      </c>
      <c r="O16" s="67" t="n">
        <v>2.95</v>
      </c>
      <c r="P16" s="67" t="n">
        <v>8</v>
      </c>
      <c r="Q16" s="67" t="n">
        <v>12.2</v>
      </c>
      <c r="R16" s="67" t="n">
        <v>2.95</v>
      </c>
      <c r="S16" s="67" t="n">
        <v>0</v>
      </c>
      <c r="T16" s="67" t="n">
        <v>15</v>
      </c>
      <c r="U16" s="67" t="n">
        <v>-15</v>
      </c>
      <c r="V16" s="66" t="n">
        <v>0.6667</v>
      </c>
      <c r="W16" s="67" t="n">
        <v>0</v>
      </c>
      <c r="X16" s="67"/>
      <c r="Y16" s="68" t="s">
        <v>202</v>
      </c>
      <c r="Z16" s="69"/>
      <c r="AA16" s="68" t="s">
        <v>200</v>
      </c>
      <c r="AB16" s="68"/>
      <c r="AC16" s="68"/>
      <c r="AD16" s="68"/>
      <c r="AE16" s="68" t="n">
        <v>13.7855093</v>
      </c>
      <c r="AF16" s="68" t="n">
        <v>62.03479185</v>
      </c>
      <c r="AG16" s="68" t="n">
        <v>4.5</v>
      </c>
      <c r="AH16" s="92"/>
    </row>
    <row r="17" customFormat="false" ht="14.25" hidden="false" customHeight="false" outlineLevel="0" collapsed="false">
      <c r="C17" s="64" t="n">
        <v>12</v>
      </c>
      <c r="D17" s="65" t="s">
        <v>1290</v>
      </c>
      <c r="E17" s="65" t="s">
        <v>1289</v>
      </c>
      <c r="F17" s="66" t="n">
        <v>110</v>
      </c>
      <c r="G17" s="66" t="n">
        <v>46.55</v>
      </c>
      <c r="H17" s="67" t="n">
        <v>14.35</v>
      </c>
      <c r="I17" s="67" t="n">
        <v>60</v>
      </c>
      <c r="J17" s="67" t="n">
        <v>20</v>
      </c>
      <c r="K17" s="67" t="n">
        <v>60</v>
      </c>
      <c r="L17" s="68" t="s">
        <v>1281</v>
      </c>
      <c r="M17" s="67" t="n">
        <v>8.2</v>
      </c>
      <c r="N17" s="67" t="n">
        <v>12.9</v>
      </c>
      <c r="O17" s="67" t="n">
        <v>3.1</v>
      </c>
      <c r="P17" s="67" t="n">
        <v>8.2</v>
      </c>
      <c r="Q17" s="67" t="n">
        <v>12.9</v>
      </c>
      <c r="R17" s="67" t="n">
        <v>3.1</v>
      </c>
      <c r="S17" s="67" t="n">
        <v>0</v>
      </c>
      <c r="T17" s="67" t="n">
        <v>16</v>
      </c>
      <c r="U17" s="67" t="n">
        <v>-16</v>
      </c>
      <c r="V17" s="66" t="n">
        <v>0.625</v>
      </c>
      <c r="W17" s="67" t="n">
        <v>0</v>
      </c>
      <c r="X17" s="67"/>
      <c r="Y17" s="68" t="s">
        <v>202</v>
      </c>
      <c r="Z17" s="69"/>
      <c r="AA17" s="68" t="s">
        <v>200</v>
      </c>
      <c r="AB17" s="68"/>
      <c r="AC17" s="68"/>
      <c r="AD17" s="68"/>
      <c r="AE17" s="68" t="n">
        <v>28.7345833</v>
      </c>
      <c r="AF17" s="68" t="n">
        <v>383.127776375514</v>
      </c>
      <c r="AG17" s="68" t="n">
        <v>13.3333333</v>
      </c>
      <c r="AH17" s="92"/>
    </row>
    <row r="18" customFormat="false" ht="14.25" hidden="false" customHeight="false" outlineLevel="0" collapsed="false">
      <c r="C18" s="64" t="n">
        <v>13</v>
      </c>
      <c r="D18" s="65" t="s">
        <v>1291</v>
      </c>
      <c r="E18" s="65" t="s">
        <v>1214</v>
      </c>
      <c r="F18" s="66" t="n">
        <v>110</v>
      </c>
      <c r="G18" s="66" t="n">
        <v>46.8</v>
      </c>
      <c r="H18" s="67" t="n">
        <v>15.02</v>
      </c>
      <c r="I18" s="67" t="n">
        <v>60</v>
      </c>
      <c r="J18" s="67" t="n">
        <v>20</v>
      </c>
      <c r="K18" s="67" t="n">
        <v>60</v>
      </c>
      <c r="L18" s="68" t="s">
        <v>1281</v>
      </c>
      <c r="M18" s="67" t="n">
        <v>8.63</v>
      </c>
      <c r="N18" s="67" t="n">
        <v>17.08</v>
      </c>
      <c r="O18" s="67" t="n">
        <v>2.8</v>
      </c>
      <c r="P18" s="67" t="n">
        <v>8.63</v>
      </c>
      <c r="Q18" s="67" t="n">
        <v>17.08</v>
      </c>
      <c r="R18" s="67" t="n">
        <v>2.8</v>
      </c>
      <c r="S18" s="67" t="n">
        <v>0</v>
      </c>
      <c r="T18" s="67" t="n">
        <v>11</v>
      </c>
      <c r="U18" s="67" t="n">
        <v>-5</v>
      </c>
      <c r="V18" s="66" t="n">
        <v>1.25</v>
      </c>
      <c r="W18" s="67" t="n">
        <v>0</v>
      </c>
      <c r="X18" s="67"/>
      <c r="Y18" s="68" t="s">
        <v>202</v>
      </c>
      <c r="Z18" s="69"/>
      <c r="AA18" s="68" t="s">
        <v>200</v>
      </c>
      <c r="AB18" s="68"/>
      <c r="AC18" s="68"/>
      <c r="AD18" s="68"/>
      <c r="AE18" s="68" t="n">
        <v>68.5499074</v>
      </c>
      <c r="AF18" s="68" t="n">
        <v>274.1996296</v>
      </c>
      <c r="AG18" s="68" t="n">
        <v>4</v>
      </c>
      <c r="AH18" s="92"/>
    </row>
    <row r="19" customFormat="false" ht="14.25" hidden="false" customHeight="false" outlineLevel="0" collapsed="false">
      <c r="C19" s="64" t="n">
        <v>14</v>
      </c>
      <c r="D19" s="65" t="s">
        <v>1292</v>
      </c>
      <c r="E19" s="65" t="s">
        <v>1214</v>
      </c>
      <c r="F19" s="66" t="n">
        <v>214.5</v>
      </c>
      <c r="G19" s="66" t="n">
        <v>110</v>
      </c>
      <c r="H19" s="67" t="n">
        <v>46</v>
      </c>
      <c r="I19" s="67" t="n">
        <v>180</v>
      </c>
      <c r="J19" s="67" t="n">
        <v>180</v>
      </c>
      <c r="K19" s="67" t="n">
        <v>60</v>
      </c>
      <c r="L19" s="68" t="s">
        <v>1275</v>
      </c>
      <c r="M19" s="67" t="n">
        <v>9.19</v>
      </c>
      <c r="N19" s="67" t="n">
        <v>12.9</v>
      </c>
      <c r="O19" s="67" t="n">
        <v>8.8</v>
      </c>
      <c r="P19" s="67" t="n">
        <v>8.7305</v>
      </c>
      <c r="Q19" s="67" t="n">
        <v>12.9</v>
      </c>
      <c r="R19" s="67" t="n">
        <v>8.8</v>
      </c>
      <c r="S19" s="67" t="n">
        <v>11</v>
      </c>
      <c r="T19" s="67" t="n">
        <v>21</v>
      </c>
      <c r="U19" s="67" t="n">
        <v>1</v>
      </c>
      <c r="V19" s="66" t="n">
        <v>1.3</v>
      </c>
      <c r="W19" s="67" t="n">
        <v>30</v>
      </c>
      <c r="X19" s="67"/>
      <c r="Y19" s="68" t="s">
        <v>202</v>
      </c>
      <c r="Z19" s="69"/>
      <c r="AA19" s="68" t="s">
        <v>767</v>
      </c>
      <c r="AB19" s="68"/>
      <c r="AC19" s="68"/>
      <c r="AD19" s="68"/>
      <c r="AE19" s="68" t="n">
        <v>29.9806944</v>
      </c>
      <c r="AF19" s="68" t="n">
        <v>119.9227776</v>
      </c>
      <c r="AG19" s="68" t="n">
        <v>4</v>
      </c>
      <c r="AH19" s="92"/>
    </row>
    <row r="20" customFormat="false" ht="14.25" hidden="false" customHeight="false" outlineLevel="0" collapsed="false">
      <c r="C20" s="64" t="n">
        <v>15</v>
      </c>
      <c r="D20" s="65" t="s">
        <v>1293</v>
      </c>
      <c r="E20" s="65" t="s">
        <v>1214</v>
      </c>
      <c r="F20" s="66" t="n">
        <v>110</v>
      </c>
      <c r="G20" s="66" t="n">
        <v>45.94</v>
      </c>
      <c r="H20" s="67" t="n">
        <v>14.4</v>
      </c>
      <c r="I20" s="67" t="n">
        <v>60</v>
      </c>
      <c r="J20" s="67" t="n">
        <v>20</v>
      </c>
      <c r="K20" s="67" t="n">
        <v>60</v>
      </c>
      <c r="L20" s="68" t="s">
        <v>1281</v>
      </c>
      <c r="M20" s="67" t="n">
        <v>8.8</v>
      </c>
      <c r="N20" s="67" t="n">
        <v>16.93</v>
      </c>
      <c r="O20" s="67" t="n">
        <v>3.57</v>
      </c>
      <c r="P20" s="67" t="n">
        <v>8.8</v>
      </c>
      <c r="Q20" s="67" t="n">
        <v>16.93</v>
      </c>
      <c r="R20" s="67" t="n">
        <v>3.57</v>
      </c>
      <c r="S20" s="67" t="n">
        <v>0</v>
      </c>
      <c r="T20" s="67" t="n">
        <v>11</v>
      </c>
      <c r="U20" s="67" t="n">
        <v>-5</v>
      </c>
      <c r="V20" s="66" t="n">
        <v>1.25</v>
      </c>
      <c r="W20" s="67" t="n">
        <v>0</v>
      </c>
      <c r="X20" s="67"/>
      <c r="Y20" s="68" t="s">
        <v>202</v>
      </c>
      <c r="Z20" s="69"/>
      <c r="AA20" s="68" t="s">
        <v>200</v>
      </c>
      <c r="AB20" s="68"/>
      <c r="AC20" s="68"/>
      <c r="AD20" s="68"/>
      <c r="AE20" s="68" t="n">
        <v>58.1650926</v>
      </c>
      <c r="AF20" s="68" t="n">
        <v>213.272006393884</v>
      </c>
      <c r="AG20" s="68" t="n">
        <v>3.66666667</v>
      </c>
      <c r="AH20" s="92"/>
    </row>
    <row r="21" customFormat="false" ht="14.25" hidden="false" customHeight="false" outlineLevel="0" collapsed="false">
      <c r="C21" s="64" t="n">
        <v>16</v>
      </c>
      <c r="D21" s="65" t="s">
        <v>1294</v>
      </c>
      <c r="E21" s="65" t="s">
        <v>1214</v>
      </c>
      <c r="F21" s="66" t="n">
        <v>214.5</v>
      </c>
      <c r="G21" s="66" t="n">
        <v>110</v>
      </c>
      <c r="H21" s="67" t="n">
        <v>46</v>
      </c>
      <c r="I21" s="67" t="n">
        <v>180</v>
      </c>
      <c r="J21" s="67" t="n">
        <v>180</v>
      </c>
      <c r="K21" s="67" t="n">
        <v>60</v>
      </c>
      <c r="L21" s="68" t="s">
        <v>1275</v>
      </c>
      <c r="M21" s="67" t="n">
        <v>9.2</v>
      </c>
      <c r="N21" s="67" t="n">
        <v>12.84</v>
      </c>
      <c r="O21" s="67" t="n">
        <v>8.69</v>
      </c>
      <c r="P21" s="67" t="n">
        <v>8.759</v>
      </c>
      <c r="Q21" s="67" t="n">
        <v>12.1125</v>
      </c>
      <c r="R21" s="67" t="n">
        <v>8.1985</v>
      </c>
      <c r="S21" s="67" t="n">
        <v>11</v>
      </c>
      <c r="T21" s="67" t="n">
        <v>21</v>
      </c>
      <c r="U21" s="67" t="n">
        <v>1</v>
      </c>
      <c r="V21" s="66" t="n">
        <v>1.3</v>
      </c>
      <c r="W21" s="67" t="n">
        <v>30</v>
      </c>
      <c r="X21" s="67"/>
      <c r="Y21" s="68" t="s">
        <v>202</v>
      </c>
      <c r="Z21" s="69"/>
      <c r="AA21" s="68" t="s">
        <v>767</v>
      </c>
      <c r="AB21" s="68"/>
      <c r="AC21" s="68"/>
      <c r="AD21" s="68"/>
      <c r="AE21" s="68" t="n">
        <v>39.22875</v>
      </c>
      <c r="AF21" s="68" t="n">
        <v>245.1796875</v>
      </c>
      <c r="AG21" s="68" t="n">
        <v>6.25</v>
      </c>
      <c r="AH21" s="92"/>
    </row>
    <row r="22" customFormat="false" ht="14.25" hidden="false" customHeight="false" outlineLevel="0" collapsed="false">
      <c r="C22" s="64" t="n">
        <v>17</v>
      </c>
      <c r="D22" s="65" t="s">
        <v>1295</v>
      </c>
      <c r="E22" s="65" t="s">
        <v>861</v>
      </c>
      <c r="F22" s="66" t="n">
        <v>112</v>
      </c>
      <c r="G22" s="66" t="n">
        <v>46</v>
      </c>
      <c r="H22" s="67" t="n">
        <v>13.8</v>
      </c>
      <c r="I22" s="67" t="n">
        <v>40</v>
      </c>
      <c r="J22" s="67" t="n">
        <v>40</v>
      </c>
      <c r="K22" s="67" t="n">
        <v>13.3</v>
      </c>
      <c r="L22" s="68" t="s">
        <v>1277</v>
      </c>
      <c r="M22" s="67" t="n">
        <v>11.54</v>
      </c>
      <c r="N22" s="67" t="n">
        <v>7.4</v>
      </c>
      <c r="O22" s="67" t="n">
        <v>2.99</v>
      </c>
      <c r="P22" s="67" t="n">
        <v>11.54</v>
      </c>
      <c r="Q22" s="67" t="n">
        <v>7.4</v>
      </c>
      <c r="R22" s="67" t="n">
        <v>2.99</v>
      </c>
      <c r="S22" s="67" t="n">
        <v>0</v>
      </c>
      <c r="T22" s="67" t="n">
        <v>8</v>
      </c>
      <c r="U22" s="67" t="n">
        <v>-8</v>
      </c>
      <c r="V22" s="66" t="n">
        <v>1.25</v>
      </c>
      <c r="W22" s="67" t="n">
        <v>0</v>
      </c>
      <c r="X22" s="67"/>
      <c r="Y22" s="68" t="s">
        <v>202</v>
      </c>
      <c r="Z22" s="69"/>
      <c r="AA22" s="68" t="s">
        <v>200</v>
      </c>
      <c r="AB22" s="68"/>
      <c r="AC22" s="68"/>
      <c r="AD22" s="68"/>
      <c r="AE22" s="68" t="n">
        <v>46.4452315</v>
      </c>
      <c r="AF22" s="68" t="n">
        <v>270.930516928516</v>
      </c>
      <c r="AG22" s="68" t="n">
        <v>5.83333333</v>
      </c>
      <c r="AH22" s="92"/>
    </row>
    <row r="23" customFormat="false" ht="14.25" hidden="false" customHeight="false" outlineLevel="0" collapsed="false">
      <c r="C23" s="64" t="n">
        <v>18</v>
      </c>
      <c r="D23" s="65" t="s">
        <v>1296</v>
      </c>
      <c r="E23" s="65" t="s">
        <v>603</v>
      </c>
      <c r="F23" s="66" t="n">
        <v>110</v>
      </c>
      <c r="G23" s="66" t="n">
        <v>46.55</v>
      </c>
      <c r="H23" s="67" t="n">
        <v>14.35</v>
      </c>
      <c r="I23" s="67" t="n">
        <v>60</v>
      </c>
      <c r="J23" s="67" t="n">
        <v>20</v>
      </c>
      <c r="K23" s="67" t="n">
        <v>60</v>
      </c>
      <c r="L23" s="68" t="s">
        <v>1281</v>
      </c>
      <c r="M23" s="67" t="n">
        <v>8.3</v>
      </c>
      <c r="N23" s="67" t="n">
        <v>13</v>
      </c>
      <c r="O23" s="67" t="n">
        <v>3.2</v>
      </c>
      <c r="P23" s="67" t="n">
        <v>8.3</v>
      </c>
      <c r="Q23" s="67" t="n">
        <v>13</v>
      </c>
      <c r="R23" s="67" t="n">
        <v>3.2</v>
      </c>
      <c r="S23" s="67"/>
      <c r="T23" s="67"/>
      <c r="U23" s="67"/>
      <c r="V23" s="66"/>
      <c r="W23" s="67" t="n">
        <v>0</v>
      </c>
      <c r="X23" s="67"/>
      <c r="Y23" s="68" t="s">
        <v>771</v>
      </c>
      <c r="Z23" s="69" t="n">
        <v>45688</v>
      </c>
      <c r="AA23" s="68" t="s">
        <v>200</v>
      </c>
      <c r="AB23" s="68"/>
      <c r="AC23" s="68"/>
      <c r="AD23" s="68"/>
      <c r="AE23" s="68"/>
      <c r="AF23" s="68"/>
      <c r="AG23" s="68"/>
      <c r="AH23" s="92"/>
    </row>
    <row r="24" customFormat="false" ht="14.25" hidden="false" customHeight="false" outlineLevel="0" collapsed="false">
      <c r="C24" s="64" t="n">
        <v>19</v>
      </c>
      <c r="D24" s="65" t="s">
        <v>1297</v>
      </c>
      <c r="E24" s="65" t="s">
        <v>870</v>
      </c>
      <c r="F24" s="66" t="n">
        <v>220</v>
      </c>
      <c r="G24" s="66" t="n">
        <v>115</v>
      </c>
      <c r="H24" s="67" t="n">
        <v>44</v>
      </c>
      <c r="I24" s="67" t="n">
        <v>180</v>
      </c>
      <c r="J24" s="67" t="n">
        <v>180</v>
      </c>
      <c r="K24" s="67" t="n">
        <v>60</v>
      </c>
      <c r="L24" s="68" t="s">
        <v>1298</v>
      </c>
      <c r="M24" s="67" t="n">
        <v>9.36</v>
      </c>
      <c r="N24" s="67" t="n">
        <v>12.5</v>
      </c>
      <c r="O24" s="67" t="n">
        <v>9</v>
      </c>
      <c r="P24" s="67" t="n">
        <v>9.36</v>
      </c>
      <c r="Q24" s="67" t="n">
        <v>12.5</v>
      </c>
      <c r="R24" s="67" t="n">
        <v>9</v>
      </c>
      <c r="S24" s="67"/>
      <c r="T24" s="67" t="n">
        <v>8</v>
      </c>
      <c r="U24" s="67" t="n">
        <v>-12</v>
      </c>
      <c r="V24" s="66" t="n">
        <v>1.25</v>
      </c>
      <c r="W24" s="67"/>
      <c r="X24" s="67"/>
      <c r="Y24" s="68" t="s">
        <v>771</v>
      </c>
      <c r="Z24" s="69" t="n">
        <v>46295</v>
      </c>
      <c r="AA24" s="68" t="s">
        <v>767</v>
      </c>
      <c r="AB24" s="68"/>
      <c r="AC24" s="68"/>
      <c r="AD24" s="68"/>
      <c r="AE24" s="68"/>
      <c r="AF24" s="68"/>
      <c r="AG24" s="68"/>
      <c r="AH24" s="92"/>
    </row>
    <row r="25" customFormat="false" ht="14.25" hidden="false" customHeight="false" outlineLevel="0" collapsed="false">
      <c r="C25" s="64" t="n">
        <v>20</v>
      </c>
      <c r="D25" s="65" t="s">
        <v>1299</v>
      </c>
      <c r="E25" s="65" t="s">
        <v>870</v>
      </c>
      <c r="F25" s="66" t="n">
        <v>220</v>
      </c>
      <c r="G25" s="66" t="n">
        <v>115</v>
      </c>
      <c r="H25" s="67" t="n">
        <v>44</v>
      </c>
      <c r="I25" s="67" t="n">
        <v>180</v>
      </c>
      <c r="J25" s="67" t="n">
        <v>180</v>
      </c>
      <c r="K25" s="67" t="n">
        <v>60</v>
      </c>
      <c r="L25" s="68" t="s">
        <v>1298</v>
      </c>
      <c r="M25" s="67" t="n">
        <v>9.36</v>
      </c>
      <c r="N25" s="67" t="n">
        <v>12.5</v>
      </c>
      <c r="O25" s="67" t="n">
        <v>9</v>
      </c>
      <c r="P25" s="67" t="n">
        <v>9.36</v>
      </c>
      <c r="Q25" s="67" t="n">
        <v>12.5</v>
      </c>
      <c r="R25" s="67" t="n">
        <v>9</v>
      </c>
      <c r="S25" s="67"/>
      <c r="T25" s="67" t="n">
        <v>8</v>
      </c>
      <c r="U25" s="67" t="n">
        <v>-12</v>
      </c>
      <c r="V25" s="66" t="n">
        <v>1.25</v>
      </c>
      <c r="W25" s="67"/>
      <c r="X25" s="67"/>
      <c r="Y25" s="68" t="s">
        <v>771</v>
      </c>
      <c r="Z25" s="69" t="n">
        <v>46295</v>
      </c>
      <c r="AA25" s="68" t="s">
        <v>767</v>
      </c>
      <c r="AB25" s="68"/>
      <c r="AC25" s="68"/>
      <c r="AD25" s="68"/>
      <c r="AE25" s="68"/>
      <c r="AF25" s="68"/>
      <c r="AG25" s="68"/>
      <c r="AH25" s="92"/>
    </row>
    <row r="26" customFormat="false" ht="14.25" hidden="false" customHeight="false" outlineLevel="0" collapsed="false">
      <c r="C26" s="64" t="n">
        <v>21</v>
      </c>
      <c r="D26" s="65" t="s">
        <v>1300</v>
      </c>
      <c r="E26" s="65" t="s">
        <v>1215</v>
      </c>
      <c r="F26" s="66" t="n">
        <v>110</v>
      </c>
      <c r="G26" s="66" t="n">
        <v>48.33</v>
      </c>
      <c r="H26" s="67" t="n">
        <v>14.15</v>
      </c>
      <c r="I26" s="67" t="n">
        <v>60</v>
      </c>
      <c r="J26" s="67" t="n">
        <v>20</v>
      </c>
      <c r="K26" s="67" t="n">
        <v>60</v>
      </c>
      <c r="L26" s="68" t="s">
        <v>1281</v>
      </c>
      <c r="M26" s="67" t="n">
        <v>8</v>
      </c>
      <c r="N26" s="67" t="n">
        <v>12.2</v>
      </c>
      <c r="O26" s="67" t="n">
        <v>2.95</v>
      </c>
      <c r="P26" s="67" t="n">
        <v>8</v>
      </c>
      <c r="Q26" s="67" t="n">
        <v>12.2</v>
      </c>
      <c r="R26" s="67" t="n">
        <v>2.95</v>
      </c>
      <c r="S26" s="67" t="n">
        <v>0</v>
      </c>
      <c r="T26" s="67" t="n">
        <v>15</v>
      </c>
      <c r="U26" s="67" t="n">
        <v>-15</v>
      </c>
      <c r="V26" s="66" t="n">
        <v>0.66667</v>
      </c>
      <c r="W26" s="67" t="n">
        <v>0</v>
      </c>
      <c r="X26" s="67"/>
      <c r="Y26" s="68" t="s">
        <v>202</v>
      </c>
      <c r="Z26" s="69"/>
      <c r="AA26" s="68" t="s">
        <v>200</v>
      </c>
      <c r="AB26" s="68"/>
      <c r="AC26" s="68"/>
      <c r="AD26" s="68"/>
      <c r="AE26" s="68" t="n">
        <v>104.56537</v>
      </c>
      <c r="AF26" s="68" t="n">
        <v>644.819782015218</v>
      </c>
      <c r="AG26" s="68" t="n">
        <v>6.16666667</v>
      </c>
      <c r="AH26" s="92"/>
    </row>
    <row r="27" customFormat="false" ht="14.25" hidden="false" customHeight="false" outlineLevel="0" collapsed="false">
      <c r="C27" s="64" t="n">
        <v>22</v>
      </c>
      <c r="D27" s="65" t="s">
        <v>1301</v>
      </c>
      <c r="E27" s="65" t="s">
        <v>1215</v>
      </c>
      <c r="F27" s="66" t="n">
        <v>110</v>
      </c>
      <c r="G27" s="66" t="n">
        <v>48.33</v>
      </c>
      <c r="H27" s="67" t="n">
        <v>14.15</v>
      </c>
      <c r="I27" s="67" t="n">
        <v>60</v>
      </c>
      <c r="J27" s="67" t="n">
        <v>20</v>
      </c>
      <c r="K27" s="67" t="n">
        <v>60</v>
      </c>
      <c r="L27" s="68" t="s">
        <v>1281</v>
      </c>
      <c r="M27" s="67" t="n">
        <v>8</v>
      </c>
      <c r="N27" s="67" t="n">
        <v>12.2</v>
      </c>
      <c r="O27" s="67" t="n">
        <v>2.95</v>
      </c>
      <c r="P27" s="67" t="n">
        <v>8</v>
      </c>
      <c r="Q27" s="67" t="n">
        <v>12.2</v>
      </c>
      <c r="R27" s="67" t="n">
        <v>2.95</v>
      </c>
      <c r="S27" s="67" t="n">
        <v>0</v>
      </c>
      <c r="T27" s="67" t="n">
        <v>15</v>
      </c>
      <c r="U27" s="67" t="n">
        <v>-15</v>
      </c>
      <c r="V27" s="66" t="n">
        <v>0.6667</v>
      </c>
      <c r="W27" s="67" t="n">
        <v>0</v>
      </c>
      <c r="X27" s="67"/>
      <c r="Y27" s="68" t="s">
        <v>202</v>
      </c>
      <c r="Z27" s="69"/>
      <c r="AA27" s="68" t="s">
        <v>200</v>
      </c>
      <c r="AB27" s="68"/>
      <c r="AC27" s="68"/>
      <c r="AD27" s="68"/>
      <c r="AE27" s="68" t="n">
        <v>80.3776852</v>
      </c>
      <c r="AF27" s="68" t="n">
        <v>375.095864534592</v>
      </c>
      <c r="AG27" s="68" t="n">
        <v>4.66666667</v>
      </c>
      <c r="AH27" s="92"/>
    </row>
    <row r="28" customFormat="false" ht="14.25" hidden="false" customHeight="false" outlineLevel="0" collapsed="false">
      <c r="C28" s="64" t="n">
        <v>23</v>
      </c>
      <c r="D28" s="65" t="s">
        <v>1302</v>
      </c>
      <c r="E28" s="65" t="s">
        <v>774</v>
      </c>
      <c r="F28" s="66" t="n">
        <v>115</v>
      </c>
      <c r="G28" s="66" t="n">
        <v>44</v>
      </c>
      <c r="H28" s="67" t="n">
        <v>13.2</v>
      </c>
      <c r="I28" s="67" t="n">
        <v>10</v>
      </c>
      <c r="J28" s="67" t="n">
        <v>3.5</v>
      </c>
      <c r="K28" s="67" t="n">
        <v>10</v>
      </c>
      <c r="L28" s="68" t="s">
        <v>1281</v>
      </c>
      <c r="M28" s="67" t="n">
        <v>5.4</v>
      </c>
      <c r="N28" s="67" t="n">
        <v>7.7</v>
      </c>
      <c r="O28" s="67" t="n">
        <v>8.7</v>
      </c>
      <c r="P28" s="67" t="n">
        <v>5.4</v>
      </c>
      <c r="Q28" s="67" t="n">
        <v>7.7</v>
      </c>
      <c r="R28" s="67" t="n">
        <v>8.7</v>
      </c>
      <c r="S28" s="67" t="n">
        <v>0</v>
      </c>
      <c r="T28" s="67" t="n">
        <v>2</v>
      </c>
      <c r="U28" s="67" t="n">
        <v>-2</v>
      </c>
      <c r="V28" s="66" t="n">
        <v>2.5</v>
      </c>
      <c r="W28" s="67" t="n">
        <v>0</v>
      </c>
      <c r="X28" s="67"/>
      <c r="Y28" s="68" t="s">
        <v>202</v>
      </c>
      <c r="Z28" s="69"/>
      <c r="AA28" s="68" t="s">
        <v>200</v>
      </c>
      <c r="AB28" s="68"/>
      <c r="AC28" s="68"/>
      <c r="AD28" s="68"/>
      <c r="AE28" s="68" t="n">
        <v>5.46717593</v>
      </c>
      <c r="AF28" s="68" t="n">
        <v>34.6254475384428</v>
      </c>
      <c r="AG28" s="68" t="n">
        <v>6.33333333</v>
      </c>
      <c r="AH28" s="92"/>
    </row>
    <row r="29" customFormat="false" ht="14.25" hidden="false" customHeight="false" outlineLevel="0" collapsed="false">
      <c r="C29" s="64" t="n">
        <v>24</v>
      </c>
      <c r="D29" s="65" t="s">
        <v>1303</v>
      </c>
      <c r="E29" s="65" t="s">
        <v>1218</v>
      </c>
      <c r="F29" s="66" t="n">
        <v>112</v>
      </c>
      <c r="G29" s="66" t="n">
        <v>46</v>
      </c>
      <c r="H29" s="67" t="n">
        <v>13.8</v>
      </c>
      <c r="I29" s="67" t="n">
        <v>60</v>
      </c>
      <c r="J29" s="67" t="n">
        <v>20</v>
      </c>
      <c r="K29" s="67" t="n">
        <v>60</v>
      </c>
      <c r="L29" s="68" t="s">
        <v>1281</v>
      </c>
      <c r="M29" s="67" t="n">
        <v>9.12</v>
      </c>
      <c r="N29" s="67" t="n">
        <v>18.99</v>
      </c>
      <c r="O29" s="67" t="n">
        <v>2.72</v>
      </c>
      <c r="P29" s="67" t="n">
        <v>9.12</v>
      </c>
      <c r="Q29" s="67" t="n">
        <v>18.99</v>
      </c>
      <c r="R29" s="67" t="n">
        <v>2.72</v>
      </c>
      <c r="S29" s="67" t="n">
        <v>0</v>
      </c>
      <c r="T29" s="67" t="n">
        <v>8</v>
      </c>
      <c r="U29" s="67" t="n">
        <v>-8</v>
      </c>
      <c r="V29" s="66" t="n">
        <v>1.25</v>
      </c>
      <c r="W29" s="67" t="n">
        <v>0</v>
      </c>
      <c r="X29" s="67"/>
      <c r="Y29" s="68" t="s">
        <v>202</v>
      </c>
      <c r="Z29" s="69"/>
      <c r="AA29" s="68" t="s">
        <v>200</v>
      </c>
      <c r="AB29" s="68"/>
      <c r="AC29" s="68"/>
      <c r="AD29" s="68"/>
      <c r="AE29" s="68" t="n">
        <v>9.59953704</v>
      </c>
      <c r="AF29" s="68" t="n">
        <v>39.9980710319985</v>
      </c>
      <c r="AG29" s="68" t="n">
        <v>4.16666667</v>
      </c>
      <c r="AH29" s="92"/>
    </row>
    <row r="30" customFormat="false" ht="14.25" hidden="false" customHeight="false" outlineLevel="0" collapsed="false">
      <c r="C30" s="64" t="n">
        <v>25</v>
      </c>
      <c r="D30" s="65" t="s">
        <v>1304</v>
      </c>
      <c r="E30" s="65" t="s">
        <v>1218</v>
      </c>
      <c r="F30" s="66" t="n">
        <v>112</v>
      </c>
      <c r="G30" s="66" t="n">
        <v>46.2</v>
      </c>
      <c r="H30" s="67" t="n">
        <v>13.2</v>
      </c>
      <c r="I30" s="67" t="n">
        <v>60</v>
      </c>
      <c r="J30" s="67" t="n">
        <v>20</v>
      </c>
      <c r="K30" s="67" t="n">
        <v>60</v>
      </c>
      <c r="L30" s="68" t="s">
        <v>1281</v>
      </c>
      <c r="M30" s="67" t="n">
        <v>8.18</v>
      </c>
      <c r="N30" s="67" t="n">
        <v>13.12</v>
      </c>
      <c r="O30" s="67" t="n">
        <v>2.87</v>
      </c>
      <c r="P30" s="67" t="n">
        <v>8.18</v>
      </c>
      <c r="Q30" s="67" t="n">
        <v>13.12</v>
      </c>
      <c r="R30" s="67" t="n">
        <v>2.87</v>
      </c>
      <c r="S30" s="67" t="n">
        <v>0</v>
      </c>
      <c r="T30" s="67" t="n">
        <v>16</v>
      </c>
      <c r="U30" s="67" t="n">
        <v>-16</v>
      </c>
      <c r="V30" s="66" t="n">
        <v>0.625</v>
      </c>
      <c r="W30" s="67" t="n">
        <v>0</v>
      </c>
      <c r="X30" s="67"/>
      <c r="Y30" s="68" t="s">
        <v>202</v>
      </c>
      <c r="Z30" s="69"/>
      <c r="AA30" s="68" t="s">
        <v>200</v>
      </c>
      <c r="AB30" s="68"/>
      <c r="AC30" s="68"/>
      <c r="AD30" s="68"/>
      <c r="AE30" s="68" t="n">
        <v>30.5940741</v>
      </c>
      <c r="AF30" s="68" t="n">
        <v>260.04962985</v>
      </c>
      <c r="AG30" s="68" t="n">
        <v>8.5</v>
      </c>
      <c r="AH30" s="92"/>
    </row>
    <row r="31" customFormat="false" ht="14.25" hidden="false" customHeight="false" outlineLevel="0" collapsed="false">
      <c r="C31" s="64" t="n">
        <v>26</v>
      </c>
      <c r="D31" s="65" t="s">
        <v>1305</v>
      </c>
      <c r="E31" s="65" t="s">
        <v>1218</v>
      </c>
      <c r="F31" s="66" t="n">
        <v>112</v>
      </c>
      <c r="G31" s="66" t="n">
        <v>46</v>
      </c>
      <c r="H31" s="67" t="n">
        <v>13.8</v>
      </c>
      <c r="I31" s="67" t="n">
        <v>60</v>
      </c>
      <c r="J31" s="67" t="n">
        <v>20</v>
      </c>
      <c r="K31" s="67" t="n">
        <v>60</v>
      </c>
      <c r="L31" s="68" t="s">
        <v>1277</v>
      </c>
      <c r="M31" s="67" t="n">
        <v>9.84</v>
      </c>
      <c r="N31" s="67" t="n">
        <v>18.12</v>
      </c>
      <c r="O31" s="67" t="n">
        <v>2.85</v>
      </c>
      <c r="P31" s="67" t="n">
        <v>9.84</v>
      </c>
      <c r="Q31" s="67" t="n">
        <v>18.12</v>
      </c>
      <c r="R31" s="67" t="n">
        <v>2.85</v>
      </c>
      <c r="S31" s="67" t="n">
        <v>0</v>
      </c>
      <c r="T31" s="67" t="n">
        <v>8</v>
      </c>
      <c r="U31" s="67" t="n">
        <v>-8</v>
      </c>
      <c r="V31" s="66" t="n">
        <v>1.25</v>
      </c>
      <c r="W31" s="67" t="n">
        <v>0</v>
      </c>
      <c r="X31" s="67"/>
      <c r="Y31" s="68" t="s">
        <v>202</v>
      </c>
      <c r="Z31" s="69"/>
      <c r="AA31" s="68" t="s">
        <v>200</v>
      </c>
      <c r="AB31" s="68"/>
      <c r="AC31" s="68"/>
      <c r="AD31" s="68"/>
      <c r="AE31" s="68" t="n">
        <v>35.2493519</v>
      </c>
      <c r="AF31" s="68" t="n">
        <v>152.747191449169</v>
      </c>
      <c r="AG31" s="68" t="n">
        <v>4.33333333</v>
      </c>
      <c r="AH31" s="92"/>
    </row>
    <row r="32" customFormat="false" ht="14.25" hidden="false" customHeight="false" outlineLevel="0" collapsed="false">
      <c r="C32" s="64" t="n">
        <v>27</v>
      </c>
      <c r="D32" s="65" t="s">
        <v>1306</v>
      </c>
      <c r="E32" s="65" t="s">
        <v>1218</v>
      </c>
      <c r="F32" s="66" t="n">
        <v>112</v>
      </c>
      <c r="G32" s="66" t="n">
        <v>46</v>
      </c>
      <c r="H32" s="67" t="n">
        <v>13.8</v>
      </c>
      <c r="I32" s="67" t="n">
        <v>60</v>
      </c>
      <c r="J32" s="67" t="n">
        <v>20</v>
      </c>
      <c r="K32" s="67" t="n">
        <v>60</v>
      </c>
      <c r="L32" s="68" t="s">
        <v>1277</v>
      </c>
      <c r="M32" s="67" t="n">
        <v>9.84</v>
      </c>
      <c r="N32" s="67" t="n">
        <v>18.12</v>
      </c>
      <c r="O32" s="67" t="n">
        <v>2.85</v>
      </c>
      <c r="P32" s="67" t="n">
        <v>9.84</v>
      </c>
      <c r="Q32" s="67" t="n">
        <v>18.12</v>
      </c>
      <c r="R32" s="67" t="n">
        <v>2.85</v>
      </c>
      <c r="S32" s="67" t="n">
        <v>0</v>
      </c>
      <c r="T32" s="67" t="n">
        <v>8</v>
      </c>
      <c r="U32" s="67" t="n">
        <v>-8</v>
      </c>
      <c r="V32" s="66" t="n">
        <v>1.25</v>
      </c>
      <c r="W32" s="67" t="n">
        <v>0</v>
      </c>
      <c r="X32" s="67"/>
      <c r="Y32" s="68" t="s">
        <v>202</v>
      </c>
      <c r="Z32" s="69"/>
      <c r="AA32" s="68" t="s">
        <v>200</v>
      </c>
      <c r="AB32" s="68"/>
      <c r="AC32" s="68"/>
      <c r="AD32" s="68"/>
      <c r="AE32" s="68"/>
      <c r="AF32" s="68"/>
      <c r="AG32" s="68"/>
      <c r="AH32" s="92"/>
    </row>
    <row r="33" customFormat="false" ht="14.25" hidden="false" customHeight="false" outlineLevel="0" collapsed="false">
      <c r="C33" s="64" t="n">
        <v>28</v>
      </c>
      <c r="D33" s="65" t="s">
        <v>1307</v>
      </c>
      <c r="E33" s="65" t="s">
        <v>1209</v>
      </c>
      <c r="F33" s="66" t="n">
        <v>112</v>
      </c>
      <c r="G33" s="66" t="n">
        <v>46</v>
      </c>
      <c r="H33" s="67" t="n">
        <v>13.8</v>
      </c>
      <c r="I33" s="67" t="n">
        <v>60</v>
      </c>
      <c r="J33" s="67" t="n">
        <v>20</v>
      </c>
      <c r="K33" s="67" t="n">
        <v>60</v>
      </c>
      <c r="L33" s="68" t="s">
        <v>1277</v>
      </c>
      <c r="M33" s="67" t="n">
        <v>8.35</v>
      </c>
      <c r="N33" s="67" t="n">
        <v>17.53</v>
      </c>
      <c r="O33" s="67" t="n">
        <v>2.26</v>
      </c>
      <c r="P33" s="67" t="n">
        <v>8.35</v>
      </c>
      <c r="Q33" s="67" t="n">
        <v>17.53</v>
      </c>
      <c r="R33" s="67" t="n">
        <v>2.26</v>
      </c>
      <c r="S33" s="67" t="n">
        <v>0</v>
      </c>
      <c r="T33" s="67" t="n">
        <v>8</v>
      </c>
      <c r="U33" s="67" t="n">
        <v>-8</v>
      </c>
      <c r="V33" s="66" t="n">
        <v>1.25</v>
      </c>
      <c r="W33" s="67" t="n">
        <v>0</v>
      </c>
      <c r="X33" s="67"/>
      <c r="Y33" s="68" t="s">
        <v>202</v>
      </c>
      <c r="Z33" s="69"/>
      <c r="AA33" s="68" t="s">
        <v>200</v>
      </c>
      <c r="AB33" s="68"/>
      <c r="AC33" s="68"/>
      <c r="AD33" s="68"/>
      <c r="AE33" s="68" t="n">
        <v>36.0457407</v>
      </c>
      <c r="AF33" s="68" t="n">
        <v>126.16009245</v>
      </c>
      <c r="AG33" s="68" t="n">
        <v>3.5</v>
      </c>
      <c r="AH33" s="92"/>
    </row>
    <row r="34" customFormat="false" ht="14.25" hidden="false" customHeight="false" outlineLevel="0" collapsed="false">
      <c r="C34" s="64" t="n">
        <v>29</v>
      </c>
      <c r="D34" s="65" t="s">
        <v>1308</v>
      </c>
      <c r="E34" s="65" t="s">
        <v>1209</v>
      </c>
      <c r="F34" s="66" t="n">
        <v>112</v>
      </c>
      <c r="G34" s="66" t="n">
        <v>46</v>
      </c>
      <c r="H34" s="67" t="n">
        <v>13.8</v>
      </c>
      <c r="I34" s="67" t="n">
        <v>60</v>
      </c>
      <c r="J34" s="67" t="n">
        <v>20</v>
      </c>
      <c r="K34" s="67" t="n">
        <v>60</v>
      </c>
      <c r="L34" s="68" t="s">
        <v>1277</v>
      </c>
      <c r="M34" s="67" t="n">
        <v>8.76</v>
      </c>
      <c r="N34" s="67" t="n">
        <v>16.87</v>
      </c>
      <c r="O34" s="67" t="n">
        <v>2.85</v>
      </c>
      <c r="P34" s="67" t="n">
        <v>8.76</v>
      </c>
      <c r="Q34" s="67" t="n">
        <v>16.87</v>
      </c>
      <c r="R34" s="67" t="n">
        <v>2.85</v>
      </c>
      <c r="S34" s="67" t="n">
        <v>0</v>
      </c>
      <c r="T34" s="67" t="n">
        <v>8</v>
      </c>
      <c r="U34" s="67" t="n">
        <v>-8</v>
      </c>
      <c r="V34" s="66" t="n">
        <v>1.25</v>
      </c>
      <c r="W34" s="67" t="n">
        <v>0</v>
      </c>
      <c r="X34" s="67"/>
      <c r="Y34" s="68" t="s">
        <v>202</v>
      </c>
      <c r="Z34" s="69"/>
      <c r="AA34" s="68" t="s">
        <v>200</v>
      </c>
      <c r="AB34" s="68"/>
      <c r="AC34" s="68"/>
      <c r="AD34" s="68"/>
      <c r="AE34" s="68" t="n">
        <v>72.0061806</v>
      </c>
      <c r="AF34" s="68" t="n">
        <v>558.04789965</v>
      </c>
      <c r="AG34" s="68" t="n">
        <v>7.75</v>
      </c>
      <c r="AH34" s="92"/>
    </row>
    <row r="35" customFormat="false" ht="14.25" hidden="false" customHeight="false" outlineLevel="0" collapsed="false">
      <c r="C35" s="64" t="n">
        <v>30</v>
      </c>
      <c r="D35" s="65" t="s">
        <v>1309</v>
      </c>
      <c r="E35" s="65" t="s">
        <v>1310</v>
      </c>
      <c r="F35" s="66" t="n">
        <v>112</v>
      </c>
      <c r="G35" s="66" t="n">
        <v>46</v>
      </c>
      <c r="H35" s="67" t="n">
        <v>13.8</v>
      </c>
      <c r="I35" s="67" t="n">
        <v>60</v>
      </c>
      <c r="J35" s="67" t="n">
        <v>20</v>
      </c>
      <c r="K35" s="67" t="n">
        <v>60</v>
      </c>
      <c r="L35" s="68" t="s">
        <v>1311</v>
      </c>
      <c r="M35" s="67" t="n">
        <v>9.74</v>
      </c>
      <c r="N35" s="67" t="n">
        <v>16.23</v>
      </c>
      <c r="O35" s="67" t="n">
        <v>3.32</v>
      </c>
      <c r="P35" s="67" t="n">
        <v>9.74</v>
      </c>
      <c r="Q35" s="67" t="n">
        <v>16.23</v>
      </c>
      <c r="R35" s="67" t="n">
        <v>3.32</v>
      </c>
      <c r="S35" s="67" t="n">
        <v>0</v>
      </c>
      <c r="T35" s="67" t="n">
        <v>8</v>
      </c>
      <c r="U35" s="67" t="n">
        <v>-8</v>
      </c>
      <c r="V35" s="66" t="n">
        <v>1.25</v>
      </c>
      <c r="W35" s="67" t="n">
        <v>0</v>
      </c>
      <c r="X35" s="67"/>
      <c r="Y35" s="68" t="s">
        <v>202</v>
      </c>
      <c r="Z35" s="69"/>
      <c r="AA35" s="68" t="s">
        <v>200</v>
      </c>
      <c r="AB35" s="68"/>
      <c r="AC35" s="68"/>
      <c r="AD35" s="68"/>
      <c r="AE35" s="68" t="n">
        <v>4.77</v>
      </c>
      <c r="AF35" s="68" t="n">
        <v>15.1050000159</v>
      </c>
      <c r="AG35" s="68" t="n">
        <v>3.16666667</v>
      </c>
      <c r="AH35" s="92" t="s">
        <v>1312</v>
      </c>
    </row>
    <row r="36" customFormat="false" ht="14.25" hidden="false" customHeight="false" outlineLevel="0" collapsed="false">
      <c r="C36" s="64" t="n">
        <v>31</v>
      </c>
      <c r="D36" s="65" t="s">
        <v>1313</v>
      </c>
      <c r="E36" s="65" t="s">
        <v>1310</v>
      </c>
      <c r="F36" s="66" t="n">
        <v>112</v>
      </c>
      <c r="G36" s="66" t="n">
        <v>46</v>
      </c>
      <c r="H36" s="67" t="n">
        <v>13.8</v>
      </c>
      <c r="I36" s="67" t="n">
        <v>60</v>
      </c>
      <c r="J36" s="67" t="n">
        <v>20</v>
      </c>
      <c r="K36" s="67" t="n">
        <v>60</v>
      </c>
      <c r="L36" s="68" t="s">
        <v>1277</v>
      </c>
      <c r="M36" s="67" t="n">
        <v>9.74</v>
      </c>
      <c r="N36" s="67" t="n">
        <v>16.23</v>
      </c>
      <c r="O36" s="67" t="n">
        <v>3.32</v>
      </c>
      <c r="P36" s="67" t="n">
        <v>9.74</v>
      </c>
      <c r="Q36" s="67" t="n">
        <v>16.23</v>
      </c>
      <c r="R36" s="67" t="n">
        <v>3.32</v>
      </c>
      <c r="S36" s="67" t="n">
        <v>0</v>
      </c>
      <c r="T36" s="67" t="n">
        <v>8</v>
      </c>
      <c r="U36" s="67" t="n">
        <v>-8</v>
      </c>
      <c r="V36" s="66" t="n">
        <v>1.25</v>
      </c>
      <c r="W36" s="67" t="n">
        <v>0</v>
      </c>
      <c r="X36" s="67"/>
      <c r="Y36" s="68" t="s">
        <v>771</v>
      </c>
      <c r="Z36" s="69" t="n">
        <v>45291</v>
      </c>
      <c r="AA36" s="68" t="s">
        <v>200</v>
      </c>
      <c r="AB36" s="68"/>
      <c r="AC36" s="68"/>
      <c r="AD36" s="68"/>
      <c r="AE36" s="68"/>
      <c r="AF36" s="68"/>
      <c r="AG36" s="68"/>
      <c r="AH36" s="92"/>
    </row>
    <row r="37" customFormat="false" ht="14.25" hidden="false" customHeight="false" outlineLevel="0" collapsed="false">
      <c r="C37" s="64" t="n">
        <v>32</v>
      </c>
      <c r="D37" s="65" t="s">
        <v>1314</v>
      </c>
      <c r="E37" s="65" t="s">
        <v>1197</v>
      </c>
      <c r="F37" s="66" t="n">
        <v>110</v>
      </c>
      <c r="G37" s="66" t="n">
        <v>46.8</v>
      </c>
      <c r="H37" s="67" t="n">
        <v>15.02</v>
      </c>
      <c r="I37" s="67" t="n">
        <v>60</v>
      </c>
      <c r="J37" s="67" t="n">
        <v>20</v>
      </c>
      <c r="K37" s="67" t="n">
        <v>60</v>
      </c>
      <c r="L37" s="68" t="s">
        <v>1281</v>
      </c>
      <c r="M37" s="67" t="n">
        <v>8.57</v>
      </c>
      <c r="N37" s="67" t="n">
        <v>16.28</v>
      </c>
      <c r="O37" s="67" t="n">
        <v>2.73</v>
      </c>
      <c r="P37" s="67" t="n">
        <v>8.57</v>
      </c>
      <c r="Q37" s="67" t="n">
        <v>16.28</v>
      </c>
      <c r="R37" s="67" t="n">
        <v>2.73</v>
      </c>
      <c r="S37" s="67" t="n">
        <v>0</v>
      </c>
      <c r="T37" s="67" t="n">
        <v>11</v>
      </c>
      <c r="U37" s="67" t="n">
        <v>-5</v>
      </c>
      <c r="V37" s="66" t="n">
        <v>1.25</v>
      </c>
      <c r="W37" s="67" t="n">
        <v>0</v>
      </c>
      <c r="X37" s="67"/>
      <c r="Y37" s="68" t="s">
        <v>202</v>
      </c>
      <c r="Z37" s="69"/>
      <c r="AA37" s="68" t="s">
        <v>200</v>
      </c>
      <c r="AB37" s="68"/>
      <c r="AC37" s="68"/>
      <c r="AD37" s="68"/>
      <c r="AE37" s="68" t="n">
        <v>53.1233333</v>
      </c>
      <c r="AF37" s="68" t="n">
        <v>327.593888860411</v>
      </c>
      <c r="AG37" s="68" t="n">
        <v>6.16666667</v>
      </c>
      <c r="AH37" s="92"/>
    </row>
    <row r="38" customFormat="false" ht="14.25" hidden="false" customHeight="false" outlineLevel="0" collapsed="false">
      <c r="C38" s="64" t="n">
        <v>33</v>
      </c>
      <c r="D38" s="65" t="s">
        <v>1315</v>
      </c>
      <c r="E38" s="65" t="s">
        <v>1197</v>
      </c>
      <c r="F38" s="66" t="n">
        <v>230</v>
      </c>
      <c r="G38" s="66" t="n">
        <v>115</v>
      </c>
      <c r="H38" s="67" t="n">
        <v>46</v>
      </c>
      <c r="I38" s="67" t="n">
        <v>180</v>
      </c>
      <c r="J38" s="67" t="n">
        <v>180</v>
      </c>
      <c r="K38" s="67" t="n">
        <v>60</v>
      </c>
      <c r="L38" s="68" t="s">
        <v>1275</v>
      </c>
      <c r="M38" s="67" t="n">
        <v>9.3</v>
      </c>
      <c r="N38" s="67" t="n">
        <v>12.38</v>
      </c>
      <c r="O38" s="67" t="n">
        <v>9</v>
      </c>
      <c r="P38" s="67" t="n">
        <v>9.3</v>
      </c>
      <c r="Q38" s="67" t="n">
        <v>11.097</v>
      </c>
      <c r="R38" s="67" t="n">
        <v>9</v>
      </c>
      <c r="S38" s="67" t="n">
        <v>11</v>
      </c>
      <c r="T38" s="67" t="n">
        <v>21</v>
      </c>
      <c r="U38" s="67" t="n">
        <v>1</v>
      </c>
      <c r="V38" s="66" t="n">
        <v>1.3</v>
      </c>
      <c r="W38" s="67" t="n">
        <v>30</v>
      </c>
      <c r="X38" s="67"/>
      <c r="Y38" s="68" t="s">
        <v>202</v>
      </c>
      <c r="Z38" s="69"/>
      <c r="AA38" s="68" t="s">
        <v>767</v>
      </c>
      <c r="AB38" s="68"/>
      <c r="AC38" s="68"/>
      <c r="AD38" s="68"/>
      <c r="AE38" s="68" t="n">
        <v>22.5030093</v>
      </c>
      <c r="AF38" s="68" t="n">
        <v>120.01604952499</v>
      </c>
      <c r="AG38" s="68" t="n">
        <v>5.33333333</v>
      </c>
      <c r="AH38" s="92"/>
    </row>
    <row r="39" customFormat="false" ht="14.25" hidden="false" customHeight="false" outlineLevel="0" collapsed="false">
      <c r="C39" s="64" t="n">
        <v>34</v>
      </c>
      <c r="D39" s="65" t="s">
        <v>1316</v>
      </c>
      <c r="E39" s="65" t="s">
        <v>1197</v>
      </c>
      <c r="F39" s="66" t="n">
        <v>110</v>
      </c>
      <c r="G39" s="66" t="n">
        <v>46.9</v>
      </c>
      <c r="H39" s="67" t="n">
        <v>15</v>
      </c>
      <c r="I39" s="67" t="n">
        <v>60</v>
      </c>
      <c r="J39" s="67" t="n">
        <v>20</v>
      </c>
      <c r="K39" s="67" t="n">
        <v>60</v>
      </c>
      <c r="L39" s="68" t="s">
        <v>1281</v>
      </c>
      <c r="M39" s="67" t="n">
        <v>9.99</v>
      </c>
      <c r="N39" s="67" t="n">
        <v>17.72</v>
      </c>
      <c r="O39" s="67" t="n">
        <v>2.86</v>
      </c>
      <c r="P39" s="67" t="n">
        <v>9.99</v>
      </c>
      <c r="Q39" s="67" t="n">
        <v>17.72</v>
      </c>
      <c r="R39" s="67" t="n">
        <v>2.86</v>
      </c>
      <c r="S39" s="67" t="n">
        <v>0</v>
      </c>
      <c r="T39" s="67" t="n">
        <v>8</v>
      </c>
      <c r="U39" s="67" t="n">
        <v>-8</v>
      </c>
      <c r="V39" s="66" t="n">
        <v>1.25</v>
      </c>
      <c r="W39" s="67" t="n">
        <v>0</v>
      </c>
      <c r="X39" s="67"/>
      <c r="Y39" s="68" t="s">
        <v>202</v>
      </c>
      <c r="Z39" s="69"/>
      <c r="AA39" s="68" t="s">
        <v>200</v>
      </c>
      <c r="AB39" s="68"/>
      <c r="AC39" s="68"/>
      <c r="AD39" s="68"/>
      <c r="AE39" s="68" t="n">
        <v>34.488</v>
      </c>
      <c r="AF39" s="68" t="n">
        <v>496.6272</v>
      </c>
      <c r="AG39" s="68" t="n">
        <v>14.4</v>
      </c>
      <c r="AH39" s="92"/>
    </row>
    <row r="40" customFormat="false" ht="14.25" hidden="false" customHeight="false" outlineLevel="0" collapsed="false">
      <c r="C40" s="64" t="n">
        <v>35</v>
      </c>
      <c r="D40" s="65" t="s">
        <v>1317</v>
      </c>
      <c r="E40" s="65" t="s">
        <v>1197</v>
      </c>
      <c r="F40" s="66" t="n">
        <v>230</v>
      </c>
      <c r="G40" s="66" t="n">
        <v>115</v>
      </c>
      <c r="H40" s="67" t="n">
        <v>46</v>
      </c>
      <c r="I40" s="67" t="n">
        <v>180</v>
      </c>
      <c r="J40" s="67" t="n">
        <v>180</v>
      </c>
      <c r="K40" s="67" t="n">
        <v>60</v>
      </c>
      <c r="L40" s="68" t="s">
        <v>1275</v>
      </c>
      <c r="M40" s="67" t="n">
        <v>9.29</v>
      </c>
      <c r="N40" s="67" t="n">
        <v>12.39</v>
      </c>
      <c r="O40" s="67" t="n">
        <v>8.97</v>
      </c>
      <c r="P40" s="67" t="n">
        <v>8.364</v>
      </c>
      <c r="Q40" s="67" t="n">
        <v>11.097</v>
      </c>
      <c r="R40" s="67" t="n">
        <v>8.076</v>
      </c>
      <c r="S40" s="67" t="n">
        <v>11</v>
      </c>
      <c r="T40" s="67" t="n">
        <v>21</v>
      </c>
      <c r="U40" s="67" t="n">
        <v>1</v>
      </c>
      <c r="V40" s="66" t="n">
        <v>1.3</v>
      </c>
      <c r="W40" s="67" t="n">
        <v>30</v>
      </c>
      <c r="X40" s="67"/>
      <c r="Y40" s="68" t="s">
        <v>202</v>
      </c>
      <c r="Z40" s="69"/>
      <c r="AA40" s="68" t="s">
        <v>767</v>
      </c>
      <c r="AB40" s="68"/>
      <c r="AC40" s="68"/>
      <c r="AD40" s="68"/>
      <c r="AE40" s="68" t="n">
        <v>15.4193981</v>
      </c>
      <c r="AF40" s="68" t="n">
        <v>77.0969905</v>
      </c>
      <c r="AG40" s="68" t="n">
        <v>5</v>
      </c>
      <c r="AH40" s="92"/>
    </row>
    <row r="41" customFormat="false" ht="14.25" hidden="false" customHeight="false" outlineLevel="0" collapsed="false">
      <c r="C41" s="64" t="n">
        <v>36</v>
      </c>
      <c r="D41" s="65" t="s">
        <v>1318</v>
      </c>
      <c r="E41" s="65" t="s">
        <v>1207</v>
      </c>
      <c r="F41" s="66" t="n">
        <v>110</v>
      </c>
      <c r="G41" s="66" t="n">
        <v>46.55</v>
      </c>
      <c r="H41" s="67" t="n">
        <v>14.35</v>
      </c>
      <c r="I41" s="67" t="n">
        <v>60</v>
      </c>
      <c r="J41" s="67" t="n">
        <v>20</v>
      </c>
      <c r="K41" s="67" t="n">
        <v>60</v>
      </c>
      <c r="L41" s="68" t="s">
        <v>1281</v>
      </c>
      <c r="M41" s="67" t="n">
        <v>8.24</v>
      </c>
      <c r="N41" s="67" t="n">
        <v>12.33</v>
      </c>
      <c r="O41" s="67" t="n">
        <v>3.17</v>
      </c>
      <c r="P41" s="67" t="n">
        <v>8.24</v>
      </c>
      <c r="Q41" s="67" t="n">
        <v>12.33</v>
      </c>
      <c r="R41" s="67" t="n">
        <v>3.17</v>
      </c>
      <c r="S41" s="67" t="n">
        <v>0</v>
      </c>
      <c r="T41" s="67" t="n">
        <v>11</v>
      </c>
      <c r="U41" s="67" t="n">
        <v>-5</v>
      </c>
      <c r="V41" s="66" t="n">
        <v>1.25</v>
      </c>
      <c r="W41" s="67" t="n">
        <v>0</v>
      </c>
      <c r="X41" s="67"/>
      <c r="Y41" s="68" t="s">
        <v>202</v>
      </c>
      <c r="Z41" s="69"/>
      <c r="AA41" s="68" t="s">
        <v>200</v>
      </c>
      <c r="AB41" s="68"/>
      <c r="AC41" s="68"/>
      <c r="AD41" s="68"/>
      <c r="AE41" s="68" t="n">
        <v>44.2876389</v>
      </c>
      <c r="AF41" s="68" t="n">
        <v>206.675648347625</v>
      </c>
      <c r="AG41" s="68" t="n">
        <v>4.66666667</v>
      </c>
      <c r="AH41" s="92"/>
    </row>
    <row r="42" customFormat="false" ht="14.25" hidden="false" customHeight="false" outlineLevel="0" collapsed="false">
      <c r="C42" s="64" t="n">
        <v>37</v>
      </c>
      <c r="D42" s="65" t="s">
        <v>1319</v>
      </c>
      <c r="E42" s="65" t="s">
        <v>1123</v>
      </c>
      <c r="F42" s="66" t="n">
        <v>230</v>
      </c>
      <c r="G42" s="66" t="n">
        <v>115</v>
      </c>
      <c r="H42" s="67" t="n">
        <v>46</v>
      </c>
      <c r="I42" s="67" t="n">
        <v>90</v>
      </c>
      <c r="J42" s="67" t="n">
        <v>90</v>
      </c>
      <c r="K42" s="67" t="n">
        <v>30</v>
      </c>
      <c r="L42" s="68" t="s">
        <v>1275</v>
      </c>
      <c r="M42" s="67" t="n">
        <v>9.346666</v>
      </c>
      <c r="N42" s="67" t="n">
        <v>13</v>
      </c>
      <c r="O42" s="67" t="n">
        <v>8.506667</v>
      </c>
      <c r="P42" s="67" t="n">
        <v>9.346667</v>
      </c>
      <c r="Q42" s="67" t="n">
        <v>13</v>
      </c>
      <c r="R42" s="67" t="n">
        <v>8.506667</v>
      </c>
      <c r="S42" s="67" t="n">
        <v>9</v>
      </c>
      <c r="T42" s="67" t="n">
        <v>17</v>
      </c>
      <c r="U42" s="67" t="n">
        <v>1</v>
      </c>
      <c r="V42" s="66" t="n">
        <v>1.25</v>
      </c>
      <c r="W42" s="67" t="n">
        <v>0</v>
      </c>
      <c r="X42" s="67"/>
      <c r="Y42" s="68" t="s">
        <v>202</v>
      </c>
      <c r="Z42" s="69"/>
      <c r="AA42" s="68" t="s">
        <v>767</v>
      </c>
      <c r="AB42" s="68"/>
      <c r="AC42" s="68"/>
      <c r="AD42" s="68"/>
      <c r="AE42" s="68" t="n">
        <v>26.1989815</v>
      </c>
      <c r="AF42" s="68" t="n">
        <v>91.69643525</v>
      </c>
      <c r="AG42" s="68" t="n">
        <v>3.5</v>
      </c>
      <c r="AH42" s="92"/>
    </row>
    <row r="43" customFormat="false" ht="14.25" hidden="false" customHeight="false" outlineLevel="0" collapsed="false">
      <c r="C43" s="64" t="n">
        <v>38</v>
      </c>
      <c r="D43" s="65" t="s">
        <v>1320</v>
      </c>
      <c r="E43" s="65" t="s">
        <v>1199</v>
      </c>
      <c r="F43" s="66" t="n">
        <v>110</v>
      </c>
      <c r="G43" s="66" t="n">
        <v>46.9</v>
      </c>
      <c r="H43" s="67" t="n">
        <v>15</v>
      </c>
      <c r="I43" s="67" t="n">
        <v>60</v>
      </c>
      <c r="J43" s="67" t="n">
        <v>20</v>
      </c>
      <c r="K43" s="67" t="n">
        <v>60</v>
      </c>
      <c r="L43" s="68" t="s">
        <v>1281</v>
      </c>
      <c r="M43" s="67" t="n">
        <v>9.99</v>
      </c>
      <c r="N43" s="67" t="n">
        <v>17.79</v>
      </c>
      <c r="O43" s="67" t="n">
        <v>2.85</v>
      </c>
      <c r="P43" s="67" t="n">
        <v>9.99</v>
      </c>
      <c r="Q43" s="67" t="n">
        <v>17.79</v>
      </c>
      <c r="R43" s="67" t="n">
        <v>2.85</v>
      </c>
      <c r="S43" s="67" t="n">
        <v>0</v>
      </c>
      <c r="T43" s="67" t="n">
        <v>8</v>
      </c>
      <c r="U43" s="67" t="n">
        <v>-8</v>
      </c>
      <c r="V43" s="66" t="n">
        <v>1.25</v>
      </c>
      <c r="W43" s="67" t="n">
        <v>0</v>
      </c>
      <c r="X43" s="67"/>
      <c r="Y43" s="68" t="s">
        <v>202</v>
      </c>
      <c r="Z43" s="69"/>
      <c r="AA43" s="68" t="s">
        <v>200</v>
      </c>
      <c r="AB43" s="68"/>
      <c r="AC43" s="68"/>
      <c r="AD43" s="68"/>
      <c r="AE43" s="68" t="n">
        <v>44.7320556</v>
      </c>
      <c r="AF43" s="68" t="n">
        <v>286.28515584</v>
      </c>
      <c r="AG43" s="68" t="n">
        <v>6.4</v>
      </c>
      <c r="AH43" s="92"/>
    </row>
    <row r="44" customFormat="false" ht="14.25" hidden="false" customHeight="false" outlineLevel="0" collapsed="false">
      <c r="C44" s="64" t="n">
        <v>39</v>
      </c>
      <c r="D44" s="65" t="s">
        <v>1321</v>
      </c>
      <c r="E44" s="65" t="s">
        <v>1199</v>
      </c>
      <c r="F44" s="66" t="n">
        <v>110</v>
      </c>
      <c r="G44" s="66" t="n">
        <v>46.9</v>
      </c>
      <c r="H44" s="67" t="n">
        <v>15</v>
      </c>
      <c r="I44" s="67" t="n">
        <v>60</v>
      </c>
      <c r="J44" s="67" t="n">
        <v>20</v>
      </c>
      <c r="K44" s="67" t="n">
        <v>60</v>
      </c>
      <c r="L44" s="68" t="s">
        <v>1281</v>
      </c>
      <c r="M44" s="67" t="n">
        <v>10.03</v>
      </c>
      <c r="N44" s="67" t="n">
        <v>18.14</v>
      </c>
      <c r="O44" s="67" t="n">
        <v>2.83</v>
      </c>
      <c r="P44" s="67" t="n">
        <v>10.03</v>
      </c>
      <c r="Q44" s="67" t="n">
        <v>18.14</v>
      </c>
      <c r="R44" s="67" t="n">
        <v>2.83</v>
      </c>
      <c r="S44" s="67" t="n">
        <v>0</v>
      </c>
      <c r="T44" s="67" t="n">
        <v>8</v>
      </c>
      <c r="U44" s="67" t="n">
        <v>-8</v>
      </c>
      <c r="V44" s="66" t="n">
        <v>1.25</v>
      </c>
      <c r="W44" s="67" t="n">
        <v>0</v>
      </c>
      <c r="X44" s="67"/>
      <c r="Y44" s="68" t="s">
        <v>202</v>
      </c>
      <c r="Z44" s="69"/>
      <c r="AA44" s="68" t="s">
        <v>200</v>
      </c>
      <c r="AB44" s="68"/>
      <c r="AC44" s="68"/>
      <c r="AD44" s="68"/>
      <c r="AE44" s="68" t="n">
        <v>30.419375</v>
      </c>
      <c r="AF44" s="68" t="n">
        <v>121.6775</v>
      </c>
      <c r="AG44" s="68" t="n">
        <v>4</v>
      </c>
      <c r="AH44" s="92"/>
    </row>
    <row r="45" customFormat="false" ht="14.25" hidden="false" customHeight="false" outlineLevel="0" collapsed="false">
      <c r="C45" s="64" t="n">
        <v>40</v>
      </c>
      <c r="D45" s="65" t="s">
        <v>1322</v>
      </c>
      <c r="E45" s="65" t="s">
        <v>1199</v>
      </c>
      <c r="F45" s="66" t="n">
        <v>112</v>
      </c>
      <c r="G45" s="66" t="n">
        <v>46</v>
      </c>
      <c r="H45" s="67" t="n">
        <v>13.8</v>
      </c>
      <c r="I45" s="67" t="n">
        <v>60</v>
      </c>
      <c r="J45" s="67" t="n">
        <v>20</v>
      </c>
      <c r="K45" s="67" t="n">
        <v>60</v>
      </c>
      <c r="L45" s="68" t="s">
        <v>1277</v>
      </c>
      <c r="M45" s="67" t="n">
        <v>9.79</v>
      </c>
      <c r="N45" s="67" t="n">
        <v>17.81</v>
      </c>
      <c r="O45" s="67" t="n">
        <v>3.11</v>
      </c>
      <c r="P45" s="67" t="n">
        <v>9.79</v>
      </c>
      <c r="Q45" s="67" t="n">
        <v>17.81</v>
      </c>
      <c r="R45" s="67" t="n">
        <v>3.11</v>
      </c>
      <c r="S45" s="67" t="n">
        <v>0</v>
      </c>
      <c r="T45" s="67" t="n">
        <v>8</v>
      </c>
      <c r="U45" s="67" t="n">
        <v>-8</v>
      </c>
      <c r="V45" s="66" t="n">
        <v>1.25</v>
      </c>
      <c r="W45" s="67" t="n">
        <v>0</v>
      </c>
      <c r="X45" s="67"/>
      <c r="Y45" s="68" t="s">
        <v>202</v>
      </c>
      <c r="Z45" s="69"/>
      <c r="AA45" s="68" t="s">
        <v>200</v>
      </c>
      <c r="AB45" s="68"/>
      <c r="AC45" s="68"/>
      <c r="AD45" s="68"/>
      <c r="AE45" s="68" t="n">
        <v>127.647778</v>
      </c>
      <c r="AF45" s="68" t="n">
        <v>893.534446</v>
      </c>
      <c r="AG45" s="68" t="n">
        <v>7</v>
      </c>
      <c r="AH45" s="92"/>
    </row>
    <row r="46" customFormat="false" ht="14.25" hidden="false" customHeight="false" outlineLevel="0" collapsed="false">
      <c r="C46" s="64" t="n">
        <v>41</v>
      </c>
      <c r="D46" s="65" t="s">
        <v>1323</v>
      </c>
      <c r="E46" s="65" t="s">
        <v>1199</v>
      </c>
      <c r="F46" s="66" t="n">
        <v>230</v>
      </c>
      <c r="G46" s="66" t="n">
        <v>115</v>
      </c>
      <c r="H46" s="67" t="n">
        <v>45.9</v>
      </c>
      <c r="I46" s="67" t="n">
        <v>180</v>
      </c>
      <c r="J46" s="67" t="n">
        <v>180</v>
      </c>
      <c r="K46" s="67" t="n">
        <v>60</v>
      </c>
      <c r="L46" s="68" t="s">
        <v>1275</v>
      </c>
      <c r="M46" s="67" t="n">
        <v>9.22</v>
      </c>
      <c r="N46" s="67" t="n">
        <v>12.3</v>
      </c>
      <c r="O46" s="67" t="n">
        <v>8.94</v>
      </c>
      <c r="P46" s="67" t="n">
        <v>8.298</v>
      </c>
      <c r="Q46" s="67" t="n">
        <v>12.3</v>
      </c>
      <c r="R46" s="67" t="n">
        <v>8.046</v>
      </c>
      <c r="S46" s="67" t="n">
        <v>11</v>
      </c>
      <c r="T46" s="67" t="n">
        <v>21</v>
      </c>
      <c r="U46" s="67" t="n">
        <v>1</v>
      </c>
      <c r="V46" s="66" t="n">
        <v>1.3</v>
      </c>
      <c r="W46" s="67" t="n">
        <v>30</v>
      </c>
      <c r="X46" s="67"/>
      <c r="Y46" s="68" t="s">
        <v>202</v>
      </c>
      <c r="Z46" s="69"/>
      <c r="AA46" s="68" t="s">
        <v>767</v>
      </c>
      <c r="AB46" s="68"/>
      <c r="AC46" s="68"/>
      <c r="AD46" s="68"/>
      <c r="AE46" s="68" t="n">
        <v>12.6686111</v>
      </c>
      <c r="AF46" s="68" t="n">
        <v>33.782962975562</v>
      </c>
      <c r="AG46" s="68" t="n">
        <v>2.66666667</v>
      </c>
      <c r="AH46" s="92"/>
    </row>
    <row r="47" customFormat="false" ht="14.25" hidden="false" customHeight="false" outlineLevel="0" collapsed="false">
      <c r="C47" s="64" t="n">
        <v>42</v>
      </c>
      <c r="D47" s="65" t="s">
        <v>1324</v>
      </c>
      <c r="E47" s="65" t="s">
        <v>1199</v>
      </c>
      <c r="F47" s="66" t="n">
        <v>230</v>
      </c>
      <c r="G47" s="66" t="n">
        <v>115</v>
      </c>
      <c r="H47" s="67" t="n">
        <v>45.9</v>
      </c>
      <c r="I47" s="67" t="n">
        <v>180</v>
      </c>
      <c r="J47" s="67" t="n">
        <v>180</v>
      </c>
      <c r="K47" s="67" t="n">
        <v>60</v>
      </c>
      <c r="L47" s="68" t="s">
        <v>1275</v>
      </c>
      <c r="M47" s="67" t="n">
        <v>9.27</v>
      </c>
      <c r="N47" s="67" t="n">
        <v>12.3</v>
      </c>
      <c r="O47" s="67" t="n">
        <v>8.94</v>
      </c>
      <c r="P47" s="67" t="n">
        <v>8.343</v>
      </c>
      <c r="Q47" s="67" t="n">
        <v>12.3</v>
      </c>
      <c r="R47" s="67" t="n">
        <v>8.046</v>
      </c>
      <c r="S47" s="67" t="n">
        <v>11</v>
      </c>
      <c r="T47" s="67" t="n">
        <v>21</v>
      </c>
      <c r="U47" s="67" t="n">
        <v>1</v>
      </c>
      <c r="V47" s="66" t="n">
        <v>1.3</v>
      </c>
      <c r="W47" s="67" t="n">
        <v>30</v>
      </c>
      <c r="X47" s="67"/>
      <c r="Y47" s="68" t="s">
        <v>202</v>
      </c>
      <c r="Z47" s="69"/>
      <c r="AA47" s="68" t="s">
        <v>767</v>
      </c>
      <c r="AB47" s="68"/>
      <c r="AC47" s="68"/>
      <c r="AD47" s="68"/>
      <c r="AE47" s="68" t="n">
        <v>6.87064815</v>
      </c>
      <c r="AF47" s="68" t="n">
        <v>13.7412963</v>
      </c>
      <c r="AG47" s="68" t="n">
        <v>2</v>
      </c>
      <c r="AH47" s="92"/>
    </row>
    <row r="48" customFormat="false" ht="14.25" hidden="false" customHeight="false" outlineLevel="0" collapsed="false">
      <c r="C48" s="64" t="n">
        <v>43</v>
      </c>
      <c r="D48" s="65" t="s">
        <v>1325</v>
      </c>
      <c r="E48" s="65" t="s">
        <v>867</v>
      </c>
      <c r="F48" s="66" t="n">
        <v>115</v>
      </c>
      <c r="G48" s="66" t="n">
        <v>44</v>
      </c>
      <c r="H48" s="67" t="n">
        <v>13.8</v>
      </c>
      <c r="I48" s="67" t="n">
        <v>40</v>
      </c>
      <c r="J48" s="67" t="n">
        <v>40</v>
      </c>
      <c r="K48" s="67" t="n">
        <v>4.65</v>
      </c>
      <c r="L48" s="68" t="s">
        <v>1275</v>
      </c>
      <c r="M48" s="67" t="n">
        <v>12.8</v>
      </c>
      <c r="N48" s="67" t="n">
        <v>2.29</v>
      </c>
      <c r="O48" s="67" t="n">
        <v>0.56</v>
      </c>
      <c r="P48" s="67" t="n">
        <v>12.8</v>
      </c>
      <c r="Q48" s="67" t="n">
        <v>2.29</v>
      </c>
      <c r="R48" s="67" t="n">
        <v>0.56</v>
      </c>
      <c r="S48" s="67" t="n">
        <v>0</v>
      </c>
      <c r="T48" s="67" t="n">
        <v>6</v>
      </c>
      <c r="U48" s="67" t="n">
        <v>-8</v>
      </c>
      <c r="V48" s="66" t="n">
        <v>1.25</v>
      </c>
      <c r="W48" s="67" t="n">
        <v>0</v>
      </c>
      <c r="X48" s="67"/>
      <c r="Y48" s="68" t="s">
        <v>202</v>
      </c>
      <c r="Z48" s="69"/>
      <c r="AA48" s="68" t="s">
        <v>200</v>
      </c>
      <c r="AB48" s="68"/>
      <c r="AC48" s="68"/>
      <c r="AD48" s="68"/>
      <c r="AE48" s="68" t="n">
        <v>45.2414815</v>
      </c>
      <c r="AF48" s="68" t="n">
        <v>927.45037075</v>
      </c>
      <c r="AG48" s="68" t="n">
        <v>20.5</v>
      </c>
      <c r="AH48" s="92" t="s">
        <v>1326</v>
      </c>
    </row>
    <row r="49" customFormat="false" ht="14.25" hidden="false" customHeight="false" outlineLevel="0" collapsed="false">
      <c r="C49" s="64" t="n">
        <v>44</v>
      </c>
      <c r="D49" s="65" t="s">
        <v>1325</v>
      </c>
      <c r="E49" s="65" t="s">
        <v>867</v>
      </c>
      <c r="F49" s="66" t="n">
        <v>110</v>
      </c>
      <c r="G49" s="66" t="n">
        <v>46</v>
      </c>
      <c r="H49" s="67" t="n">
        <v>13.8</v>
      </c>
      <c r="I49" s="67" t="n">
        <v>40</v>
      </c>
      <c r="J49" s="67" t="n">
        <v>40</v>
      </c>
      <c r="K49" s="67" t="n">
        <v>13.3</v>
      </c>
      <c r="L49" s="68" t="s">
        <v>1277</v>
      </c>
      <c r="M49" s="67" t="n">
        <v>11.54</v>
      </c>
      <c r="N49" s="67" t="n">
        <v>7.4</v>
      </c>
      <c r="O49" s="67" t="n">
        <v>2.99</v>
      </c>
      <c r="P49" s="67" t="n">
        <v>11.54</v>
      </c>
      <c r="Q49" s="67" t="n">
        <v>7.4</v>
      </c>
      <c r="R49" s="67" t="n">
        <v>2.99</v>
      </c>
      <c r="S49" s="67" t="n">
        <v>0</v>
      </c>
      <c r="T49" s="67" t="n">
        <v>8</v>
      </c>
      <c r="U49" s="67" t="n">
        <v>-8</v>
      </c>
      <c r="V49" s="66" t="n">
        <v>1.25</v>
      </c>
      <c r="W49" s="67" t="n">
        <v>0</v>
      </c>
      <c r="X49" s="67"/>
      <c r="Y49" s="68" t="s">
        <v>771</v>
      </c>
      <c r="Z49" s="69" t="n">
        <v>46752</v>
      </c>
      <c r="AA49" s="68" t="s">
        <v>200</v>
      </c>
      <c r="AB49" s="68"/>
      <c r="AC49" s="68"/>
      <c r="AD49" s="68"/>
      <c r="AE49" s="68"/>
      <c r="AF49" s="68"/>
      <c r="AG49" s="68"/>
      <c r="AH49" s="92"/>
    </row>
    <row r="50" customFormat="false" ht="14.25" hidden="false" customHeight="false" outlineLevel="0" collapsed="false">
      <c r="C50" s="64" t="n">
        <v>45</v>
      </c>
      <c r="D50" s="65" t="s">
        <v>1327</v>
      </c>
      <c r="E50" s="65" t="s">
        <v>1233</v>
      </c>
      <c r="F50" s="66" t="n">
        <v>112</v>
      </c>
      <c r="G50" s="66" t="n">
        <v>46</v>
      </c>
      <c r="H50" s="67" t="n">
        <v>13.8</v>
      </c>
      <c r="I50" s="67" t="n">
        <v>60</v>
      </c>
      <c r="J50" s="67" t="n">
        <v>20</v>
      </c>
      <c r="K50" s="67" t="n">
        <v>60</v>
      </c>
      <c r="L50" s="68" t="s">
        <v>1277</v>
      </c>
      <c r="M50" s="67" t="n">
        <v>8.2</v>
      </c>
      <c r="N50" s="67" t="n">
        <v>17.86</v>
      </c>
      <c r="O50" s="67" t="n">
        <v>2.2</v>
      </c>
      <c r="P50" s="67" t="n">
        <v>8.2</v>
      </c>
      <c r="Q50" s="67" t="n">
        <v>17.86</v>
      </c>
      <c r="R50" s="67" t="n">
        <v>2.2</v>
      </c>
      <c r="S50" s="67" t="n">
        <v>0</v>
      </c>
      <c r="T50" s="67" t="n">
        <v>8</v>
      </c>
      <c r="U50" s="67" t="n">
        <v>-8</v>
      </c>
      <c r="V50" s="66" t="n">
        <v>1.25</v>
      </c>
      <c r="W50" s="67" t="n">
        <v>0</v>
      </c>
      <c r="X50" s="67"/>
      <c r="Y50" s="68" t="s">
        <v>202</v>
      </c>
      <c r="Z50" s="69"/>
      <c r="AA50" s="68" t="s">
        <v>200</v>
      </c>
      <c r="AB50" s="68"/>
      <c r="AC50" s="68"/>
      <c r="AD50" s="68"/>
      <c r="AE50" s="68" t="n">
        <v>14.7244907</v>
      </c>
      <c r="AF50" s="68" t="n">
        <v>58.8979628</v>
      </c>
      <c r="AG50" s="68" t="n">
        <v>4</v>
      </c>
      <c r="AH50" s="92"/>
    </row>
    <row r="51" customFormat="false" ht="14.25" hidden="false" customHeight="false" outlineLevel="0" collapsed="false">
      <c r="C51" s="64" t="n">
        <v>46</v>
      </c>
      <c r="D51" s="65" t="s">
        <v>1328</v>
      </c>
      <c r="E51" s="65" t="s">
        <v>1250</v>
      </c>
      <c r="F51" s="66" t="n">
        <v>112</v>
      </c>
      <c r="G51" s="66" t="n">
        <v>46</v>
      </c>
      <c r="H51" s="67" t="n">
        <v>13.8</v>
      </c>
      <c r="I51" s="67" t="n">
        <v>60</v>
      </c>
      <c r="J51" s="67" t="n">
        <v>20</v>
      </c>
      <c r="K51" s="67" t="n">
        <v>60</v>
      </c>
      <c r="L51" s="68" t="s">
        <v>1277</v>
      </c>
      <c r="M51" s="67" t="n">
        <v>9.84</v>
      </c>
      <c r="N51" s="67" t="n">
        <v>18.12</v>
      </c>
      <c r="O51" s="67" t="n">
        <v>2.85</v>
      </c>
      <c r="P51" s="67" t="n">
        <v>9.84</v>
      </c>
      <c r="Q51" s="67" t="n">
        <v>18.12</v>
      </c>
      <c r="R51" s="67" t="n">
        <v>2.85</v>
      </c>
      <c r="S51" s="67" t="n">
        <v>0</v>
      </c>
      <c r="T51" s="67" t="n">
        <v>8</v>
      </c>
      <c r="U51" s="67" t="n">
        <v>-8</v>
      </c>
      <c r="V51" s="66" t="n">
        <v>1.25</v>
      </c>
      <c r="W51" s="67" t="n">
        <v>0</v>
      </c>
      <c r="X51" s="67"/>
      <c r="Y51" s="68" t="s">
        <v>771</v>
      </c>
      <c r="Z51" s="69" t="n">
        <v>46387</v>
      </c>
      <c r="AA51" s="68" t="s">
        <v>200</v>
      </c>
      <c r="AB51" s="68"/>
      <c r="AC51" s="68"/>
      <c r="AD51" s="68"/>
      <c r="AE51" s="68"/>
      <c r="AF51" s="68"/>
      <c r="AG51" s="68"/>
      <c r="AH51" s="92"/>
    </row>
    <row r="52" customFormat="false" ht="14.25" hidden="false" customHeight="false" outlineLevel="0" collapsed="false">
      <c r="C52" s="64" t="n">
        <v>47</v>
      </c>
      <c r="D52" s="65" t="s">
        <v>1329</v>
      </c>
      <c r="E52" s="65" t="s">
        <v>1330</v>
      </c>
      <c r="F52" s="66" t="n">
        <v>112</v>
      </c>
      <c r="G52" s="66" t="n">
        <v>46</v>
      </c>
      <c r="H52" s="67" t="n">
        <v>13.8</v>
      </c>
      <c r="I52" s="67" t="n">
        <v>60</v>
      </c>
      <c r="J52" s="67" t="n">
        <v>20</v>
      </c>
      <c r="K52" s="67" t="n">
        <v>60</v>
      </c>
      <c r="L52" s="68" t="s">
        <v>1277</v>
      </c>
      <c r="M52" s="67" t="n">
        <v>8.29</v>
      </c>
      <c r="N52" s="67" t="n">
        <v>17.53</v>
      </c>
      <c r="O52" s="67" t="n">
        <v>2.2</v>
      </c>
      <c r="P52" s="67" t="n">
        <v>8.29</v>
      </c>
      <c r="Q52" s="67" t="n">
        <v>17.53</v>
      </c>
      <c r="R52" s="67" t="n">
        <v>2.2</v>
      </c>
      <c r="S52" s="67" t="n">
        <v>0</v>
      </c>
      <c r="T52" s="67" t="n">
        <v>8</v>
      </c>
      <c r="U52" s="67" t="n">
        <v>-8</v>
      </c>
      <c r="V52" s="66" t="n">
        <v>1.25</v>
      </c>
      <c r="W52" s="67" t="n">
        <v>0</v>
      </c>
      <c r="X52" s="67"/>
      <c r="Y52" s="68" t="s">
        <v>202</v>
      </c>
      <c r="Z52" s="69"/>
      <c r="AA52" s="68" t="s">
        <v>200</v>
      </c>
      <c r="AB52" s="68"/>
      <c r="AC52" s="68"/>
      <c r="AD52" s="68"/>
      <c r="AE52" s="68" t="n">
        <v>23.2256019</v>
      </c>
      <c r="AF52" s="68" t="n">
        <v>104.51520855</v>
      </c>
      <c r="AG52" s="68" t="n">
        <v>4.5</v>
      </c>
      <c r="AH52" s="92"/>
    </row>
    <row r="53" customFormat="false" ht="14.25" hidden="false" customHeight="false" outlineLevel="0" collapsed="false">
      <c r="C53" s="64" t="n">
        <v>48</v>
      </c>
      <c r="D53" s="65" t="s">
        <v>1331</v>
      </c>
      <c r="E53" s="65" t="s">
        <v>974</v>
      </c>
      <c r="F53" s="66" t="n">
        <v>110</v>
      </c>
      <c r="G53" s="66" t="n">
        <v>46</v>
      </c>
      <c r="H53" s="67" t="n">
        <v>13.8</v>
      </c>
      <c r="I53" s="67" t="n">
        <v>60</v>
      </c>
      <c r="J53" s="67" t="n">
        <v>40</v>
      </c>
      <c r="K53" s="67" t="n">
        <v>20</v>
      </c>
      <c r="L53" s="68" t="s">
        <v>1332</v>
      </c>
      <c r="M53" s="67" t="n">
        <v>9.87</v>
      </c>
      <c r="N53" s="67" t="n">
        <v>10.3</v>
      </c>
      <c r="O53" s="67" t="n">
        <v>4.84</v>
      </c>
      <c r="P53" s="67" t="n">
        <v>9.87</v>
      </c>
      <c r="Q53" s="67" t="n">
        <v>10.3</v>
      </c>
      <c r="R53" s="67" t="n">
        <v>4.84</v>
      </c>
      <c r="S53" s="67" t="n">
        <v>0</v>
      </c>
      <c r="T53" s="67" t="n">
        <v>5</v>
      </c>
      <c r="U53" s="67" t="n">
        <v>-5</v>
      </c>
      <c r="V53" s="66" t="n">
        <v>1.25</v>
      </c>
      <c r="W53" s="67" t="n">
        <v>0</v>
      </c>
      <c r="X53" s="67"/>
      <c r="Y53" s="68" t="s">
        <v>202</v>
      </c>
      <c r="Z53" s="69"/>
      <c r="AA53" s="68" t="s">
        <v>200</v>
      </c>
      <c r="AB53" s="68"/>
      <c r="AC53" s="68"/>
      <c r="AD53" s="68"/>
      <c r="AE53" s="68" t="n">
        <v>61.369</v>
      </c>
      <c r="AF53" s="68" t="n">
        <v>2086.546</v>
      </c>
      <c r="AG53" s="68" t="n">
        <v>34</v>
      </c>
      <c r="AH53" s="92"/>
    </row>
    <row r="54" customFormat="false" ht="14.25" hidden="false" customHeight="false" outlineLevel="0" collapsed="false">
      <c r="C54" s="64" t="n">
        <v>49</v>
      </c>
      <c r="D54" s="65" t="s">
        <v>1333</v>
      </c>
      <c r="E54" s="65" t="s">
        <v>1110</v>
      </c>
      <c r="F54" s="66" t="n">
        <v>230</v>
      </c>
      <c r="G54" s="66" t="n">
        <v>115</v>
      </c>
      <c r="H54" s="67" t="n">
        <v>46</v>
      </c>
      <c r="I54" s="67" t="n">
        <v>90</v>
      </c>
      <c r="J54" s="67" t="n">
        <v>90</v>
      </c>
      <c r="K54" s="67" t="n">
        <v>30</v>
      </c>
      <c r="L54" s="68" t="s">
        <v>1275</v>
      </c>
      <c r="M54" s="67" t="n">
        <v>9.24</v>
      </c>
      <c r="N54" s="67" t="n">
        <v>12.96</v>
      </c>
      <c r="O54" s="67" t="n">
        <v>8.48</v>
      </c>
      <c r="P54" s="67" t="n">
        <v>9.22</v>
      </c>
      <c r="Q54" s="67" t="n">
        <v>12.93</v>
      </c>
      <c r="R54" s="67" t="n">
        <v>8.46</v>
      </c>
      <c r="S54" s="67" t="n">
        <v>9</v>
      </c>
      <c r="T54" s="67" t="n">
        <v>17</v>
      </c>
      <c r="U54" s="67" t="n">
        <v>1</v>
      </c>
      <c r="V54" s="66" t="n">
        <v>1.25</v>
      </c>
      <c r="W54" s="67" t="n">
        <v>20</v>
      </c>
      <c r="X54" s="67"/>
      <c r="Y54" s="68" t="s">
        <v>202</v>
      </c>
      <c r="Z54" s="69"/>
      <c r="AA54" s="68" t="s">
        <v>767</v>
      </c>
      <c r="AB54" s="68"/>
      <c r="AC54" s="68"/>
      <c r="AD54" s="68"/>
      <c r="AE54" s="68"/>
      <c r="AF54" s="68"/>
      <c r="AG54" s="68"/>
      <c r="AH54" s="92"/>
    </row>
    <row r="55" customFormat="false" ht="14.25" hidden="false" customHeight="false" outlineLevel="0" collapsed="false">
      <c r="C55" s="64" t="n">
        <v>50</v>
      </c>
      <c r="D55" s="65" t="s">
        <v>1334</v>
      </c>
      <c r="E55" s="65" t="s">
        <v>1033</v>
      </c>
      <c r="F55" s="66" t="n">
        <v>110</v>
      </c>
      <c r="G55" s="66" t="n">
        <v>48.33</v>
      </c>
      <c r="H55" s="67" t="n">
        <v>14.15</v>
      </c>
      <c r="I55" s="67" t="n">
        <v>60</v>
      </c>
      <c r="J55" s="67" t="n">
        <v>20</v>
      </c>
      <c r="K55" s="67" t="n">
        <v>60</v>
      </c>
      <c r="L55" s="68" t="s">
        <v>1281</v>
      </c>
      <c r="M55" s="67" t="n">
        <v>7.68</v>
      </c>
      <c r="N55" s="67" t="n">
        <v>11.85</v>
      </c>
      <c r="O55" s="67" t="n">
        <v>2.87</v>
      </c>
      <c r="P55" s="67" t="n">
        <v>7.68</v>
      </c>
      <c r="Q55" s="67" t="n">
        <v>11.85</v>
      </c>
      <c r="R55" s="67" t="n">
        <v>2.87</v>
      </c>
      <c r="S55" s="67" t="n">
        <v>0</v>
      </c>
      <c r="T55" s="67" t="n">
        <v>15</v>
      </c>
      <c r="U55" s="67" t="n">
        <v>-15</v>
      </c>
      <c r="V55" s="66" t="n">
        <v>1.25</v>
      </c>
      <c r="W55" s="67" t="n">
        <v>0</v>
      </c>
      <c r="X55" s="67"/>
      <c r="Y55" s="68" t="s">
        <v>202</v>
      </c>
      <c r="Z55" s="69"/>
      <c r="AA55" s="68" t="s">
        <v>200</v>
      </c>
      <c r="AB55" s="68"/>
      <c r="AC55" s="68"/>
      <c r="AD55" s="68"/>
      <c r="AE55" s="68" t="n">
        <v>53.461713</v>
      </c>
      <c r="AF55" s="68" t="n">
        <v>267.308565</v>
      </c>
      <c r="AG55" s="68" t="n">
        <v>5</v>
      </c>
      <c r="AH55" s="92"/>
    </row>
    <row r="56" customFormat="false" ht="14.25" hidden="false" customHeight="false" outlineLevel="0" collapsed="false">
      <c r="C56" s="64" t="n">
        <v>51</v>
      </c>
      <c r="D56" s="65" t="s">
        <v>1335</v>
      </c>
      <c r="E56" s="65" t="s">
        <v>1033</v>
      </c>
      <c r="F56" s="66" t="n">
        <v>220</v>
      </c>
      <c r="G56" s="66" t="n">
        <v>110</v>
      </c>
      <c r="H56" s="67" t="n">
        <v>46</v>
      </c>
      <c r="I56" s="67" t="n">
        <v>180</v>
      </c>
      <c r="J56" s="67" t="n">
        <v>180</v>
      </c>
      <c r="K56" s="67" t="n">
        <v>30</v>
      </c>
      <c r="L56" s="68" t="s">
        <v>1275</v>
      </c>
      <c r="M56" s="67" t="n">
        <v>9.22</v>
      </c>
      <c r="N56" s="67" t="n">
        <v>6.28</v>
      </c>
      <c r="O56" s="67" t="n">
        <v>4.393</v>
      </c>
      <c r="P56" s="67" t="n">
        <v>8.721</v>
      </c>
      <c r="Q56" s="67" t="n">
        <v>5.966</v>
      </c>
      <c r="R56" s="67" t="n">
        <v>4.17335</v>
      </c>
      <c r="S56" s="67" t="n">
        <v>11</v>
      </c>
      <c r="T56" s="67" t="n">
        <v>21</v>
      </c>
      <c r="U56" s="67" t="n">
        <v>1</v>
      </c>
      <c r="V56" s="66" t="n">
        <v>1.25</v>
      </c>
      <c r="W56" s="67" t="n">
        <v>30</v>
      </c>
      <c r="X56" s="67"/>
      <c r="Y56" s="68" t="s">
        <v>202</v>
      </c>
      <c r="Z56" s="69"/>
      <c r="AA56" s="68" t="s">
        <v>767</v>
      </c>
      <c r="AB56" s="68"/>
      <c r="AC56" s="68"/>
      <c r="AD56" s="68"/>
      <c r="AE56" s="68" t="n">
        <v>22.108</v>
      </c>
      <c r="AF56" s="68" t="n">
        <v>106.1184</v>
      </c>
      <c r="AG56" s="68" t="n">
        <v>4.8</v>
      </c>
      <c r="AH56" s="92" t="s">
        <v>1336</v>
      </c>
    </row>
    <row r="57" customFormat="false" ht="14.25" hidden="false" customHeight="false" outlineLevel="0" collapsed="false">
      <c r="C57" s="64" t="n">
        <v>52</v>
      </c>
      <c r="D57" s="65" t="s">
        <v>1337</v>
      </c>
      <c r="E57" s="65" t="s">
        <v>1033</v>
      </c>
      <c r="F57" s="66" t="n">
        <v>220</v>
      </c>
      <c r="G57" s="66" t="n">
        <v>110</v>
      </c>
      <c r="H57" s="67" t="n">
        <v>46</v>
      </c>
      <c r="I57" s="67" t="n">
        <v>180</v>
      </c>
      <c r="J57" s="67" t="n">
        <v>180</v>
      </c>
      <c r="K57" s="67" t="n">
        <v>30</v>
      </c>
      <c r="L57" s="68" t="s">
        <v>1275</v>
      </c>
      <c r="M57" s="67" t="n">
        <v>9.2</v>
      </c>
      <c r="N57" s="67" t="n">
        <v>6.3</v>
      </c>
      <c r="O57" s="67" t="n">
        <v>4.39</v>
      </c>
      <c r="P57" s="67" t="n">
        <v>8.759</v>
      </c>
      <c r="Q57" s="67" t="n">
        <v>6.3</v>
      </c>
      <c r="R57" s="67" t="n">
        <v>4.199</v>
      </c>
      <c r="S57" s="67" t="n">
        <v>11</v>
      </c>
      <c r="T57" s="67" t="n">
        <v>21</v>
      </c>
      <c r="U57" s="67" t="n">
        <v>1</v>
      </c>
      <c r="V57" s="66" t="n">
        <v>1.25</v>
      </c>
      <c r="W57" s="67" t="n">
        <v>30</v>
      </c>
      <c r="X57" s="67"/>
      <c r="Y57" s="68" t="s">
        <v>202</v>
      </c>
      <c r="Z57" s="69"/>
      <c r="AA57" s="68" t="s">
        <v>767</v>
      </c>
      <c r="AB57" s="68"/>
      <c r="AC57" s="68"/>
      <c r="AD57" s="68"/>
      <c r="AE57" s="68" t="n">
        <v>22.8580556</v>
      </c>
      <c r="AF57" s="68" t="n">
        <v>190.483796590473</v>
      </c>
      <c r="AG57" s="68" t="n">
        <v>8.33333333</v>
      </c>
      <c r="AH57" s="92" t="s">
        <v>1338</v>
      </c>
    </row>
    <row r="58" customFormat="false" ht="14.25" hidden="false" customHeight="false" outlineLevel="0" collapsed="false">
      <c r="C58" s="64" t="n">
        <v>53</v>
      </c>
      <c r="D58" s="65" t="s">
        <v>1339</v>
      </c>
      <c r="E58" s="65" t="s">
        <v>819</v>
      </c>
      <c r="F58" s="66" t="n">
        <v>220</v>
      </c>
      <c r="G58" s="66" t="n">
        <v>110</v>
      </c>
      <c r="H58" s="67" t="n">
        <v>13.8</v>
      </c>
      <c r="I58" s="67" t="n">
        <v>180</v>
      </c>
      <c r="J58" s="67" t="n">
        <v>180</v>
      </c>
      <c r="K58" s="67" t="n">
        <v>4</v>
      </c>
      <c r="L58" s="68" t="s">
        <v>1275</v>
      </c>
      <c r="M58" s="67" t="n">
        <v>9.27</v>
      </c>
      <c r="N58" s="67" t="n">
        <v>1.59</v>
      </c>
      <c r="O58" s="67" t="n">
        <v>1.41</v>
      </c>
      <c r="P58" s="67" t="n">
        <v>8.797</v>
      </c>
      <c r="Q58" s="67" t="n">
        <v>1.5048</v>
      </c>
      <c r="R58" s="67" t="n">
        <v>1.29485</v>
      </c>
      <c r="S58" s="67" t="n">
        <v>11</v>
      </c>
      <c r="T58" s="67" t="n">
        <v>21</v>
      </c>
      <c r="U58" s="67" t="n">
        <v>1</v>
      </c>
      <c r="V58" s="66" t="n">
        <v>1.25</v>
      </c>
      <c r="W58" s="67" t="n">
        <v>30</v>
      </c>
      <c r="X58" s="67"/>
      <c r="Y58" s="68" t="s">
        <v>202</v>
      </c>
      <c r="Z58" s="69"/>
      <c r="AA58" s="68" t="s">
        <v>767</v>
      </c>
      <c r="AB58" s="68"/>
      <c r="AC58" s="68"/>
      <c r="AD58" s="68"/>
      <c r="AE58" s="68"/>
      <c r="AF58" s="68"/>
      <c r="AG58" s="68"/>
      <c r="AH58" s="92"/>
    </row>
    <row r="59" customFormat="false" ht="14.25" hidden="false" customHeight="false" outlineLevel="0" collapsed="false">
      <c r="C59" s="64" t="n">
        <v>54</v>
      </c>
      <c r="D59" s="65" t="s">
        <v>1340</v>
      </c>
      <c r="E59" s="65" t="s">
        <v>819</v>
      </c>
      <c r="F59" s="66" t="n">
        <v>220</v>
      </c>
      <c r="G59" s="66" t="n">
        <v>110</v>
      </c>
      <c r="H59" s="67" t="n">
        <v>13.8</v>
      </c>
      <c r="I59" s="67" t="n">
        <v>180</v>
      </c>
      <c r="J59" s="67" t="n">
        <v>180</v>
      </c>
      <c r="K59" s="67" t="n">
        <v>4</v>
      </c>
      <c r="L59" s="68" t="s">
        <v>1275</v>
      </c>
      <c r="M59" s="67" t="n">
        <v>9.37</v>
      </c>
      <c r="N59" s="67" t="n">
        <v>1.56</v>
      </c>
      <c r="O59" s="67" t="n">
        <v>1.36</v>
      </c>
      <c r="P59" s="67" t="n">
        <v>8.8825</v>
      </c>
      <c r="Q59" s="67" t="n">
        <v>1.5238</v>
      </c>
      <c r="R59" s="67" t="n">
        <v>1.2882</v>
      </c>
      <c r="S59" s="67" t="n">
        <v>11</v>
      </c>
      <c r="T59" s="67" t="n">
        <v>21</v>
      </c>
      <c r="U59" s="67" t="n">
        <v>1</v>
      </c>
      <c r="V59" s="66" t="n">
        <v>1.25</v>
      </c>
      <c r="W59" s="67" t="n">
        <v>30</v>
      </c>
      <c r="X59" s="67"/>
      <c r="Y59" s="68" t="s">
        <v>202</v>
      </c>
      <c r="Z59" s="69"/>
      <c r="AA59" s="68" t="s">
        <v>767</v>
      </c>
      <c r="AB59" s="68"/>
      <c r="AC59" s="68"/>
      <c r="AD59" s="68"/>
      <c r="AE59" s="68"/>
      <c r="AF59" s="68"/>
      <c r="AG59" s="68"/>
      <c r="AH59" s="92"/>
    </row>
    <row r="60" customFormat="false" ht="14.25" hidden="false" customHeight="false" outlineLevel="0" collapsed="false">
      <c r="C60" s="64" t="n">
        <v>55</v>
      </c>
      <c r="D60" s="65" t="s">
        <v>1341</v>
      </c>
      <c r="E60" s="65" t="s">
        <v>1039</v>
      </c>
      <c r="F60" s="66" t="n">
        <v>110</v>
      </c>
      <c r="G60" s="66" t="n">
        <v>45.94</v>
      </c>
      <c r="H60" s="67" t="n">
        <v>14.4</v>
      </c>
      <c r="I60" s="67" t="n">
        <v>60</v>
      </c>
      <c r="J60" s="67" t="n">
        <v>20</v>
      </c>
      <c r="K60" s="67" t="n">
        <v>60</v>
      </c>
      <c r="L60" s="68" t="s">
        <v>1281</v>
      </c>
      <c r="M60" s="67" t="n">
        <v>9.63</v>
      </c>
      <c r="N60" s="67" t="n">
        <v>17.49</v>
      </c>
      <c r="O60" s="67" t="n">
        <v>3.12</v>
      </c>
      <c r="P60" s="67" t="n">
        <v>9.63</v>
      </c>
      <c r="Q60" s="67" t="n">
        <v>17.49</v>
      </c>
      <c r="R60" s="67" t="n">
        <v>3.12</v>
      </c>
      <c r="S60" s="67" t="n">
        <v>0</v>
      </c>
      <c r="T60" s="67" t="n">
        <v>11</v>
      </c>
      <c r="U60" s="67" t="n">
        <v>-5</v>
      </c>
      <c r="V60" s="66" t="n">
        <v>1.25</v>
      </c>
      <c r="W60" s="67" t="n">
        <v>0</v>
      </c>
      <c r="X60" s="67"/>
      <c r="Y60" s="68" t="s">
        <v>202</v>
      </c>
      <c r="Z60" s="69"/>
      <c r="AA60" s="68" t="s">
        <v>200</v>
      </c>
      <c r="AB60" s="68"/>
      <c r="AC60" s="68"/>
      <c r="AD60" s="68"/>
      <c r="AE60" s="68" t="n">
        <v>5.32328704</v>
      </c>
      <c r="AF60" s="68" t="n">
        <v>37.26300928</v>
      </c>
      <c r="AG60" s="68" t="n">
        <v>7</v>
      </c>
      <c r="AH60" s="92"/>
    </row>
    <row r="61" customFormat="false" ht="14.25" hidden="false" customHeight="false" outlineLevel="0" collapsed="false">
      <c r="C61" s="64" t="n">
        <v>56</v>
      </c>
      <c r="D61" s="65" t="s">
        <v>1342</v>
      </c>
      <c r="E61" s="65" t="s">
        <v>1039</v>
      </c>
      <c r="F61" s="66" t="n">
        <v>214.5</v>
      </c>
      <c r="G61" s="66" t="n">
        <v>110</v>
      </c>
      <c r="H61" s="67" t="n">
        <v>46</v>
      </c>
      <c r="I61" s="67" t="n">
        <v>180</v>
      </c>
      <c r="J61" s="67" t="n">
        <v>180</v>
      </c>
      <c r="K61" s="67" t="n">
        <v>60</v>
      </c>
      <c r="L61" s="68" t="s">
        <v>1275</v>
      </c>
      <c r="M61" s="67" t="n">
        <v>9.27</v>
      </c>
      <c r="N61" s="67" t="n">
        <v>12.86</v>
      </c>
      <c r="O61" s="67" t="n">
        <v>8.78</v>
      </c>
      <c r="P61" s="67" t="n">
        <v>8.854</v>
      </c>
      <c r="Q61" s="67" t="n">
        <v>12.3215</v>
      </c>
      <c r="R61" s="67" t="n">
        <v>8.322</v>
      </c>
      <c r="S61" s="67" t="n">
        <v>0</v>
      </c>
      <c r="T61" s="67" t="n">
        <v>10</v>
      </c>
      <c r="U61" s="67" t="n">
        <v>-10</v>
      </c>
      <c r="V61" s="66" t="n">
        <v>1.3</v>
      </c>
      <c r="W61" s="67" t="n">
        <v>30</v>
      </c>
      <c r="X61" s="67"/>
      <c r="Y61" s="68" t="s">
        <v>202</v>
      </c>
      <c r="Z61" s="69"/>
      <c r="AA61" s="68" t="s">
        <v>767</v>
      </c>
      <c r="AB61" s="68"/>
      <c r="AC61" s="68"/>
      <c r="AD61" s="68"/>
      <c r="AE61" s="68" t="n">
        <v>17.0782407</v>
      </c>
      <c r="AF61" s="68" t="n">
        <v>45.5419752569275</v>
      </c>
      <c r="AG61" s="68" t="n">
        <v>2.66666667</v>
      </c>
      <c r="AH61" s="92"/>
    </row>
    <row r="62" customFormat="false" ht="14.25" hidden="false" customHeight="false" outlineLevel="0" collapsed="false">
      <c r="C62" s="64" t="n">
        <v>57</v>
      </c>
      <c r="D62" s="65" t="s">
        <v>1343</v>
      </c>
      <c r="E62" s="65" t="s">
        <v>1039</v>
      </c>
      <c r="F62" s="66" t="n">
        <v>220</v>
      </c>
      <c r="G62" s="66" t="n">
        <v>110</v>
      </c>
      <c r="H62" s="67" t="n">
        <v>46.2</v>
      </c>
      <c r="I62" s="67" t="n">
        <v>180</v>
      </c>
      <c r="J62" s="67" t="n">
        <v>180</v>
      </c>
      <c r="K62" s="67" t="n">
        <v>60</v>
      </c>
      <c r="L62" s="68" t="s">
        <v>1275</v>
      </c>
      <c r="M62" s="67" t="n">
        <v>9.97</v>
      </c>
      <c r="N62" s="67" t="n">
        <v>13.06</v>
      </c>
      <c r="O62" s="67" t="n">
        <v>8.55</v>
      </c>
      <c r="P62" s="67" t="n">
        <v>8.7305</v>
      </c>
      <c r="Q62" s="67" t="n">
        <v>12.4735</v>
      </c>
      <c r="R62" s="67" t="n">
        <v>8.493</v>
      </c>
      <c r="S62" s="67" t="n">
        <v>0</v>
      </c>
      <c r="T62" s="67" t="n">
        <v>8</v>
      </c>
      <c r="U62" s="67" t="n">
        <v>-12</v>
      </c>
      <c r="V62" s="66" t="n">
        <v>1.25</v>
      </c>
      <c r="W62" s="67" t="n">
        <v>30</v>
      </c>
      <c r="X62" s="67"/>
      <c r="Y62" s="68" t="s">
        <v>202</v>
      </c>
      <c r="Z62" s="69"/>
      <c r="AA62" s="68" t="s">
        <v>767</v>
      </c>
      <c r="AB62" s="68"/>
      <c r="AC62" s="68"/>
      <c r="AD62" s="68"/>
      <c r="AE62" s="68" t="n">
        <v>13.002963</v>
      </c>
      <c r="AF62" s="68" t="n">
        <v>30.3402469566568</v>
      </c>
      <c r="AG62" s="68" t="n">
        <v>2.33333333</v>
      </c>
      <c r="AH62" s="92"/>
    </row>
    <row r="63" customFormat="false" ht="14.25" hidden="false" customHeight="false" outlineLevel="0" collapsed="false">
      <c r="C63" s="64" t="n">
        <v>58</v>
      </c>
      <c r="D63" s="65" t="s">
        <v>1344</v>
      </c>
      <c r="E63" s="65" t="s">
        <v>1071</v>
      </c>
      <c r="F63" s="66" t="n">
        <v>112</v>
      </c>
      <c r="G63" s="66" t="n">
        <v>46</v>
      </c>
      <c r="H63" s="67" t="n">
        <v>13.8</v>
      </c>
      <c r="I63" s="67" t="n">
        <v>60</v>
      </c>
      <c r="J63" s="67" t="n">
        <v>20</v>
      </c>
      <c r="K63" s="67" t="n">
        <v>60</v>
      </c>
      <c r="L63" s="68" t="s">
        <v>1277</v>
      </c>
      <c r="M63" s="67" t="n">
        <v>9.13</v>
      </c>
      <c r="N63" s="67" t="n">
        <v>16.04</v>
      </c>
      <c r="O63" s="67" t="n">
        <v>2.72</v>
      </c>
      <c r="P63" s="67" t="n">
        <v>9.13</v>
      </c>
      <c r="Q63" s="67" t="n">
        <v>16.04</v>
      </c>
      <c r="R63" s="67" t="n">
        <v>2.72</v>
      </c>
      <c r="S63" s="67" t="n">
        <v>0</v>
      </c>
      <c r="T63" s="67" t="n">
        <v>8</v>
      </c>
      <c r="U63" s="67" t="n">
        <v>-8</v>
      </c>
      <c r="V63" s="66" t="n">
        <v>1.25</v>
      </c>
      <c r="W63" s="67" t="n">
        <v>0</v>
      </c>
      <c r="X63" s="67"/>
      <c r="Y63" s="68" t="s">
        <v>202</v>
      </c>
      <c r="Z63" s="69"/>
      <c r="AA63" s="68" t="s">
        <v>200</v>
      </c>
      <c r="AB63" s="68"/>
      <c r="AC63" s="68"/>
      <c r="AD63" s="68"/>
      <c r="AE63" s="68" t="n">
        <v>9.2735</v>
      </c>
      <c r="AF63" s="68" t="n">
        <v>44.5128</v>
      </c>
      <c r="AG63" s="68" t="n">
        <v>4.8</v>
      </c>
      <c r="AH63" s="92"/>
    </row>
    <row r="64" customFormat="false" ht="14.25" hidden="false" customHeight="false" outlineLevel="0" collapsed="false">
      <c r="C64" s="64" t="n">
        <v>59</v>
      </c>
      <c r="D64" s="65" t="s">
        <v>1345</v>
      </c>
      <c r="E64" s="65" t="s">
        <v>1071</v>
      </c>
      <c r="F64" s="66" t="n">
        <v>112</v>
      </c>
      <c r="G64" s="66" t="n">
        <v>46</v>
      </c>
      <c r="H64" s="67" t="n">
        <v>13.8</v>
      </c>
      <c r="I64" s="67" t="n">
        <v>60</v>
      </c>
      <c r="J64" s="67" t="n">
        <v>20</v>
      </c>
      <c r="K64" s="67" t="n">
        <v>60</v>
      </c>
      <c r="L64" s="68" t="s">
        <v>1277</v>
      </c>
      <c r="M64" s="67" t="n">
        <v>8.81</v>
      </c>
      <c r="N64" s="67" t="n">
        <v>17.08</v>
      </c>
      <c r="O64" s="67" t="n">
        <v>2.94</v>
      </c>
      <c r="P64" s="67" t="n">
        <v>8.81</v>
      </c>
      <c r="Q64" s="67" t="n">
        <v>17.08</v>
      </c>
      <c r="R64" s="67" t="n">
        <v>2.94</v>
      </c>
      <c r="S64" s="67" t="n">
        <v>0</v>
      </c>
      <c r="T64" s="67" t="n">
        <v>8</v>
      </c>
      <c r="U64" s="67" t="n">
        <v>-8</v>
      </c>
      <c r="V64" s="66" t="n">
        <v>1.25</v>
      </c>
      <c r="W64" s="67" t="n">
        <v>0</v>
      </c>
      <c r="X64" s="67"/>
      <c r="Y64" s="68" t="s">
        <v>202</v>
      </c>
      <c r="Z64" s="69"/>
      <c r="AA64" s="68" t="s">
        <v>200</v>
      </c>
      <c r="AB64" s="68"/>
      <c r="AC64" s="68"/>
      <c r="AD64" s="68"/>
      <c r="AE64" s="68" t="n">
        <v>83.7196667</v>
      </c>
      <c r="AF64" s="68" t="n">
        <v>519.06193354</v>
      </c>
      <c r="AG64" s="68" t="n">
        <v>6.2</v>
      </c>
      <c r="AH64" s="92"/>
    </row>
    <row r="65" customFormat="false" ht="14.25" hidden="false" customHeight="false" outlineLevel="0" collapsed="false">
      <c r="C65" s="64" t="n">
        <v>60</v>
      </c>
      <c r="D65" s="65" t="s">
        <v>1346</v>
      </c>
      <c r="E65" s="65" t="s">
        <v>1124</v>
      </c>
      <c r="F65" s="66" t="n">
        <v>230</v>
      </c>
      <c r="G65" s="66" t="n">
        <v>115</v>
      </c>
      <c r="H65" s="67" t="n">
        <v>46</v>
      </c>
      <c r="I65" s="67" t="n">
        <v>90</v>
      </c>
      <c r="J65" s="67" t="n">
        <v>90</v>
      </c>
      <c r="K65" s="67" t="n">
        <v>30</v>
      </c>
      <c r="L65" s="68" t="s">
        <v>1275</v>
      </c>
      <c r="M65" s="67" t="n">
        <v>9.18</v>
      </c>
      <c r="N65" s="67" t="n">
        <v>12.92</v>
      </c>
      <c r="O65" s="67" t="n">
        <v>9.06</v>
      </c>
      <c r="P65" s="67" t="n">
        <v>9.18</v>
      </c>
      <c r="Q65" s="67" t="n">
        <v>12.92</v>
      </c>
      <c r="R65" s="67" t="n">
        <v>9.06</v>
      </c>
      <c r="S65" s="67" t="n">
        <v>9</v>
      </c>
      <c r="T65" s="67" t="n">
        <v>17</v>
      </c>
      <c r="U65" s="67" t="n">
        <v>1</v>
      </c>
      <c r="V65" s="66" t="n">
        <v>1.25</v>
      </c>
      <c r="W65" s="67" t="n">
        <v>15</v>
      </c>
      <c r="X65" s="67"/>
      <c r="Y65" s="68" t="s">
        <v>202</v>
      </c>
      <c r="Z65" s="69"/>
      <c r="AA65" s="68" t="s">
        <v>767</v>
      </c>
      <c r="AB65" s="68"/>
      <c r="AC65" s="68"/>
      <c r="AD65" s="68"/>
      <c r="AE65" s="68" t="n">
        <v>7.91027778</v>
      </c>
      <c r="AF65" s="68" t="n">
        <v>19.77569445</v>
      </c>
      <c r="AG65" s="68" t="n">
        <v>2.5</v>
      </c>
      <c r="AH65" s="92"/>
    </row>
    <row r="66" customFormat="false" ht="14.25" hidden="false" customHeight="false" outlineLevel="0" collapsed="false">
      <c r="C66" s="64" t="n">
        <v>61</v>
      </c>
      <c r="D66" s="65" t="s">
        <v>1347</v>
      </c>
      <c r="E66" s="65" t="s">
        <v>1245</v>
      </c>
      <c r="F66" s="66" t="n">
        <v>112</v>
      </c>
      <c r="G66" s="66" t="n">
        <v>46</v>
      </c>
      <c r="H66" s="67" t="n">
        <v>13.8</v>
      </c>
      <c r="I66" s="67" t="n">
        <v>60</v>
      </c>
      <c r="J66" s="67" t="n">
        <v>20</v>
      </c>
      <c r="K66" s="67" t="n">
        <v>60</v>
      </c>
      <c r="L66" s="68" t="s">
        <v>1277</v>
      </c>
      <c r="M66" s="67" t="n">
        <v>10.126</v>
      </c>
      <c r="N66" s="67" t="n">
        <v>17.73</v>
      </c>
      <c r="O66" s="67" t="n">
        <v>3.103</v>
      </c>
      <c r="P66" s="67" t="n">
        <v>10.126</v>
      </c>
      <c r="Q66" s="67" t="n">
        <v>17.73</v>
      </c>
      <c r="R66" s="67" t="n">
        <v>3.103</v>
      </c>
      <c r="S66" s="67" t="n">
        <v>0</v>
      </c>
      <c r="T66" s="67" t="n">
        <v>8</v>
      </c>
      <c r="U66" s="67" t="n">
        <v>-8</v>
      </c>
      <c r="V66" s="66" t="n">
        <v>1.25</v>
      </c>
      <c r="W66" s="67" t="n">
        <v>0</v>
      </c>
      <c r="X66" s="67"/>
      <c r="Y66" s="68" t="s">
        <v>202</v>
      </c>
      <c r="Z66" s="69"/>
      <c r="AA66" s="68" t="s">
        <v>200</v>
      </c>
      <c r="AB66" s="68"/>
      <c r="AC66" s="68"/>
      <c r="AD66" s="68"/>
      <c r="AE66" s="68" t="n">
        <v>52.4010185</v>
      </c>
      <c r="AF66" s="68" t="n">
        <v>253.271589241997</v>
      </c>
      <c r="AG66" s="68" t="n">
        <v>4.83333333</v>
      </c>
      <c r="AH66" s="92"/>
    </row>
    <row r="67" customFormat="false" ht="14.25" hidden="false" customHeight="false" outlineLevel="0" collapsed="false">
      <c r="C67" s="64" t="n">
        <v>62</v>
      </c>
      <c r="D67" s="65" t="s">
        <v>1348</v>
      </c>
      <c r="E67" s="65" t="s">
        <v>929</v>
      </c>
      <c r="F67" s="66" t="n">
        <v>110</v>
      </c>
      <c r="G67" s="66" t="n">
        <v>44</v>
      </c>
      <c r="H67" s="67" t="n">
        <v>10.9</v>
      </c>
      <c r="I67" s="67" t="n">
        <v>40</v>
      </c>
      <c r="J67" s="67" t="n">
        <v>40</v>
      </c>
      <c r="K67" s="67" t="n">
        <v>13.33</v>
      </c>
      <c r="L67" s="68" t="s">
        <v>1275</v>
      </c>
      <c r="M67" s="67" t="n">
        <v>9.21</v>
      </c>
      <c r="N67" s="67" t="n">
        <v>6.02</v>
      </c>
      <c r="O67" s="67" t="n">
        <v>8.87</v>
      </c>
      <c r="P67" s="67" t="n">
        <v>9.21</v>
      </c>
      <c r="Q67" s="67" t="n">
        <v>6.02</v>
      </c>
      <c r="R67" s="67" t="n">
        <v>8.87</v>
      </c>
      <c r="S67" s="67" t="n">
        <v>0</v>
      </c>
      <c r="T67" s="67" t="n">
        <v>8</v>
      </c>
      <c r="U67" s="67" t="n">
        <v>-8</v>
      </c>
      <c r="V67" s="66" t="n">
        <v>1.25</v>
      </c>
      <c r="W67" s="67" t="n">
        <v>0</v>
      </c>
      <c r="X67" s="67"/>
      <c r="Y67" s="68" t="s">
        <v>202</v>
      </c>
      <c r="Z67" s="69"/>
      <c r="AA67" s="68" t="s">
        <v>200</v>
      </c>
      <c r="AB67" s="68"/>
      <c r="AC67" s="68"/>
      <c r="AD67" s="68"/>
      <c r="AE67" s="68" t="n">
        <v>8.1724537</v>
      </c>
      <c r="AF67" s="68" t="n">
        <v>25.8794367439082</v>
      </c>
      <c r="AG67" s="68" t="n">
        <v>3.16666667</v>
      </c>
      <c r="AH67" s="92"/>
    </row>
    <row r="68" customFormat="false" ht="14.25" hidden="false" customHeight="false" outlineLevel="0" collapsed="false">
      <c r="C68" s="64" t="n">
        <v>63</v>
      </c>
      <c r="D68" s="65" t="s">
        <v>1349</v>
      </c>
      <c r="E68" s="65" t="s">
        <v>1041</v>
      </c>
      <c r="F68" s="66" t="n">
        <v>110</v>
      </c>
      <c r="G68" s="66" t="n">
        <v>45</v>
      </c>
      <c r="H68" s="67" t="n">
        <v>13.6</v>
      </c>
      <c r="I68" s="67" t="n">
        <v>40</v>
      </c>
      <c r="J68" s="67" t="n">
        <v>40</v>
      </c>
      <c r="K68" s="67" t="n">
        <v>13.3</v>
      </c>
      <c r="L68" s="68" t="s">
        <v>1275</v>
      </c>
      <c r="M68" s="67" t="n">
        <v>9.18</v>
      </c>
      <c r="N68" s="67" t="n">
        <v>0</v>
      </c>
      <c r="O68" s="67" t="n">
        <v>0</v>
      </c>
      <c r="P68" s="67" t="n">
        <v>9.18</v>
      </c>
      <c r="Q68" s="67" t="n">
        <v>0</v>
      </c>
      <c r="R68" s="67" t="n">
        <v>0</v>
      </c>
      <c r="S68" s="67" t="n">
        <v>0</v>
      </c>
      <c r="T68" s="67" t="n">
        <v>8</v>
      </c>
      <c r="U68" s="67" t="n">
        <v>-8</v>
      </c>
      <c r="V68" s="66" t="n">
        <v>1.25</v>
      </c>
      <c r="W68" s="67" t="n">
        <v>0</v>
      </c>
      <c r="X68" s="67"/>
      <c r="Y68" s="68" t="s">
        <v>202</v>
      </c>
      <c r="Z68" s="69"/>
      <c r="AA68" s="68" t="s">
        <v>200</v>
      </c>
      <c r="AB68" s="68"/>
      <c r="AC68" s="68"/>
      <c r="AD68" s="68"/>
      <c r="AE68" s="68"/>
      <c r="AF68" s="68"/>
      <c r="AG68" s="68"/>
      <c r="AH68" s="92"/>
    </row>
    <row r="69" customFormat="false" ht="14.25" hidden="false" customHeight="false" outlineLevel="0" collapsed="false">
      <c r="C69" s="64" t="n">
        <v>64</v>
      </c>
      <c r="D69" s="65" t="s">
        <v>1350</v>
      </c>
      <c r="E69" s="65" t="s">
        <v>1041</v>
      </c>
      <c r="F69" s="66" t="n">
        <v>110</v>
      </c>
      <c r="G69" s="66" t="n">
        <v>44</v>
      </c>
      <c r="H69" s="67" t="n">
        <v>10.9</v>
      </c>
      <c r="I69" s="67" t="n">
        <v>40</v>
      </c>
      <c r="J69" s="67" t="n">
        <v>40</v>
      </c>
      <c r="K69" s="67" t="n">
        <v>13.3</v>
      </c>
      <c r="L69" s="68" t="s">
        <v>1275</v>
      </c>
      <c r="M69" s="67" t="n">
        <v>9.27</v>
      </c>
      <c r="N69" s="67" t="n">
        <v>0</v>
      </c>
      <c r="O69" s="67" t="n">
        <v>0</v>
      </c>
      <c r="P69" s="67" t="n">
        <v>9.27</v>
      </c>
      <c r="Q69" s="67" t="n">
        <v>0</v>
      </c>
      <c r="R69" s="67" t="n">
        <v>0</v>
      </c>
      <c r="S69" s="67" t="n">
        <v>0</v>
      </c>
      <c r="T69" s="67" t="n">
        <v>8</v>
      </c>
      <c r="U69" s="67" t="n">
        <v>-8</v>
      </c>
      <c r="V69" s="66" t="n">
        <v>1.25</v>
      </c>
      <c r="W69" s="67" t="n">
        <v>0</v>
      </c>
      <c r="X69" s="67"/>
      <c r="Y69" s="68" t="s">
        <v>202</v>
      </c>
      <c r="Z69" s="69"/>
      <c r="AA69" s="68" t="s">
        <v>200</v>
      </c>
      <c r="AB69" s="68"/>
      <c r="AC69" s="68"/>
      <c r="AD69" s="68"/>
      <c r="AE69" s="68" t="n">
        <v>25.3842361</v>
      </c>
      <c r="AF69" s="68" t="n">
        <v>76.1527083</v>
      </c>
      <c r="AG69" s="68" t="n">
        <v>3</v>
      </c>
      <c r="AH69" s="92"/>
    </row>
    <row r="70" customFormat="false" ht="14.25" hidden="false" customHeight="false" outlineLevel="0" collapsed="false">
      <c r="C70" s="64" t="n">
        <v>65</v>
      </c>
      <c r="D70" s="65" t="s">
        <v>1351</v>
      </c>
      <c r="E70" s="65" t="s">
        <v>1202</v>
      </c>
      <c r="F70" s="66" t="n">
        <v>112</v>
      </c>
      <c r="G70" s="66" t="n">
        <v>46</v>
      </c>
      <c r="H70" s="67" t="n">
        <v>13.8</v>
      </c>
      <c r="I70" s="67" t="n">
        <v>60</v>
      </c>
      <c r="J70" s="67" t="n">
        <v>20</v>
      </c>
      <c r="K70" s="67" t="n">
        <v>60</v>
      </c>
      <c r="L70" s="68" t="s">
        <v>1277</v>
      </c>
      <c r="M70" s="67" t="n">
        <v>8.86</v>
      </c>
      <c r="N70" s="67" t="n">
        <v>16.79</v>
      </c>
      <c r="O70" s="67" t="n">
        <v>2.89</v>
      </c>
      <c r="P70" s="67" t="n">
        <v>8.86</v>
      </c>
      <c r="Q70" s="67" t="n">
        <v>16.79</v>
      </c>
      <c r="R70" s="67" t="n">
        <v>2.89</v>
      </c>
      <c r="S70" s="67" t="n">
        <v>0</v>
      </c>
      <c r="T70" s="67" t="n">
        <v>8</v>
      </c>
      <c r="U70" s="67" t="n">
        <v>-8</v>
      </c>
      <c r="V70" s="66" t="n">
        <v>1.25</v>
      </c>
      <c r="W70" s="67" t="n">
        <v>0</v>
      </c>
      <c r="X70" s="67"/>
      <c r="Y70" s="68" t="s">
        <v>202</v>
      </c>
      <c r="Z70" s="69"/>
      <c r="AA70" s="68" t="s">
        <v>200</v>
      </c>
      <c r="AB70" s="68"/>
      <c r="AC70" s="68"/>
      <c r="AD70" s="68"/>
      <c r="AE70" s="68" t="n">
        <v>9.26592593</v>
      </c>
      <c r="AF70" s="68" t="n">
        <v>47.8739506692198</v>
      </c>
      <c r="AG70" s="68" t="n">
        <v>5.16666667</v>
      </c>
      <c r="AH70" s="92"/>
    </row>
    <row r="71" customFormat="false" ht="14.25" hidden="false" customHeight="false" outlineLevel="0" collapsed="false">
      <c r="C71" s="64" t="n">
        <v>66</v>
      </c>
      <c r="D71" s="93" t="s">
        <v>1352</v>
      </c>
      <c r="E71" s="65" t="s">
        <v>1202</v>
      </c>
      <c r="F71" s="66" t="n">
        <v>112</v>
      </c>
      <c r="G71" s="66" t="n">
        <v>46</v>
      </c>
      <c r="H71" s="67" t="n">
        <v>13.8</v>
      </c>
      <c r="I71" s="67" t="n">
        <v>60</v>
      </c>
      <c r="J71" s="67" t="n">
        <v>20</v>
      </c>
      <c r="K71" s="67" t="n">
        <v>60</v>
      </c>
      <c r="L71" s="68" t="s">
        <v>1277</v>
      </c>
      <c r="M71" s="67" t="n">
        <v>10</v>
      </c>
      <c r="N71" s="67" t="n">
        <v>17.72</v>
      </c>
      <c r="O71" s="67" t="n">
        <v>3</v>
      </c>
      <c r="P71" s="67" t="n">
        <v>10</v>
      </c>
      <c r="Q71" s="67" t="n">
        <v>17.72</v>
      </c>
      <c r="R71" s="67" t="n">
        <v>3</v>
      </c>
      <c r="S71" s="67" t="n">
        <v>0</v>
      </c>
      <c r="T71" s="67" t="n">
        <v>8</v>
      </c>
      <c r="U71" s="67" t="n">
        <v>-8</v>
      </c>
      <c r="V71" s="66" t="n">
        <v>1.25</v>
      </c>
      <c r="W71" s="67" t="n">
        <v>0</v>
      </c>
      <c r="X71" s="67"/>
      <c r="Y71" s="68" t="s">
        <v>202</v>
      </c>
      <c r="Z71" s="69" t="n">
        <v>45260</v>
      </c>
      <c r="AA71" s="68" t="s">
        <v>200</v>
      </c>
      <c r="AB71" s="68"/>
      <c r="AC71" s="68"/>
      <c r="AD71" s="68"/>
      <c r="AE71" s="68"/>
      <c r="AF71" s="68"/>
      <c r="AG71" s="68"/>
      <c r="AH71" s="92"/>
    </row>
    <row r="72" customFormat="false" ht="14.25" hidden="false" customHeight="false" outlineLevel="0" collapsed="false">
      <c r="C72" s="64" t="n">
        <v>67</v>
      </c>
      <c r="D72" s="65" t="s">
        <v>1353</v>
      </c>
      <c r="E72" s="65" t="s">
        <v>1354</v>
      </c>
      <c r="F72" s="66" t="n">
        <v>220</v>
      </c>
      <c r="G72" s="66" t="n">
        <v>110</v>
      </c>
      <c r="H72" s="67" t="n">
        <v>46.2</v>
      </c>
      <c r="I72" s="67" t="n">
        <v>180</v>
      </c>
      <c r="J72" s="67" t="n">
        <v>180</v>
      </c>
      <c r="K72" s="67" t="n">
        <v>60</v>
      </c>
      <c r="L72" s="68" t="s">
        <v>1275</v>
      </c>
      <c r="M72" s="67" t="n">
        <v>10.04</v>
      </c>
      <c r="N72" s="67" t="n">
        <v>12.83</v>
      </c>
      <c r="O72" s="67" t="n">
        <v>8.42</v>
      </c>
      <c r="P72" s="67" t="n">
        <v>9.036</v>
      </c>
      <c r="Q72" s="67" t="n">
        <v>11.547</v>
      </c>
      <c r="R72" s="67" t="n">
        <v>7.587</v>
      </c>
      <c r="S72" s="67" t="n">
        <v>9</v>
      </c>
      <c r="T72" s="67" t="n">
        <v>21</v>
      </c>
      <c r="U72" s="67" t="n">
        <v>1</v>
      </c>
      <c r="V72" s="66" t="n">
        <v>1.25</v>
      </c>
      <c r="W72" s="67" t="n">
        <v>30</v>
      </c>
      <c r="X72" s="67"/>
      <c r="Y72" s="68" t="s">
        <v>202</v>
      </c>
      <c r="Z72" s="69"/>
      <c r="AA72" s="68" t="s">
        <v>767</v>
      </c>
      <c r="AB72" s="68"/>
      <c r="AC72" s="68"/>
      <c r="AD72" s="68"/>
      <c r="AE72" s="68" t="n">
        <v>20.4652778</v>
      </c>
      <c r="AF72" s="68" t="n">
        <v>75.0393520015509</v>
      </c>
      <c r="AG72" s="68" t="n">
        <v>3.66666667</v>
      </c>
      <c r="AH72" s="92"/>
    </row>
    <row r="73" customFormat="false" ht="14.25" hidden="false" customHeight="false" outlineLevel="0" collapsed="false">
      <c r="C73" s="64" t="n">
        <v>68</v>
      </c>
      <c r="D73" s="65" t="s">
        <v>1355</v>
      </c>
      <c r="E73" s="65" t="s">
        <v>1354</v>
      </c>
      <c r="F73" s="66" t="n">
        <v>214.5</v>
      </c>
      <c r="G73" s="66" t="n">
        <v>110</v>
      </c>
      <c r="H73" s="67" t="n">
        <v>46</v>
      </c>
      <c r="I73" s="67" t="n">
        <v>180</v>
      </c>
      <c r="J73" s="67" t="n">
        <v>180</v>
      </c>
      <c r="K73" s="67" t="n">
        <v>60</v>
      </c>
      <c r="L73" s="68" t="s">
        <v>1275</v>
      </c>
      <c r="M73" s="67" t="n">
        <v>9.24</v>
      </c>
      <c r="N73" s="67" t="n">
        <v>12.94</v>
      </c>
      <c r="O73" s="67" t="n">
        <v>8.69</v>
      </c>
      <c r="P73" s="67" t="n">
        <v>8.316</v>
      </c>
      <c r="Q73" s="67" t="n">
        <v>11.646</v>
      </c>
      <c r="R73" s="67" t="n">
        <v>7.821</v>
      </c>
      <c r="S73" s="67" t="n">
        <v>11</v>
      </c>
      <c r="T73" s="67" t="n">
        <v>21</v>
      </c>
      <c r="U73" s="67" t="n">
        <v>1</v>
      </c>
      <c r="V73" s="66" t="n">
        <v>1.3</v>
      </c>
      <c r="W73" s="67" t="n">
        <v>30</v>
      </c>
      <c r="X73" s="67"/>
      <c r="Y73" s="68" t="s">
        <v>202</v>
      </c>
      <c r="Z73" s="69"/>
      <c r="AA73" s="68" t="s">
        <v>767</v>
      </c>
      <c r="AB73" s="68"/>
      <c r="AC73" s="68"/>
      <c r="AD73" s="68"/>
      <c r="AE73" s="68" t="n">
        <v>14.8064815</v>
      </c>
      <c r="AF73" s="68" t="n">
        <v>69.0969137160216</v>
      </c>
      <c r="AG73" s="68" t="n">
        <v>4.66666667</v>
      </c>
      <c r="AH73" s="92"/>
    </row>
    <row r="74" customFormat="false" ht="14.25" hidden="false" customHeight="false" outlineLevel="0" collapsed="false">
      <c r="C74" s="64" t="n">
        <v>69</v>
      </c>
      <c r="D74" s="65" t="s">
        <v>1356</v>
      </c>
      <c r="E74" s="65" t="s">
        <v>1247</v>
      </c>
      <c r="F74" s="66" t="n">
        <v>110</v>
      </c>
      <c r="G74" s="66" t="n">
        <v>46.8</v>
      </c>
      <c r="H74" s="67" t="n">
        <v>15.02</v>
      </c>
      <c r="I74" s="67" t="n">
        <v>60</v>
      </c>
      <c r="J74" s="67" t="n">
        <v>20</v>
      </c>
      <c r="K74" s="67" t="n">
        <v>60</v>
      </c>
      <c r="L74" s="68" t="s">
        <v>1281</v>
      </c>
      <c r="M74" s="67" t="n">
        <v>8.64</v>
      </c>
      <c r="N74" s="67" t="n">
        <v>17.18</v>
      </c>
      <c r="O74" s="67" t="n">
        <v>2.77</v>
      </c>
      <c r="P74" s="67" t="n">
        <v>8.64</v>
      </c>
      <c r="Q74" s="67" t="n">
        <v>17.18</v>
      </c>
      <c r="R74" s="67" t="n">
        <v>2.77</v>
      </c>
      <c r="S74" s="67" t="n">
        <v>0</v>
      </c>
      <c r="T74" s="67" t="n">
        <v>11</v>
      </c>
      <c r="U74" s="67" t="n">
        <v>-5</v>
      </c>
      <c r="V74" s="66" t="n">
        <v>1.25</v>
      </c>
      <c r="W74" s="67" t="n">
        <v>0</v>
      </c>
      <c r="X74" s="67"/>
      <c r="Y74" s="68" t="s">
        <v>202</v>
      </c>
      <c r="Z74" s="69"/>
      <c r="AA74" s="68" t="s">
        <v>200</v>
      </c>
      <c r="AB74" s="68"/>
      <c r="AC74" s="68"/>
      <c r="AD74" s="68"/>
      <c r="AE74" s="68" t="n">
        <v>20.4245833</v>
      </c>
      <c r="AF74" s="68" t="n">
        <v>40.8491666</v>
      </c>
      <c r="AG74" s="68" t="n">
        <v>2</v>
      </c>
      <c r="AH74" s="92"/>
    </row>
    <row r="75" customFormat="false" ht="14.25" hidden="false" customHeight="false" outlineLevel="0" collapsed="false">
      <c r="C75" s="64" t="n">
        <v>70</v>
      </c>
      <c r="D75" s="65" t="s">
        <v>1357</v>
      </c>
      <c r="E75" s="65" t="s">
        <v>1247</v>
      </c>
      <c r="F75" s="66" t="n">
        <v>112</v>
      </c>
      <c r="G75" s="66" t="n">
        <v>46</v>
      </c>
      <c r="H75" s="67" t="n">
        <v>13.8</v>
      </c>
      <c r="I75" s="67" t="n">
        <v>60</v>
      </c>
      <c r="J75" s="67" t="n">
        <v>20</v>
      </c>
      <c r="K75" s="67" t="n">
        <v>60</v>
      </c>
      <c r="L75" s="68" t="s">
        <v>1281</v>
      </c>
      <c r="M75" s="67" t="n">
        <v>10.16</v>
      </c>
      <c r="N75" s="67" t="n">
        <v>18.2533</v>
      </c>
      <c r="O75" s="67" t="n">
        <v>2.99</v>
      </c>
      <c r="P75" s="67" t="n">
        <v>10.16</v>
      </c>
      <c r="Q75" s="67" t="n">
        <v>18.2533</v>
      </c>
      <c r="R75" s="67" t="n">
        <v>2.99</v>
      </c>
      <c r="S75" s="67" t="n">
        <v>0</v>
      </c>
      <c r="T75" s="67" t="n">
        <v>8</v>
      </c>
      <c r="U75" s="67" t="n">
        <v>-8</v>
      </c>
      <c r="V75" s="66" t="n">
        <v>1.25</v>
      </c>
      <c r="W75" s="67" t="n">
        <v>0</v>
      </c>
      <c r="X75" s="67"/>
      <c r="Y75" s="68" t="s">
        <v>202</v>
      </c>
      <c r="Z75" s="69"/>
      <c r="AA75" s="68" t="s">
        <v>200</v>
      </c>
      <c r="AB75" s="68"/>
      <c r="AC75" s="68"/>
      <c r="AD75" s="68"/>
      <c r="AE75" s="68" t="n">
        <v>70.0758889</v>
      </c>
      <c r="AF75" s="68" t="n">
        <v>266.28837782</v>
      </c>
      <c r="AG75" s="68" t="n">
        <v>3.8</v>
      </c>
      <c r="AH75" s="92"/>
    </row>
    <row r="76" customFormat="false" ht="14.25" hidden="false" customHeight="false" outlineLevel="0" collapsed="false">
      <c r="C76" s="64" t="n">
        <v>71</v>
      </c>
      <c r="D76" s="65" t="s">
        <v>1358</v>
      </c>
      <c r="E76" s="65" t="s">
        <v>1359</v>
      </c>
      <c r="F76" s="66" t="n">
        <v>220</v>
      </c>
      <c r="G76" s="66" t="n">
        <v>110</v>
      </c>
      <c r="H76" s="67" t="n">
        <v>46</v>
      </c>
      <c r="I76" s="67" t="n">
        <v>180</v>
      </c>
      <c r="J76" s="67" t="n">
        <v>180</v>
      </c>
      <c r="K76" s="67" t="n">
        <v>60</v>
      </c>
      <c r="L76" s="68" t="s">
        <v>1275</v>
      </c>
      <c r="M76" s="67" t="n">
        <v>9.19</v>
      </c>
      <c r="N76" s="67" t="n">
        <v>12.9</v>
      </c>
      <c r="O76" s="67" t="n">
        <v>8.8</v>
      </c>
      <c r="P76" s="67" t="n">
        <v>9.19</v>
      </c>
      <c r="Q76" s="67" t="n">
        <v>12.9</v>
      </c>
      <c r="R76" s="67" t="n">
        <v>8.8</v>
      </c>
      <c r="S76" s="67" t="n">
        <v>11</v>
      </c>
      <c r="T76" s="67" t="n">
        <v>21</v>
      </c>
      <c r="U76" s="67" t="n">
        <v>1</v>
      </c>
      <c r="V76" s="66" t="n">
        <v>1.3</v>
      </c>
      <c r="W76" s="67"/>
      <c r="X76" s="67"/>
      <c r="Y76" s="68" t="s">
        <v>771</v>
      </c>
      <c r="Z76" s="69" t="n">
        <v>45688</v>
      </c>
      <c r="AA76" s="68" t="s">
        <v>767</v>
      </c>
      <c r="AB76" s="68"/>
      <c r="AC76" s="68"/>
      <c r="AD76" s="68"/>
      <c r="AE76" s="68"/>
      <c r="AF76" s="68"/>
      <c r="AG76" s="68"/>
      <c r="AH76" s="92"/>
    </row>
    <row r="77" customFormat="false" ht="14.25" hidden="false" customHeight="false" outlineLevel="0" collapsed="false">
      <c r="C77" s="64" t="n">
        <v>72</v>
      </c>
      <c r="D77" s="65" t="s">
        <v>1360</v>
      </c>
      <c r="E77" s="65" t="s">
        <v>765</v>
      </c>
      <c r="F77" s="66" t="n">
        <v>220</v>
      </c>
      <c r="G77" s="66" t="n">
        <v>115</v>
      </c>
      <c r="H77" s="67" t="n">
        <v>46</v>
      </c>
      <c r="I77" s="67" t="n">
        <v>150</v>
      </c>
      <c r="J77" s="67" t="n">
        <v>150</v>
      </c>
      <c r="K77" s="67" t="n">
        <v>60</v>
      </c>
      <c r="L77" s="68" t="s">
        <v>1275</v>
      </c>
      <c r="M77" s="67" t="n">
        <v>9.18</v>
      </c>
      <c r="N77" s="67" t="n">
        <v>10.41</v>
      </c>
      <c r="O77" s="67" t="n">
        <v>6.11</v>
      </c>
      <c r="P77" s="67" t="n">
        <v>8.645</v>
      </c>
      <c r="Q77" s="67" t="n">
        <v>9.8895</v>
      </c>
      <c r="R77" s="67" t="n">
        <v>5.795</v>
      </c>
      <c r="S77" s="67" t="n">
        <v>0</v>
      </c>
      <c r="T77" s="67" t="n">
        <v>10</v>
      </c>
      <c r="U77" s="67" t="n">
        <v>-10</v>
      </c>
      <c r="V77" s="66" t="n">
        <v>1.25</v>
      </c>
      <c r="W77" s="67" t="n">
        <v>20</v>
      </c>
      <c r="X77" s="67"/>
      <c r="Y77" s="68" t="s">
        <v>202</v>
      </c>
      <c r="Z77" s="69"/>
      <c r="AA77" s="68" t="s">
        <v>767</v>
      </c>
      <c r="AB77" s="68"/>
      <c r="AC77" s="68"/>
      <c r="AD77" s="68"/>
      <c r="AE77" s="68" t="n">
        <v>25.8903704</v>
      </c>
      <c r="AF77" s="68" t="n">
        <v>189.862716180365</v>
      </c>
      <c r="AG77" s="68" t="n">
        <v>7.33333333</v>
      </c>
      <c r="AH77" s="92"/>
    </row>
    <row r="78" customFormat="false" ht="14.25" hidden="false" customHeight="false" outlineLevel="0" collapsed="false">
      <c r="C78" s="64" t="n">
        <v>73</v>
      </c>
      <c r="D78" s="65" t="s">
        <v>1361</v>
      </c>
      <c r="E78" s="65" t="s">
        <v>765</v>
      </c>
      <c r="F78" s="66" t="n">
        <v>220</v>
      </c>
      <c r="G78" s="66" t="n">
        <v>115</v>
      </c>
      <c r="H78" s="67" t="n">
        <v>46</v>
      </c>
      <c r="I78" s="67" t="n">
        <v>150</v>
      </c>
      <c r="J78" s="67" t="n">
        <v>150</v>
      </c>
      <c r="K78" s="67" t="n">
        <v>60</v>
      </c>
      <c r="L78" s="68" t="s">
        <v>1275</v>
      </c>
      <c r="M78" s="67" t="n">
        <v>8.96</v>
      </c>
      <c r="N78" s="67" t="n">
        <v>10.79</v>
      </c>
      <c r="O78" s="67" t="n">
        <v>6.8</v>
      </c>
      <c r="P78" s="67" t="n">
        <v>8.4835</v>
      </c>
      <c r="Q78" s="67" t="n">
        <v>10.2505</v>
      </c>
      <c r="R78" s="67" t="n">
        <v>6.498</v>
      </c>
      <c r="S78" s="67" t="n">
        <v>0</v>
      </c>
      <c r="T78" s="67" t="n">
        <v>10</v>
      </c>
      <c r="U78" s="67" t="n">
        <v>-10</v>
      </c>
      <c r="V78" s="66" t="n">
        <v>1.25</v>
      </c>
      <c r="W78" s="67" t="n">
        <v>30</v>
      </c>
      <c r="X78" s="67"/>
      <c r="Y78" s="68" t="s">
        <v>202</v>
      </c>
      <c r="Z78" s="69"/>
      <c r="AA78" s="68" t="s">
        <v>767</v>
      </c>
      <c r="AB78" s="68"/>
      <c r="AC78" s="68"/>
      <c r="AD78" s="68"/>
      <c r="AE78" s="68" t="n">
        <v>160.985417</v>
      </c>
      <c r="AF78" s="68" t="n">
        <v>1851.3322955</v>
      </c>
      <c r="AG78" s="68" t="n">
        <v>11.5</v>
      </c>
      <c r="AH78" s="92"/>
    </row>
    <row r="79" customFormat="false" ht="14.25" hidden="false" customHeight="false" outlineLevel="0" collapsed="false">
      <c r="C79" s="64" t="n">
        <v>74</v>
      </c>
      <c r="D79" s="65" t="s">
        <v>1362</v>
      </c>
      <c r="E79" s="65" t="s">
        <v>1257</v>
      </c>
      <c r="F79" s="66" t="n">
        <v>110</v>
      </c>
      <c r="G79" s="66" t="n">
        <v>46.55</v>
      </c>
      <c r="H79" s="67" t="n">
        <v>14.35</v>
      </c>
      <c r="I79" s="67" t="n">
        <v>60</v>
      </c>
      <c r="J79" s="67" t="n">
        <v>20</v>
      </c>
      <c r="K79" s="67" t="n">
        <v>60</v>
      </c>
      <c r="L79" s="68" t="s">
        <v>1281</v>
      </c>
      <c r="M79" s="67" t="n">
        <v>8.2</v>
      </c>
      <c r="N79" s="67" t="n">
        <v>13</v>
      </c>
      <c r="O79" s="67" t="n">
        <v>3.1</v>
      </c>
      <c r="P79" s="67" t="n">
        <v>8.2</v>
      </c>
      <c r="Q79" s="67" t="n">
        <v>13</v>
      </c>
      <c r="R79" s="67" t="n">
        <v>3.1</v>
      </c>
      <c r="S79" s="67" t="n">
        <v>0</v>
      </c>
      <c r="T79" s="67" t="n">
        <v>16</v>
      </c>
      <c r="U79" s="67" t="n">
        <v>-16</v>
      </c>
      <c r="V79" s="66" t="n">
        <v>0.625</v>
      </c>
      <c r="W79" s="67" t="n">
        <v>0</v>
      </c>
      <c r="X79" s="67"/>
      <c r="Y79" s="68" t="s">
        <v>202</v>
      </c>
      <c r="Z79" s="69"/>
      <c r="AA79" s="68" t="s">
        <v>200</v>
      </c>
      <c r="AB79" s="68"/>
      <c r="AC79" s="68"/>
      <c r="AD79" s="68"/>
      <c r="AE79" s="68" t="n">
        <v>24.5124074</v>
      </c>
      <c r="AF79" s="68" t="n">
        <v>73.5372222</v>
      </c>
      <c r="AG79" s="68" t="n">
        <v>3</v>
      </c>
      <c r="AH79" s="92"/>
    </row>
    <row r="80" customFormat="false" ht="14.25" hidden="false" customHeight="false" outlineLevel="0" collapsed="false">
      <c r="C80" s="64" t="n">
        <v>75</v>
      </c>
      <c r="D80" s="65" t="s">
        <v>1363</v>
      </c>
      <c r="E80" s="65" t="s">
        <v>960</v>
      </c>
      <c r="F80" s="66" t="n">
        <v>110</v>
      </c>
      <c r="G80" s="66" t="n">
        <v>44</v>
      </c>
      <c r="H80" s="67" t="n">
        <v>13.75</v>
      </c>
      <c r="I80" s="67" t="n">
        <v>30</v>
      </c>
      <c r="J80" s="67" t="n">
        <v>20</v>
      </c>
      <c r="K80" s="67" t="n">
        <v>30</v>
      </c>
      <c r="L80" s="68" t="s">
        <v>1281</v>
      </c>
      <c r="M80" s="67" t="n">
        <v>5.95</v>
      </c>
      <c r="N80" s="67" t="n">
        <v>11.7</v>
      </c>
      <c r="O80" s="67" t="n">
        <v>17.07</v>
      </c>
      <c r="P80" s="67" t="n">
        <v>5.95</v>
      </c>
      <c r="Q80" s="67" t="n">
        <v>11.7</v>
      </c>
      <c r="R80" s="67" t="n">
        <v>17.07</v>
      </c>
      <c r="S80" s="67" t="n">
        <v>0</v>
      </c>
      <c r="T80" s="67" t="n">
        <v>8</v>
      </c>
      <c r="U80" s="67" t="n">
        <v>-8</v>
      </c>
      <c r="V80" s="66" t="n">
        <v>1.25</v>
      </c>
      <c r="W80" s="67" t="n">
        <v>0</v>
      </c>
      <c r="X80" s="67"/>
      <c r="Y80" s="68" t="s">
        <v>202</v>
      </c>
      <c r="Z80" s="69"/>
      <c r="AA80" s="68" t="s">
        <v>200</v>
      </c>
      <c r="AB80" s="68"/>
      <c r="AC80" s="68"/>
      <c r="AD80" s="68"/>
      <c r="AE80" s="68" t="n">
        <v>12.4303241</v>
      </c>
      <c r="AF80" s="68" t="n">
        <v>109.801196175232</v>
      </c>
      <c r="AG80" s="68" t="n">
        <v>8.83333333</v>
      </c>
      <c r="AH80" s="92"/>
    </row>
    <row r="81" customFormat="false" ht="14.25" hidden="false" customHeight="false" outlineLevel="0" collapsed="false">
      <c r="C81" s="64" t="n">
        <v>76</v>
      </c>
      <c r="D81" s="65" t="s">
        <v>1364</v>
      </c>
      <c r="E81" s="65" t="s">
        <v>1238</v>
      </c>
      <c r="F81" s="66" t="n">
        <v>110</v>
      </c>
      <c r="G81" s="66" t="n">
        <v>46.9</v>
      </c>
      <c r="H81" s="67" t="n">
        <v>15</v>
      </c>
      <c r="I81" s="67" t="n">
        <v>60</v>
      </c>
      <c r="J81" s="67" t="n">
        <v>20</v>
      </c>
      <c r="K81" s="67" t="n">
        <v>60</v>
      </c>
      <c r="L81" s="68" t="s">
        <v>1281</v>
      </c>
      <c r="M81" s="67" t="n">
        <v>10</v>
      </c>
      <c r="N81" s="67" t="n">
        <v>18.5</v>
      </c>
      <c r="O81" s="67" t="n">
        <v>3.14</v>
      </c>
      <c r="P81" s="67" t="n">
        <v>10</v>
      </c>
      <c r="Q81" s="67" t="n">
        <v>18.5</v>
      </c>
      <c r="R81" s="67" t="n">
        <v>3.14</v>
      </c>
      <c r="S81" s="67" t="n">
        <v>0</v>
      </c>
      <c r="T81" s="67" t="n">
        <v>8</v>
      </c>
      <c r="U81" s="67" t="n">
        <v>-8</v>
      </c>
      <c r="V81" s="66" t="n">
        <v>1.25</v>
      </c>
      <c r="W81" s="67" t="n">
        <v>0</v>
      </c>
      <c r="X81" s="67"/>
      <c r="Y81" s="68" t="s">
        <v>202</v>
      </c>
      <c r="Z81" s="69"/>
      <c r="AA81" s="68" t="s">
        <v>200</v>
      </c>
      <c r="AB81" s="68"/>
      <c r="AC81" s="68"/>
      <c r="AD81" s="68"/>
      <c r="AE81" s="68" t="n">
        <v>17.9781944</v>
      </c>
      <c r="AF81" s="68" t="n">
        <v>95.8837034067394</v>
      </c>
      <c r="AG81" s="68" t="n">
        <v>5.33333333</v>
      </c>
      <c r="AH81" s="92"/>
    </row>
    <row r="82" customFormat="false" ht="14.25" hidden="false" customHeight="false" outlineLevel="0" collapsed="false">
      <c r="C82" s="64" t="n">
        <v>77</v>
      </c>
      <c r="D82" s="65" t="s">
        <v>1365</v>
      </c>
      <c r="E82" s="65" t="s">
        <v>1238</v>
      </c>
      <c r="F82" s="66" t="n">
        <v>110</v>
      </c>
      <c r="G82" s="66" t="n">
        <v>46.55</v>
      </c>
      <c r="H82" s="67" t="n">
        <v>14.35</v>
      </c>
      <c r="I82" s="67" t="n">
        <v>60</v>
      </c>
      <c r="J82" s="67" t="n">
        <v>20</v>
      </c>
      <c r="K82" s="67" t="n">
        <v>60</v>
      </c>
      <c r="L82" s="68" t="s">
        <v>1281</v>
      </c>
      <c r="M82" s="67" t="n">
        <v>8.05</v>
      </c>
      <c r="N82" s="67" t="n">
        <v>12.51</v>
      </c>
      <c r="O82" s="67" t="n">
        <v>3.03</v>
      </c>
      <c r="P82" s="67" t="n">
        <v>8.05</v>
      </c>
      <c r="Q82" s="67" t="n">
        <v>12.51</v>
      </c>
      <c r="R82" s="67" t="n">
        <v>3.03</v>
      </c>
      <c r="S82" s="67" t="n">
        <v>0</v>
      </c>
      <c r="T82" s="67" t="n">
        <v>16</v>
      </c>
      <c r="U82" s="67" t="n">
        <v>-16</v>
      </c>
      <c r="V82" s="66" t="n">
        <v>0.625</v>
      </c>
      <c r="W82" s="67" t="n">
        <v>0</v>
      </c>
      <c r="X82" s="67"/>
      <c r="Y82" s="68" t="s">
        <v>202</v>
      </c>
      <c r="Z82" s="69"/>
      <c r="AA82" s="68" t="s">
        <v>200</v>
      </c>
      <c r="AB82" s="68"/>
      <c r="AC82" s="68"/>
      <c r="AD82" s="68"/>
      <c r="AE82" s="68" t="n">
        <v>21.332963</v>
      </c>
      <c r="AF82" s="68" t="n">
        <v>99.5538274044432</v>
      </c>
      <c r="AG82" s="68" t="n">
        <v>4.66666667</v>
      </c>
      <c r="AH82" s="92"/>
    </row>
  </sheetData>
  <mergeCells count="32">
    <mergeCell ref="C3:AH3"/>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X4"/>
    <mergeCell ref="Y4:Y5"/>
    <mergeCell ref="Z4:Z5"/>
    <mergeCell ref="AA4:AA5"/>
    <mergeCell ref="AB4:AB5"/>
    <mergeCell ref="AC4:AC5"/>
    <mergeCell ref="AD4:AD5"/>
    <mergeCell ref="AE4:AE5"/>
    <mergeCell ref="AF4:AF5"/>
    <mergeCell ref="AG4:AG5"/>
    <mergeCell ref="AH4:AH5"/>
  </mergeCells>
  <dataValidations count="4">
    <dataValidation allowBlank="true" errorStyle="stop" operator="between" showDropDown="false" showErrorMessage="true" showInputMessage="true" sqref="F6:K1082 M6:X1082" type="decimal">
      <formula1>-1000000</formula1>
      <formula2>10000000</formula2>
    </dataValidation>
    <dataValidation allowBlank="true" errorStyle="stop" operator="greaterThan" showDropDown="false" showErrorMessage="true" showInputMessage="true" sqref="Z6:Z1082" type="date">
      <formula1>1</formula1>
      <formula2>0</formula2>
    </dataValidation>
    <dataValidation allowBlank="true" errorStyle="stop" operator="between" showDropDown="false" showErrorMessage="true" showInputMessage="true" sqref="AA6:AA50 AA52:AA1082" type="list">
      <formula1>'Listas Desplegables'!$B$19:$B$21</formula1>
      <formula2>0</formula2>
    </dataValidation>
    <dataValidation allowBlank="true" errorStyle="stop" operator="between" showDropDown="false" showErrorMessage="true" showInputMessage="true" sqref="Y6:Y1082" type="list">
      <formula1>'Listas Desplegables'!$B$16:$B$17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Y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146" activePane="bottomRight" state="frozen"/>
      <selection pane="topLeft" activeCell="A1" activeCellId="0" sqref="A1"/>
      <selection pane="topRight" activeCell="E1" activeCellId="0" sqref="E1"/>
      <selection pane="bottomLeft" activeCell="A146" activeCellId="0" sqref="A146"/>
      <selection pane="bottomRight" activeCell="E154" activeCellId="0" sqref="E154"/>
    </sheetView>
  </sheetViews>
  <sheetFormatPr defaultColWidth="11.55859375" defaultRowHeight="14.25" zeroHeight="false" outlineLevelRow="0" outlineLevelCol="0"/>
  <cols>
    <col collapsed="false" customWidth="true" hidden="true" outlineLevel="0" max="2" min="1" style="56" width="3"/>
    <col collapsed="false" customWidth="true" hidden="false" outlineLevel="0" max="3" min="3" style="46" width="6.67"/>
    <col collapsed="false" customWidth="true" hidden="false" outlineLevel="0" max="4" min="4" style="0" width="33"/>
    <col collapsed="false" customWidth="true" hidden="false" outlineLevel="0" max="5" min="5" style="0" width="14.56"/>
    <col collapsed="false" customWidth="true" hidden="false" outlineLevel="0" max="7" min="6" style="0" width="12.67"/>
    <col collapsed="false" customWidth="true" hidden="false" outlineLevel="0" max="11" min="10" style="0" width="14.89"/>
    <col collapsed="false" customWidth="true" hidden="false" outlineLevel="0" max="12" min="12" style="0" width="11.45"/>
    <col collapsed="false" customWidth="false" hidden="false" outlineLevel="0" max="19" min="19" style="47" width="11.55"/>
    <col collapsed="false" customWidth="true" hidden="false" outlineLevel="0" max="24" min="22" style="0" width="16.55"/>
    <col collapsed="false" customWidth="true" hidden="false" outlineLevel="0" max="25" min="25" style="0" width="36"/>
  </cols>
  <sheetData>
    <row r="1" customFormat="false" ht="14.25" hidden="true" customHeight="false" outlineLevel="0" collapsed="false"/>
    <row r="2" customFormat="false" ht="15" hidden="true" customHeight="false" outlineLevel="0" collapsed="false"/>
    <row r="3" s="50" customFormat="true" ht="15" hidden="false" customHeight="false" outlineLevel="0" collapsed="false">
      <c r="A3" s="83"/>
      <c r="B3" s="83"/>
      <c r="C3" s="49" t="s">
        <v>1366</v>
      </c>
      <c r="D3" s="49"/>
      <c r="E3" s="49"/>
      <c r="F3" s="49"/>
      <c r="G3" s="49"/>
      <c r="H3" s="49"/>
      <c r="I3" s="49"/>
      <c r="J3" s="49"/>
      <c r="K3" s="49"/>
      <c r="L3" s="49"/>
      <c r="M3" s="49"/>
      <c r="N3" s="49"/>
      <c r="O3" s="49"/>
      <c r="P3" s="49"/>
      <c r="Q3" s="49"/>
      <c r="R3" s="49"/>
      <c r="S3" s="49"/>
      <c r="T3" s="49"/>
      <c r="U3" s="49"/>
      <c r="V3" s="49"/>
      <c r="W3" s="49"/>
      <c r="X3" s="49"/>
      <c r="Y3" s="49"/>
    </row>
    <row r="4" s="55" customFormat="true" ht="12" hidden="false" customHeight="true" outlineLevel="0" collapsed="false">
      <c r="A4" s="89"/>
      <c r="B4" s="89"/>
      <c r="C4" s="53" t="s">
        <v>195</v>
      </c>
      <c r="D4" s="54" t="str">
        <f aca="false">'Manual de Uso'!C83</f>
        <v>Nombre</v>
      </c>
      <c r="E4" s="54" t="str">
        <f aca="false">'Manual de Uso'!C84</f>
        <v>Subestación</v>
      </c>
      <c r="F4" s="54" t="str">
        <f aca="false">'Manual de Uso'!C85</f>
        <v>Nivel de tensión HV [kV]</v>
      </c>
      <c r="G4" s="54" t="str">
        <f aca="false">'Manual de Uso'!C86</f>
        <v>Nivel de tensión LV [kV]</v>
      </c>
      <c r="H4" s="54" t="str">
        <f aca="false">'Manual de Uso'!C87</f>
        <v>Capacidad [MVA]</v>
      </c>
      <c r="I4" s="54" t="str">
        <f aca="false">'Manual de Uso'!C88</f>
        <v>Grupo de conexión</v>
      </c>
      <c r="J4" s="54" t="str">
        <f aca="false">'Manual de Uso'!C89</f>
        <v>Impedancia Secuencia +[%]</v>
      </c>
      <c r="K4" s="54" t="str">
        <f aca="false">'Manual de Uso'!C90</f>
        <v>Impedancia Secuencia 0[%]</v>
      </c>
      <c r="L4" s="54" t="str">
        <f aca="false">'Manual de Uso'!C91</f>
        <v>Posición Neutral Tap</v>
      </c>
      <c r="M4" s="54" t="str">
        <f aca="false">'Manual de Uso'!C92</f>
        <v>Posición Máxima Tap</v>
      </c>
      <c r="N4" s="54" t="str">
        <f aca="false">'Manual de Uso'!C93</f>
        <v>Posición Mínima Tap</v>
      </c>
      <c r="O4" s="54" t="str">
        <f aca="false">'Manual de Uso'!C94</f>
        <v>Delta Tap [%]</v>
      </c>
      <c r="P4" s="94" t="str">
        <f aca="false">'Manual de Uso'!C95</f>
        <v>Sobrecarga en emergencia</v>
      </c>
      <c r="Q4" s="94"/>
      <c r="R4" s="54" t="str">
        <f aca="false">'Manual de Uso'!C96</f>
        <v>En Operación</v>
      </c>
      <c r="S4" s="87" t="str">
        <f aca="false">'Manual de Uso'!C97</f>
        <v>FPO</v>
      </c>
      <c r="T4" s="87" t="str">
        <f aca="false">'Manual de Uso'!C98</f>
        <v>Sistema</v>
      </c>
      <c r="U4" s="54" t="str">
        <f aca="false">'Manual de Uso'!C99</f>
        <v>Pérdidas Cu [kW]</v>
      </c>
      <c r="V4" s="54" t="str">
        <f aca="false">'Manual de Uso'!C100</f>
        <v>Tiempo medio de reparación por evento [h]</v>
      </c>
      <c r="W4" s="54" t="str">
        <f aca="false">'Manual de Uso'!C101</f>
        <v>Horas anuales de indisponibilidad [h]</v>
      </c>
      <c r="X4" s="54" t="str">
        <f aca="false">'Manual de Uso'!C102</f>
        <v>Eventos anuales de indisponibilidad</v>
      </c>
      <c r="Y4" s="54" t="str">
        <f aca="false">'Manual de Uso'!C103</f>
        <v>Observaciones transportador</v>
      </c>
    </row>
    <row r="5" s="55" customFormat="true" ht="24" hidden="false" customHeight="true" outlineLevel="0" collapsed="false">
      <c r="A5" s="89"/>
      <c r="B5" s="89"/>
      <c r="C5" s="53"/>
      <c r="D5" s="54"/>
      <c r="E5" s="54"/>
      <c r="F5" s="54"/>
      <c r="G5" s="54"/>
      <c r="H5" s="54"/>
      <c r="I5" s="54"/>
      <c r="J5" s="54"/>
      <c r="K5" s="54"/>
      <c r="L5" s="54"/>
      <c r="M5" s="54"/>
      <c r="N5" s="54"/>
      <c r="O5" s="54"/>
      <c r="P5" s="90" t="s">
        <v>1272</v>
      </c>
      <c r="Q5" s="90" t="s">
        <v>1273</v>
      </c>
      <c r="R5" s="54"/>
      <c r="S5" s="87"/>
      <c r="T5" s="87"/>
      <c r="U5" s="54"/>
      <c r="V5" s="54"/>
      <c r="W5" s="54"/>
      <c r="X5" s="54"/>
      <c r="Y5" s="54"/>
    </row>
    <row r="6" customFormat="false" ht="14.25" hidden="false" customHeight="false" outlineLevel="0" collapsed="false">
      <c r="C6" s="64" t="n">
        <v>1</v>
      </c>
      <c r="D6" s="65" t="s">
        <v>1367</v>
      </c>
      <c r="E6" s="65" t="s">
        <v>1049</v>
      </c>
      <c r="F6" s="66" t="n">
        <v>44</v>
      </c>
      <c r="G6" s="67" t="n">
        <v>13.8</v>
      </c>
      <c r="H6" s="67" t="n">
        <v>6.5</v>
      </c>
      <c r="I6" s="68" t="s">
        <v>1368</v>
      </c>
      <c r="J6" s="67" t="n">
        <v>8.515</v>
      </c>
      <c r="K6" s="67" t="n">
        <v>8.515</v>
      </c>
      <c r="L6" s="67" t="n">
        <v>0</v>
      </c>
      <c r="M6" s="67" t="n">
        <v>2</v>
      </c>
      <c r="N6" s="67" t="n">
        <v>-2</v>
      </c>
      <c r="O6" s="67" t="n">
        <v>2.5</v>
      </c>
      <c r="P6" s="67" t="n">
        <v>0</v>
      </c>
      <c r="Q6" s="67"/>
      <c r="R6" s="68" t="s">
        <v>202</v>
      </c>
      <c r="S6" s="69"/>
      <c r="T6" s="68" t="s">
        <v>200</v>
      </c>
      <c r="U6" s="68"/>
      <c r="V6" s="68" t="n">
        <v>0.540876068358417</v>
      </c>
      <c r="W6" s="68" t="n">
        <v>3.51569444432971</v>
      </c>
      <c r="X6" s="68" t="n">
        <v>6.5</v>
      </c>
      <c r="Y6" s="92"/>
    </row>
    <row r="7" customFormat="false" ht="14.25" hidden="false" customHeight="false" outlineLevel="0" collapsed="false">
      <c r="C7" s="64" t="n">
        <v>2</v>
      </c>
      <c r="D7" s="65" t="s">
        <v>1369</v>
      </c>
      <c r="E7" s="65" t="s">
        <v>969</v>
      </c>
      <c r="F7" s="66" t="n">
        <v>44</v>
      </c>
      <c r="G7" s="67" t="n">
        <v>13.8</v>
      </c>
      <c r="H7" s="67" t="n">
        <v>5</v>
      </c>
      <c r="I7" s="68" t="s">
        <v>1368</v>
      </c>
      <c r="J7" s="67" t="n">
        <v>7</v>
      </c>
      <c r="K7" s="67" t="n">
        <v>7</v>
      </c>
      <c r="L7" s="67" t="n">
        <v>0</v>
      </c>
      <c r="M7" s="67" t="n">
        <v>3</v>
      </c>
      <c r="N7" s="67" t="n">
        <v>-3</v>
      </c>
      <c r="O7" s="67" t="n">
        <v>2.5</v>
      </c>
      <c r="P7" s="67" t="n">
        <v>0</v>
      </c>
      <c r="Q7" s="67"/>
      <c r="R7" s="68" t="s">
        <v>202</v>
      </c>
      <c r="S7" s="69"/>
      <c r="T7" s="68" t="s">
        <v>200</v>
      </c>
      <c r="U7" s="68"/>
      <c r="V7" s="68" t="n">
        <v>6.43751683502606</v>
      </c>
      <c r="W7" s="68" t="n">
        <v>35.4063425926433</v>
      </c>
      <c r="X7" s="68" t="n">
        <v>5.5</v>
      </c>
      <c r="Y7" s="92"/>
    </row>
    <row r="8" customFormat="false" ht="14.25" hidden="false" customHeight="false" outlineLevel="0" collapsed="false">
      <c r="C8" s="64" t="n">
        <v>3</v>
      </c>
      <c r="D8" s="65" t="s">
        <v>1370</v>
      </c>
      <c r="E8" s="65" t="s">
        <v>851</v>
      </c>
      <c r="F8" s="66" t="n">
        <v>110</v>
      </c>
      <c r="G8" s="67" t="n">
        <v>44</v>
      </c>
      <c r="H8" s="67" t="n">
        <v>40</v>
      </c>
      <c r="I8" s="68" t="s">
        <v>1371</v>
      </c>
      <c r="J8" s="67" t="n">
        <v>8.15</v>
      </c>
      <c r="K8" s="67" t="n">
        <v>8.15</v>
      </c>
      <c r="L8" s="67" t="n">
        <v>0</v>
      </c>
      <c r="M8" s="67" t="n">
        <v>8</v>
      </c>
      <c r="N8" s="67" t="n">
        <v>-8</v>
      </c>
      <c r="O8" s="67" t="n">
        <v>1.25</v>
      </c>
      <c r="P8" s="67" t="n">
        <v>0</v>
      </c>
      <c r="Q8" s="67"/>
      <c r="R8" s="68" t="s">
        <v>771</v>
      </c>
      <c r="S8" s="69" t="n">
        <v>44956</v>
      </c>
      <c r="T8" s="68" t="s">
        <v>200</v>
      </c>
      <c r="U8" s="68"/>
      <c r="V8" s="68"/>
      <c r="W8" s="68"/>
      <c r="X8" s="68"/>
      <c r="Y8" s="92" t="s">
        <v>1372</v>
      </c>
    </row>
    <row r="9" customFormat="false" ht="14.25" hidden="false" customHeight="false" outlineLevel="0" collapsed="false">
      <c r="C9" s="64" t="n">
        <v>4</v>
      </c>
      <c r="D9" s="65" t="s">
        <v>1373</v>
      </c>
      <c r="E9" s="65" t="s">
        <v>904</v>
      </c>
      <c r="F9" s="66" t="n">
        <v>44</v>
      </c>
      <c r="G9" s="67" t="n">
        <v>13.8</v>
      </c>
      <c r="H9" s="67" t="n">
        <v>10</v>
      </c>
      <c r="I9" s="68" t="s">
        <v>1368</v>
      </c>
      <c r="J9" s="67" t="n">
        <v>7.02</v>
      </c>
      <c r="K9" s="67" t="n">
        <v>7.02</v>
      </c>
      <c r="L9" s="67" t="n">
        <v>0</v>
      </c>
      <c r="M9" s="67" t="n">
        <v>2</v>
      </c>
      <c r="N9" s="67" t="n">
        <v>-2</v>
      </c>
      <c r="O9" s="67" t="n">
        <v>2.5</v>
      </c>
      <c r="P9" s="67" t="n">
        <v>0</v>
      </c>
      <c r="Q9" s="67"/>
      <c r="R9" s="68" t="s">
        <v>202</v>
      </c>
      <c r="S9" s="69"/>
      <c r="T9" s="68" t="s">
        <v>200</v>
      </c>
      <c r="U9" s="68"/>
      <c r="V9" s="68" t="n">
        <v>1.81710317458159</v>
      </c>
      <c r="W9" s="68" t="n">
        <v>6.35986111103557</v>
      </c>
      <c r="X9" s="68" t="n">
        <v>3.5</v>
      </c>
      <c r="Y9" s="92" t="s">
        <v>1374</v>
      </c>
    </row>
    <row r="10" customFormat="false" ht="14.25" hidden="false" customHeight="false" outlineLevel="0" collapsed="false">
      <c r="C10" s="64" t="n">
        <v>5</v>
      </c>
      <c r="D10" s="65" t="s">
        <v>1373</v>
      </c>
      <c r="E10" s="65" t="s">
        <v>904</v>
      </c>
      <c r="F10" s="66" t="n">
        <v>44</v>
      </c>
      <c r="G10" s="67" t="n">
        <v>13.8</v>
      </c>
      <c r="H10" s="67" t="n">
        <v>20</v>
      </c>
      <c r="I10" s="68" t="s">
        <v>1368</v>
      </c>
      <c r="J10" s="67" t="n">
        <v>9.06</v>
      </c>
      <c r="K10" s="67" t="n">
        <v>9.06</v>
      </c>
      <c r="L10" s="67" t="n">
        <v>0</v>
      </c>
      <c r="M10" s="67" t="n">
        <v>2</v>
      </c>
      <c r="N10" s="67" t="n">
        <v>-2</v>
      </c>
      <c r="O10" s="67" t="n">
        <v>2.5</v>
      </c>
      <c r="P10" s="67" t="n">
        <v>0</v>
      </c>
      <c r="Q10" s="67"/>
      <c r="R10" s="68" t="s">
        <v>771</v>
      </c>
      <c r="S10" s="69" t="n">
        <v>45260</v>
      </c>
      <c r="T10" s="68" t="s">
        <v>200</v>
      </c>
      <c r="U10" s="68"/>
      <c r="V10" s="68"/>
      <c r="W10" s="68"/>
      <c r="X10" s="68"/>
      <c r="Y10" s="92"/>
    </row>
    <row r="11" customFormat="false" ht="14.25" hidden="false" customHeight="false" outlineLevel="0" collapsed="false">
      <c r="C11" s="64" t="n">
        <v>6</v>
      </c>
      <c r="D11" s="65" t="s">
        <v>1375</v>
      </c>
      <c r="E11" s="65" t="s">
        <v>888</v>
      </c>
      <c r="F11" s="66" t="n">
        <v>44</v>
      </c>
      <c r="G11" s="67" t="n">
        <v>13.2</v>
      </c>
      <c r="H11" s="67" t="n">
        <v>7.5</v>
      </c>
      <c r="I11" s="68" t="s">
        <v>1368</v>
      </c>
      <c r="J11" s="67" t="n">
        <v>6</v>
      </c>
      <c r="K11" s="67" t="n">
        <v>6</v>
      </c>
      <c r="L11" s="67"/>
      <c r="M11" s="67"/>
      <c r="N11" s="67"/>
      <c r="O11" s="67"/>
      <c r="P11" s="67" t="n">
        <v>0</v>
      </c>
      <c r="Q11" s="67"/>
      <c r="R11" s="68" t="s">
        <v>202</v>
      </c>
      <c r="S11" s="69"/>
      <c r="T11" s="68" t="s">
        <v>200</v>
      </c>
      <c r="U11" s="68"/>
      <c r="V11" s="68" t="n">
        <v>4.24545668550447</v>
      </c>
      <c r="W11" s="68" t="n">
        <v>41.746990740794</v>
      </c>
      <c r="X11" s="68" t="n">
        <v>9.83333333333333</v>
      </c>
      <c r="Y11" s="92"/>
    </row>
    <row r="12" customFormat="false" ht="14.25" hidden="false" customHeight="false" outlineLevel="0" collapsed="false">
      <c r="C12" s="64" t="n">
        <v>7</v>
      </c>
      <c r="D12" s="65" t="s">
        <v>1376</v>
      </c>
      <c r="E12" s="65" t="s">
        <v>764</v>
      </c>
      <c r="F12" s="66" t="n">
        <v>112</v>
      </c>
      <c r="G12" s="67" t="n">
        <v>13.8</v>
      </c>
      <c r="H12" s="67" t="n">
        <v>37.5</v>
      </c>
      <c r="I12" s="68" t="s">
        <v>1368</v>
      </c>
      <c r="J12" s="67" t="n">
        <v>10.35</v>
      </c>
      <c r="K12" s="67" t="n">
        <v>10.35</v>
      </c>
      <c r="L12" s="67" t="n">
        <v>0</v>
      </c>
      <c r="M12" s="67" t="n">
        <v>8</v>
      </c>
      <c r="N12" s="67" t="n">
        <v>-8</v>
      </c>
      <c r="O12" s="67" t="n">
        <v>1.25</v>
      </c>
      <c r="P12" s="67" t="n">
        <v>0</v>
      </c>
      <c r="Q12" s="67"/>
      <c r="R12" s="68" t="s">
        <v>202</v>
      </c>
      <c r="S12" s="69"/>
      <c r="T12" s="68" t="s">
        <v>200</v>
      </c>
      <c r="U12" s="68"/>
      <c r="V12" s="68" t="n">
        <v>4.13199074</v>
      </c>
      <c r="W12" s="68" t="n">
        <v>23.4146142071066</v>
      </c>
      <c r="X12" s="68" t="n">
        <v>5.66666667</v>
      </c>
      <c r="Y12" s="92"/>
    </row>
    <row r="13" customFormat="false" ht="14.25" hidden="false" customHeight="false" outlineLevel="0" collapsed="false">
      <c r="C13" s="64" t="n">
        <v>8</v>
      </c>
      <c r="D13" s="65" t="s">
        <v>1377</v>
      </c>
      <c r="E13" s="65" t="s">
        <v>764</v>
      </c>
      <c r="F13" s="66" t="n">
        <v>110</v>
      </c>
      <c r="G13" s="67" t="n">
        <v>46</v>
      </c>
      <c r="H13" s="67" t="n">
        <v>40</v>
      </c>
      <c r="I13" s="68" t="s">
        <v>1368</v>
      </c>
      <c r="J13" s="67" t="n">
        <v>9.41</v>
      </c>
      <c r="K13" s="67" t="n">
        <v>9.41</v>
      </c>
      <c r="L13" s="67" t="n">
        <v>0</v>
      </c>
      <c r="M13" s="67" t="n">
        <v>8</v>
      </c>
      <c r="N13" s="67" t="n">
        <v>-12</v>
      </c>
      <c r="O13" s="67" t="n">
        <v>1.25</v>
      </c>
      <c r="P13" s="67" t="n">
        <v>0</v>
      </c>
      <c r="Q13" s="67"/>
      <c r="R13" s="68" t="s">
        <v>202</v>
      </c>
      <c r="S13" s="69"/>
      <c r="T13" s="68" t="s">
        <v>200</v>
      </c>
      <c r="U13" s="68"/>
      <c r="V13" s="68" t="n">
        <v>10.931713</v>
      </c>
      <c r="W13" s="68" t="n">
        <v>61.9463737031057</v>
      </c>
      <c r="X13" s="68" t="n">
        <v>5.66666667</v>
      </c>
      <c r="Y13" s="92"/>
    </row>
    <row r="14" customFormat="false" ht="14.25" hidden="false" customHeight="false" outlineLevel="0" collapsed="false">
      <c r="C14" s="64" t="n">
        <v>9</v>
      </c>
      <c r="D14" s="65" t="s">
        <v>1378</v>
      </c>
      <c r="E14" s="65" t="s">
        <v>764</v>
      </c>
      <c r="F14" s="66" t="n">
        <v>44</v>
      </c>
      <c r="G14" s="67" t="n">
        <v>13.8</v>
      </c>
      <c r="H14" s="67" t="n">
        <v>20</v>
      </c>
      <c r="I14" s="68" t="s">
        <v>1368</v>
      </c>
      <c r="J14" s="67" t="n">
        <v>6.9</v>
      </c>
      <c r="K14" s="67" t="n">
        <v>6.9</v>
      </c>
      <c r="L14" s="67" t="n">
        <v>0</v>
      </c>
      <c r="M14" s="67" t="n">
        <v>10</v>
      </c>
      <c r="N14" s="67" t="n">
        <v>-10</v>
      </c>
      <c r="O14" s="67" t="n">
        <v>1.25</v>
      </c>
      <c r="P14" s="67" t="n">
        <v>0</v>
      </c>
      <c r="Q14" s="67"/>
      <c r="R14" s="68" t="s">
        <v>202</v>
      </c>
      <c r="S14" s="69"/>
      <c r="T14" s="68" t="s">
        <v>200</v>
      </c>
      <c r="U14" s="68"/>
      <c r="V14" s="68"/>
      <c r="W14" s="68"/>
      <c r="X14" s="68"/>
      <c r="Y14" s="92" t="s">
        <v>1379</v>
      </c>
    </row>
    <row r="15" customFormat="false" ht="14.25" hidden="false" customHeight="false" outlineLevel="0" collapsed="false">
      <c r="C15" s="64" t="n">
        <v>10</v>
      </c>
      <c r="D15" s="65" t="s">
        <v>1380</v>
      </c>
      <c r="E15" s="65" t="s">
        <v>1381</v>
      </c>
      <c r="F15" s="66" t="n">
        <v>34.5</v>
      </c>
      <c r="G15" s="67" t="n">
        <v>13.8</v>
      </c>
      <c r="H15" s="67" t="n">
        <v>4</v>
      </c>
      <c r="I15" s="68" t="s">
        <v>1368</v>
      </c>
      <c r="J15" s="67" t="n">
        <v>6.54</v>
      </c>
      <c r="K15" s="67" t="n">
        <v>6.54</v>
      </c>
      <c r="L15" s="67" t="n">
        <v>0</v>
      </c>
      <c r="M15" s="67" t="n">
        <v>2</v>
      </c>
      <c r="N15" s="67" t="n">
        <v>-2</v>
      </c>
      <c r="O15" s="67" t="n">
        <v>2.5</v>
      </c>
      <c r="P15" s="67" t="n">
        <v>0</v>
      </c>
      <c r="Q15" s="67"/>
      <c r="R15" s="68" t="s">
        <v>202</v>
      </c>
      <c r="S15" s="69"/>
      <c r="T15" s="68" t="s">
        <v>200</v>
      </c>
      <c r="U15" s="68"/>
      <c r="V15" s="68"/>
      <c r="W15" s="68"/>
      <c r="X15" s="68"/>
      <c r="Y15" s="92" t="s">
        <v>1382</v>
      </c>
    </row>
    <row r="16" customFormat="false" ht="14.25" hidden="false" customHeight="false" outlineLevel="0" collapsed="false">
      <c r="C16" s="64" t="n">
        <v>11</v>
      </c>
      <c r="D16" s="65" t="s">
        <v>1383</v>
      </c>
      <c r="E16" s="65" t="s">
        <v>1381</v>
      </c>
      <c r="F16" s="66" t="n">
        <v>44</v>
      </c>
      <c r="G16" s="67" t="n">
        <v>13.8</v>
      </c>
      <c r="H16" s="67" t="n">
        <v>7.5</v>
      </c>
      <c r="I16" s="68" t="s">
        <v>1368</v>
      </c>
      <c r="J16" s="67" t="n">
        <v>5.7</v>
      </c>
      <c r="K16" s="67" t="n">
        <v>5.7</v>
      </c>
      <c r="L16" s="67" t="n">
        <v>0</v>
      </c>
      <c r="M16" s="67" t="n">
        <v>2</v>
      </c>
      <c r="N16" s="67" t="n">
        <v>-2</v>
      </c>
      <c r="O16" s="67" t="n">
        <v>2.5</v>
      </c>
      <c r="P16" s="67" t="n">
        <v>0</v>
      </c>
      <c r="Q16" s="67"/>
      <c r="R16" s="68" t="s">
        <v>202</v>
      </c>
      <c r="S16" s="69"/>
      <c r="T16" s="68" t="s">
        <v>200</v>
      </c>
      <c r="U16" s="68"/>
      <c r="V16" s="68" t="n">
        <v>3.44893434344241</v>
      </c>
      <c r="W16" s="68" t="n">
        <v>63.2304629631108</v>
      </c>
      <c r="X16" s="68" t="n">
        <v>18.3333333333333</v>
      </c>
      <c r="Y16" s="92"/>
    </row>
    <row r="17" customFormat="false" ht="14.25" hidden="false" customHeight="false" outlineLevel="0" collapsed="false">
      <c r="C17" s="64" t="n">
        <v>12</v>
      </c>
      <c r="D17" s="65" t="s">
        <v>1384</v>
      </c>
      <c r="E17" s="65" t="s">
        <v>893</v>
      </c>
      <c r="F17" s="66" t="n">
        <v>44</v>
      </c>
      <c r="G17" s="67" t="n">
        <v>13.8</v>
      </c>
      <c r="H17" s="67" t="n">
        <v>10</v>
      </c>
      <c r="I17" s="68" t="s">
        <v>1368</v>
      </c>
      <c r="J17" s="67" t="n">
        <v>6.58</v>
      </c>
      <c r="K17" s="67" t="n">
        <v>6.58</v>
      </c>
      <c r="L17" s="67" t="n">
        <v>0</v>
      </c>
      <c r="M17" s="67" t="n">
        <v>2</v>
      </c>
      <c r="N17" s="67" t="n">
        <v>-2</v>
      </c>
      <c r="O17" s="67" t="n">
        <v>2.5</v>
      </c>
      <c r="P17" s="67" t="n">
        <v>0</v>
      </c>
      <c r="Q17" s="67"/>
      <c r="R17" s="68" t="s">
        <v>202</v>
      </c>
      <c r="S17" s="69"/>
      <c r="T17" s="68" t="s">
        <v>200</v>
      </c>
      <c r="U17" s="68"/>
      <c r="V17" s="68" t="n">
        <v>0.963651368761455</v>
      </c>
      <c r="W17" s="68" t="n">
        <v>11.0819907407567</v>
      </c>
      <c r="X17" s="68" t="n">
        <v>11.5</v>
      </c>
      <c r="Y17" s="92"/>
    </row>
    <row r="18" customFormat="false" ht="14.25" hidden="false" customHeight="false" outlineLevel="0" collapsed="false">
      <c r="C18" s="64" t="n">
        <v>13</v>
      </c>
      <c r="D18" s="65" t="s">
        <v>1385</v>
      </c>
      <c r="E18" s="65" t="s">
        <v>1386</v>
      </c>
      <c r="F18" s="66" t="n">
        <v>44</v>
      </c>
      <c r="G18" s="67" t="n">
        <v>13.8</v>
      </c>
      <c r="H18" s="67" t="n">
        <v>10</v>
      </c>
      <c r="I18" s="68" t="s">
        <v>1368</v>
      </c>
      <c r="J18" s="67" t="n">
        <v>9</v>
      </c>
      <c r="K18" s="67" t="n">
        <v>9</v>
      </c>
      <c r="L18" s="67" t="n">
        <v>0</v>
      </c>
      <c r="M18" s="67" t="n">
        <v>0</v>
      </c>
      <c r="N18" s="67" t="n">
        <v>0</v>
      </c>
      <c r="O18" s="67" t="n">
        <v>0</v>
      </c>
      <c r="P18" s="67" t="n">
        <v>0</v>
      </c>
      <c r="Q18" s="67"/>
      <c r="R18" s="68" t="s">
        <v>202</v>
      </c>
      <c r="S18" s="69"/>
      <c r="T18" s="68" t="s">
        <v>200</v>
      </c>
      <c r="U18" s="68"/>
      <c r="V18" s="68"/>
      <c r="W18" s="68"/>
      <c r="X18" s="68"/>
      <c r="Y18" s="92"/>
    </row>
    <row r="19" customFormat="false" ht="14.25" hidden="false" customHeight="false" outlineLevel="0" collapsed="false">
      <c r="C19" s="64" t="n">
        <v>14</v>
      </c>
      <c r="D19" s="65" t="s">
        <v>1387</v>
      </c>
      <c r="E19" s="65" t="s">
        <v>1006</v>
      </c>
      <c r="F19" s="66" t="n">
        <v>44</v>
      </c>
      <c r="G19" s="67" t="n">
        <v>13.95</v>
      </c>
      <c r="H19" s="67" t="n">
        <v>7.5</v>
      </c>
      <c r="I19" s="68" t="s">
        <v>1388</v>
      </c>
      <c r="J19" s="67" t="n">
        <v>7.7</v>
      </c>
      <c r="K19" s="67" t="n">
        <v>7.7</v>
      </c>
      <c r="L19" s="67" t="n">
        <v>0</v>
      </c>
      <c r="M19" s="67" t="n">
        <v>4</v>
      </c>
      <c r="N19" s="67" t="n">
        <v>-2</v>
      </c>
      <c r="O19" s="67" t="n">
        <v>2.5</v>
      </c>
      <c r="P19" s="67" t="n">
        <v>0</v>
      </c>
      <c r="Q19" s="67"/>
      <c r="R19" s="68" t="s">
        <v>202</v>
      </c>
      <c r="S19" s="69"/>
      <c r="T19" s="68" t="s">
        <v>200</v>
      </c>
      <c r="U19" s="68"/>
      <c r="V19" s="68" t="n">
        <v>6.86953703705512</v>
      </c>
      <c r="W19" s="68" t="n">
        <v>41.2172222223308</v>
      </c>
      <c r="X19" s="68" t="n">
        <v>6</v>
      </c>
      <c r="Y19" s="92"/>
    </row>
    <row r="20" customFormat="false" ht="14.25" hidden="false" customHeight="false" outlineLevel="0" collapsed="false">
      <c r="C20" s="64" t="n">
        <v>15</v>
      </c>
      <c r="D20" s="65" t="s">
        <v>1389</v>
      </c>
      <c r="E20" s="65" t="s">
        <v>1224</v>
      </c>
      <c r="F20" s="66" t="n">
        <v>115</v>
      </c>
      <c r="G20" s="67" t="n">
        <v>14.45</v>
      </c>
      <c r="H20" s="67" t="n">
        <v>10</v>
      </c>
      <c r="I20" s="68" t="s">
        <v>1390</v>
      </c>
      <c r="J20" s="67" t="n">
        <v>8.1</v>
      </c>
      <c r="K20" s="67" t="n">
        <v>8.1</v>
      </c>
      <c r="L20" s="67" t="n">
        <v>0</v>
      </c>
      <c r="M20" s="67" t="n">
        <v>2</v>
      </c>
      <c r="N20" s="67" t="n">
        <v>-2</v>
      </c>
      <c r="O20" s="67" t="n">
        <v>2.5</v>
      </c>
      <c r="P20" s="67" t="n">
        <v>0</v>
      </c>
      <c r="Q20" s="67"/>
      <c r="R20" s="68" t="s">
        <v>202</v>
      </c>
      <c r="S20" s="69"/>
      <c r="T20" s="68" t="s">
        <v>200</v>
      </c>
      <c r="U20" s="68"/>
      <c r="V20" s="68" t="n">
        <v>79.6909259</v>
      </c>
      <c r="W20" s="68" t="n">
        <v>478.1455554</v>
      </c>
      <c r="X20" s="68" t="n">
        <v>6</v>
      </c>
      <c r="Y20" s="92"/>
    </row>
    <row r="21" customFormat="false" ht="14.25" hidden="false" customHeight="false" outlineLevel="0" collapsed="false">
      <c r="C21" s="64" t="n">
        <v>16</v>
      </c>
      <c r="D21" s="65" t="s">
        <v>1391</v>
      </c>
      <c r="E21" s="65" t="s">
        <v>1160</v>
      </c>
      <c r="F21" s="66" t="n">
        <v>44</v>
      </c>
      <c r="G21" s="67" t="n">
        <v>13.8</v>
      </c>
      <c r="H21" s="67" t="n">
        <v>2</v>
      </c>
      <c r="I21" s="68" t="s">
        <v>1368</v>
      </c>
      <c r="J21" s="67" t="n">
        <v>6.01</v>
      </c>
      <c r="K21" s="67" t="n">
        <v>6.01</v>
      </c>
      <c r="L21" s="67" t="n">
        <v>0</v>
      </c>
      <c r="M21" s="67" t="n">
        <v>2</v>
      </c>
      <c r="N21" s="67" t="n">
        <v>-2</v>
      </c>
      <c r="O21" s="67" t="n">
        <v>2.5</v>
      </c>
      <c r="P21" s="67" t="n">
        <v>0</v>
      </c>
      <c r="Q21" s="67"/>
      <c r="R21" s="68" t="s">
        <v>202</v>
      </c>
      <c r="S21" s="69"/>
      <c r="T21" s="68" t="s">
        <v>200</v>
      </c>
      <c r="U21" s="68"/>
      <c r="V21" s="68"/>
      <c r="W21" s="68"/>
      <c r="X21" s="68"/>
      <c r="Y21" s="92"/>
    </row>
    <row r="22" customFormat="false" ht="14.25" hidden="false" customHeight="false" outlineLevel="0" collapsed="false">
      <c r="C22" s="64" t="n">
        <v>17</v>
      </c>
      <c r="D22" s="65" t="s">
        <v>1392</v>
      </c>
      <c r="E22" s="65" t="s">
        <v>603</v>
      </c>
      <c r="F22" s="66" t="n">
        <v>44</v>
      </c>
      <c r="G22" s="67" t="n">
        <v>13.82</v>
      </c>
      <c r="H22" s="67" t="n">
        <v>20</v>
      </c>
      <c r="I22" s="68" t="s">
        <v>1388</v>
      </c>
      <c r="J22" s="67" t="n">
        <v>6.78</v>
      </c>
      <c r="K22" s="67" t="n">
        <v>6.441</v>
      </c>
      <c r="L22" s="67" t="n">
        <v>0</v>
      </c>
      <c r="M22" s="67" t="n">
        <v>4</v>
      </c>
      <c r="N22" s="67" t="n">
        <v>-4</v>
      </c>
      <c r="O22" s="67" t="n">
        <v>2.5</v>
      </c>
      <c r="P22" s="67" t="n">
        <v>0</v>
      </c>
      <c r="Q22" s="67"/>
      <c r="R22" s="68" t="s">
        <v>202</v>
      </c>
      <c r="S22" s="69"/>
      <c r="T22" s="68" t="s">
        <v>200</v>
      </c>
      <c r="U22" s="68"/>
      <c r="V22" s="68" t="n">
        <v>5.01861111111551</v>
      </c>
      <c r="W22" s="68" t="n">
        <v>22.5837500000198</v>
      </c>
      <c r="X22" s="68" t="n">
        <v>4.5</v>
      </c>
      <c r="Y22" s="92"/>
    </row>
    <row r="23" customFormat="false" ht="14.25" hidden="false" customHeight="false" outlineLevel="0" collapsed="false">
      <c r="C23" s="64" t="n">
        <v>18</v>
      </c>
      <c r="D23" s="65" t="s">
        <v>1393</v>
      </c>
      <c r="E23" s="65" t="s">
        <v>603</v>
      </c>
      <c r="F23" s="66" t="n">
        <v>44</v>
      </c>
      <c r="G23" s="67" t="n">
        <v>13.8</v>
      </c>
      <c r="H23" s="67" t="n">
        <v>20</v>
      </c>
      <c r="I23" s="68" t="s">
        <v>1371</v>
      </c>
      <c r="J23" s="67" t="n">
        <v>8.68</v>
      </c>
      <c r="K23" s="67" t="n">
        <v>8.246</v>
      </c>
      <c r="L23" s="67" t="n">
        <v>0</v>
      </c>
      <c r="M23" s="67" t="n">
        <v>5</v>
      </c>
      <c r="N23" s="67" t="n">
        <v>-5</v>
      </c>
      <c r="O23" s="67" t="n">
        <v>2</v>
      </c>
      <c r="P23" s="67" t="n">
        <v>0</v>
      </c>
      <c r="Q23" s="67"/>
      <c r="R23" s="68" t="s">
        <v>202</v>
      </c>
      <c r="S23" s="69"/>
      <c r="T23" s="68" t="s">
        <v>200</v>
      </c>
      <c r="U23" s="68"/>
      <c r="V23" s="68" t="n">
        <v>13.1964542483671</v>
      </c>
      <c r="W23" s="68" t="n">
        <v>74.7799074074137</v>
      </c>
      <c r="X23" s="68" t="n">
        <v>5.66666666666667</v>
      </c>
      <c r="Y23" s="92"/>
    </row>
    <row r="24" customFormat="false" ht="14.25" hidden="false" customHeight="false" outlineLevel="0" collapsed="false">
      <c r="C24" s="64" t="n">
        <v>19</v>
      </c>
      <c r="D24" s="65" t="s">
        <v>1394</v>
      </c>
      <c r="E24" s="65" t="s">
        <v>1096</v>
      </c>
      <c r="F24" s="66" t="n">
        <v>115</v>
      </c>
      <c r="G24" s="67" t="n">
        <v>46</v>
      </c>
      <c r="H24" s="67" t="n">
        <v>40</v>
      </c>
      <c r="I24" s="68" t="s">
        <v>1368</v>
      </c>
      <c r="J24" s="67" t="n">
        <v>9.707</v>
      </c>
      <c r="K24" s="67" t="n">
        <v>9.707</v>
      </c>
      <c r="L24" s="67" t="n">
        <v>0</v>
      </c>
      <c r="M24" s="67" t="n">
        <v>8</v>
      </c>
      <c r="N24" s="67" t="n">
        <v>-8</v>
      </c>
      <c r="O24" s="67" t="n">
        <v>1.25</v>
      </c>
      <c r="P24" s="67" t="n">
        <v>0</v>
      </c>
      <c r="Q24" s="67"/>
      <c r="R24" s="68" t="s">
        <v>202</v>
      </c>
      <c r="S24" s="69"/>
      <c r="T24" s="68" t="s">
        <v>200</v>
      </c>
      <c r="U24" s="68"/>
      <c r="V24" s="68" t="n">
        <v>118.498611</v>
      </c>
      <c r="W24" s="68" t="n">
        <v>1184.98611</v>
      </c>
      <c r="X24" s="68" t="n">
        <v>10</v>
      </c>
      <c r="Y24" s="92"/>
    </row>
    <row r="25" customFormat="false" ht="14.25" hidden="false" customHeight="false" outlineLevel="0" collapsed="false">
      <c r="C25" s="64" t="n">
        <v>20</v>
      </c>
      <c r="D25" s="65" t="s">
        <v>1395</v>
      </c>
      <c r="E25" s="65" t="s">
        <v>1096</v>
      </c>
      <c r="F25" s="66" t="n">
        <v>44</v>
      </c>
      <c r="G25" s="67" t="n">
        <v>13.2</v>
      </c>
      <c r="H25" s="67" t="n">
        <v>20</v>
      </c>
      <c r="I25" s="68" t="s">
        <v>1388</v>
      </c>
      <c r="J25" s="67" t="n">
        <v>7.21</v>
      </c>
      <c r="K25" s="67" t="n">
        <v>7.21</v>
      </c>
      <c r="L25" s="67" t="n">
        <v>0</v>
      </c>
      <c r="M25" s="67" t="n">
        <v>10</v>
      </c>
      <c r="N25" s="67" t="n">
        <v>-10</v>
      </c>
      <c r="O25" s="67" t="n">
        <v>1.25</v>
      </c>
      <c r="P25" s="67" t="n">
        <v>0</v>
      </c>
      <c r="Q25" s="67"/>
      <c r="R25" s="68" t="s">
        <v>202</v>
      </c>
      <c r="S25" s="69"/>
      <c r="T25" s="68" t="s">
        <v>200</v>
      </c>
      <c r="U25" s="68"/>
      <c r="V25" s="68" t="n">
        <v>4.86555555570521</v>
      </c>
      <c r="W25" s="68" t="n">
        <v>9.73111111141043</v>
      </c>
      <c r="X25" s="68" t="n">
        <v>2</v>
      </c>
      <c r="Y25" s="92"/>
    </row>
    <row r="26" customFormat="false" ht="14.25" hidden="false" customHeight="false" outlineLevel="0" collapsed="false">
      <c r="C26" s="64" t="n">
        <v>21</v>
      </c>
      <c r="D26" s="65" t="s">
        <v>1396</v>
      </c>
      <c r="E26" s="65" t="s">
        <v>826</v>
      </c>
      <c r="F26" s="66" t="n">
        <v>44</v>
      </c>
      <c r="G26" s="67" t="n">
        <v>13.8</v>
      </c>
      <c r="H26" s="67" t="n">
        <v>12.5</v>
      </c>
      <c r="I26" s="68" t="s">
        <v>1368</v>
      </c>
      <c r="J26" s="67" t="n">
        <v>6.95</v>
      </c>
      <c r="K26" s="67" t="n">
        <v>6.95</v>
      </c>
      <c r="L26" s="67" t="n">
        <v>0</v>
      </c>
      <c r="M26" s="67" t="n">
        <v>3</v>
      </c>
      <c r="N26" s="67" t="n">
        <v>-3</v>
      </c>
      <c r="O26" s="67" t="n">
        <v>2.5</v>
      </c>
      <c r="P26" s="67" t="n">
        <v>0</v>
      </c>
      <c r="Q26" s="67"/>
      <c r="R26" s="68" t="s">
        <v>202</v>
      </c>
      <c r="S26" s="69"/>
      <c r="T26" s="68" t="s">
        <v>200</v>
      </c>
      <c r="U26" s="68"/>
      <c r="V26" s="68"/>
      <c r="W26" s="68"/>
      <c r="X26" s="68"/>
      <c r="Y26" s="92"/>
    </row>
    <row r="27" customFormat="false" ht="14.25" hidden="false" customHeight="false" outlineLevel="0" collapsed="false">
      <c r="C27" s="64" t="n">
        <v>22</v>
      </c>
      <c r="D27" s="65" t="s">
        <v>1397</v>
      </c>
      <c r="E27" s="65" t="s">
        <v>1026</v>
      </c>
      <c r="F27" s="66" t="n">
        <v>44</v>
      </c>
      <c r="G27" s="67" t="n">
        <v>13.2</v>
      </c>
      <c r="H27" s="67" t="n">
        <v>2</v>
      </c>
      <c r="I27" s="68" t="s">
        <v>1388</v>
      </c>
      <c r="J27" s="67" t="n">
        <v>6.73</v>
      </c>
      <c r="K27" s="67" t="n">
        <v>6.73</v>
      </c>
      <c r="L27" s="67" t="n">
        <v>0</v>
      </c>
      <c r="M27" s="67" t="n">
        <v>2</v>
      </c>
      <c r="N27" s="67" t="n">
        <v>-2</v>
      </c>
      <c r="O27" s="67" t="n">
        <v>2.5</v>
      </c>
      <c r="P27" s="67" t="n">
        <v>0</v>
      </c>
      <c r="Q27" s="67"/>
      <c r="R27" s="68" t="s">
        <v>202</v>
      </c>
      <c r="S27" s="69"/>
      <c r="T27" s="68" t="s">
        <v>200</v>
      </c>
      <c r="U27" s="68"/>
      <c r="V27" s="68"/>
      <c r="W27" s="68"/>
      <c r="X27" s="68"/>
      <c r="Y27" s="92"/>
    </row>
    <row r="28" customFormat="false" ht="14.25" hidden="false" customHeight="false" outlineLevel="0" collapsed="false">
      <c r="C28" s="64" t="n">
        <v>23</v>
      </c>
      <c r="D28" s="65" t="s">
        <v>1398</v>
      </c>
      <c r="E28" s="65" t="s">
        <v>777</v>
      </c>
      <c r="F28" s="66" t="n">
        <v>44</v>
      </c>
      <c r="G28" s="67" t="n">
        <v>13.8</v>
      </c>
      <c r="H28" s="67" t="n">
        <v>20</v>
      </c>
      <c r="I28" s="68" t="s">
        <v>1368</v>
      </c>
      <c r="J28" s="67" t="n">
        <v>6.9</v>
      </c>
      <c r="K28" s="67" t="n">
        <v>6.9</v>
      </c>
      <c r="L28" s="67" t="n">
        <v>0</v>
      </c>
      <c r="M28" s="67" t="n">
        <v>10</v>
      </c>
      <c r="N28" s="67" t="n">
        <v>-10</v>
      </c>
      <c r="O28" s="67" t="n">
        <v>1.25</v>
      </c>
      <c r="P28" s="67" t="n">
        <v>0</v>
      </c>
      <c r="Q28" s="67"/>
      <c r="R28" s="68" t="s">
        <v>202</v>
      </c>
      <c r="S28" s="69"/>
      <c r="T28" s="68" t="s">
        <v>200</v>
      </c>
      <c r="U28" s="68"/>
      <c r="V28" s="68"/>
      <c r="W28" s="68"/>
      <c r="X28" s="68"/>
      <c r="Y28" s="92"/>
    </row>
    <row r="29" customFormat="false" ht="14.25" hidden="false" customHeight="false" outlineLevel="0" collapsed="false">
      <c r="C29" s="64" t="n">
        <v>24</v>
      </c>
      <c r="D29" s="65" t="s">
        <v>1399</v>
      </c>
      <c r="E29" s="65" t="s">
        <v>870</v>
      </c>
      <c r="F29" s="66" t="n">
        <v>110</v>
      </c>
      <c r="G29" s="67" t="n">
        <v>46</v>
      </c>
      <c r="H29" s="67" t="n">
        <v>60</v>
      </c>
      <c r="I29" s="68" t="s">
        <v>1390</v>
      </c>
      <c r="J29" s="67" t="n">
        <v>9.66</v>
      </c>
      <c r="K29" s="67" t="n">
        <v>9.66</v>
      </c>
      <c r="L29" s="67"/>
      <c r="M29" s="67"/>
      <c r="N29" s="67"/>
      <c r="O29" s="67"/>
      <c r="P29" s="67" t="n">
        <v>0</v>
      </c>
      <c r="Q29" s="67"/>
      <c r="R29" s="68" t="s">
        <v>771</v>
      </c>
      <c r="S29" s="69" t="n">
        <v>45747</v>
      </c>
      <c r="T29" s="68" t="s">
        <v>200</v>
      </c>
      <c r="U29" s="68"/>
      <c r="V29" s="68"/>
      <c r="W29" s="68"/>
      <c r="X29" s="68"/>
      <c r="Y29" s="92"/>
    </row>
    <row r="30" customFormat="false" ht="14.25" hidden="false" customHeight="false" outlineLevel="0" collapsed="false">
      <c r="C30" s="64" t="n">
        <v>25</v>
      </c>
      <c r="D30" s="65" t="s">
        <v>1400</v>
      </c>
      <c r="E30" s="65" t="s">
        <v>870</v>
      </c>
      <c r="F30" s="66" t="n">
        <v>44</v>
      </c>
      <c r="G30" s="67" t="n">
        <v>13.2</v>
      </c>
      <c r="H30" s="67" t="n">
        <v>7.5</v>
      </c>
      <c r="I30" s="68" t="s">
        <v>1368</v>
      </c>
      <c r="J30" s="67" t="n">
        <v>6</v>
      </c>
      <c r="K30" s="67" t="n">
        <v>6</v>
      </c>
      <c r="L30" s="67"/>
      <c r="M30" s="67"/>
      <c r="N30" s="67"/>
      <c r="O30" s="67"/>
      <c r="P30" s="67" t="n">
        <v>0</v>
      </c>
      <c r="Q30" s="67"/>
      <c r="R30" s="68" t="s">
        <v>771</v>
      </c>
      <c r="S30" s="69" t="n">
        <v>45747</v>
      </c>
      <c r="T30" s="68" t="s">
        <v>200</v>
      </c>
      <c r="U30" s="68"/>
      <c r="V30" s="68"/>
      <c r="W30" s="68"/>
      <c r="X30" s="68"/>
      <c r="Y30" s="92"/>
    </row>
    <row r="31" customFormat="false" ht="14.25" hidden="false" customHeight="false" outlineLevel="0" collapsed="false">
      <c r="C31" s="64" t="n">
        <v>26</v>
      </c>
      <c r="D31" s="65" t="s">
        <v>1401</v>
      </c>
      <c r="E31" s="65" t="s">
        <v>1156</v>
      </c>
      <c r="F31" s="66" t="n">
        <v>110</v>
      </c>
      <c r="G31" s="67" t="n">
        <v>46</v>
      </c>
      <c r="H31" s="67" t="n">
        <v>60</v>
      </c>
      <c r="I31" s="68" t="s">
        <v>1368</v>
      </c>
      <c r="J31" s="67" t="n">
        <v>12.22</v>
      </c>
      <c r="K31" s="67" t="n">
        <v>12.22</v>
      </c>
      <c r="L31" s="67" t="n">
        <v>0</v>
      </c>
      <c r="M31" s="67" t="n">
        <v>5</v>
      </c>
      <c r="N31" s="67" t="n">
        <v>-5</v>
      </c>
      <c r="O31" s="67" t="n">
        <v>1.25</v>
      </c>
      <c r="P31" s="67" t="n">
        <v>0</v>
      </c>
      <c r="Q31" s="67"/>
      <c r="R31" s="68" t="s">
        <v>202</v>
      </c>
      <c r="S31" s="69"/>
      <c r="T31" s="68" t="s">
        <v>200</v>
      </c>
      <c r="U31" s="68"/>
      <c r="V31" s="68" t="n">
        <v>42.8455556</v>
      </c>
      <c r="W31" s="68" t="n">
        <v>171.3822224</v>
      </c>
      <c r="X31" s="68" t="n">
        <v>4</v>
      </c>
      <c r="Y31" s="92"/>
    </row>
    <row r="32" customFormat="false" ht="14.25" hidden="false" customHeight="false" outlineLevel="0" collapsed="false">
      <c r="C32" s="64" t="n">
        <v>27</v>
      </c>
      <c r="D32" s="65" t="s">
        <v>1402</v>
      </c>
      <c r="E32" s="65" t="s">
        <v>1156</v>
      </c>
      <c r="F32" s="66" t="n">
        <v>110</v>
      </c>
      <c r="G32" s="67" t="n">
        <v>46</v>
      </c>
      <c r="H32" s="67" t="n">
        <v>60</v>
      </c>
      <c r="I32" s="68" t="s">
        <v>1368</v>
      </c>
      <c r="J32" s="67" t="n">
        <v>12.22</v>
      </c>
      <c r="K32" s="67" t="n">
        <v>12.22</v>
      </c>
      <c r="L32" s="67" t="n">
        <v>0</v>
      </c>
      <c r="M32" s="67" t="n">
        <v>5</v>
      </c>
      <c r="N32" s="67" t="n">
        <v>-5</v>
      </c>
      <c r="O32" s="67" t="n">
        <v>1.25</v>
      </c>
      <c r="P32" s="67" t="n">
        <v>0</v>
      </c>
      <c r="Q32" s="67"/>
      <c r="R32" s="68" t="s">
        <v>202</v>
      </c>
      <c r="S32" s="69"/>
      <c r="T32" s="68" t="s">
        <v>200</v>
      </c>
      <c r="U32" s="68"/>
      <c r="V32" s="68" t="n">
        <v>67.7473333</v>
      </c>
      <c r="W32" s="68" t="n">
        <v>433.58293312</v>
      </c>
      <c r="X32" s="68" t="n">
        <v>6.4</v>
      </c>
      <c r="Y32" s="92"/>
    </row>
    <row r="33" customFormat="false" ht="14.25" hidden="false" customHeight="false" outlineLevel="0" collapsed="false">
      <c r="C33" s="64" t="n">
        <v>28</v>
      </c>
      <c r="D33" s="65" t="s">
        <v>1403</v>
      </c>
      <c r="E33" s="65" t="s">
        <v>1156</v>
      </c>
      <c r="F33" s="66" t="n">
        <v>44</v>
      </c>
      <c r="G33" s="67" t="n">
        <v>13.83</v>
      </c>
      <c r="H33" s="67" t="n">
        <v>20</v>
      </c>
      <c r="I33" s="68" t="s">
        <v>1388</v>
      </c>
      <c r="J33" s="67" t="n">
        <v>6.9</v>
      </c>
      <c r="K33" s="67" t="n">
        <v>6.9</v>
      </c>
      <c r="L33" s="67" t="n">
        <v>0</v>
      </c>
      <c r="M33" s="67" t="n">
        <v>4</v>
      </c>
      <c r="N33" s="67" t="n">
        <v>-4</v>
      </c>
      <c r="O33" s="67" t="n">
        <v>2.5</v>
      </c>
      <c r="P33" s="67" t="n">
        <v>0</v>
      </c>
      <c r="Q33" s="67"/>
      <c r="R33" s="68" t="s">
        <v>202</v>
      </c>
      <c r="S33" s="69"/>
      <c r="T33" s="68" t="s">
        <v>200</v>
      </c>
      <c r="U33" s="68"/>
      <c r="V33" s="68" t="n">
        <v>9.08200617284941</v>
      </c>
      <c r="W33" s="68" t="n">
        <v>40.8690277778223</v>
      </c>
      <c r="X33" s="68" t="n">
        <v>4.5</v>
      </c>
      <c r="Y33" s="92"/>
    </row>
    <row r="34" customFormat="false" ht="14.25" hidden="false" customHeight="false" outlineLevel="0" collapsed="false">
      <c r="C34" s="64" t="n">
        <v>29</v>
      </c>
      <c r="D34" s="65" t="s">
        <v>1404</v>
      </c>
      <c r="E34" s="65" t="s">
        <v>1156</v>
      </c>
      <c r="F34" s="66" t="n">
        <v>44</v>
      </c>
      <c r="G34" s="67" t="n">
        <v>13.83</v>
      </c>
      <c r="H34" s="67" t="n">
        <v>20</v>
      </c>
      <c r="I34" s="68" t="s">
        <v>1388</v>
      </c>
      <c r="J34" s="67" t="n">
        <v>6.9</v>
      </c>
      <c r="K34" s="67" t="n">
        <v>6.9</v>
      </c>
      <c r="L34" s="67" t="n">
        <v>0</v>
      </c>
      <c r="M34" s="67" t="n">
        <v>4</v>
      </c>
      <c r="N34" s="67" t="n">
        <v>-4</v>
      </c>
      <c r="O34" s="67" t="n">
        <v>2.5</v>
      </c>
      <c r="P34" s="67" t="n">
        <v>0</v>
      </c>
      <c r="Q34" s="67"/>
      <c r="R34" s="68" t="s">
        <v>202</v>
      </c>
      <c r="S34" s="69"/>
      <c r="T34" s="68" t="s">
        <v>200</v>
      </c>
      <c r="U34" s="68"/>
      <c r="V34" s="68" t="n">
        <v>9.08200617284941</v>
      </c>
      <c r="W34" s="68" t="n">
        <v>40.8690277778223</v>
      </c>
      <c r="X34" s="68" t="n">
        <v>4.5</v>
      </c>
      <c r="Y34" s="92"/>
    </row>
    <row r="35" customFormat="false" ht="14.25" hidden="false" customHeight="false" outlineLevel="0" collapsed="false">
      <c r="C35" s="64" t="n">
        <v>30</v>
      </c>
      <c r="D35" s="65" t="s">
        <v>1405</v>
      </c>
      <c r="E35" s="65" t="s">
        <v>1406</v>
      </c>
      <c r="F35" s="66" t="n">
        <v>44</v>
      </c>
      <c r="G35" s="67" t="n">
        <v>13.8</v>
      </c>
      <c r="H35" s="67" t="n">
        <v>20</v>
      </c>
      <c r="I35" s="68" t="s">
        <v>1368</v>
      </c>
      <c r="J35" s="67" t="n">
        <v>6.9</v>
      </c>
      <c r="K35" s="67" t="n">
        <v>6.9</v>
      </c>
      <c r="L35" s="67" t="n">
        <v>0</v>
      </c>
      <c r="M35" s="67" t="n">
        <v>10</v>
      </c>
      <c r="N35" s="67" t="n">
        <v>-10</v>
      </c>
      <c r="O35" s="67" t="n">
        <v>1.25</v>
      </c>
      <c r="P35" s="67" t="n">
        <v>0</v>
      </c>
      <c r="Q35" s="67"/>
      <c r="R35" s="68" t="s">
        <v>202</v>
      </c>
      <c r="S35" s="69"/>
      <c r="T35" s="68" t="s">
        <v>200</v>
      </c>
      <c r="U35" s="68"/>
      <c r="V35" s="68" t="n">
        <v>0.971250000009604</v>
      </c>
      <c r="W35" s="68" t="n">
        <v>7.77000000007683</v>
      </c>
      <c r="X35" s="68" t="n">
        <v>8</v>
      </c>
      <c r="Y35" s="92"/>
    </row>
    <row r="36" customFormat="false" ht="14.25" hidden="false" customHeight="false" outlineLevel="0" collapsed="false">
      <c r="C36" s="64" t="n">
        <v>31</v>
      </c>
      <c r="D36" s="65" t="s">
        <v>1407</v>
      </c>
      <c r="E36" s="65" t="s">
        <v>814</v>
      </c>
      <c r="F36" s="66" t="n">
        <v>110</v>
      </c>
      <c r="G36" s="67" t="n">
        <v>46</v>
      </c>
      <c r="H36" s="67" t="n">
        <v>40</v>
      </c>
      <c r="I36" s="68" t="s">
        <v>1368</v>
      </c>
      <c r="J36" s="67" t="n">
        <v>7.462</v>
      </c>
      <c r="K36" s="67" t="n">
        <v>7.462</v>
      </c>
      <c r="L36" s="67" t="n">
        <v>0</v>
      </c>
      <c r="M36" s="67" t="n">
        <v>8</v>
      </c>
      <c r="N36" s="67" t="n">
        <v>-10</v>
      </c>
      <c r="O36" s="67" t="n">
        <v>1.25</v>
      </c>
      <c r="P36" s="67" t="n">
        <v>0</v>
      </c>
      <c r="Q36" s="67"/>
      <c r="R36" s="68" t="s">
        <v>202</v>
      </c>
      <c r="S36" s="69"/>
      <c r="T36" s="68" t="s">
        <v>200</v>
      </c>
      <c r="U36" s="68"/>
      <c r="V36" s="68" t="n">
        <v>6.13611111</v>
      </c>
      <c r="W36" s="68" t="n">
        <v>20.4537036795463</v>
      </c>
      <c r="X36" s="68" t="n">
        <v>3.33333333</v>
      </c>
      <c r="Y36" s="92"/>
    </row>
    <row r="37" customFormat="false" ht="14.25" hidden="false" customHeight="false" outlineLevel="0" collapsed="false">
      <c r="C37" s="64" t="n">
        <v>32</v>
      </c>
      <c r="D37" s="65" t="s">
        <v>1408</v>
      </c>
      <c r="E37" s="65" t="s">
        <v>814</v>
      </c>
      <c r="F37" s="66" t="n">
        <v>44</v>
      </c>
      <c r="G37" s="67" t="n">
        <v>13.8</v>
      </c>
      <c r="H37" s="67" t="n">
        <v>5</v>
      </c>
      <c r="I37" s="68" t="s">
        <v>1368</v>
      </c>
      <c r="J37" s="67" t="n">
        <v>7.2</v>
      </c>
      <c r="K37" s="67" t="n">
        <v>7.2</v>
      </c>
      <c r="L37" s="67" t="n">
        <v>0</v>
      </c>
      <c r="M37" s="67" t="n">
        <v>2</v>
      </c>
      <c r="N37" s="67" t="n">
        <v>-2</v>
      </c>
      <c r="O37" s="67" t="n">
        <v>2.5</v>
      </c>
      <c r="P37" s="67" t="n">
        <v>0</v>
      </c>
      <c r="Q37" s="67"/>
      <c r="R37" s="68" t="s">
        <v>202</v>
      </c>
      <c r="S37" s="69"/>
      <c r="T37" s="68" t="s">
        <v>200</v>
      </c>
      <c r="U37" s="68"/>
      <c r="V37" s="68" t="n">
        <v>2.08708333333198</v>
      </c>
      <c r="W37" s="68" t="n">
        <v>8.3483333333279</v>
      </c>
      <c r="X37" s="68" t="n">
        <v>4</v>
      </c>
      <c r="Y37" s="92"/>
    </row>
    <row r="38" customFormat="false" ht="14.25" hidden="false" customHeight="false" outlineLevel="0" collapsed="false">
      <c r="C38" s="64" t="n">
        <v>33</v>
      </c>
      <c r="D38" s="65" t="s">
        <v>1409</v>
      </c>
      <c r="E38" s="65" t="s">
        <v>796</v>
      </c>
      <c r="F38" s="66" t="n">
        <v>44</v>
      </c>
      <c r="G38" s="67" t="n">
        <v>13.8</v>
      </c>
      <c r="H38" s="67" t="n">
        <v>1</v>
      </c>
      <c r="I38" s="68" t="s">
        <v>1368</v>
      </c>
      <c r="J38" s="67" t="n">
        <v>5.6</v>
      </c>
      <c r="K38" s="67" t="n">
        <v>5.6</v>
      </c>
      <c r="L38" s="67" t="n">
        <v>0</v>
      </c>
      <c r="M38" s="67" t="n">
        <v>2</v>
      </c>
      <c r="N38" s="67" t="n">
        <v>-2</v>
      </c>
      <c r="O38" s="67" t="n">
        <v>2.5</v>
      </c>
      <c r="P38" s="67" t="n">
        <v>0</v>
      </c>
      <c r="Q38" s="67"/>
      <c r="R38" s="68" t="s">
        <v>202</v>
      </c>
      <c r="S38" s="69"/>
      <c r="T38" s="68" t="s">
        <v>200</v>
      </c>
      <c r="U38" s="68"/>
      <c r="V38" s="68"/>
      <c r="W38" s="68"/>
      <c r="X38" s="68"/>
      <c r="Y38" s="92" t="s">
        <v>1410</v>
      </c>
    </row>
    <row r="39" customFormat="false" ht="14.25" hidden="false" customHeight="false" outlineLevel="0" collapsed="false">
      <c r="C39" s="64" t="n">
        <v>34</v>
      </c>
      <c r="D39" s="65" t="s">
        <v>1409</v>
      </c>
      <c r="E39" s="65" t="s">
        <v>796</v>
      </c>
      <c r="F39" s="66" t="n">
        <v>44</v>
      </c>
      <c r="G39" s="67" t="n">
        <v>13.2</v>
      </c>
      <c r="H39" s="67" t="n">
        <v>2</v>
      </c>
      <c r="I39" s="68" t="s">
        <v>1368</v>
      </c>
      <c r="J39" s="67" t="n">
        <v>6.59</v>
      </c>
      <c r="K39" s="67" t="n">
        <v>6.59</v>
      </c>
      <c r="L39" s="67" t="n">
        <v>0</v>
      </c>
      <c r="M39" s="67" t="n">
        <v>2</v>
      </c>
      <c r="N39" s="67" t="n">
        <v>-2</v>
      </c>
      <c r="O39" s="67" t="n">
        <v>2.5</v>
      </c>
      <c r="P39" s="67" t="n">
        <v>0</v>
      </c>
      <c r="Q39" s="67"/>
      <c r="R39" s="68" t="s">
        <v>771</v>
      </c>
      <c r="S39" s="69" t="n">
        <v>45291</v>
      </c>
      <c r="T39" s="68" t="s">
        <v>200</v>
      </c>
      <c r="U39" s="68"/>
      <c r="V39" s="68"/>
      <c r="W39" s="68"/>
      <c r="X39" s="68"/>
      <c r="Y39" s="92"/>
    </row>
    <row r="40" customFormat="false" ht="14.25" hidden="false" customHeight="false" outlineLevel="0" collapsed="false">
      <c r="C40" s="64" t="n">
        <v>35</v>
      </c>
      <c r="D40" s="65" t="s">
        <v>1411</v>
      </c>
      <c r="E40" s="65" t="s">
        <v>906</v>
      </c>
      <c r="F40" s="66" t="n">
        <v>44</v>
      </c>
      <c r="G40" s="67" t="n">
        <v>13.8</v>
      </c>
      <c r="H40" s="67" t="n">
        <v>10</v>
      </c>
      <c r="I40" s="68" t="s">
        <v>1368</v>
      </c>
      <c r="J40" s="67" t="n">
        <v>6.2</v>
      </c>
      <c r="K40" s="67" t="n">
        <v>6.2</v>
      </c>
      <c r="L40" s="67" t="n">
        <v>0</v>
      </c>
      <c r="M40" s="67" t="n">
        <v>2</v>
      </c>
      <c r="N40" s="67" t="n">
        <v>-2</v>
      </c>
      <c r="O40" s="67" t="n">
        <v>2.5</v>
      </c>
      <c r="P40" s="67" t="n">
        <v>0</v>
      </c>
      <c r="Q40" s="67"/>
      <c r="R40" s="68" t="s">
        <v>202</v>
      </c>
      <c r="S40" s="69"/>
      <c r="T40" s="68" t="s">
        <v>200</v>
      </c>
      <c r="U40" s="68"/>
      <c r="V40" s="68" t="n">
        <v>6.44810250391741</v>
      </c>
      <c r="W40" s="68" t="n">
        <v>76.302546296356</v>
      </c>
      <c r="X40" s="68" t="n">
        <v>11.8333333333333</v>
      </c>
      <c r="Y40" s="92"/>
    </row>
    <row r="41" customFormat="false" ht="14.25" hidden="false" customHeight="false" outlineLevel="0" collapsed="false">
      <c r="C41" s="64" t="n">
        <v>36</v>
      </c>
      <c r="D41" s="65" t="s">
        <v>1412</v>
      </c>
      <c r="E41" s="65" t="s">
        <v>1413</v>
      </c>
      <c r="F41" s="66" t="n">
        <v>110</v>
      </c>
      <c r="G41" s="67" t="n">
        <v>44</v>
      </c>
      <c r="H41" s="67" t="n">
        <v>30</v>
      </c>
      <c r="I41" s="68" t="s">
        <v>1390</v>
      </c>
      <c r="J41" s="67" t="n">
        <v>9.66</v>
      </c>
      <c r="K41" s="67" t="n">
        <v>9.66</v>
      </c>
      <c r="L41" s="67" t="n">
        <v>0</v>
      </c>
      <c r="M41" s="67" t="n">
        <v>8</v>
      </c>
      <c r="N41" s="67" t="n">
        <v>-8</v>
      </c>
      <c r="O41" s="67" t="n">
        <v>1.25</v>
      </c>
      <c r="P41" s="67" t="n">
        <v>0</v>
      </c>
      <c r="Q41" s="67"/>
      <c r="R41" s="68" t="s">
        <v>202</v>
      </c>
      <c r="S41" s="69"/>
      <c r="T41" s="68" t="s">
        <v>200</v>
      </c>
      <c r="U41" s="68"/>
      <c r="V41" s="68" t="n">
        <v>8.65699074</v>
      </c>
      <c r="W41" s="68" t="n">
        <v>20.1996450311434</v>
      </c>
      <c r="X41" s="68" t="n">
        <v>2.33333333</v>
      </c>
      <c r="Y41" s="92"/>
    </row>
    <row r="42" customFormat="false" ht="14.25" hidden="false" customHeight="false" outlineLevel="0" collapsed="false">
      <c r="C42" s="64" t="n">
        <v>37</v>
      </c>
      <c r="D42" s="65" t="s">
        <v>1414</v>
      </c>
      <c r="E42" s="65" t="s">
        <v>1415</v>
      </c>
      <c r="F42" s="66" t="n">
        <v>44</v>
      </c>
      <c r="G42" s="67" t="n">
        <v>13.8</v>
      </c>
      <c r="H42" s="67" t="n">
        <v>5</v>
      </c>
      <c r="I42" s="68" t="s">
        <v>1368</v>
      </c>
      <c r="J42" s="67" t="n">
        <v>6.42</v>
      </c>
      <c r="K42" s="67" t="n">
        <v>6.42</v>
      </c>
      <c r="L42" s="67" t="n">
        <v>0</v>
      </c>
      <c r="M42" s="67" t="n">
        <v>2</v>
      </c>
      <c r="N42" s="67" t="n">
        <v>-4</v>
      </c>
      <c r="O42" s="67" t="n">
        <v>2.5</v>
      </c>
      <c r="P42" s="67" t="n">
        <v>0</v>
      </c>
      <c r="Q42" s="67"/>
      <c r="R42" s="68" t="s">
        <v>202</v>
      </c>
      <c r="S42" s="69"/>
      <c r="T42" s="68" t="s">
        <v>200</v>
      </c>
      <c r="U42" s="68"/>
      <c r="V42" s="68"/>
      <c r="W42" s="68"/>
      <c r="X42" s="68"/>
      <c r="Y42" s="92"/>
    </row>
    <row r="43" customFormat="false" ht="14.25" hidden="false" customHeight="false" outlineLevel="0" collapsed="false">
      <c r="C43" s="64" t="n">
        <v>38</v>
      </c>
      <c r="D43" s="65" t="s">
        <v>1416</v>
      </c>
      <c r="E43" s="65" t="s">
        <v>1413</v>
      </c>
      <c r="F43" s="66" t="n">
        <v>44</v>
      </c>
      <c r="G43" s="67" t="n">
        <v>13.8</v>
      </c>
      <c r="H43" s="67" t="n">
        <v>3.75</v>
      </c>
      <c r="I43" s="68" t="s">
        <v>1388</v>
      </c>
      <c r="J43" s="67" t="n">
        <v>6.75</v>
      </c>
      <c r="K43" s="67" t="n">
        <v>6.75</v>
      </c>
      <c r="L43" s="67" t="n">
        <v>0</v>
      </c>
      <c r="M43" s="67" t="n">
        <v>2</v>
      </c>
      <c r="N43" s="67" t="n">
        <v>-2</v>
      </c>
      <c r="O43" s="67" t="n">
        <v>2.5</v>
      </c>
      <c r="P43" s="67" t="n">
        <v>0</v>
      </c>
      <c r="Q43" s="67"/>
      <c r="R43" s="68" t="s">
        <v>202</v>
      </c>
      <c r="S43" s="69"/>
      <c r="T43" s="68" t="s">
        <v>200</v>
      </c>
      <c r="U43" s="68"/>
      <c r="V43" s="68" t="n">
        <v>1.0205740740872</v>
      </c>
      <c r="W43" s="68" t="n">
        <v>3.0617222222616</v>
      </c>
      <c r="X43" s="68" t="n">
        <v>3</v>
      </c>
      <c r="Y43" s="92"/>
    </row>
    <row r="44" customFormat="false" ht="14.25" hidden="false" customHeight="false" outlineLevel="0" collapsed="false">
      <c r="C44" s="64" t="n">
        <v>39</v>
      </c>
      <c r="D44" s="65" t="s">
        <v>1417</v>
      </c>
      <c r="E44" s="65" t="s">
        <v>1173</v>
      </c>
      <c r="F44" s="66" t="n">
        <v>44</v>
      </c>
      <c r="G44" s="67" t="n">
        <v>13.8</v>
      </c>
      <c r="H44" s="67" t="n">
        <v>2</v>
      </c>
      <c r="I44" s="68" t="s">
        <v>1368</v>
      </c>
      <c r="J44" s="67" t="n">
        <v>5.9</v>
      </c>
      <c r="K44" s="67" t="n">
        <v>5.9</v>
      </c>
      <c r="L44" s="67" t="n">
        <v>0</v>
      </c>
      <c r="M44" s="67" t="n">
        <v>2</v>
      </c>
      <c r="N44" s="67" t="n">
        <v>-2</v>
      </c>
      <c r="O44" s="67" t="n">
        <v>2.5</v>
      </c>
      <c r="P44" s="67" t="n">
        <v>0</v>
      </c>
      <c r="Q44" s="67"/>
      <c r="R44" s="68" t="s">
        <v>202</v>
      </c>
      <c r="S44" s="69"/>
      <c r="T44" s="68" t="s">
        <v>200</v>
      </c>
      <c r="U44" s="68"/>
      <c r="V44" s="68"/>
      <c r="W44" s="68"/>
      <c r="X44" s="68"/>
      <c r="Y44" s="92"/>
    </row>
    <row r="45" customFormat="false" ht="14.25" hidden="false" customHeight="false" outlineLevel="0" collapsed="false">
      <c r="C45" s="64" t="n">
        <v>40</v>
      </c>
      <c r="D45" s="65" t="s">
        <v>1418</v>
      </c>
      <c r="E45" s="65" t="s">
        <v>895</v>
      </c>
      <c r="F45" s="66" t="n">
        <v>44</v>
      </c>
      <c r="G45" s="67" t="n">
        <v>13.86</v>
      </c>
      <c r="H45" s="67" t="n">
        <v>6.25</v>
      </c>
      <c r="I45" s="68" t="s">
        <v>1368</v>
      </c>
      <c r="J45" s="67" t="n">
        <v>5.76</v>
      </c>
      <c r="K45" s="67" t="n">
        <v>5.76</v>
      </c>
      <c r="L45" s="67" t="n">
        <v>0</v>
      </c>
      <c r="M45" s="67" t="n">
        <v>4</v>
      </c>
      <c r="N45" s="67" t="n">
        <v>-2</v>
      </c>
      <c r="O45" s="67" t="n">
        <v>2.5</v>
      </c>
      <c r="P45" s="67" t="n">
        <v>0</v>
      </c>
      <c r="Q45" s="67"/>
      <c r="R45" s="68" t="s">
        <v>202</v>
      </c>
      <c r="S45" s="69"/>
      <c r="T45" s="68" t="s">
        <v>200</v>
      </c>
      <c r="U45" s="68"/>
      <c r="V45" s="68"/>
      <c r="W45" s="68"/>
      <c r="X45" s="68"/>
      <c r="Y45" s="92"/>
    </row>
    <row r="46" customFormat="false" ht="14.25" hidden="false" customHeight="false" outlineLevel="0" collapsed="false">
      <c r="C46" s="64" t="n">
        <v>41</v>
      </c>
      <c r="D46" s="65" t="s">
        <v>1419</v>
      </c>
      <c r="E46" s="65" t="s">
        <v>1186</v>
      </c>
      <c r="F46" s="66" t="n">
        <v>44</v>
      </c>
      <c r="G46" s="67" t="n">
        <v>13.75</v>
      </c>
      <c r="H46" s="67" t="n">
        <v>2</v>
      </c>
      <c r="I46" s="68" t="s">
        <v>1368</v>
      </c>
      <c r="J46" s="67" t="n">
        <v>7</v>
      </c>
      <c r="K46" s="67" t="n">
        <v>7</v>
      </c>
      <c r="L46" s="67" t="n">
        <v>0</v>
      </c>
      <c r="M46" s="67" t="n">
        <v>2</v>
      </c>
      <c r="N46" s="67" t="n">
        <v>-2</v>
      </c>
      <c r="O46" s="67" t="n">
        <v>2.5</v>
      </c>
      <c r="P46" s="67" t="n">
        <v>0</v>
      </c>
      <c r="Q46" s="67"/>
      <c r="R46" s="68" t="s">
        <v>202</v>
      </c>
      <c r="S46" s="69"/>
      <c r="T46" s="68" t="s">
        <v>200</v>
      </c>
      <c r="U46" s="68"/>
      <c r="V46" s="68"/>
      <c r="W46" s="68"/>
      <c r="X46" s="68"/>
      <c r="Y46" s="92"/>
    </row>
    <row r="47" customFormat="false" ht="14.25" hidden="false" customHeight="false" outlineLevel="0" collapsed="false">
      <c r="C47" s="64" t="n">
        <v>42</v>
      </c>
      <c r="D47" s="65" t="s">
        <v>1420</v>
      </c>
      <c r="E47" s="65" t="s">
        <v>831</v>
      </c>
      <c r="F47" s="66" t="n">
        <v>44</v>
      </c>
      <c r="G47" s="67" t="n">
        <v>13.8</v>
      </c>
      <c r="H47" s="67" t="n">
        <v>6.25</v>
      </c>
      <c r="I47" s="68" t="s">
        <v>1368</v>
      </c>
      <c r="J47" s="67" t="n">
        <v>5.77</v>
      </c>
      <c r="K47" s="67" t="n">
        <v>5.77</v>
      </c>
      <c r="L47" s="67" t="n">
        <v>0</v>
      </c>
      <c r="M47" s="67" t="n">
        <v>3</v>
      </c>
      <c r="N47" s="67" t="n">
        <v>-3</v>
      </c>
      <c r="O47" s="67" t="n">
        <v>2.5</v>
      </c>
      <c r="P47" s="67" t="n">
        <v>0</v>
      </c>
      <c r="Q47" s="67"/>
      <c r="R47" s="68" t="s">
        <v>202</v>
      </c>
      <c r="S47" s="69"/>
      <c r="T47" s="68" t="s">
        <v>200</v>
      </c>
      <c r="U47" s="68"/>
      <c r="V47" s="68"/>
      <c r="W47" s="68"/>
      <c r="X47" s="68"/>
      <c r="Y47" s="92"/>
    </row>
    <row r="48" customFormat="false" ht="14.25" hidden="false" customHeight="false" outlineLevel="0" collapsed="false">
      <c r="C48" s="64" t="n">
        <v>43</v>
      </c>
      <c r="D48" s="65" t="s">
        <v>1421</v>
      </c>
      <c r="E48" s="65" t="s">
        <v>1140</v>
      </c>
      <c r="F48" s="66" t="n">
        <v>44</v>
      </c>
      <c r="G48" s="67" t="n">
        <v>13.8</v>
      </c>
      <c r="H48" s="67" t="n">
        <v>6</v>
      </c>
      <c r="I48" s="68" t="s">
        <v>1388</v>
      </c>
      <c r="J48" s="67" t="n">
        <v>7.1</v>
      </c>
      <c r="K48" s="67" t="n">
        <v>7.1</v>
      </c>
      <c r="L48" s="67" t="n">
        <v>0</v>
      </c>
      <c r="M48" s="67" t="n">
        <v>0</v>
      </c>
      <c r="N48" s="67" t="n">
        <v>0</v>
      </c>
      <c r="O48" s="67" t="n">
        <v>0</v>
      </c>
      <c r="P48" s="67" t="n">
        <v>0</v>
      </c>
      <c r="Q48" s="67"/>
      <c r="R48" s="68" t="s">
        <v>202</v>
      </c>
      <c r="S48" s="69"/>
      <c r="T48" s="68" t="s">
        <v>200</v>
      </c>
      <c r="U48" s="68"/>
      <c r="V48" s="68" t="n">
        <v>4.03111111113103</v>
      </c>
      <c r="W48" s="68" t="n">
        <v>4.03111111113103</v>
      </c>
      <c r="X48" s="68" t="n">
        <v>1</v>
      </c>
      <c r="Y48" s="92" t="s">
        <v>1422</v>
      </c>
    </row>
    <row r="49" customFormat="false" ht="14.25" hidden="false" customHeight="false" outlineLevel="0" collapsed="false">
      <c r="C49" s="64" t="n">
        <v>44</v>
      </c>
      <c r="D49" s="65" t="s">
        <v>1421</v>
      </c>
      <c r="E49" s="65" t="s">
        <v>1140</v>
      </c>
      <c r="F49" s="66" t="n">
        <v>44</v>
      </c>
      <c r="G49" s="67" t="n">
        <v>13.8</v>
      </c>
      <c r="H49" s="67" t="n">
        <v>12.5</v>
      </c>
      <c r="I49" s="68" t="s">
        <v>1388</v>
      </c>
      <c r="J49" s="67" t="n">
        <v>6.95</v>
      </c>
      <c r="K49" s="67" t="n">
        <v>6.95</v>
      </c>
      <c r="L49" s="67" t="n">
        <v>0</v>
      </c>
      <c r="M49" s="67" t="n">
        <v>3</v>
      </c>
      <c r="N49" s="67" t="n">
        <v>-3</v>
      </c>
      <c r="O49" s="67" t="n">
        <v>2.5</v>
      </c>
      <c r="P49" s="67" t="n">
        <v>0</v>
      </c>
      <c r="Q49" s="67"/>
      <c r="R49" s="68" t="s">
        <v>771</v>
      </c>
      <c r="S49" s="69" t="n">
        <v>45991</v>
      </c>
      <c r="T49" s="68" t="s">
        <v>200</v>
      </c>
      <c r="U49" s="68"/>
      <c r="V49" s="68"/>
      <c r="W49" s="68"/>
      <c r="X49" s="68"/>
      <c r="Y49" s="92"/>
    </row>
    <row r="50" customFormat="false" ht="14.25" hidden="false" customHeight="false" outlineLevel="0" collapsed="false">
      <c r="C50" s="64" t="n">
        <v>45</v>
      </c>
      <c r="D50" s="65" t="s">
        <v>1423</v>
      </c>
      <c r="E50" s="65" t="s">
        <v>835</v>
      </c>
      <c r="F50" s="66" t="n">
        <v>44</v>
      </c>
      <c r="G50" s="67" t="n">
        <v>13.2</v>
      </c>
      <c r="H50" s="67" t="n">
        <v>4</v>
      </c>
      <c r="I50" s="68" t="s">
        <v>1388</v>
      </c>
      <c r="J50" s="67" t="n">
        <v>8</v>
      </c>
      <c r="K50" s="67" t="n">
        <v>8</v>
      </c>
      <c r="L50" s="67" t="n">
        <v>0</v>
      </c>
      <c r="M50" s="67" t="n">
        <v>2</v>
      </c>
      <c r="N50" s="67" t="n">
        <v>-2</v>
      </c>
      <c r="O50" s="67" t="n">
        <v>2.5</v>
      </c>
      <c r="P50" s="67" t="n">
        <v>0</v>
      </c>
      <c r="Q50" s="67"/>
      <c r="R50" s="68" t="s">
        <v>202</v>
      </c>
      <c r="S50" s="69"/>
      <c r="T50" s="68" t="s">
        <v>200</v>
      </c>
      <c r="U50" s="68"/>
      <c r="V50" s="68"/>
      <c r="W50" s="68"/>
      <c r="X50" s="68"/>
      <c r="Y50" s="92"/>
    </row>
    <row r="51" customFormat="false" ht="14.25" hidden="false" customHeight="false" outlineLevel="0" collapsed="false">
      <c r="C51" s="64" t="n">
        <v>46</v>
      </c>
      <c r="D51" s="65" t="s">
        <v>1424</v>
      </c>
      <c r="E51" s="65" t="s">
        <v>1176</v>
      </c>
      <c r="F51" s="66" t="n">
        <v>44</v>
      </c>
      <c r="G51" s="67" t="n">
        <v>13.8</v>
      </c>
      <c r="H51" s="67" t="n">
        <v>10</v>
      </c>
      <c r="I51" s="68" t="s">
        <v>1368</v>
      </c>
      <c r="J51" s="67" t="n">
        <v>8</v>
      </c>
      <c r="K51" s="67" t="n">
        <v>8</v>
      </c>
      <c r="L51" s="67" t="n">
        <v>0</v>
      </c>
      <c r="M51" s="67" t="n">
        <v>1</v>
      </c>
      <c r="N51" s="67" t="n">
        <v>-3</v>
      </c>
      <c r="O51" s="67" t="n">
        <v>2.5</v>
      </c>
      <c r="P51" s="67" t="n">
        <v>0</v>
      </c>
      <c r="Q51" s="67"/>
      <c r="R51" s="68" t="s">
        <v>202</v>
      </c>
      <c r="S51" s="69"/>
      <c r="T51" s="68" t="s">
        <v>200</v>
      </c>
      <c r="U51" s="68"/>
      <c r="V51" s="68" t="n">
        <v>1.04453252033166</v>
      </c>
      <c r="W51" s="68" t="n">
        <v>7.137638888933</v>
      </c>
      <c r="X51" s="68" t="n">
        <v>6.83333333333333</v>
      </c>
      <c r="Y51" s="92"/>
    </row>
    <row r="52" customFormat="false" ht="14.25" hidden="false" customHeight="false" outlineLevel="0" collapsed="false">
      <c r="C52" s="64" t="n">
        <v>47</v>
      </c>
      <c r="D52" s="65" t="s">
        <v>1425</v>
      </c>
      <c r="E52" s="65" t="s">
        <v>1051</v>
      </c>
      <c r="F52" s="66" t="n">
        <v>44</v>
      </c>
      <c r="G52" s="67" t="n">
        <v>13.8</v>
      </c>
      <c r="H52" s="67" t="n">
        <v>13.3</v>
      </c>
      <c r="I52" s="68" t="s">
        <v>1368</v>
      </c>
      <c r="J52" s="67" t="n">
        <v>7</v>
      </c>
      <c r="K52" s="67" t="n">
        <v>7</v>
      </c>
      <c r="L52" s="67" t="n">
        <v>0</v>
      </c>
      <c r="M52" s="67" t="n">
        <v>2</v>
      </c>
      <c r="N52" s="67" t="n">
        <v>-2</v>
      </c>
      <c r="O52" s="67" t="n">
        <v>2.5</v>
      </c>
      <c r="P52" s="67" t="n">
        <v>0</v>
      </c>
      <c r="Q52" s="67"/>
      <c r="R52" s="68" t="s">
        <v>202</v>
      </c>
      <c r="S52" s="69"/>
      <c r="T52" s="68" t="s">
        <v>200</v>
      </c>
      <c r="U52" s="68"/>
      <c r="V52" s="68" t="n">
        <v>3.10370370368764</v>
      </c>
      <c r="W52" s="68" t="n">
        <v>9.31111111106293</v>
      </c>
      <c r="X52" s="68" t="n">
        <v>3</v>
      </c>
      <c r="Y52" s="92"/>
    </row>
    <row r="53" customFormat="false" ht="14.25" hidden="false" customHeight="false" outlineLevel="0" collapsed="false">
      <c r="C53" s="64" t="n">
        <v>48</v>
      </c>
      <c r="D53" s="65" t="s">
        <v>1426</v>
      </c>
      <c r="E53" s="65" t="s">
        <v>983</v>
      </c>
      <c r="F53" s="66" t="n">
        <v>44</v>
      </c>
      <c r="G53" s="67" t="n">
        <v>13.8</v>
      </c>
      <c r="H53" s="67" t="n">
        <v>20</v>
      </c>
      <c r="I53" s="68" t="s">
        <v>1368</v>
      </c>
      <c r="J53" s="67" t="n">
        <v>8.75</v>
      </c>
      <c r="K53" s="67" t="n">
        <v>8.75</v>
      </c>
      <c r="L53" s="67" t="n">
        <v>0</v>
      </c>
      <c r="M53" s="67" t="n">
        <v>8</v>
      </c>
      <c r="N53" s="67" t="n">
        <v>-12</v>
      </c>
      <c r="O53" s="67" t="n">
        <v>1.25</v>
      </c>
      <c r="P53" s="67" t="n">
        <v>0</v>
      </c>
      <c r="Q53" s="67"/>
      <c r="R53" s="68" t="s">
        <v>202</v>
      </c>
      <c r="S53" s="69"/>
      <c r="T53" s="68" t="s">
        <v>200</v>
      </c>
      <c r="U53" s="68"/>
      <c r="V53" s="68"/>
      <c r="W53" s="68"/>
      <c r="X53" s="68"/>
      <c r="Y53" s="92"/>
    </row>
    <row r="54" customFormat="false" ht="14.25" hidden="false" customHeight="false" outlineLevel="0" collapsed="false">
      <c r="C54" s="64" t="n">
        <v>49</v>
      </c>
      <c r="D54" s="65" t="s">
        <v>1427</v>
      </c>
      <c r="E54" s="65" t="s">
        <v>1428</v>
      </c>
      <c r="F54" s="66" t="n">
        <v>44</v>
      </c>
      <c r="G54" s="67" t="n">
        <v>13.8</v>
      </c>
      <c r="H54" s="67" t="n">
        <v>13.3</v>
      </c>
      <c r="I54" s="68" t="s">
        <v>1371</v>
      </c>
      <c r="J54" s="67" t="n">
        <v>9.04</v>
      </c>
      <c r="K54" s="67" t="n">
        <v>9.04</v>
      </c>
      <c r="L54" s="67" t="n">
        <v>0</v>
      </c>
      <c r="M54" s="67" t="n">
        <v>5</v>
      </c>
      <c r="N54" s="67" t="n">
        <v>-5</v>
      </c>
      <c r="O54" s="67" t="n">
        <v>2.5</v>
      </c>
      <c r="P54" s="67" t="n">
        <v>0</v>
      </c>
      <c r="Q54" s="67"/>
      <c r="R54" s="68" t="s">
        <v>202</v>
      </c>
      <c r="S54" s="69"/>
      <c r="T54" s="68" t="s">
        <v>200</v>
      </c>
      <c r="U54" s="68"/>
      <c r="V54" s="68"/>
      <c r="W54" s="68"/>
      <c r="X54" s="68"/>
      <c r="Y54" s="92"/>
    </row>
    <row r="55" customFormat="false" ht="14.25" hidden="false" customHeight="false" outlineLevel="0" collapsed="false">
      <c r="C55" s="64" t="n">
        <v>50</v>
      </c>
      <c r="D55" s="65" t="s">
        <v>1429</v>
      </c>
      <c r="E55" s="65" t="s">
        <v>927</v>
      </c>
      <c r="F55" s="66" t="n">
        <v>44</v>
      </c>
      <c r="G55" s="67" t="n">
        <v>13.2</v>
      </c>
      <c r="H55" s="67" t="n">
        <v>10</v>
      </c>
      <c r="I55" s="68" t="s">
        <v>1388</v>
      </c>
      <c r="J55" s="67" t="n">
        <v>6.74</v>
      </c>
      <c r="K55" s="67" t="n">
        <v>6.74</v>
      </c>
      <c r="L55" s="67" t="n">
        <v>0</v>
      </c>
      <c r="M55" s="67" t="n">
        <v>4</v>
      </c>
      <c r="N55" s="67" t="n">
        <v>-4</v>
      </c>
      <c r="O55" s="67" t="n">
        <v>2.5</v>
      </c>
      <c r="P55" s="67" t="n">
        <v>0</v>
      </c>
      <c r="Q55" s="67"/>
      <c r="R55" s="68" t="s">
        <v>202</v>
      </c>
      <c r="S55" s="69"/>
      <c r="T55" s="68" t="s">
        <v>200</v>
      </c>
      <c r="U55" s="68"/>
      <c r="V55" s="68" t="n">
        <v>4.54287500000792</v>
      </c>
      <c r="W55" s="68" t="n">
        <v>18.1715000000317</v>
      </c>
      <c r="X55" s="68" t="n">
        <v>4</v>
      </c>
      <c r="Y55" s="92"/>
    </row>
    <row r="56" customFormat="false" ht="14.25" hidden="false" customHeight="false" outlineLevel="0" collapsed="false">
      <c r="C56" s="64" t="n">
        <v>51</v>
      </c>
      <c r="D56" s="65" t="s">
        <v>1430</v>
      </c>
      <c r="E56" s="65" t="s">
        <v>880</v>
      </c>
      <c r="F56" s="66" t="n">
        <v>44</v>
      </c>
      <c r="G56" s="67" t="n">
        <v>13.2</v>
      </c>
      <c r="H56" s="67" t="n">
        <v>10</v>
      </c>
      <c r="I56" s="68" t="s">
        <v>1368</v>
      </c>
      <c r="J56" s="67" t="n">
        <v>7.05</v>
      </c>
      <c r="K56" s="67" t="n">
        <v>7.05</v>
      </c>
      <c r="L56" s="67" t="n">
        <v>0</v>
      </c>
      <c r="M56" s="67" t="n">
        <v>2</v>
      </c>
      <c r="N56" s="67" t="n">
        <v>-2</v>
      </c>
      <c r="O56" s="67" t="n">
        <v>2.5</v>
      </c>
      <c r="P56" s="67" t="n">
        <v>0</v>
      </c>
      <c r="Q56" s="67"/>
      <c r="R56" s="68" t="s">
        <v>202</v>
      </c>
      <c r="S56" s="69"/>
      <c r="T56" s="68" t="s">
        <v>200</v>
      </c>
      <c r="U56" s="68"/>
      <c r="V56" s="68"/>
      <c r="W56" s="68"/>
      <c r="X56" s="68"/>
      <c r="Y56" s="92" t="s">
        <v>1431</v>
      </c>
    </row>
    <row r="57" customFormat="false" ht="14.25" hidden="false" customHeight="false" outlineLevel="0" collapsed="false">
      <c r="C57" s="64" t="n">
        <v>52</v>
      </c>
      <c r="D57" s="65" t="s">
        <v>1430</v>
      </c>
      <c r="E57" s="65" t="s">
        <v>880</v>
      </c>
      <c r="F57" s="66" t="n">
        <v>44</v>
      </c>
      <c r="G57" s="67" t="n">
        <v>13.8</v>
      </c>
      <c r="H57" s="67" t="n">
        <v>20</v>
      </c>
      <c r="I57" s="68" t="s">
        <v>1368</v>
      </c>
      <c r="J57" s="67" t="n">
        <v>9.4</v>
      </c>
      <c r="K57" s="67" t="n">
        <v>9.4</v>
      </c>
      <c r="L57" s="67" t="n">
        <v>0</v>
      </c>
      <c r="M57" s="67" t="n">
        <v>4</v>
      </c>
      <c r="N57" s="67" t="n">
        <v>-4</v>
      </c>
      <c r="O57" s="67" t="n">
        <v>2.5</v>
      </c>
      <c r="P57" s="67" t="n">
        <v>0</v>
      </c>
      <c r="Q57" s="67"/>
      <c r="R57" s="68" t="s">
        <v>771</v>
      </c>
      <c r="S57" s="69" t="n">
        <v>47848</v>
      </c>
      <c r="T57" s="68" t="s">
        <v>200</v>
      </c>
      <c r="U57" s="68"/>
      <c r="V57" s="68"/>
      <c r="W57" s="68"/>
      <c r="X57" s="68"/>
      <c r="Y57" s="92"/>
    </row>
    <row r="58" customFormat="false" ht="14.25" hidden="false" customHeight="false" outlineLevel="0" collapsed="false">
      <c r="C58" s="64" t="n">
        <v>53</v>
      </c>
      <c r="D58" s="65" t="s">
        <v>1432</v>
      </c>
      <c r="E58" s="65" t="s">
        <v>1433</v>
      </c>
      <c r="F58" s="66" t="n">
        <v>110</v>
      </c>
      <c r="G58" s="67" t="n">
        <v>13.2</v>
      </c>
      <c r="H58" s="67" t="n">
        <v>7.5</v>
      </c>
      <c r="I58" s="68" t="s">
        <v>1388</v>
      </c>
      <c r="J58" s="67" t="n">
        <v>8.74</v>
      </c>
      <c r="K58" s="67" t="n">
        <v>8.74</v>
      </c>
      <c r="L58" s="67" t="n">
        <v>0</v>
      </c>
      <c r="M58" s="67" t="n">
        <v>10</v>
      </c>
      <c r="N58" s="67" t="n">
        <v>-10</v>
      </c>
      <c r="O58" s="67" t="n">
        <v>1</v>
      </c>
      <c r="P58" s="67" t="n">
        <v>0</v>
      </c>
      <c r="Q58" s="67"/>
      <c r="R58" s="68" t="s">
        <v>202</v>
      </c>
      <c r="S58" s="69"/>
      <c r="T58" s="68" t="s">
        <v>200</v>
      </c>
      <c r="U58" s="68"/>
      <c r="V58" s="68"/>
      <c r="W58" s="68"/>
      <c r="X58" s="68"/>
      <c r="Y58" s="92"/>
    </row>
    <row r="59" customFormat="false" ht="14.25" hidden="false" customHeight="false" outlineLevel="0" collapsed="false">
      <c r="C59" s="64" t="n">
        <v>54</v>
      </c>
      <c r="D59" s="65" t="s">
        <v>1434</v>
      </c>
      <c r="E59" s="65" t="s">
        <v>1054</v>
      </c>
      <c r="F59" s="66" t="n">
        <v>44</v>
      </c>
      <c r="G59" s="67" t="n">
        <v>13.8</v>
      </c>
      <c r="H59" s="67" t="n">
        <v>10</v>
      </c>
      <c r="I59" s="68" t="s">
        <v>1368</v>
      </c>
      <c r="J59" s="67" t="n">
        <v>7.208</v>
      </c>
      <c r="K59" s="67" t="n">
        <v>7.208</v>
      </c>
      <c r="L59" s="67" t="n">
        <v>0</v>
      </c>
      <c r="M59" s="67" t="n">
        <v>2</v>
      </c>
      <c r="N59" s="67" t="n">
        <v>-2</v>
      </c>
      <c r="O59" s="67" t="n">
        <v>2.5</v>
      </c>
      <c r="P59" s="67" t="n">
        <v>0</v>
      </c>
      <c r="Q59" s="67"/>
      <c r="R59" s="68" t="s">
        <v>202</v>
      </c>
      <c r="S59" s="69"/>
      <c r="T59" s="68" t="s">
        <v>200</v>
      </c>
      <c r="U59" s="68"/>
      <c r="V59" s="68" t="n">
        <v>1.31800925927382</v>
      </c>
      <c r="W59" s="68" t="n">
        <v>6.32644444451435</v>
      </c>
      <c r="X59" s="68" t="n">
        <v>4.8</v>
      </c>
      <c r="Y59" s="92"/>
    </row>
    <row r="60" customFormat="false" ht="14.25" hidden="false" customHeight="false" outlineLevel="0" collapsed="false">
      <c r="C60" s="64" t="n">
        <v>55</v>
      </c>
      <c r="D60" s="65" t="s">
        <v>1435</v>
      </c>
      <c r="E60" s="65" t="s">
        <v>1003</v>
      </c>
      <c r="F60" s="66" t="n">
        <v>230</v>
      </c>
      <c r="G60" s="67" t="n">
        <v>44.5</v>
      </c>
      <c r="H60" s="67" t="n">
        <v>20</v>
      </c>
      <c r="I60" s="68" t="s">
        <v>1436</v>
      </c>
      <c r="J60" s="67" t="n">
        <v>14.4</v>
      </c>
      <c r="K60" s="67" t="n">
        <v>14.4</v>
      </c>
      <c r="L60" s="67" t="n">
        <v>0</v>
      </c>
      <c r="M60" s="67" t="n">
        <v>2</v>
      </c>
      <c r="N60" s="67" t="n">
        <v>-2</v>
      </c>
      <c r="O60" s="67" t="n">
        <v>1.25</v>
      </c>
      <c r="P60" s="67" t="n">
        <v>0</v>
      </c>
      <c r="Q60" s="67"/>
      <c r="R60" s="68" t="s">
        <v>202</v>
      </c>
      <c r="S60" s="69"/>
      <c r="T60" s="68" t="s">
        <v>200</v>
      </c>
      <c r="U60" s="68"/>
      <c r="V60" s="68" t="n">
        <v>5.24138888888109</v>
      </c>
      <c r="W60" s="68" t="n">
        <v>25.3333796295919</v>
      </c>
      <c r="X60" s="68" t="n">
        <v>4.83333333333333</v>
      </c>
      <c r="Y60" s="92"/>
    </row>
    <row r="61" customFormat="false" ht="14.25" hidden="false" customHeight="false" outlineLevel="0" collapsed="false">
      <c r="C61" s="64" t="n">
        <v>56</v>
      </c>
      <c r="D61" s="65" t="s">
        <v>1437</v>
      </c>
      <c r="E61" s="65" t="s">
        <v>1003</v>
      </c>
      <c r="F61" s="66" t="n">
        <v>44</v>
      </c>
      <c r="G61" s="67" t="n">
        <v>13.2</v>
      </c>
      <c r="H61" s="67" t="n">
        <v>10</v>
      </c>
      <c r="I61" s="68" t="s">
        <v>1388</v>
      </c>
      <c r="J61" s="67" t="n">
        <v>7.23</v>
      </c>
      <c r="K61" s="67" t="n">
        <v>7.23</v>
      </c>
      <c r="L61" s="67" t="n">
        <v>0</v>
      </c>
      <c r="M61" s="67" t="n">
        <v>4</v>
      </c>
      <c r="N61" s="67" t="n">
        <v>-4</v>
      </c>
      <c r="O61" s="67" t="n">
        <v>1.25</v>
      </c>
      <c r="P61" s="67" t="n">
        <v>0</v>
      </c>
      <c r="Q61" s="67"/>
      <c r="R61" s="68" t="s">
        <v>202</v>
      </c>
      <c r="S61" s="69"/>
      <c r="T61" s="68" t="s">
        <v>200</v>
      </c>
      <c r="U61" s="68"/>
      <c r="V61" s="68" t="n">
        <v>1.42162037036906</v>
      </c>
      <c r="W61" s="68" t="n">
        <v>4.26486111110717</v>
      </c>
      <c r="X61" s="68" t="n">
        <v>3</v>
      </c>
      <c r="Y61" s="92"/>
    </row>
    <row r="62" customFormat="false" ht="14.25" hidden="false" customHeight="false" outlineLevel="0" collapsed="false">
      <c r="A62" s="45"/>
      <c r="C62" s="64" t="n">
        <v>57</v>
      </c>
      <c r="D62" s="65" t="s">
        <v>1438</v>
      </c>
      <c r="E62" s="65" t="s">
        <v>935</v>
      </c>
      <c r="F62" s="66" t="n">
        <v>110</v>
      </c>
      <c r="G62" s="67" t="n">
        <v>46</v>
      </c>
      <c r="H62" s="67" t="n">
        <v>60</v>
      </c>
      <c r="I62" s="68" t="s">
        <v>1371</v>
      </c>
      <c r="J62" s="67" t="n">
        <v>10.5</v>
      </c>
      <c r="K62" s="67" t="n">
        <v>10.54</v>
      </c>
      <c r="L62" s="67" t="n">
        <v>0</v>
      </c>
      <c r="M62" s="67" t="n">
        <v>8</v>
      </c>
      <c r="N62" s="67" t="n">
        <v>-8</v>
      </c>
      <c r="O62" s="67" t="n">
        <v>1.25</v>
      </c>
      <c r="P62" s="67" t="n">
        <v>0</v>
      </c>
      <c r="Q62" s="67"/>
      <c r="R62" s="68" t="s">
        <v>771</v>
      </c>
      <c r="S62" s="69" t="n">
        <v>46387</v>
      </c>
      <c r="T62" s="68" t="s">
        <v>200</v>
      </c>
      <c r="U62" s="68"/>
      <c r="V62" s="68"/>
      <c r="W62" s="68"/>
      <c r="X62" s="68"/>
      <c r="Y62" s="92"/>
    </row>
    <row r="63" customFormat="false" ht="14.25" hidden="false" customHeight="false" outlineLevel="0" collapsed="false">
      <c r="A63" s="45"/>
      <c r="C63" s="64" t="n">
        <v>58</v>
      </c>
      <c r="D63" s="65" t="s">
        <v>1439</v>
      </c>
      <c r="E63" s="65" t="s">
        <v>935</v>
      </c>
      <c r="F63" s="66" t="n">
        <v>44</v>
      </c>
      <c r="G63" s="67" t="n">
        <v>13.8</v>
      </c>
      <c r="H63" s="67" t="n">
        <v>20</v>
      </c>
      <c r="I63" s="68" t="s">
        <v>1368</v>
      </c>
      <c r="J63" s="67" t="n">
        <v>9.01</v>
      </c>
      <c r="K63" s="67" t="n">
        <v>8.98</v>
      </c>
      <c r="L63" s="67" t="n">
        <v>0</v>
      </c>
      <c r="M63" s="67" t="n">
        <v>8</v>
      </c>
      <c r="N63" s="67" t="n">
        <v>-8</v>
      </c>
      <c r="O63" s="67" t="n">
        <v>1.25</v>
      </c>
      <c r="P63" s="67" t="n">
        <v>0</v>
      </c>
      <c r="Q63" s="67"/>
      <c r="R63" s="68" t="s">
        <v>771</v>
      </c>
      <c r="S63" s="69" t="n">
        <v>46387</v>
      </c>
      <c r="T63" s="68" t="s">
        <v>200</v>
      </c>
      <c r="U63" s="68"/>
      <c r="V63" s="68"/>
      <c r="W63" s="68"/>
      <c r="X63" s="68"/>
      <c r="Y63" s="92"/>
    </row>
    <row r="64" customFormat="false" ht="14.25" hidden="false" customHeight="false" outlineLevel="0" collapsed="false">
      <c r="C64" s="64" t="n">
        <v>59</v>
      </c>
      <c r="D64" s="65" t="s">
        <v>1440</v>
      </c>
      <c r="E64" s="65" t="s">
        <v>1074</v>
      </c>
      <c r="F64" s="66" t="n">
        <v>44</v>
      </c>
      <c r="G64" s="67" t="n">
        <v>13.8</v>
      </c>
      <c r="H64" s="67" t="n">
        <v>20</v>
      </c>
      <c r="I64" s="68" t="s">
        <v>1368</v>
      </c>
      <c r="J64" s="67" t="n">
        <v>6.91</v>
      </c>
      <c r="K64" s="67" t="n">
        <v>6.91</v>
      </c>
      <c r="L64" s="67" t="n">
        <v>0</v>
      </c>
      <c r="M64" s="67" t="n">
        <v>10</v>
      </c>
      <c r="N64" s="67" t="n">
        <v>-10</v>
      </c>
      <c r="O64" s="67" t="n">
        <v>1.25</v>
      </c>
      <c r="P64" s="67" t="n">
        <v>0</v>
      </c>
      <c r="Q64" s="67"/>
      <c r="R64" s="68" t="s">
        <v>202</v>
      </c>
      <c r="S64" s="69"/>
      <c r="T64" s="68" t="s">
        <v>200</v>
      </c>
      <c r="U64" s="68"/>
      <c r="V64" s="68" t="n">
        <v>85.6373412698408</v>
      </c>
      <c r="W64" s="68" t="n">
        <v>119.892277777777</v>
      </c>
      <c r="X64" s="68" t="n">
        <v>1.4</v>
      </c>
      <c r="Y64" s="92"/>
    </row>
    <row r="65" customFormat="false" ht="14.25" hidden="false" customHeight="false" outlineLevel="0" collapsed="false">
      <c r="C65" s="64" t="n">
        <v>60</v>
      </c>
      <c r="D65" s="65" t="s">
        <v>1441</v>
      </c>
      <c r="E65" s="65" t="s">
        <v>1182</v>
      </c>
      <c r="F65" s="66" t="n">
        <v>44</v>
      </c>
      <c r="G65" s="67" t="n">
        <v>13.8</v>
      </c>
      <c r="H65" s="67" t="n">
        <v>2</v>
      </c>
      <c r="I65" s="68" t="s">
        <v>1368</v>
      </c>
      <c r="J65" s="67" t="n">
        <v>6.09</v>
      </c>
      <c r="K65" s="67" t="n">
        <v>6.09</v>
      </c>
      <c r="L65" s="67" t="n">
        <v>0</v>
      </c>
      <c r="M65" s="67" t="n">
        <v>4</v>
      </c>
      <c r="N65" s="67" t="n">
        <v>-4</v>
      </c>
      <c r="O65" s="67" t="n">
        <v>2.5</v>
      </c>
      <c r="P65" s="67" t="n">
        <v>0</v>
      </c>
      <c r="Q65" s="67"/>
      <c r="R65" s="68" t="s">
        <v>202</v>
      </c>
      <c r="S65" s="69"/>
      <c r="T65" s="68" t="s">
        <v>200</v>
      </c>
      <c r="U65" s="68"/>
      <c r="V65" s="68"/>
      <c r="W65" s="68"/>
      <c r="X65" s="68"/>
      <c r="Y65" s="92"/>
    </row>
    <row r="66" customFormat="false" ht="14.25" hidden="false" customHeight="false" outlineLevel="0" collapsed="false">
      <c r="C66" s="64" t="n">
        <v>61</v>
      </c>
      <c r="D66" s="65" t="s">
        <v>1442</v>
      </c>
      <c r="E66" s="65" t="s">
        <v>1123</v>
      </c>
      <c r="F66" s="66" t="n">
        <v>115</v>
      </c>
      <c r="G66" s="67" t="n">
        <v>13.8</v>
      </c>
      <c r="H66" s="67" t="n">
        <v>15</v>
      </c>
      <c r="I66" s="68" t="s">
        <v>1390</v>
      </c>
      <c r="J66" s="67" t="n">
        <v>9.86</v>
      </c>
      <c r="K66" s="67" t="n">
        <v>9.86</v>
      </c>
      <c r="L66" s="67" t="n">
        <v>0</v>
      </c>
      <c r="M66" s="67" t="n">
        <v>8</v>
      </c>
      <c r="N66" s="67" t="n">
        <v>-8</v>
      </c>
      <c r="O66" s="67" t="n">
        <v>1.25</v>
      </c>
      <c r="P66" s="67" t="n">
        <v>0</v>
      </c>
      <c r="Q66" s="67"/>
      <c r="R66" s="68" t="s">
        <v>202</v>
      </c>
      <c r="S66" s="69"/>
      <c r="T66" s="68" t="s">
        <v>200</v>
      </c>
      <c r="U66" s="68"/>
      <c r="V66" s="68" t="n">
        <v>1.71211111</v>
      </c>
      <c r="W66" s="68" t="n">
        <v>8.56055555</v>
      </c>
      <c r="X66" s="68" t="n">
        <v>5</v>
      </c>
      <c r="Y66" s="92"/>
    </row>
    <row r="67" customFormat="false" ht="14.25" hidden="false" customHeight="false" outlineLevel="0" collapsed="false">
      <c r="C67" s="64" t="n">
        <v>62</v>
      </c>
      <c r="D67" s="65" t="s">
        <v>1443</v>
      </c>
      <c r="E67" s="65" t="s">
        <v>1123</v>
      </c>
      <c r="F67" s="66" t="n">
        <v>46</v>
      </c>
      <c r="G67" s="67" t="n">
        <v>13.8</v>
      </c>
      <c r="H67" s="67" t="n">
        <v>10</v>
      </c>
      <c r="I67" s="68" t="s">
        <v>1371</v>
      </c>
      <c r="J67" s="67" t="n">
        <v>7.19</v>
      </c>
      <c r="K67" s="67" t="n">
        <v>7.19</v>
      </c>
      <c r="L67" s="67" t="n">
        <v>0</v>
      </c>
      <c r="M67" s="67" t="n">
        <v>8</v>
      </c>
      <c r="N67" s="67" t="n">
        <v>-8</v>
      </c>
      <c r="O67" s="67" t="n">
        <v>0.7217</v>
      </c>
      <c r="P67" s="67" t="n">
        <v>0</v>
      </c>
      <c r="Q67" s="67"/>
      <c r="R67" s="68" t="s">
        <v>202</v>
      </c>
      <c r="S67" s="69"/>
      <c r="T67" s="68" t="s">
        <v>200</v>
      </c>
      <c r="U67" s="68"/>
      <c r="V67" s="68"/>
      <c r="W67" s="68"/>
      <c r="X67" s="68"/>
      <c r="Y67" s="92" t="s">
        <v>1444</v>
      </c>
    </row>
    <row r="68" customFormat="false" ht="14.25" hidden="false" customHeight="false" outlineLevel="0" collapsed="false">
      <c r="C68" s="64" t="n">
        <v>63</v>
      </c>
      <c r="D68" s="65" t="s">
        <v>1445</v>
      </c>
      <c r="E68" s="65" t="s">
        <v>1199</v>
      </c>
      <c r="F68" s="66" t="n">
        <v>112</v>
      </c>
      <c r="G68" s="67" t="n">
        <v>46</v>
      </c>
      <c r="H68" s="67" t="n">
        <v>40</v>
      </c>
      <c r="I68" s="68" t="s">
        <v>1390</v>
      </c>
      <c r="J68" s="67" t="n">
        <v>11.88</v>
      </c>
      <c r="K68" s="67" t="n">
        <v>11.286</v>
      </c>
      <c r="L68" s="67" t="n">
        <v>0</v>
      </c>
      <c r="M68" s="67" t="n">
        <v>8</v>
      </c>
      <c r="N68" s="67" t="n">
        <v>-8</v>
      </c>
      <c r="O68" s="67" t="n">
        <v>1.25</v>
      </c>
      <c r="P68" s="67" t="n">
        <v>0</v>
      </c>
      <c r="Q68" s="67"/>
      <c r="R68" s="68" t="s">
        <v>202</v>
      </c>
      <c r="S68" s="69"/>
      <c r="T68" s="68" t="s">
        <v>200</v>
      </c>
      <c r="U68" s="68"/>
      <c r="V68" s="68" t="n">
        <v>13.6439444</v>
      </c>
      <c r="W68" s="68" t="n">
        <v>32.74546656</v>
      </c>
      <c r="X68" s="68" t="n">
        <v>2.4</v>
      </c>
      <c r="Y68" s="92"/>
    </row>
    <row r="69" customFormat="false" ht="14.25" hidden="false" customHeight="false" outlineLevel="0" collapsed="false">
      <c r="C69" s="64" t="n">
        <v>64</v>
      </c>
      <c r="D69" s="65" t="s">
        <v>1446</v>
      </c>
      <c r="E69" s="65" t="s">
        <v>956</v>
      </c>
      <c r="F69" s="66" t="n">
        <v>44</v>
      </c>
      <c r="G69" s="67" t="n">
        <v>13.2</v>
      </c>
      <c r="H69" s="67" t="n">
        <v>4</v>
      </c>
      <c r="I69" s="68" t="s">
        <v>1368</v>
      </c>
      <c r="J69" s="67" t="n">
        <v>7.37</v>
      </c>
      <c r="K69" s="67" t="n">
        <v>7.37</v>
      </c>
      <c r="L69" s="67" t="n">
        <v>0</v>
      </c>
      <c r="M69" s="67" t="n">
        <v>2</v>
      </c>
      <c r="N69" s="67" t="n">
        <v>-2</v>
      </c>
      <c r="O69" s="67" t="n">
        <v>2.5</v>
      </c>
      <c r="P69" s="67" t="n">
        <v>0</v>
      </c>
      <c r="Q69" s="67"/>
      <c r="R69" s="68" t="s">
        <v>202</v>
      </c>
      <c r="S69" s="69"/>
      <c r="T69" s="68" t="s">
        <v>200</v>
      </c>
      <c r="U69" s="68"/>
      <c r="V69" s="68" t="n">
        <v>2.29775419287419</v>
      </c>
      <c r="W69" s="68" t="n">
        <v>40.593657407444</v>
      </c>
      <c r="X69" s="68" t="n">
        <v>17.6666666666667</v>
      </c>
      <c r="Y69" s="92"/>
    </row>
    <row r="70" customFormat="false" ht="14.25" hidden="false" customHeight="false" outlineLevel="0" collapsed="false">
      <c r="C70" s="64" t="n">
        <v>65</v>
      </c>
      <c r="D70" s="65" t="s">
        <v>1447</v>
      </c>
      <c r="E70" s="65" t="s">
        <v>1448</v>
      </c>
      <c r="F70" s="66" t="n">
        <v>44</v>
      </c>
      <c r="G70" s="67" t="n">
        <v>13.8</v>
      </c>
      <c r="H70" s="67" t="n">
        <v>5</v>
      </c>
      <c r="I70" s="68" t="s">
        <v>1368</v>
      </c>
      <c r="J70" s="67" t="n">
        <v>9.438</v>
      </c>
      <c r="K70" s="67" t="n">
        <v>9.438</v>
      </c>
      <c r="L70" s="67" t="n">
        <v>0</v>
      </c>
      <c r="M70" s="67" t="n">
        <v>3</v>
      </c>
      <c r="N70" s="67" t="n">
        <v>-3</v>
      </c>
      <c r="O70" s="67" t="n">
        <v>2.5</v>
      </c>
      <c r="P70" s="67" t="n">
        <v>0</v>
      </c>
      <c r="Q70" s="67"/>
      <c r="R70" s="68" t="s">
        <v>202</v>
      </c>
      <c r="S70" s="69"/>
      <c r="T70" s="68" t="s">
        <v>200</v>
      </c>
      <c r="U70" s="68"/>
      <c r="V70" s="68"/>
      <c r="W70" s="68"/>
      <c r="X70" s="68"/>
      <c r="Y70" s="92"/>
    </row>
    <row r="71" customFormat="false" ht="14.25" hidden="false" customHeight="false" outlineLevel="0" collapsed="false">
      <c r="C71" s="64" t="n">
        <v>66</v>
      </c>
      <c r="D71" s="65" t="s">
        <v>1449</v>
      </c>
      <c r="E71" s="65" t="s">
        <v>883</v>
      </c>
      <c r="F71" s="66" t="n">
        <v>44</v>
      </c>
      <c r="G71" s="67" t="n">
        <v>13.8</v>
      </c>
      <c r="H71" s="67" t="n">
        <v>10</v>
      </c>
      <c r="I71" s="68" t="s">
        <v>1368</v>
      </c>
      <c r="J71" s="67" t="n">
        <v>5.329</v>
      </c>
      <c r="K71" s="67" t="n">
        <v>5.329</v>
      </c>
      <c r="L71" s="67" t="n">
        <v>0</v>
      </c>
      <c r="M71" s="67" t="n">
        <v>2</v>
      </c>
      <c r="N71" s="67" t="n">
        <v>-2</v>
      </c>
      <c r="O71" s="67" t="n">
        <v>2.5</v>
      </c>
      <c r="P71" s="67" t="n">
        <v>0</v>
      </c>
      <c r="Q71" s="67"/>
      <c r="R71" s="68" t="s">
        <v>202</v>
      </c>
      <c r="S71" s="69"/>
      <c r="T71" s="68" t="s">
        <v>200</v>
      </c>
      <c r="U71" s="68"/>
      <c r="V71" s="68" t="n">
        <v>1.03058712120401</v>
      </c>
      <c r="W71" s="68" t="n">
        <v>9.06916666659527</v>
      </c>
      <c r="X71" s="68" t="n">
        <v>8.8</v>
      </c>
      <c r="Y71" s="92" t="s">
        <v>1450</v>
      </c>
    </row>
    <row r="72" customFormat="false" ht="14.25" hidden="false" customHeight="false" outlineLevel="0" collapsed="false">
      <c r="C72" s="64" t="n">
        <v>67</v>
      </c>
      <c r="D72" s="65" t="s">
        <v>1449</v>
      </c>
      <c r="E72" s="65" t="s">
        <v>883</v>
      </c>
      <c r="F72" s="66" t="n">
        <v>44</v>
      </c>
      <c r="G72" s="67" t="n">
        <v>13.8</v>
      </c>
      <c r="H72" s="67" t="n">
        <v>13.3</v>
      </c>
      <c r="I72" s="68" t="s">
        <v>1368</v>
      </c>
      <c r="J72" s="67" t="n">
        <v>8.605</v>
      </c>
      <c r="K72" s="67" t="n">
        <v>8.605</v>
      </c>
      <c r="L72" s="67" t="n">
        <v>0</v>
      </c>
      <c r="M72" s="67" t="n">
        <v>8</v>
      </c>
      <c r="N72" s="67" t="n">
        <v>-8</v>
      </c>
      <c r="O72" s="67" t="n">
        <v>1.25</v>
      </c>
      <c r="P72" s="67" t="n">
        <v>0</v>
      </c>
      <c r="Q72" s="67"/>
      <c r="R72" s="68" t="s">
        <v>771</v>
      </c>
      <c r="S72" s="69" t="n">
        <v>47848</v>
      </c>
      <c r="T72" s="68" t="s">
        <v>200</v>
      </c>
      <c r="U72" s="68"/>
      <c r="V72" s="68"/>
      <c r="W72" s="68"/>
      <c r="X72" s="68"/>
      <c r="Y72" s="92"/>
    </row>
    <row r="73" customFormat="false" ht="14.25" hidden="false" customHeight="false" outlineLevel="0" collapsed="false">
      <c r="C73" s="64" t="n">
        <v>68</v>
      </c>
      <c r="D73" s="65" t="s">
        <v>1451</v>
      </c>
      <c r="E73" s="65" t="s">
        <v>1148</v>
      </c>
      <c r="F73" s="66" t="n">
        <v>44</v>
      </c>
      <c r="G73" s="67" t="n">
        <v>13.8</v>
      </c>
      <c r="H73" s="67" t="n">
        <v>2</v>
      </c>
      <c r="I73" s="68" t="s">
        <v>1368</v>
      </c>
      <c r="J73" s="67" t="n">
        <v>5.88</v>
      </c>
      <c r="K73" s="67" t="n">
        <v>5.88</v>
      </c>
      <c r="L73" s="67" t="n">
        <v>0</v>
      </c>
      <c r="M73" s="67" t="n">
        <v>2</v>
      </c>
      <c r="N73" s="67" t="n">
        <v>-2</v>
      </c>
      <c r="O73" s="67" t="n">
        <v>2.5</v>
      </c>
      <c r="P73" s="67" t="n">
        <v>0</v>
      </c>
      <c r="Q73" s="67"/>
      <c r="R73" s="68" t="s">
        <v>202</v>
      </c>
      <c r="S73" s="69"/>
      <c r="T73" s="68" t="s">
        <v>200</v>
      </c>
      <c r="U73" s="68"/>
      <c r="V73" s="68"/>
      <c r="W73" s="68"/>
      <c r="X73" s="68"/>
      <c r="Y73" s="92"/>
    </row>
    <row r="74" customFormat="false" ht="14.25" hidden="false" customHeight="false" outlineLevel="0" collapsed="false">
      <c r="C74" s="64" t="n">
        <v>69</v>
      </c>
      <c r="D74" s="65" t="s">
        <v>1452</v>
      </c>
      <c r="E74" s="65" t="s">
        <v>800</v>
      </c>
      <c r="F74" s="66" t="n">
        <v>44</v>
      </c>
      <c r="G74" s="67" t="n">
        <v>13.8</v>
      </c>
      <c r="H74" s="67" t="n">
        <v>3.75</v>
      </c>
      <c r="I74" s="68" t="s">
        <v>1368</v>
      </c>
      <c r="J74" s="67" t="n">
        <v>6.75</v>
      </c>
      <c r="K74" s="67" t="n">
        <v>6.75</v>
      </c>
      <c r="L74" s="67" t="n">
        <v>0</v>
      </c>
      <c r="M74" s="67" t="n">
        <v>2</v>
      </c>
      <c r="N74" s="67" t="n">
        <v>-2</v>
      </c>
      <c r="O74" s="67" t="n">
        <v>2.5</v>
      </c>
      <c r="P74" s="67" t="n">
        <v>0</v>
      </c>
      <c r="Q74" s="67"/>
      <c r="R74" s="68" t="s">
        <v>202</v>
      </c>
      <c r="S74" s="69"/>
      <c r="T74" s="68" t="s">
        <v>200</v>
      </c>
      <c r="U74" s="68"/>
      <c r="V74" s="68"/>
      <c r="W74" s="68"/>
      <c r="X74" s="68"/>
      <c r="Y74" s="92"/>
    </row>
    <row r="75" customFormat="false" ht="14.25" hidden="false" customHeight="false" outlineLevel="0" collapsed="false">
      <c r="C75" s="64" t="n">
        <v>70</v>
      </c>
      <c r="D75" s="65" t="s">
        <v>1453</v>
      </c>
      <c r="E75" s="65" t="s">
        <v>1046</v>
      </c>
      <c r="F75" s="66" t="n">
        <v>110</v>
      </c>
      <c r="G75" s="67" t="n">
        <v>46</v>
      </c>
      <c r="H75" s="67" t="n">
        <v>60</v>
      </c>
      <c r="I75" s="68" t="s">
        <v>1368</v>
      </c>
      <c r="J75" s="67" t="n">
        <v>10.5</v>
      </c>
      <c r="K75" s="67" t="n">
        <v>10.5</v>
      </c>
      <c r="L75" s="67" t="n">
        <v>0</v>
      </c>
      <c r="M75" s="67" t="n">
        <v>8</v>
      </c>
      <c r="N75" s="67" t="n">
        <v>-12</v>
      </c>
      <c r="O75" s="67" t="n">
        <v>1.25</v>
      </c>
      <c r="P75" s="67" t="n">
        <v>0</v>
      </c>
      <c r="Q75" s="67"/>
      <c r="R75" s="68" t="s">
        <v>202</v>
      </c>
      <c r="S75" s="69"/>
      <c r="T75" s="68" t="s">
        <v>200</v>
      </c>
      <c r="U75" s="68"/>
      <c r="V75" s="68" t="n">
        <v>14.0203889</v>
      </c>
      <c r="W75" s="68" t="n">
        <v>44.86524448</v>
      </c>
      <c r="X75" s="68" t="n">
        <v>3.2</v>
      </c>
      <c r="Y75" s="92"/>
    </row>
    <row r="76" customFormat="false" ht="14.25" hidden="false" customHeight="false" outlineLevel="0" collapsed="false">
      <c r="C76" s="64" t="n">
        <v>71</v>
      </c>
      <c r="D76" s="65" t="s">
        <v>1454</v>
      </c>
      <c r="E76" s="65" t="s">
        <v>1046</v>
      </c>
      <c r="F76" s="66" t="n">
        <v>110</v>
      </c>
      <c r="G76" s="67" t="n">
        <v>13.2</v>
      </c>
      <c r="H76" s="67" t="n">
        <v>37.5</v>
      </c>
      <c r="I76" s="68" t="s">
        <v>1368</v>
      </c>
      <c r="J76" s="67" t="n">
        <v>10.18</v>
      </c>
      <c r="K76" s="67" t="n">
        <v>10.18</v>
      </c>
      <c r="L76" s="67" t="n">
        <v>0</v>
      </c>
      <c r="M76" s="67" t="n">
        <v>8</v>
      </c>
      <c r="N76" s="67" t="n">
        <v>-8</v>
      </c>
      <c r="O76" s="67" t="n">
        <v>1.25</v>
      </c>
      <c r="P76" s="67" t="n">
        <v>0</v>
      </c>
      <c r="Q76" s="67"/>
      <c r="R76" s="68" t="s">
        <v>771</v>
      </c>
      <c r="S76" s="69" t="n">
        <v>46022</v>
      </c>
      <c r="T76" s="68" t="s">
        <v>200</v>
      </c>
      <c r="U76" s="68"/>
      <c r="V76" s="68"/>
      <c r="W76" s="68"/>
      <c r="X76" s="68"/>
      <c r="Y76" s="92"/>
    </row>
    <row r="77" customFormat="false" ht="14.25" hidden="false" customHeight="false" outlineLevel="0" collapsed="false">
      <c r="C77" s="64" t="n">
        <v>72</v>
      </c>
      <c r="D77" s="65" t="s">
        <v>1455</v>
      </c>
      <c r="E77" s="65" t="s">
        <v>1046</v>
      </c>
      <c r="F77" s="66" t="n">
        <v>44</v>
      </c>
      <c r="G77" s="67" t="n">
        <v>13.8</v>
      </c>
      <c r="H77" s="67" t="n">
        <v>20</v>
      </c>
      <c r="I77" s="68" t="s">
        <v>1368</v>
      </c>
      <c r="J77" s="67" t="n">
        <v>8.625</v>
      </c>
      <c r="K77" s="67" t="n">
        <v>8.625</v>
      </c>
      <c r="L77" s="67" t="n">
        <v>0</v>
      </c>
      <c r="M77" s="67" t="n">
        <v>10</v>
      </c>
      <c r="N77" s="67" t="n">
        <v>-10</v>
      </c>
      <c r="O77" s="67" t="n">
        <v>1.25</v>
      </c>
      <c r="P77" s="67" t="n">
        <v>0</v>
      </c>
      <c r="Q77" s="67"/>
      <c r="R77" s="68" t="s">
        <v>202</v>
      </c>
      <c r="S77" s="69"/>
      <c r="T77" s="68" t="s">
        <v>200</v>
      </c>
      <c r="U77" s="68"/>
      <c r="V77" s="68" t="n">
        <v>2.16866666663555</v>
      </c>
      <c r="W77" s="68" t="n">
        <v>8.67466666654218</v>
      </c>
      <c r="X77" s="68" t="n">
        <v>4</v>
      </c>
      <c r="Y77" s="92"/>
    </row>
    <row r="78" customFormat="false" ht="14.25" hidden="false" customHeight="false" outlineLevel="0" collapsed="false">
      <c r="C78" s="64" t="n">
        <v>73</v>
      </c>
      <c r="D78" s="65" t="s">
        <v>1456</v>
      </c>
      <c r="E78" s="65" t="s">
        <v>974</v>
      </c>
      <c r="F78" s="66" t="n">
        <v>44</v>
      </c>
      <c r="G78" s="67" t="n">
        <v>13.8</v>
      </c>
      <c r="H78" s="67" t="n">
        <v>20</v>
      </c>
      <c r="I78" s="68" t="s">
        <v>1368</v>
      </c>
      <c r="J78" s="67" t="n">
        <v>8.75</v>
      </c>
      <c r="K78" s="67" t="n">
        <v>8.75</v>
      </c>
      <c r="L78" s="67" t="n">
        <v>0</v>
      </c>
      <c r="M78" s="67" t="n">
        <v>8</v>
      </c>
      <c r="N78" s="67" t="n">
        <v>-12</v>
      </c>
      <c r="O78" s="67" t="n">
        <v>1.25</v>
      </c>
      <c r="P78" s="67" t="n">
        <v>0</v>
      </c>
      <c r="Q78" s="67"/>
      <c r="R78" s="68" t="s">
        <v>202</v>
      </c>
      <c r="S78" s="69"/>
      <c r="T78" s="68" t="s">
        <v>200</v>
      </c>
      <c r="U78" s="68"/>
      <c r="V78" s="68" t="n">
        <v>5.58183531745453</v>
      </c>
      <c r="W78" s="68" t="n">
        <v>31.2582777777454</v>
      </c>
      <c r="X78" s="68" t="n">
        <v>5.6</v>
      </c>
      <c r="Y78" s="92"/>
    </row>
    <row r="79" customFormat="false" ht="14.25" hidden="false" customHeight="false" outlineLevel="0" collapsed="false">
      <c r="C79" s="64" t="n">
        <v>74</v>
      </c>
      <c r="D79" s="65" t="s">
        <v>1457</v>
      </c>
      <c r="E79" s="65" t="s">
        <v>1458</v>
      </c>
      <c r="F79" s="66" t="n">
        <v>46</v>
      </c>
      <c r="G79" s="67" t="n">
        <v>13.8</v>
      </c>
      <c r="H79" s="67" t="n">
        <v>20</v>
      </c>
      <c r="I79" s="68" t="s">
        <v>1388</v>
      </c>
      <c r="J79" s="67" t="n">
        <v>7.67</v>
      </c>
      <c r="K79" s="67" t="n">
        <v>7.67</v>
      </c>
      <c r="L79" s="67" t="n">
        <v>0</v>
      </c>
      <c r="M79" s="67" t="n">
        <v>10</v>
      </c>
      <c r="N79" s="67" t="n">
        <v>-10</v>
      </c>
      <c r="O79" s="67" t="n">
        <v>1.25</v>
      </c>
      <c r="P79" s="67" t="n">
        <v>0</v>
      </c>
      <c r="Q79" s="67"/>
      <c r="R79" s="68" t="s">
        <v>202</v>
      </c>
      <c r="S79" s="69"/>
      <c r="T79" s="68" t="s">
        <v>200</v>
      </c>
      <c r="U79" s="68"/>
      <c r="V79" s="68" t="n">
        <v>3.41595899471265</v>
      </c>
      <c r="W79" s="68" t="n">
        <v>35.8675694444828</v>
      </c>
      <c r="X79" s="68" t="n">
        <v>10.5</v>
      </c>
      <c r="Y79" s="92"/>
    </row>
    <row r="80" customFormat="false" ht="14.25" hidden="false" customHeight="false" outlineLevel="0" collapsed="false">
      <c r="C80" s="64" t="n">
        <v>75</v>
      </c>
      <c r="D80" s="65" t="s">
        <v>1459</v>
      </c>
      <c r="E80" s="65" t="s">
        <v>1189</v>
      </c>
      <c r="F80" s="66" t="n">
        <v>44</v>
      </c>
      <c r="G80" s="67" t="n">
        <v>13.2</v>
      </c>
      <c r="H80" s="67" t="n">
        <v>10</v>
      </c>
      <c r="I80" s="68" t="s">
        <v>1368</v>
      </c>
      <c r="J80" s="67" t="n">
        <v>9</v>
      </c>
      <c r="K80" s="67" t="n">
        <v>9</v>
      </c>
      <c r="L80" s="67" t="n">
        <v>0</v>
      </c>
      <c r="M80" s="67" t="n">
        <v>2</v>
      </c>
      <c r="N80" s="67" t="n">
        <v>-2</v>
      </c>
      <c r="O80" s="67" t="n">
        <v>2.5</v>
      </c>
      <c r="P80" s="67" t="n">
        <v>0</v>
      </c>
      <c r="Q80" s="67"/>
      <c r="R80" s="68" t="s">
        <v>202</v>
      </c>
      <c r="S80" s="69"/>
      <c r="T80" s="68" t="s">
        <v>200</v>
      </c>
      <c r="U80" s="68"/>
      <c r="V80" s="68"/>
      <c r="W80" s="68"/>
      <c r="X80" s="68"/>
      <c r="Y80" s="92"/>
    </row>
    <row r="81" customFormat="false" ht="14.25" hidden="false" customHeight="false" outlineLevel="0" collapsed="false">
      <c r="C81" s="64" t="n">
        <v>76</v>
      </c>
      <c r="D81" s="65" t="s">
        <v>1460</v>
      </c>
      <c r="E81" s="65" t="s">
        <v>916</v>
      </c>
      <c r="F81" s="66" t="n">
        <v>44</v>
      </c>
      <c r="G81" s="67" t="n">
        <v>13.8</v>
      </c>
      <c r="H81" s="67" t="n">
        <v>5</v>
      </c>
      <c r="I81" s="68" t="s">
        <v>1368</v>
      </c>
      <c r="J81" s="67" t="n">
        <v>5.97</v>
      </c>
      <c r="K81" s="67" t="n">
        <v>5.97</v>
      </c>
      <c r="L81" s="67" t="n">
        <v>0</v>
      </c>
      <c r="M81" s="67" t="n">
        <v>2</v>
      </c>
      <c r="N81" s="67" t="n">
        <v>-4</v>
      </c>
      <c r="O81" s="67" t="n">
        <v>2.5</v>
      </c>
      <c r="P81" s="67" t="n">
        <v>0</v>
      </c>
      <c r="Q81" s="67"/>
      <c r="R81" s="68" t="s">
        <v>202</v>
      </c>
      <c r="S81" s="69"/>
      <c r="T81" s="68" t="s">
        <v>200</v>
      </c>
      <c r="U81" s="68"/>
      <c r="V81" s="68"/>
      <c r="W81" s="68"/>
      <c r="X81" s="68"/>
      <c r="Y81" s="92"/>
    </row>
    <row r="82" customFormat="false" ht="14.25" hidden="false" customHeight="false" outlineLevel="0" collapsed="false">
      <c r="C82" s="64" t="n">
        <v>77</v>
      </c>
      <c r="D82" s="65" t="s">
        <v>1461</v>
      </c>
      <c r="E82" s="65" t="s">
        <v>1057</v>
      </c>
      <c r="F82" s="66" t="n">
        <v>44</v>
      </c>
      <c r="G82" s="67" t="n">
        <v>13.8</v>
      </c>
      <c r="H82" s="67" t="n">
        <v>10</v>
      </c>
      <c r="I82" s="68" t="s">
        <v>1368</v>
      </c>
      <c r="J82" s="67" t="n">
        <v>7.26</v>
      </c>
      <c r="K82" s="67" t="n">
        <v>7.26</v>
      </c>
      <c r="L82" s="67" t="n">
        <v>0</v>
      </c>
      <c r="M82" s="67" t="n">
        <v>2</v>
      </c>
      <c r="N82" s="67" t="n">
        <v>-2</v>
      </c>
      <c r="O82" s="67" t="n">
        <v>2.5</v>
      </c>
      <c r="P82" s="67" t="n">
        <v>0</v>
      </c>
      <c r="Q82" s="67"/>
      <c r="R82" s="68" t="s">
        <v>202</v>
      </c>
      <c r="S82" s="69"/>
      <c r="T82" s="68" t="s">
        <v>200</v>
      </c>
      <c r="U82" s="68"/>
      <c r="V82" s="68" t="n">
        <v>6.77255847954841</v>
      </c>
      <c r="W82" s="68" t="n">
        <v>64.3393055557099</v>
      </c>
      <c r="X82" s="68" t="n">
        <v>9.5</v>
      </c>
      <c r="Y82" s="92"/>
    </row>
    <row r="83" customFormat="false" ht="14.25" hidden="false" customHeight="false" outlineLevel="0" collapsed="false">
      <c r="C83" s="64" t="n">
        <v>78</v>
      </c>
      <c r="D83" s="65" t="s">
        <v>1462</v>
      </c>
      <c r="E83" s="65" t="s">
        <v>815</v>
      </c>
      <c r="F83" s="66" t="n">
        <v>110</v>
      </c>
      <c r="G83" s="67" t="n">
        <v>46</v>
      </c>
      <c r="H83" s="67" t="n">
        <v>60</v>
      </c>
      <c r="I83" s="68" t="s">
        <v>1368</v>
      </c>
      <c r="J83" s="67" t="n">
        <v>10.6</v>
      </c>
      <c r="K83" s="67" t="n">
        <v>10.45</v>
      </c>
      <c r="L83" s="67" t="n">
        <v>0</v>
      </c>
      <c r="M83" s="67" t="n">
        <v>8</v>
      </c>
      <c r="N83" s="67" t="n">
        <v>-8</v>
      </c>
      <c r="O83" s="67" t="n">
        <v>1.25</v>
      </c>
      <c r="P83" s="67" t="n">
        <v>0</v>
      </c>
      <c r="Q83" s="67"/>
      <c r="R83" s="68" t="s">
        <v>202</v>
      </c>
      <c r="S83" s="69" t="n">
        <v>45925</v>
      </c>
      <c r="T83" s="68" t="s">
        <v>200</v>
      </c>
      <c r="U83" s="68" t="n">
        <v>159.49</v>
      </c>
      <c r="V83" s="68"/>
      <c r="W83" s="68"/>
      <c r="X83" s="68"/>
      <c r="Y83" s="92"/>
    </row>
    <row r="84" customFormat="false" ht="14.25" hidden="false" customHeight="false" outlineLevel="0" collapsed="false">
      <c r="C84" s="64" t="n">
        <v>79</v>
      </c>
      <c r="D84" s="65" t="s">
        <v>1463</v>
      </c>
      <c r="E84" s="65" t="s">
        <v>815</v>
      </c>
      <c r="F84" s="66" t="n">
        <v>44</v>
      </c>
      <c r="G84" s="67" t="n">
        <v>13.8</v>
      </c>
      <c r="H84" s="67" t="n">
        <v>7.5</v>
      </c>
      <c r="I84" s="68" t="s">
        <v>1368</v>
      </c>
      <c r="J84" s="67" t="n">
        <v>7.2</v>
      </c>
      <c r="K84" s="67" t="n">
        <v>7.11</v>
      </c>
      <c r="L84" s="67" t="n">
        <v>0</v>
      </c>
      <c r="M84" s="67" t="n">
        <v>8</v>
      </c>
      <c r="N84" s="67" t="n">
        <v>-8</v>
      </c>
      <c r="O84" s="67" t="n">
        <v>1.25</v>
      </c>
      <c r="P84" s="67" t="n">
        <v>0</v>
      </c>
      <c r="Q84" s="67"/>
      <c r="R84" s="68" t="s">
        <v>771</v>
      </c>
      <c r="S84" s="69" t="n">
        <v>45930</v>
      </c>
      <c r="T84" s="68" t="s">
        <v>200</v>
      </c>
      <c r="U84" s="68"/>
      <c r="V84" s="68"/>
      <c r="W84" s="68"/>
      <c r="X84" s="68"/>
      <c r="Y84" s="92"/>
    </row>
    <row r="85" customFormat="false" ht="14.25" hidden="false" customHeight="false" outlineLevel="0" collapsed="false">
      <c r="C85" s="64" t="n">
        <v>80</v>
      </c>
      <c r="D85" s="65" t="s">
        <v>1464</v>
      </c>
      <c r="E85" s="65" t="s">
        <v>837</v>
      </c>
      <c r="F85" s="66" t="n">
        <v>44</v>
      </c>
      <c r="G85" s="67" t="n">
        <v>13.86</v>
      </c>
      <c r="H85" s="67" t="n">
        <v>5</v>
      </c>
      <c r="I85" s="68" t="s">
        <v>1368</v>
      </c>
      <c r="J85" s="67" t="n">
        <v>8.25</v>
      </c>
      <c r="K85" s="67" t="n">
        <v>8.25</v>
      </c>
      <c r="L85" s="67" t="n">
        <v>0</v>
      </c>
      <c r="M85" s="67" t="n">
        <v>2</v>
      </c>
      <c r="N85" s="67" t="n">
        <v>-2</v>
      </c>
      <c r="O85" s="67" t="n">
        <v>2.5</v>
      </c>
      <c r="P85" s="67" t="n">
        <v>0</v>
      </c>
      <c r="Q85" s="67"/>
      <c r="R85" s="68" t="s">
        <v>202</v>
      </c>
      <c r="S85" s="69"/>
      <c r="T85" s="68" t="s">
        <v>200</v>
      </c>
      <c r="U85" s="68"/>
      <c r="V85" s="68"/>
      <c r="W85" s="68"/>
      <c r="X85" s="68"/>
      <c r="Y85" s="92"/>
    </row>
    <row r="86" customFormat="false" ht="14.25" hidden="false" customHeight="false" outlineLevel="0" collapsed="false">
      <c r="C86" s="64" t="n">
        <v>81</v>
      </c>
      <c r="D86" s="65" t="s">
        <v>1465</v>
      </c>
      <c r="E86" s="65" t="s">
        <v>1012</v>
      </c>
      <c r="F86" s="66" t="n">
        <v>44</v>
      </c>
      <c r="G86" s="67" t="n">
        <v>13.8</v>
      </c>
      <c r="H86" s="67" t="n">
        <v>3</v>
      </c>
      <c r="I86" s="68" t="s">
        <v>1368</v>
      </c>
      <c r="J86" s="67" t="n">
        <v>7.14</v>
      </c>
      <c r="K86" s="67" t="n">
        <v>7.14</v>
      </c>
      <c r="L86" s="67" t="n">
        <v>0</v>
      </c>
      <c r="M86" s="67" t="n">
        <v>2</v>
      </c>
      <c r="N86" s="67" t="n">
        <v>-2</v>
      </c>
      <c r="O86" s="67" t="n">
        <v>2.5</v>
      </c>
      <c r="P86" s="67" t="n">
        <v>0</v>
      </c>
      <c r="Q86" s="67"/>
      <c r="R86" s="68" t="s">
        <v>202</v>
      </c>
      <c r="S86" s="69"/>
      <c r="T86" s="68" t="s">
        <v>200</v>
      </c>
      <c r="U86" s="68"/>
      <c r="V86" s="68"/>
      <c r="W86" s="68"/>
      <c r="X86" s="68"/>
      <c r="Y86" s="92"/>
    </row>
    <row r="87" customFormat="false" ht="14.25" hidden="false" customHeight="false" outlineLevel="0" collapsed="false">
      <c r="C87" s="64" t="n">
        <v>82</v>
      </c>
      <c r="D87" s="65" t="s">
        <v>1466</v>
      </c>
      <c r="E87" s="65" t="s">
        <v>846</v>
      </c>
      <c r="F87" s="66" t="n">
        <v>44</v>
      </c>
      <c r="G87" s="67" t="n">
        <v>13.8</v>
      </c>
      <c r="H87" s="67" t="n">
        <v>20</v>
      </c>
      <c r="I87" s="68" t="s">
        <v>1368</v>
      </c>
      <c r="J87" s="67" t="n">
        <v>8.625</v>
      </c>
      <c r="K87" s="67" t="n">
        <v>8.625</v>
      </c>
      <c r="L87" s="67" t="n">
        <v>0</v>
      </c>
      <c r="M87" s="67" t="n">
        <v>10</v>
      </c>
      <c r="N87" s="67" t="n">
        <v>-10</v>
      </c>
      <c r="O87" s="67" t="n">
        <v>1.25</v>
      </c>
      <c r="P87" s="67" t="n">
        <v>0</v>
      </c>
      <c r="Q87" s="67"/>
      <c r="R87" s="68" t="s">
        <v>771</v>
      </c>
      <c r="S87" s="69" t="n">
        <v>45838</v>
      </c>
      <c r="T87" s="68" t="s">
        <v>200</v>
      </c>
      <c r="U87" s="68"/>
      <c r="V87" s="68"/>
      <c r="W87" s="68"/>
      <c r="X87" s="68"/>
      <c r="Y87" s="92"/>
    </row>
    <row r="88" customFormat="false" ht="14.25" hidden="false" customHeight="false" outlineLevel="0" collapsed="false">
      <c r="C88" s="64" t="n">
        <v>83</v>
      </c>
      <c r="D88" s="65" t="s">
        <v>1467</v>
      </c>
      <c r="E88" s="65" t="s">
        <v>1014</v>
      </c>
      <c r="F88" s="66" t="n">
        <v>230</v>
      </c>
      <c r="G88" s="67" t="n">
        <v>44.5</v>
      </c>
      <c r="H88" s="67" t="n">
        <v>50</v>
      </c>
      <c r="I88" s="68" t="s">
        <v>1436</v>
      </c>
      <c r="J88" s="67" t="n">
        <v>11.97</v>
      </c>
      <c r="K88" s="67" t="n">
        <v>11.97</v>
      </c>
      <c r="L88" s="67" t="n">
        <v>0</v>
      </c>
      <c r="M88" s="67" t="n">
        <v>11</v>
      </c>
      <c r="N88" s="67" t="n">
        <v>-11</v>
      </c>
      <c r="O88" s="67" t="n">
        <v>0.9</v>
      </c>
      <c r="P88" s="67" t="n">
        <v>0</v>
      </c>
      <c r="Q88" s="67"/>
      <c r="R88" s="68" t="s">
        <v>202</v>
      </c>
      <c r="S88" s="69"/>
      <c r="T88" s="68" t="s">
        <v>200</v>
      </c>
      <c r="U88" s="68"/>
      <c r="V88" s="68" t="n">
        <v>1.6333194444509</v>
      </c>
      <c r="W88" s="68" t="n">
        <v>48.999583333527</v>
      </c>
      <c r="X88" s="68" t="n">
        <v>30</v>
      </c>
      <c r="Y88" s="92"/>
    </row>
    <row r="89" customFormat="false" ht="14.25" hidden="false" customHeight="false" outlineLevel="0" collapsed="false">
      <c r="C89" s="64" t="n">
        <v>84</v>
      </c>
      <c r="D89" s="65" t="s">
        <v>1468</v>
      </c>
      <c r="E89" s="65" t="s">
        <v>1014</v>
      </c>
      <c r="F89" s="66" t="n">
        <v>44</v>
      </c>
      <c r="G89" s="67" t="n">
        <v>13.8</v>
      </c>
      <c r="H89" s="67" t="n">
        <v>13.3</v>
      </c>
      <c r="I89" s="68" t="s">
        <v>1368</v>
      </c>
      <c r="J89" s="67" t="n">
        <v>8.605</v>
      </c>
      <c r="K89" s="67" t="n">
        <v>8.605</v>
      </c>
      <c r="L89" s="67" t="n">
        <v>0</v>
      </c>
      <c r="M89" s="67" t="n">
        <v>8</v>
      </c>
      <c r="N89" s="67" t="n">
        <v>-8</v>
      </c>
      <c r="O89" s="67" t="n">
        <v>1.25</v>
      </c>
      <c r="P89" s="67" t="n">
        <v>0</v>
      </c>
      <c r="Q89" s="67"/>
      <c r="R89" s="68" t="s">
        <v>202</v>
      </c>
      <c r="S89" s="69"/>
      <c r="T89" s="68" t="s">
        <v>200</v>
      </c>
      <c r="U89" s="68"/>
      <c r="V89" s="68" t="n">
        <v>7.93584302325089</v>
      </c>
      <c r="W89" s="68" t="n">
        <v>113.747083333263</v>
      </c>
      <c r="X89" s="68" t="n">
        <v>14.3333333333333</v>
      </c>
      <c r="Y89" s="92"/>
    </row>
    <row r="90" customFormat="false" ht="14.25" hidden="false" customHeight="false" outlineLevel="0" collapsed="false">
      <c r="C90" s="64" t="n">
        <v>85</v>
      </c>
      <c r="D90" s="65" t="s">
        <v>1469</v>
      </c>
      <c r="E90" s="65" t="s">
        <v>1014</v>
      </c>
      <c r="F90" s="66" t="n">
        <v>44</v>
      </c>
      <c r="G90" s="67" t="n">
        <v>13.8</v>
      </c>
      <c r="H90" s="67" t="n">
        <v>13.3</v>
      </c>
      <c r="I90" s="68" t="s">
        <v>1368</v>
      </c>
      <c r="J90" s="67" t="n">
        <v>8.605</v>
      </c>
      <c r="K90" s="67" t="n">
        <v>8.605</v>
      </c>
      <c r="L90" s="67" t="n">
        <v>0</v>
      </c>
      <c r="M90" s="67" t="n">
        <v>8</v>
      </c>
      <c r="N90" s="67" t="n">
        <v>-8</v>
      </c>
      <c r="O90" s="67" t="n">
        <v>1.25</v>
      </c>
      <c r="P90" s="67" t="n">
        <v>0</v>
      </c>
      <c r="Q90" s="67"/>
      <c r="R90" s="68" t="s">
        <v>771</v>
      </c>
      <c r="S90" s="69" t="n">
        <v>46387</v>
      </c>
      <c r="T90" s="68" t="s">
        <v>200</v>
      </c>
      <c r="U90" s="68"/>
      <c r="V90" s="68"/>
      <c r="W90" s="68"/>
      <c r="X90" s="68"/>
      <c r="Y90" s="92"/>
    </row>
    <row r="91" customFormat="false" ht="14.25" hidden="false" customHeight="false" outlineLevel="0" collapsed="false">
      <c r="C91" s="64" t="n">
        <v>86</v>
      </c>
      <c r="D91" s="65" t="s">
        <v>1470</v>
      </c>
      <c r="E91" s="65" t="s">
        <v>1191</v>
      </c>
      <c r="F91" s="66" t="n">
        <v>44</v>
      </c>
      <c r="G91" s="67" t="n">
        <v>13.8</v>
      </c>
      <c r="H91" s="67" t="n">
        <v>2</v>
      </c>
      <c r="I91" s="68" t="s">
        <v>1368</v>
      </c>
      <c r="J91" s="67" t="n">
        <v>6.11</v>
      </c>
      <c r="K91" s="67" t="n">
        <v>6.11</v>
      </c>
      <c r="L91" s="67" t="n">
        <v>0</v>
      </c>
      <c r="M91" s="67" t="n">
        <v>2</v>
      </c>
      <c r="N91" s="67" t="n">
        <v>-2</v>
      </c>
      <c r="O91" s="67" t="n">
        <v>2.5</v>
      </c>
      <c r="P91" s="67" t="n">
        <v>0</v>
      </c>
      <c r="Q91" s="67"/>
      <c r="R91" s="68" t="s">
        <v>202</v>
      </c>
      <c r="S91" s="69"/>
      <c r="T91" s="68" t="s">
        <v>200</v>
      </c>
      <c r="U91" s="68"/>
      <c r="V91" s="68"/>
      <c r="W91" s="68"/>
      <c r="X91" s="68"/>
      <c r="Y91" s="92"/>
    </row>
    <row r="92" customFormat="false" ht="14.25" hidden="false" customHeight="false" outlineLevel="0" collapsed="false">
      <c r="C92" s="64" t="n">
        <v>87</v>
      </c>
      <c r="D92" s="65" t="s">
        <v>1471</v>
      </c>
      <c r="E92" s="65" t="s">
        <v>1060</v>
      </c>
      <c r="F92" s="66" t="n">
        <v>44</v>
      </c>
      <c r="G92" s="67" t="n">
        <v>13.8</v>
      </c>
      <c r="H92" s="67" t="n">
        <v>20</v>
      </c>
      <c r="I92" s="68" t="s">
        <v>1368</v>
      </c>
      <c r="J92" s="67" t="n">
        <v>9.125</v>
      </c>
      <c r="K92" s="67" t="n">
        <v>9.125</v>
      </c>
      <c r="L92" s="67" t="n">
        <v>0</v>
      </c>
      <c r="M92" s="67" t="n">
        <v>8</v>
      </c>
      <c r="N92" s="67" t="n">
        <v>-12</v>
      </c>
      <c r="O92" s="67" t="n">
        <v>1.25</v>
      </c>
      <c r="P92" s="67" t="n">
        <v>0</v>
      </c>
      <c r="Q92" s="67"/>
      <c r="R92" s="68" t="s">
        <v>202</v>
      </c>
      <c r="S92" s="69"/>
      <c r="T92" s="68" t="s">
        <v>200</v>
      </c>
      <c r="U92" s="68"/>
      <c r="V92" s="68" t="n">
        <v>3.34805246912486</v>
      </c>
      <c r="W92" s="68" t="n">
        <v>50.2207870368729</v>
      </c>
      <c r="X92" s="68" t="n">
        <v>15</v>
      </c>
      <c r="Y92" s="92"/>
    </row>
    <row r="93" customFormat="false" ht="14.25" hidden="false" customHeight="false" outlineLevel="0" collapsed="false">
      <c r="C93" s="64" t="n">
        <v>88</v>
      </c>
      <c r="D93" s="65" t="s">
        <v>1472</v>
      </c>
      <c r="E93" s="65" t="s">
        <v>1019</v>
      </c>
      <c r="F93" s="66" t="n">
        <v>44</v>
      </c>
      <c r="G93" s="67" t="n">
        <v>13.8</v>
      </c>
      <c r="H93" s="67" t="n">
        <v>3.75</v>
      </c>
      <c r="I93" s="68" t="s">
        <v>1368</v>
      </c>
      <c r="J93" s="67" t="n">
        <v>6.45</v>
      </c>
      <c r="K93" s="67" t="n">
        <v>6.45</v>
      </c>
      <c r="L93" s="67" t="n">
        <v>0</v>
      </c>
      <c r="M93" s="67" t="n">
        <v>2</v>
      </c>
      <c r="N93" s="67" t="n">
        <v>-2</v>
      </c>
      <c r="O93" s="67" t="n">
        <v>2.5</v>
      </c>
      <c r="P93" s="67" t="n">
        <v>0</v>
      </c>
      <c r="Q93" s="67"/>
      <c r="R93" s="68" t="s">
        <v>202</v>
      </c>
      <c r="S93" s="69"/>
      <c r="T93" s="68" t="s">
        <v>200</v>
      </c>
      <c r="U93" s="68"/>
      <c r="V93" s="68"/>
      <c r="W93" s="68"/>
      <c r="X93" s="68"/>
      <c r="Y93" s="92"/>
    </row>
    <row r="94" customFormat="false" ht="14.25" hidden="false" customHeight="false" outlineLevel="0" collapsed="false">
      <c r="C94" s="64" t="n">
        <v>89</v>
      </c>
      <c r="D94" s="65" t="s">
        <v>1473</v>
      </c>
      <c r="E94" s="65" t="s">
        <v>1081</v>
      </c>
      <c r="F94" s="66" t="n">
        <v>44</v>
      </c>
      <c r="G94" s="67" t="n">
        <v>13.8</v>
      </c>
      <c r="H94" s="67" t="n">
        <v>7.5</v>
      </c>
      <c r="I94" s="68" t="s">
        <v>1368</v>
      </c>
      <c r="J94" s="67" t="n">
        <v>7.7</v>
      </c>
      <c r="K94" s="67" t="n">
        <v>7.7</v>
      </c>
      <c r="L94" s="67" t="n">
        <v>0</v>
      </c>
      <c r="M94" s="67" t="n">
        <v>2</v>
      </c>
      <c r="N94" s="67" t="n">
        <v>-2</v>
      </c>
      <c r="O94" s="67" t="n">
        <v>2.5</v>
      </c>
      <c r="P94" s="67" t="n">
        <v>0</v>
      </c>
      <c r="Q94" s="67"/>
      <c r="R94" s="68" t="s">
        <v>202</v>
      </c>
      <c r="S94" s="69"/>
      <c r="T94" s="68" t="s">
        <v>200</v>
      </c>
      <c r="U94" s="68"/>
      <c r="V94" s="68"/>
      <c r="W94" s="68"/>
      <c r="X94" s="68"/>
      <c r="Y94" s="92"/>
    </row>
    <row r="95" customFormat="false" ht="14.25" hidden="false" customHeight="false" outlineLevel="0" collapsed="false">
      <c r="C95" s="64" t="n">
        <v>90</v>
      </c>
      <c r="D95" s="65" t="s">
        <v>1474</v>
      </c>
      <c r="E95" s="65" t="s">
        <v>1475</v>
      </c>
      <c r="F95" s="66" t="n">
        <v>44</v>
      </c>
      <c r="G95" s="67" t="n">
        <v>13.8</v>
      </c>
      <c r="H95" s="67" t="n">
        <v>6.25</v>
      </c>
      <c r="I95" s="68" t="s">
        <v>1368</v>
      </c>
      <c r="J95" s="67" t="n">
        <v>8.0125</v>
      </c>
      <c r="K95" s="67" t="n">
        <v>8.0125</v>
      </c>
      <c r="L95" s="67" t="n">
        <v>0</v>
      </c>
      <c r="M95" s="67" t="n">
        <v>3</v>
      </c>
      <c r="N95" s="67" t="n">
        <v>-3</v>
      </c>
      <c r="O95" s="67" t="n">
        <v>2.5</v>
      </c>
      <c r="P95" s="67" t="n">
        <v>0</v>
      </c>
      <c r="Q95" s="67"/>
      <c r="R95" s="68" t="s">
        <v>202</v>
      </c>
      <c r="S95" s="69"/>
      <c r="T95" s="68" t="s">
        <v>200</v>
      </c>
      <c r="U95" s="68"/>
      <c r="V95" s="68" t="n">
        <v>3.05148148149601</v>
      </c>
      <c r="W95" s="68" t="n">
        <v>10.9853333333856</v>
      </c>
      <c r="X95" s="68" t="n">
        <v>3.6</v>
      </c>
      <c r="Y95" s="92"/>
    </row>
    <row r="96" customFormat="false" ht="14.25" hidden="false" customHeight="false" outlineLevel="0" collapsed="false">
      <c r="C96" s="64" t="n">
        <v>91</v>
      </c>
      <c r="D96" s="65" t="s">
        <v>1476</v>
      </c>
      <c r="E96" s="65" t="s">
        <v>797</v>
      </c>
      <c r="F96" s="66" t="n">
        <v>44</v>
      </c>
      <c r="G96" s="67" t="n">
        <v>13.8</v>
      </c>
      <c r="H96" s="67" t="n">
        <v>7.5</v>
      </c>
      <c r="I96" s="68" t="s">
        <v>1368</v>
      </c>
      <c r="J96" s="67" t="n">
        <v>7.18</v>
      </c>
      <c r="K96" s="67" t="n">
        <v>7.18</v>
      </c>
      <c r="L96" s="67" t="n">
        <v>0</v>
      </c>
      <c r="M96" s="67" t="n">
        <v>2</v>
      </c>
      <c r="N96" s="67" t="n">
        <v>-2</v>
      </c>
      <c r="O96" s="67" t="n">
        <v>2.5</v>
      </c>
      <c r="P96" s="67" t="n">
        <v>0</v>
      </c>
      <c r="Q96" s="67"/>
      <c r="R96" s="68" t="s">
        <v>202</v>
      </c>
      <c r="S96" s="69"/>
      <c r="T96" s="68" t="s">
        <v>200</v>
      </c>
      <c r="U96" s="68"/>
      <c r="V96" s="68" t="n">
        <v>1.43009132421368</v>
      </c>
      <c r="W96" s="68" t="n">
        <v>17.3994444445998</v>
      </c>
      <c r="X96" s="68" t="n">
        <v>12.1666666666667</v>
      </c>
      <c r="Y96" s="92"/>
    </row>
    <row r="97" customFormat="false" ht="14.25" hidden="false" customHeight="false" outlineLevel="0" collapsed="false">
      <c r="C97" s="64" t="n">
        <v>92</v>
      </c>
      <c r="D97" s="65" t="s">
        <v>1476</v>
      </c>
      <c r="E97" s="65" t="s">
        <v>797</v>
      </c>
      <c r="F97" s="66" t="n">
        <v>44</v>
      </c>
      <c r="G97" s="67" t="n">
        <v>13.8</v>
      </c>
      <c r="H97" s="67" t="n">
        <v>20</v>
      </c>
      <c r="I97" s="68" t="s">
        <v>1368</v>
      </c>
      <c r="J97" s="67" t="n">
        <v>8.75</v>
      </c>
      <c r="K97" s="67" t="n">
        <v>8.75</v>
      </c>
      <c r="L97" s="67" t="n">
        <v>0</v>
      </c>
      <c r="M97" s="67" t="n">
        <v>10</v>
      </c>
      <c r="N97" s="67" t="n">
        <v>-10</v>
      </c>
      <c r="O97" s="67" t="n">
        <v>1.25</v>
      </c>
      <c r="P97" s="67" t="n">
        <v>0</v>
      </c>
      <c r="Q97" s="67"/>
      <c r="R97" s="68" t="s">
        <v>771</v>
      </c>
      <c r="S97" s="69" t="n">
        <v>46022</v>
      </c>
      <c r="T97" s="68" t="s">
        <v>200</v>
      </c>
      <c r="U97" s="68"/>
      <c r="V97" s="68"/>
      <c r="W97" s="68"/>
      <c r="X97" s="68"/>
      <c r="Y97" s="92"/>
    </row>
    <row r="98" customFormat="false" ht="14.25" hidden="false" customHeight="false" outlineLevel="0" collapsed="false">
      <c r="C98" s="64" t="n">
        <v>93</v>
      </c>
      <c r="D98" s="65" t="s">
        <v>1477</v>
      </c>
      <c r="E98" s="65" t="s">
        <v>770</v>
      </c>
      <c r="F98" s="66" t="n">
        <v>112</v>
      </c>
      <c r="G98" s="67" t="n">
        <v>46</v>
      </c>
      <c r="H98" s="67" t="n">
        <v>40</v>
      </c>
      <c r="I98" s="68" t="s">
        <v>1368</v>
      </c>
      <c r="J98" s="67" t="n">
        <v>10.08</v>
      </c>
      <c r="K98" s="67" t="n">
        <v>10.08</v>
      </c>
      <c r="L98" s="67" t="n">
        <v>0</v>
      </c>
      <c r="M98" s="67" t="n">
        <v>5</v>
      </c>
      <c r="N98" s="67" t="n">
        <v>-5</v>
      </c>
      <c r="O98" s="67" t="n">
        <v>1.5</v>
      </c>
      <c r="P98" s="67" t="n">
        <v>0</v>
      </c>
      <c r="Q98" s="67"/>
      <c r="R98" s="68" t="s">
        <v>771</v>
      </c>
      <c r="S98" s="69" t="n">
        <v>45260</v>
      </c>
      <c r="T98" s="68" t="s">
        <v>200</v>
      </c>
      <c r="U98" s="68"/>
      <c r="V98" s="68"/>
      <c r="W98" s="68"/>
      <c r="X98" s="68"/>
      <c r="Y98" s="92"/>
    </row>
    <row r="99" customFormat="false" ht="14.25" hidden="false" customHeight="false" outlineLevel="0" collapsed="false">
      <c r="C99" s="64" t="n">
        <v>94</v>
      </c>
      <c r="D99" s="65" t="s">
        <v>1478</v>
      </c>
      <c r="E99" s="65" t="s">
        <v>770</v>
      </c>
      <c r="F99" s="66" t="n">
        <v>44</v>
      </c>
      <c r="G99" s="67" t="n">
        <v>13.8</v>
      </c>
      <c r="H99" s="67" t="n">
        <v>10</v>
      </c>
      <c r="I99" s="68" t="s">
        <v>1368</v>
      </c>
      <c r="J99" s="67" t="n">
        <v>7.61</v>
      </c>
      <c r="K99" s="67" t="n">
        <v>7.61</v>
      </c>
      <c r="L99" s="67" t="n">
        <v>0</v>
      </c>
      <c r="M99" s="67" t="n">
        <v>10</v>
      </c>
      <c r="N99" s="67" t="n">
        <v>-10</v>
      </c>
      <c r="O99" s="67" t="n">
        <v>1.25</v>
      </c>
      <c r="P99" s="67" t="n">
        <v>0</v>
      </c>
      <c r="Q99" s="67"/>
      <c r="R99" s="68" t="s">
        <v>202</v>
      </c>
      <c r="S99" s="69"/>
      <c r="T99" s="68" t="s">
        <v>200</v>
      </c>
      <c r="U99" s="68"/>
      <c r="V99" s="68" t="n">
        <v>3.90933048431851</v>
      </c>
      <c r="W99" s="68" t="n">
        <v>76.231944444211</v>
      </c>
      <c r="X99" s="68" t="n">
        <v>19.5</v>
      </c>
      <c r="Y99" s="92"/>
    </row>
    <row r="100" customFormat="false" ht="14.25" hidden="false" customHeight="false" outlineLevel="0" collapsed="false">
      <c r="C100" s="64" t="n">
        <v>95</v>
      </c>
      <c r="D100" s="65" t="s">
        <v>1479</v>
      </c>
      <c r="E100" s="65" t="s">
        <v>1008</v>
      </c>
      <c r="F100" s="66" t="n">
        <v>46</v>
      </c>
      <c r="G100" s="67" t="n">
        <v>14</v>
      </c>
      <c r="H100" s="67" t="n">
        <v>5</v>
      </c>
      <c r="I100" s="68" t="s">
        <v>1368</v>
      </c>
      <c r="J100" s="67" t="n">
        <v>7.6</v>
      </c>
      <c r="K100" s="67" t="n">
        <v>7.6</v>
      </c>
      <c r="L100" s="67" t="n">
        <v>0</v>
      </c>
      <c r="M100" s="67" t="n">
        <v>2</v>
      </c>
      <c r="N100" s="67" t="n">
        <v>-2</v>
      </c>
      <c r="O100" s="67" t="n">
        <v>2.5</v>
      </c>
      <c r="P100" s="67" t="n">
        <v>0</v>
      </c>
      <c r="Q100" s="67"/>
      <c r="R100" s="68" t="s">
        <v>202</v>
      </c>
      <c r="S100" s="69"/>
      <c r="T100" s="68" t="s">
        <v>200</v>
      </c>
      <c r="U100" s="68"/>
      <c r="V100" s="68"/>
      <c r="W100" s="68"/>
      <c r="X100" s="68"/>
      <c r="Y100" s="92"/>
    </row>
    <row r="101" customFormat="false" ht="14.25" hidden="false" customHeight="false" outlineLevel="0" collapsed="false">
      <c r="C101" s="64" t="n">
        <v>96</v>
      </c>
      <c r="D101" s="65" t="s">
        <v>1480</v>
      </c>
      <c r="E101" s="65" t="s">
        <v>829</v>
      </c>
      <c r="F101" s="66" t="n">
        <v>44</v>
      </c>
      <c r="G101" s="67" t="n">
        <v>13.8</v>
      </c>
      <c r="H101" s="67" t="n">
        <v>2</v>
      </c>
      <c r="I101" s="68" t="s">
        <v>1368</v>
      </c>
      <c r="J101" s="67" t="n">
        <v>5.91</v>
      </c>
      <c r="K101" s="67" t="n">
        <v>5.91</v>
      </c>
      <c r="L101" s="67" t="n">
        <v>0</v>
      </c>
      <c r="M101" s="67" t="n">
        <v>2</v>
      </c>
      <c r="N101" s="67" t="n">
        <v>-2</v>
      </c>
      <c r="O101" s="67" t="n">
        <v>2.5</v>
      </c>
      <c r="P101" s="67" t="n">
        <v>0</v>
      </c>
      <c r="Q101" s="67"/>
      <c r="R101" s="68" t="s">
        <v>202</v>
      </c>
      <c r="S101" s="69"/>
      <c r="T101" s="68" t="s">
        <v>200</v>
      </c>
      <c r="U101" s="68"/>
      <c r="V101" s="68"/>
      <c r="W101" s="68"/>
      <c r="X101" s="68"/>
      <c r="Y101" s="92"/>
    </row>
    <row r="102" customFormat="false" ht="14.25" hidden="false" customHeight="false" outlineLevel="0" collapsed="false">
      <c r="C102" s="64" t="n">
        <v>97</v>
      </c>
      <c r="D102" s="65" t="s">
        <v>1481</v>
      </c>
      <c r="E102" s="65" t="s">
        <v>1124</v>
      </c>
      <c r="F102" s="66" t="n">
        <v>44</v>
      </c>
      <c r="G102" s="67" t="n">
        <v>13.669</v>
      </c>
      <c r="H102" s="67" t="n">
        <v>10</v>
      </c>
      <c r="I102" s="68" t="s">
        <v>1388</v>
      </c>
      <c r="J102" s="67" t="n">
        <v>6.62</v>
      </c>
      <c r="K102" s="67" t="n">
        <v>6.62</v>
      </c>
      <c r="L102" s="67" t="n">
        <v>0</v>
      </c>
      <c r="M102" s="67" t="n">
        <v>4</v>
      </c>
      <c r="N102" s="67" t="n">
        <v>-4</v>
      </c>
      <c r="O102" s="67" t="n">
        <v>2.5</v>
      </c>
      <c r="P102" s="67" t="n">
        <v>0</v>
      </c>
      <c r="Q102" s="67"/>
      <c r="R102" s="68" t="s">
        <v>202</v>
      </c>
      <c r="S102" s="69"/>
      <c r="T102" s="68" t="s">
        <v>200</v>
      </c>
      <c r="U102" s="68"/>
      <c r="V102" s="68" t="n">
        <v>16.2048039215905</v>
      </c>
      <c r="W102" s="68" t="n">
        <v>55.0963333334075</v>
      </c>
      <c r="X102" s="68" t="n">
        <v>3.4</v>
      </c>
      <c r="Y102" s="92"/>
    </row>
    <row r="103" customFormat="false" ht="14.25" hidden="false" customHeight="false" outlineLevel="0" collapsed="false">
      <c r="C103" s="64" t="n">
        <v>98</v>
      </c>
      <c r="D103" s="65" t="s">
        <v>1482</v>
      </c>
      <c r="E103" s="65" t="s">
        <v>1024</v>
      </c>
      <c r="F103" s="66" t="n">
        <v>110</v>
      </c>
      <c r="G103" s="67" t="n">
        <v>44</v>
      </c>
      <c r="H103" s="67" t="n">
        <v>30</v>
      </c>
      <c r="I103" s="68" t="s">
        <v>1368</v>
      </c>
      <c r="J103" s="67" t="n">
        <v>7.24</v>
      </c>
      <c r="K103" s="67" t="n">
        <v>7.24</v>
      </c>
      <c r="L103" s="67" t="n">
        <v>0</v>
      </c>
      <c r="M103" s="67" t="n">
        <v>8</v>
      </c>
      <c r="N103" s="67" t="n">
        <v>-14</v>
      </c>
      <c r="O103" s="67" t="n">
        <v>1.25</v>
      </c>
      <c r="P103" s="67" t="n">
        <v>0</v>
      </c>
      <c r="Q103" s="67"/>
      <c r="R103" s="68" t="s">
        <v>202</v>
      </c>
      <c r="S103" s="69"/>
      <c r="T103" s="68" t="s">
        <v>200</v>
      </c>
      <c r="U103" s="68"/>
      <c r="V103" s="68" t="n">
        <v>9.30837963</v>
      </c>
      <c r="W103" s="68" t="n">
        <v>57.4016744160279</v>
      </c>
      <c r="X103" s="68" t="n">
        <v>6.16666667</v>
      </c>
      <c r="Y103" s="92"/>
    </row>
    <row r="104" customFormat="false" ht="14.25" hidden="false" customHeight="false" outlineLevel="0" collapsed="false">
      <c r="C104" s="64" t="n">
        <v>99</v>
      </c>
      <c r="D104" s="65" t="s">
        <v>1483</v>
      </c>
      <c r="E104" s="65" t="s">
        <v>1024</v>
      </c>
      <c r="F104" s="66" t="n">
        <v>44</v>
      </c>
      <c r="G104" s="67" t="n">
        <v>13.8</v>
      </c>
      <c r="H104" s="67" t="n">
        <v>3</v>
      </c>
      <c r="I104" s="68" t="s">
        <v>1368</v>
      </c>
      <c r="J104" s="67" t="n">
        <v>6.46</v>
      </c>
      <c r="K104" s="67" t="n">
        <v>6.46</v>
      </c>
      <c r="L104" s="67" t="n">
        <v>0</v>
      </c>
      <c r="M104" s="67" t="n">
        <v>2</v>
      </c>
      <c r="N104" s="67" t="n">
        <v>-2</v>
      </c>
      <c r="O104" s="67" t="n">
        <v>2.5</v>
      </c>
      <c r="P104" s="67" t="n">
        <v>0</v>
      </c>
      <c r="Q104" s="67"/>
      <c r="R104" s="68" t="s">
        <v>202</v>
      </c>
      <c r="S104" s="69"/>
      <c r="T104" s="68" t="s">
        <v>200</v>
      </c>
      <c r="U104" s="68"/>
      <c r="V104" s="68"/>
      <c r="W104" s="68"/>
      <c r="X104" s="68"/>
      <c r="Y104" s="92"/>
    </row>
    <row r="105" customFormat="false" ht="14.25" hidden="false" customHeight="false" outlineLevel="0" collapsed="false">
      <c r="C105" s="64" t="n">
        <v>100</v>
      </c>
      <c r="D105" s="65" t="s">
        <v>1484</v>
      </c>
      <c r="E105" s="65" t="s">
        <v>1485</v>
      </c>
      <c r="F105" s="66" t="n">
        <v>110</v>
      </c>
      <c r="G105" s="67" t="n">
        <v>13.8</v>
      </c>
      <c r="H105" s="67" t="n">
        <v>15</v>
      </c>
      <c r="I105" s="68" t="s">
        <v>1388</v>
      </c>
      <c r="J105" s="67" t="n">
        <v>12.05</v>
      </c>
      <c r="K105" s="67" t="n">
        <v>12.05</v>
      </c>
      <c r="L105" s="67" t="n">
        <v>0</v>
      </c>
      <c r="M105" s="67" t="n">
        <v>8</v>
      </c>
      <c r="N105" s="67" t="n">
        <v>-8</v>
      </c>
      <c r="O105" s="67" t="n">
        <v>1.25</v>
      </c>
      <c r="P105" s="67" t="n">
        <v>0</v>
      </c>
      <c r="Q105" s="67"/>
      <c r="R105" s="68" t="s">
        <v>202</v>
      </c>
      <c r="S105" s="69"/>
      <c r="T105" s="68" t="s">
        <v>200</v>
      </c>
      <c r="U105" s="68"/>
      <c r="V105" s="68" t="n">
        <v>4.88615741</v>
      </c>
      <c r="W105" s="68" t="n">
        <v>23.6164274653795</v>
      </c>
      <c r="X105" s="68" t="n">
        <v>4.83333333</v>
      </c>
      <c r="Y105" s="92"/>
    </row>
    <row r="106" customFormat="false" ht="14.25" hidden="false" customHeight="false" outlineLevel="0" collapsed="false">
      <c r="C106" s="64" t="n">
        <v>101</v>
      </c>
      <c r="D106" s="65" t="s">
        <v>1486</v>
      </c>
      <c r="E106" s="65" t="s">
        <v>1144</v>
      </c>
      <c r="F106" s="66" t="n">
        <v>44</v>
      </c>
      <c r="G106" s="67" t="n">
        <v>13.2</v>
      </c>
      <c r="H106" s="67" t="n">
        <v>3</v>
      </c>
      <c r="I106" s="68" t="s">
        <v>1368</v>
      </c>
      <c r="J106" s="67" t="n">
        <v>7.54</v>
      </c>
      <c r="K106" s="67" t="n">
        <v>7.54</v>
      </c>
      <c r="L106" s="67" t="n">
        <v>0</v>
      </c>
      <c r="M106" s="67" t="n">
        <v>0</v>
      </c>
      <c r="N106" s="67" t="n">
        <v>0</v>
      </c>
      <c r="O106" s="67" t="n">
        <v>0</v>
      </c>
      <c r="P106" s="67" t="n">
        <v>0</v>
      </c>
      <c r="Q106" s="67"/>
      <c r="R106" s="68" t="s">
        <v>202</v>
      </c>
      <c r="S106" s="69"/>
      <c r="T106" s="68" t="s">
        <v>200</v>
      </c>
      <c r="U106" s="68"/>
      <c r="V106" s="68"/>
      <c r="W106" s="68"/>
      <c r="X106" s="68"/>
      <c r="Y106" s="92"/>
    </row>
    <row r="107" customFormat="false" ht="14.25" hidden="false" customHeight="false" outlineLevel="0" collapsed="false">
      <c r="C107" s="64" t="n">
        <v>102</v>
      </c>
      <c r="D107" s="65" t="s">
        <v>1487</v>
      </c>
      <c r="E107" s="65" t="s">
        <v>803</v>
      </c>
      <c r="F107" s="66" t="n">
        <v>44</v>
      </c>
      <c r="G107" s="67" t="n">
        <v>13.8</v>
      </c>
      <c r="H107" s="67" t="n">
        <v>2</v>
      </c>
      <c r="I107" s="68" t="s">
        <v>1368</v>
      </c>
      <c r="J107" s="67" t="n">
        <v>6</v>
      </c>
      <c r="K107" s="67" t="n">
        <v>6</v>
      </c>
      <c r="L107" s="67" t="n">
        <v>0</v>
      </c>
      <c r="M107" s="67" t="n">
        <v>2</v>
      </c>
      <c r="N107" s="67" t="n">
        <v>-2</v>
      </c>
      <c r="O107" s="67" t="n">
        <v>2.5</v>
      </c>
      <c r="P107" s="67" t="n">
        <v>0</v>
      </c>
      <c r="Q107" s="67"/>
      <c r="R107" s="68" t="s">
        <v>202</v>
      </c>
      <c r="S107" s="69"/>
      <c r="T107" s="68" t="s">
        <v>200</v>
      </c>
      <c r="U107" s="68"/>
      <c r="V107" s="68"/>
      <c r="W107" s="68"/>
      <c r="X107" s="68"/>
      <c r="Y107" s="92"/>
    </row>
    <row r="108" customFormat="false" ht="14.25" hidden="false" customHeight="false" outlineLevel="0" collapsed="false">
      <c r="C108" s="64" t="n">
        <v>103</v>
      </c>
      <c r="D108" s="65" t="s">
        <v>1488</v>
      </c>
      <c r="E108" s="65" t="s">
        <v>1090</v>
      </c>
      <c r="F108" s="66" t="n">
        <v>44</v>
      </c>
      <c r="G108" s="67" t="n">
        <v>13.8</v>
      </c>
      <c r="H108" s="67" t="n">
        <v>5</v>
      </c>
      <c r="I108" s="68" t="s">
        <v>1368</v>
      </c>
      <c r="J108" s="67" t="n">
        <v>6.33</v>
      </c>
      <c r="K108" s="67" t="n">
        <v>6.33</v>
      </c>
      <c r="L108" s="67" t="n">
        <v>0</v>
      </c>
      <c r="M108" s="67" t="n">
        <v>3</v>
      </c>
      <c r="N108" s="67" t="n">
        <v>-2</v>
      </c>
      <c r="O108" s="67" t="n">
        <v>2.5</v>
      </c>
      <c r="P108" s="67" t="n">
        <v>0</v>
      </c>
      <c r="Q108" s="67"/>
      <c r="R108" s="68" t="s">
        <v>202</v>
      </c>
      <c r="S108" s="69"/>
      <c r="T108" s="68" t="s">
        <v>200</v>
      </c>
      <c r="U108" s="68"/>
      <c r="V108" s="68"/>
      <c r="W108" s="68"/>
      <c r="X108" s="68"/>
      <c r="Y108" s="92"/>
    </row>
    <row r="109" customFormat="false" ht="14.25" hidden="false" customHeight="false" outlineLevel="0" collapsed="false">
      <c r="C109" s="64" t="n">
        <v>104</v>
      </c>
      <c r="D109" s="65" t="s">
        <v>1489</v>
      </c>
      <c r="E109" s="65" t="s">
        <v>929</v>
      </c>
      <c r="F109" s="66" t="n">
        <v>44</v>
      </c>
      <c r="G109" s="67" t="n">
        <v>13.845</v>
      </c>
      <c r="H109" s="67" t="n">
        <v>10</v>
      </c>
      <c r="I109" s="68" t="s">
        <v>1388</v>
      </c>
      <c r="J109" s="67" t="n">
        <v>9.25</v>
      </c>
      <c r="K109" s="67" t="n">
        <v>9.25</v>
      </c>
      <c r="L109" s="67" t="n">
        <v>0</v>
      </c>
      <c r="M109" s="67" t="n">
        <v>4</v>
      </c>
      <c r="N109" s="67" t="n">
        <v>-4</v>
      </c>
      <c r="O109" s="67" t="n">
        <v>1.25</v>
      </c>
      <c r="P109" s="67" t="n">
        <v>0</v>
      </c>
      <c r="Q109" s="67"/>
      <c r="R109" s="68" t="s">
        <v>202</v>
      </c>
      <c r="S109" s="69"/>
      <c r="T109" s="68" t="s">
        <v>200</v>
      </c>
      <c r="U109" s="68"/>
      <c r="V109" s="68" t="n">
        <v>1.41729423868108</v>
      </c>
      <c r="W109" s="68" t="n">
        <v>12.7556481481297</v>
      </c>
      <c r="X109" s="68" t="n">
        <v>9</v>
      </c>
      <c r="Y109" s="92"/>
    </row>
    <row r="110" customFormat="false" ht="14.25" hidden="false" customHeight="false" outlineLevel="0" collapsed="false">
      <c r="C110" s="64" t="n">
        <v>105</v>
      </c>
      <c r="D110" s="65" t="s">
        <v>1490</v>
      </c>
      <c r="E110" s="65" t="s">
        <v>897</v>
      </c>
      <c r="F110" s="66" t="n">
        <v>44</v>
      </c>
      <c r="G110" s="67" t="n">
        <v>13.8</v>
      </c>
      <c r="H110" s="67" t="n">
        <v>3.75</v>
      </c>
      <c r="I110" s="68" t="s">
        <v>1388</v>
      </c>
      <c r="J110" s="67" t="n">
        <v>6.75</v>
      </c>
      <c r="K110" s="67" t="n">
        <v>6.75</v>
      </c>
      <c r="L110" s="67" t="n">
        <v>0</v>
      </c>
      <c r="M110" s="67" t="n">
        <v>2</v>
      </c>
      <c r="N110" s="67" t="n">
        <v>-4</v>
      </c>
      <c r="O110" s="67" t="n">
        <v>2.5</v>
      </c>
      <c r="P110" s="67" t="n">
        <v>0</v>
      </c>
      <c r="Q110" s="67"/>
      <c r="R110" s="68" t="s">
        <v>202</v>
      </c>
      <c r="S110" s="69"/>
      <c r="T110" s="68" t="s">
        <v>200</v>
      </c>
      <c r="U110" s="68"/>
      <c r="V110" s="68"/>
      <c r="W110" s="68"/>
      <c r="X110" s="68"/>
      <c r="Y110" s="92"/>
    </row>
    <row r="111" customFormat="false" ht="14.25" hidden="false" customHeight="false" outlineLevel="0" collapsed="false">
      <c r="C111" s="64" t="n">
        <v>106</v>
      </c>
      <c r="D111" s="65" t="s">
        <v>1491</v>
      </c>
      <c r="E111" s="65" t="s">
        <v>1492</v>
      </c>
      <c r="F111" s="66" t="n">
        <v>44</v>
      </c>
      <c r="G111" s="67" t="n">
        <v>13.2</v>
      </c>
      <c r="H111" s="67" t="n">
        <v>20</v>
      </c>
      <c r="I111" s="68" t="s">
        <v>1388</v>
      </c>
      <c r="J111" s="67" t="n">
        <v>7.2</v>
      </c>
      <c r="K111" s="67" t="n">
        <v>7.2</v>
      </c>
      <c r="L111" s="67" t="n">
        <v>0</v>
      </c>
      <c r="M111" s="67" t="n">
        <v>4</v>
      </c>
      <c r="N111" s="67" t="n">
        <v>-4</v>
      </c>
      <c r="O111" s="67" t="n">
        <v>2.5</v>
      </c>
      <c r="P111" s="67" t="n">
        <v>0</v>
      </c>
      <c r="Q111" s="67"/>
      <c r="R111" s="68" t="s">
        <v>202</v>
      </c>
      <c r="S111" s="69"/>
      <c r="T111" s="68" t="s">
        <v>200</v>
      </c>
      <c r="U111" s="68"/>
      <c r="V111" s="68" t="n">
        <v>8.45065513628267</v>
      </c>
      <c r="W111" s="68" t="n">
        <v>74.6474537038303</v>
      </c>
      <c r="X111" s="68" t="n">
        <v>8.83333333333333</v>
      </c>
      <c r="Y111" s="92"/>
    </row>
    <row r="112" customFormat="false" ht="14.25" hidden="false" customHeight="false" outlineLevel="0" collapsed="false">
      <c r="C112" s="64" t="n">
        <v>107</v>
      </c>
      <c r="D112" s="65" t="s">
        <v>1493</v>
      </c>
      <c r="E112" s="65" t="s">
        <v>1154</v>
      </c>
      <c r="F112" s="66" t="n">
        <v>46</v>
      </c>
      <c r="G112" s="67" t="n">
        <v>14</v>
      </c>
      <c r="H112" s="67" t="n">
        <v>5</v>
      </c>
      <c r="I112" s="68" t="s">
        <v>1368</v>
      </c>
      <c r="J112" s="67" t="n">
        <v>7.6</v>
      </c>
      <c r="K112" s="67" t="n">
        <v>7.6</v>
      </c>
      <c r="L112" s="67" t="n">
        <v>0</v>
      </c>
      <c r="M112" s="67" t="n">
        <v>0</v>
      </c>
      <c r="N112" s="67" t="n">
        <v>-4</v>
      </c>
      <c r="O112" s="67" t="n">
        <v>2.5</v>
      </c>
      <c r="P112" s="67" t="n">
        <v>0</v>
      </c>
      <c r="Q112" s="67"/>
      <c r="R112" s="68" t="s">
        <v>202</v>
      </c>
      <c r="S112" s="69"/>
      <c r="T112" s="68" t="s">
        <v>200</v>
      </c>
      <c r="U112" s="68"/>
      <c r="V112" s="68"/>
      <c r="W112" s="68"/>
      <c r="X112" s="68"/>
      <c r="Y112" s="92"/>
    </row>
    <row r="113" customFormat="false" ht="14.25" hidden="false" customHeight="false" outlineLevel="0" collapsed="false">
      <c r="C113" s="64" t="n">
        <v>108</v>
      </c>
      <c r="D113" s="65" t="s">
        <v>1494</v>
      </c>
      <c r="E113" s="65" t="s">
        <v>1495</v>
      </c>
      <c r="F113" s="66" t="n">
        <v>44</v>
      </c>
      <c r="G113" s="67" t="n">
        <v>13.6</v>
      </c>
      <c r="H113" s="67" t="n">
        <v>20</v>
      </c>
      <c r="I113" s="68" t="s">
        <v>1388</v>
      </c>
      <c r="J113" s="67" t="n">
        <v>7.31</v>
      </c>
      <c r="K113" s="67" t="n">
        <v>7.31</v>
      </c>
      <c r="L113" s="67" t="n">
        <v>0</v>
      </c>
      <c r="M113" s="67" t="n">
        <v>5</v>
      </c>
      <c r="N113" s="67" t="n">
        <v>-5</v>
      </c>
      <c r="O113" s="67" t="n">
        <v>1.25</v>
      </c>
      <c r="P113" s="67" t="n">
        <v>0</v>
      </c>
      <c r="Q113" s="67"/>
      <c r="R113" s="68" t="s">
        <v>202</v>
      </c>
      <c r="S113" s="69"/>
      <c r="T113" s="68" t="s">
        <v>200</v>
      </c>
      <c r="U113" s="68"/>
      <c r="V113" s="68" t="n">
        <v>0.459983660141006</v>
      </c>
      <c r="W113" s="68" t="n">
        <v>2.60657407413237</v>
      </c>
      <c r="X113" s="68" t="n">
        <v>5.66666666666667</v>
      </c>
      <c r="Y113" s="92"/>
    </row>
    <row r="114" customFormat="false" ht="14.25" hidden="false" customHeight="false" outlineLevel="0" collapsed="false">
      <c r="C114" s="64" t="n">
        <v>109</v>
      </c>
      <c r="D114" s="65" t="s">
        <v>1496</v>
      </c>
      <c r="E114" s="65" t="s">
        <v>820</v>
      </c>
      <c r="F114" s="66" t="n">
        <v>110</v>
      </c>
      <c r="G114" s="67" t="n">
        <v>44</v>
      </c>
      <c r="H114" s="67" t="n">
        <v>40</v>
      </c>
      <c r="I114" s="68" t="s">
        <v>1368</v>
      </c>
      <c r="J114" s="67" t="n">
        <v>7.46</v>
      </c>
      <c r="K114" s="67" t="n">
        <v>7.46</v>
      </c>
      <c r="L114" s="67" t="n">
        <v>0</v>
      </c>
      <c r="M114" s="67" t="n">
        <v>12</v>
      </c>
      <c r="N114" s="67" t="n">
        <v>-8</v>
      </c>
      <c r="O114" s="67" t="n">
        <v>1.25</v>
      </c>
      <c r="P114" s="67" t="n">
        <v>0</v>
      </c>
      <c r="Q114" s="67"/>
      <c r="R114" s="68" t="s">
        <v>202</v>
      </c>
      <c r="S114" s="69"/>
      <c r="T114" s="68" t="s">
        <v>200</v>
      </c>
      <c r="U114" s="68"/>
      <c r="V114" s="68" t="n">
        <v>10.6802778</v>
      </c>
      <c r="W114" s="68" t="n">
        <v>21.3605556</v>
      </c>
      <c r="X114" s="68" t="n">
        <v>2</v>
      </c>
      <c r="Y114" s="92"/>
    </row>
    <row r="115" customFormat="false" ht="14.25" hidden="false" customHeight="false" outlineLevel="0" collapsed="false">
      <c r="C115" s="64" t="n">
        <v>110</v>
      </c>
      <c r="D115" s="65" t="s">
        <v>1497</v>
      </c>
      <c r="E115" s="65" t="s">
        <v>820</v>
      </c>
      <c r="F115" s="66" t="n">
        <v>44</v>
      </c>
      <c r="G115" s="67" t="n">
        <v>13.8</v>
      </c>
      <c r="H115" s="67" t="n">
        <v>12.5</v>
      </c>
      <c r="I115" s="68" t="s">
        <v>1388</v>
      </c>
      <c r="J115" s="67" t="n">
        <v>6.95</v>
      </c>
      <c r="K115" s="67" t="n">
        <v>6.95</v>
      </c>
      <c r="L115" s="67" t="n">
        <v>0</v>
      </c>
      <c r="M115" s="67" t="n">
        <v>12</v>
      </c>
      <c r="N115" s="67" t="n">
        <v>-8</v>
      </c>
      <c r="O115" s="67" t="n">
        <v>1.25</v>
      </c>
      <c r="P115" s="67" t="n">
        <v>0</v>
      </c>
      <c r="Q115" s="67"/>
      <c r="R115" s="68" t="s">
        <v>202</v>
      </c>
      <c r="S115" s="69"/>
      <c r="T115" s="68" t="s">
        <v>200</v>
      </c>
      <c r="U115" s="68"/>
      <c r="V115" s="68" t="n">
        <v>3.08043650795506</v>
      </c>
      <c r="W115" s="68" t="n">
        <v>7.18768518522847</v>
      </c>
      <c r="X115" s="68" t="n">
        <v>2.33333333333333</v>
      </c>
      <c r="Y115" s="92"/>
    </row>
    <row r="116" customFormat="false" ht="14.25" hidden="false" customHeight="false" outlineLevel="0" collapsed="false">
      <c r="C116" s="64" t="n">
        <v>111</v>
      </c>
      <c r="D116" s="65" t="s">
        <v>1498</v>
      </c>
      <c r="E116" s="65" t="s">
        <v>820</v>
      </c>
      <c r="F116" s="66" t="n">
        <v>44</v>
      </c>
      <c r="G116" s="67" t="n">
        <v>13.8</v>
      </c>
      <c r="H116" s="67" t="n">
        <v>20</v>
      </c>
      <c r="I116" s="68" t="s">
        <v>1388</v>
      </c>
      <c r="J116" s="67" t="n">
        <v>8.75</v>
      </c>
      <c r="K116" s="67" t="n">
        <v>8.75</v>
      </c>
      <c r="L116" s="67" t="n">
        <v>0</v>
      </c>
      <c r="M116" s="67" t="n">
        <v>8</v>
      </c>
      <c r="N116" s="67" t="n">
        <v>-12</v>
      </c>
      <c r="O116" s="67" t="n">
        <v>1.25</v>
      </c>
      <c r="P116" s="67" t="n">
        <v>0</v>
      </c>
      <c r="Q116" s="67"/>
      <c r="R116" s="68" t="s">
        <v>771</v>
      </c>
      <c r="S116" s="69" t="n">
        <v>44865</v>
      </c>
      <c r="T116" s="68" t="s">
        <v>200</v>
      </c>
      <c r="U116" s="68"/>
      <c r="V116" s="68"/>
      <c r="W116" s="68"/>
      <c r="X116" s="68"/>
      <c r="Y116" s="92"/>
    </row>
    <row r="117" customFormat="false" ht="14.25" hidden="false" customHeight="false" outlineLevel="0" collapsed="false">
      <c r="C117" s="64" t="n">
        <v>112</v>
      </c>
      <c r="D117" s="65" t="s">
        <v>1499</v>
      </c>
      <c r="E117" s="65" t="s">
        <v>1500</v>
      </c>
      <c r="F117" s="66" t="n">
        <v>44</v>
      </c>
      <c r="G117" s="67" t="n">
        <v>13.8</v>
      </c>
      <c r="H117" s="67" t="n">
        <v>20</v>
      </c>
      <c r="I117" s="68" t="s">
        <v>1388</v>
      </c>
      <c r="J117" s="67" t="n">
        <v>9.4</v>
      </c>
      <c r="K117" s="67" t="n">
        <v>9.4</v>
      </c>
      <c r="L117" s="67" t="n">
        <v>0</v>
      </c>
      <c r="M117" s="67" t="n">
        <v>4</v>
      </c>
      <c r="N117" s="67" t="n">
        <v>-4</v>
      </c>
      <c r="O117" s="67" t="n">
        <v>2.5</v>
      </c>
      <c r="P117" s="67" t="n">
        <v>0</v>
      </c>
      <c r="Q117" s="67"/>
      <c r="R117" s="68" t="s">
        <v>202</v>
      </c>
      <c r="S117" s="69"/>
      <c r="T117" s="68" t="s">
        <v>200</v>
      </c>
      <c r="U117" s="68"/>
      <c r="V117" s="68" t="n">
        <v>1.74691358024332</v>
      </c>
      <c r="W117" s="68" t="n">
        <v>5.24074074072996</v>
      </c>
      <c r="X117" s="68" t="n">
        <v>3</v>
      </c>
      <c r="Y117" s="92"/>
    </row>
    <row r="118" customFormat="false" ht="14.25" hidden="false" customHeight="false" outlineLevel="0" collapsed="false">
      <c r="C118" s="64" t="n">
        <v>113</v>
      </c>
      <c r="D118" s="65" t="s">
        <v>1501</v>
      </c>
      <c r="E118" s="65" t="s">
        <v>1502</v>
      </c>
      <c r="F118" s="66" t="n">
        <v>44</v>
      </c>
      <c r="G118" s="67" t="n">
        <v>13.8</v>
      </c>
      <c r="H118" s="67" t="n">
        <v>5</v>
      </c>
      <c r="I118" s="68" t="s">
        <v>1368</v>
      </c>
      <c r="J118" s="67" t="n">
        <v>7.04</v>
      </c>
      <c r="K118" s="67" t="n">
        <v>7.04</v>
      </c>
      <c r="L118" s="67" t="n">
        <v>0</v>
      </c>
      <c r="M118" s="67" t="n">
        <v>2</v>
      </c>
      <c r="N118" s="67" t="n">
        <v>-2</v>
      </c>
      <c r="O118" s="67" t="n">
        <v>2.5</v>
      </c>
      <c r="P118" s="67" t="n">
        <v>0</v>
      </c>
      <c r="Q118" s="67"/>
      <c r="R118" s="68" t="s">
        <v>202</v>
      </c>
      <c r="S118" s="69"/>
      <c r="T118" s="68" t="s">
        <v>200</v>
      </c>
      <c r="U118" s="68"/>
      <c r="V118" s="68"/>
      <c r="W118" s="68"/>
      <c r="X118" s="68"/>
      <c r="Y118" s="92"/>
    </row>
    <row r="119" customFormat="false" ht="14.25" hidden="false" customHeight="false" outlineLevel="0" collapsed="false">
      <c r="C119" s="64" t="n">
        <v>114</v>
      </c>
      <c r="D119" s="65" t="s">
        <v>1503</v>
      </c>
      <c r="E119" s="65" t="s">
        <v>991</v>
      </c>
      <c r="F119" s="66" t="n">
        <v>44</v>
      </c>
      <c r="G119" s="67" t="n">
        <v>13.8</v>
      </c>
      <c r="H119" s="67" t="n">
        <v>5</v>
      </c>
      <c r="I119" s="68" t="s">
        <v>1368</v>
      </c>
      <c r="J119" s="67" t="n">
        <v>5.2</v>
      </c>
      <c r="K119" s="67" t="n">
        <v>5.2</v>
      </c>
      <c r="L119" s="67" t="n">
        <v>0</v>
      </c>
      <c r="M119" s="67" t="n">
        <v>2</v>
      </c>
      <c r="N119" s="67" t="n">
        <v>-4</v>
      </c>
      <c r="O119" s="67" t="n">
        <v>2.5</v>
      </c>
      <c r="P119" s="67" t="n">
        <v>0</v>
      </c>
      <c r="Q119" s="67"/>
      <c r="R119" s="68" t="s">
        <v>202</v>
      </c>
      <c r="S119" s="69"/>
      <c r="T119" s="68" t="s">
        <v>200</v>
      </c>
      <c r="U119" s="68"/>
      <c r="V119" s="68"/>
      <c r="W119" s="68"/>
      <c r="X119" s="68"/>
      <c r="Y119" s="92"/>
    </row>
    <row r="120" customFormat="false" ht="14.25" hidden="false" customHeight="false" outlineLevel="0" collapsed="false">
      <c r="C120" s="64" t="n">
        <v>115</v>
      </c>
      <c r="D120" s="65" t="s">
        <v>1504</v>
      </c>
      <c r="E120" s="65" t="s">
        <v>902</v>
      </c>
      <c r="F120" s="66" t="n">
        <v>44</v>
      </c>
      <c r="G120" s="67" t="n">
        <v>13.2</v>
      </c>
      <c r="H120" s="67" t="n">
        <v>10</v>
      </c>
      <c r="I120" s="68" t="s">
        <v>1368</v>
      </c>
      <c r="J120" s="67" t="n">
        <v>5.33</v>
      </c>
      <c r="K120" s="67" t="n">
        <v>5.33</v>
      </c>
      <c r="L120" s="67" t="n">
        <v>0</v>
      </c>
      <c r="M120" s="67" t="n">
        <v>2</v>
      </c>
      <c r="N120" s="67" t="n">
        <v>-2</v>
      </c>
      <c r="O120" s="67" t="n">
        <v>2.5</v>
      </c>
      <c r="P120" s="67" t="n">
        <v>0</v>
      </c>
      <c r="Q120" s="67"/>
      <c r="R120" s="68" t="s">
        <v>202</v>
      </c>
      <c r="S120" s="69"/>
      <c r="T120" s="68" t="s">
        <v>200</v>
      </c>
      <c r="U120" s="68"/>
      <c r="V120" s="68" t="n">
        <v>0.874904761900793</v>
      </c>
      <c r="W120" s="68" t="n">
        <v>10.2072222221759</v>
      </c>
      <c r="X120" s="68" t="n">
        <v>11.6666666666667</v>
      </c>
      <c r="Y120" s="92"/>
    </row>
    <row r="121" customFormat="false" ht="14.25" hidden="false" customHeight="false" outlineLevel="0" collapsed="false">
      <c r="C121" s="64" t="n">
        <v>116</v>
      </c>
      <c r="D121" s="65" t="s">
        <v>1505</v>
      </c>
      <c r="E121" s="65" t="s">
        <v>930</v>
      </c>
      <c r="F121" s="66" t="n">
        <v>110</v>
      </c>
      <c r="G121" s="67" t="n">
        <v>13.8</v>
      </c>
      <c r="H121" s="67" t="n">
        <v>37.5</v>
      </c>
      <c r="I121" s="68" t="s">
        <v>1436</v>
      </c>
      <c r="J121" s="67" t="n">
        <v>12.67</v>
      </c>
      <c r="K121" s="67" t="n">
        <v>11.47</v>
      </c>
      <c r="L121" s="67" t="n">
        <v>0</v>
      </c>
      <c r="M121" s="67" t="n">
        <v>8</v>
      </c>
      <c r="N121" s="67" t="n">
        <v>-8</v>
      </c>
      <c r="O121" s="67" t="n">
        <v>1.25</v>
      </c>
      <c r="P121" s="67" t="n">
        <v>0</v>
      </c>
      <c r="Q121" s="67"/>
      <c r="R121" s="68" t="s">
        <v>202</v>
      </c>
      <c r="S121" s="69"/>
      <c r="T121" s="68" t="s">
        <v>200</v>
      </c>
      <c r="U121" s="68"/>
      <c r="V121" s="68"/>
      <c r="W121" s="68"/>
      <c r="X121" s="68"/>
      <c r="Y121" s="92"/>
    </row>
    <row r="122" customFormat="false" ht="14.25" hidden="false" customHeight="false" outlineLevel="0" collapsed="false">
      <c r="C122" s="64" t="n">
        <v>117</v>
      </c>
      <c r="D122" s="65" t="s">
        <v>1506</v>
      </c>
      <c r="E122" s="65" t="s">
        <v>930</v>
      </c>
      <c r="F122" s="66" t="n">
        <v>110</v>
      </c>
      <c r="G122" s="66" t="n">
        <v>44</v>
      </c>
      <c r="H122" s="67" t="n">
        <v>40</v>
      </c>
      <c r="I122" s="68" t="s">
        <v>1371</v>
      </c>
      <c r="J122" s="67" t="n">
        <v>11.76</v>
      </c>
      <c r="K122" s="67" t="n">
        <v>11.66</v>
      </c>
      <c r="L122" s="67" t="n">
        <v>0</v>
      </c>
      <c r="M122" s="67" t="n">
        <v>8</v>
      </c>
      <c r="N122" s="67" t="n">
        <v>-8</v>
      </c>
      <c r="O122" s="67" t="n">
        <v>1.25</v>
      </c>
      <c r="P122" s="67" t="n">
        <v>0</v>
      </c>
      <c r="Q122" s="67"/>
      <c r="R122" s="68" t="s">
        <v>202</v>
      </c>
      <c r="S122" s="69"/>
      <c r="T122" s="68" t="s">
        <v>200</v>
      </c>
      <c r="U122" s="68"/>
      <c r="V122" s="68"/>
      <c r="W122" s="68"/>
      <c r="X122" s="68"/>
      <c r="Y122" s="92"/>
    </row>
    <row r="123" customFormat="false" ht="14.25" hidden="false" customHeight="false" outlineLevel="0" collapsed="false">
      <c r="C123" s="64" t="n">
        <v>118</v>
      </c>
      <c r="D123" s="65" t="s">
        <v>1507</v>
      </c>
      <c r="E123" s="65" t="s">
        <v>941</v>
      </c>
      <c r="F123" s="66" t="n">
        <v>44</v>
      </c>
      <c r="G123" s="67" t="n">
        <v>13.659</v>
      </c>
      <c r="H123" s="67" t="n">
        <v>20</v>
      </c>
      <c r="I123" s="68" t="s">
        <v>1388</v>
      </c>
      <c r="J123" s="67" t="n">
        <v>9.33</v>
      </c>
      <c r="K123" s="67" t="n">
        <v>9.33</v>
      </c>
      <c r="L123" s="67" t="n">
        <v>0</v>
      </c>
      <c r="M123" s="67" t="n">
        <v>4</v>
      </c>
      <c r="N123" s="67" t="n">
        <v>-4</v>
      </c>
      <c r="O123" s="67" t="n">
        <v>2.5</v>
      </c>
      <c r="P123" s="67" t="n">
        <v>0</v>
      </c>
      <c r="Q123" s="67"/>
      <c r="R123" s="68" t="s">
        <v>202</v>
      </c>
      <c r="S123" s="69"/>
      <c r="T123" s="68" t="s">
        <v>200</v>
      </c>
      <c r="U123" s="68"/>
      <c r="V123" s="68" t="n">
        <v>0.474385521887929</v>
      </c>
      <c r="W123" s="68" t="n">
        <v>3.13094444446033</v>
      </c>
      <c r="X123" s="68" t="n">
        <v>6.6</v>
      </c>
      <c r="Y123" s="92"/>
    </row>
    <row r="124" customFormat="false" ht="14.25" hidden="false" customHeight="false" outlineLevel="0" collapsed="false">
      <c r="C124" s="64" t="n">
        <v>119</v>
      </c>
      <c r="D124" s="65" t="s">
        <v>1508</v>
      </c>
      <c r="E124" s="65" t="s">
        <v>1052</v>
      </c>
      <c r="F124" s="66" t="n">
        <v>44</v>
      </c>
      <c r="G124" s="67" t="n">
        <v>13.8</v>
      </c>
      <c r="H124" s="67" t="n">
        <v>12.5</v>
      </c>
      <c r="I124" s="68" t="s">
        <v>1368</v>
      </c>
      <c r="J124" s="67" t="n">
        <v>6.73</v>
      </c>
      <c r="K124" s="67" t="n">
        <v>6.73</v>
      </c>
      <c r="L124" s="67" t="n">
        <v>0</v>
      </c>
      <c r="M124" s="67" t="n">
        <v>10</v>
      </c>
      <c r="N124" s="67" t="n">
        <v>-10</v>
      </c>
      <c r="O124" s="67" t="n">
        <v>1.25</v>
      </c>
      <c r="P124" s="67" t="n">
        <v>0</v>
      </c>
      <c r="Q124" s="67"/>
      <c r="R124" s="68" t="s">
        <v>202</v>
      </c>
      <c r="S124" s="69"/>
      <c r="T124" s="68" t="s">
        <v>200</v>
      </c>
      <c r="U124" s="68"/>
      <c r="V124" s="68" t="n">
        <v>0.468888888883937</v>
      </c>
      <c r="W124" s="68" t="n">
        <v>3.28222222218756</v>
      </c>
      <c r="X124" s="68" t="n">
        <v>7</v>
      </c>
      <c r="Y124" s="92"/>
    </row>
    <row r="125" customFormat="false" ht="14.25" hidden="false" customHeight="false" outlineLevel="0" collapsed="false">
      <c r="C125" s="64" t="n">
        <v>120</v>
      </c>
      <c r="D125" s="65" t="s">
        <v>1509</v>
      </c>
      <c r="E125" s="65" t="s">
        <v>980</v>
      </c>
      <c r="F125" s="66" t="n">
        <v>44</v>
      </c>
      <c r="G125" s="67" t="n">
        <v>13.8</v>
      </c>
      <c r="H125" s="67" t="n">
        <v>5</v>
      </c>
      <c r="I125" s="68" t="s">
        <v>1368</v>
      </c>
      <c r="J125" s="67" t="n">
        <v>6.93</v>
      </c>
      <c r="K125" s="67" t="n">
        <v>6.93</v>
      </c>
      <c r="L125" s="67" t="n">
        <v>0</v>
      </c>
      <c r="M125" s="67" t="n">
        <v>2</v>
      </c>
      <c r="N125" s="67" t="n">
        <v>-2</v>
      </c>
      <c r="O125" s="67" t="n">
        <v>2.5</v>
      </c>
      <c r="P125" s="67" t="n">
        <v>0</v>
      </c>
      <c r="Q125" s="67"/>
      <c r="R125" s="68" t="s">
        <v>202</v>
      </c>
      <c r="S125" s="69"/>
      <c r="T125" s="68" t="s">
        <v>200</v>
      </c>
      <c r="U125" s="68"/>
      <c r="V125" s="68"/>
      <c r="W125" s="68"/>
      <c r="X125" s="68"/>
      <c r="Y125" s="92"/>
    </row>
    <row r="126" customFormat="false" ht="14.25" hidden="false" customHeight="false" outlineLevel="0" collapsed="false">
      <c r="C126" s="64" t="n">
        <v>121</v>
      </c>
      <c r="D126" s="65" t="s">
        <v>1510</v>
      </c>
      <c r="E126" s="65" t="s">
        <v>1047</v>
      </c>
      <c r="F126" s="66" t="n">
        <v>110</v>
      </c>
      <c r="G126" s="67" t="n">
        <v>44</v>
      </c>
      <c r="H126" s="67" t="n">
        <v>25</v>
      </c>
      <c r="I126" s="68" t="s">
        <v>1368</v>
      </c>
      <c r="J126" s="67" t="n">
        <v>7.81</v>
      </c>
      <c r="K126" s="67" t="n">
        <v>7.81</v>
      </c>
      <c r="L126" s="67" t="n">
        <v>0</v>
      </c>
      <c r="M126" s="67" t="n">
        <v>8</v>
      </c>
      <c r="N126" s="67" t="n">
        <v>-12</v>
      </c>
      <c r="O126" s="67" t="n">
        <v>1.25</v>
      </c>
      <c r="P126" s="67" t="n">
        <v>0</v>
      </c>
      <c r="Q126" s="67"/>
      <c r="R126" s="68" t="s">
        <v>202</v>
      </c>
      <c r="S126" s="69"/>
      <c r="T126" s="68" t="s">
        <v>200</v>
      </c>
      <c r="U126" s="68"/>
      <c r="V126" s="68" t="n">
        <v>14.4416667</v>
      </c>
      <c r="W126" s="68" t="n">
        <v>101.0916669</v>
      </c>
      <c r="X126" s="68" t="n">
        <v>7</v>
      </c>
      <c r="Y126" s="92"/>
    </row>
    <row r="127" customFormat="false" ht="14.25" hidden="false" customHeight="false" outlineLevel="0" collapsed="false">
      <c r="C127" s="64" t="n">
        <v>122</v>
      </c>
      <c r="D127" s="65" t="s">
        <v>1511</v>
      </c>
      <c r="E127" s="65" t="s">
        <v>1047</v>
      </c>
      <c r="F127" s="66" t="n">
        <v>44</v>
      </c>
      <c r="G127" s="67" t="n">
        <v>13.8</v>
      </c>
      <c r="H127" s="67" t="n">
        <v>10</v>
      </c>
      <c r="I127" s="68" t="s">
        <v>1368</v>
      </c>
      <c r="J127" s="67" t="n">
        <v>6.08</v>
      </c>
      <c r="K127" s="67" t="n">
        <v>6.08</v>
      </c>
      <c r="L127" s="67" t="n">
        <v>0</v>
      </c>
      <c r="M127" s="67" t="n">
        <v>2</v>
      </c>
      <c r="N127" s="67" t="n">
        <v>-6</v>
      </c>
      <c r="O127" s="67" t="n">
        <v>2.5</v>
      </c>
      <c r="P127" s="67" t="n">
        <v>0</v>
      </c>
      <c r="Q127" s="67"/>
      <c r="R127" s="68" t="s">
        <v>202</v>
      </c>
      <c r="S127" s="69"/>
      <c r="T127" s="68" t="s">
        <v>200</v>
      </c>
      <c r="U127" s="68"/>
      <c r="V127" s="68" t="n">
        <v>1.52195601852873</v>
      </c>
      <c r="W127" s="68" t="n">
        <v>12.1756481482298</v>
      </c>
      <c r="X127" s="68" t="n">
        <v>8</v>
      </c>
      <c r="Y127" s="92"/>
    </row>
    <row r="128" customFormat="false" ht="14.25" hidden="false" customHeight="false" outlineLevel="0" collapsed="false">
      <c r="C128" s="64" t="n">
        <v>123</v>
      </c>
      <c r="D128" s="65" t="s">
        <v>1512</v>
      </c>
      <c r="E128" s="65" t="s">
        <v>938</v>
      </c>
      <c r="F128" s="66" t="n">
        <v>110</v>
      </c>
      <c r="G128" s="67" t="n">
        <v>46.6</v>
      </c>
      <c r="H128" s="67" t="n">
        <v>40</v>
      </c>
      <c r="I128" s="68" t="s">
        <v>1368</v>
      </c>
      <c r="J128" s="67" t="n">
        <v>8.15</v>
      </c>
      <c r="K128" s="67" t="n">
        <v>8.15</v>
      </c>
      <c r="L128" s="67" t="n">
        <v>0</v>
      </c>
      <c r="M128" s="67" t="n">
        <v>8</v>
      </c>
      <c r="N128" s="67" t="n">
        <v>-8</v>
      </c>
      <c r="O128" s="67" t="n">
        <v>1.25</v>
      </c>
      <c r="P128" s="67" t="n">
        <v>0</v>
      </c>
      <c r="Q128" s="67"/>
      <c r="R128" s="68" t="s">
        <v>202</v>
      </c>
      <c r="S128" s="69"/>
      <c r="T128" s="68" t="s">
        <v>200</v>
      </c>
      <c r="U128" s="68"/>
      <c r="V128" s="68" t="n">
        <v>16.8812222</v>
      </c>
      <c r="W128" s="68" t="n">
        <v>104.66357764</v>
      </c>
      <c r="X128" s="68" t="n">
        <v>6.2</v>
      </c>
      <c r="Y128" s="92"/>
    </row>
    <row r="129" customFormat="false" ht="14.25" hidden="false" customHeight="false" outlineLevel="0" collapsed="false">
      <c r="C129" s="64" t="n">
        <v>124</v>
      </c>
      <c r="D129" s="65" t="s">
        <v>1513</v>
      </c>
      <c r="E129" s="65" t="s">
        <v>938</v>
      </c>
      <c r="F129" s="66" t="n">
        <v>44</v>
      </c>
      <c r="G129" s="67" t="n">
        <v>13.2</v>
      </c>
      <c r="H129" s="67" t="n">
        <v>25</v>
      </c>
      <c r="I129" s="68" t="s">
        <v>1368</v>
      </c>
      <c r="J129" s="67" t="n">
        <v>9.79</v>
      </c>
      <c r="K129" s="67" t="n">
        <v>9.79</v>
      </c>
      <c r="L129" s="67" t="n">
        <v>0</v>
      </c>
      <c r="M129" s="67" t="n">
        <v>5</v>
      </c>
      <c r="N129" s="67" t="n">
        <v>-5</v>
      </c>
      <c r="O129" s="67" t="n">
        <v>2</v>
      </c>
      <c r="P129" s="67" t="n">
        <v>0</v>
      </c>
      <c r="Q129" s="67"/>
      <c r="R129" s="68" t="s">
        <v>202</v>
      </c>
      <c r="S129" s="69"/>
      <c r="T129" s="68" t="s">
        <v>200</v>
      </c>
      <c r="U129" s="68"/>
      <c r="V129" s="68" t="n">
        <v>1.3165806878408</v>
      </c>
      <c r="W129" s="68" t="n">
        <v>9.21606481488561</v>
      </c>
      <c r="X129" s="68" t="n">
        <v>7</v>
      </c>
      <c r="Y129" s="92"/>
    </row>
    <row r="130" customFormat="false" ht="14.25" hidden="false" customHeight="false" outlineLevel="0" collapsed="false">
      <c r="C130" s="64" t="n">
        <v>125</v>
      </c>
      <c r="D130" s="65" t="s">
        <v>1514</v>
      </c>
      <c r="E130" s="65" t="s">
        <v>1022</v>
      </c>
      <c r="F130" s="66" t="n">
        <v>44</v>
      </c>
      <c r="G130" s="67" t="n">
        <v>13.8</v>
      </c>
      <c r="H130" s="67" t="n">
        <v>3</v>
      </c>
      <c r="I130" s="68" t="s">
        <v>1388</v>
      </c>
      <c r="J130" s="67" t="n">
        <v>6.46</v>
      </c>
      <c r="K130" s="67" t="n">
        <v>6.46</v>
      </c>
      <c r="L130" s="67" t="n">
        <v>0</v>
      </c>
      <c r="M130" s="67" t="n">
        <v>2</v>
      </c>
      <c r="N130" s="67" t="n">
        <v>-2</v>
      </c>
      <c r="O130" s="67" t="n">
        <v>2.5</v>
      </c>
      <c r="P130" s="67" t="n">
        <v>0</v>
      </c>
      <c r="Q130" s="67"/>
      <c r="R130" s="68" t="s">
        <v>202</v>
      </c>
      <c r="S130" s="69"/>
      <c r="T130" s="68" t="s">
        <v>200</v>
      </c>
      <c r="U130" s="68"/>
      <c r="V130" s="68"/>
      <c r="W130" s="68"/>
      <c r="X130" s="68"/>
      <c r="Y130" s="92"/>
    </row>
    <row r="131" customFormat="false" ht="14.25" hidden="false" customHeight="false" outlineLevel="0" collapsed="false">
      <c r="C131" s="64" t="n">
        <v>126</v>
      </c>
      <c r="D131" s="65" t="s">
        <v>1515</v>
      </c>
      <c r="E131" s="65" t="s">
        <v>914</v>
      </c>
      <c r="F131" s="66" t="n">
        <v>44</v>
      </c>
      <c r="G131" s="67" t="n">
        <v>13.8</v>
      </c>
      <c r="H131" s="67" t="n">
        <v>10</v>
      </c>
      <c r="I131" s="68" t="s">
        <v>1368</v>
      </c>
      <c r="J131" s="67" t="n">
        <v>5.33</v>
      </c>
      <c r="K131" s="67" t="n">
        <v>5.33</v>
      </c>
      <c r="L131" s="67" t="n">
        <v>0</v>
      </c>
      <c r="M131" s="67" t="n">
        <v>8</v>
      </c>
      <c r="N131" s="67" t="n">
        <v>-12</v>
      </c>
      <c r="O131" s="67" t="n">
        <v>1.25</v>
      </c>
      <c r="P131" s="67" t="n">
        <v>0</v>
      </c>
      <c r="Q131" s="67"/>
      <c r="R131" s="68" t="s">
        <v>202</v>
      </c>
      <c r="S131" s="69"/>
      <c r="T131" s="68" t="s">
        <v>200</v>
      </c>
      <c r="U131" s="68"/>
      <c r="V131" s="68" t="n">
        <v>11.1285850694439</v>
      </c>
      <c r="W131" s="68" t="n">
        <v>59.352453703701</v>
      </c>
      <c r="X131" s="68" t="n">
        <v>5.33333333333333</v>
      </c>
      <c r="Y131" s="92"/>
    </row>
    <row r="132" customFormat="false" ht="14.25" hidden="false" customHeight="false" outlineLevel="0" collapsed="false">
      <c r="C132" s="64" t="n">
        <v>127</v>
      </c>
      <c r="D132" s="65" t="s">
        <v>1516</v>
      </c>
      <c r="E132" s="65" t="s">
        <v>910</v>
      </c>
      <c r="F132" s="66" t="n">
        <v>44</v>
      </c>
      <c r="G132" s="67" t="n">
        <v>13.8</v>
      </c>
      <c r="H132" s="67" t="n">
        <v>6.25</v>
      </c>
      <c r="I132" s="68" t="s">
        <v>1368</v>
      </c>
      <c r="J132" s="67" t="n">
        <v>8.05</v>
      </c>
      <c r="K132" s="67" t="n">
        <v>8.05</v>
      </c>
      <c r="L132" s="67" t="n">
        <v>0</v>
      </c>
      <c r="M132" s="67" t="n">
        <v>2</v>
      </c>
      <c r="N132" s="67" t="n">
        <v>-2</v>
      </c>
      <c r="O132" s="67" t="n">
        <v>2.5</v>
      </c>
      <c r="P132" s="67" t="n">
        <v>0</v>
      </c>
      <c r="Q132" s="67"/>
      <c r="R132" s="68" t="s">
        <v>202</v>
      </c>
      <c r="S132" s="69"/>
      <c r="T132" s="68" t="s">
        <v>200</v>
      </c>
      <c r="U132" s="68"/>
      <c r="V132" s="68"/>
      <c r="W132" s="68"/>
      <c r="X132" s="68"/>
      <c r="Y132" s="92"/>
    </row>
    <row r="133" customFormat="false" ht="14.25" hidden="false" customHeight="false" outlineLevel="0" collapsed="false">
      <c r="C133" s="64" t="n">
        <v>128</v>
      </c>
      <c r="D133" s="65" t="s">
        <v>1517</v>
      </c>
      <c r="E133" s="65" t="s">
        <v>1518</v>
      </c>
      <c r="F133" s="66" t="n">
        <v>44</v>
      </c>
      <c r="G133" s="67" t="n">
        <v>13.2</v>
      </c>
      <c r="H133" s="67" t="n">
        <v>20</v>
      </c>
      <c r="I133" s="68" t="s">
        <v>1368</v>
      </c>
      <c r="J133" s="67" t="n">
        <v>9</v>
      </c>
      <c r="K133" s="67" t="n">
        <v>9</v>
      </c>
      <c r="L133" s="67" t="n">
        <v>0</v>
      </c>
      <c r="M133" s="67" t="n">
        <v>2</v>
      </c>
      <c r="N133" s="67" t="n">
        <v>-2</v>
      </c>
      <c r="O133" s="67" t="n">
        <v>2.5</v>
      </c>
      <c r="P133" s="67" t="n">
        <v>0</v>
      </c>
      <c r="Q133" s="67"/>
      <c r="R133" s="68" t="s">
        <v>202</v>
      </c>
      <c r="S133" s="69"/>
      <c r="T133" s="68" t="s">
        <v>200</v>
      </c>
      <c r="U133" s="68"/>
      <c r="V133" s="68" t="n">
        <v>1.1108781361836</v>
      </c>
      <c r="W133" s="68" t="n">
        <v>5.7395370369486</v>
      </c>
      <c r="X133" s="68" t="n">
        <v>5.16666666666667</v>
      </c>
      <c r="Y133" s="92"/>
    </row>
    <row r="134" customFormat="false" ht="14.25" hidden="false" customHeight="false" outlineLevel="0" collapsed="false">
      <c r="C134" s="64" t="n">
        <v>129</v>
      </c>
      <c r="D134" s="65" t="s">
        <v>1519</v>
      </c>
      <c r="E134" s="65" t="s">
        <v>922</v>
      </c>
      <c r="F134" s="66" t="n">
        <v>44</v>
      </c>
      <c r="G134" s="67" t="n">
        <v>13.8</v>
      </c>
      <c r="H134" s="67" t="n">
        <v>3.75</v>
      </c>
      <c r="I134" s="68" t="s">
        <v>1368</v>
      </c>
      <c r="J134" s="67" t="n">
        <v>6.53</v>
      </c>
      <c r="K134" s="67" t="n">
        <v>6.53</v>
      </c>
      <c r="L134" s="67" t="n">
        <v>0</v>
      </c>
      <c r="M134" s="67" t="n">
        <v>2</v>
      </c>
      <c r="N134" s="67" t="n">
        <v>-2</v>
      </c>
      <c r="O134" s="67" t="n">
        <v>2.5</v>
      </c>
      <c r="P134" s="67" t="n">
        <v>0</v>
      </c>
      <c r="Q134" s="67"/>
      <c r="R134" s="68" t="s">
        <v>202</v>
      </c>
      <c r="S134" s="69"/>
      <c r="T134" s="68" t="s">
        <v>200</v>
      </c>
      <c r="U134" s="68"/>
      <c r="V134" s="68"/>
      <c r="W134" s="68"/>
      <c r="X134" s="68"/>
      <c r="Y134" s="92"/>
    </row>
    <row r="135" customFormat="false" ht="14.25" hidden="false" customHeight="false" outlineLevel="0" collapsed="false">
      <c r="C135" s="64" t="n">
        <v>130</v>
      </c>
      <c r="D135" s="65" t="s">
        <v>1520</v>
      </c>
      <c r="E135" s="65" t="s">
        <v>976</v>
      </c>
      <c r="F135" s="66" t="n">
        <v>115</v>
      </c>
      <c r="G135" s="67" t="n">
        <v>44</v>
      </c>
      <c r="H135" s="67" t="n">
        <v>32</v>
      </c>
      <c r="I135" s="68" t="s">
        <v>1521</v>
      </c>
      <c r="J135" s="67" t="n">
        <v>13.6</v>
      </c>
      <c r="K135" s="67" t="n">
        <v>13.6</v>
      </c>
      <c r="L135" s="67" t="n">
        <v>0</v>
      </c>
      <c r="M135" s="67" t="n">
        <v>5</v>
      </c>
      <c r="N135" s="67" t="n">
        <v>-13</v>
      </c>
      <c r="O135" s="67" t="n">
        <v>1.25</v>
      </c>
      <c r="P135" s="67" t="n">
        <v>0</v>
      </c>
      <c r="Q135" s="67"/>
      <c r="R135" s="68" t="s">
        <v>202</v>
      </c>
      <c r="S135" s="69"/>
      <c r="T135" s="68" t="s">
        <v>200</v>
      </c>
      <c r="U135" s="68"/>
      <c r="V135" s="68" t="n">
        <v>13.1210185</v>
      </c>
      <c r="W135" s="68" t="n">
        <v>65.6050925</v>
      </c>
      <c r="X135" s="68" t="n">
        <v>5</v>
      </c>
      <c r="Y135" s="92"/>
    </row>
    <row r="136" customFormat="false" ht="14.25" hidden="false" customHeight="false" outlineLevel="0" collapsed="false">
      <c r="C136" s="64" t="n">
        <v>131</v>
      </c>
      <c r="D136" s="65" t="s">
        <v>1522</v>
      </c>
      <c r="E136" s="65" t="s">
        <v>976</v>
      </c>
      <c r="F136" s="66" t="n">
        <v>44</v>
      </c>
      <c r="G136" s="67" t="n">
        <v>13.2</v>
      </c>
      <c r="H136" s="67" t="n">
        <v>4</v>
      </c>
      <c r="I136" s="68" t="s">
        <v>1368</v>
      </c>
      <c r="J136" s="67" t="n">
        <v>7.2</v>
      </c>
      <c r="K136" s="67" t="n">
        <v>7.2</v>
      </c>
      <c r="L136" s="67" t="n">
        <v>0</v>
      </c>
      <c r="M136" s="67" t="n">
        <v>2</v>
      </c>
      <c r="N136" s="67" t="n">
        <v>-2</v>
      </c>
      <c r="O136" s="67" t="n">
        <v>2.5</v>
      </c>
      <c r="P136" s="67" t="n">
        <v>0</v>
      </c>
      <c r="Q136" s="67"/>
      <c r="R136" s="68" t="s">
        <v>202</v>
      </c>
      <c r="S136" s="69"/>
      <c r="T136" s="68" t="s">
        <v>200</v>
      </c>
      <c r="U136" s="68"/>
      <c r="V136" s="68"/>
      <c r="W136" s="68"/>
      <c r="X136" s="68"/>
      <c r="Y136" s="92"/>
    </row>
    <row r="137" customFormat="false" ht="14.25" hidden="false" customHeight="false" outlineLevel="0" collapsed="false">
      <c r="C137" s="64" t="n">
        <v>132</v>
      </c>
      <c r="D137" s="65" t="s">
        <v>1523</v>
      </c>
      <c r="E137" s="65" t="s">
        <v>891</v>
      </c>
      <c r="F137" s="66" t="n">
        <v>44</v>
      </c>
      <c r="G137" s="67" t="n">
        <v>13.8</v>
      </c>
      <c r="H137" s="67" t="n">
        <v>5</v>
      </c>
      <c r="I137" s="68" t="s">
        <v>1368</v>
      </c>
      <c r="J137" s="67" t="n">
        <v>5.97</v>
      </c>
      <c r="K137" s="67" t="n">
        <v>5.97</v>
      </c>
      <c r="L137" s="67" t="n">
        <v>0</v>
      </c>
      <c r="M137" s="67" t="n">
        <v>2</v>
      </c>
      <c r="N137" s="67" t="n">
        <v>-2</v>
      </c>
      <c r="O137" s="67" t="n">
        <v>2.5</v>
      </c>
      <c r="P137" s="67" t="n">
        <v>0</v>
      </c>
      <c r="Q137" s="67"/>
      <c r="R137" s="68" t="s">
        <v>202</v>
      </c>
      <c r="S137" s="69"/>
      <c r="T137" s="68" t="s">
        <v>200</v>
      </c>
      <c r="U137" s="68"/>
      <c r="V137" s="68"/>
      <c r="W137" s="68"/>
      <c r="X137" s="68"/>
      <c r="Y137" s="92"/>
    </row>
    <row r="138" customFormat="false" ht="14.25" hidden="false" customHeight="false" outlineLevel="0" collapsed="false">
      <c r="C138" s="64" t="n">
        <v>133</v>
      </c>
      <c r="D138" s="65" t="s">
        <v>1524</v>
      </c>
      <c r="E138" s="65" t="s">
        <v>1525</v>
      </c>
      <c r="F138" s="66" t="n">
        <v>44</v>
      </c>
      <c r="G138" s="67" t="n">
        <v>13.8</v>
      </c>
      <c r="H138" s="67" t="n">
        <v>20</v>
      </c>
      <c r="I138" s="68" t="s">
        <v>1368</v>
      </c>
      <c r="J138" s="67" t="n">
        <v>8.625</v>
      </c>
      <c r="K138" s="67" t="n">
        <v>8.625</v>
      </c>
      <c r="L138" s="67" t="n">
        <v>0</v>
      </c>
      <c r="M138" s="67" t="n">
        <v>10</v>
      </c>
      <c r="N138" s="67" t="n">
        <v>-10</v>
      </c>
      <c r="O138" s="67" t="n">
        <v>1.25</v>
      </c>
      <c r="P138" s="67" t="n">
        <v>0</v>
      </c>
      <c r="Q138" s="67"/>
      <c r="R138" s="68" t="s">
        <v>202</v>
      </c>
      <c r="S138" s="69"/>
      <c r="T138" s="68" t="s">
        <v>200</v>
      </c>
      <c r="U138" s="68"/>
      <c r="V138" s="68" t="n">
        <v>1.86601449276381</v>
      </c>
      <c r="W138" s="68" t="n">
        <v>10.7295833333919</v>
      </c>
      <c r="X138" s="68" t="n">
        <v>5.75</v>
      </c>
      <c r="Y138" s="92"/>
    </row>
    <row r="139" customFormat="false" ht="14.25" hidden="false" customHeight="false" outlineLevel="0" collapsed="false">
      <c r="C139" s="64" t="n">
        <v>134</v>
      </c>
      <c r="D139" s="65" t="s">
        <v>1526</v>
      </c>
      <c r="E139" s="65" t="s">
        <v>765</v>
      </c>
      <c r="F139" s="66" t="n">
        <v>110</v>
      </c>
      <c r="G139" s="67" t="n">
        <v>46</v>
      </c>
      <c r="H139" s="67" t="n">
        <v>40</v>
      </c>
      <c r="I139" s="68" t="s">
        <v>1368</v>
      </c>
      <c r="J139" s="67" t="n">
        <v>7.16</v>
      </c>
      <c r="K139" s="67" t="n">
        <v>7.16</v>
      </c>
      <c r="L139" s="67" t="n">
        <v>0</v>
      </c>
      <c r="M139" s="67" t="n">
        <v>8</v>
      </c>
      <c r="N139" s="67" t="n">
        <v>-12</v>
      </c>
      <c r="O139" s="67" t="n">
        <v>1.25</v>
      </c>
      <c r="P139" s="67" t="n">
        <v>0</v>
      </c>
      <c r="Q139" s="67"/>
      <c r="R139" s="68" t="s">
        <v>202</v>
      </c>
      <c r="S139" s="69"/>
      <c r="T139" s="68" t="s">
        <v>200</v>
      </c>
      <c r="U139" s="68"/>
      <c r="V139" s="68" t="n">
        <v>44.7647222</v>
      </c>
      <c r="W139" s="68" t="n">
        <v>111.9118055</v>
      </c>
      <c r="X139" s="68" t="n">
        <v>2.5</v>
      </c>
      <c r="Y139" s="92"/>
    </row>
    <row r="140" customFormat="false" ht="14.25" hidden="false" customHeight="false" outlineLevel="0" collapsed="false">
      <c r="C140" s="64" t="n">
        <v>135</v>
      </c>
      <c r="D140" s="65" t="s">
        <v>1527</v>
      </c>
      <c r="E140" s="65" t="s">
        <v>765</v>
      </c>
      <c r="F140" s="66" t="n">
        <v>44</v>
      </c>
      <c r="G140" s="67" t="n">
        <v>13.8</v>
      </c>
      <c r="H140" s="67" t="n">
        <v>20</v>
      </c>
      <c r="I140" s="68" t="s">
        <v>1368</v>
      </c>
      <c r="J140" s="67" t="n">
        <v>8.625</v>
      </c>
      <c r="K140" s="67" t="n">
        <v>8.625</v>
      </c>
      <c r="L140" s="67" t="n">
        <v>0</v>
      </c>
      <c r="M140" s="67" t="n">
        <v>10</v>
      </c>
      <c r="N140" s="67" t="n">
        <v>-10</v>
      </c>
      <c r="O140" s="67" t="n">
        <v>1.25</v>
      </c>
      <c r="P140" s="67" t="n">
        <v>0</v>
      </c>
      <c r="Q140" s="67"/>
      <c r="R140" s="68" t="s">
        <v>202</v>
      </c>
      <c r="S140" s="69"/>
      <c r="T140" s="68" t="s">
        <v>200</v>
      </c>
      <c r="U140" s="68"/>
      <c r="V140" s="68" t="n">
        <v>1.93428888889728</v>
      </c>
      <c r="W140" s="68" t="n">
        <v>9.67144444448641</v>
      </c>
      <c r="X140" s="68" t="n">
        <v>5</v>
      </c>
      <c r="Y140" s="92"/>
    </row>
    <row r="141" customFormat="false" ht="14.25" hidden="false" customHeight="false" outlineLevel="0" collapsed="false">
      <c r="C141" s="64" t="n">
        <v>136</v>
      </c>
      <c r="D141" s="65" t="s">
        <v>1528</v>
      </c>
      <c r="E141" s="65" t="s">
        <v>843</v>
      </c>
      <c r="F141" s="66" t="n">
        <v>44</v>
      </c>
      <c r="G141" s="67" t="n">
        <v>13.8</v>
      </c>
      <c r="H141" s="67" t="n">
        <v>6</v>
      </c>
      <c r="I141" s="68" t="s">
        <v>1368</v>
      </c>
      <c r="J141" s="67" t="n">
        <v>7.11</v>
      </c>
      <c r="K141" s="67" t="n">
        <v>7.11</v>
      </c>
      <c r="L141" s="67" t="n">
        <v>0</v>
      </c>
      <c r="M141" s="67" t="n">
        <v>2</v>
      </c>
      <c r="N141" s="67" t="n">
        <v>-2</v>
      </c>
      <c r="O141" s="67" t="n">
        <v>2.5</v>
      </c>
      <c r="P141" s="67" t="n">
        <v>0</v>
      </c>
      <c r="Q141" s="67"/>
      <c r="R141" s="68" t="s">
        <v>202</v>
      </c>
      <c r="S141" s="69"/>
      <c r="T141" s="68" t="s">
        <v>200</v>
      </c>
      <c r="U141" s="68"/>
      <c r="V141" s="68" t="n">
        <v>3.14383333328879</v>
      </c>
      <c r="W141" s="68" t="n">
        <v>7.85958333322196</v>
      </c>
      <c r="X141" s="68" t="n">
        <v>2.5</v>
      </c>
      <c r="Y141" s="92"/>
    </row>
    <row r="142" customFormat="false" ht="14.25" hidden="false" customHeight="false" outlineLevel="0" collapsed="false">
      <c r="C142" s="64" t="n">
        <v>137</v>
      </c>
      <c r="D142" s="65" t="s">
        <v>1529</v>
      </c>
      <c r="E142" s="65" t="s">
        <v>962</v>
      </c>
      <c r="F142" s="66" t="n">
        <v>44</v>
      </c>
      <c r="G142" s="67" t="n">
        <v>13.8</v>
      </c>
      <c r="H142" s="67" t="n">
        <v>7.5</v>
      </c>
      <c r="I142" s="68" t="s">
        <v>1368</v>
      </c>
      <c r="J142" s="67" t="n">
        <v>7.16</v>
      </c>
      <c r="K142" s="67" t="n">
        <v>7.16</v>
      </c>
      <c r="L142" s="67" t="n">
        <v>0</v>
      </c>
      <c r="M142" s="67" t="n">
        <v>2</v>
      </c>
      <c r="N142" s="67" t="n">
        <v>-2</v>
      </c>
      <c r="O142" s="67" t="n">
        <v>2.5</v>
      </c>
      <c r="P142" s="67" t="n">
        <v>0</v>
      </c>
      <c r="Q142" s="67"/>
      <c r="R142" s="68" t="s">
        <v>202</v>
      </c>
      <c r="S142" s="69"/>
      <c r="T142" s="68" t="s">
        <v>200</v>
      </c>
      <c r="U142" s="68"/>
      <c r="V142" s="68"/>
      <c r="W142" s="68"/>
      <c r="X142" s="68"/>
      <c r="Y142" s="92"/>
    </row>
    <row r="143" customFormat="false" ht="14.25" hidden="false" customHeight="false" outlineLevel="0" collapsed="false">
      <c r="C143" s="64" t="n">
        <v>138</v>
      </c>
      <c r="D143" s="65" t="s">
        <v>1530</v>
      </c>
      <c r="E143" s="65" t="s">
        <v>943</v>
      </c>
      <c r="F143" s="66" t="n">
        <v>44</v>
      </c>
      <c r="G143" s="67" t="n">
        <v>13.2</v>
      </c>
      <c r="H143" s="67" t="n">
        <v>3.75</v>
      </c>
      <c r="I143" s="68" t="s">
        <v>1368</v>
      </c>
      <c r="J143" s="67" t="n">
        <v>5.8</v>
      </c>
      <c r="K143" s="67" t="n">
        <v>5.8</v>
      </c>
      <c r="L143" s="67" t="n">
        <v>0</v>
      </c>
      <c r="M143" s="67" t="n">
        <v>2</v>
      </c>
      <c r="N143" s="67" t="n">
        <v>-2</v>
      </c>
      <c r="O143" s="67" t="n">
        <v>2.5</v>
      </c>
      <c r="P143" s="67" t="n">
        <v>0</v>
      </c>
      <c r="Q143" s="67"/>
      <c r="R143" s="68" t="s">
        <v>202</v>
      </c>
      <c r="S143" s="69"/>
      <c r="T143" s="68" t="s">
        <v>200</v>
      </c>
      <c r="U143" s="68"/>
      <c r="V143" s="68"/>
      <c r="W143" s="68"/>
      <c r="X143" s="68"/>
      <c r="Y143" s="92"/>
    </row>
    <row r="144" customFormat="false" ht="14.25" hidden="false" customHeight="false" outlineLevel="0" collapsed="false">
      <c r="C144" s="64" t="n">
        <v>139</v>
      </c>
      <c r="D144" s="65" t="s">
        <v>1531</v>
      </c>
      <c r="E144" s="65" t="s">
        <v>919</v>
      </c>
      <c r="F144" s="66" t="n">
        <v>44</v>
      </c>
      <c r="G144" s="67" t="n">
        <v>13.8</v>
      </c>
      <c r="H144" s="67" t="n">
        <v>5</v>
      </c>
      <c r="I144" s="68" t="s">
        <v>1368</v>
      </c>
      <c r="J144" s="67" t="n">
        <v>5.67</v>
      </c>
      <c r="K144" s="67" t="n">
        <v>5.67</v>
      </c>
      <c r="L144" s="67" t="n">
        <v>0</v>
      </c>
      <c r="M144" s="67" t="n">
        <v>2</v>
      </c>
      <c r="N144" s="67" t="n">
        <v>-4</v>
      </c>
      <c r="O144" s="67" t="n">
        <v>2.5</v>
      </c>
      <c r="P144" s="67" t="n">
        <v>0</v>
      </c>
      <c r="Q144" s="67"/>
      <c r="R144" s="68" t="s">
        <v>202</v>
      </c>
      <c r="S144" s="69"/>
      <c r="T144" s="68" t="s">
        <v>200</v>
      </c>
      <c r="U144" s="68"/>
      <c r="V144" s="68"/>
      <c r="W144" s="68"/>
      <c r="X144" s="68"/>
      <c r="Y144" s="92" t="s">
        <v>1532</v>
      </c>
    </row>
    <row r="145" customFormat="false" ht="14.25" hidden="false" customHeight="false" outlineLevel="0" collapsed="false">
      <c r="C145" s="64" t="n">
        <v>140</v>
      </c>
      <c r="D145" s="65" t="s">
        <v>1531</v>
      </c>
      <c r="E145" s="65" t="s">
        <v>919</v>
      </c>
      <c r="F145" s="66" t="n">
        <v>44</v>
      </c>
      <c r="G145" s="67" t="n">
        <v>13.2</v>
      </c>
      <c r="H145" s="67" t="n">
        <v>5</v>
      </c>
      <c r="I145" s="68" t="s">
        <v>1368</v>
      </c>
      <c r="J145" s="67" t="n">
        <v>5.67</v>
      </c>
      <c r="K145" s="67" t="n">
        <v>5.67</v>
      </c>
      <c r="L145" s="67" t="n">
        <v>0</v>
      </c>
      <c r="M145" s="67" t="n">
        <v>2</v>
      </c>
      <c r="N145" s="67" t="n">
        <v>-4</v>
      </c>
      <c r="O145" s="67" t="n">
        <v>2.5</v>
      </c>
      <c r="P145" s="67" t="n">
        <v>0</v>
      </c>
      <c r="Q145" s="67"/>
      <c r="R145" s="68" t="s">
        <v>771</v>
      </c>
      <c r="S145" s="69" t="n">
        <v>46264</v>
      </c>
      <c r="T145" s="68" t="s">
        <v>200</v>
      </c>
      <c r="U145" s="68"/>
      <c r="V145" s="68"/>
      <c r="W145" s="68"/>
      <c r="X145" s="68"/>
      <c r="Y145" s="92"/>
    </row>
    <row r="146" customFormat="false" ht="14.25" hidden="false" customHeight="false" outlineLevel="0" collapsed="false">
      <c r="C146" s="64" t="n">
        <v>141</v>
      </c>
      <c r="D146" s="65" t="s">
        <v>1533</v>
      </c>
      <c r="E146" s="65" t="s">
        <v>999</v>
      </c>
      <c r="F146" s="66" t="n">
        <v>44</v>
      </c>
      <c r="G146" s="67" t="n">
        <v>13.2</v>
      </c>
      <c r="H146" s="67" t="n">
        <v>3</v>
      </c>
      <c r="I146" s="68" t="s">
        <v>1368</v>
      </c>
      <c r="J146" s="67" t="n">
        <v>6.49</v>
      </c>
      <c r="K146" s="67" t="n">
        <v>6.49</v>
      </c>
      <c r="L146" s="67" t="n">
        <v>0</v>
      </c>
      <c r="M146" s="67" t="n">
        <v>2</v>
      </c>
      <c r="N146" s="67" t="n">
        <v>-2</v>
      </c>
      <c r="O146" s="67" t="n">
        <v>2.5</v>
      </c>
      <c r="P146" s="67" t="n">
        <v>0</v>
      </c>
      <c r="Q146" s="67"/>
      <c r="R146" s="68" t="s">
        <v>202</v>
      </c>
      <c r="S146" s="69"/>
      <c r="T146" s="68" t="s">
        <v>200</v>
      </c>
      <c r="U146" s="68"/>
      <c r="V146" s="68"/>
      <c r="W146" s="68"/>
      <c r="X146" s="68"/>
      <c r="Y146" s="92"/>
    </row>
    <row r="147" customFormat="false" ht="14.25" hidden="false" customHeight="false" outlineLevel="0" collapsed="false">
      <c r="C147" s="64" t="n">
        <v>142</v>
      </c>
      <c r="D147" s="65" t="s">
        <v>1534</v>
      </c>
      <c r="E147" s="65" t="s">
        <v>958</v>
      </c>
      <c r="F147" s="66" t="n">
        <v>44</v>
      </c>
      <c r="G147" s="67" t="n">
        <v>13.86</v>
      </c>
      <c r="H147" s="67" t="n">
        <v>18.75</v>
      </c>
      <c r="I147" s="68" t="s">
        <v>1368</v>
      </c>
      <c r="J147" s="67" t="n">
        <v>7.96</v>
      </c>
      <c r="K147" s="67" t="n">
        <v>7.96</v>
      </c>
      <c r="L147" s="67" t="n">
        <v>0</v>
      </c>
      <c r="M147" s="67" t="n">
        <v>12</v>
      </c>
      <c r="N147" s="67" t="n">
        <v>-8</v>
      </c>
      <c r="O147" s="67" t="n">
        <v>1.25</v>
      </c>
      <c r="P147" s="67" t="n">
        <v>0</v>
      </c>
      <c r="Q147" s="67"/>
      <c r="R147" s="68" t="s">
        <v>202</v>
      </c>
      <c r="S147" s="69"/>
      <c r="T147" s="68" t="s">
        <v>200</v>
      </c>
      <c r="U147" s="68"/>
      <c r="V147" s="68" t="n">
        <v>2.51603114478745</v>
      </c>
      <c r="W147" s="68" t="n">
        <v>27.676342592662</v>
      </c>
      <c r="X147" s="68" t="n">
        <v>11</v>
      </c>
      <c r="Y147" s="92"/>
    </row>
    <row r="148" customFormat="false" ht="14.25" hidden="false" customHeight="false" outlineLevel="0" collapsed="false">
      <c r="C148" s="64" t="n">
        <v>143</v>
      </c>
      <c r="D148" s="65" t="s">
        <v>1535</v>
      </c>
      <c r="E148" s="65" t="s">
        <v>1029</v>
      </c>
      <c r="F148" s="66" t="n">
        <v>44</v>
      </c>
      <c r="G148" s="67" t="n">
        <v>13.8</v>
      </c>
      <c r="H148" s="67" t="n">
        <v>3</v>
      </c>
      <c r="I148" s="68" t="s">
        <v>1368</v>
      </c>
      <c r="J148" s="67" t="n">
        <v>7.13</v>
      </c>
      <c r="K148" s="67" t="n">
        <v>7.13</v>
      </c>
      <c r="L148" s="67" t="n">
        <v>0</v>
      </c>
      <c r="M148" s="67" t="n">
        <v>2</v>
      </c>
      <c r="N148" s="67" t="n">
        <v>-2</v>
      </c>
      <c r="O148" s="67" t="n">
        <v>2.5</v>
      </c>
      <c r="P148" s="67" t="n">
        <v>0</v>
      </c>
      <c r="Q148" s="67"/>
      <c r="R148" s="68" t="s">
        <v>202</v>
      </c>
      <c r="S148" s="69"/>
      <c r="T148" s="68" t="s">
        <v>200</v>
      </c>
      <c r="U148" s="68"/>
      <c r="V148" s="68"/>
      <c r="W148" s="68"/>
      <c r="X148" s="68"/>
      <c r="Y148" s="92"/>
    </row>
    <row r="149" customFormat="false" ht="14.25" hidden="false" customHeight="false" outlineLevel="0" collapsed="false">
      <c r="C149" s="64" t="n">
        <v>144</v>
      </c>
      <c r="D149" s="65" t="s">
        <v>1536</v>
      </c>
      <c r="E149" s="65" t="s">
        <v>995</v>
      </c>
      <c r="F149" s="66" t="n">
        <v>44</v>
      </c>
      <c r="G149" s="67" t="n">
        <v>13.8</v>
      </c>
      <c r="H149" s="67" t="n">
        <v>4</v>
      </c>
      <c r="I149" s="68" t="s">
        <v>1388</v>
      </c>
      <c r="J149" s="67" t="n">
        <v>7.6</v>
      </c>
      <c r="K149" s="67" t="n">
        <v>7.22</v>
      </c>
      <c r="L149" s="67" t="n">
        <v>0</v>
      </c>
      <c r="M149" s="67" t="n">
        <v>2</v>
      </c>
      <c r="N149" s="67" t="n">
        <v>-2</v>
      </c>
      <c r="O149" s="67" t="n">
        <v>2.5</v>
      </c>
      <c r="P149" s="67" t="n">
        <v>0</v>
      </c>
      <c r="Q149" s="67"/>
      <c r="R149" s="68" t="s">
        <v>202</v>
      </c>
      <c r="S149" s="69"/>
      <c r="T149" s="68" t="s">
        <v>200</v>
      </c>
      <c r="U149" s="68"/>
      <c r="V149" s="68"/>
      <c r="W149" s="68"/>
      <c r="X149" s="68"/>
      <c r="Y149" s="92"/>
    </row>
    <row r="150" customFormat="false" ht="14.25" hidden="false" customHeight="false" outlineLevel="0" collapsed="false">
      <c r="C150" s="64" t="n">
        <v>145</v>
      </c>
      <c r="D150" s="65" t="s">
        <v>1537</v>
      </c>
      <c r="E150" s="65" t="s">
        <v>1269</v>
      </c>
      <c r="F150" s="66" t="n">
        <v>34.5</v>
      </c>
      <c r="G150" s="67" t="n">
        <v>13.8</v>
      </c>
      <c r="H150" s="67" t="n">
        <v>10</v>
      </c>
      <c r="I150" s="68" t="s">
        <v>1368</v>
      </c>
      <c r="J150" s="67" t="n">
        <v>7.28</v>
      </c>
      <c r="K150" s="67" t="n">
        <v>7.28</v>
      </c>
      <c r="L150" s="67" t="n">
        <v>0</v>
      </c>
      <c r="M150" s="67" t="n">
        <v>10</v>
      </c>
      <c r="N150" s="67" t="n">
        <v>-10</v>
      </c>
      <c r="O150" s="67" t="n">
        <v>1.25</v>
      </c>
      <c r="P150" s="67" t="n">
        <v>0</v>
      </c>
      <c r="Q150" s="67"/>
      <c r="R150" s="68" t="s">
        <v>202</v>
      </c>
      <c r="S150" s="69"/>
      <c r="T150" s="68" t="s">
        <v>200</v>
      </c>
      <c r="U150" s="68"/>
      <c r="V150" s="68"/>
      <c r="W150" s="68"/>
      <c r="X150" s="68"/>
      <c r="Y150" s="92"/>
    </row>
    <row r="151" customFormat="false" ht="14.25" hidden="false" customHeight="false" outlineLevel="0" collapsed="false">
      <c r="C151" s="64" t="n">
        <v>146</v>
      </c>
      <c r="D151" s="65" t="s">
        <v>1538</v>
      </c>
      <c r="E151" s="65" t="s">
        <v>1010</v>
      </c>
      <c r="F151" s="66" t="n">
        <v>44</v>
      </c>
      <c r="G151" s="67" t="n">
        <v>13.8</v>
      </c>
      <c r="H151" s="67" t="n">
        <v>7.5</v>
      </c>
      <c r="I151" s="68" t="s">
        <v>1368</v>
      </c>
      <c r="J151" s="67" t="n">
        <v>7.16</v>
      </c>
      <c r="K151" s="67" t="n">
        <v>7.16</v>
      </c>
      <c r="L151" s="67" t="n">
        <v>0</v>
      </c>
      <c r="M151" s="67" t="n">
        <v>2</v>
      </c>
      <c r="N151" s="67" t="n">
        <v>-2</v>
      </c>
      <c r="O151" s="67" t="n">
        <v>2.5</v>
      </c>
      <c r="P151" s="67" t="n">
        <v>0</v>
      </c>
      <c r="Q151" s="67"/>
      <c r="R151" s="68" t="s">
        <v>202</v>
      </c>
      <c r="S151" s="69"/>
      <c r="T151" s="68" t="s">
        <v>200</v>
      </c>
      <c r="U151" s="68"/>
      <c r="V151" s="68"/>
      <c r="W151" s="68"/>
      <c r="X151" s="68"/>
      <c r="Y151" s="92"/>
    </row>
    <row r="152" customFormat="false" ht="14.25" hidden="false" customHeight="false" outlineLevel="0" collapsed="false">
      <c r="C152" s="64" t="n">
        <v>147</v>
      </c>
      <c r="D152" s="65" t="s">
        <v>1539</v>
      </c>
      <c r="E152" s="65" t="s">
        <v>794</v>
      </c>
      <c r="F152" s="66" t="n">
        <v>44.323</v>
      </c>
      <c r="G152" s="67" t="n">
        <v>13.2</v>
      </c>
      <c r="H152" s="67" t="n">
        <v>4</v>
      </c>
      <c r="I152" s="68" t="s">
        <v>1388</v>
      </c>
      <c r="J152" s="67" t="n">
        <v>5.35</v>
      </c>
      <c r="K152" s="67" t="n">
        <v>5.35</v>
      </c>
      <c r="L152" s="67" t="n">
        <v>0</v>
      </c>
      <c r="M152" s="67" t="n">
        <v>2</v>
      </c>
      <c r="N152" s="67" t="n">
        <v>-2</v>
      </c>
      <c r="O152" s="67" t="n">
        <v>2.58</v>
      </c>
      <c r="P152" s="67" t="n">
        <v>0</v>
      </c>
      <c r="Q152" s="67"/>
      <c r="R152" s="68" t="s">
        <v>202</v>
      </c>
      <c r="S152" s="69"/>
      <c r="T152" s="68" t="s">
        <v>200</v>
      </c>
      <c r="U152" s="68"/>
      <c r="V152" s="68"/>
      <c r="W152" s="68"/>
      <c r="X152" s="68"/>
      <c r="Y152" s="92"/>
    </row>
    <row r="153" customFormat="false" ht="14.25" hidden="false" customHeight="false" outlineLevel="0" collapsed="false">
      <c r="C153" s="64" t="n">
        <v>148</v>
      </c>
      <c r="D153" s="65" t="s">
        <v>1540</v>
      </c>
      <c r="E153" s="65" t="s">
        <v>1541</v>
      </c>
      <c r="F153" s="66" t="n">
        <v>44</v>
      </c>
      <c r="G153" s="67" t="n">
        <v>13.8</v>
      </c>
      <c r="H153" s="67" t="n">
        <v>10</v>
      </c>
      <c r="I153" s="68" t="s">
        <v>1388</v>
      </c>
      <c r="J153" s="67" t="n">
        <v>7.69</v>
      </c>
      <c r="K153" s="67" t="n">
        <v>7.69</v>
      </c>
      <c r="L153" s="67" t="n">
        <v>0</v>
      </c>
      <c r="M153" s="67" t="n">
        <v>5</v>
      </c>
      <c r="N153" s="67" t="n">
        <v>-5</v>
      </c>
      <c r="O153" s="67" t="n">
        <v>2</v>
      </c>
      <c r="P153" s="67" t="n">
        <v>0</v>
      </c>
      <c r="Q153" s="67"/>
      <c r="R153" s="68" t="s">
        <v>202</v>
      </c>
      <c r="S153" s="69"/>
      <c r="T153" s="68" t="s">
        <v>200</v>
      </c>
      <c r="U153" s="68"/>
      <c r="V153" s="68"/>
      <c r="W153" s="68"/>
      <c r="X153" s="68"/>
      <c r="Y153" s="92"/>
    </row>
    <row r="154" customFormat="false" ht="14.25" hidden="false" customHeight="false" outlineLevel="0" collapsed="false">
      <c r="C154" s="64" t="n">
        <v>149</v>
      </c>
      <c r="D154" s="65" t="s">
        <v>1542</v>
      </c>
      <c r="E154" s="65" t="s">
        <v>1093</v>
      </c>
      <c r="F154" s="66" t="n">
        <v>115</v>
      </c>
      <c r="G154" s="67" t="n">
        <v>46</v>
      </c>
      <c r="H154" s="67" t="n">
        <v>40</v>
      </c>
      <c r="I154" s="68" t="s">
        <v>1368</v>
      </c>
      <c r="J154" s="67" t="n">
        <v>9.707</v>
      </c>
      <c r="K154" s="67" t="n">
        <v>9.707</v>
      </c>
      <c r="L154" s="67" t="n">
        <v>0</v>
      </c>
      <c r="M154" s="67" t="n">
        <v>-8</v>
      </c>
      <c r="N154" s="67" t="n">
        <v>8</v>
      </c>
      <c r="O154" s="67" t="n">
        <v>1.25</v>
      </c>
      <c r="P154" s="67" t="n">
        <v>0</v>
      </c>
      <c r="Q154" s="67"/>
      <c r="R154" s="68" t="s">
        <v>771</v>
      </c>
      <c r="S154" s="69" t="n">
        <v>47026</v>
      </c>
      <c r="T154" s="68" t="s">
        <v>200</v>
      </c>
      <c r="U154" s="68"/>
      <c r="V154" s="68"/>
      <c r="W154" s="68"/>
      <c r="X154" s="68"/>
      <c r="Y154" s="92"/>
    </row>
  </sheetData>
  <mergeCells count="23">
    <mergeCell ref="C3:Y3"/>
    <mergeCell ref="C4:C5"/>
    <mergeCell ref="D4:D5"/>
    <mergeCell ref="E4:E5"/>
    <mergeCell ref="F4:F5"/>
    <mergeCell ref="G4:G5"/>
    <mergeCell ref="H4:H5"/>
    <mergeCell ref="I4:I5"/>
    <mergeCell ref="J4:J5"/>
    <mergeCell ref="K4:K5"/>
    <mergeCell ref="L4:L5"/>
    <mergeCell ref="M4:M5"/>
    <mergeCell ref="N4:N5"/>
    <mergeCell ref="O4:O5"/>
    <mergeCell ref="P4:Q4"/>
    <mergeCell ref="R4:R5"/>
    <mergeCell ref="S4:S5"/>
    <mergeCell ref="T4:T5"/>
    <mergeCell ref="U4:U5"/>
    <mergeCell ref="V4:V5"/>
    <mergeCell ref="W4:W5"/>
    <mergeCell ref="X4:X5"/>
    <mergeCell ref="Y4:Y5"/>
  </mergeCells>
  <dataValidations count="4">
    <dataValidation allowBlank="true" errorStyle="stop" operator="between" showDropDown="false" showErrorMessage="true" showInputMessage="true" sqref="F6:H1154 J6:Q1154" type="decimal">
      <formula1>-10000000</formula1>
      <formula2>10000000</formula2>
    </dataValidation>
    <dataValidation allowBlank="true" errorStyle="stop" operator="greaterThan" showDropDown="false" showErrorMessage="true" showInputMessage="true" sqref="S6:S1154" type="date">
      <formula1>1</formula1>
      <formula2>0</formula2>
    </dataValidation>
    <dataValidation allowBlank="true" errorStyle="stop" operator="between" showDropDown="false" showErrorMessage="true" showInputMessage="true" sqref="R6:R1154" type="list">
      <formula1>'Listas Desplegables'!$B$25:$B$26</formula1>
      <formula2>0</formula2>
    </dataValidation>
    <dataValidation allowBlank="true" errorStyle="stop" operator="between" showDropDown="false" showErrorMessage="true" showInputMessage="true" sqref="T6:T1154" type="list">
      <formula1>'Listas Desplegables'!$B$28:$B$30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37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4" ySplit="5" topLeftCell="E27" activePane="bottomRight" state="frozen"/>
      <selection pane="topLeft" activeCell="A1" activeCellId="0" sqref="A1"/>
      <selection pane="topRight" activeCell="E1" activeCellId="0" sqref="E1"/>
      <selection pane="bottomLeft" activeCell="A27" activeCellId="0" sqref="A27"/>
      <selection pane="bottomRight" activeCell="A1" activeCellId="0" sqref="A1"/>
    </sheetView>
  </sheetViews>
  <sheetFormatPr defaultColWidth="11.55859375" defaultRowHeight="14.25" zeroHeight="false" outlineLevelRow="0" outlineLevelCol="0"/>
  <cols>
    <col collapsed="false" customWidth="true" hidden="false" outlineLevel="0" max="2" min="1" style="56" width="3"/>
    <col collapsed="false" customWidth="true" hidden="false" outlineLevel="0" max="3" min="3" style="46" width="6.67"/>
    <col collapsed="false" customWidth="true" hidden="false" outlineLevel="0" max="4" min="4" style="0" width="33"/>
    <col collapsed="false" customWidth="true" hidden="false" outlineLevel="0" max="5" min="5" style="0" width="14.56"/>
    <col collapsed="false" customWidth="true" hidden="false" outlineLevel="0" max="6" min="6" style="0" width="12.67"/>
    <col collapsed="false" customWidth="true" hidden="false" outlineLevel="0" max="7" min="7" style="0" width="24.33"/>
    <col collapsed="false" customWidth="true" hidden="false" outlineLevel="0" max="8" min="8" style="0" width="46.89"/>
    <col collapsed="false" customWidth="true" hidden="false" outlineLevel="0" max="9" min="9" style="0" width="13"/>
    <col collapsed="false" customWidth="true" hidden="false" outlineLevel="0" max="13" min="13" style="0" width="11.45"/>
    <col collapsed="false" customWidth="true" hidden="false" outlineLevel="0" max="14" min="14" style="0" width="29.44"/>
  </cols>
  <sheetData>
    <row r="1" s="81" customFormat="true" ht="14.25" hidden="false" customHeight="false" outlineLevel="0" collapsed="false">
      <c r="A1" s="56"/>
      <c r="B1" s="56"/>
      <c r="C1" s="80"/>
    </row>
    <row r="2" s="81" customFormat="true" ht="15" hidden="false" customHeight="false" outlineLevel="0" collapsed="false">
      <c r="A2" s="56"/>
      <c r="B2" s="56"/>
      <c r="C2" s="80"/>
    </row>
    <row r="3" s="50" customFormat="true" ht="15" hidden="false" customHeight="false" outlineLevel="0" collapsed="false">
      <c r="A3" s="83"/>
      <c r="B3" s="83"/>
      <c r="C3" s="49" t="s">
        <v>1543</v>
      </c>
      <c r="D3" s="49"/>
      <c r="E3" s="49"/>
      <c r="F3" s="49"/>
      <c r="G3" s="49"/>
      <c r="H3" s="49"/>
      <c r="I3" s="49"/>
      <c r="J3" s="49"/>
      <c r="K3" s="49"/>
      <c r="L3" s="49"/>
      <c r="M3" s="49"/>
      <c r="N3" s="49"/>
    </row>
    <row r="4" s="55" customFormat="true" ht="12" hidden="false" customHeight="true" outlineLevel="0" collapsed="false">
      <c r="A4" s="89"/>
      <c r="B4" s="89"/>
      <c r="C4" s="53" t="s">
        <v>195</v>
      </c>
      <c r="D4" s="54" t="str">
        <f aca="false">'Manual de Uso'!C104</f>
        <v>Nombre</v>
      </c>
      <c r="E4" s="54" t="str">
        <f aca="false">'Manual de Uso'!C105</f>
        <v>Agente Administrador</v>
      </c>
      <c r="F4" s="54" t="str">
        <f aca="false">'Manual de Uso'!C106</f>
        <v>Nivel de tensión [kV]</v>
      </c>
      <c r="G4" s="54" t="str">
        <f aca="false">'Manual de Uso'!C107</f>
        <v>Capacidad de interrupción [kA]</v>
      </c>
      <c r="H4" s="54" t="str">
        <f aca="false">'Manual de Uso'!C108</f>
        <v>Configuración</v>
      </c>
      <c r="I4" s="54" t="str">
        <f aca="false">'Manual de Uso'!C109</f>
        <v>Tipo</v>
      </c>
      <c r="J4" s="54" t="str">
        <f aca="false">'Manual de Uso'!C110</f>
        <v>En Operación</v>
      </c>
      <c r="K4" s="54" t="str">
        <f aca="false">'Manual de Uso'!C111</f>
        <v>FPO</v>
      </c>
      <c r="L4" s="54" t="str">
        <f aca="false">'Manual de Uso'!C112</f>
        <v>Departamento</v>
      </c>
      <c r="M4" s="54" t="str">
        <f aca="false">'Manual de Uso'!C113</f>
        <v>Municipio</v>
      </c>
      <c r="N4" s="54" t="str">
        <f aca="false">'Manual de Uso'!C114</f>
        <v>Observaciones transportador</v>
      </c>
    </row>
    <row r="5" s="55" customFormat="true" ht="24" hidden="false" customHeight="true" outlineLevel="0" collapsed="false">
      <c r="A5" s="89"/>
      <c r="B5" s="89"/>
      <c r="C5" s="53"/>
      <c r="D5" s="54"/>
      <c r="E5" s="54"/>
      <c r="F5" s="54"/>
      <c r="G5" s="54"/>
      <c r="H5" s="54"/>
      <c r="I5" s="54"/>
      <c r="J5" s="54"/>
      <c r="K5" s="54"/>
      <c r="L5" s="54"/>
      <c r="M5" s="54"/>
      <c r="N5" s="54"/>
    </row>
    <row r="6" customFormat="false" ht="14.25" hidden="false" customHeight="false" outlineLevel="0" collapsed="false">
      <c r="C6" s="57" t="n">
        <v>1</v>
      </c>
      <c r="D6" s="58" t="s">
        <v>1049</v>
      </c>
      <c r="E6" s="58" t="s">
        <v>1544</v>
      </c>
      <c r="F6" s="58" t="n">
        <v>44</v>
      </c>
      <c r="G6" s="59" t="n">
        <v>40</v>
      </c>
      <c r="H6" s="61" t="s">
        <v>1545</v>
      </c>
      <c r="I6" s="61" t="s">
        <v>1546</v>
      </c>
      <c r="J6" s="61" t="s">
        <v>202</v>
      </c>
      <c r="K6" s="60"/>
      <c r="L6" s="61" t="s">
        <v>1547</v>
      </c>
      <c r="M6" s="61" t="s">
        <v>1049</v>
      </c>
      <c r="N6" s="95"/>
    </row>
    <row r="7" customFormat="false" ht="14.25" hidden="false" customHeight="false" outlineLevel="0" collapsed="false">
      <c r="C7" s="64" t="n">
        <v>2</v>
      </c>
      <c r="D7" s="65" t="s">
        <v>1049</v>
      </c>
      <c r="E7" s="65" t="s">
        <v>1544</v>
      </c>
      <c r="F7" s="65" t="n">
        <v>13.2</v>
      </c>
      <c r="G7" s="66" t="n">
        <v>20</v>
      </c>
      <c r="H7" s="68" t="s">
        <v>1548</v>
      </c>
      <c r="I7" s="68" t="s">
        <v>1549</v>
      </c>
      <c r="J7" s="68" t="s">
        <v>202</v>
      </c>
      <c r="K7" s="67"/>
      <c r="L7" s="68" t="s">
        <v>1547</v>
      </c>
      <c r="M7" s="68" t="s">
        <v>1049</v>
      </c>
      <c r="N7" s="92"/>
    </row>
    <row r="8" customFormat="false" ht="14.25" hidden="false" customHeight="false" outlineLevel="0" collapsed="false">
      <c r="C8" s="64" t="n">
        <v>3</v>
      </c>
      <c r="D8" s="65" t="s">
        <v>855</v>
      </c>
      <c r="E8" s="65" t="s">
        <v>1544</v>
      </c>
      <c r="F8" s="65" t="n">
        <v>110</v>
      </c>
      <c r="G8" s="66" t="n">
        <v>40</v>
      </c>
      <c r="H8" s="68" t="s">
        <v>1545</v>
      </c>
      <c r="I8" s="68" t="s">
        <v>1546</v>
      </c>
      <c r="J8" s="68" t="s">
        <v>202</v>
      </c>
      <c r="K8" s="67"/>
      <c r="L8" s="68" t="s">
        <v>1547</v>
      </c>
      <c r="M8" s="68" t="s">
        <v>855</v>
      </c>
      <c r="N8" s="92"/>
    </row>
    <row r="9" customFormat="false" ht="14.25" hidden="false" customHeight="false" outlineLevel="0" collapsed="false">
      <c r="C9" s="64" t="n">
        <v>4</v>
      </c>
      <c r="D9" s="65" t="s">
        <v>855</v>
      </c>
      <c r="E9" s="65" t="s">
        <v>1544</v>
      </c>
      <c r="F9" s="65" t="n">
        <v>44</v>
      </c>
      <c r="G9" s="66" t="n">
        <v>15.4</v>
      </c>
      <c r="H9" s="68" t="s">
        <v>1545</v>
      </c>
      <c r="I9" s="68" t="s">
        <v>1546</v>
      </c>
      <c r="J9" s="68" t="s">
        <v>202</v>
      </c>
      <c r="K9" s="67"/>
      <c r="L9" s="68" t="s">
        <v>1547</v>
      </c>
      <c r="M9" s="68" t="s">
        <v>855</v>
      </c>
      <c r="N9" s="92"/>
    </row>
    <row r="10" customFormat="false" ht="14.25" hidden="false" customHeight="false" outlineLevel="0" collapsed="false">
      <c r="C10" s="64" t="n">
        <v>5</v>
      </c>
      <c r="D10" s="65" t="s">
        <v>855</v>
      </c>
      <c r="E10" s="65" t="s">
        <v>1544</v>
      </c>
      <c r="F10" s="65" t="n">
        <v>13.2</v>
      </c>
      <c r="G10" s="66" t="n">
        <v>20</v>
      </c>
      <c r="H10" s="68" t="s">
        <v>1548</v>
      </c>
      <c r="I10" s="68" t="s">
        <v>1549</v>
      </c>
      <c r="J10" s="68" t="s">
        <v>202</v>
      </c>
      <c r="K10" s="67"/>
      <c r="L10" s="68" t="s">
        <v>1547</v>
      </c>
      <c r="M10" s="68" t="s">
        <v>855</v>
      </c>
      <c r="N10" s="92"/>
    </row>
    <row r="11" customFormat="false" ht="14.25" hidden="false" customHeight="false" outlineLevel="0" collapsed="false">
      <c r="C11" s="64" t="n">
        <v>6</v>
      </c>
      <c r="D11" s="65" t="s">
        <v>1550</v>
      </c>
      <c r="E11" s="65" t="s">
        <v>1544</v>
      </c>
      <c r="F11" s="65" t="n">
        <v>110</v>
      </c>
      <c r="G11" s="66" t="n">
        <v>31.5</v>
      </c>
      <c r="H11" s="68" t="s">
        <v>1545</v>
      </c>
      <c r="I11" s="68" t="s">
        <v>1546</v>
      </c>
      <c r="J11" s="68" t="s">
        <v>202</v>
      </c>
      <c r="K11" s="67"/>
      <c r="L11" s="68" t="s">
        <v>1547</v>
      </c>
      <c r="M11" s="68" t="s">
        <v>969</v>
      </c>
      <c r="N11" s="92"/>
    </row>
    <row r="12" customFormat="false" ht="14.25" hidden="false" customHeight="false" outlineLevel="0" collapsed="false">
      <c r="C12" s="64" t="n">
        <v>7</v>
      </c>
      <c r="D12" s="65" t="s">
        <v>1551</v>
      </c>
      <c r="E12" s="65" t="s">
        <v>1544</v>
      </c>
      <c r="F12" s="65" t="n">
        <v>44</v>
      </c>
      <c r="G12" s="66" t="n">
        <v>25</v>
      </c>
      <c r="H12" s="68" t="s">
        <v>1552</v>
      </c>
      <c r="I12" s="68" t="s">
        <v>1546</v>
      </c>
      <c r="J12" s="68" t="s">
        <v>202</v>
      </c>
      <c r="K12" s="67"/>
      <c r="L12" s="68" t="s">
        <v>1547</v>
      </c>
      <c r="M12" s="68" t="s">
        <v>969</v>
      </c>
      <c r="N12" s="92"/>
    </row>
    <row r="13" customFormat="false" ht="14.25" hidden="false" customHeight="false" outlineLevel="0" collapsed="false">
      <c r="C13" s="64" t="n">
        <v>8</v>
      </c>
      <c r="D13" s="65" t="s">
        <v>1551</v>
      </c>
      <c r="E13" s="65" t="s">
        <v>1544</v>
      </c>
      <c r="F13" s="65" t="n">
        <v>13.2</v>
      </c>
      <c r="G13" s="66" t="n">
        <v>20</v>
      </c>
      <c r="H13" s="68" t="s">
        <v>1548</v>
      </c>
      <c r="I13" s="68" t="s">
        <v>1549</v>
      </c>
      <c r="J13" s="68" t="s">
        <v>202</v>
      </c>
      <c r="K13" s="67"/>
      <c r="L13" s="68" t="s">
        <v>1547</v>
      </c>
      <c r="M13" s="68" t="s">
        <v>969</v>
      </c>
      <c r="N13" s="92"/>
    </row>
    <row r="14" customFormat="false" ht="14.25" hidden="false" customHeight="false" outlineLevel="0" collapsed="false">
      <c r="C14" s="64" t="n">
        <v>9</v>
      </c>
      <c r="D14" s="65" t="s">
        <v>1553</v>
      </c>
      <c r="E14" s="65" t="s">
        <v>1544</v>
      </c>
      <c r="F14" s="65" t="n">
        <v>220</v>
      </c>
      <c r="G14" s="66" t="n">
        <v>40</v>
      </c>
      <c r="H14" s="68" t="s">
        <v>1545</v>
      </c>
      <c r="I14" s="68" t="s">
        <v>1546</v>
      </c>
      <c r="J14" s="68" t="s">
        <v>202</v>
      </c>
      <c r="K14" s="67"/>
      <c r="L14" s="68" t="s">
        <v>1547</v>
      </c>
      <c r="M14" s="68" t="s">
        <v>1554</v>
      </c>
      <c r="N14" s="92"/>
    </row>
    <row r="15" customFormat="false" ht="15" hidden="false" customHeight="true" outlineLevel="0" collapsed="false">
      <c r="A15" s="96"/>
      <c r="C15" s="64" t="n">
        <v>10</v>
      </c>
      <c r="D15" s="65" t="s">
        <v>1553</v>
      </c>
      <c r="E15" s="65" t="s">
        <v>1544</v>
      </c>
      <c r="F15" s="65" t="n">
        <v>110</v>
      </c>
      <c r="G15" s="66" t="n">
        <v>31.5</v>
      </c>
      <c r="H15" s="68" t="s">
        <v>1545</v>
      </c>
      <c r="I15" s="68" t="s">
        <v>1546</v>
      </c>
      <c r="J15" s="68" t="s">
        <v>202</v>
      </c>
      <c r="K15" s="67"/>
      <c r="L15" s="68" t="s">
        <v>1547</v>
      </c>
      <c r="M15" s="68" t="s">
        <v>1554</v>
      </c>
      <c r="N15" s="92"/>
    </row>
    <row r="16" customFormat="false" ht="14.25" hidden="false" customHeight="false" outlineLevel="0" collapsed="false">
      <c r="C16" s="64" t="n">
        <v>11</v>
      </c>
      <c r="D16" s="65" t="s">
        <v>1553</v>
      </c>
      <c r="E16" s="65" t="s">
        <v>1544</v>
      </c>
      <c r="F16" s="65" t="n">
        <v>44</v>
      </c>
      <c r="G16" s="66" t="n">
        <v>30</v>
      </c>
      <c r="H16" s="68" t="s">
        <v>1545</v>
      </c>
      <c r="I16" s="68" t="s">
        <v>1546</v>
      </c>
      <c r="J16" s="68" t="s">
        <v>202</v>
      </c>
      <c r="K16" s="67"/>
      <c r="L16" s="68" t="s">
        <v>1547</v>
      </c>
      <c r="M16" s="68" t="s">
        <v>1554</v>
      </c>
      <c r="N16" s="92"/>
    </row>
    <row r="17" customFormat="false" ht="14.25" hidden="false" customHeight="false" outlineLevel="0" collapsed="false">
      <c r="C17" s="64" t="n">
        <v>12</v>
      </c>
      <c r="D17" s="65" t="s">
        <v>1553</v>
      </c>
      <c r="E17" s="65" t="s">
        <v>1544</v>
      </c>
      <c r="F17" s="65" t="n">
        <v>13.2</v>
      </c>
      <c r="G17" s="66" t="n">
        <v>31.5</v>
      </c>
      <c r="H17" s="68" t="s">
        <v>1548</v>
      </c>
      <c r="I17" s="68" t="s">
        <v>1549</v>
      </c>
      <c r="J17" s="68" t="s">
        <v>202</v>
      </c>
      <c r="K17" s="67"/>
      <c r="L17" s="68" t="s">
        <v>1547</v>
      </c>
      <c r="M17" s="68" t="s">
        <v>1554</v>
      </c>
      <c r="N17" s="92"/>
    </row>
    <row r="18" customFormat="false" ht="14.25" hidden="false" customHeight="false" outlineLevel="0" collapsed="false">
      <c r="C18" s="64" t="n">
        <v>13</v>
      </c>
      <c r="D18" s="65" t="s">
        <v>904</v>
      </c>
      <c r="E18" s="65" t="s">
        <v>1544</v>
      </c>
      <c r="F18" s="65" t="n">
        <v>44</v>
      </c>
      <c r="G18" s="66" t="n">
        <v>21</v>
      </c>
      <c r="H18" s="68" t="s">
        <v>1555</v>
      </c>
      <c r="I18" s="68" t="s">
        <v>1546</v>
      </c>
      <c r="J18" s="68" t="s">
        <v>202</v>
      </c>
      <c r="K18" s="67"/>
      <c r="L18" s="68" t="s">
        <v>1547</v>
      </c>
      <c r="M18" s="68" t="s">
        <v>904</v>
      </c>
      <c r="N18" s="92"/>
    </row>
    <row r="19" customFormat="false" ht="14.25" hidden="false" customHeight="false" outlineLevel="0" collapsed="false">
      <c r="C19" s="64" t="n">
        <v>14</v>
      </c>
      <c r="D19" s="65" t="s">
        <v>904</v>
      </c>
      <c r="E19" s="65" t="s">
        <v>1544</v>
      </c>
      <c r="F19" s="65" t="n">
        <v>13.2</v>
      </c>
      <c r="G19" s="66" t="n">
        <v>25</v>
      </c>
      <c r="H19" s="68" t="s">
        <v>1548</v>
      </c>
      <c r="I19" s="68" t="s">
        <v>1549</v>
      </c>
      <c r="J19" s="68" t="s">
        <v>202</v>
      </c>
      <c r="K19" s="67"/>
      <c r="L19" s="68" t="s">
        <v>1547</v>
      </c>
      <c r="M19" s="68" t="s">
        <v>904</v>
      </c>
      <c r="N19" s="92"/>
    </row>
    <row r="20" customFormat="false" ht="14.25" hidden="false" customHeight="false" outlineLevel="0" collapsed="false">
      <c r="C20" s="64" t="n">
        <v>15</v>
      </c>
      <c r="D20" s="65" t="s">
        <v>1556</v>
      </c>
      <c r="E20" s="65" t="s">
        <v>1544</v>
      </c>
      <c r="F20" s="65" t="n">
        <v>44</v>
      </c>
      <c r="G20" s="66" t="n">
        <v>25</v>
      </c>
      <c r="H20" s="68" t="s">
        <v>1555</v>
      </c>
      <c r="I20" s="68" t="s">
        <v>1546</v>
      </c>
      <c r="J20" s="68" t="s">
        <v>202</v>
      </c>
      <c r="K20" s="67"/>
      <c r="L20" s="68" t="s">
        <v>1547</v>
      </c>
      <c r="M20" s="68" t="s">
        <v>888</v>
      </c>
      <c r="N20" s="92"/>
    </row>
    <row r="21" customFormat="false" ht="14.25" hidden="false" customHeight="false" outlineLevel="0" collapsed="false">
      <c r="C21" s="64" t="n">
        <v>16</v>
      </c>
      <c r="D21" s="65" t="s">
        <v>1556</v>
      </c>
      <c r="E21" s="65" t="s">
        <v>1544</v>
      </c>
      <c r="F21" s="65" t="n">
        <v>13.2</v>
      </c>
      <c r="G21" s="66" t="n">
        <v>25</v>
      </c>
      <c r="H21" s="68" t="s">
        <v>1548</v>
      </c>
      <c r="I21" s="68" t="s">
        <v>1549</v>
      </c>
      <c r="J21" s="68" t="s">
        <v>202</v>
      </c>
      <c r="K21" s="67"/>
      <c r="L21" s="68" t="s">
        <v>1547</v>
      </c>
      <c r="M21" s="68" t="s">
        <v>888</v>
      </c>
      <c r="N21" s="92"/>
    </row>
    <row r="22" customFormat="false" ht="14.25" hidden="false" customHeight="false" outlineLevel="0" collapsed="false">
      <c r="C22" s="64" t="n">
        <v>17</v>
      </c>
      <c r="D22" s="65" t="s">
        <v>764</v>
      </c>
      <c r="E22" s="65" t="s">
        <v>1544</v>
      </c>
      <c r="F22" s="65" t="n">
        <v>110</v>
      </c>
      <c r="G22" s="66" t="n">
        <v>25</v>
      </c>
      <c r="H22" s="68" t="s">
        <v>1545</v>
      </c>
      <c r="I22" s="68" t="s">
        <v>1546</v>
      </c>
      <c r="J22" s="68" t="s">
        <v>202</v>
      </c>
      <c r="K22" s="67"/>
      <c r="L22" s="68" t="s">
        <v>1547</v>
      </c>
      <c r="M22" s="68" t="s">
        <v>764</v>
      </c>
      <c r="N22" s="92"/>
    </row>
    <row r="23" customFormat="false" ht="14.25" hidden="false" customHeight="false" outlineLevel="0" collapsed="false">
      <c r="C23" s="64" t="n">
        <v>18</v>
      </c>
      <c r="D23" s="65" t="s">
        <v>764</v>
      </c>
      <c r="E23" s="65" t="s">
        <v>1544</v>
      </c>
      <c r="F23" s="65" t="n">
        <v>44</v>
      </c>
      <c r="G23" s="66" t="n">
        <v>25</v>
      </c>
      <c r="H23" s="68" t="s">
        <v>1545</v>
      </c>
      <c r="I23" s="68" t="s">
        <v>1546</v>
      </c>
      <c r="J23" s="68" t="s">
        <v>202</v>
      </c>
      <c r="K23" s="67"/>
      <c r="L23" s="68" t="s">
        <v>1547</v>
      </c>
      <c r="M23" s="68" t="s">
        <v>764</v>
      </c>
      <c r="N23" s="92"/>
    </row>
    <row r="24" customFormat="false" ht="14.25" hidden="false" customHeight="false" outlineLevel="0" collapsed="false">
      <c r="C24" s="64" t="n">
        <v>19</v>
      </c>
      <c r="D24" s="65" t="s">
        <v>764</v>
      </c>
      <c r="E24" s="65" t="s">
        <v>1544</v>
      </c>
      <c r="F24" s="65" t="n">
        <v>13.2</v>
      </c>
      <c r="G24" s="66" t="n">
        <v>20</v>
      </c>
      <c r="H24" s="68" t="s">
        <v>1548</v>
      </c>
      <c r="I24" s="68" t="s">
        <v>1549</v>
      </c>
      <c r="J24" s="68" t="s">
        <v>202</v>
      </c>
      <c r="K24" s="67"/>
      <c r="L24" s="68" t="s">
        <v>1547</v>
      </c>
      <c r="M24" s="68" t="s">
        <v>764</v>
      </c>
      <c r="N24" s="92"/>
    </row>
    <row r="25" customFormat="false" ht="14.25" hidden="false" customHeight="false" outlineLevel="0" collapsed="false">
      <c r="C25" s="64" t="n">
        <v>20</v>
      </c>
      <c r="D25" s="65" t="s">
        <v>1381</v>
      </c>
      <c r="E25" s="65" t="s">
        <v>1544</v>
      </c>
      <c r="F25" s="65" t="n">
        <v>44</v>
      </c>
      <c r="G25" s="66" t="n">
        <v>25</v>
      </c>
      <c r="H25" s="68" t="s">
        <v>1555</v>
      </c>
      <c r="I25" s="68" t="s">
        <v>1546</v>
      </c>
      <c r="J25" s="68" t="s">
        <v>202</v>
      </c>
      <c r="K25" s="67"/>
      <c r="L25" s="68" t="s">
        <v>1547</v>
      </c>
      <c r="M25" s="68" t="s">
        <v>1381</v>
      </c>
      <c r="N25" s="92"/>
    </row>
    <row r="26" customFormat="false" ht="14.25" hidden="false" customHeight="false" outlineLevel="0" collapsed="false">
      <c r="C26" s="64" t="n">
        <v>21</v>
      </c>
      <c r="D26" s="65" t="s">
        <v>1381</v>
      </c>
      <c r="E26" s="65" t="s">
        <v>1544</v>
      </c>
      <c r="F26" s="65" t="n">
        <v>13.2</v>
      </c>
      <c r="G26" s="66" t="n">
        <v>12.5</v>
      </c>
      <c r="H26" s="68" t="s">
        <v>1557</v>
      </c>
      <c r="I26" s="68" t="s">
        <v>1546</v>
      </c>
      <c r="J26" s="68" t="s">
        <v>202</v>
      </c>
      <c r="K26" s="67"/>
      <c r="L26" s="68" t="s">
        <v>1547</v>
      </c>
      <c r="M26" s="68" t="s">
        <v>1381</v>
      </c>
      <c r="N26" s="92"/>
    </row>
    <row r="27" customFormat="false" ht="14.25" hidden="false" customHeight="false" outlineLevel="0" collapsed="false">
      <c r="C27" s="64" t="n">
        <v>22</v>
      </c>
      <c r="D27" s="65" t="s">
        <v>1036</v>
      </c>
      <c r="E27" s="65" t="s">
        <v>1544</v>
      </c>
      <c r="F27" s="65" t="n">
        <v>110</v>
      </c>
      <c r="G27" s="66" t="n">
        <v>40</v>
      </c>
      <c r="H27" s="68" t="s">
        <v>1545</v>
      </c>
      <c r="I27" s="68" t="s">
        <v>1558</v>
      </c>
      <c r="J27" s="68" t="s">
        <v>771</v>
      </c>
      <c r="K27" s="69" t="n">
        <v>46752</v>
      </c>
      <c r="L27" s="68" t="s">
        <v>1547</v>
      </c>
      <c r="M27" s="68" t="s">
        <v>1197</v>
      </c>
      <c r="N27" s="92"/>
    </row>
    <row r="28" customFormat="false" ht="14.25" hidden="false" customHeight="false" outlineLevel="0" collapsed="false">
      <c r="C28" s="64" t="n">
        <v>23</v>
      </c>
      <c r="D28" s="65" t="s">
        <v>1036</v>
      </c>
      <c r="E28" s="65" t="s">
        <v>1544</v>
      </c>
      <c r="F28" s="65" t="n">
        <v>44</v>
      </c>
      <c r="G28" s="66" t="n">
        <v>25</v>
      </c>
      <c r="H28" s="68" t="s">
        <v>1548</v>
      </c>
      <c r="I28" s="68" t="s">
        <v>1549</v>
      </c>
      <c r="J28" s="68" t="s">
        <v>771</v>
      </c>
      <c r="K28" s="69" t="n">
        <v>46752</v>
      </c>
      <c r="L28" s="68" t="s">
        <v>1547</v>
      </c>
      <c r="M28" s="68" t="s">
        <v>1197</v>
      </c>
      <c r="N28" s="92"/>
    </row>
    <row r="29" customFormat="false" ht="14.25" hidden="false" customHeight="false" outlineLevel="0" collapsed="false">
      <c r="C29" s="64" t="n">
        <v>24</v>
      </c>
      <c r="D29" s="65" t="s">
        <v>1036</v>
      </c>
      <c r="E29" s="65" t="s">
        <v>1544</v>
      </c>
      <c r="F29" s="65" t="n">
        <v>13.2</v>
      </c>
      <c r="G29" s="66" t="n">
        <v>31.5</v>
      </c>
      <c r="H29" s="68" t="s">
        <v>1548</v>
      </c>
      <c r="I29" s="68" t="s">
        <v>1549</v>
      </c>
      <c r="J29" s="68" t="s">
        <v>771</v>
      </c>
      <c r="K29" s="69" t="n">
        <v>46752</v>
      </c>
      <c r="L29" s="68" t="s">
        <v>1547</v>
      </c>
      <c r="M29" s="68" t="s">
        <v>1197</v>
      </c>
      <c r="N29" s="92"/>
    </row>
    <row r="30" customFormat="false" ht="14.25" hidden="false" customHeight="false" outlineLevel="0" collapsed="false">
      <c r="C30" s="64" t="n">
        <v>25</v>
      </c>
      <c r="D30" s="65" t="s">
        <v>1205</v>
      </c>
      <c r="E30" s="65" t="s">
        <v>1544</v>
      </c>
      <c r="F30" s="65" t="n">
        <v>220</v>
      </c>
      <c r="G30" s="66" t="n">
        <v>31.5</v>
      </c>
      <c r="H30" s="68" t="s">
        <v>1545</v>
      </c>
      <c r="I30" s="68" t="s">
        <v>1546</v>
      </c>
      <c r="J30" s="68" t="s">
        <v>202</v>
      </c>
      <c r="K30" s="67"/>
      <c r="L30" s="68" t="s">
        <v>1547</v>
      </c>
      <c r="M30" s="68" t="s">
        <v>1205</v>
      </c>
      <c r="N30" s="92"/>
    </row>
    <row r="31" customFormat="false" ht="14.25" hidden="false" customHeight="false" outlineLevel="0" collapsed="false">
      <c r="C31" s="64" t="n">
        <v>26</v>
      </c>
      <c r="D31" s="65" t="s">
        <v>1205</v>
      </c>
      <c r="E31" s="65" t="s">
        <v>1544</v>
      </c>
      <c r="F31" s="65" t="n">
        <v>110</v>
      </c>
      <c r="G31" s="66" t="n">
        <v>40</v>
      </c>
      <c r="H31" s="68" t="s">
        <v>1545</v>
      </c>
      <c r="I31" s="68" t="s">
        <v>1546</v>
      </c>
      <c r="J31" s="68" t="s">
        <v>202</v>
      </c>
      <c r="K31" s="67"/>
      <c r="L31" s="68" t="s">
        <v>1547</v>
      </c>
      <c r="M31" s="68" t="s">
        <v>1205</v>
      </c>
      <c r="N31" s="92"/>
    </row>
    <row r="32" customFormat="false" ht="14.25" hidden="false" customHeight="false" outlineLevel="0" collapsed="false">
      <c r="C32" s="64" t="n">
        <v>27</v>
      </c>
      <c r="D32" s="65" t="s">
        <v>1205</v>
      </c>
      <c r="E32" s="65" t="s">
        <v>1544</v>
      </c>
      <c r="F32" s="65" t="n">
        <v>44</v>
      </c>
      <c r="G32" s="66" t="n">
        <v>19.7</v>
      </c>
      <c r="H32" s="68" t="s">
        <v>1545</v>
      </c>
      <c r="I32" s="68" t="s">
        <v>1546</v>
      </c>
      <c r="J32" s="68" t="s">
        <v>202</v>
      </c>
      <c r="K32" s="67"/>
      <c r="L32" s="68" t="s">
        <v>1547</v>
      </c>
      <c r="M32" s="68" t="s">
        <v>1205</v>
      </c>
      <c r="N32" s="92"/>
    </row>
    <row r="33" customFormat="false" ht="14.25" hidden="false" customHeight="false" outlineLevel="0" collapsed="false">
      <c r="C33" s="64" t="n">
        <v>28</v>
      </c>
      <c r="D33" s="65" t="s">
        <v>1205</v>
      </c>
      <c r="E33" s="65" t="s">
        <v>1544</v>
      </c>
      <c r="F33" s="65" t="n">
        <v>13.2</v>
      </c>
      <c r="G33" s="66" t="n">
        <v>31.5</v>
      </c>
      <c r="H33" s="68" t="s">
        <v>1548</v>
      </c>
      <c r="I33" s="68" t="s">
        <v>1549</v>
      </c>
      <c r="J33" s="68" t="s">
        <v>202</v>
      </c>
      <c r="K33" s="67"/>
      <c r="L33" s="68" t="s">
        <v>1547</v>
      </c>
      <c r="M33" s="68" t="s">
        <v>1205</v>
      </c>
      <c r="N33" s="92"/>
    </row>
    <row r="34" customFormat="false" ht="14.25" hidden="false" customHeight="false" outlineLevel="0" collapsed="false">
      <c r="C34" s="64" t="n">
        <v>29</v>
      </c>
      <c r="D34" s="65" t="s">
        <v>875</v>
      </c>
      <c r="E34" s="65" t="s">
        <v>1544</v>
      </c>
      <c r="F34" s="65" t="n">
        <v>110</v>
      </c>
      <c r="G34" s="66" t="n">
        <v>40</v>
      </c>
      <c r="H34" s="68" t="s">
        <v>1545</v>
      </c>
      <c r="I34" s="68" t="s">
        <v>1546</v>
      </c>
      <c r="J34" s="68" t="s">
        <v>202</v>
      </c>
      <c r="K34" s="67"/>
      <c r="L34" s="68" t="s">
        <v>1547</v>
      </c>
      <c r="M34" s="68" t="s">
        <v>897</v>
      </c>
      <c r="N34" s="92"/>
    </row>
    <row r="35" customFormat="false" ht="14.25" hidden="false" customHeight="false" outlineLevel="0" collapsed="false">
      <c r="A35" s="45"/>
      <c r="C35" s="64" t="n">
        <v>30</v>
      </c>
      <c r="D35" s="65" t="s">
        <v>1195</v>
      </c>
      <c r="E35" s="65" t="s">
        <v>1544</v>
      </c>
      <c r="F35" s="65" t="n">
        <v>110</v>
      </c>
      <c r="G35" s="66" t="n">
        <v>40</v>
      </c>
      <c r="H35" s="68" t="s">
        <v>1545</v>
      </c>
      <c r="I35" s="68" t="s">
        <v>1546</v>
      </c>
      <c r="J35" s="68" t="s">
        <v>202</v>
      </c>
      <c r="K35" s="67"/>
      <c r="L35" s="68" t="s">
        <v>1547</v>
      </c>
      <c r="M35" s="68" t="s">
        <v>1559</v>
      </c>
      <c r="N35" s="92"/>
    </row>
    <row r="36" customFormat="false" ht="14.25" hidden="false" customHeight="false" outlineLevel="0" collapsed="false">
      <c r="C36" s="64" t="n">
        <v>31</v>
      </c>
      <c r="D36" s="65" t="s">
        <v>1195</v>
      </c>
      <c r="E36" s="65" t="s">
        <v>1544</v>
      </c>
      <c r="F36" s="65" t="n">
        <v>44</v>
      </c>
      <c r="G36" s="66" t="n">
        <v>25</v>
      </c>
      <c r="H36" s="68" t="s">
        <v>1555</v>
      </c>
      <c r="I36" s="68" t="s">
        <v>1546</v>
      </c>
      <c r="J36" s="68" t="s">
        <v>202</v>
      </c>
      <c r="K36" s="67"/>
      <c r="L36" s="68" t="s">
        <v>1547</v>
      </c>
      <c r="M36" s="68" t="s">
        <v>1559</v>
      </c>
      <c r="N36" s="92"/>
    </row>
    <row r="37" customFormat="false" ht="14.25" hidden="false" customHeight="false" outlineLevel="0" collapsed="false">
      <c r="C37" s="64" t="n">
        <v>32</v>
      </c>
      <c r="D37" s="65" t="s">
        <v>1195</v>
      </c>
      <c r="E37" s="65" t="s">
        <v>1544</v>
      </c>
      <c r="F37" s="65" t="n">
        <v>13.2</v>
      </c>
      <c r="G37" s="66" t="n">
        <v>31.5</v>
      </c>
      <c r="H37" s="68" t="s">
        <v>1548</v>
      </c>
      <c r="I37" s="68" t="s">
        <v>1549</v>
      </c>
      <c r="J37" s="68" t="s">
        <v>202</v>
      </c>
      <c r="K37" s="67"/>
      <c r="L37" s="68" t="s">
        <v>1547</v>
      </c>
      <c r="M37" s="68" t="s">
        <v>1559</v>
      </c>
      <c r="N37" s="92"/>
    </row>
    <row r="38" customFormat="false" ht="14.25" hidden="false" customHeight="false" outlineLevel="0" collapsed="false">
      <c r="C38" s="64" t="n">
        <v>33</v>
      </c>
      <c r="D38" s="65" t="s">
        <v>1560</v>
      </c>
      <c r="E38" s="65" t="s">
        <v>1544</v>
      </c>
      <c r="F38" s="65" t="n">
        <v>220</v>
      </c>
      <c r="G38" s="66" t="n">
        <v>31.5</v>
      </c>
      <c r="H38" s="68" t="s">
        <v>1545</v>
      </c>
      <c r="I38" s="68" t="s">
        <v>1546</v>
      </c>
      <c r="J38" s="68" t="s">
        <v>202</v>
      </c>
      <c r="K38" s="67"/>
      <c r="L38" s="68" t="s">
        <v>1547</v>
      </c>
      <c r="M38" s="68" t="s">
        <v>1214</v>
      </c>
      <c r="N38" s="92"/>
    </row>
    <row r="39" customFormat="false" ht="14.25" hidden="false" customHeight="false" outlineLevel="0" collapsed="false">
      <c r="C39" s="64" t="n">
        <v>34</v>
      </c>
      <c r="D39" s="65" t="s">
        <v>1560</v>
      </c>
      <c r="E39" s="65" t="s">
        <v>1544</v>
      </c>
      <c r="F39" s="65" t="n">
        <v>110</v>
      </c>
      <c r="G39" s="66" t="n">
        <v>40</v>
      </c>
      <c r="H39" s="68" t="s">
        <v>1561</v>
      </c>
      <c r="I39" s="68" t="s">
        <v>1546</v>
      </c>
      <c r="J39" s="68" t="s">
        <v>202</v>
      </c>
      <c r="K39" s="67"/>
      <c r="L39" s="68" t="s">
        <v>1547</v>
      </c>
      <c r="M39" s="68" t="s">
        <v>1214</v>
      </c>
      <c r="N39" s="92"/>
    </row>
    <row r="40" customFormat="false" ht="14.25" hidden="false" customHeight="false" outlineLevel="0" collapsed="false">
      <c r="C40" s="64" t="n">
        <v>35</v>
      </c>
      <c r="D40" s="65" t="s">
        <v>1560</v>
      </c>
      <c r="E40" s="65" t="s">
        <v>1544</v>
      </c>
      <c r="F40" s="65" t="s">
        <v>1562</v>
      </c>
      <c r="G40" s="66" t="n">
        <v>25</v>
      </c>
      <c r="H40" s="68" t="s">
        <v>1555</v>
      </c>
      <c r="I40" s="68" t="s">
        <v>1546</v>
      </c>
      <c r="J40" s="68" t="s">
        <v>202</v>
      </c>
      <c r="K40" s="67"/>
      <c r="L40" s="68" t="s">
        <v>1547</v>
      </c>
      <c r="M40" s="68" t="s">
        <v>1214</v>
      </c>
      <c r="N40" s="92"/>
    </row>
    <row r="41" customFormat="false" ht="14.25" hidden="false" customHeight="false" outlineLevel="0" collapsed="false">
      <c r="C41" s="64" t="n">
        <v>36</v>
      </c>
      <c r="D41" s="65" t="s">
        <v>1560</v>
      </c>
      <c r="E41" s="65" t="s">
        <v>1544</v>
      </c>
      <c r="F41" s="65" t="n">
        <v>44</v>
      </c>
      <c r="G41" s="66" t="n">
        <v>25</v>
      </c>
      <c r="H41" s="68" t="s">
        <v>1545</v>
      </c>
      <c r="I41" s="68" t="s">
        <v>1546</v>
      </c>
      <c r="J41" s="68" t="s">
        <v>202</v>
      </c>
      <c r="K41" s="67"/>
      <c r="L41" s="68" t="s">
        <v>1547</v>
      </c>
      <c r="M41" s="68" t="s">
        <v>1214</v>
      </c>
      <c r="N41" s="92"/>
    </row>
    <row r="42" customFormat="false" ht="14.25" hidden="false" customHeight="false" outlineLevel="0" collapsed="false">
      <c r="C42" s="64" t="n">
        <v>37</v>
      </c>
      <c r="D42" s="65" t="s">
        <v>1560</v>
      </c>
      <c r="E42" s="65" t="s">
        <v>1544</v>
      </c>
      <c r="F42" s="65" t="n">
        <v>13.2</v>
      </c>
      <c r="G42" s="66" t="n">
        <v>31.5</v>
      </c>
      <c r="H42" s="68" t="s">
        <v>1548</v>
      </c>
      <c r="I42" s="68" t="s">
        <v>1549</v>
      </c>
      <c r="J42" s="68" t="s">
        <v>202</v>
      </c>
      <c r="K42" s="67"/>
      <c r="L42" s="68" t="s">
        <v>1547</v>
      </c>
      <c r="M42" s="68" t="s">
        <v>1214</v>
      </c>
      <c r="N42" s="92"/>
    </row>
    <row r="43" customFormat="false" ht="14.25" hidden="false" customHeight="false" outlineLevel="0" collapsed="false">
      <c r="C43" s="64" t="n">
        <v>38</v>
      </c>
      <c r="D43" s="65" t="s">
        <v>893</v>
      </c>
      <c r="E43" s="65" t="s">
        <v>1544</v>
      </c>
      <c r="F43" s="65" t="n">
        <v>44</v>
      </c>
      <c r="G43" s="66" t="n">
        <v>25</v>
      </c>
      <c r="H43" s="68" t="s">
        <v>1545</v>
      </c>
      <c r="I43" s="68" t="s">
        <v>1546</v>
      </c>
      <c r="J43" s="68" t="s">
        <v>202</v>
      </c>
      <c r="K43" s="67"/>
      <c r="L43" s="68" t="s">
        <v>1547</v>
      </c>
      <c r="M43" s="68" t="s">
        <v>893</v>
      </c>
      <c r="N43" s="92"/>
    </row>
    <row r="44" customFormat="false" ht="14.25" hidden="false" customHeight="false" outlineLevel="0" collapsed="false">
      <c r="C44" s="64" t="n">
        <v>39</v>
      </c>
      <c r="D44" s="65" t="s">
        <v>893</v>
      </c>
      <c r="E44" s="65" t="s">
        <v>1544</v>
      </c>
      <c r="F44" s="65" t="n">
        <v>13.2</v>
      </c>
      <c r="G44" s="66" t="n">
        <v>20</v>
      </c>
      <c r="H44" s="68" t="s">
        <v>1548</v>
      </c>
      <c r="I44" s="68" t="s">
        <v>1549</v>
      </c>
      <c r="J44" s="68" t="s">
        <v>202</v>
      </c>
      <c r="K44" s="67"/>
      <c r="L44" s="68" t="s">
        <v>1547</v>
      </c>
      <c r="M44" s="68" t="s">
        <v>893</v>
      </c>
      <c r="N44" s="92"/>
    </row>
    <row r="45" customFormat="false" ht="14.25" hidden="false" customHeight="false" outlineLevel="0" collapsed="false">
      <c r="C45" s="64" t="n">
        <v>40</v>
      </c>
      <c r="D45" s="65" t="s">
        <v>1563</v>
      </c>
      <c r="E45" s="65" t="s">
        <v>1544</v>
      </c>
      <c r="F45" s="65" t="n">
        <v>44</v>
      </c>
      <c r="G45" s="66" t="n">
        <v>21</v>
      </c>
      <c r="H45" s="68" t="s">
        <v>1555</v>
      </c>
      <c r="I45" s="68" t="s">
        <v>1546</v>
      </c>
      <c r="J45" s="68" t="s">
        <v>202</v>
      </c>
      <c r="K45" s="67"/>
      <c r="L45" s="68" t="s">
        <v>1547</v>
      </c>
      <c r="M45" s="68" t="s">
        <v>906</v>
      </c>
      <c r="N45" s="92"/>
    </row>
    <row r="46" customFormat="false" ht="14.25" hidden="false" customHeight="false" outlineLevel="0" collapsed="false">
      <c r="C46" s="64" t="n">
        <v>41</v>
      </c>
      <c r="D46" s="65" t="s">
        <v>1563</v>
      </c>
      <c r="E46" s="65" t="s">
        <v>1544</v>
      </c>
      <c r="F46" s="65" t="n">
        <v>13.2</v>
      </c>
      <c r="G46" s="66" t="n">
        <v>12.5</v>
      </c>
      <c r="H46" s="68" t="s">
        <v>1557</v>
      </c>
      <c r="I46" s="68" t="s">
        <v>1546</v>
      </c>
      <c r="J46" s="68" t="s">
        <v>202</v>
      </c>
      <c r="K46" s="67"/>
      <c r="L46" s="68" t="s">
        <v>1547</v>
      </c>
      <c r="M46" s="68" t="s">
        <v>906</v>
      </c>
      <c r="N46" s="92"/>
    </row>
    <row r="47" customFormat="false" ht="14.25" hidden="false" customHeight="false" outlineLevel="0" collapsed="false">
      <c r="C47" s="64" t="n">
        <v>42</v>
      </c>
      <c r="D47" s="65" t="s">
        <v>861</v>
      </c>
      <c r="E47" s="65" t="s">
        <v>1544</v>
      </c>
      <c r="F47" s="65" t="n">
        <v>110</v>
      </c>
      <c r="G47" s="66" t="n">
        <v>25</v>
      </c>
      <c r="H47" s="68" t="s">
        <v>1545</v>
      </c>
      <c r="I47" s="68" t="s">
        <v>1546</v>
      </c>
      <c r="J47" s="68" t="s">
        <v>202</v>
      </c>
      <c r="K47" s="67"/>
      <c r="L47" s="68" t="s">
        <v>1547</v>
      </c>
      <c r="M47" s="68" t="s">
        <v>1564</v>
      </c>
      <c r="N47" s="92"/>
    </row>
    <row r="48" customFormat="false" ht="14.25" hidden="false" customHeight="false" outlineLevel="0" collapsed="false">
      <c r="C48" s="64" t="n">
        <v>43</v>
      </c>
      <c r="D48" s="65" t="s">
        <v>861</v>
      </c>
      <c r="E48" s="65" t="s">
        <v>1544</v>
      </c>
      <c r="F48" s="65" t="n">
        <v>44</v>
      </c>
      <c r="G48" s="66" t="n">
        <v>25</v>
      </c>
      <c r="H48" s="68" t="s">
        <v>1545</v>
      </c>
      <c r="I48" s="68" t="s">
        <v>1546</v>
      </c>
      <c r="J48" s="68" t="s">
        <v>202</v>
      </c>
      <c r="K48" s="67"/>
      <c r="L48" s="68" t="s">
        <v>1547</v>
      </c>
      <c r="M48" s="68" t="s">
        <v>1564</v>
      </c>
      <c r="N48" s="92"/>
    </row>
    <row r="49" customFormat="false" ht="14.25" hidden="false" customHeight="false" outlineLevel="0" collapsed="false">
      <c r="C49" s="64" t="n">
        <v>44</v>
      </c>
      <c r="D49" s="65" t="s">
        <v>861</v>
      </c>
      <c r="E49" s="65" t="s">
        <v>1544</v>
      </c>
      <c r="F49" s="65" t="n">
        <v>13.2</v>
      </c>
      <c r="G49" s="66" t="n">
        <v>25</v>
      </c>
      <c r="H49" s="68" t="s">
        <v>1548</v>
      </c>
      <c r="I49" s="68" t="s">
        <v>1549</v>
      </c>
      <c r="J49" s="68" t="s">
        <v>202</v>
      </c>
      <c r="K49" s="67"/>
      <c r="L49" s="68" t="s">
        <v>1547</v>
      </c>
      <c r="M49" s="68" t="s">
        <v>1564</v>
      </c>
      <c r="N49" s="92"/>
    </row>
    <row r="50" customFormat="false" ht="14.25" hidden="false" customHeight="false" outlineLevel="0" collapsed="false">
      <c r="C50" s="64" t="n">
        <v>45</v>
      </c>
      <c r="D50" s="65" t="s">
        <v>1224</v>
      </c>
      <c r="E50" s="65" t="s">
        <v>1544</v>
      </c>
      <c r="F50" s="65" t="n">
        <v>110</v>
      </c>
      <c r="G50" s="66" t="n">
        <v>40</v>
      </c>
      <c r="H50" s="68" t="s">
        <v>1545</v>
      </c>
      <c r="I50" s="68" t="s">
        <v>1546</v>
      </c>
      <c r="J50" s="68" t="s">
        <v>202</v>
      </c>
      <c r="K50" s="67"/>
      <c r="L50" s="68" t="s">
        <v>1547</v>
      </c>
      <c r="M50" s="68" t="s">
        <v>1214</v>
      </c>
      <c r="N50" s="92"/>
    </row>
    <row r="51" customFormat="false" ht="14.25" hidden="false" customHeight="false" outlineLevel="0" collapsed="false">
      <c r="C51" s="64" t="n">
        <v>46</v>
      </c>
      <c r="D51" s="65" t="s">
        <v>1224</v>
      </c>
      <c r="E51" s="65" t="s">
        <v>1544</v>
      </c>
      <c r="F51" s="65" t="n">
        <v>13.2</v>
      </c>
      <c r="G51" s="66" t="n">
        <v>31.5</v>
      </c>
      <c r="H51" s="68" t="s">
        <v>1548</v>
      </c>
      <c r="I51" s="68" t="s">
        <v>1549</v>
      </c>
      <c r="J51" s="68" t="s">
        <v>202</v>
      </c>
      <c r="K51" s="67"/>
      <c r="L51" s="68" t="s">
        <v>1547</v>
      </c>
      <c r="M51" s="68" t="s">
        <v>1214</v>
      </c>
      <c r="N51" s="92"/>
    </row>
    <row r="52" customFormat="false" ht="14.25" hidden="false" customHeight="false" outlineLevel="0" collapsed="false">
      <c r="C52" s="64" t="n">
        <v>47</v>
      </c>
      <c r="D52" s="65" t="s">
        <v>1565</v>
      </c>
      <c r="E52" s="65" t="s">
        <v>1544</v>
      </c>
      <c r="F52" s="65" t="n">
        <v>44</v>
      </c>
      <c r="G52" s="66" t="n">
        <v>25</v>
      </c>
      <c r="H52" s="68" t="s">
        <v>1545</v>
      </c>
      <c r="I52" s="68" t="s">
        <v>1546</v>
      </c>
      <c r="J52" s="68" t="s">
        <v>202</v>
      </c>
      <c r="K52" s="67"/>
      <c r="L52" s="68" t="s">
        <v>1547</v>
      </c>
      <c r="M52" s="68" t="s">
        <v>1156</v>
      </c>
      <c r="N52" s="92"/>
    </row>
    <row r="53" customFormat="false" ht="14.25" hidden="false" customHeight="false" outlineLevel="0" collapsed="false">
      <c r="C53" s="64" t="n">
        <v>48</v>
      </c>
      <c r="D53" s="65" t="s">
        <v>1565</v>
      </c>
      <c r="E53" s="65" t="s">
        <v>1544</v>
      </c>
      <c r="F53" s="65" t="n">
        <v>13.2</v>
      </c>
      <c r="G53" s="66" t="n">
        <v>12.5</v>
      </c>
      <c r="H53" s="68" t="s">
        <v>1557</v>
      </c>
      <c r="I53" s="68" t="s">
        <v>1546</v>
      </c>
      <c r="J53" s="68" t="s">
        <v>202</v>
      </c>
      <c r="K53" s="67"/>
      <c r="L53" s="68" t="s">
        <v>1547</v>
      </c>
      <c r="M53" s="68" t="s">
        <v>1156</v>
      </c>
      <c r="N53" s="92"/>
    </row>
    <row r="54" customFormat="false" ht="14.25" hidden="false" customHeight="false" outlineLevel="0" collapsed="false">
      <c r="C54" s="64" t="n">
        <v>49</v>
      </c>
      <c r="D54" s="65" t="s">
        <v>603</v>
      </c>
      <c r="E54" s="65" t="s">
        <v>1544</v>
      </c>
      <c r="F54" s="65" t="n">
        <v>110</v>
      </c>
      <c r="G54" s="66" t="n">
        <v>40</v>
      </c>
      <c r="H54" s="68" t="s">
        <v>1545</v>
      </c>
      <c r="I54" s="68" t="s">
        <v>1546</v>
      </c>
      <c r="J54" s="68" t="s">
        <v>771</v>
      </c>
      <c r="K54" s="69" t="n">
        <v>45688</v>
      </c>
      <c r="L54" s="68" t="s">
        <v>1547</v>
      </c>
      <c r="M54" s="68" t="s">
        <v>603</v>
      </c>
      <c r="N54" s="92" t="s">
        <v>1566</v>
      </c>
    </row>
    <row r="55" customFormat="false" ht="14.25" hidden="false" customHeight="false" outlineLevel="0" collapsed="false">
      <c r="C55" s="64" t="n">
        <v>50</v>
      </c>
      <c r="D55" s="65" t="s">
        <v>603</v>
      </c>
      <c r="E55" s="65" t="s">
        <v>1544</v>
      </c>
      <c r="F55" s="65" t="n">
        <v>44</v>
      </c>
      <c r="G55" s="66" t="n">
        <v>20</v>
      </c>
      <c r="H55" s="68" t="s">
        <v>1545</v>
      </c>
      <c r="I55" s="68" t="s">
        <v>1546</v>
      </c>
      <c r="J55" s="68" t="s">
        <v>202</v>
      </c>
      <c r="K55" s="67"/>
      <c r="L55" s="68" t="s">
        <v>1547</v>
      </c>
      <c r="M55" s="68" t="s">
        <v>603</v>
      </c>
      <c r="N55" s="92"/>
    </row>
    <row r="56" customFormat="false" ht="14.25" hidden="false" customHeight="false" outlineLevel="0" collapsed="false">
      <c r="C56" s="64" t="n">
        <v>51</v>
      </c>
      <c r="D56" s="65" t="s">
        <v>603</v>
      </c>
      <c r="E56" s="65" t="s">
        <v>1544</v>
      </c>
      <c r="F56" s="65" t="n">
        <v>13.2</v>
      </c>
      <c r="G56" s="66" t="n">
        <v>31.5</v>
      </c>
      <c r="H56" s="68" t="s">
        <v>1548</v>
      </c>
      <c r="I56" s="68" t="s">
        <v>1549</v>
      </c>
      <c r="J56" s="68" t="s">
        <v>202</v>
      </c>
      <c r="K56" s="67"/>
      <c r="L56" s="68" t="s">
        <v>1547</v>
      </c>
      <c r="M56" s="68" t="s">
        <v>603</v>
      </c>
      <c r="N56" s="92"/>
    </row>
    <row r="57" customFormat="false" ht="14.25" hidden="false" customHeight="false" outlineLevel="0" collapsed="false">
      <c r="C57" s="64" t="n">
        <v>52</v>
      </c>
      <c r="D57" s="65" t="s">
        <v>1092</v>
      </c>
      <c r="E57" s="65" t="s">
        <v>1544</v>
      </c>
      <c r="F57" s="65" t="n">
        <v>110</v>
      </c>
      <c r="G57" s="66" t="n">
        <v>31.5</v>
      </c>
      <c r="H57" s="68" t="s">
        <v>1545</v>
      </c>
      <c r="I57" s="68" t="s">
        <v>1546</v>
      </c>
      <c r="J57" s="68" t="s">
        <v>202</v>
      </c>
      <c r="K57" s="67"/>
      <c r="L57" s="68" t="s">
        <v>1547</v>
      </c>
      <c r="M57" s="68" t="s">
        <v>1154</v>
      </c>
      <c r="N57" s="92"/>
    </row>
    <row r="58" customFormat="false" ht="14.25" hidden="false" customHeight="false" outlineLevel="0" collapsed="false">
      <c r="C58" s="64" t="n">
        <v>53</v>
      </c>
      <c r="D58" s="65" t="s">
        <v>1096</v>
      </c>
      <c r="E58" s="65" t="s">
        <v>1544</v>
      </c>
      <c r="F58" s="65" t="n">
        <v>110</v>
      </c>
      <c r="G58" s="66" t="n">
        <v>40</v>
      </c>
      <c r="H58" s="68" t="s">
        <v>1545</v>
      </c>
      <c r="I58" s="68" t="s">
        <v>1546</v>
      </c>
      <c r="J58" s="68" t="s">
        <v>202</v>
      </c>
      <c r="K58" s="67"/>
      <c r="L58" s="68" t="s">
        <v>1547</v>
      </c>
      <c r="M58" s="68" t="s">
        <v>1047</v>
      </c>
      <c r="N58" s="92"/>
    </row>
    <row r="59" customFormat="false" ht="14.25" hidden="false" customHeight="false" outlineLevel="0" collapsed="false">
      <c r="C59" s="64" t="n">
        <v>54</v>
      </c>
      <c r="D59" s="65" t="s">
        <v>1096</v>
      </c>
      <c r="E59" s="65" t="s">
        <v>1544</v>
      </c>
      <c r="F59" s="65" t="n">
        <v>44</v>
      </c>
      <c r="G59" s="66" t="n">
        <v>20</v>
      </c>
      <c r="H59" s="68" t="s">
        <v>1567</v>
      </c>
      <c r="I59" s="68" t="s">
        <v>1549</v>
      </c>
      <c r="J59" s="68" t="s">
        <v>202</v>
      </c>
      <c r="K59" s="67"/>
      <c r="L59" s="68" t="s">
        <v>1547</v>
      </c>
      <c r="M59" s="68" t="s">
        <v>1047</v>
      </c>
      <c r="N59" s="92"/>
    </row>
    <row r="60" customFormat="false" ht="14.25" hidden="false" customHeight="false" outlineLevel="0" collapsed="false">
      <c r="C60" s="64" t="n">
        <v>55</v>
      </c>
      <c r="D60" s="65" t="s">
        <v>1096</v>
      </c>
      <c r="E60" s="65" t="s">
        <v>1544</v>
      </c>
      <c r="F60" s="65" t="n">
        <v>13.2</v>
      </c>
      <c r="G60" s="66" t="n">
        <v>31.5</v>
      </c>
      <c r="H60" s="68" t="s">
        <v>1548</v>
      </c>
      <c r="I60" s="68" t="s">
        <v>1549</v>
      </c>
      <c r="J60" s="68" t="s">
        <v>202</v>
      </c>
      <c r="K60" s="67"/>
      <c r="L60" s="68" t="s">
        <v>1547</v>
      </c>
      <c r="M60" s="68" t="s">
        <v>1047</v>
      </c>
      <c r="N60" s="92"/>
    </row>
    <row r="61" customFormat="false" ht="14.25" hidden="false" customHeight="false" outlineLevel="0" collapsed="false">
      <c r="C61" s="64" t="n">
        <v>56</v>
      </c>
      <c r="D61" s="65" t="s">
        <v>826</v>
      </c>
      <c r="E61" s="65" t="s">
        <v>1544</v>
      </c>
      <c r="F61" s="65" t="n">
        <v>44</v>
      </c>
      <c r="G61" s="66" t="n">
        <v>8</v>
      </c>
      <c r="H61" s="68" t="s">
        <v>1545</v>
      </c>
      <c r="I61" s="68" t="s">
        <v>1546</v>
      </c>
      <c r="J61" s="68" t="s">
        <v>202</v>
      </c>
      <c r="K61" s="67"/>
      <c r="L61" s="68" t="s">
        <v>1547</v>
      </c>
      <c r="M61" s="68" t="s">
        <v>826</v>
      </c>
      <c r="N61" s="92"/>
    </row>
    <row r="62" customFormat="false" ht="14.25" hidden="false" customHeight="false" outlineLevel="0" collapsed="false">
      <c r="C62" s="64" t="n">
        <v>57</v>
      </c>
      <c r="D62" s="65" t="s">
        <v>826</v>
      </c>
      <c r="E62" s="65" t="s">
        <v>1544</v>
      </c>
      <c r="F62" s="65" t="n">
        <v>13.2</v>
      </c>
      <c r="G62" s="66" t="n">
        <v>12.5</v>
      </c>
      <c r="H62" s="68" t="s">
        <v>1557</v>
      </c>
      <c r="I62" s="68" t="s">
        <v>1546</v>
      </c>
      <c r="J62" s="68" t="s">
        <v>202</v>
      </c>
      <c r="K62" s="67"/>
      <c r="L62" s="68" t="s">
        <v>1547</v>
      </c>
      <c r="M62" s="68" t="s">
        <v>826</v>
      </c>
      <c r="N62" s="92"/>
    </row>
    <row r="63" customFormat="false" ht="14.25" hidden="false" customHeight="false" outlineLevel="0" collapsed="false">
      <c r="C63" s="64" t="n">
        <v>58</v>
      </c>
      <c r="D63" s="65" t="s">
        <v>1568</v>
      </c>
      <c r="E63" s="65" t="s">
        <v>1544</v>
      </c>
      <c r="F63" s="65" t="n">
        <v>44</v>
      </c>
      <c r="G63" s="66" t="n">
        <v>20</v>
      </c>
      <c r="H63" s="68" t="s">
        <v>1545</v>
      </c>
      <c r="I63" s="68" t="s">
        <v>1546</v>
      </c>
      <c r="J63" s="68" t="s">
        <v>202</v>
      </c>
      <c r="K63" s="67"/>
      <c r="L63" s="68" t="s">
        <v>1547</v>
      </c>
      <c r="M63" s="68" t="s">
        <v>1026</v>
      </c>
      <c r="N63" s="92"/>
    </row>
    <row r="64" customFormat="false" ht="14.25" hidden="false" customHeight="false" outlineLevel="0" collapsed="false">
      <c r="C64" s="64" t="n">
        <v>59</v>
      </c>
      <c r="D64" s="65" t="s">
        <v>1568</v>
      </c>
      <c r="E64" s="65" t="s">
        <v>1544</v>
      </c>
      <c r="F64" s="65" t="n">
        <v>13.2</v>
      </c>
      <c r="G64" s="66" t="n">
        <v>16.5</v>
      </c>
      <c r="H64" s="68" t="s">
        <v>1557</v>
      </c>
      <c r="I64" s="68" t="s">
        <v>1546</v>
      </c>
      <c r="J64" s="68" t="s">
        <v>202</v>
      </c>
      <c r="K64" s="67"/>
      <c r="L64" s="68" t="s">
        <v>1547</v>
      </c>
      <c r="M64" s="68" t="s">
        <v>1026</v>
      </c>
      <c r="N64" s="92"/>
    </row>
    <row r="65" customFormat="false" ht="14.25" hidden="false" customHeight="false" outlineLevel="0" collapsed="false">
      <c r="C65" s="64" t="n">
        <v>60</v>
      </c>
      <c r="D65" s="65" t="s">
        <v>777</v>
      </c>
      <c r="E65" s="65" t="s">
        <v>1544</v>
      </c>
      <c r="F65" s="65" t="n">
        <v>44</v>
      </c>
      <c r="G65" s="66" t="n">
        <v>25</v>
      </c>
      <c r="H65" s="68" t="s">
        <v>1567</v>
      </c>
      <c r="I65" s="68" t="s">
        <v>1549</v>
      </c>
      <c r="J65" s="68" t="s">
        <v>202</v>
      </c>
      <c r="K65" s="67"/>
      <c r="L65" s="68" t="s">
        <v>1547</v>
      </c>
      <c r="M65" s="68" t="s">
        <v>777</v>
      </c>
      <c r="N65" s="92"/>
    </row>
    <row r="66" customFormat="false" ht="14.25" hidden="false" customHeight="false" outlineLevel="0" collapsed="false">
      <c r="C66" s="64" t="n">
        <v>61</v>
      </c>
      <c r="D66" s="65" t="s">
        <v>777</v>
      </c>
      <c r="E66" s="65" t="s">
        <v>1544</v>
      </c>
      <c r="F66" s="65" t="n">
        <v>13.2</v>
      </c>
      <c r="G66" s="66" t="n">
        <v>12.5</v>
      </c>
      <c r="H66" s="68" t="s">
        <v>1548</v>
      </c>
      <c r="I66" s="68" t="s">
        <v>1549</v>
      </c>
      <c r="J66" s="68" t="s">
        <v>202</v>
      </c>
      <c r="K66" s="67"/>
      <c r="L66" s="68" t="s">
        <v>1547</v>
      </c>
      <c r="M66" s="68" t="s">
        <v>777</v>
      </c>
      <c r="N66" s="92"/>
    </row>
    <row r="67" customFormat="false" ht="14.25" hidden="false" customHeight="false" outlineLevel="0" collapsed="false">
      <c r="C67" s="64" t="n">
        <v>62</v>
      </c>
      <c r="D67" s="65" t="s">
        <v>870</v>
      </c>
      <c r="E67" s="65" t="s">
        <v>1544</v>
      </c>
      <c r="F67" s="65" t="n">
        <v>110</v>
      </c>
      <c r="G67" s="66" t="n">
        <v>40</v>
      </c>
      <c r="H67" s="68" t="s">
        <v>1569</v>
      </c>
      <c r="I67" s="68" t="s">
        <v>1546</v>
      </c>
      <c r="J67" s="68" t="s">
        <v>771</v>
      </c>
      <c r="K67" s="69" t="n">
        <v>46295</v>
      </c>
      <c r="L67" s="68" t="s">
        <v>1547</v>
      </c>
      <c r="M67" s="68" t="s">
        <v>883</v>
      </c>
      <c r="N67" s="92"/>
    </row>
    <row r="68" customFormat="false" ht="14.25" hidden="false" customHeight="false" outlineLevel="0" collapsed="false">
      <c r="C68" s="64" t="n">
        <v>63</v>
      </c>
      <c r="D68" s="65" t="s">
        <v>870</v>
      </c>
      <c r="E68" s="65" t="s">
        <v>1544</v>
      </c>
      <c r="F68" s="65" t="n">
        <v>44</v>
      </c>
      <c r="G68" s="66" t="n">
        <v>25</v>
      </c>
      <c r="H68" s="68" t="s">
        <v>1545</v>
      </c>
      <c r="I68" s="68" t="s">
        <v>1546</v>
      </c>
      <c r="J68" s="68" t="s">
        <v>771</v>
      </c>
      <c r="K68" s="69" t="n">
        <v>46295</v>
      </c>
      <c r="L68" s="68" t="s">
        <v>1547</v>
      </c>
      <c r="M68" s="68" t="s">
        <v>883</v>
      </c>
      <c r="N68" s="92"/>
    </row>
    <row r="69" customFormat="false" ht="14.25" hidden="false" customHeight="false" outlineLevel="0" collapsed="false">
      <c r="C69" s="64" t="n">
        <v>64</v>
      </c>
      <c r="D69" s="65" t="s">
        <v>870</v>
      </c>
      <c r="E69" s="65" t="s">
        <v>1544</v>
      </c>
      <c r="F69" s="65" t="n">
        <v>13.2</v>
      </c>
      <c r="G69" s="66" t="n">
        <v>31.5</v>
      </c>
      <c r="H69" s="68" t="s">
        <v>1548</v>
      </c>
      <c r="I69" s="68" t="s">
        <v>1549</v>
      </c>
      <c r="J69" s="68" t="s">
        <v>771</v>
      </c>
      <c r="K69" s="69" t="n">
        <v>46295</v>
      </c>
      <c r="L69" s="68" t="s">
        <v>1547</v>
      </c>
      <c r="M69" s="68" t="s">
        <v>883</v>
      </c>
      <c r="N69" s="92"/>
    </row>
    <row r="70" customFormat="false" ht="14.25" hidden="false" customHeight="false" outlineLevel="0" collapsed="false">
      <c r="C70" s="64" t="n">
        <v>65</v>
      </c>
      <c r="D70" s="65" t="s">
        <v>1215</v>
      </c>
      <c r="E70" s="65" t="s">
        <v>1544</v>
      </c>
      <c r="F70" s="65" t="n">
        <v>110</v>
      </c>
      <c r="G70" s="66" t="n">
        <v>40</v>
      </c>
      <c r="H70" s="68" t="s">
        <v>1545</v>
      </c>
      <c r="I70" s="68" t="s">
        <v>1546</v>
      </c>
      <c r="J70" s="68" t="s">
        <v>202</v>
      </c>
      <c r="K70" s="67"/>
      <c r="L70" s="68" t="s">
        <v>1547</v>
      </c>
      <c r="M70" s="68" t="s">
        <v>1559</v>
      </c>
      <c r="N70" s="92"/>
    </row>
    <row r="71" customFormat="false" ht="14.25" hidden="false" customHeight="false" outlineLevel="0" collapsed="false">
      <c r="C71" s="64" t="n">
        <v>66</v>
      </c>
      <c r="D71" s="65" t="s">
        <v>1215</v>
      </c>
      <c r="E71" s="65" t="s">
        <v>1544</v>
      </c>
      <c r="F71" s="65" t="n">
        <v>44</v>
      </c>
      <c r="G71" s="66" t="n">
        <v>25</v>
      </c>
      <c r="H71" s="68" t="s">
        <v>1545</v>
      </c>
      <c r="I71" s="68" t="s">
        <v>1546</v>
      </c>
      <c r="J71" s="68" t="s">
        <v>202</v>
      </c>
      <c r="K71" s="67"/>
      <c r="L71" s="68" t="s">
        <v>1547</v>
      </c>
      <c r="M71" s="68" t="s">
        <v>1559</v>
      </c>
      <c r="N71" s="92"/>
    </row>
    <row r="72" customFormat="false" ht="14.25" hidden="false" customHeight="false" outlineLevel="0" collapsed="false">
      <c r="C72" s="64" t="n">
        <v>67</v>
      </c>
      <c r="D72" s="65" t="s">
        <v>1215</v>
      </c>
      <c r="E72" s="65" t="s">
        <v>1544</v>
      </c>
      <c r="F72" s="65" t="n">
        <v>13.2</v>
      </c>
      <c r="G72" s="66" t="n">
        <v>31.5</v>
      </c>
      <c r="H72" s="68" t="s">
        <v>1548</v>
      </c>
      <c r="I72" s="68" t="s">
        <v>1549</v>
      </c>
      <c r="J72" s="68" t="s">
        <v>202</v>
      </c>
      <c r="K72" s="67"/>
      <c r="L72" s="68" t="s">
        <v>1547</v>
      </c>
      <c r="M72" s="68" t="s">
        <v>1559</v>
      </c>
      <c r="N72" s="92"/>
    </row>
    <row r="73" customFormat="false" ht="14.25" hidden="false" customHeight="false" outlineLevel="0" collapsed="false">
      <c r="C73" s="64" t="n">
        <v>68</v>
      </c>
      <c r="D73" s="65" t="s">
        <v>1156</v>
      </c>
      <c r="E73" s="65" t="s">
        <v>1544</v>
      </c>
      <c r="F73" s="65" t="n">
        <v>110</v>
      </c>
      <c r="G73" s="66" t="n">
        <v>40</v>
      </c>
      <c r="H73" s="68" t="s">
        <v>1570</v>
      </c>
      <c r="I73" s="68" t="s">
        <v>1546</v>
      </c>
      <c r="J73" s="68" t="s">
        <v>202</v>
      </c>
      <c r="K73" s="67"/>
      <c r="L73" s="68" t="s">
        <v>1547</v>
      </c>
      <c r="M73" s="68" t="s">
        <v>1156</v>
      </c>
      <c r="N73" s="92"/>
    </row>
    <row r="74" customFormat="false" ht="14.25" hidden="false" customHeight="false" outlineLevel="0" collapsed="false">
      <c r="C74" s="64" t="n">
        <v>69</v>
      </c>
      <c r="D74" s="65" t="s">
        <v>1156</v>
      </c>
      <c r="E74" s="65" t="s">
        <v>1544</v>
      </c>
      <c r="F74" s="65" t="n">
        <v>44</v>
      </c>
      <c r="G74" s="66" t="n">
        <v>25</v>
      </c>
      <c r="H74" s="68" t="s">
        <v>1545</v>
      </c>
      <c r="I74" s="68" t="s">
        <v>1546</v>
      </c>
      <c r="J74" s="68" t="s">
        <v>202</v>
      </c>
      <c r="K74" s="67"/>
      <c r="L74" s="68" t="s">
        <v>1547</v>
      </c>
      <c r="M74" s="68" t="s">
        <v>1156</v>
      </c>
      <c r="N74" s="92"/>
    </row>
    <row r="75" customFormat="false" ht="14.25" hidden="false" customHeight="false" outlineLevel="0" collapsed="false">
      <c r="C75" s="64" t="n">
        <v>70</v>
      </c>
      <c r="D75" s="65" t="s">
        <v>1156</v>
      </c>
      <c r="E75" s="65" t="s">
        <v>1544</v>
      </c>
      <c r="F75" s="65" t="n">
        <v>13.2</v>
      </c>
      <c r="G75" s="66" t="n">
        <v>31.5</v>
      </c>
      <c r="H75" s="68" t="s">
        <v>1548</v>
      </c>
      <c r="I75" s="68" t="s">
        <v>1549</v>
      </c>
      <c r="J75" s="68" t="s">
        <v>202</v>
      </c>
      <c r="K75" s="67"/>
      <c r="L75" s="68" t="s">
        <v>1547</v>
      </c>
      <c r="M75" s="68" t="s">
        <v>1156</v>
      </c>
      <c r="N75" s="92"/>
    </row>
    <row r="76" customFormat="false" ht="14.25" hidden="false" customHeight="false" outlineLevel="0" collapsed="false">
      <c r="C76" s="64" t="n">
        <v>71</v>
      </c>
      <c r="D76" s="65" t="s">
        <v>774</v>
      </c>
      <c r="E76" s="65" t="s">
        <v>1544</v>
      </c>
      <c r="F76" s="65" t="n">
        <v>110</v>
      </c>
      <c r="G76" s="66" t="n">
        <v>31.5</v>
      </c>
      <c r="H76" s="68" t="s">
        <v>1545</v>
      </c>
      <c r="I76" s="68" t="s">
        <v>1546</v>
      </c>
      <c r="J76" s="68" t="s">
        <v>202</v>
      </c>
      <c r="K76" s="67"/>
      <c r="L76" s="68" t="s">
        <v>1547</v>
      </c>
      <c r="M76" s="68" t="s">
        <v>1571</v>
      </c>
      <c r="N76" s="92"/>
    </row>
    <row r="77" customFormat="false" ht="14.25" hidden="false" customHeight="false" outlineLevel="0" collapsed="false">
      <c r="C77" s="64" t="n">
        <v>72</v>
      </c>
      <c r="D77" s="65" t="s">
        <v>774</v>
      </c>
      <c r="E77" s="65" t="s">
        <v>1544</v>
      </c>
      <c r="F77" s="65" t="n">
        <v>44</v>
      </c>
      <c r="G77" s="66" t="n">
        <v>25</v>
      </c>
      <c r="H77" s="68" t="s">
        <v>1555</v>
      </c>
      <c r="I77" s="68" t="s">
        <v>1546</v>
      </c>
      <c r="J77" s="68" t="s">
        <v>202</v>
      </c>
      <c r="K77" s="67"/>
      <c r="L77" s="68" t="s">
        <v>1547</v>
      </c>
      <c r="M77" s="68" t="s">
        <v>1571</v>
      </c>
      <c r="N77" s="92"/>
    </row>
    <row r="78" customFormat="false" ht="14.25" hidden="false" customHeight="false" outlineLevel="0" collapsed="false">
      <c r="C78" s="64" t="n">
        <v>73</v>
      </c>
      <c r="D78" s="65" t="s">
        <v>774</v>
      </c>
      <c r="E78" s="65" t="s">
        <v>1544</v>
      </c>
      <c r="F78" s="65" t="n">
        <v>13.2</v>
      </c>
      <c r="G78" s="66" t="n">
        <v>25</v>
      </c>
      <c r="H78" s="68" t="s">
        <v>1557</v>
      </c>
      <c r="I78" s="68" t="s">
        <v>1546</v>
      </c>
      <c r="J78" s="68" t="s">
        <v>202</v>
      </c>
      <c r="K78" s="67"/>
      <c r="L78" s="68" t="s">
        <v>1547</v>
      </c>
      <c r="M78" s="68" t="s">
        <v>1571</v>
      </c>
      <c r="N78" s="92"/>
    </row>
    <row r="79" customFormat="false" ht="14.25" hidden="false" customHeight="false" outlineLevel="0" collapsed="false">
      <c r="A79" s="45"/>
      <c r="C79" s="64" t="n">
        <v>74</v>
      </c>
      <c r="D79" s="65" t="s">
        <v>1218</v>
      </c>
      <c r="E79" s="65" t="s">
        <v>1544</v>
      </c>
      <c r="F79" s="65" t="n">
        <v>110</v>
      </c>
      <c r="G79" s="66" t="n">
        <v>31.5</v>
      </c>
      <c r="H79" s="68" t="s">
        <v>1545</v>
      </c>
      <c r="I79" s="68" t="s">
        <v>1546</v>
      </c>
      <c r="J79" s="68" t="s">
        <v>202</v>
      </c>
      <c r="K79" s="67"/>
      <c r="L79" s="68" t="s">
        <v>1547</v>
      </c>
      <c r="M79" s="68" t="s">
        <v>1559</v>
      </c>
      <c r="N79" s="92"/>
    </row>
    <row r="80" customFormat="false" ht="14.25" hidden="false" customHeight="false" outlineLevel="0" collapsed="false">
      <c r="C80" s="64" t="n">
        <v>75</v>
      </c>
      <c r="D80" s="65" t="s">
        <v>1218</v>
      </c>
      <c r="E80" s="65" t="s">
        <v>1544</v>
      </c>
      <c r="F80" s="65" t="n">
        <v>44</v>
      </c>
      <c r="G80" s="66" t="n">
        <v>25</v>
      </c>
      <c r="H80" s="68" t="s">
        <v>1555</v>
      </c>
      <c r="I80" s="68" t="s">
        <v>1546</v>
      </c>
      <c r="J80" s="68" t="s">
        <v>202</v>
      </c>
      <c r="K80" s="67"/>
      <c r="L80" s="68" t="s">
        <v>1547</v>
      </c>
      <c r="M80" s="68" t="s">
        <v>1559</v>
      </c>
      <c r="N80" s="92"/>
    </row>
    <row r="81" customFormat="false" ht="14.25" hidden="false" customHeight="false" outlineLevel="0" collapsed="false">
      <c r="C81" s="64" t="n">
        <v>76</v>
      </c>
      <c r="D81" s="65" t="s">
        <v>1218</v>
      </c>
      <c r="E81" s="65" t="s">
        <v>1544</v>
      </c>
      <c r="F81" s="65" t="n">
        <v>13.2</v>
      </c>
      <c r="G81" s="66" t="n">
        <v>31.5</v>
      </c>
      <c r="H81" s="68" t="s">
        <v>1548</v>
      </c>
      <c r="I81" s="68" t="s">
        <v>1549</v>
      </c>
      <c r="J81" s="68" t="s">
        <v>202</v>
      </c>
      <c r="K81" s="67"/>
      <c r="L81" s="68" t="s">
        <v>1547</v>
      </c>
      <c r="M81" s="68" t="s">
        <v>1559</v>
      </c>
      <c r="N81" s="92"/>
    </row>
    <row r="82" customFormat="false" ht="14.25" hidden="false" customHeight="false" outlineLevel="0" collapsed="false">
      <c r="C82" s="64" t="n">
        <v>77</v>
      </c>
      <c r="D82" s="65" t="s">
        <v>1406</v>
      </c>
      <c r="E82" s="65" t="s">
        <v>1544</v>
      </c>
      <c r="F82" s="65" t="n">
        <v>44</v>
      </c>
      <c r="G82" s="66" t="n">
        <v>25</v>
      </c>
      <c r="H82" s="68" t="s">
        <v>1555</v>
      </c>
      <c r="I82" s="68" t="s">
        <v>1546</v>
      </c>
      <c r="J82" s="68" t="s">
        <v>202</v>
      </c>
      <c r="K82" s="67"/>
      <c r="L82" s="68" t="s">
        <v>1547</v>
      </c>
      <c r="M82" s="68" t="s">
        <v>1406</v>
      </c>
      <c r="N82" s="92"/>
    </row>
    <row r="83" customFormat="false" ht="14.25" hidden="false" customHeight="false" outlineLevel="0" collapsed="false">
      <c r="C83" s="64" t="n">
        <v>78</v>
      </c>
      <c r="D83" s="65" t="s">
        <v>1406</v>
      </c>
      <c r="E83" s="65" t="s">
        <v>1544</v>
      </c>
      <c r="F83" s="65" t="n">
        <v>13.2</v>
      </c>
      <c r="G83" s="66" t="n">
        <v>25</v>
      </c>
      <c r="H83" s="68" t="s">
        <v>1548</v>
      </c>
      <c r="I83" s="68" t="s">
        <v>1549</v>
      </c>
      <c r="J83" s="68" t="s">
        <v>202</v>
      </c>
      <c r="K83" s="67"/>
      <c r="L83" s="68" t="s">
        <v>1547</v>
      </c>
      <c r="M83" s="68" t="s">
        <v>1406</v>
      </c>
      <c r="N83" s="92"/>
    </row>
    <row r="84" customFormat="false" ht="14.25" hidden="false" customHeight="false" outlineLevel="0" collapsed="false">
      <c r="C84" s="64" t="n">
        <v>79</v>
      </c>
      <c r="D84" s="65" t="s">
        <v>814</v>
      </c>
      <c r="E84" s="65" t="s">
        <v>1544</v>
      </c>
      <c r="F84" s="65" t="n">
        <v>110</v>
      </c>
      <c r="G84" s="66" t="n">
        <v>40</v>
      </c>
      <c r="H84" s="68" t="s">
        <v>1545</v>
      </c>
      <c r="I84" s="68" t="s">
        <v>1546</v>
      </c>
      <c r="J84" s="68" t="s">
        <v>202</v>
      </c>
      <c r="K84" s="67"/>
      <c r="L84" s="68" t="s">
        <v>1547</v>
      </c>
      <c r="M84" s="68" t="s">
        <v>826</v>
      </c>
      <c r="N84" s="92"/>
    </row>
    <row r="85" customFormat="false" ht="14.25" hidden="false" customHeight="false" outlineLevel="0" collapsed="false">
      <c r="C85" s="64" t="n">
        <v>80</v>
      </c>
      <c r="D85" s="65" t="s">
        <v>814</v>
      </c>
      <c r="E85" s="65" t="s">
        <v>1544</v>
      </c>
      <c r="F85" s="65" t="n">
        <v>44</v>
      </c>
      <c r="G85" s="66" t="n">
        <v>13.1</v>
      </c>
      <c r="H85" s="68" t="s">
        <v>1545</v>
      </c>
      <c r="I85" s="68" t="s">
        <v>1546</v>
      </c>
      <c r="J85" s="68" t="s">
        <v>202</v>
      </c>
      <c r="K85" s="67"/>
      <c r="L85" s="68" t="s">
        <v>1547</v>
      </c>
      <c r="M85" s="68" t="s">
        <v>826</v>
      </c>
      <c r="N85" s="92"/>
    </row>
    <row r="86" customFormat="false" ht="14.25" hidden="false" customHeight="false" outlineLevel="0" collapsed="false">
      <c r="C86" s="64" t="n">
        <v>81</v>
      </c>
      <c r="D86" s="65" t="s">
        <v>814</v>
      </c>
      <c r="E86" s="65" t="s">
        <v>1544</v>
      </c>
      <c r="F86" s="65" t="n">
        <v>13.2</v>
      </c>
      <c r="G86" s="66" t="n">
        <v>25</v>
      </c>
      <c r="H86" s="68" t="s">
        <v>1548</v>
      </c>
      <c r="I86" s="68" t="s">
        <v>1549</v>
      </c>
      <c r="J86" s="68" t="s">
        <v>202</v>
      </c>
      <c r="K86" s="67"/>
      <c r="L86" s="68" t="s">
        <v>1547</v>
      </c>
      <c r="M86" s="68" t="s">
        <v>826</v>
      </c>
      <c r="N86" s="92"/>
    </row>
    <row r="87" customFormat="false" ht="14.25" hidden="false" customHeight="false" outlineLevel="0" collapsed="false">
      <c r="C87" s="64" t="n">
        <v>82</v>
      </c>
      <c r="D87" s="65" t="s">
        <v>796</v>
      </c>
      <c r="E87" s="65" t="s">
        <v>1544</v>
      </c>
      <c r="F87" s="65" t="n">
        <v>44</v>
      </c>
      <c r="G87" s="66" t="n">
        <v>8</v>
      </c>
      <c r="H87" s="68" t="s">
        <v>1555</v>
      </c>
      <c r="I87" s="68" t="s">
        <v>1546</v>
      </c>
      <c r="J87" s="68" t="s">
        <v>202</v>
      </c>
      <c r="K87" s="67"/>
      <c r="L87" s="68" t="s">
        <v>1547</v>
      </c>
      <c r="M87" s="68" t="s">
        <v>1525</v>
      </c>
      <c r="N87" s="92"/>
    </row>
    <row r="88" customFormat="false" ht="14.25" hidden="false" customHeight="false" outlineLevel="0" collapsed="false">
      <c r="C88" s="64" t="n">
        <v>83</v>
      </c>
      <c r="D88" s="65" t="s">
        <v>796</v>
      </c>
      <c r="E88" s="65" t="s">
        <v>1544</v>
      </c>
      <c r="F88" s="65" t="n">
        <v>13.2</v>
      </c>
      <c r="G88" s="66" t="n">
        <v>12.5</v>
      </c>
      <c r="H88" s="68" t="s">
        <v>1557</v>
      </c>
      <c r="I88" s="68" t="s">
        <v>1546</v>
      </c>
      <c r="J88" s="68" t="s">
        <v>202</v>
      </c>
      <c r="K88" s="67"/>
      <c r="L88" s="68" t="s">
        <v>1547</v>
      </c>
      <c r="M88" s="68" t="s">
        <v>1525</v>
      </c>
      <c r="N88" s="92"/>
    </row>
    <row r="89" customFormat="false" ht="14.25" hidden="false" customHeight="false" outlineLevel="0" collapsed="false">
      <c r="C89" s="64" t="n">
        <v>84</v>
      </c>
      <c r="D89" s="65" t="s">
        <v>1055</v>
      </c>
      <c r="E89" s="65" t="s">
        <v>1544</v>
      </c>
      <c r="F89" s="65" t="n">
        <v>44</v>
      </c>
      <c r="G89" s="66" t="n">
        <v>8</v>
      </c>
      <c r="H89" s="68" t="s">
        <v>1545</v>
      </c>
      <c r="I89" s="68" t="s">
        <v>1546</v>
      </c>
      <c r="J89" s="68" t="s">
        <v>202</v>
      </c>
      <c r="K89" s="67"/>
      <c r="L89" s="68" t="s">
        <v>1547</v>
      </c>
      <c r="M89" s="68" t="s">
        <v>1111</v>
      </c>
      <c r="N89" s="92"/>
    </row>
    <row r="90" customFormat="false" ht="14.25" hidden="false" customHeight="false" outlineLevel="0" collapsed="false">
      <c r="C90" s="64" t="n">
        <v>85</v>
      </c>
      <c r="D90" s="65" t="s">
        <v>1055</v>
      </c>
      <c r="E90" s="65" t="s">
        <v>1544</v>
      </c>
      <c r="F90" s="65" t="n">
        <v>13.2</v>
      </c>
      <c r="G90" s="66" t="n">
        <v>12.5</v>
      </c>
      <c r="H90" s="68" t="s">
        <v>1557</v>
      </c>
      <c r="I90" s="68" t="s">
        <v>1546</v>
      </c>
      <c r="J90" s="68" t="s">
        <v>202</v>
      </c>
      <c r="K90" s="67"/>
      <c r="L90" s="68" t="s">
        <v>1547</v>
      </c>
      <c r="M90" s="68" t="s">
        <v>1111</v>
      </c>
      <c r="N90" s="92"/>
    </row>
    <row r="91" customFormat="false" ht="14.25" hidden="false" customHeight="false" outlineLevel="0" collapsed="false">
      <c r="C91" s="64" t="n">
        <v>86</v>
      </c>
      <c r="D91" s="65" t="s">
        <v>1209</v>
      </c>
      <c r="E91" s="65" t="s">
        <v>1544</v>
      </c>
      <c r="F91" s="65" t="n">
        <v>110</v>
      </c>
      <c r="G91" s="66" t="n">
        <v>31.5</v>
      </c>
      <c r="H91" s="68" t="s">
        <v>1545</v>
      </c>
      <c r="I91" s="68" t="s">
        <v>1546</v>
      </c>
      <c r="J91" s="68" t="s">
        <v>202</v>
      </c>
      <c r="K91" s="67"/>
      <c r="L91" s="68" t="s">
        <v>1547</v>
      </c>
      <c r="M91" s="68" t="s">
        <v>1559</v>
      </c>
      <c r="N91" s="92"/>
    </row>
    <row r="92" customFormat="false" ht="14.25" hidden="false" customHeight="false" outlineLevel="0" collapsed="false">
      <c r="C92" s="64" t="n">
        <v>87</v>
      </c>
      <c r="D92" s="65" t="s">
        <v>1209</v>
      </c>
      <c r="E92" s="65" t="s">
        <v>1544</v>
      </c>
      <c r="F92" s="65" t="n">
        <v>44</v>
      </c>
      <c r="G92" s="66" t="n">
        <v>25</v>
      </c>
      <c r="H92" s="68" t="s">
        <v>1555</v>
      </c>
      <c r="I92" s="68" t="s">
        <v>1546</v>
      </c>
      <c r="J92" s="68" t="s">
        <v>202</v>
      </c>
      <c r="K92" s="67"/>
      <c r="L92" s="68" t="s">
        <v>1547</v>
      </c>
      <c r="M92" s="68" t="s">
        <v>1559</v>
      </c>
      <c r="N92" s="92"/>
    </row>
    <row r="93" customFormat="false" ht="14.25" hidden="false" customHeight="false" outlineLevel="0" collapsed="false">
      <c r="C93" s="64" t="n">
        <v>88</v>
      </c>
      <c r="D93" s="65" t="s">
        <v>1209</v>
      </c>
      <c r="E93" s="65" t="s">
        <v>1544</v>
      </c>
      <c r="F93" s="65" t="n">
        <v>13.2</v>
      </c>
      <c r="G93" s="66" t="n">
        <v>31.5</v>
      </c>
      <c r="H93" s="68" t="s">
        <v>1548</v>
      </c>
      <c r="I93" s="68" t="s">
        <v>1549</v>
      </c>
      <c r="J93" s="68" t="s">
        <v>202</v>
      </c>
      <c r="K93" s="67"/>
      <c r="L93" s="68" t="s">
        <v>1547</v>
      </c>
      <c r="M93" s="68" t="s">
        <v>1559</v>
      </c>
      <c r="N93" s="92"/>
    </row>
    <row r="94" customFormat="false" ht="14.25" hidden="false" customHeight="false" outlineLevel="0" collapsed="false">
      <c r="C94" s="64" t="n">
        <v>89</v>
      </c>
      <c r="D94" s="65" t="s">
        <v>1173</v>
      </c>
      <c r="E94" s="65" t="s">
        <v>1544</v>
      </c>
      <c r="F94" s="65" t="n">
        <v>44</v>
      </c>
      <c r="G94" s="66" t="n">
        <v>8</v>
      </c>
      <c r="H94" s="68" t="s">
        <v>1555</v>
      </c>
      <c r="I94" s="68" t="s">
        <v>1546</v>
      </c>
      <c r="J94" s="68" t="s">
        <v>202</v>
      </c>
      <c r="K94" s="67"/>
      <c r="L94" s="68" t="s">
        <v>1547</v>
      </c>
      <c r="M94" s="68" t="s">
        <v>1475</v>
      </c>
      <c r="N94" s="92"/>
    </row>
    <row r="95" customFormat="false" ht="14.25" hidden="false" customHeight="false" outlineLevel="0" collapsed="false">
      <c r="C95" s="64" t="n">
        <v>90</v>
      </c>
      <c r="D95" s="65" t="s">
        <v>1173</v>
      </c>
      <c r="E95" s="65" t="s">
        <v>1544</v>
      </c>
      <c r="F95" s="65" t="n">
        <v>13.2</v>
      </c>
      <c r="G95" s="66" t="n">
        <v>12.5</v>
      </c>
      <c r="H95" s="68" t="s">
        <v>1557</v>
      </c>
      <c r="I95" s="68" t="s">
        <v>1546</v>
      </c>
      <c r="J95" s="68" t="s">
        <v>202</v>
      </c>
      <c r="K95" s="67"/>
      <c r="L95" s="68" t="s">
        <v>1547</v>
      </c>
      <c r="M95" s="68" t="s">
        <v>1475</v>
      </c>
      <c r="N95" s="92"/>
    </row>
    <row r="96" customFormat="false" ht="14.25" hidden="false" customHeight="false" outlineLevel="0" collapsed="false">
      <c r="C96" s="64" t="n">
        <v>91</v>
      </c>
      <c r="D96" s="65" t="s">
        <v>895</v>
      </c>
      <c r="E96" s="65" t="s">
        <v>1544</v>
      </c>
      <c r="F96" s="65" t="n">
        <v>44</v>
      </c>
      <c r="G96" s="66" t="n">
        <v>8</v>
      </c>
      <c r="H96" s="68" t="s">
        <v>1555</v>
      </c>
      <c r="I96" s="68" t="s">
        <v>1546</v>
      </c>
      <c r="J96" s="68" t="s">
        <v>202</v>
      </c>
      <c r="K96" s="67"/>
      <c r="L96" s="68" t="s">
        <v>1547</v>
      </c>
      <c r="M96" s="68" t="s">
        <v>895</v>
      </c>
      <c r="N96" s="92"/>
    </row>
    <row r="97" customFormat="false" ht="14.25" hidden="false" customHeight="false" outlineLevel="0" collapsed="false">
      <c r="C97" s="64" t="n">
        <v>92</v>
      </c>
      <c r="D97" s="65" t="s">
        <v>895</v>
      </c>
      <c r="E97" s="65" t="s">
        <v>1544</v>
      </c>
      <c r="F97" s="65" t="n">
        <v>13.2</v>
      </c>
      <c r="G97" s="66" t="n">
        <v>12.5</v>
      </c>
      <c r="H97" s="68" t="s">
        <v>1557</v>
      </c>
      <c r="I97" s="68" t="s">
        <v>1546</v>
      </c>
      <c r="J97" s="68" t="s">
        <v>202</v>
      </c>
      <c r="K97" s="67"/>
      <c r="L97" s="68" t="s">
        <v>1547</v>
      </c>
      <c r="M97" s="68" t="s">
        <v>895</v>
      </c>
      <c r="N97" s="92"/>
    </row>
    <row r="98" customFormat="false" ht="14.25" hidden="false" customHeight="false" outlineLevel="0" collapsed="false">
      <c r="C98" s="64" t="n">
        <v>93</v>
      </c>
      <c r="D98" s="65" t="s">
        <v>1572</v>
      </c>
      <c r="E98" s="65" t="s">
        <v>1544</v>
      </c>
      <c r="F98" s="65" t="n">
        <v>110</v>
      </c>
      <c r="G98" s="66" t="n">
        <v>30</v>
      </c>
      <c r="H98" s="68" t="s">
        <v>1545</v>
      </c>
      <c r="I98" s="68" t="s">
        <v>1546</v>
      </c>
      <c r="J98" s="68" t="s">
        <v>202</v>
      </c>
      <c r="K98" s="67"/>
      <c r="L98" s="68" t="s">
        <v>1547</v>
      </c>
      <c r="M98" s="68" t="s">
        <v>1041</v>
      </c>
      <c r="N98" s="92"/>
    </row>
    <row r="99" customFormat="false" ht="14.25" hidden="false" customHeight="false" outlineLevel="0" collapsed="false">
      <c r="C99" s="64" t="n">
        <v>94</v>
      </c>
      <c r="D99" s="65" t="s">
        <v>1572</v>
      </c>
      <c r="E99" s="65" t="s">
        <v>1544</v>
      </c>
      <c r="F99" s="65" t="n">
        <v>44</v>
      </c>
      <c r="G99" s="66" t="n">
        <v>25.6</v>
      </c>
      <c r="H99" s="68" t="s">
        <v>1545</v>
      </c>
      <c r="I99" s="68" t="s">
        <v>1546</v>
      </c>
      <c r="J99" s="68" t="s">
        <v>202</v>
      </c>
      <c r="K99" s="67"/>
      <c r="L99" s="68" t="s">
        <v>1547</v>
      </c>
      <c r="M99" s="68" t="s">
        <v>1041</v>
      </c>
      <c r="N99" s="92"/>
    </row>
    <row r="100" customFormat="false" ht="14.25" hidden="false" customHeight="false" outlineLevel="0" collapsed="false">
      <c r="C100" s="64" t="n">
        <v>95</v>
      </c>
      <c r="D100" s="65" t="s">
        <v>1572</v>
      </c>
      <c r="E100" s="65" t="s">
        <v>1544</v>
      </c>
      <c r="F100" s="65" t="n">
        <v>13.2</v>
      </c>
      <c r="G100" s="66" t="n">
        <v>31.5</v>
      </c>
      <c r="H100" s="68" t="s">
        <v>1548</v>
      </c>
      <c r="I100" s="68" t="s">
        <v>1549</v>
      </c>
      <c r="J100" s="68" t="s">
        <v>202</v>
      </c>
      <c r="K100" s="67"/>
      <c r="L100" s="68" t="s">
        <v>1547</v>
      </c>
      <c r="M100" s="68" t="s">
        <v>1041</v>
      </c>
      <c r="N100" s="92"/>
    </row>
    <row r="101" customFormat="false" ht="14.25" hidden="false" customHeight="false" outlineLevel="0" collapsed="false">
      <c r="C101" s="64" t="n">
        <v>96</v>
      </c>
      <c r="D101" s="65" t="s">
        <v>1573</v>
      </c>
      <c r="E101" s="65" t="s">
        <v>1544</v>
      </c>
      <c r="F101" s="65" t="n">
        <v>44</v>
      </c>
      <c r="G101" s="66" t="n">
        <v>8</v>
      </c>
      <c r="H101" s="68" t="s">
        <v>1555</v>
      </c>
      <c r="I101" s="68" t="s">
        <v>1546</v>
      </c>
      <c r="J101" s="68" t="s">
        <v>202</v>
      </c>
      <c r="K101" s="67"/>
      <c r="L101" s="68" t="s">
        <v>1547</v>
      </c>
      <c r="M101" s="68" t="s">
        <v>1156</v>
      </c>
      <c r="N101" s="92"/>
    </row>
    <row r="102" customFormat="false" ht="14.25" hidden="false" customHeight="false" outlineLevel="0" collapsed="false">
      <c r="C102" s="64" t="n">
        <v>97</v>
      </c>
      <c r="D102" s="65" t="s">
        <v>1573</v>
      </c>
      <c r="E102" s="65" t="s">
        <v>1544</v>
      </c>
      <c r="F102" s="65" t="n">
        <v>13.2</v>
      </c>
      <c r="G102" s="66" t="n">
        <v>12.5</v>
      </c>
      <c r="H102" s="68" t="s">
        <v>1557</v>
      </c>
      <c r="I102" s="68" t="s">
        <v>1546</v>
      </c>
      <c r="J102" s="68" t="s">
        <v>202</v>
      </c>
      <c r="K102" s="67"/>
      <c r="L102" s="68" t="s">
        <v>1547</v>
      </c>
      <c r="M102" s="68" t="s">
        <v>1156</v>
      </c>
      <c r="N102" s="92"/>
    </row>
    <row r="103" customFormat="false" ht="14.25" hidden="false" customHeight="false" outlineLevel="0" collapsed="false">
      <c r="C103" s="64" t="n">
        <v>98</v>
      </c>
      <c r="D103" s="65" t="s">
        <v>831</v>
      </c>
      <c r="E103" s="65" t="s">
        <v>1544</v>
      </c>
      <c r="F103" s="65" t="n">
        <v>44</v>
      </c>
      <c r="G103" s="66" t="n">
        <v>8</v>
      </c>
      <c r="H103" s="68" t="s">
        <v>1555</v>
      </c>
      <c r="I103" s="68" t="s">
        <v>1546</v>
      </c>
      <c r="J103" s="68" t="s">
        <v>202</v>
      </c>
      <c r="K103" s="67"/>
      <c r="L103" s="68" t="s">
        <v>1547</v>
      </c>
      <c r="M103" s="68" t="s">
        <v>831</v>
      </c>
      <c r="N103" s="92"/>
    </row>
    <row r="104" customFormat="false" ht="14.25" hidden="false" customHeight="false" outlineLevel="0" collapsed="false">
      <c r="C104" s="64" t="n">
        <v>99</v>
      </c>
      <c r="D104" s="65" t="s">
        <v>831</v>
      </c>
      <c r="E104" s="65" t="s">
        <v>1544</v>
      </c>
      <c r="F104" s="65" t="n">
        <v>13.2</v>
      </c>
      <c r="G104" s="66" t="n">
        <v>12.5</v>
      </c>
      <c r="H104" s="68" t="s">
        <v>1557</v>
      </c>
      <c r="I104" s="68" t="s">
        <v>1546</v>
      </c>
      <c r="J104" s="68" t="s">
        <v>202</v>
      </c>
      <c r="K104" s="67"/>
      <c r="L104" s="68" t="s">
        <v>1547</v>
      </c>
      <c r="M104" s="68" t="s">
        <v>831</v>
      </c>
      <c r="N104" s="92"/>
    </row>
    <row r="105" customFormat="false" ht="14.25" hidden="false" customHeight="false" outlineLevel="0" collapsed="false">
      <c r="C105" s="64" t="n">
        <v>100</v>
      </c>
      <c r="D105" s="65" t="s">
        <v>1140</v>
      </c>
      <c r="E105" s="65" t="s">
        <v>1544</v>
      </c>
      <c r="F105" s="65" t="n">
        <v>44</v>
      </c>
      <c r="G105" s="66" t="n">
        <v>12.5</v>
      </c>
      <c r="H105" s="68" t="s">
        <v>1555</v>
      </c>
      <c r="I105" s="68" t="s">
        <v>1546</v>
      </c>
      <c r="J105" s="68" t="s">
        <v>202</v>
      </c>
      <c r="K105" s="67"/>
      <c r="L105" s="68" t="s">
        <v>1547</v>
      </c>
      <c r="M105" s="68" t="s">
        <v>1144</v>
      </c>
      <c r="N105" s="92"/>
    </row>
    <row r="106" customFormat="false" ht="14.25" hidden="false" customHeight="false" outlineLevel="0" collapsed="false">
      <c r="C106" s="64" t="n">
        <v>101</v>
      </c>
      <c r="D106" s="65" t="s">
        <v>1140</v>
      </c>
      <c r="E106" s="65" t="s">
        <v>1544</v>
      </c>
      <c r="F106" s="65" t="n">
        <v>13.2</v>
      </c>
      <c r="G106" s="66" t="n">
        <v>12.5</v>
      </c>
      <c r="H106" s="68" t="s">
        <v>1557</v>
      </c>
      <c r="I106" s="68" t="s">
        <v>1546</v>
      </c>
      <c r="J106" s="68" t="s">
        <v>202</v>
      </c>
      <c r="K106" s="67"/>
      <c r="L106" s="68" t="s">
        <v>1547</v>
      </c>
      <c r="M106" s="68" t="s">
        <v>1144</v>
      </c>
      <c r="N106" s="92"/>
    </row>
    <row r="107" customFormat="false" ht="14.25" hidden="false" customHeight="false" outlineLevel="0" collapsed="false">
      <c r="C107" s="64" t="n">
        <v>102</v>
      </c>
      <c r="D107" s="65" t="s">
        <v>1574</v>
      </c>
      <c r="E107" s="65" t="s">
        <v>1544</v>
      </c>
      <c r="F107" s="65" t="n">
        <v>44</v>
      </c>
      <c r="G107" s="66" t="n">
        <v>8</v>
      </c>
      <c r="H107" s="68" t="s">
        <v>1555</v>
      </c>
      <c r="I107" s="68" t="s">
        <v>1546</v>
      </c>
      <c r="J107" s="68" t="s">
        <v>202</v>
      </c>
      <c r="K107" s="67"/>
      <c r="L107" s="68" t="s">
        <v>1547</v>
      </c>
      <c r="M107" s="68" t="s">
        <v>835</v>
      </c>
      <c r="N107" s="92"/>
    </row>
    <row r="108" customFormat="false" ht="14.25" hidden="false" customHeight="false" outlineLevel="0" collapsed="false">
      <c r="C108" s="64" t="n">
        <v>103</v>
      </c>
      <c r="D108" s="65" t="s">
        <v>1574</v>
      </c>
      <c r="E108" s="65" t="s">
        <v>1544</v>
      </c>
      <c r="F108" s="65" t="n">
        <v>13.2</v>
      </c>
      <c r="G108" s="66" t="n">
        <v>12.5</v>
      </c>
      <c r="H108" s="68" t="s">
        <v>1557</v>
      </c>
      <c r="I108" s="68" t="s">
        <v>1546</v>
      </c>
      <c r="J108" s="68" t="s">
        <v>202</v>
      </c>
      <c r="K108" s="67"/>
      <c r="L108" s="68" t="s">
        <v>1547</v>
      </c>
      <c r="M108" s="68" t="s">
        <v>835</v>
      </c>
      <c r="N108" s="92"/>
    </row>
    <row r="109" customFormat="false" ht="14.25" hidden="false" customHeight="false" outlineLevel="0" collapsed="false">
      <c r="C109" s="64" t="n">
        <v>104</v>
      </c>
      <c r="D109" s="65" t="s">
        <v>1176</v>
      </c>
      <c r="E109" s="65" t="s">
        <v>1544</v>
      </c>
      <c r="F109" s="65" t="n">
        <v>44</v>
      </c>
      <c r="G109" s="66" t="n">
        <v>25</v>
      </c>
      <c r="H109" s="68" t="s">
        <v>1545</v>
      </c>
      <c r="I109" s="68" t="s">
        <v>1546</v>
      </c>
      <c r="J109" s="68" t="s">
        <v>202</v>
      </c>
      <c r="K109" s="67"/>
      <c r="L109" s="68" t="s">
        <v>1547</v>
      </c>
      <c r="M109" s="68" t="s">
        <v>1176</v>
      </c>
      <c r="N109" s="92"/>
    </row>
    <row r="110" customFormat="false" ht="14.25" hidden="false" customHeight="false" outlineLevel="0" collapsed="false">
      <c r="C110" s="64" t="n">
        <v>105</v>
      </c>
      <c r="D110" s="65" t="s">
        <v>1176</v>
      </c>
      <c r="E110" s="65" t="s">
        <v>1544</v>
      </c>
      <c r="F110" s="65" t="n">
        <v>13.2</v>
      </c>
      <c r="G110" s="66" t="n">
        <v>25</v>
      </c>
      <c r="H110" s="68" t="s">
        <v>1548</v>
      </c>
      <c r="I110" s="68" t="s">
        <v>1549</v>
      </c>
      <c r="J110" s="68" t="s">
        <v>202</v>
      </c>
      <c r="K110" s="67"/>
      <c r="L110" s="68" t="s">
        <v>1547</v>
      </c>
      <c r="M110" s="68" t="s">
        <v>1176</v>
      </c>
      <c r="N110" s="92"/>
    </row>
    <row r="111" customFormat="false" ht="14.25" hidden="false" customHeight="false" outlineLevel="0" collapsed="false">
      <c r="C111" s="64" t="n">
        <v>106</v>
      </c>
      <c r="D111" s="65" t="s">
        <v>1575</v>
      </c>
      <c r="E111" s="65" t="s">
        <v>1544</v>
      </c>
      <c r="F111" s="65" t="n">
        <v>44</v>
      </c>
      <c r="G111" s="66" t="n">
        <v>31.5</v>
      </c>
      <c r="H111" s="68" t="s">
        <v>1545</v>
      </c>
      <c r="I111" s="68" t="s">
        <v>1546</v>
      </c>
      <c r="J111" s="68" t="s">
        <v>202</v>
      </c>
      <c r="K111" s="67"/>
      <c r="L111" s="68" t="s">
        <v>1547</v>
      </c>
      <c r="M111" s="68" t="s">
        <v>1576</v>
      </c>
      <c r="N111" s="92"/>
    </row>
    <row r="112" customFormat="false" ht="14.25" hidden="false" customHeight="false" outlineLevel="0" collapsed="false">
      <c r="C112" s="64" t="n">
        <v>107</v>
      </c>
      <c r="D112" s="65" t="s">
        <v>1575</v>
      </c>
      <c r="E112" s="65" t="s">
        <v>1544</v>
      </c>
      <c r="F112" s="65" t="n">
        <v>13.2</v>
      </c>
      <c r="G112" s="66" t="n">
        <v>20</v>
      </c>
      <c r="H112" s="68" t="s">
        <v>1548</v>
      </c>
      <c r="I112" s="68" t="s">
        <v>1549</v>
      </c>
      <c r="J112" s="68" t="s">
        <v>202</v>
      </c>
      <c r="K112" s="67"/>
      <c r="L112" s="68" t="s">
        <v>1547</v>
      </c>
      <c r="M112" s="68" t="s">
        <v>1576</v>
      </c>
      <c r="N112" s="92"/>
    </row>
    <row r="113" customFormat="false" ht="14.25" hidden="false" customHeight="false" outlineLevel="0" collapsed="false">
      <c r="C113" s="64" t="n">
        <v>108</v>
      </c>
      <c r="D113" s="65" t="s">
        <v>1577</v>
      </c>
      <c r="E113" s="65" t="s">
        <v>1544</v>
      </c>
      <c r="F113" s="65" t="n">
        <v>44</v>
      </c>
      <c r="G113" s="66" t="n">
        <v>31.5</v>
      </c>
      <c r="H113" s="68" t="s">
        <v>1567</v>
      </c>
      <c r="I113" s="68" t="s">
        <v>1549</v>
      </c>
      <c r="J113" s="68" t="s">
        <v>202</v>
      </c>
      <c r="K113" s="67"/>
      <c r="L113" s="68" t="s">
        <v>1547</v>
      </c>
      <c r="M113" s="68" t="s">
        <v>1578</v>
      </c>
      <c r="N113" s="92"/>
    </row>
    <row r="114" customFormat="false" ht="14.25" hidden="false" customHeight="false" outlineLevel="0" collapsed="false">
      <c r="C114" s="64" t="n">
        <v>109</v>
      </c>
      <c r="D114" s="65" t="s">
        <v>1577</v>
      </c>
      <c r="E114" s="65" t="s">
        <v>1544</v>
      </c>
      <c r="F114" s="65" t="n">
        <v>13.2</v>
      </c>
      <c r="G114" s="66" t="n">
        <v>12.5</v>
      </c>
      <c r="H114" s="68" t="s">
        <v>1548</v>
      </c>
      <c r="I114" s="68" t="s">
        <v>1549</v>
      </c>
      <c r="J114" s="68" t="s">
        <v>202</v>
      </c>
      <c r="K114" s="67"/>
      <c r="L114" s="68" t="s">
        <v>1547</v>
      </c>
      <c r="M114" s="68" t="s">
        <v>1578</v>
      </c>
      <c r="N114" s="92"/>
    </row>
    <row r="115" customFormat="false" ht="14.25" hidden="false" customHeight="false" outlineLevel="0" collapsed="false">
      <c r="C115" s="64" t="n">
        <v>110</v>
      </c>
      <c r="D115" s="65" t="s">
        <v>1211</v>
      </c>
      <c r="E115" s="65" t="s">
        <v>1544</v>
      </c>
      <c r="F115" s="65" t="n">
        <v>110</v>
      </c>
      <c r="G115" s="66" t="n">
        <v>40</v>
      </c>
      <c r="H115" s="68" t="s">
        <v>1545</v>
      </c>
      <c r="I115" s="68" t="s">
        <v>1546</v>
      </c>
      <c r="J115" s="68" t="s">
        <v>202</v>
      </c>
      <c r="K115" s="67"/>
      <c r="L115" s="68" t="s">
        <v>1547</v>
      </c>
      <c r="M115" s="68" t="s">
        <v>1579</v>
      </c>
      <c r="N115" s="92"/>
    </row>
    <row r="116" customFormat="false" ht="14.25" hidden="false" customHeight="false" outlineLevel="0" collapsed="false">
      <c r="C116" s="64" t="n">
        <v>111</v>
      </c>
      <c r="D116" s="65" t="s">
        <v>1211</v>
      </c>
      <c r="E116" s="65" t="s">
        <v>1544</v>
      </c>
      <c r="F116" s="65" t="n">
        <v>44</v>
      </c>
      <c r="G116" s="66" t="n">
        <v>20</v>
      </c>
      <c r="H116" s="68" t="s">
        <v>1545</v>
      </c>
      <c r="I116" s="68" t="s">
        <v>1546</v>
      </c>
      <c r="J116" s="68" t="s">
        <v>202</v>
      </c>
      <c r="K116" s="67"/>
      <c r="L116" s="68" t="s">
        <v>1547</v>
      </c>
      <c r="M116" s="68" t="s">
        <v>1579</v>
      </c>
      <c r="N116" s="92"/>
    </row>
    <row r="117" customFormat="false" ht="14.25" hidden="false" customHeight="false" outlineLevel="0" collapsed="false">
      <c r="C117" s="64" t="n">
        <v>112</v>
      </c>
      <c r="D117" s="65" t="s">
        <v>1211</v>
      </c>
      <c r="E117" s="65" t="s">
        <v>1544</v>
      </c>
      <c r="F117" s="65" t="n">
        <v>13.2</v>
      </c>
      <c r="G117" s="66" t="n">
        <v>31.5</v>
      </c>
      <c r="H117" s="68" t="s">
        <v>1548</v>
      </c>
      <c r="I117" s="68" t="s">
        <v>1549</v>
      </c>
      <c r="J117" s="68" t="s">
        <v>202</v>
      </c>
      <c r="K117" s="67"/>
      <c r="L117" s="68" t="s">
        <v>1547</v>
      </c>
      <c r="M117" s="68" t="s">
        <v>1579</v>
      </c>
      <c r="N117" s="92"/>
    </row>
    <row r="118" customFormat="false" ht="14.25" hidden="false" customHeight="false" outlineLevel="0" collapsed="false">
      <c r="C118" s="64" t="n">
        <v>113</v>
      </c>
      <c r="D118" s="65" t="s">
        <v>1580</v>
      </c>
      <c r="E118" s="65" t="s">
        <v>1544</v>
      </c>
      <c r="F118" s="65" t="n">
        <v>110</v>
      </c>
      <c r="G118" s="66" t="n">
        <v>40</v>
      </c>
      <c r="H118" s="68" t="s">
        <v>1570</v>
      </c>
      <c r="I118" s="68" t="s">
        <v>1546</v>
      </c>
      <c r="J118" s="68" t="s">
        <v>202</v>
      </c>
      <c r="K118" s="67"/>
      <c r="L118" s="68" t="s">
        <v>1547</v>
      </c>
      <c r="M118" s="68" t="s">
        <v>1581</v>
      </c>
      <c r="N118" s="92"/>
    </row>
    <row r="119" customFormat="false" ht="14.25" hidden="false" customHeight="false" outlineLevel="0" collapsed="false">
      <c r="C119" s="64" t="n">
        <v>114</v>
      </c>
      <c r="D119" s="65" t="s">
        <v>1580</v>
      </c>
      <c r="E119" s="65" t="s">
        <v>1544</v>
      </c>
      <c r="F119" s="65" t="s">
        <v>1582</v>
      </c>
      <c r="G119" s="66" t="n">
        <v>31.5</v>
      </c>
      <c r="H119" s="68" t="s">
        <v>1545</v>
      </c>
      <c r="I119" s="68" t="s">
        <v>1546</v>
      </c>
      <c r="J119" s="68" t="s">
        <v>202</v>
      </c>
      <c r="K119" s="67"/>
      <c r="L119" s="68" t="s">
        <v>1547</v>
      </c>
      <c r="M119" s="68" t="s">
        <v>1581</v>
      </c>
      <c r="N119" s="92"/>
    </row>
    <row r="120" customFormat="false" ht="14.25" hidden="false" customHeight="false" outlineLevel="0" collapsed="false">
      <c r="C120" s="64" t="n">
        <v>115</v>
      </c>
      <c r="D120" s="65" t="s">
        <v>1580</v>
      </c>
      <c r="E120" s="65" t="s">
        <v>1544</v>
      </c>
      <c r="F120" s="65" t="n">
        <v>13.2</v>
      </c>
      <c r="G120" s="66" t="n">
        <v>31.5</v>
      </c>
      <c r="H120" s="68" t="s">
        <v>1548</v>
      </c>
      <c r="I120" s="68" t="s">
        <v>1549</v>
      </c>
      <c r="J120" s="68" t="s">
        <v>202</v>
      </c>
      <c r="K120" s="67"/>
      <c r="L120" s="68" t="s">
        <v>1547</v>
      </c>
      <c r="M120" s="68" t="s">
        <v>1581</v>
      </c>
      <c r="N120" s="92"/>
    </row>
    <row r="121" customFormat="false" ht="14.25" hidden="false" customHeight="false" outlineLevel="0" collapsed="false">
      <c r="C121" s="64" t="n">
        <v>116</v>
      </c>
      <c r="D121" s="65" t="s">
        <v>1583</v>
      </c>
      <c r="E121" s="65" t="s">
        <v>1544</v>
      </c>
      <c r="F121" s="65" t="n">
        <v>220</v>
      </c>
      <c r="G121" s="66" t="n">
        <v>31.5</v>
      </c>
      <c r="H121" s="68" t="s">
        <v>1545</v>
      </c>
      <c r="I121" s="68" t="s">
        <v>1546</v>
      </c>
      <c r="J121" s="68" t="s">
        <v>202</v>
      </c>
      <c r="K121" s="67"/>
      <c r="L121" s="68" t="s">
        <v>1547</v>
      </c>
      <c r="M121" s="68" t="s">
        <v>1581</v>
      </c>
      <c r="N121" s="92"/>
    </row>
    <row r="122" customFormat="false" ht="14.25" hidden="false" customHeight="false" outlineLevel="0" collapsed="false">
      <c r="C122" s="64" t="n">
        <v>117</v>
      </c>
      <c r="D122" s="65" t="s">
        <v>976</v>
      </c>
      <c r="E122" s="65" t="s">
        <v>1544</v>
      </c>
      <c r="F122" s="65" t="n">
        <v>110</v>
      </c>
      <c r="G122" s="66" t="n">
        <v>40</v>
      </c>
      <c r="H122" s="68" t="s">
        <v>1545</v>
      </c>
      <c r="I122" s="68" t="s">
        <v>1546</v>
      </c>
      <c r="J122" s="68" t="s">
        <v>202</v>
      </c>
      <c r="K122" s="67"/>
      <c r="L122" s="68" t="s">
        <v>1547</v>
      </c>
      <c r="M122" s="68" t="s">
        <v>999</v>
      </c>
      <c r="N122" s="92"/>
    </row>
    <row r="123" customFormat="false" ht="14.25" hidden="false" customHeight="false" outlineLevel="0" collapsed="false">
      <c r="C123" s="64" t="n">
        <v>118</v>
      </c>
      <c r="D123" s="65" t="s">
        <v>976</v>
      </c>
      <c r="E123" s="65" t="s">
        <v>1544</v>
      </c>
      <c r="F123" s="65" t="n">
        <v>44</v>
      </c>
      <c r="G123" s="66" t="n">
        <v>25</v>
      </c>
      <c r="H123" s="68" t="s">
        <v>1545</v>
      </c>
      <c r="I123" s="68" t="s">
        <v>1546</v>
      </c>
      <c r="J123" s="68" t="s">
        <v>202</v>
      </c>
      <c r="K123" s="67"/>
      <c r="L123" s="68" t="s">
        <v>1547</v>
      </c>
      <c r="M123" s="68" t="s">
        <v>999</v>
      </c>
      <c r="N123" s="92"/>
    </row>
    <row r="124" customFormat="false" ht="14.25" hidden="false" customHeight="false" outlineLevel="0" collapsed="false">
      <c r="C124" s="64" t="n">
        <v>119</v>
      </c>
      <c r="D124" s="65" t="s">
        <v>976</v>
      </c>
      <c r="E124" s="65" t="s">
        <v>1544</v>
      </c>
      <c r="F124" s="65" t="n">
        <v>13.2</v>
      </c>
      <c r="G124" s="66" t="n">
        <v>20</v>
      </c>
      <c r="H124" s="68" t="s">
        <v>1545</v>
      </c>
      <c r="I124" s="68" t="s">
        <v>1549</v>
      </c>
      <c r="J124" s="68" t="s">
        <v>202</v>
      </c>
      <c r="K124" s="67"/>
      <c r="L124" s="68" t="s">
        <v>1547</v>
      </c>
      <c r="M124" s="68" t="s">
        <v>999</v>
      </c>
      <c r="N124" s="92"/>
    </row>
    <row r="125" customFormat="false" ht="14.25" hidden="false" customHeight="false" outlineLevel="0" collapsed="false">
      <c r="C125" s="64" t="n">
        <v>120</v>
      </c>
      <c r="D125" s="65" t="s">
        <v>1584</v>
      </c>
      <c r="E125" s="65" t="s">
        <v>1544</v>
      </c>
      <c r="F125" s="65" t="n">
        <v>110</v>
      </c>
      <c r="G125" s="66" t="n">
        <v>31.5</v>
      </c>
      <c r="H125" s="68" t="s">
        <v>1545</v>
      </c>
      <c r="I125" s="68" t="s">
        <v>1546</v>
      </c>
      <c r="J125" s="68" t="s">
        <v>202</v>
      </c>
      <c r="K125" s="67"/>
      <c r="L125" s="68" t="s">
        <v>1547</v>
      </c>
      <c r="M125" s="68" t="s">
        <v>1525</v>
      </c>
      <c r="N125" s="92"/>
    </row>
    <row r="126" customFormat="false" ht="14.25" hidden="false" customHeight="false" outlineLevel="0" collapsed="false">
      <c r="C126" s="64" t="n">
        <v>121</v>
      </c>
      <c r="D126" s="65" t="s">
        <v>1584</v>
      </c>
      <c r="E126" s="65" t="s">
        <v>1544</v>
      </c>
      <c r="F126" s="65" t="n">
        <v>44</v>
      </c>
      <c r="G126" s="66" t="n">
        <v>25</v>
      </c>
      <c r="H126" s="68" t="s">
        <v>1545</v>
      </c>
      <c r="I126" s="68" t="s">
        <v>1546</v>
      </c>
      <c r="J126" s="68" t="s">
        <v>202</v>
      </c>
      <c r="K126" s="67"/>
      <c r="L126" s="68" t="s">
        <v>1547</v>
      </c>
      <c r="M126" s="68" t="s">
        <v>1525</v>
      </c>
      <c r="N126" s="92"/>
    </row>
    <row r="127" customFormat="false" ht="14.25" hidden="false" customHeight="false" outlineLevel="0" collapsed="false">
      <c r="C127" s="64" t="n">
        <v>122</v>
      </c>
      <c r="D127" s="65" t="s">
        <v>1584</v>
      </c>
      <c r="E127" s="65" t="s">
        <v>1544</v>
      </c>
      <c r="F127" s="65" t="n">
        <v>13.2</v>
      </c>
      <c r="G127" s="66" t="n">
        <v>20</v>
      </c>
      <c r="H127" s="68" t="s">
        <v>1548</v>
      </c>
      <c r="I127" s="68" t="s">
        <v>1549</v>
      </c>
      <c r="J127" s="68" t="s">
        <v>202</v>
      </c>
      <c r="K127" s="67"/>
      <c r="L127" s="68" t="s">
        <v>1547</v>
      </c>
      <c r="M127" s="68" t="s">
        <v>1525</v>
      </c>
      <c r="N127" s="92"/>
    </row>
    <row r="128" customFormat="false" ht="14.25" hidden="false" customHeight="false" outlineLevel="0" collapsed="false">
      <c r="C128" s="64" t="n">
        <v>123</v>
      </c>
      <c r="D128" s="65" t="s">
        <v>943</v>
      </c>
      <c r="E128" s="65" t="s">
        <v>1544</v>
      </c>
      <c r="F128" s="65" t="n">
        <v>44</v>
      </c>
      <c r="G128" s="66" t="n">
        <v>31.5</v>
      </c>
      <c r="H128" s="68" t="s">
        <v>1545</v>
      </c>
      <c r="I128" s="68" t="s">
        <v>1546</v>
      </c>
      <c r="J128" s="68" t="s">
        <v>202</v>
      </c>
      <c r="K128" s="67"/>
      <c r="L128" s="68" t="s">
        <v>1547</v>
      </c>
      <c r="M128" s="68" t="s">
        <v>1585</v>
      </c>
      <c r="N128" s="92"/>
    </row>
    <row r="129" customFormat="false" ht="14.25" hidden="false" customHeight="false" outlineLevel="0" collapsed="false">
      <c r="C129" s="64" t="n">
        <v>124</v>
      </c>
      <c r="D129" s="65" t="s">
        <v>943</v>
      </c>
      <c r="E129" s="65" t="s">
        <v>1544</v>
      </c>
      <c r="F129" s="65" t="n">
        <v>13.2</v>
      </c>
      <c r="G129" s="66" t="n">
        <v>12.5</v>
      </c>
      <c r="H129" s="68" t="s">
        <v>1557</v>
      </c>
      <c r="I129" s="68" t="s">
        <v>1546</v>
      </c>
      <c r="J129" s="68" t="s">
        <v>202</v>
      </c>
      <c r="K129" s="67"/>
      <c r="L129" s="68" t="s">
        <v>1547</v>
      </c>
      <c r="M129" s="68" t="s">
        <v>1585</v>
      </c>
      <c r="N129" s="92"/>
    </row>
    <row r="130" customFormat="false" ht="14.25" hidden="false" customHeight="false" outlineLevel="0" collapsed="false">
      <c r="C130" s="64" t="n">
        <v>125</v>
      </c>
      <c r="D130" s="65" t="s">
        <v>1197</v>
      </c>
      <c r="E130" s="65" t="s">
        <v>1544</v>
      </c>
      <c r="F130" s="65" t="n">
        <v>220</v>
      </c>
      <c r="G130" s="66" t="n">
        <v>40</v>
      </c>
      <c r="H130" s="68" t="s">
        <v>1545</v>
      </c>
      <c r="I130" s="68" t="s">
        <v>1546</v>
      </c>
      <c r="J130" s="68" t="s">
        <v>202</v>
      </c>
      <c r="K130" s="67"/>
      <c r="L130" s="68" t="s">
        <v>1547</v>
      </c>
      <c r="M130" s="68" t="s">
        <v>1197</v>
      </c>
      <c r="N130" s="92"/>
    </row>
    <row r="131" customFormat="false" ht="14.25" hidden="false" customHeight="false" outlineLevel="0" collapsed="false">
      <c r="C131" s="64" t="n">
        <v>126</v>
      </c>
      <c r="D131" s="65" t="s">
        <v>1197</v>
      </c>
      <c r="E131" s="65" t="s">
        <v>1544</v>
      </c>
      <c r="F131" s="65" t="n">
        <v>110</v>
      </c>
      <c r="G131" s="66" t="n">
        <v>40</v>
      </c>
      <c r="H131" s="68" t="s">
        <v>1561</v>
      </c>
      <c r="I131" s="68" t="s">
        <v>1546</v>
      </c>
      <c r="J131" s="68" t="s">
        <v>202</v>
      </c>
      <c r="K131" s="67"/>
      <c r="L131" s="68" t="s">
        <v>1547</v>
      </c>
      <c r="M131" s="68" t="s">
        <v>1197</v>
      </c>
      <c r="N131" s="92"/>
    </row>
    <row r="132" customFormat="false" ht="14.25" hidden="false" customHeight="false" outlineLevel="0" collapsed="false">
      <c r="C132" s="64" t="n">
        <v>127</v>
      </c>
      <c r="D132" s="65" t="s">
        <v>1197</v>
      </c>
      <c r="E132" s="65" t="s">
        <v>1544</v>
      </c>
      <c r="F132" s="65" t="s">
        <v>1562</v>
      </c>
      <c r="G132" s="66" t="n">
        <v>16</v>
      </c>
      <c r="H132" s="68" t="s">
        <v>1561</v>
      </c>
      <c r="I132" s="68" t="s">
        <v>1546</v>
      </c>
      <c r="J132" s="68" t="s">
        <v>202</v>
      </c>
      <c r="K132" s="67"/>
      <c r="L132" s="68" t="s">
        <v>1547</v>
      </c>
      <c r="M132" s="68" t="s">
        <v>1197</v>
      </c>
      <c r="N132" s="92"/>
    </row>
    <row r="133" customFormat="false" ht="14.25" hidden="false" customHeight="false" outlineLevel="0" collapsed="false">
      <c r="C133" s="64" t="n">
        <v>128</v>
      </c>
      <c r="D133" s="65" t="s">
        <v>1197</v>
      </c>
      <c r="E133" s="65" t="s">
        <v>1544</v>
      </c>
      <c r="F133" s="65" t="n">
        <v>44</v>
      </c>
      <c r="G133" s="66" t="n">
        <v>31.5</v>
      </c>
      <c r="H133" s="68" t="s">
        <v>1555</v>
      </c>
      <c r="I133" s="68" t="s">
        <v>1546</v>
      </c>
      <c r="J133" s="68" t="s">
        <v>202</v>
      </c>
      <c r="K133" s="67"/>
      <c r="L133" s="68" t="s">
        <v>1547</v>
      </c>
      <c r="M133" s="68" t="s">
        <v>1197</v>
      </c>
      <c r="N133" s="92"/>
    </row>
    <row r="134" customFormat="false" ht="14.25" hidden="false" customHeight="false" outlineLevel="0" collapsed="false">
      <c r="C134" s="64" t="n">
        <v>129</v>
      </c>
      <c r="D134" s="65" t="s">
        <v>1197</v>
      </c>
      <c r="E134" s="65" t="s">
        <v>1544</v>
      </c>
      <c r="F134" s="65" t="n">
        <v>13.2</v>
      </c>
      <c r="G134" s="66" t="n">
        <v>31.5</v>
      </c>
      <c r="H134" s="68" t="s">
        <v>1548</v>
      </c>
      <c r="I134" s="68" t="s">
        <v>1549</v>
      </c>
      <c r="J134" s="68" t="s">
        <v>202</v>
      </c>
      <c r="K134" s="67"/>
      <c r="L134" s="68" t="s">
        <v>1547</v>
      </c>
      <c r="M134" s="68" t="s">
        <v>1197</v>
      </c>
      <c r="N134" s="92"/>
    </row>
    <row r="135" customFormat="false" ht="14.25" hidden="false" customHeight="false" outlineLevel="0" collapsed="false">
      <c r="C135" s="64" t="n">
        <v>130</v>
      </c>
      <c r="D135" s="65" t="s">
        <v>1586</v>
      </c>
      <c r="E135" s="65" t="s">
        <v>1544</v>
      </c>
      <c r="F135" s="65" t="n">
        <v>110</v>
      </c>
      <c r="G135" s="66" t="n">
        <v>31.5</v>
      </c>
      <c r="H135" s="68" t="s">
        <v>1545</v>
      </c>
      <c r="I135" s="68" t="s">
        <v>1546</v>
      </c>
      <c r="J135" s="68" t="s">
        <v>202</v>
      </c>
      <c r="K135" s="67"/>
      <c r="L135" s="68" t="s">
        <v>1547</v>
      </c>
      <c r="M135" s="68" t="s">
        <v>1144</v>
      </c>
      <c r="N135" s="92"/>
    </row>
    <row r="136" customFormat="false" ht="14.25" hidden="false" customHeight="false" outlineLevel="0" collapsed="false">
      <c r="C136" s="64" t="n">
        <v>131</v>
      </c>
      <c r="D136" s="65" t="s">
        <v>1586</v>
      </c>
      <c r="E136" s="65" t="s">
        <v>1544</v>
      </c>
      <c r="F136" s="65" t="n">
        <v>44</v>
      </c>
      <c r="G136" s="66" t="n">
        <v>25</v>
      </c>
      <c r="H136" s="68" t="s">
        <v>1545</v>
      </c>
      <c r="I136" s="68" t="s">
        <v>1546</v>
      </c>
      <c r="J136" s="68" t="s">
        <v>202</v>
      </c>
      <c r="K136" s="67"/>
      <c r="L136" s="68" t="s">
        <v>1547</v>
      </c>
      <c r="M136" s="68" t="s">
        <v>1144</v>
      </c>
      <c r="N136" s="92"/>
    </row>
    <row r="137" customFormat="false" ht="14.25" hidden="false" customHeight="false" outlineLevel="0" collapsed="false">
      <c r="C137" s="64" t="n">
        <v>132</v>
      </c>
      <c r="D137" s="65" t="s">
        <v>1586</v>
      </c>
      <c r="E137" s="65" t="s">
        <v>1544</v>
      </c>
      <c r="F137" s="65" t="n">
        <v>13.2</v>
      </c>
      <c r="G137" s="66" t="n">
        <v>31.5</v>
      </c>
      <c r="H137" s="68" t="s">
        <v>1548</v>
      </c>
      <c r="I137" s="68" t="s">
        <v>1549</v>
      </c>
      <c r="J137" s="68" t="s">
        <v>202</v>
      </c>
      <c r="K137" s="67"/>
      <c r="L137" s="68" t="s">
        <v>1547</v>
      </c>
      <c r="M137" s="68" t="s">
        <v>1144</v>
      </c>
      <c r="N137" s="92"/>
    </row>
    <row r="138" customFormat="false" ht="14.25" hidden="false" customHeight="false" outlineLevel="0" collapsed="false">
      <c r="C138" s="64" t="n">
        <v>133</v>
      </c>
      <c r="D138" s="65" t="s">
        <v>880</v>
      </c>
      <c r="E138" s="65" t="s">
        <v>1544</v>
      </c>
      <c r="F138" s="65" t="n">
        <v>44</v>
      </c>
      <c r="G138" s="66" t="n">
        <v>25</v>
      </c>
      <c r="H138" s="68" t="s">
        <v>1545</v>
      </c>
      <c r="I138" s="68" t="s">
        <v>1546</v>
      </c>
      <c r="J138" s="68" t="s">
        <v>202</v>
      </c>
      <c r="K138" s="67"/>
      <c r="L138" s="68" t="s">
        <v>1547</v>
      </c>
      <c r="M138" s="68" t="s">
        <v>880</v>
      </c>
      <c r="N138" s="92"/>
    </row>
    <row r="139" customFormat="false" ht="14.25" hidden="false" customHeight="false" outlineLevel="0" collapsed="false">
      <c r="C139" s="64" t="n">
        <v>134</v>
      </c>
      <c r="D139" s="65" t="s">
        <v>880</v>
      </c>
      <c r="E139" s="65" t="s">
        <v>1544</v>
      </c>
      <c r="F139" s="65" t="n">
        <v>13.2</v>
      </c>
      <c r="G139" s="66" t="n">
        <v>20</v>
      </c>
      <c r="H139" s="68" t="s">
        <v>1548</v>
      </c>
      <c r="I139" s="68" t="s">
        <v>1549</v>
      </c>
      <c r="J139" s="68" t="s">
        <v>202</v>
      </c>
      <c r="K139" s="67"/>
      <c r="L139" s="68" t="s">
        <v>1547</v>
      </c>
      <c r="M139" s="68" t="s">
        <v>880</v>
      </c>
      <c r="N139" s="92"/>
    </row>
    <row r="140" customFormat="false" ht="14.25" hidden="false" customHeight="false" outlineLevel="0" collapsed="false">
      <c r="C140" s="64" t="n">
        <v>135</v>
      </c>
      <c r="D140" s="65" t="s">
        <v>1207</v>
      </c>
      <c r="E140" s="65" t="s">
        <v>1544</v>
      </c>
      <c r="F140" s="65" t="n">
        <v>110</v>
      </c>
      <c r="G140" s="66" t="n">
        <v>31.5</v>
      </c>
      <c r="H140" s="68" t="s">
        <v>1545</v>
      </c>
      <c r="I140" s="68" t="s">
        <v>1546</v>
      </c>
      <c r="J140" s="68" t="s">
        <v>202</v>
      </c>
      <c r="K140" s="67"/>
      <c r="L140" s="68" t="s">
        <v>1547</v>
      </c>
      <c r="M140" s="68" t="s">
        <v>1207</v>
      </c>
      <c r="N140" s="92"/>
    </row>
    <row r="141" customFormat="false" ht="14.25" hidden="false" customHeight="false" outlineLevel="0" collapsed="false">
      <c r="C141" s="64" t="n">
        <v>136</v>
      </c>
      <c r="D141" s="65" t="s">
        <v>1207</v>
      </c>
      <c r="E141" s="65" t="s">
        <v>1544</v>
      </c>
      <c r="F141" s="65" t="n">
        <v>44</v>
      </c>
      <c r="G141" s="66" t="n">
        <v>16</v>
      </c>
      <c r="H141" s="68" t="s">
        <v>1545</v>
      </c>
      <c r="I141" s="68" t="s">
        <v>1546</v>
      </c>
      <c r="J141" s="68" t="s">
        <v>202</v>
      </c>
      <c r="K141" s="67"/>
      <c r="L141" s="68" t="s">
        <v>1547</v>
      </c>
      <c r="M141" s="68" t="s">
        <v>1207</v>
      </c>
      <c r="N141" s="92"/>
    </row>
    <row r="142" customFormat="false" ht="14.25" hidden="false" customHeight="false" outlineLevel="0" collapsed="false">
      <c r="C142" s="64" t="n">
        <v>137</v>
      </c>
      <c r="D142" s="65" t="s">
        <v>1207</v>
      </c>
      <c r="E142" s="65" t="s">
        <v>1544</v>
      </c>
      <c r="F142" s="65" t="n">
        <v>13.2</v>
      </c>
      <c r="G142" s="66" t="n">
        <v>31.5</v>
      </c>
      <c r="H142" s="68" t="s">
        <v>1548</v>
      </c>
      <c r="I142" s="68" t="s">
        <v>1549</v>
      </c>
      <c r="J142" s="68" t="s">
        <v>202</v>
      </c>
      <c r="K142" s="67"/>
      <c r="L142" s="68" t="s">
        <v>1547</v>
      </c>
      <c r="M142" s="68" t="s">
        <v>1207</v>
      </c>
      <c r="N142" s="92"/>
    </row>
    <row r="143" customFormat="false" ht="14.25" hidden="false" customHeight="false" outlineLevel="0" collapsed="false">
      <c r="C143" s="64" t="n">
        <v>138</v>
      </c>
      <c r="D143" s="65" t="s">
        <v>1054</v>
      </c>
      <c r="E143" s="65" t="s">
        <v>1544</v>
      </c>
      <c r="F143" s="65" t="n">
        <v>44</v>
      </c>
      <c r="G143" s="66" t="n">
        <v>31.5</v>
      </c>
      <c r="H143" s="68" t="s">
        <v>1555</v>
      </c>
      <c r="I143" s="68" t="s">
        <v>1546</v>
      </c>
      <c r="J143" s="68" t="s">
        <v>202</v>
      </c>
      <c r="K143" s="67"/>
      <c r="L143" s="68" t="s">
        <v>1547</v>
      </c>
      <c r="M143" s="68" t="s">
        <v>1054</v>
      </c>
      <c r="N143" s="92"/>
    </row>
    <row r="144" customFormat="false" ht="14.25" hidden="false" customHeight="false" outlineLevel="0" collapsed="false">
      <c r="C144" s="64" t="n">
        <v>139</v>
      </c>
      <c r="D144" s="65" t="s">
        <v>1054</v>
      </c>
      <c r="E144" s="65" t="s">
        <v>1544</v>
      </c>
      <c r="F144" s="65" t="n">
        <v>13.2</v>
      </c>
      <c r="G144" s="66" t="n">
        <v>12.5</v>
      </c>
      <c r="H144" s="68" t="s">
        <v>1557</v>
      </c>
      <c r="I144" s="68" t="s">
        <v>1546</v>
      </c>
      <c r="J144" s="68" t="s">
        <v>202</v>
      </c>
      <c r="K144" s="67"/>
      <c r="L144" s="68" t="s">
        <v>1547</v>
      </c>
      <c r="M144" s="68" t="s">
        <v>1054</v>
      </c>
      <c r="N144" s="92"/>
    </row>
    <row r="145" customFormat="false" ht="14.25" hidden="false" customHeight="false" outlineLevel="0" collapsed="false">
      <c r="C145" s="64" t="n">
        <v>140</v>
      </c>
      <c r="D145" s="65" t="s">
        <v>1587</v>
      </c>
      <c r="E145" s="65" t="s">
        <v>1544</v>
      </c>
      <c r="F145" s="65" t="n">
        <v>220</v>
      </c>
      <c r="G145" s="66" t="n">
        <v>40</v>
      </c>
      <c r="H145" s="68" t="s">
        <v>1570</v>
      </c>
      <c r="I145" s="68" t="s">
        <v>1546</v>
      </c>
      <c r="J145" s="68" t="s">
        <v>202</v>
      </c>
      <c r="K145" s="67"/>
      <c r="L145" s="68" t="s">
        <v>1547</v>
      </c>
      <c r="M145" s="68" t="s">
        <v>1003</v>
      </c>
      <c r="N145" s="92"/>
    </row>
    <row r="146" customFormat="false" ht="14.25" hidden="false" customHeight="false" outlineLevel="0" collapsed="false">
      <c r="C146" s="64" t="n">
        <v>141</v>
      </c>
      <c r="D146" s="65" t="s">
        <v>1587</v>
      </c>
      <c r="E146" s="65" t="s">
        <v>1544</v>
      </c>
      <c r="F146" s="65" t="n">
        <v>44</v>
      </c>
      <c r="G146" s="66" t="n">
        <v>20</v>
      </c>
      <c r="H146" s="68" t="s">
        <v>1545</v>
      </c>
      <c r="I146" s="68" t="s">
        <v>1546</v>
      </c>
      <c r="J146" s="68" t="s">
        <v>202</v>
      </c>
      <c r="K146" s="67"/>
      <c r="L146" s="68" t="s">
        <v>1547</v>
      </c>
      <c r="M146" s="68" t="s">
        <v>1003</v>
      </c>
      <c r="N146" s="92"/>
    </row>
    <row r="147" customFormat="false" ht="14.25" hidden="false" customHeight="false" outlineLevel="0" collapsed="false">
      <c r="C147" s="64" t="n">
        <v>142</v>
      </c>
      <c r="D147" s="65" t="s">
        <v>1587</v>
      </c>
      <c r="E147" s="65" t="s">
        <v>1544</v>
      </c>
      <c r="F147" s="65" t="n">
        <v>13.2</v>
      </c>
      <c r="G147" s="66" t="n">
        <v>31.5</v>
      </c>
      <c r="H147" s="68" t="s">
        <v>1548</v>
      </c>
      <c r="I147" s="68" t="s">
        <v>1549</v>
      </c>
      <c r="J147" s="68" t="s">
        <v>202</v>
      </c>
      <c r="K147" s="67"/>
      <c r="L147" s="68" t="s">
        <v>1547</v>
      </c>
      <c r="M147" s="68" t="s">
        <v>1003</v>
      </c>
      <c r="N147" s="92"/>
    </row>
    <row r="148" customFormat="false" ht="14.25" hidden="false" customHeight="false" outlineLevel="0" collapsed="false">
      <c r="C148" s="64" t="n">
        <v>143</v>
      </c>
      <c r="D148" s="65" t="s">
        <v>935</v>
      </c>
      <c r="E148" s="65" t="s">
        <v>1544</v>
      </c>
      <c r="F148" s="65" t="n">
        <v>110</v>
      </c>
      <c r="G148" s="66" t="n">
        <v>40</v>
      </c>
      <c r="H148" s="68" t="s">
        <v>1545</v>
      </c>
      <c r="I148" s="68" t="s">
        <v>1546</v>
      </c>
      <c r="J148" s="68" t="s">
        <v>771</v>
      </c>
      <c r="K148" s="69" t="n">
        <v>46356</v>
      </c>
      <c r="L148" s="68" t="s">
        <v>1547</v>
      </c>
      <c r="M148" s="68" t="s">
        <v>1588</v>
      </c>
      <c r="N148" s="92"/>
    </row>
    <row r="149" customFormat="false" ht="14.25" hidden="false" customHeight="false" outlineLevel="0" collapsed="false">
      <c r="C149" s="64" t="n">
        <v>144</v>
      </c>
      <c r="D149" s="65" t="s">
        <v>935</v>
      </c>
      <c r="E149" s="65" t="s">
        <v>1544</v>
      </c>
      <c r="F149" s="65" t="n">
        <v>44</v>
      </c>
      <c r="G149" s="66" t="n">
        <v>25</v>
      </c>
      <c r="H149" s="68" t="s">
        <v>1545</v>
      </c>
      <c r="I149" s="68" t="s">
        <v>1546</v>
      </c>
      <c r="J149" s="68" t="s">
        <v>771</v>
      </c>
      <c r="K149" s="69" t="n">
        <v>46387</v>
      </c>
      <c r="L149" s="68" t="s">
        <v>1547</v>
      </c>
      <c r="M149" s="68" t="s">
        <v>1588</v>
      </c>
      <c r="N149" s="92"/>
    </row>
    <row r="150" customFormat="false" ht="14.25" hidden="false" customHeight="false" outlineLevel="0" collapsed="false">
      <c r="C150" s="64" t="n">
        <v>145</v>
      </c>
      <c r="D150" s="65" t="s">
        <v>935</v>
      </c>
      <c r="E150" s="65" t="s">
        <v>1544</v>
      </c>
      <c r="F150" s="65" t="n">
        <v>13.2</v>
      </c>
      <c r="G150" s="66" t="n">
        <v>31.5</v>
      </c>
      <c r="H150" s="68" t="s">
        <v>1548</v>
      </c>
      <c r="I150" s="68" t="s">
        <v>1549</v>
      </c>
      <c r="J150" s="68" t="s">
        <v>771</v>
      </c>
      <c r="K150" s="69" t="n">
        <v>46387</v>
      </c>
      <c r="L150" s="68" t="s">
        <v>1547</v>
      </c>
      <c r="M150" s="68" t="s">
        <v>1588</v>
      </c>
      <c r="N150" s="92"/>
    </row>
    <row r="151" customFormat="false" ht="14.25" hidden="false" customHeight="false" outlineLevel="0" collapsed="false">
      <c r="C151" s="64" t="n">
        <v>146</v>
      </c>
      <c r="D151" s="65" t="s">
        <v>1074</v>
      </c>
      <c r="E151" s="65" t="s">
        <v>1544</v>
      </c>
      <c r="F151" s="65" t="n">
        <v>44</v>
      </c>
      <c r="G151" s="66" t="n">
        <v>31.5</v>
      </c>
      <c r="H151" s="68" t="s">
        <v>1545</v>
      </c>
      <c r="I151" s="68" t="s">
        <v>1546</v>
      </c>
      <c r="J151" s="68" t="s">
        <v>202</v>
      </c>
      <c r="K151" s="67"/>
      <c r="L151" s="68" t="s">
        <v>1547</v>
      </c>
      <c r="M151" s="68" t="s">
        <v>1074</v>
      </c>
      <c r="N151" s="92"/>
    </row>
    <row r="152" customFormat="false" ht="14.25" hidden="false" customHeight="false" outlineLevel="0" collapsed="false">
      <c r="C152" s="64" t="n">
        <v>147</v>
      </c>
      <c r="D152" s="65" t="s">
        <v>1074</v>
      </c>
      <c r="E152" s="65" t="s">
        <v>1544</v>
      </c>
      <c r="F152" s="65" t="n">
        <v>13.2</v>
      </c>
      <c r="G152" s="66" t="n">
        <v>25</v>
      </c>
      <c r="H152" s="68" t="s">
        <v>1548</v>
      </c>
      <c r="I152" s="68" t="s">
        <v>1549</v>
      </c>
      <c r="J152" s="68" t="s">
        <v>202</v>
      </c>
      <c r="K152" s="67"/>
      <c r="L152" s="68" t="s">
        <v>1547</v>
      </c>
      <c r="M152" s="68" t="s">
        <v>1074</v>
      </c>
      <c r="N152" s="92"/>
    </row>
    <row r="153" customFormat="false" ht="14.25" hidden="false" customHeight="false" outlineLevel="0" collapsed="false">
      <c r="C153" s="64" t="n">
        <v>148</v>
      </c>
      <c r="D153" s="65" t="s">
        <v>1182</v>
      </c>
      <c r="E153" s="65" t="s">
        <v>1544</v>
      </c>
      <c r="F153" s="65" t="n">
        <v>44</v>
      </c>
      <c r="G153" s="66" t="n">
        <v>8</v>
      </c>
      <c r="H153" s="68" t="s">
        <v>1555</v>
      </c>
      <c r="I153" s="68" t="s">
        <v>1546</v>
      </c>
      <c r="J153" s="68" t="s">
        <v>202</v>
      </c>
      <c r="K153" s="67"/>
      <c r="L153" s="68" t="s">
        <v>1547</v>
      </c>
      <c r="M153" s="68" t="s">
        <v>1589</v>
      </c>
      <c r="N153" s="92"/>
    </row>
    <row r="154" customFormat="false" ht="14.25" hidden="false" customHeight="false" outlineLevel="0" collapsed="false">
      <c r="C154" s="64" t="n">
        <v>149</v>
      </c>
      <c r="D154" s="65" t="s">
        <v>1182</v>
      </c>
      <c r="E154" s="65" t="s">
        <v>1544</v>
      </c>
      <c r="F154" s="65" t="n">
        <v>13.2</v>
      </c>
      <c r="G154" s="66" t="n">
        <v>12.5</v>
      </c>
      <c r="H154" s="68" t="s">
        <v>1557</v>
      </c>
      <c r="I154" s="68" t="s">
        <v>1546</v>
      </c>
      <c r="J154" s="68" t="s">
        <v>202</v>
      </c>
      <c r="K154" s="67"/>
      <c r="L154" s="68" t="s">
        <v>1547</v>
      </c>
      <c r="M154" s="68" t="s">
        <v>1589</v>
      </c>
      <c r="N154" s="92"/>
    </row>
    <row r="155" customFormat="false" ht="14.25" hidden="false" customHeight="false" outlineLevel="0" collapsed="false">
      <c r="C155" s="64" t="n">
        <v>150</v>
      </c>
      <c r="D155" s="65" t="s">
        <v>1123</v>
      </c>
      <c r="E155" s="65" t="s">
        <v>1544</v>
      </c>
      <c r="F155" s="65" t="n">
        <v>220</v>
      </c>
      <c r="G155" s="66" t="n">
        <v>31.5</v>
      </c>
      <c r="H155" s="68" t="s">
        <v>1590</v>
      </c>
      <c r="I155" s="68" t="s">
        <v>1546</v>
      </c>
      <c r="J155" s="68" t="s">
        <v>202</v>
      </c>
      <c r="K155" s="67"/>
      <c r="L155" s="68" t="s">
        <v>1547</v>
      </c>
      <c r="M155" s="68" t="s">
        <v>1591</v>
      </c>
      <c r="N155" s="92"/>
    </row>
    <row r="156" customFormat="false" ht="14.25" hidden="false" customHeight="false" outlineLevel="0" collapsed="false">
      <c r="C156" s="64" t="n">
        <v>151</v>
      </c>
      <c r="D156" s="65" t="s">
        <v>1123</v>
      </c>
      <c r="E156" s="65" t="s">
        <v>1544</v>
      </c>
      <c r="F156" s="65" t="n">
        <v>110</v>
      </c>
      <c r="G156" s="66" t="n">
        <v>40</v>
      </c>
      <c r="H156" s="68" t="s">
        <v>1545</v>
      </c>
      <c r="I156" s="68" t="s">
        <v>1546</v>
      </c>
      <c r="J156" s="68" t="s">
        <v>202</v>
      </c>
      <c r="K156" s="67"/>
      <c r="L156" s="68" t="s">
        <v>1547</v>
      </c>
      <c r="M156" s="68" t="s">
        <v>1591</v>
      </c>
      <c r="N156" s="92"/>
    </row>
    <row r="157" customFormat="false" ht="14.25" hidden="false" customHeight="false" outlineLevel="0" collapsed="false">
      <c r="C157" s="64" t="n">
        <v>152</v>
      </c>
      <c r="D157" s="65" t="s">
        <v>1123</v>
      </c>
      <c r="E157" s="65" t="s">
        <v>1544</v>
      </c>
      <c r="F157" s="65" t="n">
        <v>13.2</v>
      </c>
      <c r="G157" s="66" t="n">
        <v>25</v>
      </c>
      <c r="H157" s="68" t="s">
        <v>1548</v>
      </c>
      <c r="I157" s="68" t="s">
        <v>1549</v>
      </c>
      <c r="J157" s="68" t="s">
        <v>202</v>
      </c>
      <c r="K157" s="67"/>
      <c r="L157" s="68" t="s">
        <v>1547</v>
      </c>
      <c r="M157" s="68" t="s">
        <v>1591</v>
      </c>
      <c r="N157" s="92"/>
    </row>
    <row r="158" customFormat="false" ht="14.25" hidden="false" customHeight="false" outlineLevel="0" collapsed="false">
      <c r="C158" s="64" t="n">
        <v>153</v>
      </c>
      <c r="D158" s="65" t="s">
        <v>1199</v>
      </c>
      <c r="E158" s="65" t="s">
        <v>1544</v>
      </c>
      <c r="F158" s="65" t="n">
        <v>220</v>
      </c>
      <c r="G158" s="66" t="n">
        <v>40</v>
      </c>
      <c r="H158" s="68" t="s">
        <v>1592</v>
      </c>
      <c r="I158" s="68" t="s">
        <v>1558</v>
      </c>
      <c r="J158" s="68" t="s">
        <v>202</v>
      </c>
      <c r="K158" s="67"/>
      <c r="L158" s="68" t="s">
        <v>1547</v>
      </c>
      <c r="M158" s="68" t="s">
        <v>1559</v>
      </c>
      <c r="N158" s="92"/>
    </row>
    <row r="159" customFormat="false" ht="14.25" hidden="false" customHeight="false" outlineLevel="0" collapsed="false">
      <c r="C159" s="64" t="n">
        <v>154</v>
      </c>
      <c r="D159" s="65" t="s">
        <v>1199</v>
      </c>
      <c r="E159" s="65" t="s">
        <v>1544</v>
      </c>
      <c r="F159" s="65" t="n">
        <v>110</v>
      </c>
      <c r="G159" s="66" t="n">
        <v>40</v>
      </c>
      <c r="H159" s="68" t="s">
        <v>1545</v>
      </c>
      <c r="I159" s="68" t="s">
        <v>1546</v>
      </c>
      <c r="J159" s="68" t="s">
        <v>202</v>
      </c>
      <c r="K159" s="67"/>
      <c r="L159" s="68" t="s">
        <v>1547</v>
      </c>
      <c r="M159" s="68" t="s">
        <v>1559</v>
      </c>
      <c r="N159" s="92"/>
    </row>
    <row r="160" customFormat="false" ht="14.25" hidden="false" customHeight="false" outlineLevel="0" collapsed="false">
      <c r="C160" s="64" t="n">
        <v>155</v>
      </c>
      <c r="D160" s="65" t="s">
        <v>1199</v>
      </c>
      <c r="E160" s="65" t="s">
        <v>1544</v>
      </c>
      <c r="F160" s="65" t="n">
        <v>44</v>
      </c>
      <c r="G160" s="66" t="n">
        <v>31.5</v>
      </c>
      <c r="H160" s="68" t="s">
        <v>1545</v>
      </c>
      <c r="I160" s="68" t="s">
        <v>1546</v>
      </c>
      <c r="J160" s="68" t="s">
        <v>202</v>
      </c>
      <c r="K160" s="67"/>
      <c r="L160" s="68" t="s">
        <v>1547</v>
      </c>
      <c r="M160" s="68" t="s">
        <v>1559</v>
      </c>
      <c r="N160" s="92"/>
    </row>
    <row r="161" customFormat="false" ht="14.25" hidden="false" customHeight="false" outlineLevel="0" collapsed="false">
      <c r="C161" s="64" t="n">
        <v>156</v>
      </c>
      <c r="D161" s="65" t="s">
        <v>1199</v>
      </c>
      <c r="E161" s="65" t="s">
        <v>1544</v>
      </c>
      <c r="F161" s="65" t="n">
        <v>13.2</v>
      </c>
      <c r="G161" s="66" t="n">
        <v>31.5</v>
      </c>
      <c r="H161" s="68" t="s">
        <v>1548</v>
      </c>
      <c r="I161" s="68" t="s">
        <v>1549</v>
      </c>
      <c r="J161" s="68" t="s">
        <v>202</v>
      </c>
      <c r="K161" s="67"/>
      <c r="L161" s="68" t="s">
        <v>1547</v>
      </c>
      <c r="M161" s="68" t="s">
        <v>1559</v>
      </c>
      <c r="N161" s="92"/>
    </row>
    <row r="162" customFormat="false" ht="14.25" hidden="false" customHeight="false" outlineLevel="0" collapsed="false">
      <c r="C162" s="64" t="n">
        <v>157</v>
      </c>
      <c r="D162" s="65" t="s">
        <v>867</v>
      </c>
      <c r="E162" s="65" t="s">
        <v>1544</v>
      </c>
      <c r="F162" s="65" t="n">
        <v>110</v>
      </c>
      <c r="G162" s="66" t="n">
        <v>25</v>
      </c>
      <c r="H162" s="68" t="s">
        <v>1545</v>
      </c>
      <c r="I162" s="68" t="s">
        <v>1546</v>
      </c>
      <c r="J162" s="68" t="s">
        <v>202</v>
      </c>
      <c r="K162" s="67"/>
      <c r="L162" s="68" t="s">
        <v>1547</v>
      </c>
      <c r="M162" s="68" t="s">
        <v>867</v>
      </c>
      <c r="N162" s="92"/>
    </row>
    <row r="163" customFormat="false" ht="14.25" hidden="false" customHeight="false" outlineLevel="0" collapsed="false">
      <c r="C163" s="64" t="n">
        <v>158</v>
      </c>
      <c r="D163" s="65" t="s">
        <v>867</v>
      </c>
      <c r="E163" s="65" t="s">
        <v>1544</v>
      </c>
      <c r="F163" s="65" t="n">
        <v>44</v>
      </c>
      <c r="G163" s="66" t="n">
        <v>16</v>
      </c>
      <c r="H163" s="68" t="s">
        <v>1545</v>
      </c>
      <c r="I163" s="68" t="s">
        <v>1546</v>
      </c>
      <c r="J163" s="68" t="s">
        <v>202</v>
      </c>
      <c r="K163" s="67"/>
      <c r="L163" s="68" t="s">
        <v>1547</v>
      </c>
      <c r="M163" s="68" t="s">
        <v>867</v>
      </c>
      <c r="N163" s="92"/>
    </row>
    <row r="164" customFormat="false" ht="14.25" hidden="false" customHeight="false" outlineLevel="0" collapsed="false">
      <c r="C164" s="64" t="n">
        <v>159</v>
      </c>
      <c r="D164" s="65" t="s">
        <v>867</v>
      </c>
      <c r="E164" s="65" t="s">
        <v>1544</v>
      </c>
      <c r="F164" s="65" t="n">
        <v>13.2</v>
      </c>
      <c r="G164" s="66" t="n">
        <v>25</v>
      </c>
      <c r="H164" s="68" t="s">
        <v>1548</v>
      </c>
      <c r="I164" s="68" t="s">
        <v>1549</v>
      </c>
      <c r="J164" s="68" t="s">
        <v>202</v>
      </c>
      <c r="K164" s="67"/>
      <c r="L164" s="68" t="s">
        <v>1547</v>
      </c>
      <c r="M164" s="68" t="s">
        <v>867</v>
      </c>
      <c r="N164" s="92"/>
    </row>
    <row r="165" customFormat="false" ht="14.25" hidden="false" customHeight="false" outlineLevel="0" collapsed="false">
      <c r="C165" s="64" t="n">
        <v>160</v>
      </c>
      <c r="D165" s="65" t="s">
        <v>1233</v>
      </c>
      <c r="E165" s="65" t="s">
        <v>1544</v>
      </c>
      <c r="F165" s="65" t="n">
        <v>110</v>
      </c>
      <c r="G165" s="66" t="n">
        <v>40</v>
      </c>
      <c r="H165" s="68" t="s">
        <v>1561</v>
      </c>
      <c r="I165" s="68" t="s">
        <v>1558</v>
      </c>
      <c r="J165" s="68" t="s">
        <v>202</v>
      </c>
      <c r="K165" s="67"/>
      <c r="L165" s="68" t="s">
        <v>1547</v>
      </c>
      <c r="M165" s="68" t="s">
        <v>1559</v>
      </c>
      <c r="N165" s="92"/>
    </row>
    <row r="166" customFormat="false" ht="14.25" hidden="false" customHeight="false" outlineLevel="0" collapsed="false">
      <c r="C166" s="64" t="n">
        <v>161</v>
      </c>
      <c r="D166" s="65" t="s">
        <v>1233</v>
      </c>
      <c r="E166" s="65" t="s">
        <v>1544</v>
      </c>
      <c r="F166" s="65" t="n">
        <v>44</v>
      </c>
      <c r="G166" s="66" t="n">
        <v>25</v>
      </c>
      <c r="H166" s="68" t="s">
        <v>1555</v>
      </c>
      <c r="I166" s="68" t="s">
        <v>1549</v>
      </c>
      <c r="J166" s="68" t="s">
        <v>202</v>
      </c>
      <c r="K166" s="67"/>
      <c r="L166" s="68" t="s">
        <v>1547</v>
      </c>
      <c r="M166" s="68" t="s">
        <v>1559</v>
      </c>
      <c r="N166" s="92"/>
    </row>
    <row r="167" customFormat="false" ht="14.25" hidden="false" customHeight="false" outlineLevel="0" collapsed="false">
      <c r="C167" s="64" t="n">
        <v>162</v>
      </c>
      <c r="D167" s="65" t="s">
        <v>1233</v>
      </c>
      <c r="E167" s="65" t="s">
        <v>1544</v>
      </c>
      <c r="F167" s="65" t="n">
        <v>13.2</v>
      </c>
      <c r="G167" s="66" t="n">
        <v>31.5</v>
      </c>
      <c r="H167" s="68" t="s">
        <v>1548</v>
      </c>
      <c r="I167" s="68" t="s">
        <v>1549</v>
      </c>
      <c r="J167" s="68" t="s">
        <v>202</v>
      </c>
      <c r="K167" s="67"/>
      <c r="L167" s="68" t="s">
        <v>1547</v>
      </c>
      <c r="M167" s="68" t="s">
        <v>1559</v>
      </c>
      <c r="N167" s="92"/>
    </row>
    <row r="168" customFormat="false" ht="14.25" hidden="false" customHeight="false" outlineLevel="0" collapsed="false">
      <c r="C168" s="64" t="n">
        <v>163</v>
      </c>
      <c r="D168" s="65" t="s">
        <v>1250</v>
      </c>
      <c r="E168" s="65" t="s">
        <v>1544</v>
      </c>
      <c r="F168" s="65" t="n">
        <v>110</v>
      </c>
      <c r="G168" s="66" t="n">
        <v>40</v>
      </c>
      <c r="H168" s="68" t="s">
        <v>1545</v>
      </c>
      <c r="I168" s="68" t="s">
        <v>1558</v>
      </c>
      <c r="J168" s="68" t="s">
        <v>771</v>
      </c>
      <c r="K168" s="67"/>
      <c r="L168" s="68" t="s">
        <v>1547</v>
      </c>
      <c r="M168" s="68" t="s">
        <v>1559</v>
      </c>
      <c r="N168" s="92"/>
    </row>
    <row r="169" customFormat="false" ht="14.25" hidden="false" customHeight="false" outlineLevel="0" collapsed="false">
      <c r="C169" s="64" t="n">
        <v>164</v>
      </c>
      <c r="D169" s="65" t="s">
        <v>1250</v>
      </c>
      <c r="E169" s="65" t="s">
        <v>1544</v>
      </c>
      <c r="F169" s="65" t="n">
        <v>44</v>
      </c>
      <c r="G169" s="66" t="n">
        <v>25</v>
      </c>
      <c r="H169" s="68" t="s">
        <v>1548</v>
      </c>
      <c r="I169" s="68" t="s">
        <v>1549</v>
      </c>
      <c r="J169" s="68" t="s">
        <v>771</v>
      </c>
      <c r="K169" s="67"/>
      <c r="L169" s="68" t="s">
        <v>1547</v>
      </c>
      <c r="M169" s="68" t="s">
        <v>1559</v>
      </c>
      <c r="N169" s="92"/>
    </row>
    <row r="170" customFormat="false" ht="14.25" hidden="false" customHeight="false" outlineLevel="0" collapsed="false">
      <c r="C170" s="64" t="n">
        <v>165</v>
      </c>
      <c r="D170" s="65" t="s">
        <v>1250</v>
      </c>
      <c r="E170" s="65" t="s">
        <v>1544</v>
      </c>
      <c r="F170" s="65" t="n">
        <v>13.2</v>
      </c>
      <c r="G170" s="66" t="n">
        <v>31.5</v>
      </c>
      <c r="H170" s="68" t="s">
        <v>1548</v>
      </c>
      <c r="I170" s="68" t="s">
        <v>1549</v>
      </c>
      <c r="J170" s="68" t="s">
        <v>771</v>
      </c>
      <c r="K170" s="67"/>
      <c r="L170" s="68" t="s">
        <v>1547</v>
      </c>
      <c r="M170" s="68" t="s">
        <v>1559</v>
      </c>
      <c r="N170" s="92"/>
    </row>
    <row r="171" customFormat="false" ht="14.25" hidden="false" customHeight="false" outlineLevel="0" collapsed="false">
      <c r="C171" s="64" t="n">
        <v>166</v>
      </c>
      <c r="D171" s="65" t="s">
        <v>1236</v>
      </c>
      <c r="E171" s="65" t="s">
        <v>1544</v>
      </c>
      <c r="F171" s="65" t="n">
        <v>110</v>
      </c>
      <c r="G171" s="66" t="n">
        <v>40</v>
      </c>
      <c r="H171" s="68" t="s">
        <v>1545</v>
      </c>
      <c r="I171" s="68" t="s">
        <v>1546</v>
      </c>
      <c r="J171" s="68" t="s">
        <v>202</v>
      </c>
      <c r="K171" s="67"/>
      <c r="L171" s="68" t="s">
        <v>1547</v>
      </c>
      <c r="M171" s="68" t="s">
        <v>1579</v>
      </c>
      <c r="N171" s="92"/>
    </row>
    <row r="172" customFormat="false" ht="14.25" hidden="false" customHeight="false" outlineLevel="0" collapsed="false">
      <c r="C172" s="64" t="n">
        <v>167</v>
      </c>
      <c r="D172" s="65" t="s">
        <v>1236</v>
      </c>
      <c r="E172" s="65" t="s">
        <v>1544</v>
      </c>
      <c r="F172" s="65" t="n">
        <v>44</v>
      </c>
      <c r="G172" s="66" t="n">
        <v>25</v>
      </c>
      <c r="H172" s="68" t="s">
        <v>1555</v>
      </c>
      <c r="I172" s="68" t="s">
        <v>1546</v>
      </c>
      <c r="J172" s="68" t="s">
        <v>202</v>
      </c>
      <c r="K172" s="67"/>
      <c r="L172" s="68" t="s">
        <v>1547</v>
      </c>
      <c r="M172" s="68" t="s">
        <v>1579</v>
      </c>
      <c r="N172" s="92"/>
    </row>
    <row r="173" customFormat="false" ht="14.25" hidden="false" customHeight="false" outlineLevel="0" collapsed="false">
      <c r="C173" s="64" t="n">
        <v>168</v>
      </c>
      <c r="D173" s="65" t="s">
        <v>1236</v>
      </c>
      <c r="E173" s="65" t="s">
        <v>1544</v>
      </c>
      <c r="F173" s="65" t="n">
        <v>13.2</v>
      </c>
      <c r="G173" s="66" t="n">
        <v>31.5</v>
      </c>
      <c r="H173" s="68" t="s">
        <v>1548</v>
      </c>
      <c r="I173" s="68" t="s">
        <v>1549</v>
      </c>
      <c r="J173" s="68" t="s">
        <v>202</v>
      </c>
      <c r="K173" s="67"/>
      <c r="L173" s="68" t="s">
        <v>1547</v>
      </c>
      <c r="M173" s="68" t="s">
        <v>1579</v>
      </c>
      <c r="N173" s="92"/>
    </row>
    <row r="174" customFormat="false" ht="14.25" hidden="false" customHeight="false" outlineLevel="0" collapsed="false">
      <c r="C174" s="64" t="n">
        <v>169</v>
      </c>
      <c r="D174" s="65" t="s">
        <v>956</v>
      </c>
      <c r="E174" s="65" t="s">
        <v>1544</v>
      </c>
      <c r="F174" s="65" t="n">
        <v>44</v>
      </c>
      <c r="G174" s="66" t="n">
        <v>25</v>
      </c>
      <c r="H174" s="68" t="s">
        <v>1555</v>
      </c>
      <c r="I174" s="68" t="s">
        <v>1546</v>
      </c>
      <c r="J174" s="68" t="s">
        <v>202</v>
      </c>
      <c r="K174" s="67"/>
      <c r="L174" s="68" t="s">
        <v>1547</v>
      </c>
      <c r="M174" s="68" t="s">
        <v>956</v>
      </c>
      <c r="N174" s="92"/>
    </row>
    <row r="175" customFormat="false" ht="14.25" hidden="false" customHeight="false" outlineLevel="0" collapsed="false">
      <c r="C175" s="64" t="n">
        <v>170</v>
      </c>
      <c r="D175" s="65" t="s">
        <v>956</v>
      </c>
      <c r="E175" s="65" t="s">
        <v>1544</v>
      </c>
      <c r="F175" s="65" t="n">
        <v>13.2</v>
      </c>
      <c r="G175" s="66" t="n">
        <v>12.5</v>
      </c>
      <c r="H175" s="68" t="s">
        <v>1557</v>
      </c>
      <c r="I175" s="68" t="s">
        <v>1546</v>
      </c>
      <c r="J175" s="68" t="s">
        <v>202</v>
      </c>
      <c r="K175" s="67"/>
      <c r="L175" s="68" t="s">
        <v>1547</v>
      </c>
      <c r="M175" s="68" t="s">
        <v>956</v>
      </c>
      <c r="N175" s="92"/>
    </row>
    <row r="176" customFormat="false" ht="14.25" hidden="false" customHeight="false" outlineLevel="0" collapsed="false">
      <c r="C176" s="64" t="n">
        <v>171</v>
      </c>
      <c r="D176" s="65" t="s">
        <v>1593</v>
      </c>
      <c r="E176" s="65" t="s">
        <v>1544</v>
      </c>
      <c r="F176" s="65" t="n">
        <v>44</v>
      </c>
      <c r="G176" s="66" t="n">
        <v>8</v>
      </c>
      <c r="H176" s="68" t="s">
        <v>1555</v>
      </c>
      <c r="I176" s="68" t="s">
        <v>1546</v>
      </c>
      <c r="J176" s="68" t="s">
        <v>202</v>
      </c>
      <c r="K176" s="67"/>
      <c r="L176" s="68" t="s">
        <v>1547</v>
      </c>
      <c r="M176" s="68" t="s">
        <v>1589</v>
      </c>
      <c r="N176" s="92"/>
    </row>
    <row r="177" customFormat="false" ht="14.25" hidden="false" customHeight="false" outlineLevel="0" collapsed="false">
      <c r="C177" s="64" t="n">
        <v>172</v>
      </c>
      <c r="D177" s="65" t="s">
        <v>1593</v>
      </c>
      <c r="E177" s="65" t="s">
        <v>1544</v>
      </c>
      <c r="F177" s="65" t="n">
        <v>13.2</v>
      </c>
      <c r="G177" s="66" t="n">
        <v>12.5</v>
      </c>
      <c r="H177" s="68" t="s">
        <v>1557</v>
      </c>
      <c r="I177" s="68" t="s">
        <v>1546</v>
      </c>
      <c r="J177" s="68" t="s">
        <v>202</v>
      </c>
      <c r="K177" s="67"/>
      <c r="L177" s="68" t="s">
        <v>1547</v>
      </c>
      <c r="M177" s="68" t="s">
        <v>1589</v>
      </c>
      <c r="N177" s="92"/>
    </row>
    <row r="178" customFormat="false" ht="14.25" hidden="false" customHeight="false" outlineLevel="0" collapsed="false">
      <c r="C178" s="64" t="n">
        <v>173</v>
      </c>
      <c r="D178" s="65" t="s">
        <v>1594</v>
      </c>
      <c r="E178" s="65" t="s">
        <v>1544</v>
      </c>
      <c r="F178" s="65" t="n">
        <v>44</v>
      </c>
      <c r="G178" s="66" t="n">
        <v>21.5</v>
      </c>
      <c r="H178" s="68" t="s">
        <v>1545</v>
      </c>
      <c r="I178" s="68" t="s">
        <v>1546</v>
      </c>
      <c r="J178" s="68" t="s">
        <v>202</v>
      </c>
      <c r="K178" s="67"/>
      <c r="L178" s="68" t="s">
        <v>1547</v>
      </c>
      <c r="M178" s="68" t="s">
        <v>883</v>
      </c>
      <c r="N178" s="92"/>
    </row>
    <row r="179" customFormat="false" ht="14.25" hidden="false" customHeight="false" outlineLevel="0" collapsed="false">
      <c r="C179" s="64" t="n">
        <v>174</v>
      </c>
      <c r="D179" s="65" t="s">
        <v>1594</v>
      </c>
      <c r="E179" s="65" t="s">
        <v>1544</v>
      </c>
      <c r="F179" s="65" t="n">
        <v>13.2</v>
      </c>
      <c r="G179" s="66" t="n">
        <v>20</v>
      </c>
      <c r="H179" s="68" t="s">
        <v>1548</v>
      </c>
      <c r="I179" s="68" t="s">
        <v>1549</v>
      </c>
      <c r="J179" s="68" t="s">
        <v>202</v>
      </c>
      <c r="K179" s="67"/>
      <c r="L179" s="68" t="s">
        <v>1547</v>
      </c>
      <c r="M179" s="68" t="s">
        <v>883</v>
      </c>
      <c r="N179" s="92"/>
    </row>
    <row r="180" customFormat="false" ht="14.25" hidden="false" customHeight="false" outlineLevel="0" collapsed="false">
      <c r="C180" s="64" t="n">
        <v>175</v>
      </c>
      <c r="D180" s="65" t="s">
        <v>1148</v>
      </c>
      <c r="E180" s="65" t="s">
        <v>1544</v>
      </c>
      <c r="F180" s="65" t="n">
        <v>44</v>
      </c>
      <c r="G180" s="66" t="n">
        <v>31.5</v>
      </c>
      <c r="H180" s="68" t="s">
        <v>1545</v>
      </c>
      <c r="I180" s="68" t="s">
        <v>1546</v>
      </c>
      <c r="J180" s="68" t="s">
        <v>202</v>
      </c>
      <c r="K180" s="67"/>
      <c r="L180" s="68" t="s">
        <v>1547</v>
      </c>
      <c r="M180" s="68" t="s">
        <v>1154</v>
      </c>
      <c r="N180" s="92"/>
    </row>
    <row r="181" customFormat="false" ht="14.25" hidden="false" customHeight="false" outlineLevel="0" collapsed="false">
      <c r="C181" s="64" t="n">
        <v>176</v>
      </c>
      <c r="D181" s="65" t="s">
        <v>1148</v>
      </c>
      <c r="E181" s="65" t="s">
        <v>1544</v>
      </c>
      <c r="F181" s="65" t="n">
        <v>13.2</v>
      </c>
      <c r="G181" s="66" t="n">
        <v>12.5</v>
      </c>
      <c r="H181" s="68" t="s">
        <v>1557</v>
      </c>
      <c r="I181" s="68" t="s">
        <v>1546</v>
      </c>
      <c r="J181" s="68" t="s">
        <v>202</v>
      </c>
      <c r="K181" s="67"/>
      <c r="L181" s="68" t="s">
        <v>1547</v>
      </c>
      <c r="M181" s="68" t="s">
        <v>1154</v>
      </c>
      <c r="N181" s="92"/>
    </row>
    <row r="182" customFormat="false" ht="14.25" hidden="false" customHeight="false" outlineLevel="0" collapsed="false">
      <c r="C182" s="64" t="n">
        <v>177</v>
      </c>
      <c r="D182" s="65" t="s">
        <v>1046</v>
      </c>
      <c r="E182" s="65" t="s">
        <v>1544</v>
      </c>
      <c r="F182" s="65" t="n">
        <v>110</v>
      </c>
      <c r="G182" s="66" t="n">
        <v>31.5</v>
      </c>
      <c r="H182" s="68" t="s">
        <v>1545</v>
      </c>
      <c r="I182" s="68" t="s">
        <v>1546</v>
      </c>
      <c r="J182" s="68" t="s">
        <v>202</v>
      </c>
      <c r="K182" s="67"/>
      <c r="L182" s="68" t="s">
        <v>1547</v>
      </c>
      <c r="M182" s="68" t="s">
        <v>1046</v>
      </c>
      <c r="N182" s="92"/>
    </row>
    <row r="183" customFormat="false" ht="14.25" hidden="false" customHeight="false" outlineLevel="0" collapsed="false">
      <c r="C183" s="64" t="n">
        <v>178</v>
      </c>
      <c r="D183" s="65" t="s">
        <v>1046</v>
      </c>
      <c r="E183" s="65" t="s">
        <v>1544</v>
      </c>
      <c r="F183" s="65" t="n">
        <v>44</v>
      </c>
      <c r="G183" s="66" t="n">
        <v>25</v>
      </c>
      <c r="H183" s="68" t="s">
        <v>1570</v>
      </c>
      <c r="I183" s="68" t="s">
        <v>1546</v>
      </c>
      <c r="J183" s="68" t="s">
        <v>202</v>
      </c>
      <c r="K183" s="67"/>
      <c r="L183" s="68" t="s">
        <v>1547</v>
      </c>
      <c r="M183" s="68" t="s">
        <v>1046</v>
      </c>
      <c r="N183" s="92"/>
    </row>
    <row r="184" customFormat="false" ht="14.25" hidden="false" customHeight="false" outlineLevel="0" collapsed="false">
      <c r="C184" s="64" t="n">
        <v>179</v>
      </c>
      <c r="D184" s="65" t="s">
        <v>1046</v>
      </c>
      <c r="E184" s="65" t="s">
        <v>1544</v>
      </c>
      <c r="F184" s="65" t="n">
        <v>13.2</v>
      </c>
      <c r="G184" s="66" t="n">
        <v>20</v>
      </c>
      <c r="H184" s="68" t="s">
        <v>1548</v>
      </c>
      <c r="I184" s="68" t="s">
        <v>1549</v>
      </c>
      <c r="J184" s="68" t="s">
        <v>202</v>
      </c>
      <c r="K184" s="67"/>
      <c r="L184" s="68" t="s">
        <v>1547</v>
      </c>
      <c r="M184" s="68" t="s">
        <v>1046</v>
      </c>
      <c r="N184" s="92"/>
    </row>
    <row r="185" customFormat="false" ht="14.25" hidden="false" customHeight="false" outlineLevel="0" collapsed="false">
      <c r="C185" s="64" t="n">
        <v>180</v>
      </c>
      <c r="D185" s="65" t="s">
        <v>974</v>
      </c>
      <c r="E185" s="65" t="s">
        <v>1544</v>
      </c>
      <c r="F185" s="65" t="n">
        <v>110</v>
      </c>
      <c r="G185" s="66" t="n">
        <v>31.5</v>
      </c>
      <c r="H185" s="68" t="s">
        <v>1545</v>
      </c>
      <c r="I185" s="68" t="s">
        <v>1546</v>
      </c>
      <c r="J185" s="68" t="s">
        <v>202</v>
      </c>
      <c r="K185" s="67"/>
      <c r="L185" s="68" t="s">
        <v>1547</v>
      </c>
      <c r="M185" s="68" t="s">
        <v>1595</v>
      </c>
      <c r="N185" s="92"/>
    </row>
    <row r="186" customFormat="false" ht="14.25" hidden="false" customHeight="false" outlineLevel="0" collapsed="false">
      <c r="C186" s="64" t="n">
        <v>181</v>
      </c>
      <c r="D186" s="65" t="s">
        <v>974</v>
      </c>
      <c r="E186" s="65" t="s">
        <v>1544</v>
      </c>
      <c r="F186" s="65" t="n">
        <v>44</v>
      </c>
      <c r="G186" s="66" t="n">
        <v>31.5</v>
      </c>
      <c r="H186" s="68" t="s">
        <v>1545</v>
      </c>
      <c r="I186" s="68" t="s">
        <v>1546</v>
      </c>
      <c r="J186" s="68" t="s">
        <v>202</v>
      </c>
      <c r="K186" s="67"/>
      <c r="L186" s="68" t="s">
        <v>1547</v>
      </c>
      <c r="M186" s="68" t="s">
        <v>1595</v>
      </c>
      <c r="N186" s="92"/>
    </row>
    <row r="187" customFormat="false" ht="14.25" hidden="false" customHeight="false" outlineLevel="0" collapsed="false">
      <c r="C187" s="64" t="n">
        <v>182</v>
      </c>
      <c r="D187" s="65" t="s">
        <v>974</v>
      </c>
      <c r="E187" s="65" t="s">
        <v>1544</v>
      </c>
      <c r="F187" s="65" t="n">
        <v>13.2</v>
      </c>
      <c r="G187" s="66" t="n">
        <v>20</v>
      </c>
      <c r="H187" s="68" t="s">
        <v>1548</v>
      </c>
      <c r="I187" s="68" t="s">
        <v>1549</v>
      </c>
      <c r="J187" s="68" t="s">
        <v>202</v>
      </c>
      <c r="K187" s="67"/>
      <c r="L187" s="68" t="s">
        <v>1547</v>
      </c>
      <c r="M187" s="68" t="s">
        <v>1595</v>
      </c>
      <c r="N187" s="92"/>
    </row>
    <row r="188" customFormat="false" ht="14.25" hidden="false" customHeight="false" outlineLevel="0" collapsed="false">
      <c r="C188" s="64" t="n">
        <v>183</v>
      </c>
      <c r="D188" s="65" t="s">
        <v>1189</v>
      </c>
      <c r="E188" s="65" t="s">
        <v>1544</v>
      </c>
      <c r="F188" s="65" t="n">
        <v>44</v>
      </c>
      <c r="G188" s="66" t="n">
        <v>8</v>
      </c>
      <c r="H188" s="68" t="s">
        <v>1555</v>
      </c>
      <c r="I188" s="68" t="s">
        <v>1546</v>
      </c>
      <c r="J188" s="68" t="s">
        <v>202</v>
      </c>
      <c r="K188" s="67"/>
      <c r="L188" s="68" t="s">
        <v>1547</v>
      </c>
      <c r="M188" s="68" t="s">
        <v>1156</v>
      </c>
      <c r="N188" s="92"/>
    </row>
    <row r="189" customFormat="false" ht="14.25" hidden="false" customHeight="false" outlineLevel="0" collapsed="false">
      <c r="C189" s="64" t="n">
        <v>184</v>
      </c>
      <c r="D189" s="65" t="s">
        <v>1189</v>
      </c>
      <c r="E189" s="65" t="s">
        <v>1544</v>
      </c>
      <c r="F189" s="65" t="n">
        <v>13.2</v>
      </c>
      <c r="G189" s="66" t="n">
        <v>12.5</v>
      </c>
      <c r="H189" s="68" t="s">
        <v>1557</v>
      </c>
      <c r="I189" s="68" t="s">
        <v>1546</v>
      </c>
      <c r="J189" s="68" t="s">
        <v>202</v>
      </c>
      <c r="K189" s="67"/>
      <c r="L189" s="68" t="s">
        <v>1547</v>
      </c>
      <c r="M189" s="68" t="s">
        <v>1156</v>
      </c>
      <c r="N189" s="92"/>
    </row>
    <row r="190" customFormat="false" ht="14.25" hidden="false" customHeight="false" outlineLevel="0" collapsed="false">
      <c r="C190" s="64" t="n">
        <v>185</v>
      </c>
      <c r="D190" s="65" t="s">
        <v>1110</v>
      </c>
      <c r="E190" s="65" t="s">
        <v>1544</v>
      </c>
      <c r="F190" s="65" t="n">
        <v>110</v>
      </c>
      <c r="G190" s="66" t="n">
        <v>40</v>
      </c>
      <c r="H190" s="68" t="s">
        <v>1555</v>
      </c>
      <c r="I190" s="68" t="s">
        <v>1546</v>
      </c>
      <c r="J190" s="68" t="s">
        <v>202</v>
      </c>
      <c r="K190" s="67"/>
      <c r="L190" s="68" t="s">
        <v>1547</v>
      </c>
      <c r="M190" s="68" t="s">
        <v>1485</v>
      </c>
      <c r="N190" s="92"/>
    </row>
    <row r="191" customFormat="false" ht="14.25" hidden="false" customHeight="false" outlineLevel="0" collapsed="false">
      <c r="C191" s="64" t="n">
        <v>186</v>
      </c>
      <c r="D191" s="65" t="s">
        <v>1596</v>
      </c>
      <c r="E191" s="65" t="s">
        <v>1544</v>
      </c>
      <c r="F191" s="65" t="n">
        <v>44</v>
      </c>
      <c r="G191" s="66" t="n">
        <v>8</v>
      </c>
      <c r="H191" s="68" t="s">
        <v>1555</v>
      </c>
      <c r="I191" s="68" t="s">
        <v>1546</v>
      </c>
      <c r="J191" s="68" t="s">
        <v>202</v>
      </c>
      <c r="K191" s="67"/>
      <c r="L191" s="68" t="s">
        <v>1547</v>
      </c>
      <c r="M191" s="68" t="s">
        <v>1381</v>
      </c>
      <c r="N191" s="92"/>
    </row>
    <row r="192" customFormat="false" ht="14.25" hidden="false" customHeight="false" outlineLevel="0" collapsed="false">
      <c r="C192" s="64" t="n">
        <v>187</v>
      </c>
      <c r="D192" s="65" t="s">
        <v>1596</v>
      </c>
      <c r="E192" s="65" t="s">
        <v>1544</v>
      </c>
      <c r="F192" s="65" t="n">
        <v>13.2</v>
      </c>
      <c r="G192" s="66" t="n">
        <v>12.5</v>
      </c>
      <c r="H192" s="68" t="s">
        <v>1557</v>
      </c>
      <c r="I192" s="68" t="s">
        <v>1546</v>
      </c>
      <c r="J192" s="68" t="s">
        <v>202</v>
      </c>
      <c r="K192" s="67"/>
      <c r="L192" s="68" t="s">
        <v>1547</v>
      </c>
      <c r="M192" s="68" t="s">
        <v>1381</v>
      </c>
      <c r="N192" s="92"/>
    </row>
    <row r="193" customFormat="false" ht="14.25" hidden="false" customHeight="false" outlineLevel="0" collapsed="false">
      <c r="C193" s="64" t="n">
        <v>188</v>
      </c>
      <c r="D193" s="65" t="s">
        <v>1597</v>
      </c>
      <c r="E193" s="65" t="s">
        <v>1544</v>
      </c>
      <c r="F193" s="65" t="n">
        <v>44</v>
      </c>
      <c r="G193" s="66" t="n">
        <v>31.5</v>
      </c>
      <c r="H193" s="68" t="s">
        <v>1545</v>
      </c>
      <c r="I193" s="68" t="s">
        <v>1546</v>
      </c>
      <c r="J193" s="68" t="s">
        <v>202</v>
      </c>
      <c r="K193" s="67"/>
      <c r="L193" s="68" t="s">
        <v>1547</v>
      </c>
      <c r="M193" s="68" t="s">
        <v>1057</v>
      </c>
      <c r="N193" s="92"/>
    </row>
    <row r="194" customFormat="false" ht="14.25" hidden="false" customHeight="false" outlineLevel="0" collapsed="false">
      <c r="C194" s="64" t="n">
        <v>189</v>
      </c>
      <c r="D194" s="65" t="s">
        <v>1597</v>
      </c>
      <c r="E194" s="65" t="s">
        <v>1544</v>
      </c>
      <c r="F194" s="65" t="n">
        <v>13.2</v>
      </c>
      <c r="G194" s="66" t="n">
        <v>20</v>
      </c>
      <c r="H194" s="68" t="s">
        <v>1548</v>
      </c>
      <c r="I194" s="68" t="s">
        <v>1549</v>
      </c>
      <c r="J194" s="68" t="s">
        <v>202</v>
      </c>
      <c r="K194" s="67"/>
      <c r="L194" s="68" t="s">
        <v>1547</v>
      </c>
      <c r="M194" s="68" t="s">
        <v>1057</v>
      </c>
      <c r="N194" s="92"/>
    </row>
    <row r="195" customFormat="false" ht="14.25" hidden="false" customHeight="false" outlineLevel="0" collapsed="false">
      <c r="C195" s="64" t="n">
        <v>190</v>
      </c>
      <c r="D195" s="65" t="s">
        <v>815</v>
      </c>
      <c r="E195" s="65" t="s">
        <v>1544</v>
      </c>
      <c r="F195" s="65" t="n">
        <v>110</v>
      </c>
      <c r="G195" s="66" t="n">
        <v>40</v>
      </c>
      <c r="H195" s="68" t="s">
        <v>1545</v>
      </c>
      <c r="I195" s="68" t="s">
        <v>1546</v>
      </c>
      <c r="J195" s="68" t="s">
        <v>202</v>
      </c>
      <c r="K195" s="69" t="n">
        <v>45925</v>
      </c>
      <c r="L195" s="68" t="s">
        <v>1547</v>
      </c>
      <c r="M195" s="68" t="s">
        <v>831</v>
      </c>
      <c r="N195" s="92"/>
    </row>
    <row r="196" customFormat="false" ht="14.25" hidden="false" customHeight="false" outlineLevel="0" collapsed="false">
      <c r="C196" s="64" t="n">
        <v>191</v>
      </c>
      <c r="D196" s="65" t="s">
        <v>815</v>
      </c>
      <c r="E196" s="65" t="s">
        <v>1544</v>
      </c>
      <c r="F196" s="65" t="n">
        <v>44</v>
      </c>
      <c r="G196" s="66" t="n">
        <v>25</v>
      </c>
      <c r="H196" s="68" t="s">
        <v>1545</v>
      </c>
      <c r="I196" s="68" t="s">
        <v>1546</v>
      </c>
      <c r="J196" s="68" t="s">
        <v>771</v>
      </c>
      <c r="K196" s="69" t="n">
        <v>46022</v>
      </c>
      <c r="L196" s="68" t="s">
        <v>1547</v>
      </c>
      <c r="M196" s="68" t="s">
        <v>831</v>
      </c>
      <c r="N196" s="92"/>
    </row>
    <row r="197" customFormat="false" ht="14.25" hidden="false" customHeight="false" outlineLevel="0" collapsed="false">
      <c r="C197" s="64" t="n">
        <v>192</v>
      </c>
      <c r="D197" s="65" t="s">
        <v>815</v>
      </c>
      <c r="E197" s="65" t="s">
        <v>1544</v>
      </c>
      <c r="F197" s="65" t="n">
        <v>13.2</v>
      </c>
      <c r="G197" s="66" t="n">
        <v>31.5</v>
      </c>
      <c r="H197" s="68" t="s">
        <v>1548</v>
      </c>
      <c r="I197" s="68" t="s">
        <v>1549</v>
      </c>
      <c r="J197" s="68" t="s">
        <v>771</v>
      </c>
      <c r="K197" s="69" t="n">
        <v>46022</v>
      </c>
      <c r="L197" s="68" t="s">
        <v>1547</v>
      </c>
      <c r="M197" s="68" t="s">
        <v>831</v>
      </c>
      <c r="N197" s="92"/>
    </row>
    <row r="198" customFormat="false" ht="14.25" hidden="false" customHeight="false" outlineLevel="0" collapsed="false">
      <c r="C198" s="64" t="n">
        <v>193</v>
      </c>
      <c r="D198" s="65" t="s">
        <v>1598</v>
      </c>
      <c r="E198" s="65" t="s">
        <v>1544</v>
      </c>
      <c r="F198" s="65" t="n">
        <v>44</v>
      </c>
      <c r="G198" s="66" t="n">
        <v>25</v>
      </c>
      <c r="H198" s="68" t="s">
        <v>1567</v>
      </c>
      <c r="I198" s="68" t="s">
        <v>1549</v>
      </c>
      <c r="J198" s="68" t="s">
        <v>202</v>
      </c>
      <c r="K198" s="67"/>
      <c r="L198" s="68" t="s">
        <v>1547</v>
      </c>
      <c r="M198" s="68" t="s">
        <v>1599</v>
      </c>
      <c r="N198" s="92"/>
    </row>
    <row r="199" customFormat="false" ht="14.25" hidden="false" customHeight="false" outlineLevel="0" collapsed="false">
      <c r="C199" s="64" t="n">
        <v>194</v>
      </c>
      <c r="D199" s="65" t="s">
        <v>1598</v>
      </c>
      <c r="E199" s="65" t="s">
        <v>1544</v>
      </c>
      <c r="F199" s="65" t="n">
        <v>13.2</v>
      </c>
      <c r="G199" s="66" t="n">
        <v>31.5</v>
      </c>
      <c r="H199" s="68" t="s">
        <v>1548</v>
      </c>
      <c r="I199" s="68" t="s">
        <v>1549</v>
      </c>
      <c r="J199" s="68" t="s">
        <v>202</v>
      </c>
      <c r="K199" s="67"/>
      <c r="L199" s="68" t="s">
        <v>1547</v>
      </c>
      <c r="M199" s="68" t="s">
        <v>1599</v>
      </c>
      <c r="N199" s="92"/>
    </row>
    <row r="200" customFormat="false" ht="14.25" hidden="false" customHeight="false" outlineLevel="0" collapsed="false">
      <c r="C200" s="64" t="n">
        <v>195</v>
      </c>
      <c r="D200" s="65" t="s">
        <v>1541</v>
      </c>
      <c r="E200" s="65" t="s">
        <v>1544</v>
      </c>
      <c r="F200" s="65" t="n">
        <v>44</v>
      </c>
      <c r="G200" s="66" t="n">
        <v>16</v>
      </c>
      <c r="H200" s="68" t="s">
        <v>1555</v>
      </c>
      <c r="I200" s="68" t="s">
        <v>1546</v>
      </c>
      <c r="J200" s="68" t="s">
        <v>202</v>
      </c>
      <c r="K200" s="67"/>
      <c r="L200" s="68" t="s">
        <v>1547</v>
      </c>
      <c r="M200" s="68" t="s">
        <v>1197</v>
      </c>
      <c r="N200" s="92"/>
    </row>
    <row r="201" customFormat="false" ht="14.25" hidden="false" customHeight="false" outlineLevel="0" collapsed="false">
      <c r="C201" s="64" t="n">
        <v>196</v>
      </c>
      <c r="D201" s="65" t="s">
        <v>1541</v>
      </c>
      <c r="E201" s="65" t="s">
        <v>1544</v>
      </c>
      <c r="F201" s="65" t="n">
        <v>13.2</v>
      </c>
      <c r="G201" s="66" t="n">
        <v>25</v>
      </c>
      <c r="H201" s="68" t="s">
        <v>1548</v>
      </c>
      <c r="I201" s="68" t="s">
        <v>1549</v>
      </c>
      <c r="J201" s="68" t="s">
        <v>202</v>
      </c>
      <c r="K201" s="67"/>
      <c r="L201" s="68" t="s">
        <v>1547</v>
      </c>
      <c r="M201" s="68" t="s">
        <v>1197</v>
      </c>
      <c r="N201" s="92"/>
    </row>
    <row r="202" customFormat="false" ht="14.25" hidden="false" customHeight="false" outlineLevel="0" collapsed="false">
      <c r="C202" s="64" t="n">
        <v>197</v>
      </c>
      <c r="D202" s="65" t="s">
        <v>837</v>
      </c>
      <c r="E202" s="65" t="s">
        <v>1544</v>
      </c>
      <c r="F202" s="65" t="n">
        <v>44</v>
      </c>
      <c r="G202" s="66" t="n">
        <v>8</v>
      </c>
      <c r="H202" s="68" t="s">
        <v>1555</v>
      </c>
      <c r="I202" s="68" t="s">
        <v>1546</v>
      </c>
      <c r="J202" s="68" t="s">
        <v>202</v>
      </c>
      <c r="K202" s="67"/>
      <c r="L202" s="68" t="s">
        <v>1547</v>
      </c>
      <c r="M202" s="68" t="s">
        <v>837</v>
      </c>
      <c r="N202" s="92"/>
    </row>
    <row r="203" customFormat="false" ht="14.25" hidden="false" customHeight="false" outlineLevel="0" collapsed="false">
      <c r="C203" s="64" t="n">
        <v>198</v>
      </c>
      <c r="D203" s="65" t="s">
        <v>837</v>
      </c>
      <c r="E203" s="65" t="s">
        <v>1544</v>
      </c>
      <c r="F203" s="65" t="n">
        <v>13.2</v>
      </c>
      <c r="G203" s="66" t="n">
        <v>12.5</v>
      </c>
      <c r="H203" s="68" t="s">
        <v>1557</v>
      </c>
      <c r="I203" s="68" t="s">
        <v>1546</v>
      </c>
      <c r="J203" s="68" t="s">
        <v>202</v>
      </c>
      <c r="K203" s="67"/>
      <c r="L203" s="68" t="s">
        <v>1547</v>
      </c>
      <c r="M203" s="68" t="s">
        <v>837</v>
      </c>
      <c r="N203" s="92"/>
    </row>
    <row r="204" customFormat="false" ht="14.25" hidden="false" customHeight="false" outlineLevel="0" collapsed="false">
      <c r="C204" s="64" t="n">
        <v>199</v>
      </c>
      <c r="D204" s="65" t="s">
        <v>1012</v>
      </c>
      <c r="E204" s="65" t="s">
        <v>1544</v>
      </c>
      <c r="F204" s="65" t="n">
        <v>44</v>
      </c>
      <c r="G204" s="66" t="n">
        <v>8</v>
      </c>
      <c r="H204" s="68" t="s">
        <v>1552</v>
      </c>
      <c r="I204" s="68" t="s">
        <v>1546</v>
      </c>
      <c r="J204" s="68" t="s">
        <v>202</v>
      </c>
      <c r="K204" s="67"/>
      <c r="L204" s="68" t="s">
        <v>1547</v>
      </c>
      <c r="M204" s="68" t="s">
        <v>1012</v>
      </c>
      <c r="N204" s="92"/>
    </row>
    <row r="205" customFormat="false" ht="14.25" hidden="false" customHeight="false" outlineLevel="0" collapsed="false">
      <c r="C205" s="64" t="n">
        <v>200</v>
      </c>
      <c r="D205" s="65" t="s">
        <v>1012</v>
      </c>
      <c r="E205" s="65" t="s">
        <v>1544</v>
      </c>
      <c r="F205" s="65" t="n">
        <v>13.2</v>
      </c>
      <c r="G205" s="66" t="n">
        <v>12.5</v>
      </c>
      <c r="H205" s="68" t="s">
        <v>1557</v>
      </c>
      <c r="I205" s="68" t="s">
        <v>1546</v>
      </c>
      <c r="J205" s="68" t="s">
        <v>202</v>
      </c>
      <c r="K205" s="67"/>
      <c r="L205" s="68" t="s">
        <v>1547</v>
      </c>
      <c r="M205" s="68" t="s">
        <v>1012</v>
      </c>
      <c r="N205" s="92"/>
    </row>
    <row r="206" customFormat="false" ht="14.25" hidden="false" customHeight="false" outlineLevel="0" collapsed="false">
      <c r="C206" s="64" t="n">
        <v>201</v>
      </c>
      <c r="D206" s="65" t="s">
        <v>846</v>
      </c>
      <c r="E206" s="65" t="s">
        <v>1544</v>
      </c>
      <c r="F206" s="65" t="n">
        <v>44</v>
      </c>
      <c r="G206" s="66" t="n">
        <v>25</v>
      </c>
      <c r="H206" s="68" t="s">
        <v>1545</v>
      </c>
      <c r="I206" s="68" t="s">
        <v>1546</v>
      </c>
      <c r="J206" s="68" t="s">
        <v>771</v>
      </c>
      <c r="K206" s="69" t="n">
        <v>45838</v>
      </c>
      <c r="L206" s="68" t="s">
        <v>1547</v>
      </c>
      <c r="M206" s="68" t="s">
        <v>1600</v>
      </c>
      <c r="N206" s="92"/>
    </row>
    <row r="207" customFormat="false" ht="14.25" hidden="false" customHeight="false" outlineLevel="0" collapsed="false">
      <c r="C207" s="64" t="n">
        <v>202</v>
      </c>
      <c r="D207" s="65" t="s">
        <v>846</v>
      </c>
      <c r="E207" s="65" t="s">
        <v>1544</v>
      </c>
      <c r="F207" s="65" t="n">
        <v>13.2</v>
      </c>
      <c r="G207" s="66" t="n">
        <v>31.5</v>
      </c>
      <c r="H207" s="68" t="s">
        <v>1548</v>
      </c>
      <c r="I207" s="68" t="s">
        <v>1549</v>
      </c>
      <c r="J207" s="68" t="s">
        <v>771</v>
      </c>
      <c r="K207" s="69" t="n">
        <v>45838</v>
      </c>
      <c r="L207" s="68" t="s">
        <v>1547</v>
      </c>
      <c r="M207" s="68" t="s">
        <v>1600</v>
      </c>
      <c r="N207" s="92"/>
    </row>
    <row r="208" customFormat="false" ht="14.25" hidden="false" customHeight="false" outlineLevel="0" collapsed="false">
      <c r="C208" s="64" t="n">
        <v>203</v>
      </c>
      <c r="D208" s="65" t="s">
        <v>1014</v>
      </c>
      <c r="E208" s="65" t="s">
        <v>1544</v>
      </c>
      <c r="F208" s="65" t="n">
        <v>220</v>
      </c>
      <c r="G208" s="66" t="n">
        <v>40</v>
      </c>
      <c r="H208" s="68" t="s">
        <v>1570</v>
      </c>
      <c r="I208" s="68" t="s">
        <v>1546</v>
      </c>
      <c r="J208" s="68" t="s">
        <v>202</v>
      </c>
      <c r="K208" s="67"/>
      <c r="L208" s="68" t="s">
        <v>1547</v>
      </c>
      <c r="M208" s="68" t="s">
        <v>1601</v>
      </c>
      <c r="N208" s="92"/>
    </row>
    <row r="209" customFormat="false" ht="14.25" hidden="false" customHeight="false" outlineLevel="0" collapsed="false">
      <c r="C209" s="64" t="n">
        <v>204</v>
      </c>
      <c r="D209" s="65" t="s">
        <v>1014</v>
      </c>
      <c r="E209" s="65" t="s">
        <v>1544</v>
      </c>
      <c r="F209" s="65" t="n">
        <v>44</v>
      </c>
      <c r="G209" s="66" t="n">
        <v>20</v>
      </c>
      <c r="H209" s="68" t="s">
        <v>1545</v>
      </c>
      <c r="I209" s="68" t="s">
        <v>1546</v>
      </c>
      <c r="J209" s="68" t="s">
        <v>202</v>
      </c>
      <c r="K209" s="67"/>
      <c r="L209" s="68" t="s">
        <v>1547</v>
      </c>
      <c r="M209" s="68" t="s">
        <v>1601</v>
      </c>
      <c r="N209" s="92"/>
    </row>
    <row r="210" customFormat="false" ht="14.25" hidden="false" customHeight="false" outlineLevel="0" collapsed="false">
      <c r="C210" s="64" t="n">
        <v>205</v>
      </c>
      <c r="D210" s="65" t="s">
        <v>1014</v>
      </c>
      <c r="E210" s="65" t="s">
        <v>1544</v>
      </c>
      <c r="F210" s="65" t="n">
        <v>13.2</v>
      </c>
      <c r="G210" s="66" t="n">
        <v>25</v>
      </c>
      <c r="H210" s="68" t="s">
        <v>1548</v>
      </c>
      <c r="I210" s="68" t="s">
        <v>1549</v>
      </c>
      <c r="J210" s="68" t="s">
        <v>202</v>
      </c>
      <c r="K210" s="67"/>
      <c r="L210" s="68" t="s">
        <v>1547</v>
      </c>
      <c r="M210" s="68" t="s">
        <v>1601</v>
      </c>
      <c r="N210" s="92"/>
    </row>
    <row r="211" customFormat="false" ht="14.25" hidden="false" customHeight="false" outlineLevel="0" collapsed="false">
      <c r="C211" s="64" t="n">
        <v>206</v>
      </c>
      <c r="D211" s="65" t="s">
        <v>1191</v>
      </c>
      <c r="E211" s="65" t="s">
        <v>1544</v>
      </c>
      <c r="F211" s="65" t="n">
        <v>44</v>
      </c>
      <c r="G211" s="66" t="n">
        <v>8</v>
      </c>
      <c r="H211" s="68" t="s">
        <v>1555</v>
      </c>
      <c r="I211" s="68" t="s">
        <v>1546</v>
      </c>
      <c r="J211" s="68" t="s">
        <v>202</v>
      </c>
      <c r="K211" s="67"/>
      <c r="L211" s="68" t="s">
        <v>1547</v>
      </c>
      <c r="M211" s="68" t="s">
        <v>1156</v>
      </c>
      <c r="N211" s="92"/>
    </row>
    <row r="212" customFormat="false" ht="14.25" hidden="false" customHeight="false" outlineLevel="0" collapsed="false">
      <c r="C212" s="64" t="n">
        <v>207</v>
      </c>
      <c r="D212" s="65" t="s">
        <v>1191</v>
      </c>
      <c r="E212" s="65" t="s">
        <v>1544</v>
      </c>
      <c r="F212" s="65" t="n">
        <v>13.2</v>
      </c>
      <c r="G212" s="66" t="n">
        <v>12.5</v>
      </c>
      <c r="H212" s="68" t="s">
        <v>1557</v>
      </c>
      <c r="I212" s="68" t="s">
        <v>1546</v>
      </c>
      <c r="J212" s="68" t="s">
        <v>202</v>
      </c>
      <c r="K212" s="67"/>
      <c r="L212" s="68" t="s">
        <v>1547</v>
      </c>
      <c r="M212" s="68" t="s">
        <v>1156</v>
      </c>
      <c r="N212" s="92"/>
    </row>
    <row r="213" customFormat="false" ht="14.25" hidden="false" customHeight="false" outlineLevel="0" collapsed="false">
      <c r="C213" s="64" t="n">
        <v>208</v>
      </c>
      <c r="D213" s="65" t="s">
        <v>1060</v>
      </c>
      <c r="E213" s="65" t="s">
        <v>1544</v>
      </c>
      <c r="F213" s="65" t="n">
        <v>44</v>
      </c>
      <c r="G213" s="66" t="n">
        <v>12.5</v>
      </c>
      <c r="H213" s="68" t="s">
        <v>1545</v>
      </c>
      <c r="I213" s="68" t="s">
        <v>1546</v>
      </c>
      <c r="J213" s="68" t="s">
        <v>202</v>
      </c>
      <c r="K213" s="67"/>
      <c r="L213" s="68" t="s">
        <v>1547</v>
      </c>
      <c r="M213" s="68" t="s">
        <v>1060</v>
      </c>
      <c r="N213" s="92"/>
    </row>
    <row r="214" customFormat="false" ht="14.25" hidden="false" customHeight="false" outlineLevel="0" collapsed="false">
      <c r="C214" s="64" t="n">
        <v>209</v>
      </c>
      <c r="D214" s="65" t="s">
        <v>1060</v>
      </c>
      <c r="E214" s="65" t="s">
        <v>1544</v>
      </c>
      <c r="F214" s="65" t="n">
        <v>13.2</v>
      </c>
      <c r="G214" s="66" t="n">
        <v>25</v>
      </c>
      <c r="H214" s="68" t="s">
        <v>1548</v>
      </c>
      <c r="I214" s="68" t="s">
        <v>1549</v>
      </c>
      <c r="J214" s="68" t="s">
        <v>202</v>
      </c>
      <c r="K214" s="67"/>
      <c r="L214" s="68" t="s">
        <v>1547</v>
      </c>
      <c r="M214" s="68" t="s">
        <v>1060</v>
      </c>
      <c r="N214" s="92"/>
    </row>
    <row r="215" customFormat="false" ht="14.25" hidden="false" customHeight="false" outlineLevel="0" collapsed="false">
      <c r="C215" s="64" t="n">
        <v>210</v>
      </c>
      <c r="D215" s="65" t="s">
        <v>1602</v>
      </c>
      <c r="E215" s="65" t="s">
        <v>1544</v>
      </c>
      <c r="F215" s="65" t="n">
        <v>44</v>
      </c>
      <c r="G215" s="66" t="n">
        <v>8</v>
      </c>
      <c r="H215" s="68" t="s">
        <v>1555</v>
      </c>
      <c r="I215" s="68" t="s">
        <v>1546</v>
      </c>
      <c r="J215" s="68" t="s">
        <v>202</v>
      </c>
      <c r="K215" s="67"/>
      <c r="L215" s="68" t="s">
        <v>1547</v>
      </c>
      <c r="M215" s="68" t="s">
        <v>1601</v>
      </c>
      <c r="N215" s="92"/>
    </row>
    <row r="216" customFormat="false" ht="14.25" hidden="false" customHeight="false" outlineLevel="0" collapsed="false">
      <c r="C216" s="64" t="n">
        <v>211</v>
      </c>
      <c r="D216" s="65" t="s">
        <v>1602</v>
      </c>
      <c r="E216" s="65" t="s">
        <v>1544</v>
      </c>
      <c r="F216" s="65" t="n">
        <v>13.2</v>
      </c>
      <c r="G216" s="66" t="n">
        <v>12.5</v>
      </c>
      <c r="H216" s="68" t="s">
        <v>1557</v>
      </c>
      <c r="I216" s="68" t="s">
        <v>1546</v>
      </c>
      <c r="J216" s="68" t="s">
        <v>202</v>
      </c>
      <c r="K216" s="67"/>
      <c r="L216" s="68" t="s">
        <v>1547</v>
      </c>
      <c r="M216" s="68" t="s">
        <v>1601</v>
      </c>
      <c r="N216" s="92"/>
    </row>
    <row r="217" customFormat="false" ht="14.25" hidden="false" customHeight="false" outlineLevel="0" collapsed="false">
      <c r="C217" s="64" t="n">
        <v>212</v>
      </c>
      <c r="D217" s="65" t="s">
        <v>1033</v>
      </c>
      <c r="E217" s="65" t="s">
        <v>1544</v>
      </c>
      <c r="F217" s="65" t="n">
        <v>220</v>
      </c>
      <c r="G217" s="66" t="n">
        <v>25</v>
      </c>
      <c r="H217" s="68" t="s">
        <v>1545</v>
      </c>
      <c r="I217" s="68" t="s">
        <v>1546</v>
      </c>
      <c r="J217" s="68" t="s">
        <v>202</v>
      </c>
      <c r="K217" s="67"/>
      <c r="L217" s="68" t="s">
        <v>1547</v>
      </c>
      <c r="M217" s="68" t="s">
        <v>1559</v>
      </c>
      <c r="N217" s="92"/>
    </row>
    <row r="218" customFormat="false" ht="14.25" hidden="false" customHeight="false" outlineLevel="0" collapsed="false">
      <c r="C218" s="64" t="n">
        <v>213</v>
      </c>
      <c r="D218" s="65" t="s">
        <v>1033</v>
      </c>
      <c r="E218" s="65" t="s">
        <v>1544</v>
      </c>
      <c r="F218" s="65" t="n">
        <v>110</v>
      </c>
      <c r="G218" s="66" t="n">
        <v>40</v>
      </c>
      <c r="H218" s="68" t="s">
        <v>1603</v>
      </c>
      <c r="I218" s="68" t="s">
        <v>1546</v>
      </c>
      <c r="J218" s="68" t="s">
        <v>202</v>
      </c>
      <c r="K218" s="67"/>
      <c r="L218" s="68" t="s">
        <v>1547</v>
      </c>
      <c r="M218" s="68" t="s">
        <v>1559</v>
      </c>
      <c r="N218" s="92"/>
    </row>
    <row r="219" customFormat="false" ht="14.25" hidden="false" customHeight="false" outlineLevel="0" collapsed="false">
      <c r="C219" s="64" t="n">
        <v>214</v>
      </c>
      <c r="D219" s="65" t="s">
        <v>1033</v>
      </c>
      <c r="E219" s="65" t="s">
        <v>1544</v>
      </c>
      <c r="F219" s="65" t="s">
        <v>1562</v>
      </c>
      <c r="G219" s="66" t="n">
        <v>20</v>
      </c>
      <c r="H219" s="68" t="s">
        <v>1555</v>
      </c>
      <c r="I219" s="68" t="s">
        <v>1546</v>
      </c>
      <c r="J219" s="68" t="s">
        <v>202</v>
      </c>
      <c r="K219" s="67"/>
      <c r="L219" s="68" t="s">
        <v>1547</v>
      </c>
      <c r="M219" s="68" t="s">
        <v>1559</v>
      </c>
      <c r="N219" s="92"/>
    </row>
    <row r="220" customFormat="false" ht="14.25" hidden="false" customHeight="false" outlineLevel="0" collapsed="false">
      <c r="C220" s="64" t="n">
        <v>215</v>
      </c>
      <c r="D220" s="65" t="s">
        <v>1033</v>
      </c>
      <c r="E220" s="65" t="s">
        <v>1544</v>
      </c>
      <c r="F220" s="65" t="n">
        <v>44</v>
      </c>
      <c r="G220" s="66" t="n">
        <v>16</v>
      </c>
      <c r="H220" s="68" t="s">
        <v>1555</v>
      </c>
      <c r="I220" s="68" t="s">
        <v>1546</v>
      </c>
      <c r="J220" s="68" t="s">
        <v>202</v>
      </c>
      <c r="K220" s="67"/>
      <c r="L220" s="68" t="s">
        <v>1547</v>
      </c>
      <c r="M220" s="68" t="s">
        <v>1559</v>
      </c>
      <c r="N220" s="92"/>
    </row>
    <row r="221" customFormat="false" ht="14.25" hidden="false" customHeight="false" outlineLevel="0" collapsed="false">
      <c r="C221" s="64" t="n">
        <v>216</v>
      </c>
      <c r="D221" s="65" t="s">
        <v>1033</v>
      </c>
      <c r="E221" s="65" t="s">
        <v>1544</v>
      </c>
      <c r="F221" s="65" t="n">
        <v>13.2</v>
      </c>
      <c r="G221" s="66" t="n">
        <v>31.5</v>
      </c>
      <c r="H221" s="68" t="s">
        <v>1548</v>
      </c>
      <c r="I221" s="68" t="s">
        <v>1549</v>
      </c>
      <c r="J221" s="68" t="s">
        <v>202</v>
      </c>
      <c r="K221" s="67"/>
      <c r="L221" s="68" t="s">
        <v>1547</v>
      </c>
      <c r="M221" s="68" t="s">
        <v>1559</v>
      </c>
      <c r="N221" s="92"/>
    </row>
    <row r="222" customFormat="false" ht="14.25" hidden="false" customHeight="false" outlineLevel="0" collapsed="false">
      <c r="C222" s="64" t="n">
        <v>217</v>
      </c>
      <c r="D222" s="65" t="s">
        <v>1081</v>
      </c>
      <c r="E222" s="65" t="s">
        <v>1544</v>
      </c>
      <c r="F222" s="65" t="n">
        <v>44</v>
      </c>
      <c r="G222" s="66" t="n">
        <v>8</v>
      </c>
      <c r="H222" s="68" t="s">
        <v>1545</v>
      </c>
      <c r="I222" s="68" t="s">
        <v>1546</v>
      </c>
      <c r="J222" s="68" t="s">
        <v>202</v>
      </c>
      <c r="K222" s="67"/>
      <c r="L222" s="68" t="s">
        <v>1547</v>
      </c>
      <c r="M222" s="68" t="s">
        <v>1081</v>
      </c>
      <c r="N222" s="92"/>
    </row>
    <row r="223" customFormat="false" ht="14.25" hidden="false" customHeight="false" outlineLevel="0" collapsed="false">
      <c r="C223" s="64" t="n">
        <v>218</v>
      </c>
      <c r="D223" s="65" t="s">
        <v>1081</v>
      </c>
      <c r="E223" s="65" t="s">
        <v>1544</v>
      </c>
      <c r="F223" s="65" t="n">
        <v>13.2</v>
      </c>
      <c r="G223" s="66" t="n">
        <v>12.5</v>
      </c>
      <c r="H223" s="68" t="s">
        <v>1557</v>
      </c>
      <c r="I223" s="68" t="s">
        <v>1546</v>
      </c>
      <c r="J223" s="68" t="s">
        <v>202</v>
      </c>
      <c r="K223" s="67"/>
      <c r="L223" s="68" t="s">
        <v>1547</v>
      </c>
      <c r="M223" s="68" t="s">
        <v>1081</v>
      </c>
      <c r="N223" s="92"/>
    </row>
    <row r="224" customFormat="false" ht="14.25" hidden="false" customHeight="false" outlineLevel="0" collapsed="false">
      <c r="C224" s="64" t="n">
        <v>219</v>
      </c>
      <c r="D224" s="65" t="s">
        <v>1604</v>
      </c>
      <c r="E224" s="65" t="s">
        <v>1544</v>
      </c>
      <c r="F224" s="65" t="n">
        <v>44</v>
      </c>
      <c r="G224" s="66" t="n">
        <v>25</v>
      </c>
      <c r="H224" s="68" t="s">
        <v>1555</v>
      </c>
      <c r="I224" s="68" t="s">
        <v>1546</v>
      </c>
      <c r="J224" s="68" t="s">
        <v>202</v>
      </c>
      <c r="K224" s="67"/>
      <c r="L224" s="68" t="s">
        <v>1547</v>
      </c>
      <c r="M224" s="68" t="s">
        <v>1475</v>
      </c>
      <c r="N224" s="92"/>
    </row>
    <row r="225" customFormat="false" ht="14.25" hidden="false" customHeight="false" outlineLevel="0" collapsed="false">
      <c r="C225" s="64" t="n">
        <v>220</v>
      </c>
      <c r="D225" s="65" t="s">
        <v>1604</v>
      </c>
      <c r="E225" s="65" t="s">
        <v>1544</v>
      </c>
      <c r="F225" s="65" t="n">
        <v>13.2</v>
      </c>
      <c r="G225" s="66" t="n">
        <v>12.5</v>
      </c>
      <c r="H225" s="68" t="s">
        <v>1557</v>
      </c>
      <c r="I225" s="68" t="s">
        <v>1546</v>
      </c>
      <c r="J225" s="68" t="s">
        <v>202</v>
      </c>
      <c r="K225" s="67"/>
      <c r="L225" s="68" t="s">
        <v>1547</v>
      </c>
      <c r="M225" s="68" t="s">
        <v>1475</v>
      </c>
      <c r="N225" s="92"/>
    </row>
    <row r="226" customFormat="false" ht="14.25" hidden="false" customHeight="false" outlineLevel="0" collapsed="false">
      <c r="C226" s="64" t="n">
        <v>221</v>
      </c>
      <c r="D226" s="65" t="s">
        <v>1605</v>
      </c>
      <c r="E226" s="65" t="s">
        <v>1544</v>
      </c>
      <c r="F226" s="65" t="n">
        <v>44</v>
      </c>
      <c r="G226" s="66" t="n">
        <v>25</v>
      </c>
      <c r="H226" s="68" t="s">
        <v>1552</v>
      </c>
      <c r="I226" s="68" t="s">
        <v>1546</v>
      </c>
      <c r="J226" s="68" t="s">
        <v>202</v>
      </c>
      <c r="K226" s="67"/>
      <c r="L226" s="68" t="s">
        <v>1547</v>
      </c>
      <c r="M226" s="68" t="s">
        <v>797</v>
      </c>
      <c r="N226" s="92"/>
    </row>
    <row r="227" customFormat="false" ht="14.25" hidden="false" customHeight="false" outlineLevel="0" collapsed="false">
      <c r="C227" s="64" t="n">
        <v>222</v>
      </c>
      <c r="D227" s="65" t="s">
        <v>1605</v>
      </c>
      <c r="E227" s="65" t="s">
        <v>1544</v>
      </c>
      <c r="F227" s="65" t="n">
        <v>13.2</v>
      </c>
      <c r="G227" s="66" t="n">
        <v>12.5</v>
      </c>
      <c r="H227" s="68" t="s">
        <v>1557</v>
      </c>
      <c r="I227" s="68" t="s">
        <v>1546</v>
      </c>
      <c r="J227" s="68" t="s">
        <v>202</v>
      </c>
      <c r="K227" s="67"/>
      <c r="L227" s="68" t="s">
        <v>1547</v>
      </c>
      <c r="M227" s="68" t="s">
        <v>797</v>
      </c>
      <c r="N227" s="92"/>
    </row>
    <row r="228" customFormat="false" ht="14.25" hidden="false" customHeight="false" outlineLevel="0" collapsed="false">
      <c r="C228" s="64" t="n">
        <v>223</v>
      </c>
      <c r="D228" s="65" t="s">
        <v>770</v>
      </c>
      <c r="E228" s="65" t="s">
        <v>1544</v>
      </c>
      <c r="F228" s="65" t="n">
        <v>110</v>
      </c>
      <c r="G228" s="66" t="n">
        <v>31.5</v>
      </c>
      <c r="H228" s="68" t="s">
        <v>1606</v>
      </c>
      <c r="I228" s="68" t="s">
        <v>1546</v>
      </c>
      <c r="J228" s="68" t="s">
        <v>771</v>
      </c>
      <c r="K228" s="69" t="n">
        <v>45260</v>
      </c>
      <c r="L228" s="68" t="s">
        <v>1547</v>
      </c>
      <c r="M228" s="68" t="s">
        <v>1525</v>
      </c>
      <c r="N228" s="92"/>
    </row>
    <row r="229" customFormat="false" ht="14.25" hidden="false" customHeight="false" outlineLevel="0" collapsed="false">
      <c r="C229" s="64" t="n">
        <v>224</v>
      </c>
      <c r="D229" s="65" t="s">
        <v>770</v>
      </c>
      <c r="E229" s="65" t="s">
        <v>1544</v>
      </c>
      <c r="F229" s="65" t="n">
        <v>44</v>
      </c>
      <c r="G229" s="66" t="n">
        <v>8</v>
      </c>
      <c r="H229" s="68" t="s">
        <v>1606</v>
      </c>
      <c r="I229" s="68" t="s">
        <v>1546</v>
      </c>
      <c r="J229" s="68" t="s">
        <v>202</v>
      </c>
      <c r="K229" s="67"/>
      <c r="L229" s="68" t="s">
        <v>1547</v>
      </c>
      <c r="M229" s="68" t="s">
        <v>1525</v>
      </c>
      <c r="N229" s="92"/>
    </row>
    <row r="230" customFormat="false" ht="14.25" hidden="false" customHeight="false" outlineLevel="0" collapsed="false">
      <c r="C230" s="64" t="n">
        <v>225</v>
      </c>
      <c r="D230" s="65" t="s">
        <v>770</v>
      </c>
      <c r="E230" s="65" t="s">
        <v>1544</v>
      </c>
      <c r="F230" s="65" t="n">
        <v>13.2</v>
      </c>
      <c r="G230" s="66" t="n">
        <v>12.5</v>
      </c>
      <c r="H230" s="68" t="s">
        <v>1557</v>
      </c>
      <c r="I230" s="68" t="s">
        <v>1546</v>
      </c>
      <c r="J230" s="68" t="s">
        <v>202</v>
      </c>
      <c r="K230" s="67"/>
      <c r="L230" s="68" t="s">
        <v>1547</v>
      </c>
      <c r="M230" s="68" t="s">
        <v>1525</v>
      </c>
      <c r="N230" s="92"/>
    </row>
    <row r="231" customFormat="false" ht="14.25" hidden="false" customHeight="false" outlineLevel="0" collapsed="false">
      <c r="C231" s="64" t="n">
        <v>226</v>
      </c>
      <c r="D231" s="65" t="s">
        <v>1607</v>
      </c>
      <c r="E231" s="65" t="s">
        <v>1544</v>
      </c>
      <c r="F231" s="65" t="n">
        <v>500</v>
      </c>
      <c r="G231" s="66" t="n">
        <v>40</v>
      </c>
      <c r="H231" s="68" t="s">
        <v>1592</v>
      </c>
      <c r="I231" s="68" t="s">
        <v>1546</v>
      </c>
      <c r="J231" s="68" t="s">
        <v>202</v>
      </c>
      <c r="K231" s="67"/>
      <c r="L231" s="68" t="s">
        <v>1608</v>
      </c>
      <c r="M231" s="68" t="s">
        <v>1609</v>
      </c>
      <c r="N231" s="92"/>
    </row>
    <row r="232" customFormat="false" ht="14.25" hidden="false" customHeight="false" outlineLevel="0" collapsed="false">
      <c r="C232" s="64" t="n">
        <v>227</v>
      </c>
      <c r="D232" s="65" t="s">
        <v>1607</v>
      </c>
      <c r="E232" s="65" t="s">
        <v>1544</v>
      </c>
      <c r="F232" s="65" t="n">
        <v>220</v>
      </c>
      <c r="G232" s="66" t="n">
        <v>40</v>
      </c>
      <c r="H232" s="68" t="s">
        <v>1592</v>
      </c>
      <c r="I232" s="68" t="s">
        <v>1546</v>
      </c>
      <c r="J232" s="68" t="s">
        <v>202</v>
      </c>
      <c r="K232" s="67"/>
      <c r="L232" s="68" t="s">
        <v>1608</v>
      </c>
      <c r="M232" s="68" t="s">
        <v>1609</v>
      </c>
      <c r="N232" s="92"/>
    </row>
    <row r="233" customFormat="false" ht="14.25" hidden="false" customHeight="false" outlineLevel="0" collapsed="false">
      <c r="C233" s="64" t="n">
        <v>228</v>
      </c>
      <c r="D233" s="65" t="s">
        <v>930</v>
      </c>
      <c r="E233" s="65" t="s">
        <v>1544</v>
      </c>
      <c r="F233" s="65" t="n">
        <v>110</v>
      </c>
      <c r="G233" s="66" t="n">
        <v>40</v>
      </c>
      <c r="H233" s="68" t="s">
        <v>1545</v>
      </c>
      <c r="I233" s="68" t="s">
        <v>1546</v>
      </c>
      <c r="J233" s="68" t="s">
        <v>202</v>
      </c>
      <c r="K233" s="67"/>
      <c r="L233" s="68" t="s">
        <v>1547</v>
      </c>
      <c r="M233" s="68" t="s">
        <v>1610</v>
      </c>
      <c r="N233" s="92"/>
    </row>
    <row r="234" customFormat="false" ht="14.25" hidden="false" customHeight="false" outlineLevel="0" collapsed="false">
      <c r="C234" s="64" t="n">
        <v>229</v>
      </c>
      <c r="D234" s="65" t="s">
        <v>930</v>
      </c>
      <c r="E234" s="65" t="s">
        <v>1544</v>
      </c>
      <c r="F234" s="65" t="n">
        <v>44</v>
      </c>
      <c r="G234" s="66" t="n">
        <v>31.5</v>
      </c>
      <c r="H234" s="68" t="s">
        <v>1545</v>
      </c>
      <c r="I234" s="68" t="s">
        <v>1546</v>
      </c>
      <c r="J234" s="68" t="s">
        <v>202</v>
      </c>
      <c r="K234" s="67"/>
      <c r="L234" s="68" t="s">
        <v>1547</v>
      </c>
      <c r="M234" s="68" t="s">
        <v>1610</v>
      </c>
      <c r="N234" s="92"/>
    </row>
    <row r="235" customFormat="false" ht="14.25" hidden="false" customHeight="false" outlineLevel="0" collapsed="false">
      <c r="C235" s="64" t="n">
        <v>230</v>
      </c>
      <c r="D235" s="65" t="s">
        <v>930</v>
      </c>
      <c r="E235" s="65" t="s">
        <v>1544</v>
      </c>
      <c r="F235" s="65" t="n">
        <v>13.2</v>
      </c>
      <c r="G235" s="66" t="n">
        <v>31.5</v>
      </c>
      <c r="H235" s="68" t="s">
        <v>1548</v>
      </c>
      <c r="I235" s="68" t="s">
        <v>1549</v>
      </c>
      <c r="J235" s="68" t="s">
        <v>202</v>
      </c>
      <c r="K235" s="67"/>
      <c r="L235" s="68" t="s">
        <v>1547</v>
      </c>
      <c r="M235" s="68" t="s">
        <v>1610</v>
      </c>
      <c r="N235" s="92"/>
    </row>
    <row r="236" customFormat="false" ht="14.25" hidden="false" customHeight="false" outlineLevel="0" collapsed="false">
      <c r="C236" s="64" t="n">
        <v>231</v>
      </c>
      <c r="D236" s="65" t="s">
        <v>1611</v>
      </c>
      <c r="E236" s="65" t="s">
        <v>1544</v>
      </c>
      <c r="F236" s="65" t="n">
        <v>44</v>
      </c>
      <c r="G236" s="66" t="n">
        <v>25</v>
      </c>
      <c r="H236" s="68" t="s">
        <v>1555</v>
      </c>
      <c r="I236" s="68" t="s">
        <v>1546</v>
      </c>
      <c r="J236" s="68" t="s">
        <v>202</v>
      </c>
      <c r="K236" s="67"/>
      <c r="L236" s="68" t="s">
        <v>1547</v>
      </c>
      <c r="M236" s="68" t="s">
        <v>1612</v>
      </c>
      <c r="N236" s="92"/>
    </row>
    <row r="237" customFormat="false" ht="14.25" hidden="false" customHeight="false" outlineLevel="0" collapsed="false">
      <c r="C237" s="64" t="n">
        <v>232</v>
      </c>
      <c r="D237" s="65" t="s">
        <v>1611</v>
      </c>
      <c r="E237" s="65" t="s">
        <v>1544</v>
      </c>
      <c r="F237" s="65" t="n">
        <v>13.2</v>
      </c>
      <c r="G237" s="66" t="n">
        <v>31.5</v>
      </c>
      <c r="H237" s="68" t="s">
        <v>1548</v>
      </c>
      <c r="I237" s="68" t="s">
        <v>1549</v>
      </c>
      <c r="J237" s="68" t="s">
        <v>202</v>
      </c>
      <c r="K237" s="67"/>
      <c r="L237" s="68" t="s">
        <v>1547</v>
      </c>
      <c r="M237" s="68" t="s">
        <v>1612</v>
      </c>
      <c r="N237" s="92"/>
    </row>
    <row r="238" customFormat="false" ht="14.25" hidden="false" customHeight="false" outlineLevel="0" collapsed="false">
      <c r="C238" s="64" t="n">
        <v>233</v>
      </c>
      <c r="D238" s="65" t="s">
        <v>819</v>
      </c>
      <c r="E238" s="65" t="s">
        <v>1544</v>
      </c>
      <c r="F238" s="65" t="n">
        <v>220</v>
      </c>
      <c r="G238" s="66" t="n">
        <v>40</v>
      </c>
      <c r="H238" s="68" t="s">
        <v>1613</v>
      </c>
      <c r="I238" s="68" t="s">
        <v>1558</v>
      </c>
      <c r="J238" s="68" t="s">
        <v>202</v>
      </c>
      <c r="K238" s="67"/>
      <c r="L238" s="68" t="s">
        <v>1547</v>
      </c>
      <c r="M238" s="68" t="s">
        <v>1214</v>
      </c>
      <c r="N238" s="92"/>
    </row>
    <row r="239" customFormat="false" ht="14.25" hidden="false" customHeight="false" outlineLevel="0" collapsed="false">
      <c r="C239" s="64" t="n">
        <v>234</v>
      </c>
      <c r="D239" s="65" t="s">
        <v>819</v>
      </c>
      <c r="E239" s="65" t="s">
        <v>1544</v>
      </c>
      <c r="F239" s="65" t="n">
        <v>110</v>
      </c>
      <c r="G239" s="66" t="n">
        <v>40</v>
      </c>
      <c r="H239" s="68" t="s">
        <v>1614</v>
      </c>
      <c r="I239" s="68" t="s">
        <v>1558</v>
      </c>
      <c r="J239" s="68" t="s">
        <v>202</v>
      </c>
      <c r="K239" s="67"/>
      <c r="L239" s="68" t="s">
        <v>1547</v>
      </c>
      <c r="M239" s="68" t="s">
        <v>1214</v>
      </c>
      <c r="N239" s="92"/>
    </row>
    <row r="240" customFormat="false" ht="14.25" hidden="false" customHeight="false" outlineLevel="0" collapsed="false">
      <c r="C240" s="64" t="n">
        <v>235</v>
      </c>
      <c r="D240" s="65" t="s">
        <v>1039</v>
      </c>
      <c r="E240" s="65" t="s">
        <v>1544</v>
      </c>
      <c r="F240" s="65" t="n">
        <v>220</v>
      </c>
      <c r="G240" s="66" t="n">
        <v>40</v>
      </c>
      <c r="H240" s="68" t="s">
        <v>1545</v>
      </c>
      <c r="I240" s="68" t="s">
        <v>1546</v>
      </c>
      <c r="J240" s="68" t="s">
        <v>202</v>
      </c>
      <c r="K240" s="67"/>
      <c r="L240" s="68" t="s">
        <v>1547</v>
      </c>
      <c r="M240" s="68" t="s">
        <v>1041</v>
      </c>
      <c r="N240" s="92"/>
    </row>
    <row r="241" customFormat="false" ht="14.25" hidden="false" customHeight="false" outlineLevel="0" collapsed="false">
      <c r="C241" s="64" t="n">
        <v>236</v>
      </c>
      <c r="D241" s="65" t="s">
        <v>1039</v>
      </c>
      <c r="E241" s="65" t="s">
        <v>1544</v>
      </c>
      <c r="F241" s="65" t="n">
        <v>110</v>
      </c>
      <c r="G241" s="66" t="n">
        <v>40</v>
      </c>
      <c r="H241" s="68" t="s">
        <v>1545</v>
      </c>
      <c r="I241" s="68" t="s">
        <v>1546</v>
      </c>
      <c r="J241" s="68" t="s">
        <v>202</v>
      </c>
      <c r="K241" s="67"/>
      <c r="L241" s="68" t="s">
        <v>1547</v>
      </c>
      <c r="M241" s="68" t="s">
        <v>1041</v>
      </c>
      <c r="N241" s="92"/>
    </row>
    <row r="242" customFormat="false" ht="14.25" hidden="false" customHeight="false" outlineLevel="0" collapsed="false">
      <c r="C242" s="64" t="n">
        <v>237</v>
      </c>
      <c r="D242" s="65" t="s">
        <v>1039</v>
      </c>
      <c r="E242" s="65" t="s">
        <v>1544</v>
      </c>
      <c r="F242" s="65" t="s">
        <v>1562</v>
      </c>
      <c r="G242" s="66" t="n">
        <v>20</v>
      </c>
      <c r="H242" s="68" t="s">
        <v>1545</v>
      </c>
      <c r="I242" s="68" t="s">
        <v>1546</v>
      </c>
      <c r="J242" s="68" t="s">
        <v>202</v>
      </c>
      <c r="K242" s="67"/>
      <c r="L242" s="68" t="s">
        <v>1547</v>
      </c>
      <c r="M242" s="68" t="s">
        <v>1041</v>
      </c>
      <c r="N242" s="92"/>
    </row>
    <row r="243" customFormat="false" ht="14.25" hidden="false" customHeight="false" outlineLevel="0" collapsed="false">
      <c r="C243" s="64" t="n">
        <v>238</v>
      </c>
      <c r="D243" s="65" t="s">
        <v>1039</v>
      </c>
      <c r="E243" s="65" t="s">
        <v>1544</v>
      </c>
      <c r="F243" s="65" t="n">
        <v>44</v>
      </c>
      <c r="G243" s="66" t="n">
        <v>20</v>
      </c>
      <c r="H243" s="68" t="s">
        <v>1555</v>
      </c>
      <c r="I243" s="68" t="s">
        <v>1546</v>
      </c>
      <c r="J243" s="68" t="s">
        <v>202</v>
      </c>
      <c r="K243" s="67"/>
      <c r="L243" s="68" t="s">
        <v>1547</v>
      </c>
      <c r="M243" s="68" t="s">
        <v>1041</v>
      </c>
      <c r="N243" s="92"/>
    </row>
    <row r="244" customFormat="false" ht="14.25" hidden="false" customHeight="false" outlineLevel="0" collapsed="false">
      <c r="C244" s="64" t="n">
        <v>239</v>
      </c>
      <c r="D244" s="65" t="s">
        <v>1039</v>
      </c>
      <c r="E244" s="65" t="s">
        <v>1544</v>
      </c>
      <c r="F244" s="65" t="n">
        <v>13.2</v>
      </c>
      <c r="G244" s="66" t="n">
        <v>31.5</v>
      </c>
      <c r="H244" s="68" t="s">
        <v>1548</v>
      </c>
      <c r="I244" s="68" t="s">
        <v>1549</v>
      </c>
      <c r="J244" s="68" t="s">
        <v>202</v>
      </c>
      <c r="K244" s="67"/>
      <c r="L244" s="68" t="s">
        <v>1547</v>
      </c>
      <c r="M244" s="68" t="s">
        <v>1041</v>
      </c>
      <c r="N244" s="92"/>
    </row>
    <row r="245" customFormat="false" ht="14.25" hidden="false" customHeight="false" outlineLevel="0" collapsed="false">
      <c r="C245" s="64" t="n">
        <v>240</v>
      </c>
      <c r="D245" s="65" t="s">
        <v>1021</v>
      </c>
      <c r="E245" s="65" t="s">
        <v>1544</v>
      </c>
      <c r="F245" s="65" t="n">
        <v>44</v>
      </c>
      <c r="G245" s="66" t="n">
        <v>8</v>
      </c>
      <c r="H245" s="68" t="s">
        <v>1555</v>
      </c>
      <c r="I245" s="68" t="s">
        <v>1546</v>
      </c>
      <c r="J245" s="68" t="s">
        <v>202</v>
      </c>
      <c r="K245" s="67"/>
      <c r="L245" s="68" t="s">
        <v>1547</v>
      </c>
      <c r="M245" s="68" t="s">
        <v>1595</v>
      </c>
      <c r="N245" s="92"/>
    </row>
    <row r="246" customFormat="false" ht="14.25" hidden="false" customHeight="false" outlineLevel="0" collapsed="false">
      <c r="C246" s="64" t="n">
        <v>241</v>
      </c>
      <c r="D246" s="65" t="s">
        <v>1021</v>
      </c>
      <c r="E246" s="65" t="s">
        <v>1544</v>
      </c>
      <c r="F246" s="65" t="n">
        <v>13.2</v>
      </c>
      <c r="G246" s="66" t="n">
        <v>12.5</v>
      </c>
      <c r="H246" s="68" t="s">
        <v>1557</v>
      </c>
      <c r="I246" s="68" t="s">
        <v>1546</v>
      </c>
      <c r="J246" s="68" t="s">
        <v>202</v>
      </c>
      <c r="K246" s="67"/>
      <c r="L246" s="68" t="s">
        <v>1547</v>
      </c>
      <c r="M246" s="68" t="s">
        <v>1595</v>
      </c>
      <c r="N246" s="92"/>
    </row>
    <row r="247" customFormat="false" ht="14.25" hidden="false" customHeight="false" outlineLevel="0" collapsed="false">
      <c r="C247" s="64" t="n">
        <v>242</v>
      </c>
      <c r="D247" s="65" t="s">
        <v>1615</v>
      </c>
      <c r="E247" s="65" t="s">
        <v>1544</v>
      </c>
      <c r="F247" s="65" t="n">
        <v>44</v>
      </c>
      <c r="G247" s="66" t="n">
        <v>31.5</v>
      </c>
      <c r="H247" s="68" t="s">
        <v>1545</v>
      </c>
      <c r="I247" s="68" t="s">
        <v>1546</v>
      </c>
      <c r="J247" s="68" t="s">
        <v>202</v>
      </c>
      <c r="K247" s="67"/>
      <c r="L247" s="68" t="s">
        <v>1547</v>
      </c>
      <c r="M247" s="68" t="s">
        <v>1616</v>
      </c>
      <c r="N247" s="92"/>
    </row>
    <row r="248" customFormat="false" ht="14.25" hidden="false" customHeight="false" outlineLevel="0" collapsed="false">
      <c r="C248" s="64" t="n">
        <v>243</v>
      </c>
      <c r="D248" s="65" t="s">
        <v>1615</v>
      </c>
      <c r="E248" s="65" t="s">
        <v>1544</v>
      </c>
      <c r="F248" s="65" t="n">
        <v>13.2</v>
      </c>
      <c r="G248" s="66" t="n">
        <v>25</v>
      </c>
      <c r="H248" s="68" t="s">
        <v>1548</v>
      </c>
      <c r="I248" s="68" t="s">
        <v>1549</v>
      </c>
      <c r="J248" s="68" t="s">
        <v>202</v>
      </c>
      <c r="K248" s="67"/>
      <c r="L248" s="68" t="s">
        <v>1547</v>
      </c>
      <c r="M248" s="68" t="s">
        <v>1616</v>
      </c>
      <c r="N248" s="92"/>
    </row>
    <row r="249" customFormat="false" ht="14.25" hidden="false" customHeight="false" outlineLevel="0" collapsed="false">
      <c r="C249" s="64" t="n">
        <v>244</v>
      </c>
      <c r="D249" s="65" t="s">
        <v>829</v>
      </c>
      <c r="E249" s="65" t="s">
        <v>1544</v>
      </c>
      <c r="F249" s="65" t="n">
        <v>44</v>
      </c>
      <c r="G249" s="66" t="n">
        <v>8</v>
      </c>
      <c r="H249" s="68" t="s">
        <v>1555</v>
      </c>
      <c r="I249" s="68" t="s">
        <v>1546</v>
      </c>
      <c r="J249" s="68" t="s">
        <v>202</v>
      </c>
      <c r="K249" s="67"/>
      <c r="L249" s="68" t="s">
        <v>1547</v>
      </c>
      <c r="M249" s="68" t="s">
        <v>1617</v>
      </c>
      <c r="N249" s="92"/>
    </row>
    <row r="250" customFormat="false" ht="14.25" hidden="false" customHeight="false" outlineLevel="0" collapsed="false">
      <c r="C250" s="64" t="n">
        <v>245</v>
      </c>
      <c r="D250" s="65" t="s">
        <v>829</v>
      </c>
      <c r="E250" s="65" t="s">
        <v>1544</v>
      </c>
      <c r="F250" s="65" t="n">
        <v>13.2</v>
      </c>
      <c r="G250" s="66" t="n">
        <v>12.5</v>
      </c>
      <c r="H250" s="68" t="s">
        <v>1557</v>
      </c>
      <c r="I250" s="68" t="s">
        <v>1546</v>
      </c>
      <c r="J250" s="68" t="s">
        <v>202</v>
      </c>
      <c r="K250" s="67"/>
      <c r="L250" s="68" t="s">
        <v>1547</v>
      </c>
      <c r="M250" s="68" t="s">
        <v>1617</v>
      </c>
      <c r="N250" s="92"/>
    </row>
    <row r="251" customFormat="false" ht="14.25" hidden="false" customHeight="false" outlineLevel="0" collapsed="false">
      <c r="C251" s="64" t="n">
        <v>246</v>
      </c>
      <c r="D251" s="65" t="s">
        <v>1071</v>
      </c>
      <c r="E251" s="65" t="s">
        <v>1544</v>
      </c>
      <c r="F251" s="65" t="n">
        <v>110</v>
      </c>
      <c r="G251" s="66" t="n">
        <v>31.5</v>
      </c>
      <c r="H251" s="68" t="s">
        <v>1545</v>
      </c>
      <c r="I251" s="68" t="s">
        <v>1546</v>
      </c>
      <c r="J251" s="68" t="s">
        <v>202</v>
      </c>
      <c r="K251" s="67"/>
      <c r="L251" s="68" t="s">
        <v>1547</v>
      </c>
      <c r="M251" s="68" t="s">
        <v>1559</v>
      </c>
      <c r="N251" s="92"/>
    </row>
    <row r="252" customFormat="false" ht="14.25" hidden="false" customHeight="false" outlineLevel="0" collapsed="false">
      <c r="C252" s="64" t="n">
        <v>247</v>
      </c>
      <c r="D252" s="65" t="s">
        <v>1071</v>
      </c>
      <c r="E252" s="65" t="s">
        <v>1544</v>
      </c>
      <c r="F252" s="65" t="n">
        <v>44</v>
      </c>
      <c r="G252" s="66" t="n">
        <v>25</v>
      </c>
      <c r="H252" s="68" t="s">
        <v>1555</v>
      </c>
      <c r="I252" s="68" t="s">
        <v>1546</v>
      </c>
      <c r="J252" s="68" t="s">
        <v>202</v>
      </c>
      <c r="K252" s="67"/>
      <c r="L252" s="68" t="s">
        <v>1547</v>
      </c>
      <c r="M252" s="68" t="s">
        <v>1559</v>
      </c>
      <c r="N252" s="92"/>
    </row>
    <row r="253" customFormat="false" ht="14.25" hidden="false" customHeight="false" outlineLevel="0" collapsed="false">
      <c r="C253" s="64" t="n">
        <v>248</v>
      </c>
      <c r="D253" s="65" t="s">
        <v>1071</v>
      </c>
      <c r="E253" s="65" t="s">
        <v>1544</v>
      </c>
      <c r="F253" s="65" t="n">
        <v>13.2</v>
      </c>
      <c r="G253" s="66" t="n">
        <v>31.5</v>
      </c>
      <c r="H253" s="68" t="s">
        <v>1548</v>
      </c>
      <c r="I253" s="68" t="s">
        <v>1549</v>
      </c>
      <c r="J253" s="68" t="s">
        <v>202</v>
      </c>
      <c r="K253" s="67"/>
      <c r="L253" s="68" t="s">
        <v>1547</v>
      </c>
      <c r="M253" s="68" t="s">
        <v>1559</v>
      </c>
      <c r="N253" s="92"/>
    </row>
    <row r="254" customFormat="false" ht="14.25" hidden="false" customHeight="false" outlineLevel="0" collapsed="false">
      <c r="C254" s="64" t="n">
        <v>249</v>
      </c>
      <c r="D254" s="65" t="s">
        <v>1618</v>
      </c>
      <c r="E254" s="65" t="s">
        <v>1544</v>
      </c>
      <c r="F254" s="65" t="n">
        <v>44</v>
      </c>
      <c r="G254" s="66" t="n">
        <v>8</v>
      </c>
      <c r="H254" s="68" t="s">
        <v>1555</v>
      </c>
      <c r="I254" s="68" t="s">
        <v>1546</v>
      </c>
      <c r="J254" s="68" t="s">
        <v>202</v>
      </c>
      <c r="K254" s="67"/>
      <c r="L254" s="68" t="s">
        <v>1547</v>
      </c>
      <c r="M254" s="68" t="s">
        <v>916</v>
      </c>
      <c r="N254" s="92"/>
    </row>
    <row r="255" customFormat="false" ht="14.25" hidden="false" customHeight="false" outlineLevel="0" collapsed="false">
      <c r="C255" s="64" t="n">
        <v>250</v>
      </c>
      <c r="D255" s="65" t="s">
        <v>1618</v>
      </c>
      <c r="E255" s="65" t="s">
        <v>1544</v>
      </c>
      <c r="F255" s="65" t="n">
        <v>13.2</v>
      </c>
      <c r="G255" s="66" t="n">
        <v>12.5</v>
      </c>
      <c r="H255" s="68" t="s">
        <v>1557</v>
      </c>
      <c r="I255" s="68" t="s">
        <v>1546</v>
      </c>
      <c r="J255" s="68" t="s">
        <v>202</v>
      </c>
      <c r="K255" s="67"/>
      <c r="L255" s="68" t="s">
        <v>1547</v>
      </c>
      <c r="M255" s="68" t="s">
        <v>916</v>
      </c>
      <c r="N255" s="92"/>
    </row>
    <row r="256" customFormat="false" ht="14.25" hidden="false" customHeight="false" outlineLevel="0" collapsed="false">
      <c r="C256" s="64" t="n">
        <v>251</v>
      </c>
      <c r="D256" s="65" t="s">
        <v>1124</v>
      </c>
      <c r="E256" s="65" t="s">
        <v>1544</v>
      </c>
      <c r="F256" s="65" t="n">
        <v>220</v>
      </c>
      <c r="G256" s="66" t="n">
        <v>31.5</v>
      </c>
      <c r="H256" s="68" t="s">
        <v>1570</v>
      </c>
      <c r="I256" s="68" t="s">
        <v>1546</v>
      </c>
      <c r="J256" s="68" t="s">
        <v>202</v>
      </c>
      <c r="K256" s="67"/>
      <c r="L256" s="68" t="s">
        <v>1547</v>
      </c>
      <c r="M256" s="68" t="s">
        <v>1154</v>
      </c>
      <c r="N256" s="92"/>
    </row>
    <row r="257" customFormat="false" ht="14.25" hidden="false" customHeight="false" outlineLevel="0" collapsed="false">
      <c r="C257" s="64" t="n">
        <v>252</v>
      </c>
      <c r="D257" s="65" t="s">
        <v>1124</v>
      </c>
      <c r="E257" s="65" t="s">
        <v>1544</v>
      </c>
      <c r="F257" s="65" t="n">
        <v>110</v>
      </c>
      <c r="G257" s="66" t="n">
        <v>40</v>
      </c>
      <c r="H257" s="68" t="s">
        <v>1545</v>
      </c>
      <c r="I257" s="68" t="s">
        <v>1546</v>
      </c>
      <c r="J257" s="68" t="s">
        <v>202</v>
      </c>
      <c r="K257" s="67"/>
      <c r="L257" s="68" t="s">
        <v>1547</v>
      </c>
      <c r="M257" s="68" t="s">
        <v>1154</v>
      </c>
      <c r="N257" s="92"/>
    </row>
    <row r="258" customFormat="false" ht="14.25" hidden="false" customHeight="false" outlineLevel="0" collapsed="false">
      <c r="C258" s="64" t="n">
        <v>253</v>
      </c>
      <c r="D258" s="65" t="s">
        <v>1124</v>
      </c>
      <c r="E258" s="65" t="s">
        <v>1544</v>
      </c>
      <c r="F258" s="65" t="s">
        <v>1562</v>
      </c>
      <c r="G258" s="66" t="n">
        <v>31.5</v>
      </c>
      <c r="H258" s="68" t="s">
        <v>1545</v>
      </c>
      <c r="I258" s="68" t="s">
        <v>1546</v>
      </c>
      <c r="J258" s="68" t="s">
        <v>202</v>
      </c>
      <c r="K258" s="67"/>
      <c r="L258" s="68" t="s">
        <v>1547</v>
      </c>
      <c r="M258" s="68" t="s">
        <v>1154</v>
      </c>
      <c r="N258" s="92"/>
    </row>
    <row r="259" customFormat="false" ht="14.25" hidden="false" customHeight="false" outlineLevel="0" collapsed="false">
      <c r="C259" s="64" t="n">
        <v>254</v>
      </c>
      <c r="D259" s="65" t="s">
        <v>1124</v>
      </c>
      <c r="E259" s="65" t="s">
        <v>1544</v>
      </c>
      <c r="F259" s="65" t="n">
        <v>13.2</v>
      </c>
      <c r="G259" s="66" t="n">
        <v>31.5</v>
      </c>
      <c r="H259" s="68" t="s">
        <v>1548</v>
      </c>
      <c r="I259" s="68" t="s">
        <v>1549</v>
      </c>
      <c r="J259" s="68" t="s">
        <v>202</v>
      </c>
      <c r="K259" s="67"/>
      <c r="L259" s="68" t="s">
        <v>1547</v>
      </c>
      <c r="M259" s="68" t="s">
        <v>1154</v>
      </c>
      <c r="N259" s="92"/>
    </row>
    <row r="260" customFormat="false" ht="14.25" hidden="false" customHeight="false" outlineLevel="0" collapsed="false">
      <c r="C260" s="64" t="n">
        <v>255</v>
      </c>
      <c r="D260" s="65" t="s">
        <v>1245</v>
      </c>
      <c r="E260" s="65" t="s">
        <v>1544</v>
      </c>
      <c r="F260" s="65" t="n">
        <v>110</v>
      </c>
      <c r="G260" s="66" t="n">
        <v>40</v>
      </c>
      <c r="H260" s="68" t="s">
        <v>1545</v>
      </c>
      <c r="I260" s="68" t="s">
        <v>1558</v>
      </c>
      <c r="J260" s="68" t="s">
        <v>202</v>
      </c>
      <c r="K260" s="67"/>
      <c r="L260" s="68" t="s">
        <v>1547</v>
      </c>
      <c r="M260" s="68" t="s">
        <v>1559</v>
      </c>
      <c r="N260" s="92"/>
    </row>
    <row r="261" customFormat="false" ht="14.25" hidden="false" customHeight="false" outlineLevel="0" collapsed="false">
      <c r="C261" s="64" t="n">
        <v>256</v>
      </c>
      <c r="D261" s="65" t="s">
        <v>1245</v>
      </c>
      <c r="E261" s="65" t="s">
        <v>1544</v>
      </c>
      <c r="F261" s="65" t="n">
        <v>44</v>
      </c>
      <c r="G261" s="66" t="n">
        <v>20</v>
      </c>
      <c r="H261" s="68" t="s">
        <v>1555</v>
      </c>
      <c r="I261" s="68" t="s">
        <v>1549</v>
      </c>
      <c r="J261" s="68" t="s">
        <v>202</v>
      </c>
      <c r="K261" s="67"/>
      <c r="L261" s="68" t="s">
        <v>1547</v>
      </c>
      <c r="M261" s="68" t="s">
        <v>1559</v>
      </c>
      <c r="N261" s="92"/>
    </row>
    <row r="262" customFormat="false" ht="14.25" hidden="false" customHeight="false" outlineLevel="0" collapsed="false">
      <c r="C262" s="64" t="n">
        <v>257</v>
      </c>
      <c r="D262" s="65" t="s">
        <v>1245</v>
      </c>
      <c r="E262" s="65" t="s">
        <v>1544</v>
      </c>
      <c r="F262" s="65" t="n">
        <v>13.2</v>
      </c>
      <c r="G262" s="66" t="n">
        <v>25</v>
      </c>
      <c r="H262" s="68" t="s">
        <v>1548</v>
      </c>
      <c r="I262" s="68" t="s">
        <v>1549</v>
      </c>
      <c r="J262" s="68" t="s">
        <v>202</v>
      </c>
      <c r="K262" s="67"/>
      <c r="L262" s="68" t="s">
        <v>1547</v>
      </c>
      <c r="M262" s="68" t="s">
        <v>1559</v>
      </c>
      <c r="N262" s="92"/>
    </row>
    <row r="263" customFormat="false" ht="14.25" hidden="false" customHeight="false" outlineLevel="0" collapsed="false">
      <c r="C263" s="64" t="n">
        <v>258</v>
      </c>
      <c r="D263" s="65" t="s">
        <v>1619</v>
      </c>
      <c r="E263" s="65" t="s">
        <v>1544</v>
      </c>
      <c r="F263" s="65" t="n">
        <v>220</v>
      </c>
      <c r="G263" s="66" t="n">
        <v>31.5</v>
      </c>
      <c r="H263" s="68" t="s">
        <v>1570</v>
      </c>
      <c r="I263" s="68" t="s">
        <v>1546</v>
      </c>
      <c r="J263" s="68" t="s">
        <v>202</v>
      </c>
      <c r="K263" s="67"/>
      <c r="L263" s="68" t="s">
        <v>1547</v>
      </c>
      <c r="M263" s="68" t="s">
        <v>969</v>
      </c>
      <c r="N263" s="92"/>
    </row>
    <row r="264" customFormat="false" ht="14.25" hidden="false" customHeight="false" outlineLevel="0" collapsed="false">
      <c r="C264" s="64" t="n">
        <v>259</v>
      </c>
      <c r="D264" s="65" t="s">
        <v>1620</v>
      </c>
      <c r="E264" s="65" t="s">
        <v>1544</v>
      </c>
      <c r="F264" s="65" t="n">
        <v>110</v>
      </c>
      <c r="G264" s="66" t="n">
        <v>31.5</v>
      </c>
      <c r="H264" s="68" t="s">
        <v>1555</v>
      </c>
      <c r="I264" s="68" t="s">
        <v>1546</v>
      </c>
      <c r="J264" s="68" t="s">
        <v>202</v>
      </c>
      <c r="K264" s="67"/>
      <c r="L264" s="68" t="s">
        <v>1547</v>
      </c>
      <c r="M264" s="68" t="s">
        <v>1012</v>
      </c>
      <c r="N264" s="92"/>
    </row>
    <row r="265" customFormat="false" ht="14.25" hidden="false" customHeight="false" outlineLevel="0" collapsed="false">
      <c r="C265" s="64" t="n">
        <v>260</v>
      </c>
      <c r="D265" s="65" t="s">
        <v>1620</v>
      </c>
      <c r="E265" s="65" t="s">
        <v>1544</v>
      </c>
      <c r="F265" s="65" t="n">
        <v>44</v>
      </c>
      <c r="G265" s="66" t="n">
        <v>31.5</v>
      </c>
      <c r="H265" s="68" t="s">
        <v>1545</v>
      </c>
      <c r="I265" s="68" t="s">
        <v>1546</v>
      </c>
      <c r="J265" s="68" t="s">
        <v>202</v>
      </c>
      <c r="K265" s="67"/>
      <c r="L265" s="68" t="s">
        <v>1547</v>
      </c>
      <c r="M265" s="68" t="s">
        <v>1012</v>
      </c>
      <c r="N265" s="92"/>
    </row>
    <row r="266" customFormat="false" ht="14.25" hidden="false" customHeight="false" outlineLevel="0" collapsed="false">
      <c r="C266" s="64" t="n">
        <v>261</v>
      </c>
      <c r="D266" s="65" t="s">
        <v>1620</v>
      </c>
      <c r="E266" s="65" t="s">
        <v>1544</v>
      </c>
      <c r="F266" s="65" t="n">
        <v>13.2</v>
      </c>
      <c r="G266" s="66" t="n">
        <v>25</v>
      </c>
      <c r="H266" s="68" t="s">
        <v>1548</v>
      </c>
      <c r="I266" s="68" t="s">
        <v>1546</v>
      </c>
      <c r="J266" s="68" t="s">
        <v>202</v>
      </c>
      <c r="K266" s="67"/>
      <c r="L266" s="68" t="s">
        <v>1547</v>
      </c>
      <c r="M266" s="68" t="s">
        <v>1012</v>
      </c>
      <c r="N266" s="92"/>
    </row>
    <row r="267" customFormat="false" ht="14.25" hidden="false" customHeight="false" outlineLevel="0" collapsed="false">
      <c r="C267" s="64" t="n">
        <v>262</v>
      </c>
      <c r="D267" s="65" t="s">
        <v>803</v>
      </c>
      <c r="E267" s="65" t="s">
        <v>1544</v>
      </c>
      <c r="F267" s="65" t="n">
        <v>44</v>
      </c>
      <c r="G267" s="66" t="n">
        <v>3</v>
      </c>
      <c r="H267" s="68" t="s">
        <v>1555</v>
      </c>
      <c r="I267" s="68" t="s">
        <v>1546</v>
      </c>
      <c r="J267" s="68" t="s">
        <v>202</v>
      </c>
      <c r="K267" s="67"/>
      <c r="L267" s="68" t="s">
        <v>1547</v>
      </c>
      <c r="M267" s="68" t="s">
        <v>1525</v>
      </c>
      <c r="N267" s="92"/>
    </row>
    <row r="268" customFormat="false" ht="14.25" hidden="false" customHeight="false" outlineLevel="0" collapsed="false">
      <c r="C268" s="64" t="n">
        <v>263</v>
      </c>
      <c r="D268" s="65" t="s">
        <v>803</v>
      </c>
      <c r="E268" s="65" t="s">
        <v>1544</v>
      </c>
      <c r="F268" s="65" t="n">
        <v>13.2</v>
      </c>
      <c r="G268" s="66" t="n">
        <v>12.5</v>
      </c>
      <c r="H268" s="68" t="s">
        <v>1557</v>
      </c>
      <c r="I268" s="68" t="s">
        <v>1546</v>
      </c>
      <c r="J268" s="68" t="s">
        <v>202</v>
      </c>
      <c r="K268" s="67"/>
      <c r="L268" s="68" t="s">
        <v>1547</v>
      </c>
      <c r="M268" s="68" t="s">
        <v>1525</v>
      </c>
      <c r="N268" s="92"/>
    </row>
    <row r="269" customFormat="false" ht="14.25" hidden="false" customHeight="false" outlineLevel="0" collapsed="false">
      <c r="C269" s="64" t="n">
        <v>264</v>
      </c>
      <c r="D269" s="65" t="s">
        <v>1485</v>
      </c>
      <c r="E269" s="65" t="s">
        <v>1544</v>
      </c>
      <c r="F269" s="65" t="n">
        <v>110</v>
      </c>
      <c r="G269" s="66" t="n">
        <v>31.5</v>
      </c>
      <c r="H269" s="68" t="s">
        <v>1545</v>
      </c>
      <c r="I269" s="68" t="s">
        <v>1546</v>
      </c>
      <c r="J269" s="68" t="s">
        <v>202</v>
      </c>
      <c r="K269" s="67"/>
      <c r="L269" s="68" t="s">
        <v>1547</v>
      </c>
      <c r="M269" s="68" t="s">
        <v>1485</v>
      </c>
      <c r="N269" s="92"/>
    </row>
    <row r="270" customFormat="false" ht="14.25" hidden="false" customHeight="false" outlineLevel="0" collapsed="false">
      <c r="C270" s="64" t="n">
        <v>265</v>
      </c>
      <c r="D270" s="65" t="s">
        <v>1485</v>
      </c>
      <c r="E270" s="65" t="s">
        <v>1544</v>
      </c>
      <c r="F270" s="65" t="n">
        <v>13.2</v>
      </c>
      <c r="G270" s="66" t="n">
        <v>31.5</v>
      </c>
      <c r="H270" s="68" t="s">
        <v>1548</v>
      </c>
      <c r="I270" s="68" t="s">
        <v>1549</v>
      </c>
      <c r="J270" s="68" t="s">
        <v>202</v>
      </c>
      <c r="K270" s="67"/>
      <c r="L270" s="68" t="s">
        <v>1547</v>
      </c>
      <c r="M270" s="68" t="s">
        <v>1485</v>
      </c>
      <c r="N270" s="92"/>
    </row>
    <row r="271" customFormat="false" ht="14.25" hidden="false" customHeight="false" outlineLevel="0" collapsed="false">
      <c r="C271" s="64" t="n">
        <v>266</v>
      </c>
      <c r="D271" s="65" t="s">
        <v>1144</v>
      </c>
      <c r="E271" s="65" t="s">
        <v>1544</v>
      </c>
      <c r="F271" s="65" t="n">
        <v>44</v>
      </c>
      <c r="G271" s="66" t="n">
        <v>8</v>
      </c>
      <c r="H271" s="68" t="s">
        <v>1555</v>
      </c>
      <c r="I271" s="68" t="s">
        <v>1546</v>
      </c>
      <c r="J271" s="68" t="s">
        <v>202</v>
      </c>
      <c r="K271" s="67"/>
      <c r="L271" s="68" t="s">
        <v>1547</v>
      </c>
      <c r="M271" s="68" t="s">
        <v>1144</v>
      </c>
      <c r="N271" s="92"/>
    </row>
    <row r="272" customFormat="false" ht="14.25" hidden="false" customHeight="false" outlineLevel="0" collapsed="false">
      <c r="C272" s="64" t="n">
        <v>267</v>
      </c>
      <c r="D272" s="65" t="s">
        <v>1144</v>
      </c>
      <c r="E272" s="65" t="s">
        <v>1544</v>
      </c>
      <c r="F272" s="65" t="n">
        <v>13.2</v>
      </c>
      <c r="G272" s="66" t="n">
        <v>12.5</v>
      </c>
      <c r="H272" s="68" t="s">
        <v>1557</v>
      </c>
      <c r="I272" s="68" t="s">
        <v>1546</v>
      </c>
      <c r="J272" s="68" t="s">
        <v>202</v>
      </c>
      <c r="K272" s="67"/>
      <c r="L272" s="68" t="s">
        <v>1547</v>
      </c>
      <c r="M272" s="68" t="s">
        <v>1144</v>
      </c>
      <c r="N272" s="92"/>
    </row>
    <row r="273" customFormat="false" ht="14.25" hidden="false" customHeight="false" outlineLevel="0" collapsed="false">
      <c r="C273" s="64" t="n">
        <v>268</v>
      </c>
      <c r="D273" s="65" t="s">
        <v>1621</v>
      </c>
      <c r="E273" s="65" t="s">
        <v>1544</v>
      </c>
      <c r="F273" s="65" t="n">
        <v>110</v>
      </c>
      <c r="G273" s="66" t="n">
        <v>25</v>
      </c>
      <c r="H273" s="68" t="s">
        <v>1545</v>
      </c>
      <c r="I273" s="68" t="s">
        <v>1546</v>
      </c>
      <c r="J273" s="68" t="s">
        <v>202</v>
      </c>
      <c r="K273" s="67"/>
      <c r="L273" s="68" t="s">
        <v>1547</v>
      </c>
      <c r="M273" s="68" t="s">
        <v>1047</v>
      </c>
      <c r="N273" s="92"/>
    </row>
    <row r="274" customFormat="false" ht="14.25" hidden="false" customHeight="false" outlineLevel="0" collapsed="false">
      <c r="C274" s="64" t="n">
        <v>269</v>
      </c>
      <c r="D274" s="65" t="s">
        <v>1622</v>
      </c>
      <c r="E274" s="65" t="s">
        <v>1544</v>
      </c>
      <c r="F274" s="65" t="n">
        <v>44</v>
      </c>
      <c r="G274" s="66" t="n">
        <v>8</v>
      </c>
      <c r="H274" s="68" t="s">
        <v>1555</v>
      </c>
      <c r="I274" s="68" t="s">
        <v>1546</v>
      </c>
      <c r="J274" s="68" t="s">
        <v>202</v>
      </c>
      <c r="K274" s="67"/>
      <c r="L274" s="68" t="s">
        <v>1547</v>
      </c>
      <c r="M274" s="68" t="s">
        <v>1623</v>
      </c>
      <c r="N274" s="92"/>
    </row>
    <row r="275" customFormat="false" ht="14.25" hidden="false" customHeight="false" outlineLevel="0" collapsed="false">
      <c r="C275" s="64" t="n">
        <v>270</v>
      </c>
      <c r="D275" s="65" t="s">
        <v>1622</v>
      </c>
      <c r="E275" s="65" t="s">
        <v>1544</v>
      </c>
      <c r="F275" s="65" t="n">
        <v>13.2</v>
      </c>
      <c r="G275" s="66" t="n">
        <v>12.5</v>
      </c>
      <c r="H275" s="68" t="s">
        <v>1557</v>
      </c>
      <c r="I275" s="68" t="s">
        <v>1546</v>
      </c>
      <c r="J275" s="68" t="s">
        <v>202</v>
      </c>
      <c r="K275" s="67"/>
      <c r="L275" s="68" t="s">
        <v>1547</v>
      </c>
      <c r="M275" s="68" t="s">
        <v>1623</v>
      </c>
      <c r="N275" s="92"/>
    </row>
    <row r="276" customFormat="false" ht="14.25" hidden="false" customHeight="false" outlineLevel="0" collapsed="false">
      <c r="C276" s="64" t="n">
        <v>271</v>
      </c>
      <c r="D276" s="65" t="s">
        <v>929</v>
      </c>
      <c r="E276" s="65" t="s">
        <v>1544</v>
      </c>
      <c r="F276" s="65" t="n">
        <v>110</v>
      </c>
      <c r="G276" s="66" t="n">
        <v>31.5</v>
      </c>
      <c r="H276" s="68" t="s">
        <v>1545</v>
      </c>
      <c r="I276" s="68" t="s">
        <v>1546</v>
      </c>
      <c r="J276" s="68" t="s">
        <v>202</v>
      </c>
      <c r="K276" s="67"/>
      <c r="L276" s="68" t="s">
        <v>1547</v>
      </c>
      <c r="M276" s="68" t="s">
        <v>1624</v>
      </c>
      <c r="N276" s="92"/>
    </row>
    <row r="277" customFormat="false" ht="14.25" hidden="false" customHeight="false" outlineLevel="0" collapsed="false">
      <c r="C277" s="64" t="n">
        <v>272</v>
      </c>
      <c r="D277" s="65" t="s">
        <v>929</v>
      </c>
      <c r="E277" s="65" t="s">
        <v>1544</v>
      </c>
      <c r="F277" s="65" t="n">
        <v>44</v>
      </c>
      <c r="G277" s="66" t="n">
        <v>25</v>
      </c>
      <c r="H277" s="68" t="s">
        <v>1545</v>
      </c>
      <c r="I277" s="68" t="s">
        <v>1546</v>
      </c>
      <c r="J277" s="68" t="s">
        <v>202</v>
      </c>
      <c r="K277" s="67"/>
      <c r="L277" s="68" t="s">
        <v>1547</v>
      </c>
      <c r="M277" s="68" t="s">
        <v>1624</v>
      </c>
      <c r="N277" s="92"/>
    </row>
    <row r="278" customFormat="false" ht="14.25" hidden="false" customHeight="false" outlineLevel="0" collapsed="false">
      <c r="C278" s="64" t="n">
        <v>273</v>
      </c>
      <c r="D278" s="65" t="s">
        <v>929</v>
      </c>
      <c r="E278" s="65" t="s">
        <v>1544</v>
      </c>
      <c r="F278" s="65" t="n">
        <v>13.2</v>
      </c>
      <c r="G278" s="66" t="n">
        <v>12.5</v>
      </c>
      <c r="H278" s="68" t="s">
        <v>1548</v>
      </c>
      <c r="I278" s="68" t="s">
        <v>1549</v>
      </c>
      <c r="J278" s="68" t="s">
        <v>202</v>
      </c>
      <c r="K278" s="67"/>
      <c r="L278" s="68" t="s">
        <v>1547</v>
      </c>
      <c r="M278" s="68" t="s">
        <v>1624</v>
      </c>
      <c r="N278" s="92"/>
    </row>
    <row r="279" customFormat="false" ht="14.25" hidden="false" customHeight="false" outlineLevel="0" collapsed="false">
      <c r="A279" s="45"/>
      <c r="C279" s="64" t="n">
        <v>274</v>
      </c>
      <c r="D279" s="65" t="s">
        <v>1041</v>
      </c>
      <c r="E279" s="65" t="s">
        <v>1544</v>
      </c>
      <c r="F279" s="65" t="n">
        <v>110</v>
      </c>
      <c r="G279" s="66" t="n">
        <v>22</v>
      </c>
      <c r="H279" s="68" t="s">
        <v>1545</v>
      </c>
      <c r="I279" s="68" t="s">
        <v>1546</v>
      </c>
      <c r="J279" s="68" t="s">
        <v>202</v>
      </c>
      <c r="K279" s="67"/>
      <c r="L279" s="68" t="s">
        <v>1547</v>
      </c>
      <c r="M279" s="68" t="s">
        <v>1041</v>
      </c>
      <c r="N279" s="92"/>
    </row>
    <row r="280" customFormat="false" ht="14.25" hidden="false" customHeight="false" outlineLevel="0" collapsed="false">
      <c r="C280" s="64" t="n">
        <v>275</v>
      </c>
      <c r="D280" s="65" t="s">
        <v>1041</v>
      </c>
      <c r="E280" s="65" t="s">
        <v>1544</v>
      </c>
      <c r="F280" s="65" t="n">
        <v>44</v>
      </c>
      <c r="G280" s="66" t="n">
        <v>25</v>
      </c>
      <c r="H280" s="68" t="s">
        <v>1545</v>
      </c>
      <c r="I280" s="68" t="s">
        <v>1546</v>
      </c>
      <c r="J280" s="68" t="s">
        <v>202</v>
      </c>
      <c r="K280" s="67"/>
      <c r="L280" s="68" t="s">
        <v>1547</v>
      </c>
      <c r="M280" s="68" t="s">
        <v>1041</v>
      </c>
      <c r="N280" s="92"/>
    </row>
    <row r="281" customFormat="false" ht="14.25" hidden="false" customHeight="false" outlineLevel="0" collapsed="false">
      <c r="C281" s="64" t="n">
        <v>276</v>
      </c>
      <c r="D281" s="65" t="s">
        <v>897</v>
      </c>
      <c r="E281" s="65" t="s">
        <v>1544</v>
      </c>
      <c r="F281" s="65" t="n">
        <v>44</v>
      </c>
      <c r="G281" s="66" t="n">
        <v>8</v>
      </c>
      <c r="H281" s="68" t="s">
        <v>1555</v>
      </c>
      <c r="I281" s="68" t="s">
        <v>1546</v>
      </c>
      <c r="J281" s="68" t="s">
        <v>202</v>
      </c>
      <c r="K281" s="67"/>
      <c r="L281" s="68" t="s">
        <v>1547</v>
      </c>
      <c r="M281" s="68" t="s">
        <v>897</v>
      </c>
      <c r="N281" s="92"/>
    </row>
    <row r="282" customFormat="false" ht="14.25" hidden="false" customHeight="false" outlineLevel="0" collapsed="false">
      <c r="C282" s="64" t="n">
        <v>277</v>
      </c>
      <c r="D282" s="65" t="s">
        <v>897</v>
      </c>
      <c r="E282" s="65" t="s">
        <v>1544</v>
      </c>
      <c r="F282" s="65" t="n">
        <v>13.2</v>
      </c>
      <c r="G282" s="66" t="n">
        <v>12.5</v>
      </c>
      <c r="H282" s="68" t="s">
        <v>1557</v>
      </c>
      <c r="I282" s="68" t="s">
        <v>1546</v>
      </c>
      <c r="J282" s="68" t="s">
        <v>202</v>
      </c>
      <c r="K282" s="67"/>
      <c r="L282" s="68" t="s">
        <v>1547</v>
      </c>
      <c r="M282" s="68" t="s">
        <v>897</v>
      </c>
      <c r="N282" s="92"/>
    </row>
    <row r="283" customFormat="false" ht="14.25" hidden="false" customHeight="false" outlineLevel="0" collapsed="false">
      <c r="C283" s="64" t="n">
        <v>278</v>
      </c>
      <c r="D283" s="65" t="s">
        <v>1492</v>
      </c>
      <c r="E283" s="65" t="s">
        <v>1544</v>
      </c>
      <c r="F283" s="65" t="n">
        <v>44</v>
      </c>
      <c r="G283" s="66" t="n">
        <v>16</v>
      </c>
      <c r="H283" s="68" t="s">
        <v>1555</v>
      </c>
      <c r="I283" s="68" t="s">
        <v>1546</v>
      </c>
      <c r="J283" s="68" t="s">
        <v>202</v>
      </c>
      <c r="K283" s="67"/>
      <c r="L283" s="68" t="s">
        <v>1547</v>
      </c>
      <c r="M283" s="68" t="s">
        <v>1559</v>
      </c>
      <c r="N283" s="92"/>
    </row>
    <row r="284" customFormat="false" ht="14.25" hidden="false" customHeight="false" outlineLevel="0" collapsed="false">
      <c r="C284" s="64" t="n">
        <v>279</v>
      </c>
      <c r="D284" s="65" t="s">
        <v>1492</v>
      </c>
      <c r="E284" s="65" t="s">
        <v>1544</v>
      </c>
      <c r="F284" s="65" t="n">
        <v>13.2</v>
      </c>
      <c r="G284" s="66" t="n">
        <v>31.5</v>
      </c>
      <c r="H284" s="68" t="s">
        <v>1548</v>
      </c>
      <c r="I284" s="68" t="s">
        <v>1549</v>
      </c>
      <c r="J284" s="68" t="s">
        <v>202</v>
      </c>
      <c r="K284" s="67"/>
      <c r="L284" s="68" t="s">
        <v>1547</v>
      </c>
      <c r="M284" s="68" t="s">
        <v>1559</v>
      </c>
      <c r="N284" s="92"/>
    </row>
    <row r="285" customFormat="false" ht="14.25" hidden="false" customHeight="false" outlineLevel="0" collapsed="false">
      <c r="C285" s="64" t="n">
        <v>280</v>
      </c>
      <c r="D285" s="65" t="s">
        <v>1154</v>
      </c>
      <c r="E285" s="65" t="s">
        <v>1544</v>
      </c>
      <c r="F285" s="65" t="n">
        <v>44</v>
      </c>
      <c r="G285" s="66" t="n">
        <v>8</v>
      </c>
      <c r="H285" s="68" t="s">
        <v>1555</v>
      </c>
      <c r="I285" s="68" t="s">
        <v>1546</v>
      </c>
      <c r="J285" s="68" t="s">
        <v>202</v>
      </c>
      <c r="K285" s="67"/>
      <c r="L285" s="68" t="s">
        <v>1547</v>
      </c>
      <c r="M285" s="68" t="s">
        <v>1154</v>
      </c>
      <c r="N285" s="92"/>
    </row>
    <row r="286" customFormat="false" ht="14.25" hidden="false" customHeight="false" outlineLevel="0" collapsed="false">
      <c r="C286" s="64" t="n">
        <v>281</v>
      </c>
      <c r="D286" s="65" t="s">
        <v>1154</v>
      </c>
      <c r="E286" s="65" t="s">
        <v>1544</v>
      </c>
      <c r="F286" s="65" t="n">
        <v>13.2</v>
      </c>
      <c r="G286" s="66" t="n">
        <v>12.5</v>
      </c>
      <c r="H286" s="68" t="s">
        <v>1557</v>
      </c>
      <c r="I286" s="68" t="s">
        <v>1546</v>
      </c>
      <c r="J286" s="68" t="s">
        <v>202</v>
      </c>
      <c r="K286" s="67"/>
      <c r="L286" s="68" t="s">
        <v>1547</v>
      </c>
      <c r="M286" s="68" t="s">
        <v>1154</v>
      </c>
      <c r="N286" s="92"/>
    </row>
    <row r="287" customFormat="false" ht="14.25" hidden="false" customHeight="false" outlineLevel="0" collapsed="false">
      <c r="C287" s="64" t="n">
        <v>282</v>
      </c>
      <c r="D287" s="65" t="s">
        <v>1495</v>
      </c>
      <c r="E287" s="65" t="s">
        <v>1544</v>
      </c>
      <c r="F287" s="65" t="n">
        <v>44</v>
      </c>
      <c r="G287" s="66" t="n">
        <v>25</v>
      </c>
      <c r="H287" s="68" t="s">
        <v>1555</v>
      </c>
      <c r="I287" s="68" t="s">
        <v>1546</v>
      </c>
      <c r="J287" s="68" t="s">
        <v>202</v>
      </c>
      <c r="K287" s="67"/>
      <c r="L287" s="68" t="s">
        <v>1547</v>
      </c>
      <c r="M287" s="68" t="s">
        <v>1559</v>
      </c>
      <c r="N287" s="92"/>
    </row>
    <row r="288" customFormat="false" ht="14.25" hidden="false" customHeight="false" outlineLevel="0" collapsed="false">
      <c r="C288" s="64" t="n">
        <v>283</v>
      </c>
      <c r="D288" s="65" t="s">
        <v>1495</v>
      </c>
      <c r="E288" s="65" t="s">
        <v>1544</v>
      </c>
      <c r="F288" s="65" t="n">
        <v>13.2</v>
      </c>
      <c r="G288" s="66" t="n">
        <v>25</v>
      </c>
      <c r="H288" s="68" t="s">
        <v>1548</v>
      </c>
      <c r="I288" s="68" t="s">
        <v>1549</v>
      </c>
      <c r="J288" s="68" t="s">
        <v>202</v>
      </c>
      <c r="K288" s="67"/>
      <c r="L288" s="68" t="s">
        <v>1547</v>
      </c>
      <c r="M288" s="68" t="s">
        <v>1559</v>
      </c>
      <c r="N288" s="92"/>
    </row>
    <row r="289" customFormat="false" ht="14.25" hidden="false" customHeight="false" outlineLevel="0" collapsed="false">
      <c r="C289" s="64" t="n">
        <v>284</v>
      </c>
      <c r="D289" s="65" t="s">
        <v>1247</v>
      </c>
      <c r="E289" s="65" t="s">
        <v>1544</v>
      </c>
      <c r="F289" s="65" t="n">
        <v>110</v>
      </c>
      <c r="G289" s="66" t="n">
        <v>31.5</v>
      </c>
      <c r="H289" s="68" t="s">
        <v>1545</v>
      </c>
      <c r="I289" s="68" t="s">
        <v>1558</v>
      </c>
      <c r="J289" s="68" t="s">
        <v>202</v>
      </c>
      <c r="K289" s="67"/>
      <c r="L289" s="68" t="s">
        <v>1547</v>
      </c>
      <c r="M289" s="68" t="s">
        <v>1559</v>
      </c>
      <c r="N289" s="92"/>
    </row>
    <row r="290" customFormat="false" ht="14.25" hidden="false" customHeight="false" outlineLevel="0" collapsed="false">
      <c r="C290" s="64" t="n">
        <v>285</v>
      </c>
      <c r="D290" s="65" t="s">
        <v>1247</v>
      </c>
      <c r="E290" s="65" t="s">
        <v>1544</v>
      </c>
      <c r="F290" s="65" t="n">
        <v>44</v>
      </c>
      <c r="G290" s="66" t="n">
        <v>20</v>
      </c>
      <c r="H290" s="68" t="s">
        <v>1555</v>
      </c>
      <c r="I290" s="68" t="s">
        <v>1549</v>
      </c>
      <c r="J290" s="68" t="s">
        <v>202</v>
      </c>
      <c r="K290" s="67"/>
      <c r="L290" s="68" t="s">
        <v>1547</v>
      </c>
      <c r="M290" s="68" t="s">
        <v>1559</v>
      </c>
      <c r="N290" s="92"/>
    </row>
    <row r="291" customFormat="false" ht="14.25" hidden="false" customHeight="false" outlineLevel="0" collapsed="false">
      <c r="C291" s="64" t="n">
        <v>286</v>
      </c>
      <c r="D291" s="65" t="s">
        <v>1247</v>
      </c>
      <c r="E291" s="65" t="s">
        <v>1544</v>
      </c>
      <c r="F291" s="65" t="n">
        <v>13.2</v>
      </c>
      <c r="G291" s="66" t="n">
        <v>31.5</v>
      </c>
      <c r="H291" s="68" t="s">
        <v>1548</v>
      </c>
      <c r="I291" s="68" t="s">
        <v>1549</v>
      </c>
      <c r="J291" s="68" t="s">
        <v>202</v>
      </c>
      <c r="K291" s="67"/>
      <c r="L291" s="68" t="s">
        <v>1547</v>
      </c>
      <c r="M291" s="68" t="s">
        <v>1559</v>
      </c>
      <c r="N291" s="92"/>
    </row>
    <row r="292" customFormat="false" ht="14.25" hidden="false" customHeight="false" outlineLevel="0" collapsed="false">
      <c r="C292" s="64" t="n">
        <v>287</v>
      </c>
      <c r="D292" s="65" t="s">
        <v>820</v>
      </c>
      <c r="E292" s="65" t="s">
        <v>1544</v>
      </c>
      <c r="F292" s="65" t="n">
        <v>110</v>
      </c>
      <c r="G292" s="66" t="n">
        <v>25</v>
      </c>
      <c r="H292" s="68" t="s">
        <v>1555</v>
      </c>
      <c r="I292" s="68" t="s">
        <v>1558</v>
      </c>
      <c r="J292" s="68" t="s">
        <v>202</v>
      </c>
      <c r="K292" s="67"/>
      <c r="L292" s="68" t="s">
        <v>1547</v>
      </c>
      <c r="M292" s="68" t="s">
        <v>1625</v>
      </c>
      <c r="N292" s="92"/>
    </row>
    <row r="293" customFormat="false" ht="14.25" hidden="false" customHeight="false" outlineLevel="0" collapsed="false">
      <c r="C293" s="64" t="n">
        <v>288</v>
      </c>
      <c r="D293" s="65" t="s">
        <v>820</v>
      </c>
      <c r="E293" s="65" t="s">
        <v>1544</v>
      </c>
      <c r="F293" s="65" t="n">
        <v>44</v>
      </c>
      <c r="G293" s="66" t="n">
        <v>9.9</v>
      </c>
      <c r="H293" s="68" t="s">
        <v>1545</v>
      </c>
      <c r="I293" s="68" t="s">
        <v>1549</v>
      </c>
      <c r="J293" s="68" t="s">
        <v>202</v>
      </c>
      <c r="K293" s="67"/>
      <c r="L293" s="68" t="s">
        <v>1547</v>
      </c>
      <c r="M293" s="68" t="s">
        <v>1625</v>
      </c>
      <c r="N293" s="92"/>
    </row>
    <row r="294" customFormat="false" ht="14.25" hidden="false" customHeight="false" outlineLevel="0" collapsed="false">
      <c r="C294" s="64" t="n">
        <v>289</v>
      </c>
      <c r="D294" s="65" t="s">
        <v>820</v>
      </c>
      <c r="E294" s="65" t="s">
        <v>1544</v>
      </c>
      <c r="F294" s="65" t="n">
        <v>13.2</v>
      </c>
      <c r="G294" s="66" t="n">
        <v>31.5</v>
      </c>
      <c r="H294" s="68" t="s">
        <v>1548</v>
      </c>
      <c r="I294" s="68" t="s">
        <v>1549</v>
      </c>
      <c r="J294" s="68" t="s">
        <v>202</v>
      </c>
      <c r="K294" s="67"/>
      <c r="L294" s="68" t="s">
        <v>1547</v>
      </c>
      <c r="M294" s="68" t="s">
        <v>1625</v>
      </c>
      <c r="N294" s="92"/>
    </row>
    <row r="295" customFormat="false" ht="14.25" hidden="false" customHeight="false" outlineLevel="0" collapsed="false">
      <c r="C295" s="64" t="n">
        <v>290</v>
      </c>
      <c r="D295" s="65" t="s">
        <v>1626</v>
      </c>
      <c r="E295" s="65" t="s">
        <v>1544</v>
      </c>
      <c r="F295" s="65" t="n">
        <v>44</v>
      </c>
      <c r="G295" s="66" t="n">
        <v>31.5</v>
      </c>
      <c r="H295" s="68" t="s">
        <v>1545</v>
      </c>
      <c r="I295" s="68" t="s">
        <v>1546</v>
      </c>
      <c r="J295" s="68" t="s">
        <v>202</v>
      </c>
      <c r="K295" s="67"/>
      <c r="L295" s="68" t="s">
        <v>1547</v>
      </c>
      <c r="M295" s="68" t="s">
        <v>1012</v>
      </c>
      <c r="N295" s="92"/>
    </row>
    <row r="296" customFormat="false" ht="14.25" hidden="false" customHeight="false" outlineLevel="0" collapsed="false">
      <c r="C296" s="64" t="n">
        <v>291</v>
      </c>
      <c r="D296" s="65" t="s">
        <v>1626</v>
      </c>
      <c r="E296" s="65" t="s">
        <v>1544</v>
      </c>
      <c r="F296" s="65" t="n">
        <v>13.2</v>
      </c>
      <c r="G296" s="66" t="n">
        <v>12.5</v>
      </c>
      <c r="H296" s="68" t="s">
        <v>1557</v>
      </c>
      <c r="I296" s="68" t="s">
        <v>1546</v>
      </c>
      <c r="J296" s="68" t="s">
        <v>202</v>
      </c>
      <c r="K296" s="67"/>
      <c r="L296" s="68" t="s">
        <v>1547</v>
      </c>
      <c r="M296" s="68" t="s">
        <v>1012</v>
      </c>
      <c r="N296" s="92"/>
    </row>
    <row r="297" customFormat="false" ht="14.25" hidden="false" customHeight="false" outlineLevel="0" collapsed="false">
      <c r="C297" s="64" t="n">
        <v>292</v>
      </c>
      <c r="D297" s="65" t="s">
        <v>1093</v>
      </c>
      <c r="E297" s="65" t="s">
        <v>1544</v>
      </c>
      <c r="F297" s="65" t="n">
        <v>110</v>
      </c>
      <c r="G297" s="66" t="n">
        <v>40</v>
      </c>
      <c r="H297" s="68" t="s">
        <v>1570</v>
      </c>
      <c r="I297" s="68" t="s">
        <v>1546</v>
      </c>
      <c r="J297" s="68" t="s">
        <v>202</v>
      </c>
      <c r="K297" s="67"/>
      <c r="L297" s="68" t="s">
        <v>1547</v>
      </c>
      <c r="M297" s="68" t="s">
        <v>1111</v>
      </c>
      <c r="N297" s="92"/>
    </row>
    <row r="298" customFormat="false" ht="14.25" hidden="false" customHeight="false" outlineLevel="0" collapsed="false">
      <c r="C298" s="64" t="n">
        <v>293</v>
      </c>
      <c r="D298" s="65" t="s">
        <v>1099</v>
      </c>
      <c r="E298" s="65" t="s">
        <v>1544</v>
      </c>
      <c r="F298" s="65" t="n">
        <v>44</v>
      </c>
      <c r="G298" s="66" t="n">
        <v>25</v>
      </c>
      <c r="H298" s="68" t="s">
        <v>1545</v>
      </c>
      <c r="I298" s="68" t="s">
        <v>1546</v>
      </c>
      <c r="J298" s="68" t="s">
        <v>771</v>
      </c>
      <c r="K298" s="69" t="n">
        <v>46752</v>
      </c>
      <c r="L298" s="68" t="s">
        <v>1547</v>
      </c>
      <c r="M298" s="68" t="s">
        <v>1111</v>
      </c>
      <c r="N298" s="92"/>
    </row>
    <row r="299" customFormat="false" ht="14.25" hidden="false" customHeight="false" outlineLevel="0" collapsed="false">
      <c r="C299" s="64" t="n">
        <v>294</v>
      </c>
      <c r="D299" s="65" t="s">
        <v>1099</v>
      </c>
      <c r="E299" s="65" t="s">
        <v>1544</v>
      </c>
      <c r="F299" s="65" t="n">
        <v>110</v>
      </c>
      <c r="G299" s="66" t="n">
        <v>40</v>
      </c>
      <c r="H299" s="68" t="s">
        <v>1545</v>
      </c>
      <c r="I299" s="68" t="s">
        <v>1546</v>
      </c>
      <c r="J299" s="68" t="s">
        <v>771</v>
      </c>
      <c r="K299" s="69" t="n">
        <v>46752</v>
      </c>
      <c r="L299" s="68" t="s">
        <v>1547</v>
      </c>
      <c r="M299" s="68" t="s">
        <v>1111</v>
      </c>
      <c r="N299" s="92"/>
    </row>
    <row r="300" customFormat="false" ht="14.25" hidden="false" customHeight="false" outlineLevel="0" collapsed="false">
      <c r="C300" s="64" t="n">
        <v>295</v>
      </c>
      <c r="D300" s="65" t="s">
        <v>1500</v>
      </c>
      <c r="E300" s="65" t="s">
        <v>1544</v>
      </c>
      <c r="F300" s="65" t="n">
        <v>44</v>
      </c>
      <c r="G300" s="66" t="n">
        <v>25</v>
      </c>
      <c r="H300" s="68" t="s">
        <v>1545</v>
      </c>
      <c r="I300" s="68" t="s">
        <v>1546</v>
      </c>
      <c r="J300" s="68" t="s">
        <v>202</v>
      </c>
      <c r="K300" s="67"/>
      <c r="L300" s="68" t="s">
        <v>1547</v>
      </c>
      <c r="M300" s="68" t="s">
        <v>1627</v>
      </c>
      <c r="N300" s="92"/>
    </row>
    <row r="301" customFormat="false" ht="14.25" hidden="false" customHeight="false" outlineLevel="0" collapsed="false">
      <c r="C301" s="64" t="n">
        <v>296</v>
      </c>
      <c r="D301" s="65" t="s">
        <v>1500</v>
      </c>
      <c r="E301" s="65" t="s">
        <v>1544</v>
      </c>
      <c r="F301" s="65" t="n">
        <v>13.2</v>
      </c>
      <c r="G301" s="66" t="n">
        <v>25</v>
      </c>
      <c r="H301" s="68" t="s">
        <v>1548</v>
      </c>
      <c r="I301" s="68" t="s">
        <v>1549</v>
      </c>
      <c r="J301" s="68" t="s">
        <v>202</v>
      </c>
      <c r="K301" s="67"/>
      <c r="L301" s="68" t="s">
        <v>1547</v>
      </c>
      <c r="M301" s="68" t="s">
        <v>1627</v>
      </c>
      <c r="N301" s="92"/>
    </row>
    <row r="302" customFormat="false" ht="14.25" hidden="false" customHeight="false" outlineLevel="0" collapsed="false">
      <c r="C302" s="64" t="n">
        <v>297</v>
      </c>
      <c r="D302" s="65" t="s">
        <v>1628</v>
      </c>
      <c r="E302" s="65" t="s">
        <v>1544</v>
      </c>
      <c r="F302" s="65" t="n">
        <v>44</v>
      </c>
      <c r="G302" s="66" t="n">
        <v>25</v>
      </c>
      <c r="H302" s="68" t="s">
        <v>1545</v>
      </c>
      <c r="I302" s="68" t="s">
        <v>1546</v>
      </c>
      <c r="J302" s="68" t="s">
        <v>202</v>
      </c>
      <c r="K302" s="67"/>
      <c r="L302" s="68" t="s">
        <v>1547</v>
      </c>
      <c r="M302" s="68" t="s">
        <v>1502</v>
      </c>
      <c r="N302" s="92"/>
    </row>
    <row r="303" customFormat="false" ht="14.25" hidden="false" customHeight="false" outlineLevel="0" collapsed="false">
      <c r="C303" s="64" t="n">
        <v>298</v>
      </c>
      <c r="D303" s="65" t="s">
        <v>1628</v>
      </c>
      <c r="E303" s="65" t="s">
        <v>1544</v>
      </c>
      <c r="F303" s="65" t="n">
        <v>13.2</v>
      </c>
      <c r="G303" s="66" t="n">
        <v>12.5</v>
      </c>
      <c r="H303" s="68" t="s">
        <v>1557</v>
      </c>
      <c r="I303" s="68" t="s">
        <v>1546</v>
      </c>
      <c r="J303" s="68" t="s">
        <v>202</v>
      </c>
      <c r="K303" s="67"/>
      <c r="L303" s="68" t="s">
        <v>1547</v>
      </c>
      <c r="M303" s="68" t="s">
        <v>1502</v>
      </c>
      <c r="N303" s="92"/>
    </row>
    <row r="304" customFormat="false" ht="14.25" hidden="false" customHeight="false" outlineLevel="0" collapsed="false">
      <c r="C304" s="64" t="n">
        <v>299</v>
      </c>
      <c r="D304" s="65" t="s">
        <v>991</v>
      </c>
      <c r="E304" s="65" t="s">
        <v>1544</v>
      </c>
      <c r="F304" s="65" t="n">
        <v>44</v>
      </c>
      <c r="G304" s="66" t="n">
        <v>8</v>
      </c>
      <c r="H304" s="68" t="s">
        <v>1552</v>
      </c>
      <c r="I304" s="68" t="s">
        <v>1546</v>
      </c>
      <c r="J304" s="68" t="s">
        <v>202</v>
      </c>
      <c r="K304" s="67"/>
      <c r="L304" s="68" t="s">
        <v>1547</v>
      </c>
      <c r="M304" s="68" t="s">
        <v>991</v>
      </c>
      <c r="N304" s="92"/>
    </row>
    <row r="305" customFormat="false" ht="14.25" hidden="false" customHeight="false" outlineLevel="0" collapsed="false">
      <c r="C305" s="64" t="n">
        <v>300</v>
      </c>
      <c r="D305" s="65" t="s">
        <v>991</v>
      </c>
      <c r="E305" s="65" t="s">
        <v>1544</v>
      </c>
      <c r="F305" s="65" t="n">
        <v>13.2</v>
      </c>
      <c r="G305" s="66" t="n">
        <v>12.5</v>
      </c>
      <c r="H305" s="68" t="s">
        <v>1557</v>
      </c>
      <c r="I305" s="68" t="s">
        <v>1546</v>
      </c>
      <c r="J305" s="68" t="s">
        <v>202</v>
      </c>
      <c r="K305" s="67"/>
      <c r="L305" s="68" t="s">
        <v>1547</v>
      </c>
      <c r="M305" s="68" t="s">
        <v>991</v>
      </c>
      <c r="N305" s="92"/>
    </row>
    <row r="306" customFormat="false" ht="14.25" hidden="false" customHeight="false" outlineLevel="0" collapsed="false">
      <c r="C306" s="64" t="n">
        <v>301</v>
      </c>
      <c r="D306" s="65" t="s">
        <v>1629</v>
      </c>
      <c r="E306" s="65" t="s">
        <v>1544</v>
      </c>
      <c r="F306" s="65" t="n">
        <v>44</v>
      </c>
      <c r="G306" s="66" t="n">
        <v>25</v>
      </c>
      <c r="H306" s="68" t="s">
        <v>1545</v>
      </c>
      <c r="I306" s="68" t="s">
        <v>1546</v>
      </c>
      <c r="J306" s="68" t="s">
        <v>202</v>
      </c>
      <c r="K306" s="67"/>
      <c r="L306" s="68" t="s">
        <v>1547</v>
      </c>
      <c r="M306" s="68" t="s">
        <v>1629</v>
      </c>
      <c r="N306" s="92"/>
    </row>
    <row r="307" customFormat="false" ht="14.25" hidden="false" customHeight="false" outlineLevel="0" collapsed="false">
      <c r="C307" s="64" t="n">
        <v>302</v>
      </c>
      <c r="D307" s="65" t="s">
        <v>1629</v>
      </c>
      <c r="E307" s="65" t="s">
        <v>1544</v>
      </c>
      <c r="F307" s="65" t="n">
        <v>13.2</v>
      </c>
      <c r="G307" s="66" t="n">
        <v>25</v>
      </c>
      <c r="H307" s="68" t="s">
        <v>1548</v>
      </c>
      <c r="I307" s="68" t="s">
        <v>1549</v>
      </c>
      <c r="J307" s="68" t="s">
        <v>202</v>
      </c>
      <c r="K307" s="67"/>
      <c r="L307" s="68" t="s">
        <v>1547</v>
      </c>
      <c r="M307" s="68" t="s">
        <v>1629</v>
      </c>
      <c r="N307" s="92"/>
    </row>
    <row r="308" customFormat="false" ht="14.25" hidden="false" customHeight="false" outlineLevel="0" collapsed="false">
      <c r="C308" s="64" t="n">
        <v>303</v>
      </c>
      <c r="D308" s="65" t="s">
        <v>938</v>
      </c>
      <c r="E308" s="65" t="s">
        <v>1544</v>
      </c>
      <c r="F308" s="65" t="n">
        <v>110</v>
      </c>
      <c r="G308" s="66" t="n">
        <v>40</v>
      </c>
      <c r="H308" s="68" t="s">
        <v>1545</v>
      </c>
      <c r="I308" s="68" t="s">
        <v>1546</v>
      </c>
      <c r="J308" s="68" t="s">
        <v>202</v>
      </c>
      <c r="K308" s="67"/>
      <c r="L308" s="68" t="s">
        <v>1547</v>
      </c>
      <c r="M308" s="68" t="s">
        <v>938</v>
      </c>
      <c r="N308" s="92"/>
    </row>
    <row r="309" customFormat="false" ht="14.25" hidden="false" customHeight="false" outlineLevel="0" collapsed="false">
      <c r="C309" s="64" t="n">
        <v>304</v>
      </c>
      <c r="D309" s="65" t="s">
        <v>938</v>
      </c>
      <c r="E309" s="65" t="s">
        <v>1544</v>
      </c>
      <c r="F309" s="65" t="n">
        <v>44</v>
      </c>
      <c r="G309" s="66" t="n">
        <v>16</v>
      </c>
      <c r="H309" s="68" t="s">
        <v>1545</v>
      </c>
      <c r="I309" s="68" t="s">
        <v>1546</v>
      </c>
      <c r="J309" s="68" t="s">
        <v>202</v>
      </c>
      <c r="K309" s="67"/>
      <c r="L309" s="68" t="s">
        <v>1547</v>
      </c>
      <c r="M309" s="68" t="s">
        <v>938</v>
      </c>
      <c r="N309" s="92"/>
    </row>
    <row r="310" customFormat="false" ht="14.25" hidden="false" customHeight="false" outlineLevel="0" collapsed="false">
      <c r="C310" s="64" t="n">
        <v>305</v>
      </c>
      <c r="D310" s="65" t="s">
        <v>938</v>
      </c>
      <c r="E310" s="65" t="s">
        <v>1544</v>
      </c>
      <c r="F310" s="65" t="n">
        <v>13.2</v>
      </c>
      <c r="G310" s="66" t="n">
        <v>25</v>
      </c>
      <c r="H310" s="68" t="s">
        <v>1548</v>
      </c>
      <c r="I310" s="68" t="s">
        <v>1549</v>
      </c>
      <c r="J310" s="68" t="s">
        <v>202</v>
      </c>
      <c r="K310" s="67"/>
      <c r="L310" s="68" t="s">
        <v>1547</v>
      </c>
      <c r="M310" s="68" t="s">
        <v>938</v>
      </c>
      <c r="N310" s="92"/>
    </row>
    <row r="311" customFormat="false" ht="14.25" hidden="false" customHeight="false" outlineLevel="0" collapsed="false">
      <c r="C311" s="64" t="n">
        <v>306</v>
      </c>
      <c r="D311" s="65" t="s">
        <v>1022</v>
      </c>
      <c r="E311" s="65" t="s">
        <v>1544</v>
      </c>
      <c r="F311" s="65" t="n">
        <v>44</v>
      </c>
      <c r="G311" s="66" t="n">
        <v>8</v>
      </c>
      <c r="H311" s="68" t="s">
        <v>1555</v>
      </c>
      <c r="I311" s="68" t="s">
        <v>1546</v>
      </c>
      <c r="J311" s="68" t="s">
        <v>202</v>
      </c>
      <c r="K311" s="67"/>
      <c r="L311" s="68" t="s">
        <v>1547</v>
      </c>
      <c r="M311" s="68" t="s">
        <v>1595</v>
      </c>
      <c r="N311" s="92"/>
    </row>
    <row r="312" customFormat="false" ht="14.25" hidden="false" customHeight="false" outlineLevel="0" collapsed="false">
      <c r="C312" s="64" t="n">
        <v>307</v>
      </c>
      <c r="D312" s="65" t="s">
        <v>1022</v>
      </c>
      <c r="E312" s="65" t="s">
        <v>1544</v>
      </c>
      <c r="F312" s="65" t="n">
        <v>13.2</v>
      </c>
      <c r="G312" s="66" t="n">
        <v>12.5</v>
      </c>
      <c r="H312" s="68" t="s">
        <v>1557</v>
      </c>
      <c r="I312" s="68" t="s">
        <v>1546</v>
      </c>
      <c r="J312" s="68" t="s">
        <v>202</v>
      </c>
      <c r="K312" s="67"/>
      <c r="L312" s="68" t="s">
        <v>1547</v>
      </c>
      <c r="M312" s="68" t="s">
        <v>1595</v>
      </c>
      <c r="N312" s="92"/>
    </row>
    <row r="313" customFormat="false" ht="14.25" hidden="false" customHeight="false" outlineLevel="0" collapsed="false">
      <c r="C313" s="64" t="n">
        <v>308</v>
      </c>
      <c r="D313" s="65" t="s">
        <v>941</v>
      </c>
      <c r="E313" s="65" t="s">
        <v>1544</v>
      </c>
      <c r="F313" s="65" t="n">
        <v>44</v>
      </c>
      <c r="G313" s="66" t="n">
        <v>20</v>
      </c>
      <c r="H313" s="68" t="s">
        <v>1545</v>
      </c>
      <c r="I313" s="68" t="s">
        <v>1546</v>
      </c>
      <c r="J313" s="68" t="s">
        <v>202</v>
      </c>
      <c r="K313" s="67"/>
      <c r="L313" s="68" t="s">
        <v>1547</v>
      </c>
      <c r="M313" s="68" t="s">
        <v>1610</v>
      </c>
      <c r="N313" s="92"/>
    </row>
    <row r="314" customFormat="false" ht="14.25" hidden="false" customHeight="false" outlineLevel="0" collapsed="false">
      <c r="C314" s="64" t="n">
        <v>309</v>
      </c>
      <c r="D314" s="65" t="s">
        <v>941</v>
      </c>
      <c r="E314" s="65" t="s">
        <v>1544</v>
      </c>
      <c r="F314" s="65" t="n">
        <v>13.2</v>
      </c>
      <c r="G314" s="66" t="n">
        <v>31.5</v>
      </c>
      <c r="H314" s="68" t="s">
        <v>1548</v>
      </c>
      <c r="I314" s="68" t="s">
        <v>1549</v>
      </c>
      <c r="J314" s="68" t="s">
        <v>202</v>
      </c>
      <c r="K314" s="67"/>
      <c r="L314" s="68" t="s">
        <v>1547</v>
      </c>
      <c r="M314" s="68" t="s">
        <v>1610</v>
      </c>
      <c r="N314" s="92"/>
    </row>
    <row r="315" customFormat="false" ht="14.25" hidden="false" customHeight="false" outlineLevel="0" collapsed="false">
      <c r="C315" s="64" t="n">
        <v>310</v>
      </c>
      <c r="D315" s="65" t="s">
        <v>1052</v>
      </c>
      <c r="E315" s="65" t="s">
        <v>1544</v>
      </c>
      <c r="F315" s="65" t="n">
        <v>44</v>
      </c>
      <c r="G315" s="66" t="n">
        <v>17.5</v>
      </c>
      <c r="H315" s="68" t="s">
        <v>1545</v>
      </c>
      <c r="I315" s="68" t="s">
        <v>1546</v>
      </c>
      <c r="J315" s="68" t="s">
        <v>202</v>
      </c>
      <c r="K315" s="67"/>
      <c r="L315" s="68" t="s">
        <v>1547</v>
      </c>
      <c r="M315" s="68" t="s">
        <v>1630</v>
      </c>
      <c r="N315" s="92"/>
    </row>
    <row r="316" customFormat="false" ht="14.25" hidden="false" customHeight="false" outlineLevel="0" collapsed="false">
      <c r="C316" s="64" t="n">
        <v>311</v>
      </c>
      <c r="D316" s="65" t="s">
        <v>1052</v>
      </c>
      <c r="E316" s="65" t="s">
        <v>1544</v>
      </c>
      <c r="F316" s="65" t="n">
        <v>13.2</v>
      </c>
      <c r="G316" s="66" t="n">
        <v>20</v>
      </c>
      <c r="H316" s="68" t="s">
        <v>1548</v>
      </c>
      <c r="I316" s="68" t="s">
        <v>1549</v>
      </c>
      <c r="J316" s="68" t="s">
        <v>202</v>
      </c>
      <c r="K316" s="67"/>
      <c r="L316" s="68" t="s">
        <v>1547</v>
      </c>
      <c r="M316" s="68" t="s">
        <v>1630</v>
      </c>
      <c r="N316" s="92"/>
    </row>
    <row r="317" customFormat="false" ht="14.25" hidden="false" customHeight="false" outlineLevel="0" collapsed="false">
      <c r="C317" s="64" t="n">
        <v>312</v>
      </c>
      <c r="D317" s="65" t="s">
        <v>1631</v>
      </c>
      <c r="E317" s="65" t="s">
        <v>1544</v>
      </c>
      <c r="F317" s="65" t="n">
        <v>110</v>
      </c>
      <c r="G317" s="66" t="n">
        <v>31.5</v>
      </c>
      <c r="H317" s="68" t="s">
        <v>1570</v>
      </c>
      <c r="I317" s="68" t="s">
        <v>1546</v>
      </c>
      <c r="J317" s="68" t="s">
        <v>202</v>
      </c>
      <c r="K317" s="67"/>
      <c r="L317" s="68" t="s">
        <v>1547</v>
      </c>
      <c r="M317" s="68" t="s">
        <v>1047</v>
      </c>
      <c r="N317" s="92"/>
    </row>
    <row r="318" customFormat="false" ht="14.25" hidden="false" customHeight="false" outlineLevel="0" collapsed="false">
      <c r="C318" s="64" t="n">
        <v>313</v>
      </c>
      <c r="D318" s="65" t="s">
        <v>1631</v>
      </c>
      <c r="E318" s="65" t="s">
        <v>1544</v>
      </c>
      <c r="F318" s="65" t="n">
        <v>44</v>
      </c>
      <c r="G318" s="66" t="n">
        <v>25</v>
      </c>
      <c r="H318" s="68" t="s">
        <v>1545</v>
      </c>
      <c r="I318" s="68" t="s">
        <v>1546</v>
      </c>
      <c r="J318" s="68" t="s">
        <v>202</v>
      </c>
      <c r="K318" s="67"/>
      <c r="L318" s="68" t="s">
        <v>1547</v>
      </c>
      <c r="M318" s="68" t="s">
        <v>1047</v>
      </c>
      <c r="N318" s="92"/>
    </row>
    <row r="319" customFormat="false" ht="14.25" hidden="false" customHeight="false" outlineLevel="0" collapsed="false">
      <c r="C319" s="64" t="n">
        <v>314</v>
      </c>
      <c r="D319" s="65" t="s">
        <v>1631</v>
      </c>
      <c r="E319" s="65" t="s">
        <v>1544</v>
      </c>
      <c r="F319" s="65" t="n">
        <v>13.2</v>
      </c>
      <c r="G319" s="66" t="n">
        <v>25</v>
      </c>
      <c r="H319" s="68" t="s">
        <v>1548</v>
      </c>
      <c r="I319" s="68" t="s">
        <v>1549</v>
      </c>
      <c r="J319" s="68" t="s">
        <v>202</v>
      </c>
      <c r="K319" s="67"/>
      <c r="L319" s="68" t="s">
        <v>1547</v>
      </c>
      <c r="M319" s="68" t="s">
        <v>1047</v>
      </c>
      <c r="N319" s="92"/>
    </row>
    <row r="320" customFormat="false" ht="14.25" hidden="false" customHeight="false" outlineLevel="0" collapsed="false">
      <c r="C320" s="64" t="n">
        <v>315</v>
      </c>
      <c r="D320" s="65" t="s">
        <v>1632</v>
      </c>
      <c r="E320" s="65" t="s">
        <v>1544</v>
      </c>
      <c r="F320" s="65" t="n">
        <v>44</v>
      </c>
      <c r="G320" s="66" t="n">
        <v>25</v>
      </c>
      <c r="H320" s="68" t="s">
        <v>1545</v>
      </c>
      <c r="I320" s="68" t="s">
        <v>1546</v>
      </c>
      <c r="J320" s="68" t="s">
        <v>202</v>
      </c>
      <c r="K320" s="67"/>
      <c r="L320" s="68" t="s">
        <v>1547</v>
      </c>
      <c r="M320" s="68" t="s">
        <v>914</v>
      </c>
      <c r="N320" s="92"/>
    </row>
    <row r="321" customFormat="false" ht="14.25" hidden="false" customHeight="false" outlineLevel="0" collapsed="false">
      <c r="C321" s="64" t="n">
        <v>316</v>
      </c>
      <c r="D321" s="65" t="s">
        <v>1632</v>
      </c>
      <c r="E321" s="65" t="s">
        <v>1544</v>
      </c>
      <c r="F321" s="65" t="n">
        <v>13.2</v>
      </c>
      <c r="G321" s="66" t="n">
        <v>16</v>
      </c>
      <c r="H321" s="68" t="s">
        <v>1557</v>
      </c>
      <c r="I321" s="68" t="s">
        <v>1546</v>
      </c>
      <c r="J321" s="68" t="s">
        <v>202</v>
      </c>
      <c r="K321" s="67"/>
      <c r="L321" s="68" t="s">
        <v>1547</v>
      </c>
      <c r="M321" s="68" t="s">
        <v>914</v>
      </c>
      <c r="N321" s="92"/>
    </row>
    <row r="322" customFormat="false" ht="14.25" hidden="false" customHeight="false" outlineLevel="0" collapsed="false">
      <c r="C322" s="64" t="n">
        <v>317</v>
      </c>
      <c r="D322" s="65" t="s">
        <v>910</v>
      </c>
      <c r="E322" s="65" t="s">
        <v>1544</v>
      </c>
      <c r="F322" s="65" t="n">
        <v>44</v>
      </c>
      <c r="G322" s="66" t="n">
        <v>8</v>
      </c>
      <c r="H322" s="68" t="s">
        <v>1555</v>
      </c>
      <c r="I322" s="68" t="s">
        <v>1546</v>
      </c>
      <c r="J322" s="68" t="s">
        <v>202</v>
      </c>
      <c r="K322" s="67"/>
      <c r="L322" s="68" t="s">
        <v>1547</v>
      </c>
      <c r="M322" s="68" t="s">
        <v>904</v>
      </c>
      <c r="N322" s="92"/>
    </row>
    <row r="323" customFormat="false" ht="14.25" hidden="false" customHeight="false" outlineLevel="0" collapsed="false">
      <c r="C323" s="64" t="n">
        <v>318</v>
      </c>
      <c r="D323" s="65" t="s">
        <v>910</v>
      </c>
      <c r="E323" s="65" t="s">
        <v>1544</v>
      </c>
      <c r="F323" s="65" t="n">
        <v>13.2</v>
      </c>
      <c r="G323" s="66" t="n">
        <v>12.5</v>
      </c>
      <c r="H323" s="68" t="s">
        <v>1557</v>
      </c>
      <c r="I323" s="68" t="s">
        <v>1546</v>
      </c>
      <c r="J323" s="68" t="s">
        <v>202</v>
      </c>
      <c r="K323" s="67"/>
      <c r="L323" s="68" t="s">
        <v>1547</v>
      </c>
      <c r="M323" s="68" t="s">
        <v>904</v>
      </c>
      <c r="N323" s="92"/>
    </row>
    <row r="324" customFormat="false" ht="14.25" hidden="false" customHeight="false" outlineLevel="0" collapsed="false">
      <c r="C324" s="64" t="n">
        <v>319</v>
      </c>
      <c r="D324" s="65" t="s">
        <v>1518</v>
      </c>
      <c r="E324" s="65" t="s">
        <v>1544</v>
      </c>
      <c r="F324" s="65" t="n">
        <v>44</v>
      </c>
      <c r="G324" s="66" t="n">
        <v>25</v>
      </c>
      <c r="H324" s="68" t="s">
        <v>1545</v>
      </c>
      <c r="I324" s="68" t="s">
        <v>1546</v>
      </c>
      <c r="J324" s="68" t="s">
        <v>202</v>
      </c>
      <c r="K324" s="67"/>
      <c r="L324" s="68" t="s">
        <v>1547</v>
      </c>
      <c r="M324" s="68" t="s">
        <v>1518</v>
      </c>
      <c r="N324" s="92"/>
    </row>
    <row r="325" customFormat="false" ht="14.25" hidden="false" customHeight="false" outlineLevel="0" collapsed="false">
      <c r="C325" s="64" t="n">
        <v>320</v>
      </c>
      <c r="D325" s="65" t="s">
        <v>1518</v>
      </c>
      <c r="E325" s="65" t="s">
        <v>1544</v>
      </c>
      <c r="F325" s="65" t="n">
        <v>13.2</v>
      </c>
      <c r="G325" s="66" t="n">
        <v>25</v>
      </c>
      <c r="H325" s="68" t="s">
        <v>1548</v>
      </c>
      <c r="I325" s="68" t="s">
        <v>1549</v>
      </c>
      <c r="J325" s="68" t="s">
        <v>202</v>
      </c>
      <c r="K325" s="67"/>
      <c r="L325" s="68" t="s">
        <v>1547</v>
      </c>
      <c r="M325" s="68" t="s">
        <v>1518</v>
      </c>
      <c r="N325" s="92"/>
    </row>
    <row r="326" customFormat="false" ht="14.25" hidden="false" customHeight="false" outlineLevel="0" collapsed="false">
      <c r="C326" s="64" t="n">
        <v>321</v>
      </c>
      <c r="D326" s="65" t="s">
        <v>922</v>
      </c>
      <c r="E326" s="65" t="s">
        <v>1544</v>
      </c>
      <c r="F326" s="65" t="n">
        <v>44</v>
      </c>
      <c r="G326" s="66" t="n">
        <v>8</v>
      </c>
      <c r="H326" s="68" t="s">
        <v>1555</v>
      </c>
      <c r="I326" s="68" t="s">
        <v>1546</v>
      </c>
      <c r="J326" s="68" t="s">
        <v>202</v>
      </c>
      <c r="K326" s="67"/>
      <c r="L326" s="68" t="s">
        <v>1547</v>
      </c>
      <c r="M326" s="68" t="s">
        <v>922</v>
      </c>
      <c r="N326" s="92"/>
    </row>
    <row r="327" customFormat="false" ht="14.25" hidden="false" customHeight="false" outlineLevel="0" collapsed="false">
      <c r="C327" s="64" t="n">
        <v>322</v>
      </c>
      <c r="D327" s="65" t="s">
        <v>922</v>
      </c>
      <c r="E327" s="65" t="s">
        <v>1544</v>
      </c>
      <c r="F327" s="65" t="n">
        <v>13.2</v>
      </c>
      <c r="G327" s="66" t="n">
        <v>12.5</v>
      </c>
      <c r="H327" s="68" t="s">
        <v>1557</v>
      </c>
      <c r="I327" s="68" t="s">
        <v>1546</v>
      </c>
      <c r="J327" s="68" t="s">
        <v>202</v>
      </c>
      <c r="K327" s="67"/>
      <c r="L327" s="68" t="s">
        <v>1547</v>
      </c>
      <c r="M327" s="68" t="s">
        <v>922</v>
      </c>
      <c r="N327" s="92"/>
    </row>
    <row r="328" customFormat="false" ht="14.25" hidden="false" customHeight="false" outlineLevel="0" collapsed="false">
      <c r="C328" s="64" t="n">
        <v>323</v>
      </c>
      <c r="D328" s="65" t="s">
        <v>1633</v>
      </c>
      <c r="E328" s="65" t="s">
        <v>1544</v>
      </c>
      <c r="F328" s="65" t="n">
        <v>220</v>
      </c>
      <c r="G328" s="66" t="n">
        <v>40</v>
      </c>
      <c r="H328" s="68" t="s">
        <v>1613</v>
      </c>
      <c r="I328" s="68" t="s">
        <v>1558</v>
      </c>
      <c r="J328" s="68" t="s">
        <v>202</v>
      </c>
      <c r="K328" s="67"/>
      <c r="L328" s="68" t="s">
        <v>1547</v>
      </c>
      <c r="M328" s="68" t="s">
        <v>1205</v>
      </c>
      <c r="N328" s="92"/>
    </row>
    <row r="329" customFormat="false" ht="14.25" hidden="false" customHeight="false" outlineLevel="0" collapsed="false">
      <c r="C329" s="64" t="n">
        <v>324</v>
      </c>
      <c r="D329" s="65" t="s">
        <v>891</v>
      </c>
      <c r="E329" s="65" t="s">
        <v>1544</v>
      </c>
      <c r="F329" s="65" t="n">
        <v>44</v>
      </c>
      <c r="G329" s="66" t="n">
        <v>8</v>
      </c>
      <c r="H329" s="68" t="s">
        <v>1555</v>
      </c>
      <c r="I329" s="68" t="s">
        <v>1546</v>
      </c>
      <c r="J329" s="68" t="s">
        <v>202</v>
      </c>
      <c r="K329" s="67"/>
      <c r="L329" s="68" t="s">
        <v>1547</v>
      </c>
      <c r="M329" s="68" t="s">
        <v>891</v>
      </c>
      <c r="N329" s="92"/>
    </row>
    <row r="330" customFormat="false" ht="14.25" hidden="false" customHeight="false" outlineLevel="0" collapsed="false">
      <c r="C330" s="64" t="n">
        <v>325</v>
      </c>
      <c r="D330" s="65" t="s">
        <v>891</v>
      </c>
      <c r="E330" s="65" t="s">
        <v>1544</v>
      </c>
      <c r="F330" s="65" t="n">
        <v>13.2</v>
      </c>
      <c r="G330" s="66" t="n">
        <v>12.5</v>
      </c>
      <c r="H330" s="68" t="s">
        <v>1557</v>
      </c>
      <c r="I330" s="68" t="s">
        <v>1546</v>
      </c>
      <c r="J330" s="68" t="s">
        <v>202</v>
      </c>
      <c r="K330" s="67"/>
      <c r="L330" s="68" t="s">
        <v>1547</v>
      </c>
      <c r="M330" s="68" t="s">
        <v>891</v>
      </c>
      <c r="N330" s="92"/>
    </row>
    <row r="331" customFormat="false" ht="14.25" hidden="false" customHeight="false" outlineLevel="0" collapsed="false">
      <c r="C331" s="64" t="n">
        <v>326</v>
      </c>
      <c r="D331" s="65" t="s">
        <v>1525</v>
      </c>
      <c r="E331" s="65" t="s">
        <v>1544</v>
      </c>
      <c r="F331" s="65" t="n">
        <v>44</v>
      </c>
      <c r="G331" s="66" t="n">
        <v>25</v>
      </c>
      <c r="H331" s="68" t="s">
        <v>1545</v>
      </c>
      <c r="I331" s="68" t="s">
        <v>1546</v>
      </c>
      <c r="J331" s="68" t="s">
        <v>202</v>
      </c>
      <c r="K331" s="67"/>
      <c r="L331" s="68" t="s">
        <v>1547</v>
      </c>
      <c r="M331" s="68" t="s">
        <v>1525</v>
      </c>
      <c r="N331" s="92"/>
    </row>
    <row r="332" customFormat="false" ht="14.25" hidden="false" customHeight="false" outlineLevel="0" collapsed="false">
      <c r="C332" s="64" t="n">
        <v>327</v>
      </c>
      <c r="D332" s="65" t="s">
        <v>1525</v>
      </c>
      <c r="E332" s="65" t="s">
        <v>1544</v>
      </c>
      <c r="F332" s="65" t="n">
        <v>13.2</v>
      </c>
      <c r="G332" s="66" t="n">
        <v>25</v>
      </c>
      <c r="H332" s="68" t="s">
        <v>1548</v>
      </c>
      <c r="I332" s="68" t="s">
        <v>1549</v>
      </c>
      <c r="J332" s="68" t="s">
        <v>202</v>
      </c>
      <c r="K332" s="67"/>
      <c r="L332" s="68" t="s">
        <v>1547</v>
      </c>
      <c r="M332" s="68" t="s">
        <v>1525</v>
      </c>
      <c r="N332" s="92"/>
    </row>
    <row r="333" customFormat="false" ht="14.25" hidden="false" customHeight="false" outlineLevel="0" collapsed="false">
      <c r="C333" s="64" t="n">
        <v>328</v>
      </c>
      <c r="D333" s="65" t="s">
        <v>843</v>
      </c>
      <c r="E333" s="65" t="s">
        <v>1544</v>
      </c>
      <c r="F333" s="65" t="n">
        <v>44</v>
      </c>
      <c r="G333" s="66" t="n">
        <v>31.5</v>
      </c>
      <c r="H333" s="68" t="s">
        <v>1545</v>
      </c>
      <c r="I333" s="68" t="s">
        <v>1546</v>
      </c>
      <c r="J333" s="68" t="s">
        <v>202</v>
      </c>
      <c r="K333" s="67"/>
      <c r="L333" s="68" t="s">
        <v>1547</v>
      </c>
      <c r="M333" s="68" t="s">
        <v>843</v>
      </c>
      <c r="N333" s="92"/>
    </row>
    <row r="334" customFormat="false" ht="14.25" hidden="false" customHeight="false" outlineLevel="0" collapsed="false">
      <c r="C334" s="64" t="n">
        <v>329</v>
      </c>
      <c r="D334" s="65" t="s">
        <v>843</v>
      </c>
      <c r="E334" s="65" t="s">
        <v>1544</v>
      </c>
      <c r="F334" s="65" t="n">
        <v>13.2</v>
      </c>
      <c r="G334" s="66" t="n">
        <v>12.5</v>
      </c>
      <c r="H334" s="68" t="s">
        <v>1557</v>
      </c>
      <c r="I334" s="68" t="s">
        <v>1546</v>
      </c>
      <c r="J334" s="68" t="s">
        <v>202</v>
      </c>
      <c r="K334" s="67"/>
      <c r="L334" s="68" t="s">
        <v>1547</v>
      </c>
      <c r="M334" s="68" t="s">
        <v>843</v>
      </c>
      <c r="N334" s="92"/>
    </row>
    <row r="335" customFormat="false" ht="14.25" hidden="false" customHeight="false" outlineLevel="0" collapsed="false">
      <c r="C335" s="64" t="n">
        <v>330</v>
      </c>
      <c r="D335" s="65" t="s">
        <v>962</v>
      </c>
      <c r="E335" s="65" t="s">
        <v>1544</v>
      </c>
      <c r="F335" s="65" t="n">
        <v>44</v>
      </c>
      <c r="G335" s="66" t="n">
        <v>8</v>
      </c>
      <c r="H335" s="68" t="s">
        <v>1555</v>
      </c>
      <c r="I335" s="68" t="s">
        <v>1546</v>
      </c>
      <c r="J335" s="68" t="s">
        <v>202</v>
      </c>
      <c r="K335" s="67"/>
      <c r="L335" s="68" t="s">
        <v>1547</v>
      </c>
      <c r="M335" s="68" t="s">
        <v>962</v>
      </c>
      <c r="N335" s="92"/>
    </row>
    <row r="336" customFormat="false" ht="14.25" hidden="false" customHeight="false" outlineLevel="0" collapsed="false">
      <c r="C336" s="64" t="n">
        <v>331</v>
      </c>
      <c r="D336" s="65" t="s">
        <v>962</v>
      </c>
      <c r="E336" s="65" t="s">
        <v>1544</v>
      </c>
      <c r="F336" s="65" t="n">
        <v>13.2</v>
      </c>
      <c r="G336" s="66" t="n">
        <v>12.5</v>
      </c>
      <c r="H336" s="68" t="s">
        <v>1557</v>
      </c>
      <c r="I336" s="68" t="s">
        <v>1546</v>
      </c>
      <c r="J336" s="68" t="s">
        <v>202</v>
      </c>
      <c r="K336" s="67"/>
      <c r="L336" s="68" t="s">
        <v>1547</v>
      </c>
      <c r="M336" s="68" t="s">
        <v>962</v>
      </c>
      <c r="N336" s="92"/>
    </row>
    <row r="337" customFormat="false" ht="14.25" hidden="false" customHeight="false" outlineLevel="0" collapsed="false">
      <c r="C337" s="64" t="n">
        <v>332</v>
      </c>
      <c r="D337" s="65" t="s">
        <v>1634</v>
      </c>
      <c r="E337" s="65" t="s">
        <v>1544</v>
      </c>
      <c r="F337" s="65" t="n">
        <v>44</v>
      </c>
      <c r="G337" s="66" t="n">
        <v>8</v>
      </c>
      <c r="H337" s="68" t="s">
        <v>1555</v>
      </c>
      <c r="I337" s="68" t="s">
        <v>1546</v>
      </c>
      <c r="J337" s="68" t="s">
        <v>202</v>
      </c>
      <c r="K337" s="67"/>
      <c r="L337" s="68" t="s">
        <v>1547</v>
      </c>
      <c r="M337" s="68" t="s">
        <v>1634</v>
      </c>
      <c r="N337" s="92"/>
    </row>
    <row r="338" customFormat="false" ht="14.25" hidden="false" customHeight="false" outlineLevel="0" collapsed="false">
      <c r="C338" s="64" t="n">
        <v>333</v>
      </c>
      <c r="D338" s="65" t="s">
        <v>1634</v>
      </c>
      <c r="E338" s="65" t="s">
        <v>1544</v>
      </c>
      <c r="F338" s="65" t="n">
        <v>13.2</v>
      </c>
      <c r="G338" s="66" t="n">
        <v>12.5</v>
      </c>
      <c r="H338" s="68" t="s">
        <v>1557</v>
      </c>
      <c r="I338" s="68" t="s">
        <v>1546</v>
      </c>
      <c r="J338" s="68" t="s">
        <v>202</v>
      </c>
      <c r="K338" s="67"/>
      <c r="L338" s="68" t="s">
        <v>1547</v>
      </c>
      <c r="M338" s="68" t="s">
        <v>1634</v>
      </c>
      <c r="N338" s="92"/>
    </row>
    <row r="339" customFormat="false" ht="14.25" hidden="false" customHeight="false" outlineLevel="0" collapsed="false">
      <c r="C339" s="64" t="n">
        <v>334</v>
      </c>
      <c r="D339" s="65" t="s">
        <v>1635</v>
      </c>
      <c r="E339" s="65" t="s">
        <v>1544</v>
      </c>
      <c r="F339" s="65" t="n">
        <v>44</v>
      </c>
      <c r="G339" s="66" t="n">
        <v>8</v>
      </c>
      <c r="H339" s="68" t="s">
        <v>1555</v>
      </c>
      <c r="I339" s="68" t="s">
        <v>1546</v>
      </c>
      <c r="J339" s="68" t="s">
        <v>202</v>
      </c>
      <c r="K339" s="67"/>
      <c r="L339" s="68" t="s">
        <v>1547</v>
      </c>
      <c r="M339" s="68" t="s">
        <v>999</v>
      </c>
      <c r="N339" s="92"/>
    </row>
    <row r="340" customFormat="false" ht="14.25" hidden="false" customHeight="false" outlineLevel="0" collapsed="false">
      <c r="C340" s="64" t="n">
        <v>335</v>
      </c>
      <c r="D340" s="65" t="s">
        <v>1635</v>
      </c>
      <c r="E340" s="65" t="s">
        <v>1544</v>
      </c>
      <c r="F340" s="65" t="n">
        <v>13.2</v>
      </c>
      <c r="G340" s="66" t="n">
        <v>12.5</v>
      </c>
      <c r="H340" s="68" t="s">
        <v>1557</v>
      </c>
      <c r="I340" s="68" t="s">
        <v>1546</v>
      </c>
      <c r="J340" s="68" t="s">
        <v>202</v>
      </c>
      <c r="K340" s="67"/>
      <c r="L340" s="68" t="s">
        <v>1547</v>
      </c>
      <c r="M340" s="68" t="s">
        <v>999</v>
      </c>
      <c r="N340" s="92"/>
    </row>
    <row r="341" customFormat="false" ht="14.25" hidden="false" customHeight="false" outlineLevel="0" collapsed="false">
      <c r="C341" s="64" t="n">
        <v>336</v>
      </c>
      <c r="D341" s="65" t="s">
        <v>1257</v>
      </c>
      <c r="E341" s="65" t="s">
        <v>1544</v>
      </c>
      <c r="F341" s="65" t="n">
        <v>110</v>
      </c>
      <c r="G341" s="66" t="n">
        <v>40</v>
      </c>
      <c r="H341" s="68" t="s">
        <v>1545</v>
      </c>
      <c r="I341" s="68" t="s">
        <v>1558</v>
      </c>
      <c r="J341" s="68" t="s">
        <v>202</v>
      </c>
      <c r="K341" s="67"/>
      <c r="L341" s="68" t="s">
        <v>1547</v>
      </c>
      <c r="M341" s="68" t="s">
        <v>1559</v>
      </c>
      <c r="N341" s="92"/>
    </row>
    <row r="342" customFormat="false" ht="14.25" hidden="false" customHeight="false" outlineLevel="0" collapsed="false">
      <c r="C342" s="64" t="n">
        <v>337</v>
      </c>
      <c r="D342" s="65" t="s">
        <v>1257</v>
      </c>
      <c r="E342" s="65" t="s">
        <v>1544</v>
      </c>
      <c r="F342" s="65" t="n">
        <v>44</v>
      </c>
      <c r="G342" s="66" t="n">
        <v>20</v>
      </c>
      <c r="H342" s="68" t="s">
        <v>1555</v>
      </c>
      <c r="I342" s="68" t="s">
        <v>1549</v>
      </c>
      <c r="J342" s="68" t="s">
        <v>202</v>
      </c>
      <c r="K342" s="67"/>
      <c r="L342" s="68" t="s">
        <v>1547</v>
      </c>
      <c r="M342" s="68" t="s">
        <v>1559</v>
      </c>
      <c r="N342" s="92"/>
    </row>
    <row r="343" customFormat="false" ht="14.25" hidden="false" customHeight="false" outlineLevel="0" collapsed="false">
      <c r="C343" s="64" t="n">
        <v>338</v>
      </c>
      <c r="D343" s="65" t="s">
        <v>1257</v>
      </c>
      <c r="E343" s="65" t="s">
        <v>1544</v>
      </c>
      <c r="F343" s="65" t="n">
        <v>13.2</v>
      </c>
      <c r="G343" s="66" t="n">
        <v>25</v>
      </c>
      <c r="H343" s="68" t="s">
        <v>1548</v>
      </c>
      <c r="I343" s="68" t="s">
        <v>1549</v>
      </c>
      <c r="J343" s="68" t="s">
        <v>202</v>
      </c>
      <c r="K343" s="67"/>
      <c r="L343" s="68" t="s">
        <v>1547</v>
      </c>
      <c r="M343" s="68" t="s">
        <v>1559</v>
      </c>
      <c r="N343" s="92"/>
    </row>
    <row r="344" customFormat="false" ht="14.25" hidden="false" customHeight="false" outlineLevel="0" collapsed="false">
      <c r="C344" s="64" t="n">
        <v>339</v>
      </c>
      <c r="D344" s="65" t="s">
        <v>1636</v>
      </c>
      <c r="E344" s="65" t="s">
        <v>1544</v>
      </c>
      <c r="F344" s="65" t="n">
        <v>44</v>
      </c>
      <c r="G344" s="66" t="n">
        <v>30</v>
      </c>
      <c r="H344" s="68" t="s">
        <v>1552</v>
      </c>
      <c r="I344" s="68" t="s">
        <v>1546</v>
      </c>
      <c r="J344" s="68" t="s">
        <v>202</v>
      </c>
      <c r="K344" s="67"/>
      <c r="L344" s="68" t="s">
        <v>1547</v>
      </c>
      <c r="M344" s="68" t="s">
        <v>1636</v>
      </c>
      <c r="N344" s="92"/>
    </row>
    <row r="345" customFormat="false" ht="14.25" hidden="false" customHeight="false" outlineLevel="0" collapsed="false">
      <c r="C345" s="64" t="n">
        <v>340</v>
      </c>
      <c r="D345" s="65" t="s">
        <v>1636</v>
      </c>
      <c r="E345" s="65" t="s">
        <v>1544</v>
      </c>
      <c r="F345" s="65" t="n">
        <v>13.2</v>
      </c>
      <c r="G345" s="66" t="n">
        <v>12.5</v>
      </c>
      <c r="H345" s="68" t="s">
        <v>1557</v>
      </c>
      <c r="I345" s="68" t="s">
        <v>1546</v>
      </c>
      <c r="J345" s="68" t="s">
        <v>202</v>
      </c>
      <c r="K345" s="67"/>
      <c r="L345" s="68" t="s">
        <v>1547</v>
      </c>
      <c r="M345" s="68" t="s">
        <v>1636</v>
      </c>
      <c r="N345" s="92"/>
    </row>
    <row r="346" customFormat="false" ht="14.25" hidden="false" customHeight="false" outlineLevel="0" collapsed="false">
      <c r="C346" s="64" t="n">
        <v>341</v>
      </c>
      <c r="D346" s="65" t="s">
        <v>960</v>
      </c>
      <c r="E346" s="65" t="s">
        <v>1544</v>
      </c>
      <c r="F346" s="65" t="n">
        <v>110</v>
      </c>
      <c r="G346" s="66" t="n">
        <v>40</v>
      </c>
      <c r="H346" s="68" t="s">
        <v>1555</v>
      </c>
      <c r="I346" s="68" t="s">
        <v>1546</v>
      </c>
      <c r="J346" s="68" t="s">
        <v>202</v>
      </c>
      <c r="K346" s="67"/>
      <c r="L346" s="68" t="s">
        <v>1547</v>
      </c>
      <c r="M346" s="68" t="s">
        <v>960</v>
      </c>
      <c r="N346" s="92"/>
    </row>
    <row r="347" customFormat="false" ht="14.25" hidden="false" customHeight="false" outlineLevel="0" collapsed="false">
      <c r="C347" s="64" t="n">
        <v>342</v>
      </c>
      <c r="D347" s="65" t="s">
        <v>960</v>
      </c>
      <c r="E347" s="65" t="s">
        <v>1544</v>
      </c>
      <c r="F347" s="65" t="n">
        <v>44</v>
      </c>
      <c r="G347" s="66" t="n">
        <v>10.7</v>
      </c>
      <c r="H347" s="68" t="s">
        <v>1545</v>
      </c>
      <c r="I347" s="68" t="s">
        <v>1546</v>
      </c>
      <c r="J347" s="68" t="s">
        <v>202</v>
      </c>
      <c r="K347" s="67"/>
      <c r="L347" s="68" t="s">
        <v>1547</v>
      </c>
      <c r="M347" s="68" t="s">
        <v>960</v>
      </c>
      <c r="N347" s="92"/>
    </row>
    <row r="348" customFormat="false" ht="14.25" hidden="false" customHeight="false" outlineLevel="0" collapsed="false">
      <c r="C348" s="64" t="n">
        <v>343</v>
      </c>
      <c r="D348" s="65" t="s">
        <v>960</v>
      </c>
      <c r="E348" s="65" t="s">
        <v>1544</v>
      </c>
      <c r="F348" s="65" t="n">
        <v>13.2</v>
      </c>
      <c r="G348" s="66" t="n">
        <v>25</v>
      </c>
      <c r="H348" s="68" t="s">
        <v>1548</v>
      </c>
      <c r="I348" s="68" t="s">
        <v>1549</v>
      </c>
      <c r="J348" s="68" t="s">
        <v>202</v>
      </c>
      <c r="K348" s="67"/>
      <c r="L348" s="68" t="s">
        <v>1547</v>
      </c>
      <c r="M348" s="68" t="s">
        <v>960</v>
      </c>
      <c r="N348" s="92"/>
    </row>
    <row r="349" customFormat="false" ht="14.25" hidden="false" customHeight="false" outlineLevel="0" collapsed="false">
      <c r="C349" s="64" t="n">
        <v>344</v>
      </c>
      <c r="D349" s="65" t="s">
        <v>925</v>
      </c>
      <c r="E349" s="65" t="s">
        <v>1544</v>
      </c>
      <c r="F349" s="65" t="n">
        <v>110</v>
      </c>
      <c r="G349" s="66" t="n">
        <v>65</v>
      </c>
      <c r="H349" s="68" t="s">
        <v>1545</v>
      </c>
      <c r="I349" s="68" t="s">
        <v>1546</v>
      </c>
      <c r="J349" s="68" t="s">
        <v>202</v>
      </c>
      <c r="K349" s="67"/>
      <c r="L349" s="68" t="s">
        <v>1547</v>
      </c>
      <c r="M349" s="68" t="s">
        <v>960</v>
      </c>
      <c r="N349" s="92"/>
    </row>
    <row r="350" customFormat="false" ht="14.25" hidden="false" customHeight="false" outlineLevel="0" collapsed="false">
      <c r="C350" s="64" t="n">
        <v>345</v>
      </c>
      <c r="D350" s="65" t="s">
        <v>995</v>
      </c>
      <c r="E350" s="65" t="s">
        <v>1544</v>
      </c>
      <c r="F350" s="65" t="n">
        <v>44</v>
      </c>
      <c r="G350" s="66" t="n">
        <v>8</v>
      </c>
      <c r="H350" s="68" t="s">
        <v>1552</v>
      </c>
      <c r="I350" s="68" t="s">
        <v>1546</v>
      </c>
      <c r="J350" s="68" t="s">
        <v>202</v>
      </c>
      <c r="K350" s="67"/>
      <c r="L350" s="68" t="s">
        <v>1547</v>
      </c>
      <c r="M350" s="68" t="s">
        <v>995</v>
      </c>
      <c r="N350" s="92"/>
    </row>
    <row r="351" customFormat="false" ht="14.25" hidden="false" customHeight="false" outlineLevel="0" collapsed="false">
      <c r="C351" s="64" t="n">
        <v>346</v>
      </c>
      <c r="D351" s="65" t="s">
        <v>995</v>
      </c>
      <c r="E351" s="65" t="s">
        <v>1544</v>
      </c>
      <c r="F351" s="65" t="n">
        <v>13.2</v>
      </c>
      <c r="G351" s="66" t="n">
        <v>12.5</v>
      </c>
      <c r="H351" s="68" t="s">
        <v>1557</v>
      </c>
      <c r="I351" s="68" t="s">
        <v>1546</v>
      </c>
      <c r="J351" s="68" t="s">
        <v>202</v>
      </c>
      <c r="K351" s="67"/>
      <c r="L351" s="68" t="s">
        <v>1547</v>
      </c>
      <c r="M351" s="68" t="s">
        <v>995</v>
      </c>
      <c r="N351" s="92"/>
    </row>
    <row r="352" customFormat="false" ht="14.25" hidden="false" customHeight="false" outlineLevel="0" collapsed="false">
      <c r="C352" s="64" t="n">
        <v>347</v>
      </c>
      <c r="D352" s="65" t="s">
        <v>1269</v>
      </c>
      <c r="E352" s="65" t="s">
        <v>1544</v>
      </c>
      <c r="F352" s="65" t="n">
        <v>34.5</v>
      </c>
      <c r="G352" s="66" t="n">
        <v>31.5</v>
      </c>
      <c r="H352" s="68" t="s">
        <v>1548</v>
      </c>
      <c r="I352" s="68" t="s">
        <v>1549</v>
      </c>
      <c r="J352" s="68" t="s">
        <v>202</v>
      </c>
      <c r="K352" s="67"/>
      <c r="L352" s="68" t="s">
        <v>1547</v>
      </c>
      <c r="M352" s="68" t="s">
        <v>1269</v>
      </c>
      <c r="N352" s="92"/>
    </row>
    <row r="353" customFormat="false" ht="14.25" hidden="false" customHeight="false" outlineLevel="0" collapsed="false">
      <c r="C353" s="64" t="n">
        <v>348</v>
      </c>
      <c r="D353" s="65" t="s">
        <v>1269</v>
      </c>
      <c r="E353" s="65" t="s">
        <v>1544</v>
      </c>
      <c r="F353" s="65" t="n">
        <v>13.2</v>
      </c>
      <c r="G353" s="66" t="n">
        <v>25</v>
      </c>
      <c r="H353" s="68" t="s">
        <v>1548</v>
      </c>
      <c r="I353" s="68" t="s">
        <v>1549</v>
      </c>
      <c r="J353" s="68" t="s">
        <v>202</v>
      </c>
      <c r="K353" s="67"/>
      <c r="L353" s="68" t="s">
        <v>1547</v>
      </c>
      <c r="M353" s="68" t="s">
        <v>1269</v>
      </c>
      <c r="N353" s="92"/>
    </row>
    <row r="354" customFormat="false" ht="14.25" hidden="false" customHeight="false" outlineLevel="0" collapsed="false">
      <c r="C354" s="64" t="n">
        <v>349</v>
      </c>
      <c r="D354" s="65" t="s">
        <v>1238</v>
      </c>
      <c r="E354" s="65" t="s">
        <v>1544</v>
      </c>
      <c r="F354" s="65" t="n">
        <v>110</v>
      </c>
      <c r="G354" s="66" t="n">
        <v>21</v>
      </c>
      <c r="H354" s="68" t="s">
        <v>1545</v>
      </c>
      <c r="I354" s="68" t="s">
        <v>1546</v>
      </c>
      <c r="J354" s="68" t="s">
        <v>202</v>
      </c>
      <c r="K354" s="67"/>
      <c r="L354" s="68" t="s">
        <v>1547</v>
      </c>
      <c r="M354" s="68" t="s">
        <v>1214</v>
      </c>
      <c r="N354" s="92"/>
    </row>
    <row r="355" customFormat="false" ht="14.25" hidden="false" customHeight="false" outlineLevel="0" collapsed="false">
      <c r="C355" s="64" t="n">
        <v>350</v>
      </c>
      <c r="D355" s="65" t="s">
        <v>1238</v>
      </c>
      <c r="E355" s="65" t="s">
        <v>1544</v>
      </c>
      <c r="F355" s="65" t="n">
        <v>44</v>
      </c>
      <c r="G355" s="66" t="n">
        <v>12.5</v>
      </c>
      <c r="H355" s="68" t="s">
        <v>1545</v>
      </c>
      <c r="I355" s="68" t="s">
        <v>1546</v>
      </c>
      <c r="J355" s="68" t="s">
        <v>202</v>
      </c>
      <c r="K355" s="67"/>
      <c r="L355" s="68" t="s">
        <v>1547</v>
      </c>
      <c r="M355" s="68" t="s">
        <v>1214</v>
      </c>
      <c r="N355" s="92"/>
    </row>
    <row r="356" customFormat="false" ht="14.25" hidden="false" customHeight="false" outlineLevel="0" collapsed="false">
      <c r="C356" s="64" t="n">
        <v>351</v>
      </c>
      <c r="D356" s="65" t="s">
        <v>1238</v>
      </c>
      <c r="E356" s="65" t="s">
        <v>1544</v>
      </c>
      <c r="F356" s="65" t="n">
        <v>13.2</v>
      </c>
      <c r="G356" s="66" t="n">
        <v>31.5</v>
      </c>
      <c r="H356" s="68" t="s">
        <v>1548</v>
      </c>
      <c r="I356" s="68" t="s">
        <v>1549</v>
      </c>
      <c r="J356" s="68" t="s">
        <v>202</v>
      </c>
      <c r="K356" s="67"/>
      <c r="L356" s="68" t="s">
        <v>1547</v>
      </c>
      <c r="M356" s="68" t="s">
        <v>1214</v>
      </c>
      <c r="N356" s="92"/>
    </row>
    <row r="357" customFormat="false" ht="14.25" hidden="false" customHeight="false" outlineLevel="0" collapsed="false">
      <c r="C357" s="64" t="n">
        <v>352</v>
      </c>
      <c r="D357" s="65" t="s">
        <v>1010</v>
      </c>
      <c r="E357" s="65" t="s">
        <v>1544</v>
      </c>
      <c r="F357" s="65" t="n">
        <v>44</v>
      </c>
      <c r="G357" s="66" t="n">
        <v>31.5</v>
      </c>
      <c r="H357" s="68" t="s">
        <v>1545</v>
      </c>
      <c r="I357" s="68" t="s">
        <v>1546</v>
      </c>
      <c r="J357" s="68" t="s">
        <v>202</v>
      </c>
      <c r="K357" s="67"/>
      <c r="L357" s="68" t="s">
        <v>1547</v>
      </c>
      <c r="M357" s="68" t="s">
        <v>1010</v>
      </c>
      <c r="N357" s="92"/>
    </row>
    <row r="358" customFormat="false" ht="14.25" hidden="false" customHeight="false" outlineLevel="0" collapsed="false">
      <c r="C358" s="64" t="n">
        <v>353</v>
      </c>
      <c r="D358" s="65" t="s">
        <v>1010</v>
      </c>
      <c r="E358" s="65" t="s">
        <v>1544</v>
      </c>
      <c r="F358" s="65" t="n">
        <v>13.2</v>
      </c>
      <c r="G358" s="66" t="n">
        <v>12.5</v>
      </c>
      <c r="H358" s="68" t="s">
        <v>1557</v>
      </c>
      <c r="I358" s="68" t="s">
        <v>1546</v>
      </c>
      <c r="J358" s="68" t="s">
        <v>202</v>
      </c>
      <c r="K358" s="67"/>
      <c r="L358" s="68" t="s">
        <v>1547</v>
      </c>
      <c r="M358" s="68" t="s">
        <v>1010</v>
      </c>
      <c r="N358" s="92"/>
    </row>
    <row r="359" customFormat="false" ht="14.25" hidden="false" customHeight="false" outlineLevel="0" collapsed="false">
      <c r="C359" s="64" t="n">
        <v>354</v>
      </c>
      <c r="D359" s="65" t="s">
        <v>794</v>
      </c>
      <c r="E359" s="65" t="s">
        <v>1544</v>
      </c>
      <c r="F359" s="65" t="n">
        <v>44</v>
      </c>
      <c r="G359" s="66" t="n">
        <v>8</v>
      </c>
      <c r="H359" s="68" t="s">
        <v>1555</v>
      </c>
      <c r="I359" s="68" t="s">
        <v>1546</v>
      </c>
      <c r="J359" s="68" t="s">
        <v>202</v>
      </c>
      <c r="K359" s="67"/>
      <c r="L359" s="68" t="s">
        <v>1547</v>
      </c>
      <c r="M359" s="68" t="s">
        <v>777</v>
      </c>
      <c r="N359" s="92"/>
    </row>
    <row r="360" customFormat="false" ht="14.25" hidden="false" customHeight="false" outlineLevel="0" collapsed="false">
      <c r="C360" s="64" t="n">
        <v>355</v>
      </c>
      <c r="D360" s="65" t="s">
        <v>794</v>
      </c>
      <c r="E360" s="65" t="s">
        <v>1544</v>
      </c>
      <c r="F360" s="65" t="n">
        <v>13.2</v>
      </c>
      <c r="G360" s="66" t="n">
        <v>12.5</v>
      </c>
      <c r="H360" s="68" t="s">
        <v>1557</v>
      </c>
      <c r="I360" s="68" t="s">
        <v>1546</v>
      </c>
      <c r="J360" s="68" t="s">
        <v>202</v>
      </c>
      <c r="K360" s="67"/>
      <c r="L360" s="68" t="s">
        <v>1547</v>
      </c>
      <c r="M360" s="68" t="s">
        <v>777</v>
      </c>
      <c r="N360" s="92"/>
    </row>
    <row r="375" customFormat="false" ht="14.25" hidden="false" customHeight="false" outlineLevel="0" collapsed="false">
      <c r="G375" s="97"/>
    </row>
  </sheetData>
  <mergeCells count="13">
    <mergeCell ref="C3:N3"/>
    <mergeCell ref="C4:C5"/>
    <mergeCell ref="D4:D5"/>
    <mergeCell ref="E4:E5"/>
    <mergeCell ref="F4:F5"/>
    <mergeCell ref="G4:G5"/>
    <mergeCell ref="H4:H5"/>
    <mergeCell ref="I4:I5"/>
    <mergeCell ref="J4:J5"/>
    <mergeCell ref="K4:K5"/>
    <mergeCell ref="L4:L5"/>
    <mergeCell ref="M4:M5"/>
    <mergeCell ref="N4:N5"/>
  </mergeCells>
  <dataValidations count="5">
    <dataValidation allowBlank="true" errorStyle="stop" operator="between" showDropDown="false" showErrorMessage="true" showInputMessage="true" sqref="F1:G3 G6:G360 F361:G1360" type="decimal">
      <formula1>-1000000000</formula1>
      <formula2>100000000000</formula2>
    </dataValidation>
    <dataValidation allowBlank="true" errorStyle="stop" operator="greaterThan" showDropDown="false" showErrorMessage="true" showInputMessage="true" sqref="K1:K3 K6:K1360" type="date">
      <formula1>1</formula1>
      <formula2>0</formula2>
    </dataValidation>
    <dataValidation allowBlank="true" errorStyle="stop" operator="between" showDropDown="false" showErrorMessage="true" showInputMessage="true" sqref="I1:I3 I6:I1360" type="list">
      <formula1>'Listas Desplegables'!$B$44:$B$46</formula1>
      <formula2>0</formula2>
    </dataValidation>
    <dataValidation allowBlank="true" errorStyle="stop" operator="between" showDropDown="false" showErrorMessage="true" showInputMessage="true" sqref="J1:J3 J6:J1360" type="list">
      <formula1>'Listas Desplegables'!$B$48:$B$49</formula1>
      <formula2>0</formula2>
    </dataValidation>
    <dataValidation allowBlank="true" errorStyle="stop" operator="between" showDropDown="false" showErrorMessage="true" showInputMessage="true" sqref="H1:H3 H6:H1360" type="list">
      <formula1>'Listas Desplegables'!$B$34:$B$42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C1:Q3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5" topLeftCell="N134" activePane="bottomRight" state="frozen"/>
      <selection pane="topLeft" activeCell="A1" activeCellId="0" sqref="A1"/>
      <selection pane="topRight" activeCell="N1" activeCellId="0" sqref="N1"/>
      <selection pane="bottomLeft" activeCell="A134" activeCellId="0" sqref="A134"/>
      <selection pane="bottomRight" activeCell="D43" activeCellId="0" sqref="D43"/>
    </sheetView>
  </sheetViews>
  <sheetFormatPr defaultColWidth="11.55859375" defaultRowHeight="14.25" zeroHeight="false" outlineLevelRow="0" outlineLevelCol="0"/>
  <cols>
    <col collapsed="false" customWidth="true" hidden="true" outlineLevel="0" max="2" min="1" style="0" width="3"/>
    <col collapsed="false" customWidth="true" hidden="false" outlineLevel="0" max="3" min="3" style="46" width="6.67"/>
    <col collapsed="false" customWidth="true" hidden="false" outlineLevel="0" max="4" min="4" style="0" width="23.78"/>
    <col collapsed="false" customWidth="true" hidden="false" outlineLevel="0" max="5" min="5" style="0" width="19.1"/>
    <col collapsed="false" customWidth="true" hidden="false" outlineLevel="0" max="6" min="6" style="0" width="6.3"/>
    <col collapsed="false" customWidth="true" hidden="false" outlineLevel="0" max="7" min="7" style="0" width="12.67"/>
    <col collapsed="false" customWidth="true" hidden="false" outlineLevel="0" max="8" min="8" style="0" width="10.69"/>
    <col collapsed="false" customWidth="true" hidden="false" outlineLevel="0" max="9" min="9" style="0" width="3.06"/>
    <col collapsed="false" customWidth="true" hidden="false" outlineLevel="0" max="10" min="10" style="47" width="3.24"/>
    <col collapsed="false" customWidth="true" hidden="false" outlineLevel="0" max="11" min="11" style="0" width="5.83"/>
    <col collapsed="false" customWidth="true" hidden="false" outlineLevel="0" max="12" min="12" style="0" width="6.78"/>
    <col collapsed="false" customWidth="true" hidden="false" outlineLevel="0" max="16" min="13" style="0" width="12.67"/>
    <col collapsed="false" customWidth="true" hidden="false" outlineLevel="0" max="17" min="17" style="0" width="29.44"/>
    <col collapsed="false" customWidth="true" hidden="false" outlineLevel="0" max="19" min="19" style="0" width="12.67"/>
  </cols>
  <sheetData>
    <row r="1" customFormat="false" ht="14.25" hidden="true" customHeight="false" outlineLevel="0" collapsed="false"/>
    <row r="2" customFormat="false" ht="15" hidden="true" customHeight="false" outlineLevel="0" collapsed="false"/>
    <row r="3" s="50" customFormat="true" ht="15" hidden="false" customHeight="false" outlineLevel="0" collapsed="false">
      <c r="C3" s="49" t="s">
        <v>1637</v>
      </c>
      <c r="D3" s="49"/>
      <c r="E3" s="49"/>
      <c r="F3" s="49"/>
      <c r="G3" s="49"/>
      <c r="H3" s="49"/>
      <c r="I3" s="49"/>
      <c r="J3" s="49"/>
      <c r="K3" s="49"/>
      <c r="L3" s="49"/>
      <c r="M3" s="49"/>
      <c r="N3" s="49"/>
      <c r="O3" s="49"/>
      <c r="P3" s="49"/>
      <c r="Q3" s="49"/>
    </row>
    <row r="4" s="55" customFormat="true" ht="12" hidden="false" customHeight="true" outlineLevel="0" collapsed="false">
      <c r="C4" s="53" t="s">
        <v>195</v>
      </c>
      <c r="D4" s="54" t="str">
        <f aca="false">'Manual de Uso'!C115</f>
        <v>Nombre</v>
      </c>
      <c r="E4" s="54" t="str">
        <f aca="false">'Manual de Uso'!C116</f>
        <v>Subestación</v>
      </c>
      <c r="F4" s="54" t="str">
        <f aca="false">'Manual de Uso'!C117</f>
        <v>Nivel de tensión [kV]</v>
      </c>
      <c r="G4" s="54" t="str">
        <f aca="false">'Manual de Uso'!C118</f>
        <v>Tipo</v>
      </c>
      <c r="H4" s="94" t="str">
        <f aca="false">'Manual de Uso'!C119</f>
        <v>Atendida Subestación Nivel IV</v>
      </c>
      <c r="I4" s="54" t="str">
        <f aca="false">'Manual de Uso'!C120</f>
        <v>En Operación</v>
      </c>
      <c r="J4" s="87" t="str">
        <f aca="false">'Manual de Uso'!C121</f>
        <v>FPO</v>
      </c>
      <c r="K4" s="54" t="str">
        <f aca="false">'Manual de Uso'!C122</f>
        <v>Demanda Mínima</v>
      </c>
      <c r="L4" s="54"/>
      <c r="M4" s="54" t="str">
        <f aca="false">'Manual de Uso'!C123</f>
        <v>Demanda Media</v>
      </c>
      <c r="N4" s="54"/>
      <c r="O4" s="54" t="str">
        <f aca="false">'Manual de Uso'!C124</f>
        <v>Demanda Máxima</v>
      </c>
      <c r="P4" s="54"/>
      <c r="Q4" s="54" t="str">
        <f aca="false">'Manual de Uso'!C125</f>
        <v>Observaciones transportador</v>
      </c>
    </row>
    <row r="5" s="55" customFormat="true" ht="24" hidden="false" customHeight="true" outlineLevel="0" collapsed="false">
      <c r="C5" s="53"/>
      <c r="D5" s="54"/>
      <c r="E5" s="54"/>
      <c r="F5" s="54"/>
      <c r="G5" s="54"/>
      <c r="H5" s="94"/>
      <c r="I5" s="54"/>
      <c r="J5" s="87"/>
      <c r="K5" s="98" t="s">
        <v>1638</v>
      </c>
      <c r="L5" s="98" t="s">
        <v>1639</v>
      </c>
      <c r="M5" s="98" t="s">
        <v>1638</v>
      </c>
      <c r="N5" s="98" t="s">
        <v>1639</v>
      </c>
      <c r="O5" s="99" t="s">
        <v>1638</v>
      </c>
      <c r="P5" s="99" t="s">
        <v>1639</v>
      </c>
      <c r="Q5" s="54"/>
    </row>
    <row r="6" customFormat="false" ht="14.25" hidden="false" customHeight="false" outlineLevel="0" collapsed="false">
      <c r="C6" s="57" t="n">
        <v>1</v>
      </c>
      <c r="D6" s="58" t="s">
        <v>210</v>
      </c>
      <c r="E6" s="58" t="s">
        <v>210</v>
      </c>
      <c r="F6" s="59" t="n">
        <v>44</v>
      </c>
      <c r="G6" s="58" t="s">
        <v>1640</v>
      </c>
      <c r="H6" s="65" t="s">
        <v>1238</v>
      </c>
      <c r="I6" s="58" t="s">
        <v>202</v>
      </c>
      <c r="J6" s="100"/>
      <c r="K6" s="101" t="n">
        <v>0.0497387239716342</v>
      </c>
      <c r="L6" s="101" t="n">
        <v>0</v>
      </c>
      <c r="M6" s="101" t="n">
        <v>0.208813021358392</v>
      </c>
      <c r="N6" s="101" t="n">
        <v>0.0721435545894874</v>
      </c>
      <c r="O6" s="102" t="n">
        <v>0.248693619858171</v>
      </c>
      <c r="P6" s="102" t="n">
        <v>0.0860345495725564</v>
      </c>
      <c r="Q6" s="95" t="s">
        <v>1641</v>
      </c>
    </row>
    <row r="7" customFormat="false" ht="14.25" hidden="false" customHeight="false" outlineLevel="0" collapsed="false">
      <c r="C7" s="64" t="n">
        <v>2</v>
      </c>
      <c r="D7" s="65" t="s">
        <v>373</v>
      </c>
      <c r="E7" s="65" t="s">
        <v>373</v>
      </c>
      <c r="F7" s="66" t="n">
        <v>44</v>
      </c>
      <c r="G7" s="65" t="s">
        <v>1640</v>
      </c>
      <c r="H7" s="65" t="s">
        <v>1071</v>
      </c>
      <c r="I7" s="65" t="s">
        <v>202</v>
      </c>
      <c r="J7" s="103"/>
      <c r="K7" s="102" t="n">
        <v>0</v>
      </c>
      <c r="L7" s="102" t="n">
        <v>0</v>
      </c>
      <c r="M7" s="102" t="n">
        <v>0.232383363473003</v>
      </c>
      <c r="N7" s="102" t="n">
        <v>0</v>
      </c>
      <c r="O7" s="102" t="n">
        <v>0.160068260853782</v>
      </c>
      <c r="P7" s="102" t="n">
        <v>0</v>
      </c>
      <c r="Q7" s="92" t="s">
        <v>1641</v>
      </c>
    </row>
    <row r="8" customFormat="false" ht="14.25" hidden="false" customHeight="false" outlineLevel="0" collapsed="false">
      <c r="C8" s="64" t="n">
        <v>3</v>
      </c>
      <c r="D8" s="65" t="s">
        <v>328</v>
      </c>
      <c r="E8" s="65" t="s">
        <v>328</v>
      </c>
      <c r="F8" s="66" t="n">
        <v>44</v>
      </c>
      <c r="G8" s="65" t="s">
        <v>1642</v>
      </c>
      <c r="H8" s="65" t="s">
        <v>1214</v>
      </c>
      <c r="I8" s="65" t="s">
        <v>202</v>
      </c>
      <c r="J8" s="103"/>
      <c r="K8" s="102" t="n">
        <v>0.208379885083923</v>
      </c>
      <c r="L8" s="102" t="n">
        <v>0.00233434023316414</v>
      </c>
      <c r="M8" s="102" t="n">
        <v>0.664289815479657</v>
      </c>
      <c r="N8" s="102" t="n">
        <v>0.00478539747798648</v>
      </c>
      <c r="O8" s="102" t="n">
        <v>0.670604357451897</v>
      </c>
      <c r="P8" s="102" t="n">
        <v>0.0123953466381016</v>
      </c>
      <c r="Q8" s="92" t="s">
        <v>1641</v>
      </c>
    </row>
    <row r="9" customFormat="false" ht="14.25" hidden="false" customHeight="false" outlineLevel="0" collapsed="false">
      <c r="C9" s="64" t="n">
        <v>4</v>
      </c>
      <c r="D9" s="65" t="s">
        <v>216</v>
      </c>
      <c r="E9" s="65" t="s">
        <v>216</v>
      </c>
      <c r="F9" s="66" t="n">
        <v>44</v>
      </c>
      <c r="G9" s="65" t="s">
        <v>1640</v>
      </c>
      <c r="H9" s="65" t="s">
        <v>1238</v>
      </c>
      <c r="I9" s="65" t="s">
        <v>202</v>
      </c>
      <c r="J9" s="103"/>
      <c r="K9" s="102" t="n">
        <v>0.0620848607896457</v>
      </c>
      <c r="L9" s="102" t="n">
        <v>0</v>
      </c>
      <c r="M9" s="102" t="n">
        <v>0.260644550702477</v>
      </c>
      <c r="N9" s="102" t="n">
        <v>0.0900510142984951</v>
      </c>
      <c r="O9" s="102" t="n">
        <v>0.310424303948229</v>
      </c>
      <c r="P9" s="102" t="n">
        <v>0.107390029473982</v>
      </c>
      <c r="Q9" s="92" t="s">
        <v>1641</v>
      </c>
    </row>
    <row r="10" customFormat="false" ht="14.25" hidden="false" customHeight="false" outlineLevel="0" collapsed="false">
      <c r="C10" s="64" t="n">
        <v>5</v>
      </c>
      <c r="D10" s="65" t="s">
        <v>299</v>
      </c>
      <c r="E10" s="65" t="s">
        <v>299</v>
      </c>
      <c r="F10" s="66" t="n">
        <v>44</v>
      </c>
      <c r="G10" s="65" t="s">
        <v>1640</v>
      </c>
      <c r="H10" s="65" t="s">
        <v>1218</v>
      </c>
      <c r="I10" s="65" t="s">
        <v>202</v>
      </c>
      <c r="J10" s="103"/>
      <c r="K10" s="102" t="n">
        <v>0</v>
      </c>
      <c r="L10" s="102" t="n">
        <v>0</v>
      </c>
      <c r="M10" s="102" t="n">
        <v>0.574195361144326</v>
      </c>
      <c r="N10" s="102" t="n">
        <v>0.192826800384289</v>
      </c>
      <c r="O10" s="102" t="n">
        <v>0.46135597425278</v>
      </c>
      <c r="P10" s="102" t="n">
        <v>0.168544907002563</v>
      </c>
      <c r="Q10" s="92" t="s">
        <v>1641</v>
      </c>
    </row>
    <row r="11" customFormat="false" ht="14.25" hidden="false" customHeight="false" outlineLevel="0" collapsed="false">
      <c r="C11" s="64" t="n">
        <v>6</v>
      </c>
      <c r="D11" s="65" t="s">
        <v>284</v>
      </c>
      <c r="E11" s="65" t="s">
        <v>284</v>
      </c>
      <c r="F11" s="66" t="n">
        <v>44</v>
      </c>
      <c r="G11" s="65" t="s">
        <v>1640</v>
      </c>
      <c r="H11" s="65" t="s">
        <v>1207</v>
      </c>
      <c r="I11" s="65" t="s">
        <v>202</v>
      </c>
      <c r="J11" s="103"/>
      <c r="K11" s="102" t="n">
        <v>2.49631661442006</v>
      </c>
      <c r="L11" s="102" t="n">
        <v>0.552238372093023</v>
      </c>
      <c r="M11" s="102" t="n">
        <v>4.41882352941177</v>
      </c>
      <c r="N11" s="102" t="n">
        <v>1.39260450160772</v>
      </c>
      <c r="O11" s="102" t="n">
        <v>3.76078726968174</v>
      </c>
      <c r="P11" s="102" t="n">
        <v>1.22502340093604</v>
      </c>
      <c r="Q11" s="92" t="s">
        <v>1643</v>
      </c>
    </row>
    <row r="12" customFormat="false" ht="14.25" hidden="false" customHeight="false" outlineLevel="0" collapsed="false">
      <c r="C12" s="64" t="n">
        <v>7</v>
      </c>
      <c r="D12" s="65" t="s">
        <v>259</v>
      </c>
      <c r="E12" s="65" t="s">
        <v>259</v>
      </c>
      <c r="F12" s="66" t="n">
        <v>44</v>
      </c>
      <c r="G12" s="65" t="s">
        <v>1640</v>
      </c>
      <c r="H12" s="65" t="s">
        <v>1205</v>
      </c>
      <c r="I12" s="65" t="s">
        <v>202</v>
      </c>
      <c r="J12" s="103"/>
      <c r="K12" s="102" t="n">
        <v>3.17152089644454</v>
      </c>
      <c r="L12" s="102" t="n">
        <v>1.3530167425145</v>
      </c>
      <c r="M12" s="102" t="n">
        <v>6.839561698399</v>
      </c>
      <c r="N12" s="102" t="n">
        <v>2.24675257243234</v>
      </c>
      <c r="O12" s="102" t="n">
        <v>7.59054805548273</v>
      </c>
      <c r="P12" s="102" t="n">
        <v>2.85498945668198</v>
      </c>
      <c r="Q12" s="92" t="s">
        <v>1644</v>
      </c>
    </row>
    <row r="13" customFormat="false" ht="14.25" hidden="false" customHeight="false" outlineLevel="0" collapsed="false">
      <c r="C13" s="104" t="n">
        <v>8</v>
      </c>
      <c r="D13" s="65" t="s">
        <v>247</v>
      </c>
      <c r="E13" s="65" t="s">
        <v>247</v>
      </c>
      <c r="F13" s="66" t="n">
        <v>44</v>
      </c>
      <c r="G13" s="65" t="s">
        <v>1640</v>
      </c>
      <c r="H13" s="65" t="s">
        <v>1205</v>
      </c>
      <c r="I13" s="65" t="s">
        <v>202</v>
      </c>
      <c r="J13" s="103"/>
      <c r="K13" s="102" t="n">
        <v>0.989062838588444</v>
      </c>
      <c r="L13" s="102" t="n">
        <v>0.421948529965324</v>
      </c>
      <c r="M13" s="102" t="n">
        <v>2.13296917441187</v>
      </c>
      <c r="N13" s="102" t="n">
        <v>0.700666824988291</v>
      </c>
      <c r="O13" s="102" t="n">
        <v>2.36716996397978</v>
      </c>
      <c r="P13" s="102" t="n">
        <v>0.890350109101143</v>
      </c>
      <c r="Q13" s="92" t="s">
        <v>1644</v>
      </c>
    </row>
    <row r="14" customFormat="false" ht="14.25" hidden="false" customHeight="false" outlineLevel="0" collapsed="false">
      <c r="C14" s="64" t="n">
        <v>9</v>
      </c>
      <c r="D14" s="65" t="s">
        <v>228</v>
      </c>
      <c r="E14" s="65" t="s">
        <v>228</v>
      </c>
      <c r="F14" s="66" t="n">
        <v>44</v>
      </c>
      <c r="G14" s="65" t="s">
        <v>1640</v>
      </c>
      <c r="H14" s="65" t="s">
        <v>1238</v>
      </c>
      <c r="I14" s="65" t="s">
        <v>202</v>
      </c>
      <c r="J14" s="103"/>
      <c r="K14" s="102" t="n">
        <v>0.19424985447483</v>
      </c>
      <c r="L14" s="102" t="n">
        <v>0</v>
      </c>
      <c r="M14" s="102" t="n">
        <v>0.815499389056492</v>
      </c>
      <c r="N14" s="102" t="n">
        <v>0.281749788922951</v>
      </c>
      <c r="O14" s="102" t="n">
        <v>0.971249272374148</v>
      </c>
      <c r="P14" s="102" t="n">
        <v>0.335999748280786</v>
      </c>
      <c r="Q14" s="92" t="s">
        <v>1641</v>
      </c>
    </row>
    <row r="15" customFormat="false" ht="14.25" hidden="false" customHeight="false" outlineLevel="0" collapsed="false">
      <c r="C15" s="64" t="n">
        <v>10</v>
      </c>
      <c r="D15" s="65" t="s">
        <v>321</v>
      </c>
      <c r="E15" s="65" t="s">
        <v>321</v>
      </c>
      <c r="F15" s="66" t="n">
        <v>44</v>
      </c>
      <c r="G15" s="65" t="s">
        <v>1640</v>
      </c>
      <c r="H15" s="65" t="s">
        <v>1214</v>
      </c>
      <c r="I15" s="65" t="s">
        <v>202</v>
      </c>
      <c r="J15" s="103"/>
      <c r="K15" s="102" t="n">
        <v>0.429803003663572</v>
      </c>
      <c r="L15" s="102" t="n">
        <v>0.297948120469231</v>
      </c>
      <c r="M15" s="102" t="n">
        <v>1.37015987834569</v>
      </c>
      <c r="N15" s="102" t="n">
        <v>0.610793646961923</v>
      </c>
      <c r="O15" s="102" t="n">
        <v>1.38318421179004</v>
      </c>
      <c r="P15" s="102" t="n">
        <v>1.58210451969161</v>
      </c>
      <c r="Q15" s="92" t="s">
        <v>1641</v>
      </c>
    </row>
    <row r="16" customFormat="false" ht="14.25" hidden="false" customHeight="false" outlineLevel="0" collapsed="false">
      <c r="C16" s="64" t="n">
        <v>11</v>
      </c>
      <c r="D16" s="65" t="s">
        <v>304</v>
      </c>
      <c r="E16" s="65" t="s">
        <v>304</v>
      </c>
      <c r="F16" s="66" t="n">
        <v>44</v>
      </c>
      <c r="G16" s="65" t="s">
        <v>1640</v>
      </c>
      <c r="H16" s="65" t="s">
        <v>1218</v>
      </c>
      <c r="I16" s="65" t="s">
        <v>202</v>
      </c>
      <c r="J16" s="103"/>
      <c r="K16" s="102" t="n">
        <v>0</v>
      </c>
      <c r="L16" s="102" t="n">
        <v>0</v>
      </c>
      <c r="M16" s="102" t="n">
        <v>1.14762960868974</v>
      </c>
      <c r="N16" s="102" t="n">
        <v>0.385398002918196</v>
      </c>
      <c r="O16" s="102" t="n">
        <v>0.922100406982053</v>
      </c>
      <c r="P16" s="102" t="n">
        <v>0.336866402550719</v>
      </c>
      <c r="Q16" s="92" t="s">
        <v>1641</v>
      </c>
    </row>
    <row r="17" customFormat="false" ht="14.25" hidden="false" customHeight="false" outlineLevel="0" collapsed="false">
      <c r="C17" s="64" t="n">
        <v>12</v>
      </c>
      <c r="D17" s="65" t="s">
        <v>1645</v>
      </c>
      <c r="E17" s="65" t="s">
        <v>357</v>
      </c>
      <c r="F17" s="66" t="n">
        <v>44</v>
      </c>
      <c r="G17" s="65" t="s">
        <v>1640</v>
      </c>
      <c r="H17" s="65" t="s">
        <v>1215</v>
      </c>
      <c r="I17" s="65" t="s">
        <v>202</v>
      </c>
      <c r="J17" s="103"/>
      <c r="K17" s="102" t="n">
        <v>1.44435552974864</v>
      </c>
      <c r="L17" s="102" t="n">
        <v>0.344056387982578</v>
      </c>
      <c r="M17" s="102" t="n">
        <v>0.83459222827457</v>
      </c>
      <c r="N17" s="102" t="n">
        <v>0.119227461182081</v>
      </c>
      <c r="O17" s="102" t="n">
        <v>0.582511310346741</v>
      </c>
      <c r="P17" s="102" t="n">
        <v>0</v>
      </c>
      <c r="Q17" s="92" t="s">
        <v>1641</v>
      </c>
    </row>
    <row r="18" customFormat="false" ht="14.25" hidden="false" customHeight="false" outlineLevel="0" collapsed="false">
      <c r="C18" s="64" t="n">
        <v>13</v>
      </c>
      <c r="D18" s="65" t="s">
        <v>255</v>
      </c>
      <c r="E18" s="65" t="s">
        <v>255</v>
      </c>
      <c r="F18" s="66" t="n">
        <v>44</v>
      </c>
      <c r="G18" s="65" t="s">
        <v>1640</v>
      </c>
      <c r="H18" s="65" t="s">
        <v>1205</v>
      </c>
      <c r="I18" s="65" t="s">
        <v>202</v>
      </c>
      <c r="J18" s="103"/>
      <c r="K18" s="102" t="n">
        <v>0.949416264967012</v>
      </c>
      <c r="L18" s="102" t="n">
        <v>0.405034727520173</v>
      </c>
      <c r="M18" s="102" t="n">
        <v>2.04746912718913</v>
      </c>
      <c r="N18" s="102" t="n">
        <v>0.67258060257937</v>
      </c>
      <c r="O18" s="102" t="n">
        <v>2.27228198053749</v>
      </c>
      <c r="P18" s="102" t="n">
        <v>0.854660434216879</v>
      </c>
      <c r="Q18" s="92" t="s">
        <v>1644</v>
      </c>
    </row>
    <row r="19" customFormat="false" ht="14.25" hidden="false" customHeight="false" outlineLevel="0" collapsed="false">
      <c r="C19" s="64" t="n">
        <v>14</v>
      </c>
      <c r="D19" s="65" t="s">
        <v>234</v>
      </c>
      <c r="E19" s="65" t="s">
        <v>234</v>
      </c>
      <c r="F19" s="66" t="n">
        <v>44</v>
      </c>
      <c r="G19" s="65" t="s">
        <v>1640</v>
      </c>
      <c r="H19" s="65" t="s">
        <v>1238</v>
      </c>
      <c r="I19" s="65" t="s">
        <v>202</v>
      </c>
      <c r="J19" s="103"/>
      <c r="K19" s="102" t="n">
        <v>0</v>
      </c>
      <c r="L19" s="102" t="n">
        <v>0</v>
      </c>
      <c r="M19" s="102" t="n">
        <v>0</v>
      </c>
      <c r="N19" s="102" t="n">
        <v>0</v>
      </c>
      <c r="O19" s="102" t="n">
        <v>0</v>
      </c>
      <c r="P19" s="102" t="n">
        <v>0</v>
      </c>
      <c r="Q19" s="92" t="s">
        <v>1641</v>
      </c>
    </row>
    <row r="20" customFormat="false" ht="14.25" hidden="false" customHeight="false" outlineLevel="0" collapsed="false">
      <c r="C20" s="64" t="n">
        <v>15</v>
      </c>
      <c r="D20" s="65" t="s">
        <v>296</v>
      </c>
      <c r="E20" s="65" t="s">
        <v>296</v>
      </c>
      <c r="F20" s="66" t="n">
        <v>44</v>
      </c>
      <c r="G20" s="65" t="s">
        <v>1640</v>
      </c>
      <c r="H20" s="65" t="s">
        <v>1218</v>
      </c>
      <c r="I20" s="65" t="s">
        <v>202</v>
      </c>
      <c r="J20" s="103"/>
      <c r="K20" s="102" t="n">
        <v>0</v>
      </c>
      <c r="L20" s="102" t="n">
        <v>0</v>
      </c>
      <c r="M20" s="102" t="n">
        <v>1.43705098040867</v>
      </c>
      <c r="N20" s="102" t="n">
        <v>0.482591747152165</v>
      </c>
      <c r="O20" s="102" t="n">
        <v>1.15464543948259</v>
      </c>
      <c r="P20" s="102" t="n">
        <v>0.421820934547818</v>
      </c>
      <c r="Q20" s="92" t="s">
        <v>1641</v>
      </c>
    </row>
    <row r="21" customFormat="false" ht="14.25" hidden="false" customHeight="false" outlineLevel="0" collapsed="false">
      <c r="C21" s="104" t="n">
        <v>16</v>
      </c>
      <c r="D21" s="65" t="s">
        <v>1646</v>
      </c>
      <c r="E21" s="65" t="s">
        <v>338</v>
      </c>
      <c r="F21" s="66" t="n">
        <v>44</v>
      </c>
      <c r="G21" s="65" t="s">
        <v>1640</v>
      </c>
      <c r="H21" s="65" t="s">
        <v>1233</v>
      </c>
      <c r="I21" s="65" t="s">
        <v>202</v>
      </c>
      <c r="J21" s="103"/>
      <c r="K21" s="102" t="n">
        <v>1.88</v>
      </c>
      <c r="L21" s="102" t="n">
        <v>0</v>
      </c>
      <c r="M21" s="102" t="n">
        <v>2.88</v>
      </c>
      <c r="N21" s="102" t="n">
        <v>0.62</v>
      </c>
      <c r="O21" s="102" t="n">
        <v>2.83</v>
      </c>
      <c r="P21" s="102" t="n">
        <v>0.73</v>
      </c>
      <c r="Q21" s="92" t="s">
        <v>1641</v>
      </c>
    </row>
    <row r="22" customFormat="false" ht="14.25" hidden="false" customHeight="false" outlineLevel="0" collapsed="false">
      <c r="C22" s="64" t="n">
        <v>17</v>
      </c>
      <c r="D22" s="71" t="s">
        <v>319</v>
      </c>
      <c r="E22" s="71" t="s">
        <v>319</v>
      </c>
      <c r="F22" s="105" t="n">
        <v>44</v>
      </c>
      <c r="G22" s="71" t="s">
        <v>1640</v>
      </c>
      <c r="H22" s="65" t="s">
        <v>1214</v>
      </c>
      <c r="I22" s="71" t="s">
        <v>202</v>
      </c>
      <c r="J22" s="106"/>
      <c r="K22" s="107" t="n">
        <v>0.723398836464116</v>
      </c>
      <c r="L22" s="107" t="n">
        <v>0.50023714099152</v>
      </c>
      <c r="M22" s="107" t="n">
        <v>2.30610780594015</v>
      </c>
      <c r="N22" s="107" t="n">
        <v>1.02548613903262</v>
      </c>
      <c r="O22" s="102" t="n">
        <v>2.3280289828027</v>
      </c>
      <c r="P22" s="102" t="n">
        <v>2.65625921866497</v>
      </c>
      <c r="Q22" s="92" t="s">
        <v>1641</v>
      </c>
    </row>
    <row r="23" customFormat="false" ht="14.25" hidden="false" customHeight="false" outlineLevel="0" collapsed="false">
      <c r="C23" s="104" t="n">
        <v>18</v>
      </c>
      <c r="D23" s="71" t="s">
        <v>1647</v>
      </c>
      <c r="E23" s="71" t="s">
        <v>1647</v>
      </c>
      <c r="F23" s="105" t="n">
        <v>44</v>
      </c>
      <c r="G23" s="71" t="s">
        <v>1640</v>
      </c>
      <c r="H23" s="65" t="s">
        <v>1238</v>
      </c>
      <c r="I23" s="71" t="s">
        <v>202</v>
      </c>
      <c r="J23" s="106"/>
      <c r="K23" s="107" t="n">
        <v>0.0496926141134914</v>
      </c>
      <c r="L23" s="107" t="n">
        <v>0</v>
      </c>
      <c r="M23" s="107" t="n">
        <v>0.208619443035018</v>
      </c>
      <c r="N23" s="107" t="n">
        <v>0.0720766745249741</v>
      </c>
      <c r="O23" s="102" t="n">
        <v>0.248463070567457</v>
      </c>
      <c r="P23" s="102" t="n">
        <v>0.0859547919800933</v>
      </c>
      <c r="Q23" s="92" t="s">
        <v>1641</v>
      </c>
    </row>
    <row r="24" customFormat="false" ht="14.25" hidden="false" customHeight="false" outlineLevel="0" collapsed="false">
      <c r="C24" s="64" t="n">
        <v>19</v>
      </c>
      <c r="D24" s="71" t="s">
        <v>288</v>
      </c>
      <c r="E24" s="71" t="s">
        <v>288</v>
      </c>
      <c r="F24" s="105" t="n">
        <v>44</v>
      </c>
      <c r="G24" s="71" t="s">
        <v>1640</v>
      </c>
      <c r="H24" s="65" t="s">
        <v>1207</v>
      </c>
      <c r="I24" s="71" t="s">
        <v>202</v>
      </c>
      <c r="J24" s="106"/>
      <c r="K24" s="107" t="n">
        <v>0.336442006269593</v>
      </c>
      <c r="L24" s="107" t="n">
        <v>0.0738662790697674</v>
      </c>
      <c r="M24" s="107" t="n">
        <v>0.592967128027682</v>
      </c>
      <c r="N24" s="107" t="n">
        <v>0.186334405144695</v>
      </c>
      <c r="O24" s="102" t="n">
        <v>0.50857621440536</v>
      </c>
      <c r="P24" s="102" t="n">
        <v>0.163057722308892</v>
      </c>
      <c r="Q24" s="92" t="s">
        <v>1643</v>
      </c>
    </row>
    <row r="25" customFormat="false" ht="14.25" hidden="false" customHeight="false" outlineLevel="0" collapsed="false">
      <c r="C25" s="104" t="n">
        <v>20</v>
      </c>
      <c r="D25" s="71" t="s">
        <v>1648</v>
      </c>
      <c r="E25" s="71" t="s">
        <v>1649</v>
      </c>
      <c r="F25" s="105" t="n">
        <v>44</v>
      </c>
      <c r="G25" s="71" t="s">
        <v>1640</v>
      </c>
      <c r="H25" s="65" t="s">
        <v>1207</v>
      </c>
      <c r="I25" s="71" t="s">
        <v>202</v>
      </c>
      <c r="J25" s="106"/>
      <c r="K25" s="107" t="n">
        <v>1.17131661442006</v>
      </c>
      <c r="L25" s="107" t="n">
        <v>0.297223837209302</v>
      </c>
      <c r="M25" s="107" t="n">
        <v>2.07944636678201</v>
      </c>
      <c r="N25" s="107" t="n">
        <v>0.75024115755627</v>
      </c>
      <c r="O25" s="102" t="n">
        <v>1.76663316582915</v>
      </c>
      <c r="P25" s="102" t="n">
        <v>0.660592823712949</v>
      </c>
      <c r="Q25" s="92" t="s">
        <v>1643</v>
      </c>
    </row>
    <row r="26" customFormat="false" ht="14.25" hidden="false" customHeight="false" outlineLevel="0" collapsed="false">
      <c r="C26" s="64" t="n">
        <v>21</v>
      </c>
      <c r="D26" s="71" t="s">
        <v>217</v>
      </c>
      <c r="E26" s="71" t="s">
        <v>217</v>
      </c>
      <c r="F26" s="105" t="n">
        <v>44</v>
      </c>
      <c r="G26" s="71" t="s">
        <v>1640</v>
      </c>
      <c r="H26" s="65" t="s">
        <v>1238</v>
      </c>
      <c r="I26" s="71" t="s">
        <v>202</v>
      </c>
      <c r="J26" s="106"/>
      <c r="K26" s="107" t="n">
        <v>0.245859439884276</v>
      </c>
      <c r="L26" s="107" t="n">
        <v>0</v>
      </c>
      <c r="M26" s="107" t="n">
        <v>1.03216665753219</v>
      </c>
      <c r="N26" s="107" t="n">
        <v>0.356606935327644</v>
      </c>
      <c r="O26" s="102" t="n">
        <v>1.22929719942138</v>
      </c>
      <c r="P26" s="102" t="n">
        <v>0.425270382502532</v>
      </c>
      <c r="Q26" s="92" t="s">
        <v>1641</v>
      </c>
    </row>
    <row r="27" customFormat="false" ht="14.25" hidden="false" customHeight="false" outlineLevel="0" collapsed="false">
      <c r="C27" s="104" t="n">
        <v>22</v>
      </c>
      <c r="D27" s="71" t="s">
        <v>1650</v>
      </c>
      <c r="E27" s="71" t="s">
        <v>1650</v>
      </c>
      <c r="F27" s="105" t="n">
        <v>44</v>
      </c>
      <c r="G27" s="71" t="s">
        <v>1640</v>
      </c>
      <c r="H27" s="65" t="s">
        <v>1238</v>
      </c>
      <c r="I27" s="71" t="s">
        <v>202</v>
      </c>
      <c r="J27" s="106"/>
      <c r="K27" s="107" t="n">
        <v>0.347105494767157</v>
      </c>
      <c r="L27" s="107" t="n">
        <v>0</v>
      </c>
      <c r="M27" s="107" t="n">
        <v>1.45721766271617</v>
      </c>
      <c r="N27" s="107" t="n">
        <v>0.50345932123885</v>
      </c>
      <c r="O27" s="102" t="n">
        <v>1.73552747383579</v>
      </c>
      <c r="P27" s="102" t="n">
        <v>0.600398693651299</v>
      </c>
      <c r="Q27" s="92" t="s">
        <v>1641</v>
      </c>
    </row>
    <row r="28" customFormat="false" ht="14.25" hidden="false" customHeight="false" outlineLevel="0" collapsed="false">
      <c r="C28" s="64" t="n">
        <v>23</v>
      </c>
      <c r="D28" s="71" t="s">
        <v>239</v>
      </c>
      <c r="E28" s="71" t="s">
        <v>239</v>
      </c>
      <c r="F28" s="105" t="n">
        <v>44</v>
      </c>
      <c r="G28" s="71" t="s">
        <v>1640</v>
      </c>
      <c r="H28" s="65" t="s">
        <v>1238</v>
      </c>
      <c r="I28" s="71" t="s">
        <v>202</v>
      </c>
      <c r="J28" s="106"/>
      <c r="K28" s="107" t="n">
        <v>0</v>
      </c>
      <c r="L28" s="107" t="n">
        <v>0</v>
      </c>
      <c r="M28" s="107" t="n">
        <v>0</v>
      </c>
      <c r="N28" s="107" t="n">
        <v>0</v>
      </c>
      <c r="O28" s="102" t="n">
        <v>0</v>
      </c>
      <c r="P28" s="102" t="n">
        <v>0</v>
      </c>
      <c r="Q28" s="92" t="s">
        <v>1641</v>
      </c>
    </row>
    <row r="29" customFormat="false" ht="14.25" hidden="false" customHeight="false" outlineLevel="0" collapsed="false">
      <c r="C29" s="104" t="n">
        <v>24</v>
      </c>
      <c r="D29" s="71" t="s">
        <v>285</v>
      </c>
      <c r="E29" s="71" t="s">
        <v>285</v>
      </c>
      <c r="F29" s="105" t="n">
        <v>44</v>
      </c>
      <c r="G29" s="71" t="s">
        <v>1640</v>
      </c>
      <c r="H29" s="65" t="s">
        <v>1207</v>
      </c>
      <c r="I29" s="71" t="s">
        <v>202</v>
      </c>
      <c r="J29" s="106"/>
      <c r="K29" s="107" t="n">
        <v>0.689498432601881</v>
      </c>
      <c r="L29" s="107" t="n">
        <v>0.153008720930233</v>
      </c>
      <c r="M29" s="107" t="n">
        <v>1.22654844290657</v>
      </c>
      <c r="N29" s="107" t="n">
        <v>0.387379421221865</v>
      </c>
      <c r="O29" s="102" t="n">
        <v>1.03722780569514</v>
      </c>
      <c r="P29" s="102" t="n">
        <v>0.338658346333853</v>
      </c>
      <c r="Q29" s="92" t="s">
        <v>1643</v>
      </c>
    </row>
    <row r="30" customFormat="false" ht="14.25" hidden="false" customHeight="false" outlineLevel="0" collapsed="false">
      <c r="C30" s="64" t="n">
        <v>25</v>
      </c>
      <c r="D30" s="71" t="s">
        <v>1651</v>
      </c>
      <c r="E30" s="71" t="s">
        <v>1652</v>
      </c>
      <c r="F30" s="105" t="n">
        <v>44</v>
      </c>
      <c r="G30" s="71" t="s">
        <v>1640</v>
      </c>
      <c r="H30" s="65" t="s">
        <v>1207</v>
      </c>
      <c r="I30" s="71" t="s">
        <v>202</v>
      </c>
      <c r="J30" s="106"/>
      <c r="K30" s="107" t="n">
        <v>0.315673981191223</v>
      </c>
      <c r="L30" s="107" t="n">
        <v>0.0703488372093023</v>
      </c>
      <c r="M30" s="107" t="n">
        <v>0.560475778546713</v>
      </c>
      <c r="N30" s="107" t="n">
        <v>0.176527331189711</v>
      </c>
      <c r="O30" s="102" t="n">
        <v>0.475117252931323</v>
      </c>
      <c r="P30" s="102" t="n">
        <v>0.154695787831513</v>
      </c>
      <c r="Q30" s="92" t="s">
        <v>1643</v>
      </c>
    </row>
    <row r="31" customFormat="false" ht="14.25" hidden="false" customHeight="false" outlineLevel="0" collapsed="false">
      <c r="C31" s="104" t="n">
        <v>26</v>
      </c>
      <c r="D31" s="71" t="s">
        <v>1653</v>
      </c>
      <c r="E31" s="71" t="s">
        <v>1654</v>
      </c>
      <c r="F31" s="105" t="n">
        <v>44</v>
      </c>
      <c r="G31" s="71" t="s">
        <v>1640</v>
      </c>
      <c r="H31" s="65" t="s">
        <v>1207</v>
      </c>
      <c r="I31" s="71" t="s">
        <v>202</v>
      </c>
      <c r="J31" s="106"/>
      <c r="K31" s="107" t="n">
        <v>0.290752351097179</v>
      </c>
      <c r="L31" s="107" t="n">
        <v>0.0633139534883721</v>
      </c>
      <c r="M31" s="107" t="n">
        <v>0.51173875432526</v>
      </c>
      <c r="N31" s="107" t="n">
        <v>0.156913183279743</v>
      </c>
      <c r="O31" s="102" t="n">
        <v>0.441658291457286</v>
      </c>
      <c r="P31" s="102" t="n">
        <v>0.137971918876755</v>
      </c>
      <c r="Q31" s="92" t="s">
        <v>1643</v>
      </c>
    </row>
    <row r="32" customFormat="false" ht="14.25" hidden="false" customHeight="false" outlineLevel="0" collapsed="false">
      <c r="C32" s="64" t="n">
        <v>27</v>
      </c>
      <c r="D32" s="71" t="s">
        <v>353</v>
      </c>
      <c r="E32" s="71" t="s">
        <v>353</v>
      </c>
      <c r="F32" s="105" t="n">
        <v>44</v>
      </c>
      <c r="G32" s="71" t="s">
        <v>1640</v>
      </c>
      <c r="H32" s="65" t="s">
        <v>1215</v>
      </c>
      <c r="I32" s="71" t="s">
        <v>202</v>
      </c>
      <c r="J32" s="106"/>
      <c r="K32" s="107" t="n">
        <v>0.461771576442913</v>
      </c>
      <c r="L32" s="107" t="n">
        <v>0.109997474577203</v>
      </c>
      <c r="M32" s="107" t="n">
        <v>0.266825557142721</v>
      </c>
      <c r="N32" s="107" t="n">
        <v>0.0381179367346744</v>
      </c>
      <c r="O32" s="102" t="n">
        <v>0.186233348046552</v>
      </c>
      <c r="P32" s="102" t="n">
        <v>0</v>
      </c>
      <c r="Q32" s="92" t="s">
        <v>1641</v>
      </c>
    </row>
    <row r="33" customFormat="false" ht="14.25" hidden="false" customHeight="false" outlineLevel="0" collapsed="false">
      <c r="C33" s="104" t="n">
        <v>28</v>
      </c>
      <c r="D33" s="71" t="s">
        <v>351</v>
      </c>
      <c r="E33" s="71" t="s">
        <v>351</v>
      </c>
      <c r="F33" s="105" t="n">
        <v>44</v>
      </c>
      <c r="G33" s="71" t="s">
        <v>1640</v>
      </c>
      <c r="H33" s="65" t="s">
        <v>1215</v>
      </c>
      <c r="I33" s="71" t="s">
        <v>202</v>
      </c>
      <c r="J33" s="106"/>
      <c r="K33" s="107" t="n">
        <v>0.86716684281941</v>
      </c>
      <c r="L33" s="107" t="n">
        <v>0.206565686615001</v>
      </c>
      <c r="M33" s="107" t="n">
        <v>0.501075180402725</v>
      </c>
      <c r="N33" s="107" t="n">
        <v>0.0715821686289608</v>
      </c>
      <c r="O33" s="102" t="n">
        <v>0.349730023872923</v>
      </c>
      <c r="P33" s="102" t="n">
        <v>0</v>
      </c>
      <c r="Q33" s="92" t="s">
        <v>1641</v>
      </c>
    </row>
    <row r="34" customFormat="false" ht="14.25" hidden="false" customHeight="false" outlineLevel="0" collapsed="false">
      <c r="C34" s="64" t="n">
        <v>29</v>
      </c>
      <c r="D34" s="71" t="s">
        <v>1655</v>
      </c>
      <c r="E34" s="71" t="s">
        <v>298</v>
      </c>
      <c r="F34" s="105" t="n">
        <v>44</v>
      </c>
      <c r="G34" s="71" t="s">
        <v>1640</v>
      </c>
      <c r="H34" s="65" t="s">
        <v>1218</v>
      </c>
      <c r="I34" s="71" t="s">
        <v>202</v>
      </c>
      <c r="J34" s="106"/>
      <c r="K34" s="107" t="n">
        <v>0</v>
      </c>
      <c r="L34" s="107" t="n">
        <v>0</v>
      </c>
      <c r="M34" s="107" t="n">
        <v>0.861124049757266</v>
      </c>
      <c r="N34" s="107" t="n">
        <v>0.289183449545351</v>
      </c>
      <c r="O34" s="102" t="n">
        <v>0.69189817928258</v>
      </c>
      <c r="P34" s="102" t="n">
        <v>0.252767755898899</v>
      </c>
      <c r="Q34" s="92" t="s">
        <v>1641</v>
      </c>
    </row>
    <row r="35" customFormat="false" ht="14.25" hidden="false" customHeight="false" outlineLevel="0" collapsed="false">
      <c r="C35" s="104" t="n">
        <v>30</v>
      </c>
      <c r="D35" s="71" t="s">
        <v>261</v>
      </c>
      <c r="E35" s="71" t="s">
        <v>261</v>
      </c>
      <c r="F35" s="105" t="n">
        <v>44</v>
      </c>
      <c r="G35" s="71" t="s">
        <v>1640</v>
      </c>
      <c r="H35" s="65" t="s">
        <v>1205</v>
      </c>
      <c r="I35" s="71" t="s">
        <v>202</v>
      </c>
      <c r="J35" s="106"/>
      <c r="K35" s="107" t="n">
        <v>0</v>
      </c>
      <c r="L35" s="107" t="n">
        <v>0</v>
      </c>
      <c r="M35" s="107" t="n">
        <v>0</v>
      </c>
      <c r="N35" s="107" t="n">
        <v>0</v>
      </c>
      <c r="O35" s="102" t="n">
        <v>0</v>
      </c>
      <c r="P35" s="102" t="n">
        <v>0</v>
      </c>
      <c r="Q35" s="92" t="s">
        <v>1644</v>
      </c>
    </row>
    <row r="36" customFormat="false" ht="14.25" hidden="false" customHeight="false" outlineLevel="0" collapsed="false">
      <c r="C36" s="64" t="n">
        <v>31</v>
      </c>
      <c r="D36" s="71" t="s">
        <v>326</v>
      </c>
      <c r="E36" s="71" t="s">
        <v>326</v>
      </c>
      <c r="F36" s="105" t="n">
        <v>44</v>
      </c>
      <c r="G36" s="71" t="s">
        <v>1640</v>
      </c>
      <c r="H36" s="65" t="s">
        <v>1214</v>
      </c>
      <c r="I36" s="71" t="s">
        <v>202</v>
      </c>
      <c r="J36" s="106"/>
      <c r="K36" s="107" t="n">
        <v>0.288418274788389</v>
      </c>
      <c r="L36" s="107" t="n">
        <v>0.199480398306086</v>
      </c>
      <c r="M36" s="107" t="n">
        <v>0.919442500234501</v>
      </c>
      <c r="N36" s="107" t="n">
        <v>0.408934816527475</v>
      </c>
      <c r="O36" s="102" t="n">
        <v>0.928182447955361</v>
      </c>
      <c r="P36" s="102" t="n">
        <v>1.05924091500531</v>
      </c>
      <c r="Q36" s="92" t="s">
        <v>1641</v>
      </c>
    </row>
    <row r="37" customFormat="false" ht="14.25" hidden="false" customHeight="false" outlineLevel="0" collapsed="false">
      <c r="C37" s="104" t="n">
        <v>32</v>
      </c>
      <c r="D37" s="71" t="s">
        <v>1656</v>
      </c>
      <c r="E37" s="71" t="s">
        <v>366</v>
      </c>
      <c r="F37" s="105" t="n">
        <v>44</v>
      </c>
      <c r="G37" s="71" t="s">
        <v>1640</v>
      </c>
      <c r="H37" s="65" t="s">
        <v>1071</v>
      </c>
      <c r="I37" s="71" t="s">
        <v>202</v>
      </c>
      <c r="J37" s="106"/>
      <c r="K37" s="107" t="n">
        <v>0</v>
      </c>
      <c r="L37" s="107" t="n">
        <v>0</v>
      </c>
      <c r="M37" s="107" t="n">
        <v>0.290065518755145</v>
      </c>
      <c r="N37" s="107" t="n">
        <v>0</v>
      </c>
      <c r="O37" s="102" t="n">
        <v>0.199800374806865</v>
      </c>
      <c r="P37" s="102" t="n">
        <v>0</v>
      </c>
      <c r="Q37" s="92" t="s">
        <v>1641</v>
      </c>
    </row>
    <row r="38" customFormat="false" ht="14.25" hidden="false" customHeight="false" outlineLevel="0" collapsed="false">
      <c r="C38" s="64" t="n">
        <v>33</v>
      </c>
      <c r="D38" s="71" t="s">
        <v>1657</v>
      </c>
      <c r="E38" s="71" t="s">
        <v>226</v>
      </c>
      <c r="F38" s="105" t="n">
        <v>44</v>
      </c>
      <c r="G38" s="71" t="s">
        <v>1640</v>
      </c>
      <c r="H38" s="65" t="s">
        <v>1238</v>
      </c>
      <c r="I38" s="71" t="s">
        <v>202</v>
      </c>
      <c r="J38" s="106"/>
      <c r="K38" s="107" t="n">
        <v>0.0619433961611596</v>
      </c>
      <c r="L38" s="107" t="n">
        <v>0</v>
      </c>
      <c r="M38" s="107" t="n">
        <v>0.260050654154058</v>
      </c>
      <c r="N38" s="107" t="n">
        <v>0.0898458268643847</v>
      </c>
      <c r="O38" s="102" t="n">
        <v>0.309716980805798</v>
      </c>
      <c r="P38" s="102" t="n">
        <v>0.107145333900384</v>
      </c>
      <c r="Q38" s="92" t="s">
        <v>1641</v>
      </c>
    </row>
    <row r="39" customFormat="false" ht="14.25" hidden="false" customHeight="false" outlineLevel="0" collapsed="false">
      <c r="C39" s="104" t="n">
        <v>34</v>
      </c>
      <c r="D39" s="71" t="s">
        <v>313</v>
      </c>
      <c r="E39" s="71" t="s">
        <v>313</v>
      </c>
      <c r="F39" s="105" t="n">
        <v>44</v>
      </c>
      <c r="G39" s="71" t="s">
        <v>1640</v>
      </c>
      <c r="H39" s="65" t="s">
        <v>1257</v>
      </c>
      <c r="I39" s="71" t="s">
        <v>202</v>
      </c>
      <c r="J39" s="106"/>
      <c r="K39" s="107" t="n">
        <v>0.086006735684922</v>
      </c>
      <c r="L39" s="107" t="n">
        <v>0.086006735684922</v>
      </c>
      <c r="M39" s="107" t="n">
        <v>0.212329128722151</v>
      </c>
      <c r="N39" s="107" t="n">
        <v>0</v>
      </c>
      <c r="O39" s="102" t="n">
        <v>0.209641418231997</v>
      </c>
      <c r="P39" s="102" t="n">
        <v>0</v>
      </c>
      <c r="Q39" s="92" t="s">
        <v>1641</v>
      </c>
    </row>
    <row r="40" customFormat="false" ht="14.25" hidden="false" customHeight="false" outlineLevel="0" collapsed="false">
      <c r="C40" s="64" t="n">
        <v>35</v>
      </c>
      <c r="D40" s="71" t="s">
        <v>369</v>
      </c>
      <c r="E40" s="71" t="s">
        <v>369</v>
      </c>
      <c r="F40" s="105" t="n">
        <v>44</v>
      </c>
      <c r="G40" s="71" t="s">
        <v>1640</v>
      </c>
      <c r="H40" s="65" t="s">
        <v>1071</v>
      </c>
      <c r="I40" s="71" t="s">
        <v>202</v>
      </c>
      <c r="J40" s="106"/>
      <c r="K40" s="107" t="n">
        <v>0</v>
      </c>
      <c r="L40" s="107" t="n">
        <v>0</v>
      </c>
      <c r="M40" s="107" t="n">
        <v>0.907551117771853</v>
      </c>
      <c r="N40" s="107" t="n">
        <v>0</v>
      </c>
      <c r="O40" s="102" t="n">
        <v>0.625131364339353</v>
      </c>
      <c r="P40" s="102" t="n">
        <v>0</v>
      </c>
      <c r="Q40" s="92" t="s">
        <v>1641</v>
      </c>
    </row>
    <row r="41" customFormat="false" ht="14.25" hidden="false" customHeight="false" outlineLevel="0" collapsed="false">
      <c r="C41" s="104" t="n">
        <v>36</v>
      </c>
      <c r="D41" s="71" t="s">
        <v>1658</v>
      </c>
      <c r="E41" s="71" t="s">
        <v>1658</v>
      </c>
      <c r="F41" s="105" t="n">
        <v>44</v>
      </c>
      <c r="G41" s="71" t="s">
        <v>1640</v>
      </c>
      <c r="H41" s="65" t="s">
        <v>1238</v>
      </c>
      <c r="I41" s="71" t="s">
        <v>202</v>
      </c>
      <c r="J41" s="106"/>
      <c r="K41" s="107" t="n">
        <v>0.0993256158378064</v>
      </c>
      <c r="L41" s="107" t="n">
        <v>0</v>
      </c>
      <c r="M41" s="107" t="n">
        <v>0.416988621445205</v>
      </c>
      <c r="N41" s="107" t="n">
        <v>0.144066884233215</v>
      </c>
      <c r="O41" s="102" t="n">
        <v>0.496628079189032</v>
      </c>
      <c r="P41" s="102" t="n">
        <v>0.171806470638368</v>
      </c>
      <c r="Q41" s="92" t="s">
        <v>1641</v>
      </c>
    </row>
    <row r="42" customFormat="false" ht="14.25" hidden="false" customHeight="false" outlineLevel="0" collapsed="false">
      <c r="C42" s="64" t="n">
        <v>37</v>
      </c>
      <c r="D42" s="71" t="s">
        <v>355</v>
      </c>
      <c r="E42" s="71" t="s">
        <v>355</v>
      </c>
      <c r="F42" s="105" t="n">
        <v>44</v>
      </c>
      <c r="G42" s="71" t="s">
        <v>1642</v>
      </c>
      <c r="H42" s="65" t="s">
        <v>1215</v>
      </c>
      <c r="I42" s="71" t="s">
        <v>202</v>
      </c>
      <c r="J42" s="106"/>
      <c r="K42" s="107" t="n">
        <v>1.46670605098903</v>
      </c>
      <c r="L42" s="107" t="n">
        <v>0.349380450825218</v>
      </c>
      <c r="M42" s="107" t="n">
        <v>0.847507034179984</v>
      </c>
      <c r="N42" s="107" t="n">
        <v>0.121072433454283</v>
      </c>
      <c r="O42" s="102" t="n">
        <v>0.591525317733785</v>
      </c>
      <c r="P42" s="102" t="n">
        <v>0</v>
      </c>
      <c r="Q42" s="92" t="s">
        <v>1641</v>
      </c>
    </row>
    <row r="43" customFormat="false" ht="14.25" hidden="false" customHeight="false" outlineLevel="0" collapsed="false">
      <c r="C43" s="104" t="n">
        <v>38</v>
      </c>
      <c r="D43" s="71" t="s">
        <v>312</v>
      </c>
      <c r="E43" s="71" t="s">
        <v>312</v>
      </c>
      <c r="F43" s="105" t="n">
        <v>44</v>
      </c>
      <c r="G43" s="71" t="s">
        <v>1640</v>
      </c>
      <c r="H43" s="65" t="s">
        <v>1257</v>
      </c>
      <c r="I43" s="71" t="s">
        <v>202</v>
      </c>
      <c r="J43" s="106"/>
      <c r="K43" s="107" t="n">
        <v>0.165165251333773</v>
      </c>
      <c r="L43" s="107" t="n">
        <v>0.165165251333773</v>
      </c>
      <c r="M43" s="107" t="n">
        <v>0.407751714230251</v>
      </c>
      <c r="N43" s="107" t="n">
        <v>0</v>
      </c>
      <c r="O43" s="102" t="n">
        <v>0.402590300126071</v>
      </c>
      <c r="P43" s="102" t="n">
        <v>0</v>
      </c>
      <c r="Q43" s="92" t="s">
        <v>1641</v>
      </c>
    </row>
    <row r="44" customFormat="false" ht="14.25" hidden="false" customHeight="false" outlineLevel="0" collapsed="false">
      <c r="C44" s="64" t="n">
        <v>39</v>
      </c>
      <c r="D44" s="71" t="s">
        <v>473</v>
      </c>
      <c r="E44" s="71" t="s">
        <v>473</v>
      </c>
      <c r="F44" s="105" t="n">
        <v>44</v>
      </c>
      <c r="G44" s="71" t="s">
        <v>1640</v>
      </c>
      <c r="H44" s="65" t="s">
        <v>1257</v>
      </c>
      <c r="I44" s="71" t="s">
        <v>202</v>
      </c>
      <c r="J44" s="106"/>
      <c r="K44" s="107" t="n">
        <v>0.0688280129813054</v>
      </c>
      <c r="L44" s="107" t="n">
        <v>0.0688280129813054</v>
      </c>
      <c r="M44" s="107" t="n">
        <v>0.169919157047598</v>
      </c>
      <c r="N44" s="107" t="n">
        <v>0</v>
      </c>
      <c r="O44" s="102" t="n">
        <v>0.167768281641932</v>
      </c>
      <c r="P44" s="102" t="n">
        <v>0</v>
      </c>
      <c r="Q44" s="92" t="s">
        <v>1641</v>
      </c>
    </row>
    <row r="45" customFormat="false" ht="14.25" hidden="false" customHeight="false" outlineLevel="0" collapsed="false">
      <c r="C45" s="104" t="n">
        <v>40</v>
      </c>
      <c r="D45" s="71" t="s">
        <v>453</v>
      </c>
      <c r="E45" s="71" t="s">
        <v>453</v>
      </c>
      <c r="F45" s="105" t="n">
        <v>44</v>
      </c>
      <c r="G45" s="71" t="s">
        <v>1640</v>
      </c>
      <c r="H45" s="65" t="s">
        <v>1310</v>
      </c>
      <c r="I45" s="71" t="s">
        <v>202</v>
      </c>
      <c r="J45" s="106"/>
      <c r="K45" s="107" t="n">
        <v>0.221420051560581</v>
      </c>
      <c r="L45" s="107" t="n">
        <v>0.0334095344070699</v>
      </c>
      <c r="M45" s="107" t="n">
        <v>0.927605896478648</v>
      </c>
      <c r="N45" s="107" t="n">
        <v>0.324924099331504</v>
      </c>
      <c r="O45" s="102" t="n">
        <v>0.955119630696235</v>
      </c>
      <c r="P45" s="102" t="n">
        <v>0.389777901415816</v>
      </c>
      <c r="Q45" s="92" t="s">
        <v>1659</v>
      </c>
    </row>
    <row r="46" customFormat="false" ht="14.25" hidden="false" customHeight="false" outlineLevel="0" collapsed="false">
      <c r="C46" s="64" t="n">
        <v>41</v>
      </c>
      <c r="D46" s="71" t="s">
        <v>1660</v>
      </c>
      <c r="E46" s="71" t="s">
        <v>1660</v>
      </c>
      <c r="F46" s="105" t="n">
        <v>44</v>
      </c>
      <c r="G46" s="71" t="s">
        <v>1642</v>
      </c>
      <c r="H46" s="65" t="s">
        <v>1247</v>
      </c>
      <c r="I46" s="71" t="s">
        <v>202</v>
      </c>
      <c r="J46" s="106"/>
      <c r="K46" s="107" t="n">
        <v>0.593065427641076</v>
      </c>
      <c r="L46" s="107" t="n">
        <v>0.100079790914432</v>
      </c>
      <c r="M46" s="107" t="n">
        <v>0.830291598697506</v>
      </c>
      <c r="N46" s="107" t="n">
        <v>0.140111707280204</v>
      </c>
      <c r="O46" s="102" t="n">
        <v>1.18613085528215</v>
      </c>
      <c r="P46" s="102" t="n">
        <v>0.200159581828863</v>
      </c>
      <c r="Q46" s="92" t="s">
        <v>1641</v>
      </c>
    </row>
    <row r="47" customFormat="false" ht="14.25" hidden="false" customHeight="false" outlineLevel="0" collapsed="false">
      <c r="C47" s="104" t="n">
        <v>42</v>
      </c>
      <c r="D47" s="71" t="s">
        <v>419</v>
      </c>
      <c r="E47" s="71" t="s">
        <v>419</v>
      </c>
      <c r="F47" s="105" t="n">
        <v>44</v>
      </c>
      <c r="G47" s="71" t="s">
        <v>1642</v>
      </c>
      <c r="H47" s="65" t="s">
        <v>1218</v>
      </c>
      <c r="I47" s="71" t="s">
        <v>202</v>
      </c>
      <c r="J47" s="106"/>
      <c r="K47" s="107" t="n">
        <v>0.0622186122497217</v>
      </c>
      <c r="L47" s="107" t="n">
        <v>0.112586060261401</v>
      </c>
      <c r="M47" s="107" t="n">
        <v>0.702181481104002</v>
      </c>
      <c r="N47" s="107" t="n">
        <v>0.269613986415461</v>
      </c>
      <c r="O47" s="102" t="n">
        <v>1.3677326361</v>
      </c>
      <c r="P47" s="102" t="n">
        <v>0.70107165421</v>
      </c>
      <c r="Q47" s="92" t="s">
        <v>1641</v>
      </c>
    </row>
    <row r="48" customFormat="false" ht="14.25" hidden="false" customHeight="false" outlineLevel="0" collapsed="false">
      <c r="C48" s="64" t="n">
        <v>43</v>
      </c>
      <c r="D48" s="71" t="s">
        <v>1661</v>
      </c>
      <c r="E48" s="71" t="s">
        <v>1661</v>
      </c>
      <c r="F48" s="105" t="n">
        <v>44</v>
      </c>
      <c r="G48" s="71" t="s">
        <v>1640</v>
      </c>
      <c r="H48" s="65" t="s">
        <v>1199</v>
      </c>
      <c r="I48" s="71" t="s">
        <v>202</v>
      </c>
      <c r="J48" s="106"/>
      <c r="K48" s="107" t="n">
        <v>0.0362419536075249</v>
      </c>
      <c r="L48" s="107" t="n">
        <v>0.00270723026947776</v>
      </c>
      <c r="M48" s="107" t="n">
        <v>0.419839016790785</v>
      </c>
      <c r="N48" s="107" t="n">
        <v>0.142566239191047</v>
      </c>
      <c r="O48" s="102" t="n">
        <v>0.423113892116766</v>
      </c>
      <c r="P48" s="102" t="n">
        <v>0.146277764560492</v>
      </c>
      <c r="Q48" s="92" t="s">
        <v>1641</v>
      </c>
    </row>
    <row r="49" customFormat="false" ht="14.25" hidden="false" customHeight="false" outlineLevel="0" collapsed="false">
      <c r="C49" s="104" t="n">
        <v>44</v>
      </c>
      <c r="D49" s="71" t="s">
        <v>430</v>
      </c>
      <c r="E49" s="71" t="s">
        <v>430</v>
      </c>
      <c r="F49" s="105" t="n">
        <v>44</v>
      </c>
      <c r="G49" s="71" t="s">
        <v>1640</v>
      </c>
      <c r="H49" s="65" t="s">
        <v>1041</v>
      </c>
      <c r="I49" s="71" t="s">
        <v>202</v>
      </c>
      <c r="J49" s="106"/>
      <c r="K49" s="107" t="n">
        <v>2.33498453511805</v>
      </c>
      <c r="L49" s="107" t="n">
        <v>0.787705626304885</v>
      </c>
      <c r="M49" s="107" t="n">
        <v>5.02724983645296</v>
      </c>
      <c r="N49" s="107" t="n">
        <v>2.06491403467066</v>
      </c>
      <c r="O49" s="102" t="n">
        <v>6.28757883854078</v>
      </c>
      <c r="P49" s="102" t="n">
        <v>2.21682869117232</v>
      </c>
      <c r="Q49" s="92" t="s">
        <v>1662</v>
      </c>
    </row>
    <row r="50" customFormat="false" ht="14.25" hidden="false" customHeight="false" outlineLevel="0" collapsed="false">
      <c r="C50" s="64" t="n">
        <v>45</v>
      </c>
      <c r="D50" s="71" t="s">
        <v>401</v>
      </c>
      <c r="E50" s="71" t="s">
        <v>401</v>
      </c>
      <c r="F50" s="105" t="n">
        <v>44</v>
      </c>
      <c r="G50" s="71" t="s">
        <v>1640</v>
      </c>
      <c r="H50" s="65" t="s">
        <v>1247</v>
      </c>
      <c r="I50" s="71" t="s">
        <v>202</v>
      </c>
      <c r="J50" s="106"/>
      <c r="K50" s="107" t="n">
        <v>0.147988827671686</v>
      </c>
      <c r="L50" s="107" t="n">
        <v>0.024973114669597</v>
      </c>
      <c r="M50" s="107" t="n">
        <v>0.20718435874036</v>
      </c>
      <c r="N50" s="107" t="n">
        <v>0.0349623605374358</v>
      </c>
      <c r="O50" s="102" t="n">
        <v>0.295977655343372</v>
      </c>
      <c r="P50" s="102" t="n">
        <v>0.049946229339194</v>
      </c>
      <c r="Q50" s="92" t="s">
        <v>1641</v>
      </c>
    </row>
    <row r="51" customFormat="false" ht="14.25" hidden="false" customHeight="false" outlineLevel="0" collapsed="false">
      <c r="C51" s="104" t="n">
        <v>46</v>
      </c>
      <c r="D51" s="71" t="s">
        <v>427</v>
      </c>
      <c r="E51" s="71" t="s">
        <v>427</v>
      </c>
      <c r="F51" s="105" t="n">
        <v>44</v>
      </c>
      <c r="G51" s="71" t="s">
        <v>1640</v>
      </c>
      <c r="H51" s="65" t="s">
        <v>1041</v>
      </c>
      <c r="I51" s="71" t="s">
        <v>202</v>
      </c>
      <c r="J51" s="106"/>
      <c r="K51" s="107" t="n">
        <v>1.20429870847586</v>
      </c>
      <c r="L51" s="107" t="n">
        <v>0.406269443823183</v>
      </c>
      <c r="M51" s="107" t="n">
        <v>2.59286962897153</v>
      </c>
      <c r="N51" s="107" t="n">
        <v>1.06500632773649</v>
      </c>
      <c r="O51" s="102" t="n">
        <v>3.24290073908862</v>
      </c>
      <c r="P51" s="102" t="n">
        <v>1.14335829190239</v>
      </c>
      <c r="Q51" s="92" t="s">
        <v>1662</v>
      </c>
    </row>
    <row r="52" customFormat="false" ht="14.25" hidden="false" customHeight="false" outlineLevel="0" collapsed="false">
      <c r="C52" s="64" t="n">
        <v>47</v>
      </c>
      <c r="D52" s="71" t="s">
        <v>450</v>
      </c>
      <c r="E52" s="71" t="s">
        <v>450</v>
      </c>
      <c r="F52" s="105" t="n">
        <v>44</v>
      </c>
      <c r="G52" s="71" t="s">
        <v>1640</v>
      </c>
      <c r="H52" s="65" t="s">
        <v>1310</v>
      </c>
      <c r="I52" s="71" t="s">
        <v>202</v>
      </c>
      <c r="J52" s="106"/>
      <c r="K52" s="107" t="n">
        <v>0.971112377116107</v>
      </c>
      <c r="L52" s="107" t="n">
        <v>0.146528790629945</v>
      </c>
      <c r="M52" s="107" t="n">
        <v>4.0683287751373</v>
      </c>
      <c r="N52" s="107" t="n">
        <v>1.42506431671476</v>
      </c>
      <c r="O52" s="102" t="n">
        <v>4.18899954389137</v>
      </c>
      <c r="P52" s="102" t="n">
        <v>1.70950255734936</v>
      </c>
      <c r="Q52" s="92" t="s">
        <v>1659</v>
      </c>
    </row>
    <row r="53" customFormat="false" ht="14.25" hidden="false" customHeight="false" outlineLevel="0" collapsed="false">
      <c r="C53" s="104" t="n">
        <v>48</v>
      </c>
      <c r="D53" s="71" t="s">
        <v>494</v>
      </c>
      <c r="E53" s="71" t="s">
        <v>494</v>
      </c>
      <c r="F53" s="105" t="n">
        <v>44</v>
      </c>
      <c r="G53" s="71" t="s">
        <v>1640</v>
      </c>
      <c r="H53" s="65" t="s">
        <v>1199</v>
      </c>
      <c r="I53" s="71" t="s">
        <v>202</v>
      </c>
      <c r="J53" s="106"/>
      <c r="K53" s="107" t="n">
        <v>0.0485016044983871</v>
      </c>
      <c r="L53" s="107" t="n">
        <v>0.00362301142036145</v>
      </c>
      <c r="M53" s="107" t="n">
        <v>0.561858948496376</v>
      </c>
      <c r="N53" s="107" t="n">
        <v>0.19079245624968</v>
      </c>
      <c r="O53" s="102" t="n">
        <v>0.566241623601652</v>
      </c>
      <c r="P53" s="102" t="n">
        <v>0.195759488035659</v>
      </c>
      <c r="Q53" s="92" t="s">
        <v>1641</v>
      </c>
    </row>
    <row r="54" customFormat="false" ht="14.25" hidden="false" customHeight="false" outlineLevel="0" collapsed="false">
      <c r="C54" s="64" t="n">
        <v>49</v>
      </c>
      <c r="D54" s="71" t="s">
        <v>448</v>
      </c>
      <c r="E54" s="71" t="s">
        <v>448</v>
      </c>
      <c r="F54" s="105" t="n">
        <v>44</v>
      </c>
      <c r="G54" s="71" t="s">
        <v>1640</v>
      </c>
      <c r="H54" s="65" t="s">
        <v>1310</v>
      </c>
      <c r="I54" s="71" t="s">
        <v>202</v>
      </c>
      <c r="J54" s="106"/>
      <c r="K54" s="107" t="n">
        <v>1.44708623585123</v>
      </c>
      <c r="L54" s="107" t="n">
        <v>0.218347331445008</v>
      </c>
      <c r="M54" s="107" t="n">
        <v>6.06234943776728</v>
      </c>
      <c r="N54" s="107" t="n">
        <v>2.12353483130831</v>
      </c>
      <c r="O54" s="102" t="n">
        <v>6.24216488719258</v>
      </c>
      <c r="P54" s="102" t="n">
        <v>2.54738553352509</v>
      </c>
      <c r="Q54" s="92" t="s">
        <v>1659</v>
      </c>
    </row>
    <row r="55" customFormat="false" ht="14.25" hidden="false" customHeight="false" outlineLevel="0" collapsed="false">
      <c r="C55" s="104" t="n">
        <v>50</v>
      </c>
      <c r="D55" s="71" t="s">
        <v>1663</v>
      </c>
      <c r="E55" s="71" t="s">
        <v>1663</v>
      </c>
      <c r="F55" s="105" t="n">
        <v>44</v>
      </c>
      <c r="G55" s="71" t="s">
        <v>1640</v>
      </c>
      <c r="H55" s="65" t="s">
        <v>1041</v>
      </c>
      <c r="I55" s="71" t="s">
        <v>202</v>
      </c>
      <c r="J55" s="106"/>
      <c r="K55" s="107" t="n">
        <v>2.61286478297751</v>
      </c>
      <c r="L55" s="107" t="n">
        <v>0.881448360522535</v>
      </c>
      <c r="M55" s="107" t="n">
        <v>5.62552935804918</v>
      </c>
      <c r="N55" s="107" t="n">
        <v>2.31065391651264</v>
      </c>
      <c r="O55" s="102" t="n">
        <v>7.03584673488523</v>
      </c>
      <c r="P55" s="102" t="n">
        <v>2.48064752889913</v>
      </c>
      <c r="Q55" s="92" t="s">
        <v>1662</v>
      </c>
    </row>
    <row r="56" customFormat="false" ht="14.25" hidden="false" customHeight="false" outlineLevel="0" collapsed="false">
      <c r="C56" s="64" t="n">
        <v>51</v>
      </c>
      <c r="D56" s="71" t="s">
        <v>446</v>
      </c>
      <c r="E56" s="71" t="s">
        <v>446</v>
      </c>
      <c r="F56" s="105" t="n">
        <v>44</v>
      </c>
      <c r="G56" s="71" t="s">
        <v>1640</v>
      </c>
      <c r="H56" s="65" t="s">
        <v>1310</v>
      </c>
      <c r="I56" s="71" t="s">
        <v>202</v>
      </c>
      <c r="J56" s="106"/>
      <c r="K56" s="107" t="n">
        <v>0.109098178861148</v>
      </c>
      <c r="L56" s="107" t="n">
        <v>0.0164615595323034</v>
      </c>
      <c r="M56" s="107" t="n">
        <v>0.457050358779248</v>
      </c>
      <c r="N56" s="107" t="n">
        <v>0.160096735843579</v>
      </c>
      <c r="O56" s="102" t="n">
        <v>0.470606937217616</v>
      </c>
      <c r="P56" s="102" t="n">
        <v>0.192051527876873</v>
      </c>
      <c r="Q56" s="92" t="s">
        <v>1659</v>
      </c>
    </row>
    <row r="57" customFormat="false" ht="14.25" hidden="false" customHeight="false" outlineLevel="0" collapsed="false">
      <c r="C57" s="104" t="n">
        <v>52</v>
      </c>
      <c r="D57" s="71" t="s">
        <v>457</v>
      </c>
      <c r="E57" s="71" t="s">
        <v>457</v>
      </c>
      <c r="F57" s="105" t="n">
        <v>44</v>
      </c>
      <c r="G57" s="71" t="s">
        <v>1640</v>
      </c>
      <c r="H57" s="65" t="s">
        <v>1310</v>
      </c>
      <c r="I57" s="71" t="s">
        <v>202</v>
      </c>
      <c r="J57" s="106"/>
      <c r="K57" s="107" t="n">
        <v>0.543638306733479</v>
      </c>
      <c r="L57" s="107" t="n">
        <v>0.0820282652171817</v>
      </c>
      <c r="M57" s="107" t="n">
        <v>2.27749065779469</v>
      </c>
      <c r="N57" s="107" t="n">
        <v>0.797765089171022</v>
      </c>
      <c r="O57" s="102" t="n">
        <v>2.34504334679708</v>
      </c>
      <c r="P57" s="102" t="n">
        <v>0.956996427533786</v>
      </c>
      <c r="Q57" s="92" t="s">
        <v>1659</v>
      </c>
    </row>
    <row r="58" customFormat="false" ht="14.25" hidden="false" customHeight="false" outlineLevel="0" collapsed="false">
      <c r="C58" s="64" t="n">
        <v>53</v>
      </c>
      <c r="D58" s="108" t="s">
        <v>508</v>
      </c>
      <c r="E58" s="71" t="s">
        <v>508</v>
      </c>
      <c r="F58" s="105" t="n">
        <v>44</v>
      </c>
      <c r="G58" s="71" t="s">
        <v>1640</v>
      </c>
      <c r="H58" s="65" t="s">
        <v>1199</v>
      </c>
      <c r="I58" s="71" t="s">
        <v>202</v>
      </c>
      <c r="J58" s="106"/>
      <c r="K58" s="107" t="n">
        <v>0.0603694590518383</v>
      </c>
      <c r="L58" s="107" t="n">
        <v>0.00450952585688431</v>
      </c>
      <c r="M58" s="107" t="n">
        <v>0.699340179257139</v>
      </c>
      <c r="N58" s="107" t="n">
        <v>0.237477450366569</v>
      </c>
      <c r="O58" s="102" t="n">
        <v>0.704795250858208</v>
      </c>
      <c r="P58" s="102" t="n">
        <v>0.243659864847781</v>
      </c>
      <c r="Q58" s="92" t="s">
        <v>1641</v>
      </c>
    </row>
    <row r="59" customFormat="false" ht="14.25" hidden="false" customHeight="false" outlineLevel="0" collapsed="false">
      <c r="C59" s="104" t="n">
        <v>54</v>
      </c>
      <c r="D59" s="71" t="s">
        <v>376</v>
      </c>
      <c r="E59" s="71" t="s">
        <v>376</v>
      </c>
      <c r="F59" s="105" t="n">
        <v>44</v>
      </c>
      <c r="G59" s="71" t="s">
        <v>1640</v>
      </c>
      <c r="H59" s="65" t="s">
        <v>1199</v>
      </c>
      <c r="I59" s="71" t="s">
        <v>202</v>
      </c>
      <c r="J59" s="106"/>
      <c r="K59" s="107" t="n">
        <v>0.121125947375034</v>
      </c>
      <c r="L59" s="107" t="n">
        <v>0.00904796233403869</v>
      </c>
      <c r="M59" s="107" t="n">
        <v>1.40316383615777</v>
      </c>
      <c r="N59" s="107" t="n">
        <v>0.476477371300586</v>
      </c>
      <c r="O59" s="102" t="n">
        <v>1.41410895188443</v>
      </c>
      <c r="P59" s="102" t="n">
        <v>0.4888818357908</v>
      </c>
      <c r="Q59" s="92" t="s">
        <v>1641</v>
      </c>
    </row>
    <row r="60" customFormat="false" ht="14.25" hidden="false" customHeight="false" outlineLevel="0" collapsed="false">
      <c r="C60" s="64" t="n">
        <v>55</v>
      </c>
      <c r="D60" s="71" t="s">
        <v>1664</v>
      </c>
      <c r="E60" s="71" t="s">
        <v>1664</v>
      </c>
      <c r="F60" s="105" t="n">
        <v>44</v>
      </c>
      <c r="G60" s="71" t="s">
        <v>1640</v>
      </c>
      <c r="H60" s="65" t="s">
        <v>1041</v>
      </c>
      <c r="I60" s="71" t="s">
        <v>202</v>
      </c>
      <c r="J60" s="106"/>
      <c r="K60" s="107" t="n">
        <v>1.35151649910533</v>
      </c>
      <c r="L60" s="107" t="n">
        <v>0.455933276806616</v>
      </c>
      <c r="M60" s="107" t="n">
        <v>2.90983130590508</v>
      </c>
      <c r="N60" s="107" t="n">
        <v>1.19519651848591</v>
      </c>
      <c r="O60" s="102" t="n">
        <v>3.63932454879567</v>
      </c>
      <c r="P60" s="102" t="n">
        <v>1.28312650758433</v>
      </c>
      <c r="Q60" s="92" t="s">
        <v>1662</v>
      </c>
    </row>
    <row r="61" customFormat="false" ht="14.25" hidden="false" customHeight="false" outlineLevel="0" collapsed="false">
      <c r="C61" s="104" t="n">
        <v>56</v>
      </c>
      <c r="D61" s="71" t="s">
        <v>504</v>
      </c>
      <c r="E61" s="71" t="s">
        <v>504</v>
      </c>
      <c r="F61" s="105" t="n">
        <v>44</v>
      </c>
      <c r="G61" s="71" t="s">
        <v>1640</v>
      </c>
      <c r="H61" s="65" t="s">
        <v>1199</v>
      </c>
      <c r="I61" s="71" t="s">
        <v>202</v>
      </c>
      <c r="J61" s="106"/>
      <c r="K61" s="107" t="n">
        <v>0.0362395696894331</v>
      </c>
      <c r="L61" s="107" t="n">
        <v>0.0027070521936685</v>
      </c>
      <c r="M61" s="107" t="n">
        <v>0.419811400679397</v>
      </c>
      <c r="N61" s="107" t="n">
        <v>0.142556861489156</v>
      </c>
      <c r="O61" s="102" t="n">
        <v>0.423086060591093</v>
      </c>
      <c r="P61" s="102" t="n">
        <v>0.146268142722411</v>
      </c>
      <c r="Q61" s="92" t="s">
        <v>1641</v>
      </c>
    </row>
    <row r="62" customFormat="false" ht="14.25" hidden="false" customHeight="false" outlineLevel="0" collapsed="false">
      <c r="C62" s="64" t="n">
        <v>57</v>
      </c>
      <c r="D62" s="71" t="s">
        <v>510</v>
      </c>
      <c r="E62" s="71" t="s">
        <v>510</v>
      </c>
      <c r="F62" s="105" t="n">
        <v>44</v>
      </c>
      <c r="G62" s="71" t="s">
        <v>1640</v>
      </c>
      <c r="H62" s="65" t="s">
        <v>1199</v>
      </c>
      <c r="I62" s="71" t="s">
        <v>202</v>
      </c>
      <c r="J62" s="106"/>
      <c r="K62" s="107" t="n">
        <v>0.036263766958953</v>
      </c>
      <c r="L62" s="107" t="n">
        <v>0.0027088597005483</v>
      </c>
      <c r="M62" s="107" t="n">
        <v>0.420091710012449</v>
      </c>
      <c r="N62" s="107" t="n">
        <v>0.142652047133713</v>
      </c>
      <c r="O62" s="102" t="n">
        <v>0.423368556424403</v>
      </c>
      <c r="P62" s="102" t="n">
        <v>0.146365806400593</v>
      </c>
      <c r="Q62" s="92" t="s">
        <v>1641</v>
      </c>
    </row>
    <row r="63" customFormat="false" ht="14.25" hidden="false" customHeight="false" outlineLevel="0" collapsed="false">
      <c r="C63" s="104" t="n">
        <v>58</v>
      </c>
      <c r="D63" s="71" t="s">
        <v>442</v>
      </c>
      <c r="E63" s="71" t="s">
        <v>442</v>
      </c>
      <c r="F63" s="105" t="n">
        <v>44</v>
      </c>
      <c r="G63" s="71" t="s">
        <v>1640</v>
      </c>
      <c r="H63" s="65" t="s">
        <v>1310</v>
      </c>
      <c r="I63" s="71" t="s">
        <v>202</v>
      </c>
      <c r="J63" s="106"/>
      <c r="K63" s="107" t="n">
        <v>0.0876448498774571</v>
      </c>
      <c r="L63" s="107" t="n">
        <v>0.013224518768492</v>
      </c>
      <c r="M63" s="107" t="n">
        <v>0.367174874042838</v>
      </c>
      <c r="N63" s="107" t="n">
        <v>0.128614927630825</v>
      </c>
      <c r="O63" s="102" t="n">
        <v>0.378065654205126</v>
      </c>
      <c r="P63" s="102" t="n">
        <v>0.154286052299074</v>
      </c>
      <c r="Q63" s="92" t="s">
        <v>1659</v>
      </c>
    </row>
    <row r="64" customFormat="false" ht="14.25" hidden="false" customHeight="false" outlineLevel="0" collapsed="false">
      <c r="C64" s="64" t="n">
        <v>59</v>
      </c>
      <c r="D64" s="71" t="s">
        <v>421</v>
      </c>
      <c r="E64" s="71" t="s">
        <v>421</v>
      </c>
      <c r="F64" s="105" t="n">
        <v>44</v>
      </c>
      <c r="G64" s="71" t="s">
        <v>1640</v>
      </c>
      <c r="H64" s="65" t="s">
        <v>1218</v>
      </c>
      <c r="I64" s="71" t="s">
        <v>202</v>
      </c>
      <c r="J64" s="106"/>
      <c r="K64" s="107" t="n">
        <v>0.0544312340842475</v>
      </c>
      <c r="L64" s="107" t="n">
        <v>0.0984946140572098</v>
      </c>
      <c r="M64" s="107" t="n">
        <v>0.61429535609365</v>
      </c>
      <c r="N64" s="107" t="n">
        <v>0.235868681031739</v>
      </c>
      <c r="O64" s="102" t="n">
        <v>1.1965450946</v>
      </c>
      <c r="P64" s="102" t="n">
        <v>0.61324241177</v>
      </c>
      <c r="Q64" s="92" t="s">
        <v>1641</v>
      </c>
    </row>
    <row r="65" customFormat="false" ht="14.25" hidden="false" customHeight="false" outlineLevel="0" collapsed="false">
      <c r="C65" s="104" t="n">
        <v>60</v>
      </c>
      <c r="D65" s="71" t="s">
        <v>415</v>
      </c>
      <c r="E65" s="71" t="s">
        <v>415</v>
      </c>
      <c r="F65" s="105" t="n">
        <v>44</v>
      </c>
      <c r="G65" s="71" t="s">
        <v>1640</v>
      </c>
      <c r="H65" s="65" t="s">
        <v>1218</v>
      </c>
      <c r="I65" s="71" t="s">
        <v>202</v>
      </c>
      <c r="J65" s="106"/>
      <c r="K65" s="107" t="n">
        <v>0.0933501536660308</v>
      </c>
      <c r="L65" s="107" t="n">
        <v>0.168919325681389</v>
      </c>
      <c r="M65" s="107" t="n">
        <v>1.05352316280235</v>
      </c>
      <c r="N65" s="107" t="n">
        <v>0.4045173325528</v>
      </c>
      <c r="O65" s="102" t="n">
        <v>2.05208774573</v>
      </c>
      <c r="P65" s="102" t="n">
        <v>1.05152711849</v>
      </c>
      <c r="Q65" s="92" t="s">
        <v>1641</v>
      </c>
    </row>
    <row r="66" customFormat="false" ht="14.25" hidden="false" customHeight="false" outlineLevel="0" collapsed="false">
      <c r="C66" s="64" t="n">
        <v>61</v>
      </c>
      <c r="D66" s="71" t="s">
        <v>517</v>
      </c>
      <c r="E66" s="71" t="s">
        <v>517</v>
      </c>
      <c r="F66" s="105" t="n">
        <v>44</v>
      </c>
      <c r="G66" s="71" t="s">
        <v>1640</v>
      </c>
      <c r="H66" s="65" t="s">
        <v>1199</v>
      </c>
      <c r="I66" s="71" t="s">
        <v>202</v>
      </c>
      <c r="J66" s="106"/>
      <c r="K66" s="107" t="n">
        <v>0.0968080170627678</v>
      </c>
      <c r="L66" s="107" t="n">
        <v>0.00723144223842362</v>
      </c>
      <c r="M66" s="107" t="n">
        <v>1.12145672778134</v>
      </c>
      <c r="N66" s="107" t="n">
        <v>0.380817079168599</v>
      </c>
      <c r="O66" s="102" t="n">
        <v>1.13020444016653</v>
      </c>
      <c r="P66" s="102" t="n">
        <v>0.390731153205147</v>
      </c>
      <c r="Q66" s="92" t="s">
        <v>1641</v>
      </c>
    </row>
    <row r="67" customFormat="false" ht="14.25" hidden="false" customHeight="false" outlineLevel="0" collapsed="false">
      <c r="C67" s="104" t="n">
        <v>62</v>
      </c>
      <c r="D67" s="71" t="s">
        <v>1665</v>
      </c>
      <c r="E67" s="71" t="s">
        <v>523</v>
      </c>
      <c r="F67" s="105" t="n">
        <v>44</v>
      </c>
      <c r="G67" s="71" t="s">
        <v>1640</v>
      </c>
      <c r="H67" s="65" t="s">
        <v>1289</v>
      </c>
      <c r="I67" s="71" t="s">
        <v>202</v>
      </c>
      <c r="J67" s="106"/>
      <c r="K67" s="107" t="n">
        <v>0.48</v>
      </c>
      <c r="L67" s="107" t="n">
        <v>0</v>
      </c>
      <c r="M67" s="107" t="n">
        <v>2.02</v>
      </c>
      <c r="N67" s="107" t="n">
        <v>0.57</v>
      </c>
      <c r="O67" s="102" t="n">
        <v>2.78</v>
      </c>
      <c r="P67" s="102" t="n">
        <v>0.95</v>
      </c>
      <c r="Q67" s="92" t="s">
        <v>1641</v>
      </c>
    </row>
    <row r="68" customFormat="false" ht="14.25" hidden="false" customHeight="false" outlineLevel="0" collapsed="false">
      <c r="C68" s="64" t="n">
        <v>63</v>
      </c>
      <c r="D68" s="71" t="s">
        <v>476</v>
      </c>
      <c r="E68" s="71" t="s">
        <v>476</v>
      </c>
      <c r="F68" s="105" t="n">
        <v>44</v>
      </c>
      <c r="G68" s="71" t="s">
        <v>1642</v>
      </c>
      <c r="H68" s="65" t="s">
        <v>1033</v>
      </c>
      <c r="I68" s="71" t="s">
        <v>202</v>
      </c>
      <c r="J68" s="106"/>
      <c r="K68" s="107" t="n">
        <v>0</v>
      </c>
      <c r="L68" s="107" t="n">
        <v>0</v>
      </c>
      <c r="M68" s="107" t="n">
        <v>0.1</v>
      </c>
      <c r="N68" s="107" t="n">
        <v>0</v>
      </c>
      <c r="O68" s="102" t="n">
        <v>0.42</v>
      </c>
      <c r="P68" s="102" t="n">
        <v>0</v>
      </c>
      <c r="Q68" s="92" t="s">
        <v>1641</v>
      </c>
    </row>
    <row r="69" customFormat="false" ht="14.25" hidden="false" customHeight="false" outlineLevel="0" collapsed="false">
      <c r="C69" s="104" t="n">
        <v>64</v>
      </c>
      <c r="D69" s="71" t="s">
        <v>514</v>
      </c>
      <c r="E69" s="71" t="s">
        <v>514</v>
      </c>
      <c r="F69" s="105" t="n">
        <v>44</v>
      </c>
      <c r="G69" s="71" t="s">
        <v>1640</v>
      </c>
      <c r="H69" s="65" t="s">
        <v>1199</v>
      </c>
      <c r="I69" s="71" t="s">
        <v>202</v>
      </c>
      <c r="J69" s="106"/>
      <c r="K69" s="107" t="n">
        <v>0.169227677068446</v>
      </c>
      <c r="L69" s="107" t="n">
        <v>0.0126411035882453</v>
      </c>
      <c r="M69" s="107" t="n">
        <v>1.96039050001579</v>
      </c>
      <c r="N69" s="107" t="n">
        <v>0.665696826058404</v>
      </c>
      <c r="O69" s="102" t="n">
        <v>1.97568215758222</v>
      </c>
      <c r="P69" s="102" t="n">
        <v>0.683027371300354</v>
      </c>
      <c r="Q69" s="92" t="s">
        <v>1641</v>
      </c>
    </row>
    <row r="70" customFormat="false" ht="14.25" hidden="false" customHeight="false" outlineLevel="0" collapsed="false">
      <c r="C70" s="64" t="n">
        <v>65</v>
      </c>
      <c r="D70" s="71" t="s">
        <v>512</v>
      </c>
      <c r="E70" s="71" t="s">
        <v>512</v>
      </c>
      <c r="F70" s="105" t="n">
        <v>44</v>
      </c>
      <c r="G70" s="71" t="s">
        <v>1640</v>
      </c>
      <c r="H70" s="65" t="s">
        <v>1199</v>
      </c>
      <c r="I70" s="71" t="s">
        <v>202</v>
      </c>
      <c r="J70" s="106"/>
      <c r="K70" s="107" t="n">
        <v>0.0483729444416923</v>
      </c>
      <c r="L70" s="107" t="n">
        <v>0.00361340066913846</v>
      </c>
      <c r="M70" s="107" t="n">
        <v>0.56036850699623</v>
      </c>
      <c r="N70" s="107" t="n">
        <v>0.190286341689308</v>
      </c>
      <c r="O70" s="102" t="n">
        <v>0.564739556192769</v>
      </c>
      <c r="P70" s="102" t="n">
        <v>0.195240197445385</v>
      </c>
      <c r="Q70" s="92" t="s">
        <v>1641</v>
      </c>
    </row>
    <row r="71" customFormat="false" ht="14.25" hidden="false" customHeight="false" outlineLevel="0" collapsed="false">
      <c r="C71" s="104" t="n">
        <v>66</v>
      </c>
      <c r="D71" s="71" t="s">
        <v>439</v>
      </c>
      <c r="E71" s="71" t="s">
        <v>439</v>
      </c>
      <c r="F71" s="105" t="n">
        <v>44</v>
      </c>
      <c r="G71" s="71" t="s">
        <v>1640</v>
      </c>
      <c r="H71" s="65" t="s">
        <v>1041</v>
      </c>
      <c r="I71" s="71" t="s">
        <v>202</v>
      </c>
      <c r="J71" s="106"/>
      <c r="K71" s="107" t="n">
        <v>0.796335474323247</v>
      </c>
      <c r="L71" s="107" t="n">
        <v>0.268643292542782</v>
      </c>
      <c r="M71" s="107" t="n">
        <v>1.71451987062126</v>
      </c>
      <c r="N71" s="107" t="n">
        <v>0.704229202594293</v>
      </c>
      <c r="O71" s="102" t="n">
        <v>2.14434913868971</v>
      </c>
      <c r="P71" s="102" t="n">
        <v>0.756038980441829</v>
      </c>
      <c r="Q71" s="92" t="s">
        <v>1662</v>
      </c>
    </row>
    <row r="72" customFormat="false" ht="14.25" hidden="false" customHeight="false" outlineLevel="0" collapsed="false">
      <c r="C72" s="64" t="n">
        <v>67</v>
      </c>
      <c r="D72" s="71" t="s">
        <v>464</v>
      </c>
      <c r="E72" s="71" t="s">
        <v>464</v>
      </c>
      <c r="F72" s="105" t="n">
        <v>44</v>
      </c>
      <c r="G72" s="71" t="s">
        <v>1640</v>
      </c>
      <c r="H72" s="65" t="s">
        <v>1245</v>
      </c>
      <c r="I72" s="71" t="s">
        <v>202</v>
      </c>
      <c r="J72" s="106"/>
      <c r="K72" s="107" t="n">
        <v>0.54</v>
      </c>
      <c r="L72" s="107" t="n">
        <v>0</v>
      </c>
      <c r="M72" s="107" t="n">
        <v>0.25</v>
      </c>
      <c r="N72" s="107" t="n">
        <v>0</v>
      </c>
      <c r="O72" s="102" t="n">
        <v>0.36</v>
      </c>
      <c r="P72" s="102" t="n">
        <v>0.18</v>
      </c>
      <c r="Q72" s="92" t="s">
        <v>1641</v>
      </c>
    </row>
    <row r="73" customFormat="false" ht="14.25" hidden="false" customHeight="false" outlineLevel="0" collapsed="false">
      <c r="C73" s="104" t="n">
        <v>68</v>
      </c>
      <c r="D73" s="71" t="s">
        <v>403</v>
      </c>
      <c r="E73" s="71" t="s">
        <v>403</v>
      </c>
      <c r="F73" s="105" t="n">
        <v>44</v>
      </c>
      <c r="G73" s="71" t="s">
        <v>1640</v>
      </c>
      <c r="H73" s="65" t="s">
        <v>1247</v>
      </c>
      <c r="I73" s="71" t="s">
        <v>202</v>
      </c>
      <c r="J73" s="106"/>
      <c r="K73" s="107" t="n">
        <v>0.740511274001161</v>
      </c>
      <c r="L73" s="107" t="n">
        <v>0.124961277487696</v>
      </c>
      <c r="M73" s="107" t="n">
        <v>1.03671578360163</v>
      </c>
      <c r="N73" s="107" t="n">
        <v>0.174945788482774</v>
      </c>
      <c r="O73" s="102" t="n">
        <v>1.48102254800232</v>
      </c>
      <c r="P73" s="102" t="n">
        <v>0.249922554975392</v>
      </c>
      <c r="Q73" s="92" t="s">
        <v>1641</v>
      </c>
    </row>
    <row r="74" customFormat="false" ht="14.25" hidden="false" customHeight="false" outlineLevel="0" collapsed="false">
      <c r="C74" s="64" t="n">
        <v>69</v>
      </c>
      <c r="D74" s="71" t="s">
        <v>399</v>
      </c>
      <c r="E74" s="71" t="s">
        <v>399</v>
      </c>
      <c r="F74" s="105" t="n">
        <v>44</v>
      </c>
      <c r="G74" s="71" t="s">
        <v>1640</v>
      </c>
      <c r="H74" s="65" t="s">
        <v>1247</v>
      </c>
      <c r="I74" s="71" t="s">
        <v>202</v>
      </c>
      <c r="J74" s="106"/>
      <c r="K74" s="107" t="n">
        <v>0.118434470686077</v>
      </c>
      <c r="L74" s="107" t="n">
        <v>0.0199858169282754</v>
      </c>
      <c r="M74" s="107" t="n">
        <v>0.165808258960507</v>
      </c>
      <c r="N74" s="107" t="n">
        <v>0.0279801436995856</v>
      </c>
      <c r="O74" s="102" t="n">
        <v>0.236868941372153</v>
      </c>
      <c r="P74" s="102" t="n">
        <v>0.0399716338565509</v>
      </c>
      <c r="Q74" s="92" t="s">
        <v>1641</v>
      </c>
    </row>
    <row r="75" customFormat="false" ht="14.25" hidden="false" customHeight="false" outlineLevel="0" collapsed="false">
      <c r="C75" s="104" t="n">
        <v>70</v>
      </c>
      <c r="D75" s="71" t="s">
        <v>679</v>
      </c>
      <c r="E75" s="71" t="s">
        <v>679</v>
      </c>
      <c r="F75" s="105" t="n">
        <v>44</v>
      </c>
      <c r="G75" s="71" t="s">
        <v>1642</v>
      </c>
      <c r="H75" s="65" t="s">
        <v>1666</v>
      </c>
      <c r="I75" s="71" t="s">
        <v>202</v>
      </c>
      <c r="J75" s="106"/>
      <c r="K75" s="107" t="n">
        <v>0.300239372743295</v>
      </c>
      <c r="L75" s="107" t="n">
        <v>0.0555998838413509</v>
      </c>
      <c r="M75" s="107" t="n">
        <v>0</v>
      </c>
      <c r="N75" s="107" t="n">
        <v>0</v>
      </c>
      <c r="O75" s="102" t="n">
        <v>1.25285071589177</v>
      </c>
      <c r="P75" s="102" t="n">
        <v>0.415145799348753</v>
      </c>
      <c r="Q75" s="92" t="s">
        <v>1641</v>
      </c>
    </row>
    <row r="76" customFormat="false" ht="14.25" hidden="false" customHeight="false" outlineLevel="0" collapsed="false">
      <c r="C76" s="64" t="n">
        <v>71</v>
      </c>
      <c r="D76" s="71" t="s">
        <v>734</v>
      </c>
      <c r="E76" s="71" t="s">
        <v>734</v>
      </c>
      <c r="F76" s="105" t="n">
        <v>44</v>
      </c>
      <c r="G76" s="71" t="s">
        <v>1640</v>
      </c>
      <c r="H76" s="65" t="s">
        <v>1667</v>
      </c>
      <c r="I76" s="71" t="s">
        <v>202</v>
      </c>
      <c r="J76" s="106"/>
      <c r="K76" s="107" t="n">
        <v>0.1380856801986</v>
      </c>
      <c r="L76" s="107" t="n">
        <v>0.0351145715968948</v>
      </c>
      <c r="M76" s="107" t="n">
        <v>0.594575110958233</v>
      </c>
      <c r="N76" s="107" t="n">
        <v>0.19218110130733</v>
      </c>
      <c r="O76" s="102" t="n">
        <v>0.661008084249656</v>
      </c>
      <c r="P76" s="102" t="n">
        <v>0.188859452642759</v>
      </c>
      <c r="Q76" s="92" t="s">
        <v>1668</v>
      </c>
    </row>
    <row r="77" customFormat="false" ht="14.25" hidden="false" customHeight="false" outlineLevel="0" collapsed="false">
      <c r="C77" s="104" t="n">
        <v>72</v>
      </c>
      <c r="D77" s="71" t="s">
        <v>567</v>
      </c>
      <c r="E77" s="71" t="s">
        <v>567</v>
      </c>
      <c r="F77" s="105" t="n">
        <v>44</v>
      </c>
      <c r="G77" s="71" t="s">
        <v>1640</v>
      </c>
      <c r="H77" s="65" t="s">
        <v>851</v>
      </c>
      <c r="I77" s="71" t="s">
        <v>202</v>
      </c>
      <c r="J77" s="106"/>
      <c r="K77" s="107" t="n">
        <v>0.24183984878548</v>
      </c>
      <c r="L77" s="107" t="n">
        <v>0.0291373311789735</v>
      </c>
      <c r="M77" s="107" t="n">
        <v>0.768254298752268</v>
      </c>
      <c r="N77" s="107" t="n">
        <v>0.260293491865497</v>
      </c>
      <c r="O77" s="102" t="n">
        <v>0.697353459550099</v>
      </c>
      <c r="P77" s="102" t="n">
        <v>0.211731273233874</v>
      </c>
      <c r="Q77" s="92" t="s">
        <v>1641</v>
      </c>
    </row>
    <row r="78" customFormat="false" ht="14.25" hidden="false" customHeight="false" outlineLevel="0" collapsed="false">
      <c r="C78" s="64" t="n">
        <v>73</v>
      </c>
      <c r="D78" s="71" t="s">
        <v>533</v>
      </c>
      <c r="E78" s="71" t="s">
        <v>533</v>
      </c>
      <c r="F78" s="105" t="n">
        <v>44</v>
      </c>
      <c r="G78" s="71" t="s">
        <v>1640</v>
      </c>
      <c r="H78" s="65" t="s">
        <v>851</v>
      </c>
      <c r="I78" s="71" t="s">
        <v>202</v>
      </c>
      <c r="J78" s="106"/>
      <c r="K78" s="107" t="n">
        <v>0.101231616515533</v>
      </c>
      <c r="L78" s="107" t="n">
        <v>0.0121965803030763</v>
      </c>
      <c r="M78" s="107" t="n">
        <v>0.321583167324445</v>
      </c>
      <c r="N78" s="107" t="n">
        <v>0.108956117374148</v>
      </c>
      <c r="O78" s="102" t="n">
        <v>0.291904821920292</v>
      </c>
      <c r="P78" s="102" t="n">
        <v>0.0886284835356876</v>
      </c>
      <c r="Q78" s="92" t="s">
        <v>1641</v>
      </c>
    </row>
    <row r="79" customFormat="false" ht="14.25" hidden="false" customHeight="false" outlineLevel="0" collapsed="false">
      <c r="C79" s="104" t="n">
        <v>74</v>
      </c>
      <c r="D79" s="71" t="s">
        <v>621</v>
      </c>
      <c r="E79" s="71" t="s">
        <v>621</v>
      </c>
      <c r="F79" s="105" t="n">
        <v>44</v>
      </c>
      <c r="G79" s="71" t="s">
        <v>1640</v>
      </c>
      <c r="H79" s="65" t="s">
        <v>1669</v>
      </c>
      <c r="I79" s="71" t="s">
        <v>202</v>
      </c>
      <c r="J79" s="106"/>
      <c r="K79" s="107" t="n">
        <v>1.7164714202515</v>
      </c>
      <c r="L79" s="107" t="n">
        <v>0.454968328259435</v>
      </c>
      <c r="M79" s="107" t="n">
        <v>2.08871823428195</v>
      </c>
      <c r="N79" s="107" t="n">
        <v>0.744493628060894</v>
      </c>
      <c r="O79" s="102" t="n">
        <v>2.4609650483124</v>
      </c>
      <c r="P79" s="102" t="n">
        <v>1.03401892786235</v>
      </c>
      <c r="Q79" s="92" t="s">
        <v>1641</v>
      </c>
    </row>
    <row r="80" customFormat="false" ht="14.25" hidden="false" customHeight="false" outlineLevel="0" collapsed="false">
      <c r="C80" s="64" t="n">
        <v>75</v>
      </c>
      <c r="D80" s="71" t="s">
        <v>649</v>
      </c>
      <c r="E80" s="71" t="s">
        <v>649</v>
      </c>
      <c r="F80" s="105" t="n">
        <v>44</v>
      </c>
      <c r="G80" s="71" t="s">
        <v>1640</v>
      </c>
      <c r="H80" s="65" t="s">
        <v>1199</v>
      </c>
      <c r="I80" s="71" t="s">
        <v>202</v>
      </c>
      <c r="J80" s="106"/>
      <c r="K80" s="107" t="n">
        <v>0.0718134144871542</v>
      </c>
      <c r="L80" s="107" t="n">
        <v>0.00536437554000429</v>
      </c>
      <c r="M80" s="107" t="n">
        <v>0.83191081963131</v>
      </c>
      <c r="N80" s="107" t="n">
        <v>0.282494937711516</v>
      </c>
      <c r="O80" s="102" t="n">
        <v>0.838399983590993</v>
      </c>
      <c r="P80" s="102" t="n">
        <v>0.28984932353249</v>
      </c>
      <c r="Q80" s="92" t="s">
        <v>1641</v>
      </c>
    </row>
    <row r="81" customFormat="false" ht="14.25" hidden="false" customHeight="false" outlineLevel="0" collapsed="false">
      <c r="C81" s="104" t="n">
        <v>76</v>
      </c>
      <c r="D81" s="71" t="s">
        <v>669</v>
      </c>
      <c r="E81" s="71" t="s">
        <v>669</v>
      </c>
      <c r="F81" s="105" t="n">
        <v>44</v>
      </c>
      <c r="G81" s="71" t="s">
        <v>1640</v>
      </c>
      <c r="H81" s="65" t="s">
        <v>1666</v>
      </c>
      <c r="I81" s="71" t="s">
        <v>202</v>
      </c>
      <c r="J81" s="106"/>
      <c r="K81" s="107" t="n">
        <v>0.0749193440087911</v>
      </c>
      <c r="L81" s="107" t="n">
        <v>0.0138739525942206</v>
      </c>
      <c r="M81" s="107" t="n">
        <v>0</v>
      </c>
      <c r="N81" s="107" t="n">
        <v>0</v>
      </c>
      <c r="O81" s="102" t="n">
        <v>0.312626398456437</v>
      </c>
      <c r="P81" s="102" t="n">
        <v>0.10359217937018</v>
      </c>
      <c r="Q81" s="92" t="s">
        <v>1641</v>
      </c>
    </row>
    <row r="82" customFormat="false" ht="14.25" hidden="false" customHeight="false" outlineLevel="0" collapsed="false">
      <c r="C82" s="64" t="n">
        <v>77</v>
      </c>
      <c r="D82" s="71" t="s">
        <v>732</v>
      </c>
      <c r="E82" s="71" t="s">
        <v>732</v>
      </c>
      <c r="F82" s="105" t="n">
        <v>44</v>
      </c>
      <c r="G82" s="71" t="s">
        <v>1640</v>
      </c>
      <c r="H82" s="65" t="s">
        <v>1667</v>
      </c>
      <c r="I82" s="71" t="s">
        <v>202</v>
      </c>
      <c r="J82" s="106"/>
      <c r="K82" s="107" t="n">
        <v>0.0690010445759627</v>
      </c>
      <c r="L82" s="107" t="n">
        <v>0.0175466573835781</v>
      </c>
      <c r="M82" s="107" t="n">
        <v>0.297107590562479</v>
      </c>
      <c r="N82" s="107" t="n">
        <v>0.0960323816263398</v>
      </c>
      <c r="O82" s="102" t="n">
        <v>0.330303969396275</v>
      </c>
      <c r="P82" s="102" t="n">
        <v>0.09437256268465</v>
      </c>
      <c r="Q82" s="92" t="s">
        <v>1668</v>
      </c>
    </row>
    <row r="83" customFormat="false" ht="14.25" hidden="false" customHeight="false" outlineLevel="0" collapsed="false">
      <c r="C83" s="104" t="n">
        <v>78</v>
      </c>
      <c r="D83" s="71" t="s">
        <v>758</v>
      </c>
      <c r="E83" s="71" t="s">
        <v>758</v>
      </c>
      <c r="F83" s="105" t="n">
        <v>44</v>
      </c>
      <c r="G83" s="71" t="s">
        <v>1640</v>
      </c>
      <c r="H83" s="65" t="s">
        <v>1667</v>
      </c>
      <c r="I83" s="71" t="s">
        <v>202</v>
      </c>
      <c r="J83" s="106"/>
      <c r="K83" s="107" t="n">
        <v>0.408117726827888</v>
      </c>
      <c r="L83" s="107" t="n">
        <v>0.103782514725992</v>
      </c>
      <c r="M83" s="107" t="n">
        <v>1.75729041826579</v>
      </c>
      <c r="N83" s="107" t="n">
        <v>0.567998898162525</v>
      </c>
      <c r="O83" s="102" t="n">
        <v>1.95363571639604</v>
      </c>
      <c r="P83" s="102" t="n">
        <v>0.558181633256012</v>
      </c>
      <c r="Q83" s="92" t="s">
        <v>1668</v>
      </c>
    </row>
    <row r="84" customFormat="false" ht="14.25" hidden="false" customHeight="false" outlineLevel="0" collapsed="false">
      <c r="C84" s="64" t="n">
        <v>79</v>
      </c>
      <c r="D84" s="71" t="s">
        <v>671</v>
      </c>
      <c r="E84" s="71" t="s">
        <v>671</v>
      </c>
      <c r="F84" s="105" t="n">
        <v>44</v>
      </c>
      <c r="G84" s="71" t="s">
        <v>1640</v>
      </c>
      <c r="H84" s="65" t="s">
        <v>1666</v>
      </c>
      <c r="I84" s="71" t="s">
        <v>202</v>
      </c>
      <c r="J84" s="106"/>
      <c r="K84" s="107" t="n">
        <v>0.374883832463088</v>
      </c>
      <c r="L84" s="107" t="n">
        <v>0.0694229319376089</v>
      </c>
      <c r="M84" s="107" t="n">
        <v>0</v>
      </c>
      <c r="N84" s="107" t="n">
        <v>0</v>
      </c>
      <c r="O84" s="102" t="n">
        <v>1.56433006632745</v>
      </c>
      <c r="P84" s="102" t="n">
        <v>0.518357891800813</v>
      </c>
      <c r="Q84" s="92" t="s">
        <v>1641</v>
      </c>
    </row>
    <row r="85" customFormat="false" ht="14.25" hidden="false" customHeight="false" outlineLevel="0" collapsed="false">
      <c r="C85" s="104" t="n">
        <v>80</v>
      </c>
      <c r="D85" s="71" t="s">
        <v>740</v>
      </c>
      <c r="E85" s="71" t="s">
        <v>740</v>
      </c>
      <c r="F85" s="105" t="n">
        <v>44</v>
      </c>
      <c r="G85" s="71" t="s">
        <v>1640</v>
      </c>
      <c r="H85" s="65" t="s">
        <v>1667</v>
      </c>
      <c r="I85" s="71" t="s">
        <v>202</v>
      </c>
      <c r="J85" s="106"/>
      <c r="K85" s="107" t="n">
        <v>0.356926756454727</v>
      </c>
      <c r="L85" s="107" t="n">
        <v>0.090764879648281</v>
      </c>
      <c r="M85" s="107" t="n">
        <v>1.53687019188238</v>
      </c>
      <c r="N85" s="107" t="n">
        <v>0.496753733210186</v>
      </c>
      <c r="O85" s="102" t="n">
        <v>1.70858753175751</v>
      </c>
      <c r="P85" s="102" t="n">
        <v>0.48816786621643</v>
      </c>
      <c r="Q85" s="92" t="s">
        <v>1668</v>
      </c>
    </row>
    <row r="86" customFormat="false" ht="14.25" hidden="false" customHeight="false" outlineLevel="0" collapsed="false">
      <c r="C86" s="64" t="n">
        <v>81</v>
      </c>
      <c r="D86" s="71" t="s">
        <v>552</v>
      </c>
      <c r="E86" s="71" t="s">
        <v>552</v>
      </c>
      <c r="F86" s="105" t="n">
        <v>44</v>
      </c>
      <c r="G86" s="71" t="s">
        <v>1640</v>
      </c>
      <c r="H86" s="65" t="s">
        <v>851</v>
      </c>
      <c r="I86" s="71" t="s">
        <v>202</v>
      </c>
      <c r="J86" s="106"/>
      <c r="K86" s="107" t="n">
        <v>0.125151753852219</v>
      </c>
      <c r="L86" s="107" t="n">
        <v>0.0150785245605083</v>
      </c>
      <c r="M86" s="107" t="n">
        <v>0.39757043091207</v>
      </c>
      <c r="N86" s="107" t="n">
        <v>0.134701486073874</v>
      </c>
      <c r="O86" s="102" t="n">
        <v>0.360879354481499</v>
      </c>
      <c r="P86" s="102" t="n">
        <v>0.109570611806361</v>
      </c>
      <c r="Q86" s="92" t="s">
        <v>1641</v>
      </c>
    </row>
    <row r="87" customFormat="false" ht="14.25" hidden="false" customHeight="false" outlineLevel="0" collapsed="false">
      <c r="C87" s="104" t="n">
        <v>82</v>
      </c>
      <c r="D87" s="71" t="s">
        <v>746</v>
      </c>
      <c r="E87" s="71" t="s">
        <v>746</v>
      </c>
      <c r="F87" s="105" t="n">
        <v>44</v>
      </c>
      <c r="G87" s="71" t="s">
        <v>1642</v>
      </c>
      <c r="H87" s="65" t="s">
        <v>1667</v>
      </c>
      <c r="I87" s="71" t="s">
        <v>202</v>
      </c>
      <c r="J87" s="106"/>
      <c r="K87" s="107" t="n">
        <v>0.239260396890062</v>
      </c>
      <c r="L87" s="107" t="n">
        <v>0.0608428500682632</v>
      </c>
      <c r="M87" s="107" t="n">
        <v>1.03021744777748</v>
      </c>
      <c r="N87" s="107" t="n">
        <v>0.332991274022252</v>
      </c>
      <c r="O87" s="102" t="n">
        <v>1.14532554250123</v>
      </c>
      <c r="P87" s="102" t="n">
        <v>0.327235869286064</v>
      </c>
      <c r="Q87" s="92" t="s">
        <v>1668</v>
      </c>
    </row>
    <row r="88" customFormat="false" ht="14.25" hidden="false" customHeight="false" outlineLevel="0" collapsed="false">
      <c r="C88" s="64" t="n">
        <v>83</v>
      </c>
      <c r="D88" s="71" t="s">
        <v>653</v>
      </c>
      <c r="E88" s="71" t="s">
        <v>653</v>
      </c>
      <c r="F88" s="105" t="n">
        <v>44</v>
      </c>
      <c r="G88" s="71" t="s">
        <v>1640</v>
      </c>
      <c r="H88" s="65" t="s">
        <v>1199</v>
      </c>
      <c r="I88" s="71" t="s">
        <v>202</v>
      </c>
      <c r="J88" s="106"/>
      <c r="K88" s="107" t="n">
        <v>0.389669522603411</v>
      </c>
      <c r="L88" s="107" t="n">
        <v>0.0291078438571222</v>
      </c>
      <c r="M88" s="107" t="n">
        <v>4.51406320461662</v>
      </c>
      <c r="N88" s="107" t="n">
        <v>1.53285661602426</v>
      </c>
      <c r="O88" s="102" t="n">
        <v>4.54927430605669</v>
      </c>
      <c r="P88" s="102" t="n">
        <v>1.57276253098967</v>
      </c>
      <c r="Q88" s="92" t="s">
        <v>1641</v>
      </c>
    </row>
    <row r="89" customFormat="false" ht="14.25" hidden="false" customHeight="false" outlineLevel="0" collapsed="false">
      <c r="C89" s="104" t="n">
        <v>84</v>
      </c>
      <c r="D89" s="71" t="s">
        <v>643</v>
      </c>
      <c r="E89" s="71" t="s">
        <v>643</v>
      </c>
      <c r="F89" s="105" t="n">
        <v>44</v>
      </c>
      <c r="G89" s="71" t="s">
        <v>1640</v>
      </c>
      <c r="H89" s="65" t="s">
        <v>1199</v>
      </c>
      <c r="I89" s="71" t="s">
        <v>202</v>
      </c>
      <c r="J89" s="106"/>
      <c r="K89" s="107" t="n">
        <v>0.0448117045886658</v>
      </c>
      <c r="L89" s="107" t="n">
        <v>0.00334738034276781</v>
      </c>
      <c r="M89" s="107" t="n">
        <v>0.519113903156653</v>
      </c>
      <c r="N89" s="107" t="n">
        <v>0.176277368050595</v>
      </c>
      <c r="O89" s="102" t="n">
        <v>0.523163153571292</v>
      </c>
      <c r="P89" s="102" t="n">
        <v>0.180866518520519</v>
      </c>
      <c r="Q89" s="92" t="s">
        <v>1641</v>
      </c>
    </row>
    <row r="90" customFormat="false" ht="14.25" hidden="false" customHeight="false" outlineLevel="0" collapsed="false">
      <c r="C90" s="64" t="n">
        <v>85</v>
      </c>
      <c r="D90" s="71" t="s">
        <v>617</v>
      </c>
      <c r="E90" s="71" t="s">
        <v>617</v>
      </c>
      <c r="F90" s="105" t="n">
        <v>44</v>
      </c>
      <c r="G90" s="71" t="s">
        <v>1640</v>
      </c>
      <c r="H90" s="65" t="s">
        <v>1669</v>
      </c>
      <c r="I90" s="71" t="s">
        <v>202</v>
      </c>
      <c r="J90" s="106"/>
      <c r="K90" s="107" t="n">
        <v>0.344197024578439</v>
      </c>
      <c r="L90" s="107" t="n">
        <v>0.091232946273803</v>
      </c>
      <c r="M90" s="107" t="n">
        <v>0.418842162438823</v>
      </c>
      <c r="N90" s="107" t="n">
        <v>0.149290275720769</v>
      </c>
      <c r="O90" s="102" t="n">
        <v>0.493487300299207</v>
      </c>
      <c r="P90" s="102" t="n">
        <v>0.207347605167734</v>
      </c>
      <c r="Q90" s="92" t="s">
        <v>1641</v>
      </c>
    </row>
    <row r="91" customFormat="false" ht="14.25" hidden="false" customHeight="false" outlineLevel="0" collapsed="false">
      <c r="C91" s="104" t="n">
        <v>86</v>
      </c>
      <c r="D91" s="71" t="s">
        <v>683</v>
      </c>
      <c r="E91" s="71" t="s">
        <v>683</v>
      </c>
      <c r="F91" s="105" t="n">
        <v>44</v>
      </c>
      <c r="G91" s="71" t="s">
        <v>1640</v>
      </c>
      <c r="H91" s="65" t="s">
        <v>1666</v>
      </c>
      <c r="I91" s="71" t="s">
        <v>202</v>
      </c>
      <c r="J91" s="106"/>
      <c r="K91" s="107" t="n">
        <v>0.0599574507848263</v>
      </c>
      <c r="L91" s="107" t="n">
        <v>0.0111032316268197</v>
      </c>
      <c r="M91" s="107" t="n">
        <v>0</v>
      </c>
      <c r="N91" s="107" t="n">
        <v>0</v>
      </c>
      <c r="O91" s="102" t="n">
        <v>0.250192819324337</v>
      </c>
      <c r="P91" s="102" t="n">
        <v>0.0829041294802536</v>
      </c>
      <c r="Q91" s="92" t="s">
        <v>1641</v>
      </c>
    </row>
    <row r="92" customFormat="false" ht="14.25" hidden="false" customHeight="false" outlineLevel="0" collapsed="false">
      <c r="C92" s="64" t="n">
        <v>87</v>
      </c>
      <c r="D92" s="71" t="s">
        <v>748</v>
      </c>
      <c r="E92" s="71" t="s">
        <v>748</v>
      </c>
      <c r="F92" s="105" t="n">
        <v>44</v>
      </c>
      <c r="G92" s="71" t="s">
        <v>1640</v>
      </c>
      <c r="H92" s="65" t="s">
        <v>1667</v>
      </c>
      <c r="I92" s="71" t="s">
        <v>202</v>
      </c>
      <c r="J92" s="106"/>
      <c r="K92" s="107" t="n">
        <v>0.178914369439508</v>
      </c>
      <c r="L92" s="107" t="n">
        <v>0.0454971248746516</v>
      </c>
      <c r="M92" s="107" t="n">
        <v>0.770376992809979</v>
      </c>
      <c r="N92" s="107" t="n">
        <v>0.249004534786945</v>
      </c>
      <c r="O92" s="102" t="n">
        <v>0.856452634464726</v>
      </c>
      <c r="P92" s="102" t="n">
        <v>0.244700752704207</v>
      </c>
      <c r="Q92" s="92" t="s">
        <v>1668</v>
      </c>
    </row>
    <row r="93" customFormat="false" ht="14.25" hidden="false" customHeight="false" outlineLevel="0" collapsed="false">
      <c r="C93" s="104" t="n">
        <v>88</v>
      </c>
      <c r="D93" s="71" t="s">
        <v>539</v>
      </c>
      <c r="E93" s="71" t="s">
        <v>539</v>
      </c>
      <c r="F93" s="105" t="n">
        <v>44</v>
      </c>
      <c r="G93" s="71" t="s">
        <v>1640</v>
      </c>
      <c r="H93" s="65" t="s">
        <v>851</v>
      </c>
      <c r="I93" s="71" t="s">
        <v>202</v>
      </c>
      <c r="J93" s="106"/>
      <c r="K93" s="107" t="n">
        <v>0.539675275572602</v>
      </c>
      <c r="L93" s="107" t="n">
        <v>0.0650211175388678</v>
      </c>
      <c r="M93" s="107" t="n">
        <v>1.71439013244148</v>
      </c>
      <c r="N93" s="107" t="n">
        <v>0.580855316680552</v>
      </c>
      <c r="O93" s="102" t="n">
        <v>1.55617207976357</v>
      </c>
      <c r="P93" s="102" t="n">
        <v>0.472486787449106</v>
      </c>
      <c r="Q93" s="92" t="s">
        <v>1641</v>
      </c>
    </row>
    <row r="94" customFormat="false" ht="14.25" hidden="false" customHeight="false" outlineLevel="0" collapsed="false">
      <c r="C94" s="64" t="n">
        <v>89</v>
      </c>
      <c r="D94" s="71" t="s">
        <v>604</v>
      </c>
      <c r="E94" s="71" t="s">
        <v>604</v>
      </c>
      <c r="F94" s="105" t="n">
        <v>44</v>
      </c>
      <c r="G94" s="71" t="s">
        <v>1640</v>
      </c>
      <c r="H94" s="65" t="s">
        <v>1670</v>
      </c>
      <c r="I94" s="71" t="s">
        <v>202</v>
      </c>
      <c r="J94" s="106"/>
      <c r="K94" s="107" t="n">
        <v>2.26</v>
      </c>
      <c r="L94" s="107" t="n">
        <v>0.84</v>
      </c>
      <c r="M94" s="107" t="n">
        <v>4.14</v>
      </c>
      <c r="N94" s="107" t="n">
        <v>1.7</v>
      </c>
      <c r="O94" s="102" t="n">
        <v>4.58</v>
      </c>
      <c r="P94" s="102" t="n">
        <v>2.02</v>
      </c>
      <c r="Q94" s="92" t="s">
        <v>1671</v>
      </c>
    </row>
    <row r="95" customFormat="false" ht="14.25" hidden="false" customHeight="false" outlineLevel="0" collapsed="false">
      <c r="C95" s="104" t="n">
        <v>90</v>
      </c>
      <c r="D95" s="71" t="s">
        <v>651</v>
      </c>
      <c r="E95" s="71" t="s">
        <v>651</v>
      </c>
      <c r="F95" s="105" t="n">
        <v>44</v>
      </c>
      <c r="G95" s="71" t="s">
        <v>1640</v>
      </c>
      <c r="H95" s="65" t="s">
        <v>1199</v>
      </c>
      <c r="I95" s="71" t="s">
        <v>202</v>
      </c>
      <c r="J95" s="106"/>
      <c r="K95" s="107" t="n">
        <v>0.0718020353502949</v>
      </c>
      <c r="L95" s="107" t="n">
        <v>0.00536352553219071</v>
      </c>
      <c r="M95" s="107" t="n">
        <v>0.831778999871188</v>
      </c>
      <c r="N95" s="107" t="n">
        <v>0.282450175203269</v>
      </c>
      <c r="O95" s="102" t="n">
        <v>0.838267135595612</v>
      </c>
      <c r="P95" s="102" t="n">
        <v>0.289803395690949</v>
      </c>
      <c r="Q95" s="92" t="s">
        <v>1641</v>
      </c>
    </row>
    <row r="96" customFormat="false" ht="14.25" hidden="false" customHeight="false" outlineLevel="0" collapsed="false">
      <c r="C96" s="64" t="n">
        <v>91</v>
      </c>
      <c r="D96" s="71" t="s">
        <v>563</v>
      </c>
      <c r="E96" s="71" t="s">
        <v>563</v>
      </c>
      <c r="F96" s="105" t="n">
        <v>44</v>
      </c>
      <c r="G96" s="71" t="s">
        <v>1640</v>
      </c>
      <c r="H96" s="65" t="s">
        <v>851</v>
      </c>
      <c r="I96" s="71" t="s">
        <v>202</v>
      </c>
      <c r="J96" s="106"/>
      <c r="K96" s="107" t="n">
        <v>0.538949890297356</v>
      </c>
      <c r="L96" s="107" t="n">
        <v>0.064933721722573</v>
      </c>
      <c r="M96" s="107" t="n">
        <v>1.71208579608518</v>
      </c>
      <c r="N96" s="107" t="n">
        <v>0.580074580721653</v>
      </c>
      <c r="O96" s="102" t="n">
        <v>1.55408040656025</v>
      </c>
      <c r="P96" s="102" t="n">
        <v>0.471851711184031</v>
      </c>
      <c r="Q96" s="92" t="s">
        <v>1641</v>
      </c>
    </row>
    <row r="97" customFormat="false" ht="14.25" hidden="false" customHeight="false" outlineLevel="0" collapsed="false">
      <c r="C97" s="104" t="n">
        <v>92</v>
      </c>
      <c r="D97" s="71" t="s">
        <v>693</v>
      </c>
      <c r="E97" s="71" t="s">
        <v>693</v>
      </c>
      <c r="F97" s="105" t="n">
        <v>44</v>
      </c>
      <c r="G97" s="71" t="s">
        <v>1640</v>
      </c>
      <c r="H97" s="65" t="s">
        <v>1667</v>
      </c>
      <c r="I97" s="71" t="s">
        <v>202</v>
      </c>
      <c r="J97" s="106"/>
      <c r="K97" s="107" t="n">
        <v>4.47224958803888E-005</v>
      </c>
      <c r="L97" s="107" t="n">
        <v>1.13727309111642E-005</v>
      </c>
      <c r="M97" s="107" t="n">
        <v>0.000192567997725523</v>
      </c>
      <c r="N97" s="107" t="n">
        <v>6.22426489056957E-005</v>
      </c>
      <c r="O97" s="102" t="n">
        <v>0.000214083975125023</v>
      </c>
      <c r="P97" s="102" t="n">
        <v>6.11668500357208E-005</v>
      </c>
      <c r="Q97" s="92" t="s">
        <v>1668</v>
      </c>
    </row>
    <row r="98" customFormat="false" ht="14.25" hidden="false" customHeight="false" outlineLevel="0" collapsed="false">
      <c r="C98" s="64" t="n">
        <v>93</v>
      </c>
      <c r="D98" s="71" t="s">
        <v>631</v>
      </c>
      <c r="E98" s="71" t="s">
        <v>631</v>
      </c>
      <c r="F98" s="105" t="n">
        <v>44</v>
      </c>
      <c r="G98" s="71" t="s">
        <v>1640</v>
      </c>
      <c r="H98" s="65" t="s">
        <v>1669</v>
      </c>
      <c r="I98" s="71" t="s">
        <v>202</v>
      </c>
      <c r="J98" s="106"/>
      <c r="K98" s="107" t="n">
        <v>0.429331555170057</v>
      </c>
      <c r="L98" s="107" t="n">
        <v>0.113798725466762</v>
      </c>
      <c r="M98" s="107" t="n">
        <v>0.522439603279225</v>
      </c>
      <c r="N98" s="107" t="n">
        <v>0.186216096218338</v>
      </c>
      <c r="O98" s="102" t="n">
        <v>0.615547651388394</v>
      </c>
      <c r="P98" s="102" t="n">
        <v>0.258633466969914</v>
      </c>
      <c r="Q98" s="92" t="s">
        <v>1641</v>
      </c>
    </row>
    <row r="99" customFormat="false" ht="14.25" hidden="false" customHeight="false" outlineLevel="0" collapsed="false">
      <c r="C99" s="104" t="n">
        <v>94</v>
      </c>
      <c r="D99" s="71" t="s">
        <v>571</v>
      </c>
      <c r="E99" s="71" t="s">
        <v>571</v>
      </c>
      <c r="F99" s="105" t="n">
        <v>44</v>
      </c>
      <c r="G99" s="71" t="s">
        <v>1640</v>
      </c>
      <c r="H99" s="65" t="s">
        <v>851</v>
      </c>
      <c r="I99" s="71" t="s">
        <v>202</v>
      </c>
      <c r="J99" s="106"/>
      <c r="K99" s="107" t="n">
        <v>0.201737644225342</v>
      </c>
      <c r="L99" s="107" t="n">
        <v>0.0243057402681135</v>
      </c>
      <c r="M99" s="107" t="n">
        <v>0.640861351735927</v>
      </c>
      <c r="N99" s="107" t="n">
        <v>0.217131279728481</v>
      </c>
      <c r="O99" s="102" t="n">
        <v>0.581717383750184</v>
      </c>
      <c r="P99" s="102" t="n">
        <v>0.176621712614958</v>
      </c>
      <c r="Q99" s="92" t="s">
        <v>1641</v>
      </c>
    </row>
    <row r="100" customFormat="false" ht="14.25" hidden="false" customHeight="false" outlineLevel="0" collapsed="false">
      <c r="C100" s="64" t="n">
        <v>95</v>
      </c>
      <c r="D100" s="71" t="s">
        <v>714</v>
      </c>
      <c r="E100" s="71" t="s">
        <v>714</v>
      </c>
      <c r="F100" s="105" t="n">
        <v>44</v>
      </c>
      <c r="G100" s="71" t="s">
        <v>1640</v>
      </c>
      <c r="H100" s="65" t="s">
        <v>1667</v>
      </c>
      <c r="I100" s="71" t="s">
        <v>202</v>
      </c>
      <c r="J100" s="106"/>
      <c r="K100" s="107" t="n">
        <v>0.277303143391971</v>
      </c>
      <c r="L100" s="107" t="n">
        <v>0.0705169505532848</v>
      </c>
      <c r="M100" s="107" t="n">
        <v>1.19402350058467</v>
      </c>
      <c r="N100" s="107" t="n">
        <v>0.385937364514599</v>
      </c>
      <c r="O100" s="102" t="n">
        <v>1.32743394757738</v>
      </c>
      <c r="P100" s="102" t="n">
        <v>0.379266842164964</v>
      </c>
      <c r="Q100" s="92" t="s">
        <v>1668</v>
      </c>
    </row>
    <row r="101" customFormat="false" ht="14.25" hidden="false" customHeight="false" outlineLevel="0" collapsed="false">
      <c r="C101" s="104" t="n">
        <v>96</v>
      </c>
      <c r="D101" s="71" t="s">
        <v>543</v>
      </c>
      <c r="E101" s="71" t="s">
        <v>543</v>
      </c>
      <c r="F101" s="105" t="n">
        <v>44</v>
      </c>
      <c r="G101" s="71" t="s">
        <v>1640</v>
      </c>
      <c r="H101" s="65" t="s">
        <v>851</v>
      </c>
      <c r="I101" s="71" t="s">
        <v>202</v>
      </c>
      <c r="J101" s="106"/>
      <c r="K101" s="107" t="n">
        <v>0.202184994912324</v>
      </c>
      <c r="L101" s="107" t="n">
        <v>0.0243596379412438</v>
      </c>
      <c r="M101" s="107" t="n">
        <v>0.642282453717463</v>
      </c>
      <c r="N101" s="107" t="n">
        <v>0.217612765608445</v>
      </c>
      <c r="O101" s="102" t="n">
        <v>0.583007334727103</v>
      </c>
      <c r="P101" s="102" t="n">
        <v>0.177013369039705</v>
      </c>
      <c r="Q101" s="92" t="s">
        <v>1641</v>
      </c>
    </row>
    <row r="102" customFormat="false" ht="14.25" hidden="false" customHeight="false" outlineLevel="0" collapsed="false">
      <c r="C102" s="64" t="n">
        <v>97</v>
      </c>
      <c r="D102" s="71" t="s">
        <v>541</v>
      </c>
      <c r="E102" s="71" t="s">
        <v>541</v>
      </c>
      <c r="F102" s="105" t="n">
        <v>44</v>
      </c>
      <c r="G102" s="71" t="s">
        <v>1640</v>
      </c>
      <c r="H102" s="65" t="s">
        <v>851</v>
      </c>
      <c r="I102" s="71" t="s">
        <v>202</v>
      </c>
      <c r="J102" s="106"/>
      <c r="K102" s="107" t="n">
        <v>0.40483832942335</v>
      </c>
      <c r="L102" s="107" t="n">
        <v>0.0487757023401627</v>
      </c>
      <c r="M102" s="107" t="n">
        <v>1.28605268503562</v>
      </c>
      <c r="N102" s="107" t="n">
        <v>0.43572960757212</v>
      </c>
      <c r="O102" s="102" t="n">
        <v>1.16736514267456</v>
      </c>
      <c r="P102" s="102" t="n">
        <v>0.354436770338516</v>
      </c>
      <c r="Q102" s="92" t="s">
        <v>1641</v>
      </c>
    </row>
    <row r="103" customFormat="false" ht="14.25" hidden="false" customHeight="false" outlineLevel="0" collapsed="false">
      <c r="C103" s="104" t="n">
        <v>98</v>
      </c>
      <c r="D103" s="71" t="s">
        <v>579</v>
      </c>
      <c r="E103" s="71" t="s">
        <v>579</v>
      </c>
      <c r="F103" s="105" t="n">
        <v>44</v>
      </c>
      <c r="G103" s="71" t="s">
        <v>1640</v>
      </c>
      <c r="H103" s="65" t="s">
        <v>851</v>
      </c>
      <c r="I103" s="71" t="s">
        <v>202</v>
      </c>
      <c r="J103" s="106"/>
      <c r="K103" s="107" t="n">
        <v>0</v>
      </c>
      <c r="L103" s="107" t="n">
        <v>0</v>
      </c>
      <c r="M103" s="107" t="n">
        <v>0</v>
      </c>
      <c r="N103" s="107" t="n">
        <v>0</v>
      </c>
      <c r="O103" s="102" t="n">
        <v>0</v>
      </c>
      <c r="P103" s="102" t="n">
        <v>0</v>
      </c>
      <c r="Q103" s="92" t="s">
        <v>1641</v>
      </c>
    </row>
    <row r="104" customFormat="false" ht="14.25" hidden="false" customHeight="false" outlineLevel="0" collapsed="false">
      <c r="C104" s="64" t="n">
        <v>99</v>
      </c>
      <c r="D104" s="71" t="s">
        <v>583</v>
      </c>
      <c r="E104" s="71" t="s">
        <v>583</v>
      </c>
      <c r="F104" s="105" t="n">
        <v>44</v>
      </c>
      <c r="G104" s="71" t="s">
        <v>1640</v>
      </c>
      <c r="H104" s="65" t="s">
        <v>851</v>
      </c>
      <c r="I104" s="71" t="s">
        <v>202</v>
      </c>
      <c r="J104" s="106"/>
      <c r="K104" s="107" t="n">
        <v>0</v>
      </c>
      <c r="L104" s="107" t="n">
        <v>0</v>
      </c>
      <c r="M104" s="107" t="n">
        <v>0</v>
      </c>
      <c r="N104" s="107" t="n">
        <v>0</v>
      </c>
      <c r="O104" s="102" t="n">
        <v>0</v>
      </c>
      <c r="P104" s="102" t="n">
        <v>0</v>
      </c>
      <c r="Q104" s="92" t="s">
        <v>1641</v>
      </c>
    </row>
    <row r="105" customFormat="false" ht="14.25" hidden="false" customHeight="false" outlineLevel="0" collapsed="false">
      <c r="C105" s="104" t="n">
        <v>100</v>
      </c>
      <c r="D105" s="71" t="s">
        <v>589</v>
      </c>
      <c r="E105" s="71" t="s">
        <v>589</v>
      </c>
      <c r="F105" s="105" t="n">
        <v>44</v>
      </c>
      <c r="G105" s="71" t="s">
        <v>1640</v>
      </c>
      <c r="H105" s="65" t="s">
        <v>851</v>
      </c>
      <c r="I105" s="71" t="s">
        <v>202</v>
      </c>
      <c r="J105" s="106"/>
      <c r="K105" s="107" t="n">
        <v>2.24963068275072E-005</v>
      </c>
      <c r="L105" s="107" t="n">
        <v>2.71039841295268E-006</v>
      </c>
      <c r="M105" s="107" t="n">
        <v>7.14641714881856E-005</v>
      </c>
      <c r="N105" s="107" t="n">
        <v>2.42128924890439E-005</v>
      </c>
      <c r="O105" s="102" t="n">
        <v>6.48688686833341E-005</v>
      </c>
      <c r="P105" s="102" t="n">
        <v>1.96955618007894E-005</v>
      </c>
      <c r="Q105" s="92" t="s">
        <v>1641</v>
      </c>
    </row>
    <row r="106" customFormat="false" ht="14.25" hidden="false" customHeight="false" outlineLevel="0" collapsed="false">
      <c r="C106" s="64" t="n">
        <v>101</v>
      </c>
      <c r="D106" s="71" t="s">
        <v>595</v>
      </c>
      <c r="E106" s="71" t="s">
        <v>595</v>
      </c>
      <c r="F106" s="105" t="n">
        <v>44</v>
      </c>
      <c r="G106" s="71" t="s">
        <v>1640</v>
      </c>
      <c r="H106" s="65" t="s">
        <v>851</v>
      </c>
      <c r="I106" s="71" t="s">
        <v>202</v>
      </c>
      <c r="J106" s="106"/>
      <c r="K106" s="107" t="n">
        <v>0</v>
      </c>
      <c r="L106" s="107" t="n">
        <v>0</v>
      </c>
      <c r="M106" s="107" t="n">
        <v>0</v>
      </c>
      <c r="N106" s="107" t="n">
        <v>0</v>
      </c>
      <c r="O106" s="102" t="n">
        <v>0</v>
      </c>
      <c r="P106" s="102" t="n">
        <v>0</v>
      </c>
      <c r="Q106" s="92" t="s">
        <v>1641</v>
      </c>
    </row>
    <row r="107" customFormat="false" ht="14.25" hidden="false" customHeight="false" outlineLevel="0" collapsed="false">
      <c r="C107" s="104" t="n">
        <v>102</v>
      </c>
      <c r="D107" s="71" t="s">
        <v>614</v>
      </c>
      <c r="E107" s="71" t="s">
        <v>614</v>
      </c>
      <c r="F107" s="105" t="n">
        <v>44</v>
      </c>
      <c r="G107" s="71" t="s">
        <v>1640</v>
      </c>
      <c r="H107" s="65" t="s">
        <v>1202</v>
      </c>
      <c r="I107" s="71" t="s">
        <v>202</v>
      </c>
      <c r="J107" s="106"/>
      <c r="K107" s="107" t="n">
        <v>0.57</v>
      </c>
      <c r="L107" s="107" t="n">
        <v>0.03</v>
      </c>
      <c r="M107" s="107" t="n">
        <v>0.57</v>
      </c>
      <c r="N107" s="107" t="n">
        <v>0.03</v>
      </c>
      <c r="O107" s="102" t="n">
        <v>0.57</v>
      </c>
      <c r="P107" s="102" t="n">
        <v>0.03</v>
      </c>
      <c r="Q107" s="92" t="s">
        <v>1641</v>
      </c>
    </row>
    <row r="108" customFormat="false" ht="14.25" hidden="false" customHeight="false" outlineLevel="0" collapsed="false">
      <c r="C108" s="64" t="n">
        <v>103</v>
      </c>
      <c r="D108" s="71" t="s">
        <v>657</v>
      </c>
      <c r="E108" s="71" t="s">
        <v>657</v>
      </c>
      <c r="F108" s="105" t="n">
        <v>44</v>
      </c>
      <c r="G108" s="71" t="s">
        <v>1640</v>
      </c>
      <c r="H108" s="65" t="s">
        <v>1199</v>
      </c>
      <c r="I108" s="71" t="s">
        <v>202</v>
      </c>
      <c r="J108" s="106"/>
      <c r="K108" s="107" t="n">
        <v>0.428752383216398</v>
      </c>
      <c r="L108" s="107" t="n">
        <v>0.0320272864571285</v>
      </c>
      <c r="M108" s="107" t="n">
        <v>4.96681224653695</v>
      </c>
      <c r="N108" s="107" t="n">
        <v>1.6865982303633</v>
      </c>
      <c r="O108" s="102" t="n">
        <v>5.00555493176735</v>
      </c>
      <c r="P108" s="102" t="n">
        <v>1.73050660695775</v>
      </c>
      <c r="Q108" s="92" t="s">
        <v>1641</v>
      </c>
    </row>
    <row r="109" customFormat="false" ht="14.25" hidden="false" customHeight="false" outlineLevel="0" collapsed="false">
      <c r="C109" s="104" t="n">
        <v>104</v>
      </c>
      <c r="D109" s="71" t="s">
        <v>756</v>
      </c>
      <c r="E109" s="71" t="s">
        <v>756</v>
      </c>
      <c r="F109" s="105" t="n">
        <v>44</v>
      </c>
      <c r="G109" s="71" t="s">
        <v>1640</v>
      </c>
      <c r="H109" s="65" t="s">
        <v>1667</v>
      </c>
      <c r="I109" s="71" t="s">
        <v>202</v>
      </c>
      <c r="J109" s="106"/>
      <c r="K109" s="107" t="n">
        <v>0.713602174855828</v>
      </c>
      <c r="L109" s="107" t="n">
        <v>0.181465845152341</v>
      </c>
      <c r="M109" s="107" t="n">
        <v>3.07265816183626</v>
      </c>
      <c r="N109" s="107" t="n">
        <v>0.993157666036462</v>
      </c>
      <c r="O109" s="102" t="n">
        <v>3.41597192293529</v>
      </c>
      <c r="P109" s="102" t="n">
        <v>0.975991977981511</v>
      </c>
      <c r="Q109" s="92" t="s">
        <v>1668</v>
      </c>
    </row>
    <row r="110" customFormat="false" ht="14.25" hidden="false" customHeight="false" outlineLevel="0" collapsed="false">
      <c r="C110" s="64" t="n">
        <v>105</v>
      </c>
      <c r="D110" s="71" t="s">
        <v>726</v>
      </c>
      <c r="E110" s="71" t="s">
        <v>726</v>
      </c>
      <c r="F110" s="105" t="n">
        <v>44</v>
      </c>
      <c r="G110" s="71" t="s">
        <v>1640</v>
      </c>
      <c r="H110" s="65" t="s">
        <v>1667</v>
      </c>
      <c r="I110" s="71" t="s">
        <v>202</v>
      </c>
      <c r="J110" s="106"/>
      <c r="K110" s="107" t="n">
        <v>0.0690233592565496</v>
      </c>
      <c r="L110" s="107" t="n">
        <v>0.0175523319071638</v>
      </c>
      <c r="M110" s="107" t="n">
        <v>0.297203674049679</v>
      </c>
      <c r="N110" s="107" t="n">
        <v>0.0960634381405587</v>
      </c>
      <c r="O110" s="102" t="n">
        <v>0.330410788468638</v>
      </c>
      <c r="P110" s="102" t="n">
        <v>0.0944030824196107</v>
      </c>
      <c r="Q110" s="92" t="s">
        <v>1668</v>
      </c>
    </row>
    <row r="111" customFormat="false" ht="14.25" hidden="false" customHeight="false" outlineLevel="0" collapsed="false">
      <c r="C111" s="104" t="n">
        <v>106</v>
      </c>
      <c r="D111" s="71" t="s">
        <v>722</v>
      </c>
      <c r="E111" s="71" t="s">
        <v>722</v>
      </c>
      <c r="F111" s="105" t="n">
        <v>44</v>
      </c>
      <c r="G111" s="71" t="s">
        <v>1640</v>
      </c>
      <c r="H111" s="65" t="s">
        <v>1667</v>
      </c>
      <c r="I111" s="71" t="s">
        <v>202</v>
      </c>
      <c r="J111" s="106"/>
      <c r="K111" s="107" t="n">
        <v>0.242008644655543</v>
      </c>
      <c r="L111" s="107" t="n">
        <v>0.0615417171976294</v>
      </c>
      <c r="M111" s="107" t="n">
        <v>1.04205096822472</v>
      </c>
      <c r="N111" s="107" t="n">
        <v>0.336816154932972</v>
      </c>
      <c r="O111" s="102" t="n">
        <v>1.15848124400402</v>
      </c>
      <c r="P111" s="102" t="n">
        <v>0.330994641144007</v>
      </c>
      <c r="Q111" s="92" t="s">
        <v>1668</v>
      </c>
    </row>
    <row r="112" customFormat="false" ht="14.25" hidden="false" customHeight="false" outlineLevel="0" collapsed="false">
      <c r="C112" s="64" t="n">
        <v>107</v>
      </c>
      <c r="D112" s="71" t="s">
        <v>724</v>
      </c>
      <c r="E112" s="71" t="s">
        <v>724</v>
      </c>
      <c r="F112" s="105" t="n">
        <v>44</v>
      </c>
      <c r="G112" s="71" t="s">
        <v>1640</v>
      </c>
      <c r="H112" s="65" t="s">
        <v>1667</v>
      </c>
      <c r="I112" s="71" t="s">
        <v>202</v>
      </c>
      <c r="J112" s="106"/>
      <c r="K112" s="107" t="n">
        <v>0.21771198095748</v>
      </c>
      <c r="L112" s="107" t="n">
        <v>0.0553631841610087</v>
      </c>
      <c r="M112" s="107" t="n">
        <v>0.937433375050593</v>
      </c>
      <c r="N112" s="107" t="n">
        <v>0.303001210610926</v>
      </c>
      <c r="O112" s="102" t="n">
        <v>1.04217453427412</v>
      </c>
      <c r="P112" s="102" t="n">
        <v>0.29776415264975</v>
      </c>
      <c r="Q112" s="92" t="s">
        <v>1668</v>
      </c>
    </row>
    <row r="113" customFormat="false" ht="14.25" hidden="false" customHeight="false" outlineLevel="0" collapsed="false">
      <c r="C113" s="104" t="n">
        <v>108</v>
      </c>
      <c r="D113" s="71" t="s">
        <v>573</v>
      </c>
      <c r="E113" s="71" t="s">
        <v>573</v>
      </c>
      <c r="F113" s="105" t="n">
        <v>44</v>
      </c>
      <c r="G113" s="71" t="s">
        <v>1640</v>
      </c>
      <c r="H113" s="65" t="s">
        <v>851</v>
      </c>
      <c r="I113" s="71" t="s">
        <v>202</v>
      </c>
      <c r="J113" s="106"/>
      <c r="K113" s="107" t="n">
        <v>0.134368150108965</v>
      </c>
      <c r="L113" s="107" t="n">
        <v>0.0161889337480681</v>
      </c>
      <c r="M113" s="107" t="n">
        <v>0.426848219824063</v>
      </c>
      <c r="N113" s="107" t="n">
        <v>0.144621141482742</v>
      </c>
      <c r="O113" s="102" t="n">
        <v>0.387455147703764</v>
      </c>
      <c r="P113" s="102" t="n">
        <v>0.117639585235962</v>
      </c>
      <c r="Q113" s="92" t="s">
        <v>1641</v>
      </c>
    </row>
    <row r="114" customFormat="false" ht="14.25" hidden="false" customHeight="false" outlineLevel="0" collapsed="false">
      <c r="C114" s="64" t="n">
        <v>109</v>
      </c>
      <c r="D114" s="71" t="s">
        <v>1672</v>
      </c>
      <c r="E114" s="71" t="s">
        <v>1673</v>
      </c>
      <c r="F114" s="71" t="n">
        <v>13.2</v>
      </c>
      <c r="G114" s="71" t="s">
        <v>1674</v>
      </c>
      <c r="H114" s="65" t="s">
        <v>764</v>
      </c>
      <c r="I114" s="71" t="s">
        <v>202</v>
      </c>
      <c r="J114" s="106"/>
      <c r="K114" s="107" t="n">
        <v>12.72</v>
      </c>
      <c r="L114" s="107" t="n">
        <v>5.12</v>
      </c>
      <c r="M114" s="107" t="n">
        <v>19.26</v>
      </c>
      <c r="N114" s="107" t="n">
        <v>6.62</v>
      </c>
      <c r="O114" s="102" t="n">
        <v>20.23</v>
      </c>
      <c r="P114" s="102" t="n">
        <v>6.06</v>
      </c>
      <c r="Q114" s="92" t="s">
        <v>1675</v>
      </c>
    </row>
    <row r="115" customFormat="false" ht="14.25" hidden="false" customHeight="false" outlineLevel="0" collapsed="false">
      <c r="C115" s="104" t="n">
        <v>110</v>
      </c>
      <c r="D115" s="71" t="s">
        <v>1676</v>
      </c>
      <c r="E115" s="71" t="s">
        <v>1677</v>
      </c>
      <c r="F115" s="71" t="n">
        <v>13.2</v>
      </c>
      <c r="G115" s="71" t="s">
        <v>1674</v>
      </c>
      <c r="H115" s="65" t="s">
        <v>765</v>
      </c>
      <c r="I115" s="71" t="s">
        <v>202</v>
      </c>
      <c r="J115" s="106"/>
      <c r="K115" s="107" t="n">
        <v>3.57</v>
      </c>
      <c r="L115" s="107" t="n">
        <v>1.66</v>
      </c>
      <c r="M115" s="107" t="n">
        <v>3.27</v>
      </c>
      <c r="N115" s="107" t="n">
        <v>1.43</v>
      </c>
      <c r="O115" s="102" t="n">
        <v>4.04</v>
      </c>
      <c r="P115" s="102" t="n">
        <v>1.38</v>
      </c>
      <c r="Q115" s="92" t="s">
        <v>1678</v>
      </c>
    </row>
    <row r="116" customFormat="false" ht="14.25" hidden="false" customHeight="false" outlineLevel="0" collapsed="false">
      <c r="C116" s="64" t="n">
        <v>111</v>
      </c>
      <c r="D116" s="71" t="s">
        <v>1679</v>
      </c>
      <c r="E116" s="71" t="s">
        <v>1680</v>
      </c>
      <c r="F116" s="71" t="n">
        <v>13.2</v>
      </c>
      <c r="G116" s="71" t="s">
        <v>1674</v>
      </c>
      <c r="H116" s="65" t="s">
        <v>764</v>
      </c>
      <c r="I116" s="71" t="s">
        <v>202</v>
      </c>
      <c r="J116" s="106"/>
      <c r="K116" s="107" t="n">
        <v>5.64</v>
      </c>
      <c r="L116" s="107" t="n">
        <v>2.3</v>
      </c>
      <c r="M116" s="107" t="n">
        <v>7.65</v>
      </c>
      <c r="N116" s="107" t="n">
        <v>2.99</v>
      </c>
      <c r="O116" s="102" t="n">
        <v>8.1</v>
      </c>
      <c r="P116" s="102" t="n">
        <v>2.63</v>
      </c>
      <c r="Q116" s="92" t="s">
        <v>1681</v>
      </c>
    </row>
    <row r="117" customFormat="false" ht="14.25" hidden="false" customHeight="false" outlineLevel="0" collapsed="false">
      <c r="C117" s="104" t="n">
        <v>112</v>
      </c>
      <c r="D117" s="71" t="s">
        <v>1682</v>
      </c>
      <c r="E117" s="71" t="s">
        <v>1683</v>
      </c>
      <c r="F117" s="71" t="n">
        <v>13.2</v>
      </c>
      <c r="G117" s="71" t="s">
        <v>1674</v>
      </c>
      <c r="H117" s="65" t="s">
        <v>774</v>
      </c>
      <c r="I117" s="71" t="s">
        <v>202</v>
      </c>
      <c r="J117" s="106"/>
      <c r="K117" s="107" t="n">
        <v>2.73</v>
      </c>
      <c r="L117" s="107" t="n">
        <v>1.02</v>
      </c>
      <c r="M117" s="107" t="n">
        <v>3.52</v>
      </c>
      <c r="N117" s="107" t="n">
        <v>1.36</v>
      </c>
      <c r="O117" s="102" t="n">
        <v>4.68</v>
      </c>
      <c r="P117" s="102" t="n">
        <v>1.72</v>
      </c>
      <c r="Q117" s="92" t="s">
        <v>1684</v>
      </c>
    </row>
    <row r="118" customFormat="false" ht="14.25" hidden="false" customHeight="false" outlineLevel="0" collapsed="false">
      <c r="C118" s="64" t="n">
        <v>113</v>
      </c>
      <c r="D118" s="71" t="s">
        <v>1685</v>
      </c>
      <c r="E118" s="71" t="s">
        <v>1686</v>
      </c>
      <c r="F118" s="71" t="n">
        <v>44</v>
      </c>
      <c r="G118" s="71" t="s">
        <v>1674</v>
      </c>
      <c r="H118" s="65" t="s">
        <v>774</v>
      </c>
      <c r="I118" s="71" t="s">
        <v>202</v>
      </c>
      <c r="J118" s="106"/>
      <c r="K118" s="107" t="n">
        <v>0.889</v>
      </c>
      <c r="L118" s="107" t="n">
        <v>0</v>
      </c>
      <c r="M118" s="107" t="n">
        <v>1.08</v>
      </c>
      <c r="N118" s="107" t="n">
        <v>0</v>
      </c>
      <c r="O118" s="102" t="n">
        <v>1.72</v>
      </c>
      <c r="P118" s="102" t="n">
        <v>0</v>
      </c>
      <c r="Q118" s="92" t="s">
        <v>1684</v>
      </c>
    </row>
    <row r="119" customFormat="false" ht="14.25" hidden="false" customHeight="false" outlineLevel="0" collapsed="false">
      <c r="C119" s="104" t="n">
        <v>114</v>
      </c>
      <c r="D119" s="71" t="s">
        <v>1687</v>
      </c>
      <c r="E119" s="71" t="s">
        <v>1688</v>
      </c>
      <c r="F119" s="71" t="n">
        <v>13.2</v>
      </c>
      <c r="G119" s="71" t="s">
        <v>1674</v>
      </c>
      <c r="H119" s="65" t="s">
        <v>764</v>
      </c>
      <c r="I119" s="71" t="s">
        <v>202</v>
      </c>
      <c r="J119" s="106"/>
      <c r="K119" s="107" t="n">
        <v>5.21</v>
      </c>
      <c r="L119" s="107" t="n">
        <v>3.85</v>
      </c>
      <c r="M119" s="107" t="n">
        <v>6.65</v>
      </c>
      <c r="N119" s="107" t="n">
        <v>5.16</v>
      </c>
      <c r="O119" s="102" t="n">
        <v>8.93</v>
      </c>
      <c r="P119" s="102" t="n">
        <v>3.35</v>
      </c>
      <c r="Q119" s="92" t="s">
        <v>1689</v>
      </c>
    </row>
    <row r="120" customFormat="false" ht="14.25" hidden="false" customHeight="false" outlineLevel="0" collapsed="false">
      <c r="C120" s="64" t="n">
        <v>115</v>
      </c>
      <c r="D120" s="71" t="s">
        <v>1690</v>
      </c>
      <c r="E120" s="71" t="s">
        <v>1691</v>
      </c>
      <c r="F120" s="71" t="n">
        <v>13.2</v>
      </c>
      <c r="G120" s="71" t="s">
        <v>1674</v>
      </c>
      <c r="H120" s="65" t="s">
        <v>765</v>
      </c>
      <c r="I120" s="71" t="s">
        <v>202</v>
      </c>
      <c r="J120" s="106"/>
      <c r="K120" s="107" t="n">
        <v>0.34</v>
      </c>
      <c r="L120" s="107" t="n">
        <v>0.1</v>
      </c>
      <c r="M120" s="107" t="n">
        <v>0.27</v>
      </c>
      <c r="N120" s="107" t="n">
        <v>0.12</v>
      </c>
      <c r="O120" s="102" t="n">
        <v>0.36</v>
      </c>
      <c r="P120" s="102" t="n">
        <v>0.1</v>
      </c>
      <c r="Q120" s="109" t="s">
        <v>1692</v>
      </c>
    </row>
    <row r="121" customFormat="false" ht="14.25" hidden="false" customHeight="false" outlineLevel="0" collapsed="false">
      <c r="C121" s="104" t="n">
        <v>116</v>
      </c>
      <c r="D121" s="71" t="s">
        <v>1693</v>
      </c>
      <c r="E121" s="71" t="s">
        <v>784</v>
      </c>
      <c r="F121" s="71" t="n">
        <v>44</v>
      </c>
      <c r="G121" s="71" t="s">
        <v>1640</v>
      </c>
      <c r="H121" s="65" t="s">
        <v>764</v>
      </c>
      <c r="I121" s="71" t="s">
        <v>202</v>
      </c>
      <c r="J121" s="106"/>
      <c r="K121" s="107" t="n">
        <v>0.053</v>
      </c>
      <c r="L121" s="107" t="n">
        <v>0</v>
      </c>
      <c r="M121" s="107" t="n">
        <v>0.211</v>
      </c>
      <c r="N121" s="107" t="n">
        <v>0.024</v>
      </c>
      <c r="O121" s="102" t="n">
        <v>0.149</v>
      </c>
      <c r="P121" s="102" t="n">
        <v>0.01</v>
      </c>
      <c r="Q121" s="92" t="s">
        <v>1641</v>
      </c>
    </row>
    <row r="122" customFormat="false" ht="14.25" hidden="false" customHeight="false" outlineLevel="0" collapsed="false">
      <c r="C122" s="64" t="n">
        <v>117</v>
      </c>
      <c r="D122" s="71" t="s">
        <v>1694</v>
      </c>
      <c r="E122" s="71" t="s">
        <v>1695</v>
      </c>
      <c r="F122" s="71" t="n">
        <v>13.2</v>
      </c>
      <c r="G122" s="71" t="s">
        <v>1674</v>
      </c>
      <c r="H122" s="65" t="s">
        <v>765</v>
      </c>
      <c r="I122" s="71" t="s">
        <v>202</v>
      </c>
      <c r="J122" s="106"/>
      <c r="K122" s="107" t="n">
        <v>1.25</v>
      </c>
      <c r="L122" s="107" t="n">
        <v>0.35</v>
      </c>
      <c r="M122" s="107" t="n">
        <v>1.76</v>
      </c>
      <c r="N122" s="107" t="n">
        <v>0.66</v>
      </c>
      <c r="O122" s="102" t="n">
        <v>1.72</v>
      </c>
      <c r="P122" s="102" t="n">
        <v>0.36</v>
      </c>
      <c r="Q122" s="92" t="s">
        <v>1696</v>
      </c>
    </row>
    <row r="123" customFormat="false" ht="14.25" hidden="false" customHeight="false" outlineLevel="0" collapsed="false">
      <c r="C123" s="104" t="n">
        <v>118</v>
      </c>
      <c r="D123" s="71" t="s">
        <v>1697</v>
      </c>
      <c r="E123" s="71" t="s">
        <v>1698</v>
      </c>
      <c r="F123" s="71" t="n">
        <v>13.2</v>
      </c>
      <c r="G123" s="71" t="s">
        <v>1674</v>
      </c>
      <c r="H123" s="65" t="s">
        <v>765</v>
      </c>
      <c r="I123" s="71" t="s">
        <v>202</v>
      </c>
      <c r="J123" s="106"/>
      <c r="K123" s="107" t="n">
        <v>4</v>
      </c>
      <c r="L123" s="107" t="n">
        <v>1.7</v>
      </c>
      <c r="M123" s="107" t="n">
        <v>4.46</v>
      </c>
      <c r="N123" s="107" t="n">
        <v>1.95</v>
      </c>
      <c r="O123" s="102" t="n">
        <v>5.03</v>
      </c>
      <c r="P123" s="102" t="n">
        <v>1.74</v>
      </c>
      <c r="Q123" s="92" t="s">
        <v>1699</v>
      </c>
    </row>
    <row r="124" customFormat="false" ht="14.25" hidden="false" customHeight="false" outlineLevel="0" collapsed="false">
      <c r="C124" s="64" t="n">
        <v>119</v>
      </c>
      <c r="D124" s="71" t="s">
        <v>1700</v>
      </c>
      <c r="E124" s="71" t="s">
        <v>1701</v>
      </c>
      <c r="F124" s="71" t="n">
        <v>13.2</v>
      </c>
      <c r="G124" s="71" t="s">
        <v>1674</v>
      </c>
      <c r="H124" s="65" t="s">
        <v>770</v>
      </c>
      <c r="I124" s="71" t="s">
        <v>202</v>
      </c>
      <c r="J124" s="106"/>
      <c r="K124" s="107" t="n">
        <v>2</v>
      </c>
      <c r="L124" s="107" t="n">
        <v>0.834</v>
      </c>
      <c r="M124" s="107" t="n">
        <v>2.63</v>
      </c>
      <c r="N124" s="107" t="n">
        <v>1.28</v>
      </c>
      <c r="O124" s="102" t="n">
        <v>3.55</v>
      </c>
      <c r="P124" s="102" t="n">
        <v>1.29</v>
      </c>
      <c r="Q124" s="92" t="s">
        <v>1702</v>
      </c>
    </row>
    <row r="125" customFormat="false" ht="14.25" hidden="false" customHeight="false" outlineLevel="0" collapsed="false">
      <c r="C125" s="104" t="n">
        <v>120</v>
      </c>
      <c r="D125" s="71" t="s">
        <v>1703</v>
      </c>
      <c r="E125" s="71" t="s">
        <v>1704</v>
      </c>
      <c r="F125" s="71" t="n">
        <v>13.2</v>
      </c>
      <c r="G125" s="71" t="s">
        <v>1674</v>
      </c>
      <c r="H125" s="65" t="s">
        <v>765</v>
      </c>
      <c r="I125" s="71" t="s">
        <v>202</v>
      </c>
      <c r="J125" s="106"/>
      <c r="K125" s="107" t="n">
        <v>0.29</v>
      </c>
      <c r="L125" s="107" t="n">
        <v>0.1</v>
      </c>
      <c r="M125" s="107" t="n">
        <v>0.31</v>
      </c>
      <c r="N125" s="107" t="n">
        <v>0.14</v>
      </c>
      <c r="O125" s="102" t="n">
        <v>0.39</v>
      </c>
      <c r="P125" s="102" t="n">
        <v>0.09</v>
      </c>
      <c r="Q125" s="92" t="s">
        <v>1705</v>
      </c>
    </row>
    <row r="126" customFormat="false" ht="14.25" hidden="false" customHeight="false" outlineLevel="0" collapsed="false">
      <c r="C126" s="64" t="n">
        <v>121</v>
      </c>
      <c r="D126" s="71" t="s">
        <v>1706</v>
      </c>
      <c r="E126" s="71" t="s">
        <v>1707</v>
      </c>
      <c r="F126" s="71" t="n">
        <v>13.2</v>
      </c>
      <c r="G126" s="71" t="s">
        <v>1674</v>
      </c>
      <c r="H126" s="65" t="s">
        <v>765</v>
      </c>
      <c r="I126" s="71" t="s">
        <v>202</v>
      </c>
      <c r="J126" s="106"/>
      <c r="K126" s="107" t="n">
        <v>2.31</v>
      </c>
      <c r="L126" s="107" t="n">
        <v>0.99</v>
      </c>
      <c r="M126" s="107" t="n">
        <v>2.01</v>
      </c>
      <c r="N126" s="107" t="n">
        <v>0.83</v>
      </c>
      <c r="O126" s="102" t="n">
        <v>3.1</v>
      </c>
      <c r="P126" s="102" t="n">
        <v>0.92</v>
      </c>
      <c r="Q126" s="92" t="s">
        <v>1708</v>
      </c>
    </row>
    <row r="127" customFormat="false" ht="14.25" hidden="false" customHeight="false" outlineLevel="0" collapsed="false">
      <c r="C127" s="104" t="n">
        <v>122</v>
      </c>
      <c r="D127" s="71" t="s">
        <v>1709</v>
      </c>
      <c r="E127" s="71" t="s">
        <v>1710</v>
      </c>
      <c r="F127" s="71" t="n">
        <v>13.2</v>
      </c>
      <c r="G127" s="71" t="s">
        <v>1674</v>
      </c>
      <c r="H127" s="65" t="s">
        <v>765</v>
      </c>
      <c r="I127" s="71" t="s">
        <v>202</v>
      </c>
      <c r="J127" s="106"/>
      <c r="K127" s="107" t="n">
        <v>7.59</v>
      </c>
      <c r="L127" s="107" t="n">
        <v>3.06</v>
      </c>
      <c r="M127" s="107" t="n">
        <v>9.03</v>
      </c>
      <c r="N127" s="107" t="n">
        <v>3.41</v>
      </c>
      <c r="O127" s="102" t="n">
        <v>10.2</v>
      </c>
      <c r="P127" s="102" t="n">
        <v>3.5</v>
      </c>
      <c r="Q127" s="92" t="s">
        <v>1711</v>
      </c>
    </row>
    <row r="128" customFormat="false" ht="14.25" hidden="false" customHeight="false" outlineLevel="0" collapsed="false">
      <c r="C128" s="64" t="n">
        <v>123</v>
      </c>
      <c r="D128" s="71" t="s">
        <v>1712</v>
      </c>
      <c r="E128" s="71" t="s">
        <v>1712</v>
      </c>
      <c r="F128" s="71" t="n">
        <v>44</v>
      </c>
      <c r="G128" s="71" t="s">
        <v>1640</v>
      </c>
      <c r="H128" s="65" t="s">
        <v>764</v>
      </c>
      <c r="I128" s="71" t="s">
        <v>202</v>
      </c>
      <c r="J128" s="106"/>
      <c r="K128" s="107" t="n">
        <v>0.229</v>
      </c>
      <c r="L128" s="107" t="n">
        <v>0.06</v>
      </c>
      <c r="M128" s="107" t="n">
        <v>0.782</v>
      </c>
      <c r="N128" s="107" t="n">
        <v>0.366</v>
      </c>
      <c r="O128" s="102" t="n">
        <v>1.182</v>
      </c>
      <c r="P128" s="102" t="n">
        <v>0.516</v>
      </c>
      <c r="Q128" s="92" t="s">
        <v>1641</v>
      </c>
    </row>
    <row r="129" customFormat="false" ht="14.25" hidden="false" customHeight="false" outlineLevel="0" collapsed="false">
      <c r="C129" s="104" t="n">
        <v>124</v>
      </c>
      <c r="D129" s="71" t="s">
        <v>1713</v>
      </c>
      <c r="E129" s="71" t="s">
        <v>1714</v>
      </c>
      <c r="F129" s="71" t="n">
        <v>13.2</v>
      </c>
      <c r="G129" s="71" t="s">
        <v>1674</v>
      </c>
      <c r="H129" s="65" t="s">
        <v>765</v>
      </c>
      <c r="I129" s="71" t="s">
        <v>202</v>
      </c>
      <c r="J129" s="106"/>
      <c r="K129" s="107" t="n">
        <v>3.84</v>
      </c>
      <c r="L129" s="107" t="n">
        <v>1.75</v>
      </c>
      <c r="M129" s="107" t="n">
        <v>4.04</v>
      </c>
      <c r="N129" s="107" t="n">
        <v>1.86</v>
      </c>
      <c r="O129" s="102" t="n">
        <v>5.22</v>
      </c>
      <c r="P129" s="102" t="n">
        <v>1.95</v>
      </c>
      <c r="Q129" s="92" t="s">
        <v>1715</v>
      </c>
    </row>
    <row r="130" customFormat="false" ht="14.25" hidden="false" customHeight="false" outlineLevel="0" collapsed="false">
      <c r="C130" s="64" t="n">
        <v>125</v>
      </c>
      <c r="D130" s="71" t="s">
        <v>1716</v>
      </c>
      <c r="E130" s="71" t="s">
        <v>1717</v>
      </c>
      <c r="F130" s="71" t="n">
        <v>13.2</v>
      </c>
      <c r="G130" s="71" t="s">
        <v>1674</v>
      </c>
      <c r="H130" s="65" t="s">
        <v>764</v>
      </c>
      <c r="I130" s="71" t="s">
        <v>202</v>
      </c>
      <c r="J130" s="106"/>
      <c r="K130" s="107" t="n">
        <v>0.852</v>
      </c>
      <c r="L130" s="107" t="n">
        <v>0.387</v>
      </c>
      <c r="M130" s="107" t="n">
        <v>0.89</v>
      </c>
      <c r="N130" s="107" t="n">
        <v>0.343</v>
      </c>
      <c r="O130" s="102" t="n">
        <v>1.12</v>
      </c>
      <c r="P130" s="102" t="n">
        <v>0.385</v>
      </c>
      <c r="Q130" s="92" t="s">
        <v>1718</v>
      </c>
    </row>
    <row r="131" customFormat="false" ht="14.25" hidden="false" customHeight="false" outlineLevel="0" collapsed="false">
      <c r="C131" s="104" t="n">
        <v>126</v>
      </c>
      <c r="D131" s="71" t="s">
        <v>1719</v>
      </c>
      <c r="E131" s="71" t="s">
        <v>1719</v>
      </c>
      <c r="F131" s="71" t="n">
        <v>110</v>
      </c>
      <c r="G131" s="71" t="s">
        <v>1640</v>
      </c>
      <c r="H131" s="65" t="s">
        <v>770</v>
      </c>
      <c r="I131" s="71" t="s">
        <v>771</v>
      </c>
      <c r="J131" s="106" t="n">
        <v>45260</v>
      </c>
      <c r="K131" s="107" t="n">
        <v>13.5</v>
      </c>
      <c r="L131" s="107" t="n">
        <v>6.5</v>
      </c>
      <c r="M131" s="107" t="n">
        <v>21</v>
      </c>
      <c r="N131" s="107" t="n">
        <v>10.2</v>
      </c>
      <c r="O131" s="102" t="n">
        <v>30</v>
      </c>
      <c r="P131" s="102" t="n">
        <v>14.5</v>
      </c>
      <c r="Q131" s="92" t="s">
        <v>1641</v>
      </c>
    </row>
    <row r="132" customFormat="false" ht="14.25" hidden="false" customHeight="false" outlineLevel="0" collapsed="false">
      <c r="C132" s="64" t="n">
        <v>127</v>
      </c>
      <c r="D132" s="71" t="s">
        <v>1720</v>
      </c>
      <c r="E132" s="71" t="s">
        <v>1721</v>
      </c>
      <c r="F132" s="71" t="n">
        <v>13.2</v>
      </c>
      <c r="G132" s="71" t="s">
        <v>1674</v>
      </c>
      <c r="H132" s="65" t="s">
        <v>938</v>
      </c>
      <c r="I132" s="71" t="s">
        <v>202</v>
      </c>
      <c r="J132" s="106"/>
      <c r="K132" s="107" t="n">
        <v>6.18</v>
      </c>
      <c r="L132" s="107" t="n">
        <v>2.48</v>
      </c>
      <c r="M132" s="107" t="n">
        <v>7.28</v>
      </c>
      <c r="N132" s="107" t="n">
        <v>3.19</v>
      </c>
      <c r="O132" s="102" t="n">
        <v>7.83</v>
      </c>
      <c r="P132" s="102" t="n">
        <v>3.06</v>
      </c>
      <c r="Q132" s="92" t="s">
        <v>1722</v>
      </c>
    </row>
    <row r="133" customFormat="false" ht="14.25" hidden="false" customHeight="false" outlineLevel="0" collapsed="false">
      <c r="C133" s="104" t="n">
        <v>128</v>
      </c>
      <c r="D133" s="71" t="s">
        <v>1723</v>
      </c>
      <c r="E133" s="71" t="s">
        <v>1724</v>
      </c>
      <c r="F133" s="71" t="n">
        <v>13.2</v>
      </c>
      <c r="G133" s="71" t="s">
        <v>1674</v>
      </c>
      <c r="H133" s="65" t="s">
        <v>814</v>
      </c>
      <c r="I133" s="71" t="s">
        <v>202</v>
      </c>
      <c r="J133" s="106"/>
      <c r="K133" s="107" t="n">
        <v>1.31</v>
      </c>
      <c r="L133" s="107" t="n">
        <v>0.83</v>
      </c>
      <c r="M133" s="107" t="n">
        <v>3.43</v>
      </c>
      <c r="N133" s="107" t="n">
        <v>1.6</v>
      </c>
      <c r="O133" s="102" t="n">
        <v>4.28</v>
      </c>
      <c r="P133" s="102" t="n">
        <v>1.56</v>
      </c>
      <c r="Q133" s="92" t="s">
        <v>1725</v>
      </c>
    </row>
    <row r="134" customFormat="false" ht="14.25" hidden="false" customHeight="false" outlineLevel="0" collapsed="false">
      <c r="C134" s="64" t="n">
        <v>129</v>
      </c>
      <c r="D134" s="71" t="s">
        <v>1726</v>
      </c>
      <c r="E134" s="71" t="s">
        <v>1727</v>
      </c>
      <c r="F134" s="71" t="n">
        <v>13.2</v>
      </c>
      <c r="G134" s="71" t="s">
        <v>1674</v>
      </c>
      <c r="H134" s="65" t="s">
        <v>814</v>
      </c>
      <c r="I134" s="71" t="s">
        <v>202</v>
      </c>
      <c r="J134" s="106"/>
      <c r="K134" s="107" t="n">
        <v>1.16</v>
      </c>
      <c r="L134" s="107" t="n">
        <v>0.7</v>
      </c>
      <c r="M134" s="107" t="n">
        <v>2.01</v>
      </c>
      <c r="N134" s="107" t="n">
        <v>0.99</v>
      </c>
      <c r="O134" s="102" t="n">
        <v>2.63</v>
      </c>
      <c r="P134" s="102" t="n">
        <v>0.91</v>
      </c>
      <c r="Q134" s="92" t="s">
        <v>1728</v>
      </c>
    </row>
    <row r="135" customFormat="false" ht="14.25" hidden="false" customHeight="false" outlineLevel="0" collapsed="false">
      <c r="C135" s="104" t="n">
        <v>130</v>
      </c>
      <c r="D135" s="71" t="s">
        <v>1729</v>
      </c>
      <c r="E135" s="71" t="s">
        <v>1730</v>
      </c>
      <c r="F135" s="71" t="n">
        <v>13.2</v>
      </c>
      <c r="G135" s="71" t="s">
        <v>1674</v>
      </c>
      <c r="H135" s="65" t="s">
        <v>814</v>
      </c>
      <c r="I135" s="71" t="s">
        <v>202</v>
      </c>
      <c r="J135" s="106"/>
      <c r="K135" s="107" t="n">
        <v>1.02</v>
      </c>
      <c r="L135" s="107" t="n">
        <v>0.5</v>
      </c>
      <c r="M135" s="107" t="n">
        <v>1.68</v>
      </c>
      <c r="N135" s="107" t="n">
        <v>0.79</v>
      </c>
      <c r="O135" s="102" t="n">
        <v>2.37</v>
      </c>
      <c r="P135" s="102" t="n">
        <v>0.67</v>
      </c>
      <c r="Q135" s="92" t="s">
        <v>1731</v>
      </c>
    </row>
    <row r="136" customFormat="false" ht="14.25" hidden="false" customHeight="false" outlineLevel="0" collapsed="false">
      <c r="C136" s="64" t="n">
        <v>131</v>
      </c>
      <c r="D136" s="71" t="s">
        <v>1732</v>
      </c>
      <c r="E136" s="71" t="s">
        <v>1733</v>
      </c>
      <c r="F136" s="71" t="n">
        <v>13.2</v>
      </c>
      <c r="G136" s="71" t="s">
        <v>1674</v>
      </c>
      <c r="H136" s="65" t="s">
        <v>820</v>
      </c>
      <c r="I136" s="71" t="s">
        <v>202</v>
      </c>
      <c r="J136" s="106"/>
      <c r="K136" s="107" t="n">
        <v>0.73</v>
      </c>
      <c r="L136" s="107" t="n">
        <v>0.36</v>
      </c>
      <c r="M136" s="107" t="n">
        <v>1.17</v>
      </c>
      <c r="N136" s="107" t="n">
        <v>0.475</v>
      </c>
      <c r="O136" s="102" t="n">
        <v>1.51</v>
      </c>
      <c r="P136" s="102" t="n">
        <v>0.35</v>
      </c>
      <c r="Q136" s="92" t="s">
        <v>1734</v>
      </c>
    </row>
    <row r="137" customFormat="false" ht="14.25" hidden="false" customHeight="false" outlineLevel="0" collapsed="false">
      <c r="C137" s="104" t="n">
        <v>132</v>
      </c>
      <c r="D137" s="71" t="s">
        <v>1735</v>
      </c>
      <c r="E137" s="71" t="s">
        <v>1736</v>
      </c>
      <c r="F137" s="71" t="n">
        <v>13.2</v>
      </c>
      <c r="G137" s="71" t="s">
        <v>1674</v>
      </c>
      <c r="H137" s="65" t="s">
        <v>938</v>
      </c>
      <c r="I137" s="71" t="s">
        <v>202</v>
      </c>
      <c r="J137" s="106"/>
      <c r="K137" s="107" t="n">
        <v>0.923</v>
      </c>
      <c r="L137" s="107" t="n">
        <v>0.47</v>
      </c>
      <c r="M137" s="107" t="n">
        <v>1.34</v>
      </c>
      <c r="N137" s="107" t="n">
        <v>0.52</v>
      </c>
      <c r="O137" s="102" t="n">
        <v>2.023</v>
      </c>
      <c r="P137" s="102" t="n">
        <v>0.762</v>
      </c>
      <c r="Q137" s="92" t="s">
        <v>1737</v>
      </c>
    </row>
    <row r="138" customFormat="false" ht="14.25" hidden="false" customHeight="false" outlineLevel="0" collapsed="false">
      <c r="C138" s="64" t="n">
        <v>133</v>
      </c>
      <c r="D138" s="71" t="s">
        <v>1738</v>
      </c>
      <c r="E138" s="71" t="s">
        <v>1739</v>
      </c>
      <c r="F138" s="71" t="n">
        <v>110</v>
      </c>
      <c r="G138" s="71" t="s">
        <v>1640</v>
      </c>
      <c r="H138" s="65" t="s">
        <v>814</v>
      </c>
      <c r="I138" s="71" t="s">
        <v>202</v>
      </c>
      <c r="J138" s="106"/>
      <c r="K138" s="107" t="n">
        <v>8.1000003815</v>
      </c>
      <c r="L138" s="107" t="n">
        <v>3.9000000954</v>
      </c>
      <c r="M138" s="107" t="n">
        <v>12.600000381</v>
      </c>
      <c r="N138" s="107" t="n">
        <v>6.0999999046</v>
      </c>
      <c r="O138" s="102" t="n">
        <v>18</v>
      </c>
      <c r="P138" s="102" t="n">
        <v>8.6999998093</v>
      </c>
      <c r="Q138" s="92" t="s">
        <v>1641</v>
      </c>
    </row>
    <row r="139" customFormat="false" ht="14.25" hidden="false" customHeight="false" outlineLevel="0" collapsed="false">
      <c r="C139" s="104" t="n">
        <v>134</v>
      </c>
      <c r="D139" s="71" t="s">
        <v>1740</v>
      </c>
      <c r="E139" s="71" t="s">
        <v>1741</v>
      </c>
      <c r="F139" s="71" t="n">
        <v>13.2</v>
      </c>
      <c r="G139" s="71" t="s">
        <v>1674</v>
      </c>
      <c r="H139" s="65" t="s">
        <v>814</v>
      </c>
      <c r="I139" s="71" t="s">
        <v>202</v>
      </c>
      <c r="J139" s="106"/>
      <c r="K139" s="107" t="n">
        <v>0.18</v>
      </c>
      <c r="L139" s="107" t="n">
        <v>0.7</v>
      </c>
      <c r="M139" s="107" t="n">
        <v>0.23</v>
      </c>
      <c r="N139" s="107" t="n">
        <v>0.09</v>
      </c>
      <c r="O139" s="102" t="n">
        <v>0.34</v>
      </c>
      <c r="P139" s="102" t="n">
        <v>0.06</v>
      </c>
      <c r="Q139" s="92" t="s">
        <v>1641</v>
      </c>
    </row>
    <row r="140" customFormat="false" ht="14.25" hidden="false" customHeight="false" outlineLevel="0" collapsed="false">
      <c r="C140" s="64" t="n">
        <v>135</v>
      </c>
      <c r="D140" s="71" t="s">
        <v>1742</v>
      </c>
      <c r="E140" s="71" t="s">
        <v>1743</v>
      </c>
      <c r="F140" s="71" t="n">
        <v>13.2</v>
      </c>
      <c r="G140" s="71" t="s">
        <v>1674</v>
      </c>
      <c r="H140" s="65" t="s">
        <v>820</v>
      </c>
      <c r="I140" s="71" t="s">
        <v>202</v>
      </c>
      <c r="J140" s="106"/>
      <c r="K140" s="107" t="n">
        <v>2.65</v>
      </c>
      <c r="L140" s="107" t="n">
        <v>1.23</v>
      </c>
      <c r="M140" s="107" t="n">
        <v>3.23</v>
      </c>
      <c r="N140" s="107" t="n">
        <v>1.445</v>
      </c>
      <c r="O140" s="107" t="n">
        <v>3.445</v>
      </c>
      <c r="P140" s="107" t="n">
        <v>1.26</v>
      </c>
      <c r="Q140" s="92" t="s">
        <v>1744</v>
      </c>
    </row>
    <row r="141" customFormat="false" ht="14.25" hidden="false" customHeight="false" outlineLevel="0" collapsed="false">
      <c r="C141" s="104" t="n">
        <v>136</v>
      </c>
      <c r="D141" s="71" t="s">
        <v>1745</v>
      </c>
      <c r="E141" s="71" t="s">
        <v>1743</v>
      </c>
      <c r="F141" s="71" t="n">
        <v>13.2</v>
      </c>
      <c r="G141" s="71" t="s">
        <v>1674</v>
      </c>
      <c r="H141" s="65" t="s">
        <v>820</v>
      </c>
      <c r="I141" s="71" t="s">
        <v>202</v>
      </c>
      <c r="J141" s="106"/>
      <c r="K141" s="107" t="n">
        <v>2.65</v>
      </c>
      <c r="L141" s="107" t="n">
        <v>1.23</v>
      </c>
      <c r="M141" s="107" t="n">
        <v>3.23</v>
      </c>
      <c r="N141" s="107" t="n">
        <v>1.445</v>
      </c>
      <c r="O141" s="107" t="n">
        <v>3.445</v>
      </c>
      <c r="P141" s="107" t="n">
        <v>1.26</v>
      </c>
      <c r="Q141" s="92" t="s">
        <v>1744</v>
      </c>
    </row>
    <row r="142" customFormat="false" ht="14.25" hidden="false" customHeight="false" outlineLevel="0" collapsed="false">
      <c r="C142" s="64" t="n">
        <v>137</v>
      </c>
      <c r="D142" s="71" t="s">
        <v>1746</v>
      </c>
      <c r="E142" s="71" t="s">
        <v>1747</v>
      </c>
      <c r="F142" s="71" t="n">
        <v>44</v>
      </c>
      <c r="G142" s="71" t="s">
        <v>1640</v>
      </c>
      <c r="H142" s="65" t="s">
        <v>820</v>
      </c>
      <c r="I142" s="71" t="s">
        <v>202</v>
      </c>
      <c r="J142" s="106"/>
      <c r="K142" s="107" t="n">
        <v>1</v>
      </c>
      <c r="L142" s="107" t="n">
        <v>0.40000000596</v>
      </c>
      <c r="M142" s="107" t="n">
        <v>1</v>
      </c>
      <c r="N142" s="107" t="n">
        <v>0.40000000596</v>
      </c>
      <c r="O142" s="102" t="n">
        <v>1</v>
      </c>
      <c r="P142" s="102" t="n">
        <v>0.40000000596</v>
      </c>
      <c r="Q142" s="92" t="s">
        <v>1641</v>
      </c>
    </row>
    <row r="143" customFormat="false" ht="14.25" hidden="false" customHeight="false" outlineLevel="0" collapsed="false">
      <c r="C143" s="104" t="n">
        <v>138</v>
      </c>
      <c r="D143" s="71" t="s">
        <v>1748</v>
      </c>
      <c r="E143" s="71" t="s">
        <v>1749</v>
      </c>
      <c r="F143" s="71" t="n">
        <v>44</v>
      </c>
      <c r="G143" s="71" t="s">
        <v>1640</v>
      </c>
      <c r="H143" s="65" t="s">
        <v>814</v>
      </c>
      <c r="I143" s="71" t="s">
        <v>202</v>
      </c>
      <c r="J143" s="106"/>
      <c r="K143" s="107" t="n">
        <v>5</v>
      </c>
      <c r="L143" s="107" t="n">
        <v>1.9800000191</v>
      </c>
      <c r="M143" s="107" t="n">
        <v>5</v>
      </c>
      <c r="N143" s="107" t="n">
        <v>1.9800000191</v>
      </c>
      <c r="O143" s="102" t="n">
        <v>5</v>
      </c>
      <c r="P143" s="102" t="n">
        <v>1.9800000191</v>
      </c>
      <c r="Q143" s="92" t="s">
        <v>1641</v>
      </c>
    </row>
    <row r="144" customFormat="false" ht="14.25" hidden="false" customHeight="false" outlineLevel="0" collapsed="false">
      <c r="C144" s="64" t="n">
        <v>139</v>
      </c>
      <c r="D144" s="71" t="s">
        <v>1750</v>
      </c>
      <c r="E144" s="71" t="s">
        <v>1751</v>
      </c>
      <c r="F144" s="71" t="n">
        <v>13.2</v>
      </c>
      <c r="G144" s="71" t="s">
        <v>1674</v>
      </c>
      <c r="H144" s="65" t="s">
        <v>1752</v>
      </c>
      <c r="I144" s="71" t="s">
        <v>202</v>
      </c>
      <c r="J144" s="106"/>
      <c r="K144" s="107" t="n">
        <v>1.335</v>
      </c>
      <c r="L144" s="107" t="n">
        <v>0.79</v>
      </c>
      <c r="M144" s="107" t="n">
        <v>2.99</v>
      </c>
      <c r="N144" s="107" t="n">
        <v>0.89</v>
      </c>
      <c r="O144" s="102" t="n">
        <v>3.75</v>
      </c>
      <c r="P144" s="102" t="n">
        <v>1.09</v>
      </c>
      <c r="Q144" s="92" t="s">
        <v>1753</v>
      </c>
    </row>
    <row r="145" customFormat="false" ht="14.25" hidden="false" customHeight="false" outlineLevel="0" collapsed="false">
      <c r="C145" s="104" t="n">
        <v>140</v>
      </c>
      <c r="D145" s="71" t="s">
        <v>1754</v>
      </c>
      <c r="E145" s="71" t="s">
        <v>1755</v>
      </c>
      <c r="F145" s="71" t="n">
        <v>13.2</v>
      </c>
      <c r="G145" s="71" t="s">
        <v>1674</v>
      </c>
      <c r="H145" s="65" t="s">
        <v>938</v>
      </c>
      <c r="I145" s="71" t="s">
        <v>771</v>
      </c>
      <c r="J145" s="69" t="n">
        <v>45838</v>
      </c>
      <c r="K145" s="107"/>
      <c r="L145" s="107"/>
      <c r="M145" s="107"/>
      <c r="N145" s="107"/>
      <c r="O145" s="102"/>
      <c r="P145" s="102"/>
      <c r="Q145" s="92" t="s">
        <v>1756</v>
      </c>
    </row>
    <row r="146" customFormat="false" ht="14.25" hidden="false" customHeight="false" outlineLevel="0" collapsed="false">
      <c r="C146" s="64" t="n">
        <v>141</v>
      </c>
      <c r="D146" s="71" t="s">
        <v>1757</v>
      </c>
      <c r="E146" s="71" t="s">
        <v>1758</v>
      </c>
      <c r="F146" s="71" t="n">
        <v>13.2</v>
      </c>
      <c r="G146" s="71" t="s">
        <v>1674</v>
      </c>
      <c r="H146" s="65" t="s">
        <v>1759</v>
      </c>
      <c r="I146" s="71" t="s">
        <v>771</v>
      </c>
      <c r="J146" s="69" t="n">
        <v>45930</v>
      </c>
      <c r="K146" s="107" t="n">
        <v>0.51</v>
      </c>
      <c r="L146" s="107" t="n">
        <v>0.25</v>
      </c>
      <c r="M146" s="107" t="n">
        <v>0.84</v>
      </c>
      <c r="N146" s="107" t="n">
        <v>0.395</v>
      </c>
      <c r="O146" s="107" t="n">
        <v>1.185</v>
      </c>
      <c r="P146" s="107" t="n">
        <v>0.335</v>
      </c>
      <c r="Q146" s="92" t="s">
        <v>1760</v>
      </c>
    </row>
    <row r="147" customFormat="false" ht="14.25" hidden="false" customHeight="false" outlineLevel="0" collapsed="false">
      <c r="C147" s="104" t="n">
        <v>142</v>
      </c>
      <c r="D147" s="71" t="s">
        <v>1761</v>
      </c>
      <c r="E147" s="71" t="s">
        <v>1761</v>
      </c>
      <c r="F147" s="71" t="n">
        <v>44</v>
      </c>
      <c r="G147" s="71" t="s">
        <v>1640</v>
      </c>
      <c r="H147" s="65" t="s">
        <v>855</v>
      </c>
      <c r="I147" s="71" t="s">
        <v>202</v>
      </c>
      <c r="J147" s="106"/>
      <c r="K147" s="107" t="n">
        <v>1.026</v>
      </c>
      <c r="L147" s="107" t="n">
        <v>0.174</v>
      </c>
      <c r="M147" s="107" t="n">
        <v>1.324</v>
      </c>
      <c r="N147" s="107" t="n">
        <v>0.399</v>
      </c>
      <c r="O147" s="102" t="n">
        <v>1.13</v>
      </c>
      <c r="P147" s="102" t="n">
        <v>0.254</v>
      </c>
      <c r="Q147" s="92" t="s">
        <v>1641</v>
      </c>
    </row>
    <row r="148" customFormat="false" ht="14.25" hidden="false" customHeight="false" outlineLevel="0" collapsed="false">
      <c r="C148" s="64" t="n">
        <v>143</v>
      </c>
      <c r="D148" s="71" t="s">
        <v>1762</v>
      </c>
      <c r="E148" s="71" t="s">
        <v>1763</v>
      </c>
      <c r="F148" s="71" t="n">
        <v>13.2</v>
      </c>
      <c r="G148" s="71" t="s">
        <v>1674</v>
      </c>
      <c r="H148" s="65" t="s">
        <v>855</v>
      </c>
      <c r="I148" s="71" t="s">
        <v>202</v>
      </c>
      <c r="J148" s="106"/>
      <c r="K148" s="107" t="n">
        <v>2.26</v>
      </c>
      <c r="L148" s="107" t="n">
        <v>0.773</v>
      </c>
      <c r="M148" s="107" t="n">
        <v>6.44</v>
      </c>
      <c r="N148" s="107" t="n">
        <v>2.63</v>
      </c>
      <c r="O148" s="102" t="n">
        <v>7.42</v>
      </c>
      <c r="P148" s="102" t="n">
        <v>2.17</v>
      </c>
      <c r="Q148" s="92" t="s">
        <v>1764</v>
      </c>
    </row>
    <row r="149" customFormat="false" ht="14.25" hidden="false" customHeight="false" outlineLevel="0" collapsed="false">
      <c r="C149" s="104" t="n">
        <v>144</v>
      </c>
      <c r="D149" s="71" t="s">
        <v>1765</v>
      </c>
      <c r="E149" s="71" t="s">
        <v>1766</v>
      </c>
      <c r="F149" s="71" t="n">
        <v>13.2</v>
      </c>
      <c r="G149" s="71" t="s">
        <v>1674</v>
      </c>
      <c r="H149" s="65" t="s">
        <v>1767</v>
      </c>
      <c r="I149" s="71" t="s">
        <v>202</v>
      </c>
      <c r="J149" s="106"/>
      <c r="K149" s="107" t="n">
        <v>2.3</v>
      </c>
      <c r="L149" s="107" t="n">
        <v>1.55</v>
      </c>
      <c r="M149" s="107" t="n">
        <v>4.29</v>
      </c>
      <c r="N149" s="107" t="n">
        <v>2.2</v>
      </c>
      <c r="O149" s="102" t="n">
        <v>6.52</v>
      </c>
      <c r="P149" s="102" t="n">
        <v>2.2</v>
      </c>
      <c r="Q149" s="92" t="s">
        <v>1768</v>
      </c>
    </row>
    <row r="150" customFormat="false" ht="14.25" hidden="false" customHeight="false" outlineLevel="0" collapsed="false">
      <c r="C150" s="64" t="n">
        <v>145</v>
      </c>
      <c r="D150" s="71" t="s">
        <v>1769</v>
      </c>
      <c r="E150" s="71" t="s">
        <v>1770</v>
      </c>
      <c r="F150" s="71" t="n">
        <v>13.2</v>
      </c>
      <c r="G150" s="71" t="s">
        <v>1674</v>
      </c>
      <c r="H150" s="65" t="s">
        <v>855</v>
      </c>
      <c r="I150" s="71" t="s">
        <v>202</v>
      </c>
      <c r="J150" s="106"/>
      <c r="K150" s="107" t="n">
        <v>1.21</v>
      </c>
      <c r="L150" s="107" t="n">
        <v>0.9</v>
      </c>
      <c r="M150" s="107" t="n">
        <v>2.21</v>
      </c>
      <c r="N150" s="107" t="n">
        <v>1.44</v>
      </c>
      <c r="O150" s="102" t="n">
        <v>1.87</v>
      </c>
      <c r="P150" s="102" t="n">
        <v>0.76</v>
      </c>
      <c r="Q150" s="92" t="s">
        <v>1771</v>
      </c>
    </row>
    <row r="151" customFormat="false" ht="14.25" hidden="false" customHeight="false" outlineLevel="0" collapsed="false">
      <c r="C151" s="104" t="n">
        <v>146</v>
      </c>
      <c r="D151" s="71" t="s">
        <v>1772</v>
      </c>
      <c r="E151" s="71" t="s">
        <v>1773</v>
      </c>
      <c r="F151" s="71" t="n">
        <v>13.2</v>
      </c>
      <c r="G151" s="71" t="s">
        <v>1674</v>
      </c>
      <c r="H151" s="65" t="s">
        <v>1752</v>
      </c>
      <c r="I151" s="71" t="s">
        <v>202</v>
      </c>
      <c r="J151" s="106"/>
      <c r="K151" s="107" t="n">
        <v>0.57</v>
      </c>
      <c r="L151" s="107" t="n">
        <v>0.46</v>
      </c>
      <c r="M151" s="107" t="n">
        <v>1.24</v>
      </c>
      <c r="N151" s="107" t="n">
        <v>0.67</v>
      </c>
      <c r="O151" s="102" t="n">
        <v>1.86</v>
      </c>
      <c r="P151" s="102" t="n">
        <v>1.03</v>
      </c>
      <c r="Q151" s="92" t="s">
        <v>1774</v>
      </c>
    </row>
    <row r="152" customFormat="false" ht="14.25" hidden="false" customHeight="false" outlineLevel="0" collapsed="false">
      <c r="C152" s="64" t="n">
        <v>147</v>
      </c>
      <c r="D152" s="71" t="s">
        <v>1775</v>
      </c>
      <c r="E152" s="71" t="s">
        <v>1776</v>
      </c>
      <c r="F152" s="71" t="n">
        <v>13.2</v>
      </c>
      <c r="G152" s="71" t="s">
        <v>1674</v>
      </c>
      <c r="H152" s="65" t="s">
        <v>1767</v>
      </c>
      <c r="I152" s="71" t="s">
        <v>202</v>
      </c>
      <c r="J152" s="106"/>
      <c r="K152" s="107" t="n">
        <v>1.73</v>
      </c>
      <c r="L152" s="107" t="n">
        <v>1</v>
      </c>
      <c r="M152" s="107" t="n">
        <v>3.345</v>
      </c>
      <c r="N152" s="107" t="n">
        <v>1.544</v>
      </c>
      <c r="O152" s="102" t="n">
        <v>4.05</v>
      </c>
      <c r="P152" s="102" t="n">
        <v>1.51</v>
      </c>
      <c r="Q152" s="92" t="s">
        <v>1777</v>
      </c>
    </row>
    <row r="153" customFormat="false" ht="14.25" hidden="false" customHeight="false" outlineLevel="0" collapsed="false">
      <c r="C153" s="104" t="n">
        <v>148</v>
      </c>
      <c r="D153" s="71" t="s">
        <v>1778</v>
      </c>
      <c r="E153" s="71" t="s">
        <v>1779</v>
      </c>
      <c r="F153" s="71" t="n">
        <v>13.2</v>
      </c>
      <c r="G153" s="71" t="s">
        <v>1674</v>
      </c>
      <c r="H153" s="65" t="s">
        <v>861</v>
      </c>
      <c r="I153" s="71" t="s">
        <v>202</v>
      </c>
      <c r="J153" s="106"/>
      <c r="K153" s="107" t="n">
        <v>0.55</v>
      </c>
      <c r="L153" s="107" t="n">
        <v>0.15</v>
      </c>
      <c r="M153" s="107" t="n">
        <v>1.4</v>
      </c>
      <c r="N153" s="107" t="n">
        <v>0.63</v>
      </c>
      <c r="O153" s="102" t="n">
        <v>1.02</v>
      </c>
      <c r="P153" s="102" t="n">
        <v>0.22</v>
      </c>
      <c r="Q153" s="92" t="s">
        <v>1780</v>
      </c>
    </row>
    <row r="154" customFormat="false" ht="14.25" hidden="false" customHeight="false" outlineLevel="0" collapsed="false">
      <c r="C154" s="64" t="n">
        <v>149</v>
      </c>
      <c r="D154" s="71" t="s">
        <v>1781</v>
      </c>
      <c r="E154" s="71" t="s">
        <v>1782</v>
      </c>
      <c r="F154" s="71" t="n">
        <v>13.2</v>
      </c>
      <c r="G154" s="71" t="s">
        <v>1674</v>
      </c>
      <c r="H154" s="65" t="s">
        <v>1752</v>
      </c>
      <c r="I154" s="71" t="s">
        <v>202</v>
      </c>
      <c r="J154" s="106"/>
      <c r="K154" s="107" t="n">
        <v>0.832</v>
      </c>
      <c r="L154" s="107" t="n">
        <v>0.734</v>
      </c>
      <c r="M154" s="107" t="n">
        <v>1.65</v>
      </c>
      <c r="N154" s="107" t="n">
        <v>0.89</v>
      </c>
      <c r="O154" s="102" t="n">
        <v>2.44</v>
      </c>
      <c r="P154" s="102" t="n">
        <v>1.31</v>
      </c>
      <c r="Q154" s="92" t="s">
        <v>1783</v>
      </c>
    </row>
    <row r="155" customFormat="false" ht="14.25" hidden="false" customHeight="false" outlineLevel="0" collapsed="false">
      <c r="C155" s="104" t="n">
        <v>150</v>
      </c>
      <c r="D155" s="71" t="s">
        <v>1784</v>
      </c>
      <c r="E155" s="71" t="s">
        <v>1785</v>
      </c>
      <c r="F155" s="71" t="n">
        <v>13.2</v>
      </c>
      <c r="G155" s="71" t="s">
        <v>1674</v>
      </c>
      <c r="H155" s="65" t="s">
        <v>855</v>
      </c>
      <c r="I155" s="71" t="s">
        <v>202</v>
      </c>
      <c r="J155" s="106"/>
      <c r="K155" s="107" t="n">
        <v>1.8</v>
      </c>
      <c r="L155" s="107" t="n">
        <v>1.09</v>
      </c>
      <c r="M155" s="107" t="n">
        <v>3.35</v>
      </c>
      <c r="N155" s="107" t="n">
        <v>1.85</v>
      </c>
      <c r="O155" s="102" t="n">
        <v>3.36</v>
      </c>
      <c r="P155" s="102" t="n">
        <v>1.17</v>
      </c>
      <c r="Q155" s="92" t="s">
        <v>1786</v>
      </c>
    </row>
    <row r="156" customFormat="false" ht="14.25" hidden="false" customHeight="false" outlineLevel="0" collapsed="false">
      <c r="C156" s="64" t="n">
        <v>151</v>
      </c>
      <c r="D156" s="71" t="s">
        <v>1787</v>
      </c>
      <c r="E156" s="71" t="s">
        <v>1788</v>
      </c>
      <c r="F156" s="71" t="n">
        <v>13.2</v>
      </c>
      <c r="G156" s="71" t="s">
        <v>1674</v>
      </c>
      <c r="H156" s="65" t="s">
        <v>867</v>
      </c>
      <c r="I156" s="71" t="s">
        <v>202</v>
      </c>
      <c r="J156" s="106"/>
      <c r="K156" s="107" t="n">
        <v>0.68</v>
      </c>
      <c r="L156" s="107" t="n">
        <v>0.47</v>
      </c>
      <c r="M156" s="107" t="n">
        <v>1.25</v>
      </c>
      <c r="N156" s="107" t="n">
        <v>0.67</v>
      </c>
      <c r="O156" s="102" t="n">
        <v>1.53</v>
      </c>
      <c r="P156" s="102" t="n">
        <v>0.61</v>
      </c>
      <c r="Q156" s="92" t="s">
        <v>1789</v>
      </c>
    </row>
    <row r="157" customFormat="false" ht="14.25" hidden="false" customHeight="false" outlineLevel="0" collapsed="false">
      <c r="C157" s="104" t="n">
        <v>152</v>
      </c>
      <c r="D157" s="71" t="s">
        <v>1790</v>
      </c>
      <c r="E157" s="71" t="s">
        <v>1791</v>
      </c>
      <c r="F157" s="71" t="n">
        <v>13.2</v>
      </c>
      <c r="G157" s="71" t="s">
        <v>1674</v>
      </c>
      <c r="H157" s="65" t="s">
        <v>1752</v>
      </c>
      <c r="I157" s="71" t="s">
        <v>202</v>
      </c>
      <c r="J157" s="106"/>
      <c r="K157" s="107" t="n">
        <v>1.12</v>
      </c>
      <c r="L157" s="107" t="n">
        <v>0.65</v>
      </c>
      <c r="M157" s="107" t="n">
        <v>2.07</v>
      </c>
      <c r="N157" s="107" t="n">
        <v>0.79</v>
      </c>
      <c r="O157" s="102" t="n">
        <v>2.67</v>
      </c>
      <c r="P157" s="102" t="n">
        <v>0.7</v>
      </c>
      <c r="Q157" s="92" t="s">
        <v>1792</v>
      </c>
    </row>
    <row r="158" customFormat="false" ht="14.25" hidden="false" customHeight="false" outlineLevel="0" collapsed="false">
      <c r="C158" s="64" t="n">
        <v>153</v>
      </c>
      <c r="D158" s="71" t="s">
        <v>1793</v>
      </c>
      <c r="E158" s="71" t="s">
        <v>1794</v>
      </c>
      <c r="F158" s="71" t="n">
        <v>13.2</v>
      </c>
      <c r="G158" s="71" t="s">
        <v>1674</v>
      </c>
      <c r="H158" s="65" t="s">
        <v>855</v>
      </c>
      <c r="I158" s="71" t="s">
        <v>202</v>
      </c>
      <c r="J158" s="106"/>
      <c r="K158" s="107" t="n">
        <v>1.31</v>
      </c>
      <c r="L158" s="107" t="n">
        <v>0.62</v>
      </c>
      <c r="M158" s="107" t="n">
        <v>1.3</v>
      </c>
      <c r="N158" s="107" t="n">
        <v>0.61</v>
      </c>
      <c r="O158" s="102" t="n">
        <v>1.9</v>
      </c>
      <c r="P158" s="102" t="n">
        <v>0.67</v>
      </c>
      <c r="Q158" s="92" t="s">
        <v>1795</v>
      </c>
    </row>
    <row r="159" customFormat="false" ht="14.25" hidden="false" customHeight="false" outlineLevel="0" collapsed="false">
      <c r="C159" s="104" t="n">
        <v>154</v>
      </c>
      <c r="D159" s="71" t="s">
        <v>1796</v>
      </c>
      <c r="E159" s="71" t="s">
        <v>1797</v>
      </c>
      <c r="F159" s="71" t="n">
        <v>220</v>
      </c>
      <c r="G159" s="71" t="s">
        <v>1640</v>
      </c>
      <c r="H159" s="65" t="s">
        <v>1797</v>
      </c>
      <c r="I159" s="71" t="s">
        <v>771</v>
      </c>
      <c r="J159" s="69" t="n">
        <v>47848</v>
      </c>
      <c r="K159" s="107" t="n">
        <v>30</v>
      </c>
      <c r="L159" s="102" t="n">
        <f aca="false">SQRT(((K159/0.9)^2-K159^2))</f>
        <v>14.5296631451356</v>
      </c>
      <c r="M159" s="102" t="n">
        <v>46.4</v>
      </c>
      <c r="N159" s="102" t="n">
        <f aca="false">SQRT(((M159/0.9)^2-M159^2))</f>
        <v>22.4725456644763</v>
      </c>
      <c r="O159" s="102" t="n">
        <v>58</v>
      </c>
      <c r="P159" s="102" t="n">
        <f aca="false">SQRT(((O159/0.9)^2-O159^2))</f>
        <v>28.0906820805955</v>
      </c>
      <c r="Q159" s="92" t="s">
        <v>1798</v>
      </c>
    </row>
    <row r="160" customFormat="false" ht="14.25" hidden="false" customHeight="false" outlineLevel="0" collapsed="false">
      <c r="C160" s="64" t="n">
        <v>155</v>
      </c>
      <c r="D160" s="71" t="s">
        <v>1799</v>
      </c>
      <c r="E160" s="71" t="s">
        <v>1800</v>
      </c>
      <c r="F160" s="71" t="n">
        <v>13.2</v>
      </c>
      <c r="G160" s="71" t="s">
        <v>1674</v>
      </c>
      <c r="H160" s="65" t="s">
        <v>1752</v>
      </c>
      <c r="I160" s="71" t="s">
        <v>202</v>
      </c>
      <c r="J160" s="106"/>
      <c r="K160" s="107" t="n">
        <v>0.6</v>
      </c>
      <c r="L160" s="107" t="n">
        <v>0.57</v>
      </c>
      <c r="M160" s="107" t="n">
        <v>1.16</v>
      </c>
      <c r="N160" s="107" t="n">
        <v>0.61</v>
      </c>
      <c r="O160" s="102" t="n">
        <v>1.46</v>
      </c>
      <c r="P160" s="102" t="n">
        <v>0.62</v>
      </c>
      <c r="Q160" s="92" t="s">
        <v>1801</v>
      </c>
    </row>
    <row r="161" customFormat="false" ht="14.25" hidden="false" customHeight="false" outlineLevel="0" collapsed="false">
      <c r="C161" s="104" t="n">
        <v>156</v>
      </c>
      <c r="D161" s="71" t="s">
        <v>1802</v>
      </c>
      <c r="E161" s="71" t="s">
        <v>1803</v>
      </c>
      <c r="F161" s="71" t="n">
        <v>13.2</v>
      </c>
      <c r="G161" s="71" t="s">
        <v>1674</v>
      </c>
      <c r="H161" s="65" t="s">
        <v>855</v>
      </c>
      <c r="I161" s="71" t="s">
        <v>202</v>
      </c>
      <c r="J161" s="106"/>
      <c r="K161" s="107" t="n">
        <v>1.41</v>
      </c>
      <c r="L161" s="107" t="n">
        <v>1.86</v>
      </c>
      <c r="M161" s="107" t="n">
        <v>2.73</v>
      </c>
      <c r="N161" s="107" t="n">
        <v>2.31</v>
      </c>
      <c r="O161" s="102" t="n">
        <v>3.45</v>
      </c>
      <c r="P161" s="102" t="n">
        <v>1.77</v>
      </c>
      <c r="Q161" s="92" t="s">
        <v>1804</v>
      </c>
    </row>
    <row r="162" customFormat="false" ht="14.25" hidden="false" customHeight="false" outlineLevel="0" collapsed="false">
      <c r="C162" s="64" t="n">
        <v>157</v>
      </c>
      <c r="D162" s="71" t="s">
        <v>1805</v>
      </c>
      <c r="E162" s="71" t="s">
        <v>1806</v>
      </c>
      <c r="F162" s="71" t="n">
        <v>13.2</v>
      </c>
      <c r="G162" s="71" t="s">
        <v>1674</v>
      </c>
      <c r="H162" s="65" t="s">
        <v>1767</v>
      </c>
      <c r="I162" s="71" t="s">
        <v>202</v>
      </c>
      <c r="J162" s="106"/>
      <c r="K162" s="107" t="n">
        <v>0.25</v>
      </c>
      <c r="L162" s="107" t="n">
        <v>0.14</v>
      </c>
      <c r="M162" s="107" t="n">
        <v>0.3</v>
      </c>
      <c r="N162" s="107" t="n">
        <v>0.08</v>
      </c>
      <c r="O162" s="102" t="n">
        <v>0.39</v>
      </c>
      <c r="P162" s="102" t="n">
        <v>0.14</v>
      </c>
      <c r="Q162" s="92" t="s">
        <v>1807</v>
      </c>
    </row>
    <row r="163" customFormat="false" ht="14.25" hidden="false" customHeight="false" outlineLevel="0" collapsed="false">
      <c r="C163" s="104" t="n">
        <v>158</v>
      </c>
      <c r="D163" s="71" t="s">
        <v>1808</v>
      </c>
      <c r="E163" s="71" t="s">
        <v>1809</v>
      </c>
      <c r="F163" s="71" t="n">
        <v>13.2</v>
      </c>
      <c r="G163" s="71" t="s">
        <v>1674</v>
      </c>
      <c r="H163" s="65" t="s">
        <v>1752</v>
      </c>
      <c r="I163" s="71" t="s">
        <v>202</v>
      </c>
      <c r="J163" s="106"/>
      <c r="K163" s="107" t="n">
        <v>0.6</v>
      </c>
      <c r="L163" s="107" t="n">
        <v>0.31</v>
      </c>
      <c r="M163" s="107" t="n">
        <v>0.852</v>
      </c>
      <c r="N163" s="107" t="n">
        <v>0.386</v>
      </c>
      <c r="O163" s="102" t="n">
        <v>0.92</v>
      </c>
      <c r="P163" s="102" t="n">
        <v>0.33</v>
      </c>
      <c r="Q163" s="92" t="s">
        <v>1810</v>
      </c>
    </row>
    <row r="164" customFormat="false" ht="14.25" hidden="false" customHeight="false" outlineLevel="0" collapsed="false">
      <c r="C164" s="64" t="n">
        <v>159</v>
      </c>
      <c r="D164" s="71" t="s">
        <v>1811</v>
      </c>
      <c r="E164" s="71" t="s">
        <v>1812</v>
      </c>
      <c r="F164" s="71" t="n">
        <v>13.2</v>
      </c>
      <c r="G164" s="71" t="s">
        <v>1674</v>
      </c>
      <c r="H164" s="65" t="s">
        <v>855</v>
      </c>
      <c r="I164" s="71" t="s">
        <v>202</v>
      </c>
      <c r="J164" s="106"/>
      <c r="K164" s="107" t="n">
        <v>0.96</v>
      </c>
      <c r="L164" s="107" t="n">
        <v>0.43</v>
      </c>
      <c r="M164" s="107" t="n">
        <v>1.8</v>
      </c>
      <c r="N164" s="107" t="n">
        <v>0.9</v>
      </c>
      <c r="O164" s="102" t="n">
        <v>1.91</v>
      </c>
      <c r="P164" s="102" t="n">
        <v>0.525</v>
      </c>
      <c r="Q164" s="92" t="s">
        <v>1692</v>
      </c>
    </row>
    <row r="165" customFormat="false" ht="14.25" hidden="false" customHeight="false" outlineLevel="0" collapsed="false">
      <c r="C165" s="104" t="n">
        <v>160</v>
      </c>
      <c r="D165" s="71" t="s">
        <v>1813</v>
      </c>
      <c r="E165" s="71" t="s">
        <v>1779</v>
      </c>
      <c r="F165" s="71" t="n">
        <v>13.2</v>
      </c>
      <c r="G165" s="71" t="s">
        <v>1640</v>
      </c>
      <c r="H165" s="65" t="s">
        <v>861</v>
      </c>
      <c r="I165" s="71" t="s">
        <v>202</v>
      </c>
      <c r="J165" s="106"/>
      <c r="K165" s="107" t="n">
        <v>0</v>
      </c>
      <c r="L165" s="107" t="n">
        <v>0</v>
      </c>
      <c r="M165" s="107" t="n">
        <v>0</v>
      </c>
      <c r="N165" s="107" t="n">
        <v>0</v>
      </c>
      <c r="O165" s="102" t="n">
        <v>0</v>
      </c>
      <c r="P165" s="102" t="n">
        <v>0</v>
      </c>
      <c r="Q165" s="92" t="s">
        <v>1641</v>
      </c>
    </row>
    <row r="166" customFormat="false" ht="14.25" hidden="false" customHeight="false" outlineLevel="0" collapsed="false">
      <c r="C166" s="64" t="n">
        <v>161</v>
      </c>
      <c r="D166" s="71" t="s">
        <v>1814</v>
      </c>
      <c r="E166" s="71" t="s">
        <v>1815</v>
      </c>
      <c r="F166" s="71" t="n">
        <v>13.2</v>
      </c>
      <c r="G166" s="71" t="s">
        <v>1674</v>
      </c>
      <c r="H166" s="65" t="s">
        <v>1752</v>
      </c>
      <c r="I166" s="71" t="s">
        <v>202</v>
      </c>
      <c r="J166" s="106"/>
      <c r="K166" s="107" t="n">
        <v>1.24</v>
      </c>
      <c r="L166" s="107" t="n">
        <v>0.907</v>
      </c>
      <c r="M166" s="107" t="n">
        <v>2.254</v>
      </c>
      <c r="N166" s="107" t="n">
        <v>1.19</v>
      </c>
      <c r="O166" s="102" t="n">
        <v>3.102</v>
      </c>
      <c r="P166" s="102" t="n">
        <v>0.77</v>
      </c>
      <c r="Q166" s="92" t="s">
        <v>1816</v>
      </c>
    </row>
    <row r="167" customFormat="false" ht="14.25" hidden="false" customHeight="false" outlineLevel="0" collapsed="false">
      <c r="C167" s="104" t="n">
        <v>162</v>
      </c>
      <c r="D167" s="71" t="s">
        <v>1817</v>
      </c>
      <c r="E167" s="71" t="s">
        <v>1818</v>
      </c>
      <c r="F167" s="71" t="n">
        <v>13.2</v>
      </c>
      <c r="G167" s="71" t="s">
        <v>1674</v>
      </c>
      <c r="H167" s="65" t="s">
        <v>1752</v>
      </c>
      <c r="I167" s="71" t="s">
        <v>202</v>
      </c>
      <c r="J167" s="106"/>
      <c r="K167" s="107" t="n">
        <v>0.575</v>
      </c>
      <c r="L167" s="107" t="n">
        <v>0.414</v>
      </c>
      <c r="M167" s="107" t="n">
        <v>1.09</v>
      </c>
      <c r="N167" s="107" t="n">
        <v>0.537</v>
      </c>
      <c r="O167" s="102" t="n">
        <v>1.34</v>
      </c>
      <c r="P167" s="102" t="n">
        <v>0.45</v>
      </c>
      <c r="Q167" s="92" t="s">
        <v>1807</v>
      </c>
    </row>
    <row r="168" customFormat="false" ht="14.25" hidden="false" customHeight="false" outlineLevel="0" collapsed="false">
      <c r="C168" s="64" t="n">
        <v>163</v>
      </c>
      <c r="D168" s="71" t="s">
        <v>1819</v>
      </c>
      <c r="E168" s="71"/>
      <c r="F168" s="71"/>
      <c r="G168" s="71"/>
      <c r="H168" s="65" t="s">
        <v>870</v>
      </c>
      <c r="I168" s="71" t="s">
        <v>771</v>
      </c>
      <c r="J168" s="69" t="n">
        <v>45747</v>
      </c>
      <c r="K168" s="107"/>
      <c r="L168" s="107"/>
      <c r="M168" s="107"/>
      <c r="N168" s="107"/>
      <c r="O168" s="102"/>
      <c r="P168" s="102"/>
      <c r="Q168" s="92" t="s">
        <v>1820</v>
      </c>
    </row>
    <row r="169" customFormat="false" ht="14.25" hidden="false" customHeight="false" outlineLevel="0" collapsed="false">
      <c r="C169" s="104" t="n">
        <v>164</v>
      </c>
      <c r="D169" s="71" t="s">
        <v>1821</v>
      </c>
      <c r="E169" s="71" t="s">
        <v>1822</v>
      </c>
      <c r="F169" s="71" t="n">
        <v>13.2</v>
      </c>
      <c r="G169" s="71" t="s">
        <v>1674</v>
      </c>
      <c r="H169" s="65" t="s">
        <v>924</v>
      </c>
      <c r="I169" s="71" t="s">
        <v>202</v>
      </c>
      <c r="J169" s="106"/>
      <c r="K169" s="107" t="n">
        <v>1.01</v>
      </c>
      <c r="L169" s="107" t="n">
        <v>0.48</v>
      </c>
      <c r="M169" s="107" t="n">
        <v>1.86</v>
      </c>
      <c r="N169" s="107" t="n">
        <v>0.41</v>
      </c>
      <c r="O169" s="102" t="n">
        <v>2.53</v>
      </c>
      <c r="P169" s="102" t="n">
        <v>0.53</v>
      </c>
      <c r="Q169" s="92" t="s">
        <v>1823</v>
      </c>
    </row>
    <row r="170" customFormat="false" ht="14.25" hidden="false" customHeight="false" outlineLevel="0" collapsed="false">
      <c r="C170" s="64" t="n">
        <v>165</v>
      </c>
      <c r="D170" s="71" t="s">
        <v>1824</v>
      </c>
      <c r="E170" s="71" t="s">
        <v>1825</v>
      </c>
      <c r="F170" s="71" t="n">
        <v>13.2</v>
      </c>
      <c r="G170" s="71" t="s">
        <v>1674</v>
      </c>
      <c r="H170" s="65" t="s">
        <v>924</v>
      </c>
      <c r="I170" s="71" t="s">
        <v>202</v>
      </c>
      <c r="J170" s="106"/>
      <c r="K170" s="107" t="n">
        <v>0.746</v>
      </c>
      <c r="L170" s="107" t="n">
        <v>0.295</v>
      </c>
      <c r="M170" s="107" t="n">
        <v>1.37</v>
      </c>
      <c r="N170" s="107" t="n">
        <v>0.361</v>
      </c>
      <c r="O170" s="102" t="n">
        <v>1.07</v>
      </c>
      <c r="P170" s="102" t="n">
        <v>0.179</v>
      </c>
      <c r="Q170" s="92" t="s">
        <v>1826</v>
      </c>
    </row>
    <row r="171" customFormat="false" ht="14.25" hidden="false" customHeight="false" outlineLevel="0" collapsed="false">
      <c r="C171" s="104" t="n">
        <v>166</v>
      </c>
      <c r="D171" s="71" t="s">
        <v>1827</v>
      </c>
      <c r="E171" s="71" t="s">
        <v>1828</v>
      </c>
      <c r="F171" s="71" t="n">
        <v>13.2</v>
      </c>
      <c r="G171" s="71" t="s">
        <v>1674</v>
      </c>
      <c r="H171" s="65" t="s">
        <v>930</v>
      </c>
      <c r="I171" s="71" t="s">
        <v>202</v>
      </c>
      <c r="J171" s="106"/>
      <c r="K171" s="107" t="n">
        <v>5.308653</v>
      </c>
      <c r="L171" s="107" t="n">
        <v>2.28114</v>
      </c>
      <c r="M171" s="107" t="n">
        <v>6.3365</v>
      </c>
      <c r="N171" s="107" t="n">
        <v>2.668</v>
      </c>
      <c r="O171" s="102" t="n">
        <v>8.651657</v>
      </c>
      <c r="P171" s="102" t="n">
        <v>3.0015</v>
      </c>
      <c r="Q171" s="92" t="s">
        <v>1829</v>
      </c>
    </row>
    <row r="172" customFormat="false" ht="14.25" hidden="false" customHeight="false" outlineLevel="0" collapsed="false">
      <c r="C172" s="64" t="n">
        <v>167</v>
      </c>
      <c r="D172" s="71" t="s">
        <v>1830</v>
      </c>
      <c r="E172" s="71" t="s">
        <v>1831</v>
      </c>
      <c r="F172" s="71" t="n">
        <v>13.2</v>
      </c>
      <c r="G172" s="71" t="s">
        <v>1674</v>
      </c>
      <c r="H172" s="65" t="s">
        <v>929</v>
      </c>
      <c r="I172" s="71" t="s">
        <v>202</v>
      </c>
      <c r="J172" s="106"/>
      <c r="K172" s="107" t="n">
        <v>1.86</v>
      </c>
      <c r="L172" s="107" t="n">
        <v>1.04</v>
      </c>
      <c r="M172" s="107" t="n">
        <v>3.67</v>
      </c>
      <c r="N172" s="107" t="n">
        <v>1.52</v>
      </c>
      <c r="O172" s="102" t="n">
        <v>3.9</v>
      </c>
      <c r="P172" s="102" t="n">
        <v>1.06</v>
      </c>
      <c r="Q172" s="92" t="s">
        <v>1832</v>
      </c>
    </row>
    <row r="173" customFormat="false" ht="14.25" hidden="false" customHeight="false" outlineLevel="0" collapsed="false">
      <c r="C173" s="104" t="n">
        <v>168</v>
      </c>
      <c r="D173" s="71" t="s">
        <v>1833</v>
      </c>
      <c r="E173" s="71" t="s">
        <v>1834</v>
      </c>
      <c r="F173" s="71" t="n">
        <v>44</v>
      </c>
      <c r="G173" s="71" t="s">
        <v>1640</v>
      </c>
      <c r="H173" s="65" t="s">
        <v>929</v>
      </c>
      <c r="I173" s="71" t="s">
        <v>771</v>
      </c>
      <c r="J173" s="106"/>
      <c r="K173" s="107" t="n">
        <v>0</v>
      </c>
      <c r="L173" s="107" t="n">
        <v>0</v>
      </c>
      <c r="M173" s="107" t="n">
        <v>0</v>
      </c>
      <c r="N173" s="107" t="n">
        <v>0</v>
      </c>
      <c r="O173" s="107" t="n">
        <v>0</v>
      </c>
      <c r="P173" s="107" t="n">
        <v>0</v>
      </c>
      <c r="Q173" s="92"/>
    </row>
    <row r="174" customFormat="false" ht="14.25" hidden="false" customHeight="false" outlineLevel="0" collapsed="false">
      <c r="C174" s="64" t="n">
        <v>169</v>
      </c>
      <c r="D174" s="71" t="s">
        <v>1835</v>
      </c>
      <c r="E174" s="71" t="s">
        <v>1836</v>
      </c>
      <c r="F174" s="71" t="n">
        <v>13.2</v>
      </c>
      <c r="G174" s="71" t="s">
        <v>1674</v>
      </c>
      <c r="H174" s="65" t="s">
        <v>930</v>
      </c>
      <c r="I174" s="71" t="s">
        <v>202</v>
      </c>
      <c r="J174" s="106"/>
      <c r="K174" s="107" t="n">
        <v>2.650347</v>
      </c>
      <c r="L174" s="107" t="n">
        <v>1.13886</v>
      </c>
      <c r="M174" s="107" t="n">
        <v>3.1635</v>
      </c>
      <c r="N174" s="107" t="n">
        <v>1.332</v>
      </c>
      <c r="O174" s="102" t="n">
        <v>4.319343</v>
      </c>
      <c r="P174" s="102" t="n">
        <v>1.4985</v>
      </c>
      <c r="Q174" s="92" t="s">
        <v>1837</v>
      </c>
    </row>
    <row r="175" customFormat="false" ht="14.25" hidden="false" customHeight="false" outlineLevel="0" collapsed="false">
      <c r="C175" s="104" t="n">
        <v>170</v>
      </c>
      <c r="D175" s="71" t="s">
        <v>1838</v>
      </c>
      <c r="E175" s="71" t="s">
        <v>1839</v>
      </c>
      <c r="F175" s="71" t="n">
        <v>44</v>
      </c>
      <c r="G175" s="71" t="s">
        <v>1640</v>
      </c>
      <c r="H175" s="65" t="s">
        <v>930</v>
      </c>
      <c r="I175" s="71" t="s">
        <v>202</v>
      </c>
      <c r="J175" s="106"/>
      <c r="K175" s="107" t="n">
        <v>2.307</v>
      </c>
      <c r="L175" s="107" t="n">
        <v>0.852</v>
      </c>
      <c r="M175" s="107" t="n">
        <v>3.58</v>
      </c>
      <c r="N175" s="107" t="n">
        <v>1.529</v>
      </c>
      <c r="O175" s="102" t="n">
        <v>2.867</v>
      </c>
      <c r="P175" s="102" t="n">
        <v>1.11</v>
      </c>
      <c r="Q175" s="92" t="s">
        <v>1641</v>
      </c>
    </row>
    <row r="176" customFormat="false" ht="14.25" hidden="false" customHeight="false" outlineLevel="0" collapsed="false">
      <c r="C176" s="64" t="n">
        <v>171</v>
      </c>
      <c r="D176" s="71" t="s">
        <v>1840</v>
      </c>
      <c r="E176" s="71" t="s">
        <v>1841</v>
      </c>
      <c r="F176" s="71" t="n">
        <v>44</v>
      </c>
      <c r="G176" s="71" t="s">
        <v>1640</v>
      </c>
      <c r="H176" s="65" t="s">
        <v>924</v>
      </c>
      <c r="I176" s="71" t="s">
        <v>202</v>
      </c>
      <c r="J176" s="106"/>
      <c r="K176" s="107" t="n">
        <v>1.7765</v>
      </c>
      <c r="L176" s="107" t="n">
        <v>0.88</v>
      </c>
      <c r="M176" s="107" t="n">
        <v>2.4225</v>
      </c>
      <c r="N176" s="107" t="n">
        <v>1.2</v>
      </c>
      <c r="O176" s="102" t="n">
        <v>3.23</v>
      </c>
      <c r="P176" s="102" t="n">
        <v>1.6</v>
      </c>
      <c r="Q176" s="92" t="s">
        <v>1641</v>
      </c>
    </row>
    <row r="177" customFormat="false" ht="14.25" hidden="false" customHeight="false" outlineLevel="0" collapsed="false">
      <c r="C177" s="104" t="n">
        <v>172</v>
      </c>
      <c r="D177" s="71" t="s">
        <v>1842</v>
      </c>
      <c r="E177" s="71" t="s">
        <v>1843</v>
      </c>
      <c r="F177" s="71" t="n">
        <v>13.2</v>
      </c>
      <c r="G177" s="71" t="s">
        <v>1674</v>
      </c>
      <c r="H177" s="65" t="s">
        <v>924</v>
      </c>
      <c r="I177" s="71" t="s">
        <v>202</v>
      </c>
      <c r="J177" s="106"/>
      <c r="K177" s="107" t="n">
        <v>1.07</v>
      </c>
      <c r="L177" s="107" t="n">
        <v>0.495</v>
      </c>
      <c r="M177" s="107" t="n">
        <v>1.579</v>
      </c>
      <c r="N177" s="107" t="n">
        <v>0.663</v>
      </c>
      <c r="O177" s="102" t="n">
        <v>2.11</v>
      </c>
      <c r="P177" s="102" t="n">
        <v>0.681</v>
      </c>
      <c r="Q177" s="92" t="s">
        <v>1844</v>
      </c>
    </row>
    <row r="178" customFormat="false" ht="14.25" hidden="false" customHeight="false" outlineLevel="0" collapsed="false">
      <c r="C178" s="64" t="n">
        <v>173</v>
      </c>
      <c r="D178" s="71" t="s">
        <v>1845</v>
      </c>
      <c r="E178" s="71" t="s">
        <v>1846</v>
      </c>
      <c r="F178" s="71" t="n">
        <v>13.2</v>
      </c>
      <c r="G178" s="71" t="s">
        <v>1640</v>
      </c>
      <c r="H178" s="65" t="s">
        <v>924</v>
      </c>
      <c r="I178" s="71" t="s">
        <v>202</v>
      </c>
      <c r="J178" s="106"/>
      <c r="K178" s="107" t="n">
        <v>5.3</v>
      </c>
      <c r="L178" s="107" t="n">
        <v>0.993</v>
      </c>
      <c r="M178" s="107" t="n">
        <v>5.115</v>
      </c>
      <c r="N178" s="107" t="n">
        <v>1.475</v>
      </c>
      <c r="O178" s="102" t="n">
        <v>6.82</v>
      </c>
      <c r="P178" s="102" t="n">
        <v>1.945</v>
      </c>
      <c r="Q178" s="92" t="s">
        <v>1847</v>
      </c>
    </row>
    <row r="179" customFormat="false" ht="14.25" hidden="false" customHeight="false" outlineLevel="0" collapsed="false">
      <c r="C179" s="104" t="n">
        <v>174</v>
      </c>
      <c r="D179" s="71" t="s">
        <v>1848</v>
      </c>
      <c r="E179" s="71" t="s">
        <v>1849</v>
      </c>
      <c r="F179" s="71" t="n">
        <v>13.2</v>
      </c>
      <c r="G179" s="71" t="s">
        <v>1674</v>
      </c>
      <c r="H179" s="65" t="s">
        <v>924</v>
      </c>
      <c r="I179" s="71" t="s">
        <v>202</v>
      </c>
      <c r="J179" s="106"/>
      <c r="K179" s="107" t="n">
        <v>3.302</v>
      </c>
      <c r="L179" s="107" t="n">
        <v>1.96</v>
      </c>
      <c r="M179" s="107" t="n">
        <v>8.09</v>
      </c>
      <c r="N179" s="107" t="n">
        <v>1.59</v>
      </c>
      <c r="O179" s="102" t="n">
        <v>8.96</v>
      </c>
      <c r="P179" s="102" t="n">
        <v>2</v>
      </c>
      <c r="Q179" s="92" t="s">
        <v>1850</v>
      </c>
    </row>
    <row r="180" customFormat="false" ht="14.25" hidden="false" customHeight="false" outlineLevel="0" collapsed="false">
      <c r="C180" s="64" t="n">
        <v>175</v>
      </c>
      <c r="D180" s="71" t="s">
        <v>935</v>
      </c>
      <c r="E180" s="71"/>
      <c r="F180" s="71"/>
      <c r="G180" s="71"/>
      <c r="H180" s="65" t="s">
        <v>935</v>
      </c>
      <c r="I180" s="71" t="s">
        <v>771</v>
      </c>
      <c r="J180" s="69" t="n">
        <v>46387</v>
      </c>
      <c r="K180" s="107"/>
      <c r="L180" s="107"/>
      <c r="M180" s="107"/>
      <c r="N180" s="107"/>
      <c r="O180" s="102"/>
      <c r="P180" s="102"/>
      <c r="Q180" s="92" t="s">
        <v>1851</v>
      </c>
    </row>
    <row r="181" customFormat="false" ht="14.25" hidden="false" customHeight="false" outlineLevel="0" collapsed="false">
      <c r="C181" s="104" t="n">
        <v>176</v>
      </c>
      <c r="D181" s="71" t="s">
        <v>1852</v>
      </c>
      <c r="E181" s="71" t="s">
        <v>1853</v>
      </c>
      <c r="F181" s="71" t="n">
        <v>13.2</v>
      </c>
      <c r="G181" s="71" t="s">
        <v>1674</v>
      </c>
      <c r="H181" s="65" t="s">
        <v>1854</v>
      </c>
      <c r="I181" s="71" t="s">
        <v>202</v>
      </c>
      <c r="J181" s="106"/>
      <c r="K181" s="107" t="n">
        <v>0.965</v>
      </c>
      <c r="L181" s="107" t="n">
        <v>0.18</v>
      </c>
      <c r="M181" s="107" t="n">
        <v>2.01</v>
      </c>
      <c r="N181" s="107" t="n">
        <v>0.45</v>
      </c>
      <c r="O181" s="102" t="n">
        <v>2.315</v>
      </c>
      <c r="P181" s="102" t="n">
        <v>0.35</v>
      </c>
      <c r="Q181" s="92" t="s">
        <v>1855</v>
      </c>
    </row>
    <row r="182" customFormat="false" ht="14.25" hidden="false" customHeight="false" outlineLevel="0" collapsed="false">
      <c r="C182" s="64" t="n">
        <v>177</v>
      </c>
      <c r="D182" s="71" t="s">
        <v>1856</v>
      </c>
      <c r="E182" s="71" t="s">
        <v>1015</v>
      </c>
      <c r="F182" s="71" t="n">
        <v>44</v>
      </c>
      <c r="G182" s="71" t="s">
        <v>1857</v>
      </c>
      <c r="H182" s="65" t="s">
        <v>1014</v>
      </c>
      <c r="I182" s="71" t="s">
        <v>202</v>
      </c>
      <c r="J182" s="106"/>
      <c r="K182" s="107" t="n">
        <v>0.15999999642</v>
      </c>
      <c r="L182" s="107" t="n">
        <v>0.077491544187</v>
      </c>
      <c r="M182" s="107" t="n">
        <v>0.37108055502</v>
      </c>
      <c r="N182" s="107" t="n">
        <v>0</v>
      </c>
      <c r="O182" s="102" t="n">
        <v>0.36000001431</v>
      </c>
      <c r="P182" s="102" t="n">
        <v>0.17435602844</v>
      </c>
      <c r="Q182" s="92" t="s">
        <v>1641</v>
      </c>
    </row>
    <row r="183" customFormat="false" ht="14.25" hidden="false" customHeight="false" outlineLevel="0" collapsed="false">
      <c r="C183" s="104" t="n">
        <v>178</v>
      </c>
      <c r="D183" s="71" t="s">
        <v>1858</v>
      </c>
      <c r="E183" s="71" t="s">
        <v>1859</v>
      </c>
      <c r="F183" s="71" t="n">
        <v>13.2</v>
      </c>
      <c r="G183" s="71" t="s">
        <v>1674</v>
      </c>
      <c r="H183" s="65" t="s">
        <v>1854</v>
      </c>
      <c r="I183" s="71" t="s">
        <v>202</v>
      </c>
      <c r="J183" s="106"/>
      <c r="K183" s="107" t="n">
        <v>0.65</v>
      </c>
      <c r="L183" s="107" t="n">
        <v>0.21</v>
      </c>
      <c r="M183" s="107" t="n">
        <v>1.64</v>
      </c>
      <c r="N183" s="107" t="n">
        <v>0.753</v>
      </c>
      <c r="O183" s="102" t="n">
        <v>1.1</v>
      </c>
      <c r="P183" s="102" t="n">
        <v>0.735</v>
      </c>
      <c r="Q183" s="92" t="s">
        <v>1855</v>
      </c>
    </row>
    <row r="184" customFormat="false" ht="14.25" hidden="false" customHeight="false" outlineLevel="0" collapsed="false">
      <c r="C184" s="64" t="n">
        <v>179</v>
      </c>
      <c r="D184" s="71" t="s">
        <v>1860</v>
      </c>
      <c r="E184" s="71" t="s">
        <v>1861</v>
      </c>
      <c r="F184" s="71" t="n">
        <v>13.2</v>
      </c>
      <c r="G184" s="71" t="s">
        <v>1674</v>
      </c>
      <c r="H184" s="65" t="s">
        <v>976</v>
      </c>
      <c r="I184" s="71" t="s">
        <v>202</v>
      </c>
      <c r="J184" s="106"/>
      <c r="K184" s="107" t="n">
        <v>0.4</v>
      </c>
      <c r="L184" s="107" t="n">
        <v>0.19</v>
      </c>
      <c r="M184" s="107" t="n">
        <v>0.49</v>
      </c>
      <c r="N184" s="107" t="n">
        <v>0.21</v>
      </c>
      <c r="O184" s="102" t="n">
        <v>0.64</v>
      </c>
      <c r="P184" s="102" t="n">
        <v>0.15</v>
      </c>
      <c r="Q184" s="92" t="s">
        <v>1641</v>
      </c>
    </row>
    <row r="185" customFormat="false" ht="14.25" hidden="false" customHeight="false" outlineLevel="0" collapsed="false">
      <c r="C185" s="104" t="n">
        <v>180</v>
      </c>
      <c r="D185" s="71" t="s">
        <v>1862</v>
      </c>
      <c r="E185" s="71" t="s">
        <v>1863</v>
      </c>
      <c r="F185" s="71" t="n">
        <v>44</v>
      </c>
      <c r="G185" s="71" t="s">
        <v>1640</v>
      </c>
      <c r="H185" s="65" t="s">
        <v>1014</v>
      </c>
      <c r="I185" s="71" t="s">
        <v>202</v>
      </c>
      <c r="J185" s="106"/>
      <c r="K185" s="107" t="n">
        <v>0.13</v>
      </c>
      <c r="L185" s="107" t="n">
        <v>0.04</v>
      </c>
      <c r="M185" s="107" t="n">
        <v>0.164</v>
      </c>
      <c r="N185" s="107" t="n">
        <v>0.064</v>
      </c>
      <c r="O185" s="102" t="n">
        <v>0.23</v>
      </c>
      <c r="P185" s="102" t="n">
        <v>0.1</v>
      </c>
      <c r="Q185" s="92" t="s">
        <v>1641</v>
      </c>
    </row>
    <row r="186" customFormat="false" ht="14.25" hidden="false" customHeight="false" outlineLevel="0" collapsed="false">
      <c r="C186" s="64" t="n">
        <v>181</v>
      </c>
      <c r="D186" s="71" t="s">
        <v>1864</v>
      </c>
      <c r="E186" s="71" t="s">
        <v>1863</v>
      </c>
      <c r="F186" s="71" t="n">
        <v>44</v>
      </c>
      <c r="G186" s="71" t="s">
        <v>1640</v>
      </c>
      <c r="H186" s="65" t="s">
        <v>1014</v>
      </c>
      <c r="I186" s="71" t="s">
        <v>202</v>
      </c>
      <c r="J186" s="106"/>
      <c r="K186" s="107" t="n">
        <v>4.37</v>
      </c>
      <c r="L186" s="107" t="n">
        <v>2.27</v>
      </c>
      <c r="M186" s="107" t="n">
        <v>4.97</v>
      </c>
      <c r="N186" s="107" t="n">
        <v>2.26</v>
      </c>
      <c r="O186" s="102" t="n">
        <v>3.22</v>
      </c>
      <c r="P186" s="102" t="n">
        <v>1.77</v>
      </c>
      <c r="Q186" s="92" t="s">
        <v>1641</v>
      </c>
    </row>
    <row r="187" customFormat="false" ht="14.25" hidden="false" customHeight="false" outlineLevel="0" collapsed="false">
      <c r="C187" s="104" t="n">
        <v>182</v>
      </c>
      <c r="D187" s="71" t="s">
        <v>1865</v>
      </c>
      <c r="E187" s="71" t="s">
        <v>1866</v>
      </c>
      <c r="F187" s="71" t="n">
        <v>13.2</v>
      </c>
      <c r="G187" s="71" t="s">
        <v>1674</v>
      </c>
      <c r="H187" s="65" t="s">
        <v>1867</v>
      </c>
      <c r="I187" s="71" t="s">
        <v>202</v>
      </c>
      <c r="J187" s="106"/>
      <c r="K187" s="107" t="n">
        <v>3.26</v>
      </c>
      <c r="L187" s="107" t="n">
        <v>1.48</v>
      </c>
      <c r="M187" s="107" t="n">
        <v>4.76</v>
      </c>
      <c r="N187" s="107" t="n">
        <v>2.24</v>
      </c>
      <c r="O187" s="102" t="n">
        <v>5.104</v>
      </c>
      <c r="P187" s="102" t="n">
        <v>1.179</v>
      </c>
      <c r="Q187" s="92" t="s">
        <v>1868</v>
      </c>
    </row>
    <row r="188" customFormat="false" ht="14.25" hidden="false" customHeight="false" outlineLevel="0" collapsed="false">
      <c r="C188" s="64" t="n">
        <v>183</v>
      </c>
      <c r="D188" s="71" t="s">
        <v>1869</v>
      </c>
      <c r="E188" s="71" t="s">
        <v>1870</v>
      </c>
      <c r="F188" s="71" t="n">
        <v>13.2</v>
      </c>
      <c r="G188" s="71" t="s">
        <v>1674</v>
      </c>
      <c r="H188" s="65" t="s">
        <v>976</v>
      </c>
      <c r="I188" s="71" t="s">
        <v>202</v>
      </c>
      <c r="J188" s="106"/>
      <c r="K188" s="107" t="n">
        <v>0.08</v>
      </c>
      <c r="L188" s="107" t="n">
        <v>0.05</v>
      </c>
      <c r="M188" s="107" t="n">
        <v>0.14</v>
      </c>
      <c r="N188" s="107" t="n">
        <v>0.06</v>
      </c>
      <c r="O188" s="102" t="n">
        <v>0.19</v>
      </c>
      <c r="P188" s="102" t="n">
        <v>0.06</v>
      </c>
      <c r="Q188" s="92" t="s">
        <v>1871</v>
      </c>
    </row>
    <row r="189" customFormat="false" ht="14.25" hidden="false" customHeight="false" outlineLevel="0" collapsed="false">
      <c r="C189" s="104" t="n">
        <v>184</v>
      </c>
      <c r="D189" s="71" t="s">
        <v>1872</v>
      </c>
      <c r="E189" s="71" t="s">
        <v>1873</v>
      </c>
      <c r="F189" s="71" t="n">
        <v>44</v>
      </c>
      <c r="G189" s="71" t="s">
        <v>1640</v>
      </c>
      <c r="H189" s="65" t="s">
        <v>1867</v>
      </c>
      <c r="I189" s="71" t="s">
        <v>202</v>
      </c>
      <c r="J189" s="106"/>
      <c r="K189" s="107" t="n">
        <v>0.15999999642</v>
      </c>
      <c r="L189" s="107" t="n">
        <v>0.077491544187</v>
      </c>
      <c r="M189" s="107" t="n">
        <v>0.25</v>
      </c>
      <c r="N189" s="107" t="n">
        <v>0.12108055502</v>
      </c>
      <c r="O189" s="102" t="n">
        <v>0.36000001431</v>
      </c>
      <c r="P189" s="102" t="n">
        <v>0.17435602844</v>
      </c>
      <c r="Q189" s="92" t="s">
        <v>1641</v>
      </c>
    </row>
    <row r="190" customFormat="false" ht="14.25" hidden="false" customHeight="false" outlineLevel="0" collapsed="false">
      <c r="C190" s="64" t="n">
        <v>185</v>
      </c>
      <c r="D190" s="71" t="s">
        <v>1874</v>
      </c>
      <c r="E190" s="71" t="s">
        <v>1875</v>
      </c>
      <c r="F190" s="71" t="n">
        <v>13.2</v>
      </c>
      <c r="G190" s="71" t="s">
        <v>1674</v>
      </c>
      <c r="H190" s="65" t="s">
        <v>1854</v>
      </c>
      <c r="I190" s="71" t="s">
        <v>202</v>
      </c>
      <c r="J190" s="106"/>
      <c r="K190" s="107" t="n">
        <v>0.62</v>
      </c>
      <c r="L190" s="107" t="n">
        <v>0.18</v>
      </c>
      <c r="M190" s="107" t="n">
        <v>1.04</v>
      </c>
      <c r="N190" s="107" t="n">
        <v>0.41</v>
      </c>
      <c r="O190" s="102" t="n">
        <v>1.19</v>
      </c>
      <c r="P190" s="102" t="n">
        <v>0.31</v>
      </c>
      <c r="Q190" s="92" t="s">
        <v>1641</v>
      </c>
    </row>
    <row r="191" customFormat="false" ht="14.25" hidden="false" customHeight="false" outlineLevel="0" collapsed="false">
      <c r="C191" s="104" t="n">
        <v>186</v>
      </c>
      <c r="D191" s="71" t="s">
        <v>1876</v>
      </c>
      <c r="E191" s="71" t="s">
        <v>1877</v>
      </c>
      <c r="F191" s="71" t="n">
        <v>44</v>
      </c>
      <c r="G191" s="71" t="s">
        <v>1640</v>
      </c>
      <c r="H191" s="65" t="s">
        <v>1587</v>
      </c>
      <c r="I191" s="71" t="s">
        <v>202</v>
      </c>
      <c r="J191" s="106"/>
      <c r="K191" s="107" t="n">
        <v>0.070000000298</v>
      </c>
      <c r="L191" s="107" t="n">
        <v>0.070000000298</v>
      </c>
      <c r="M191" s="107" t="n">
        <v>0.019999999553</v>
      </c>
      <c r="N191" s="107" t="n">
        <v>0.050000000745</v>
      </c>
      <c r="O191" s="102" t="n">
        <v>0.1</v>
      </c>
      <c r="P191" s="102" t="n">
        <v>0.09</v>
      </c>
      <c r="Q191" s="92" t="s">
        <v>1641</v>
      </c>
    </row>
    <row r="192" customFormat="false" ht="14.25" hidden="false" customHeight="false" outlineLevel="0" collapsed="false">
      <c r="C192" s="64" t="n">
        <v>187</v>
      </c>
      <c r="D192" s="71" t="s">
        <v>1878</v>
      </c>
      <c r="E192" s="71" t="s">
        <v>1879</v>
      </c>
      <c r="F192" s="71" t="n">
        <v>13.2</v>
      </c>
      <c r="G192" s="71" t="s">
        <v>1674</v>
      </c>
      <c r="H192" s="65" t="s">
        <v>974</v>
      </c>
      <c r="I192" s="71" t="s">
        <v>202</v>
      </c>
      <c r="J192" s="106"/>
      <c r="K192" s="107" t="n">
        <v>5.279</v>
      </c>
      <c r="L192" s="107" t="n">
        <v>2.27</v>
      </c>
      <c r="M192" s="107" t="n">
        <v>12.889</v>
      </c>
      <c r="N192" s="107" t="n">
        <v>6.54</v>
      </c>
      <c r="O192" s="102" t="n">
        <v>11.245</v>
      </c>
      <c r="P192" s="102" t="n">
        <v>4.87</v>
      </c>
      <c r="Q192" s="92" t="s">
        <v>1880</v>
      </c>
    </row>
    <row r="193" customFormat="false" ht="14.25" hidden="false" customHeight="false" outlineLevel="0" collapsed="false">
      <c r="C193" s="104" t="n">
        <v>188</v>
      </c>
      <c r="D193" s="71" t="s">
        <v>1881</v>
      </c>
      <c r="E193" s="71" t="s">
        <v>1879</v>
      </c>
      <c r="F193" s="71" t="n">
        <v>13.2</v>
      </c>
      <c r="G193" s="71" t="s">
        <v>1674</v>
      </c>
      <c r="H193" s="65" t="s">
        <v>974</v>
      </c>
      <c r="I193" s="71" t="s">
        <v>202</v>
      </c>
      <c r="J193" s="106"/>
      <c r="K193" s="107" t="n">
        <v>6.65</v>
      </c>
      <c r="L193" s="107" t="n">
        <v>3.1</v>
      </c>
      <c r="M193" s="107" t="n">
        <v>6.466</v>
      </c>
      <c r="N193" s="107" t="n">
        <v>3.04</v>
      </c>
      <c r="O193" s="102" t="n">
        <v>8.97</v>
      </c>
      <c r="P193" s="102" t="n">
        <v>3.63</v>
      </c>
      <c r="Q193" s="92" t="s">
        <v>1880</v>
      </c>
    </row>
    <row r="194" customFormat="false" ht="14.25" hidden="false" customHeight="false" outlineLevel="0" collapsed="false">
      <c r="C194" s="64" t="n">
        <v>189</v>
      </c>
      <c r="D194" s="71" t="s">
        <v>1882</v>
      </c>
      <c r="E194" s="71" t="s">
        <v>1883</v>
      </c>
      <c r="F194" s="71" t="n">
        <v>13.2</v>
      </c>
      <c r="G194" s="71" t="s">
        <v>1674</v>
      </c>
      <c r="H194" s="65" t="s">
        <v>976</v>
      </c>
      <c r="I194" s="71" t="s">
        <v>202</v>
      </c>
      <c r="J194" s="106"/>
      <c r="K194" s="107" t="n">
        <v>0.401</v>
      </c>
      <c r="L194" s="107" t="n">
        <v>0.201</v>
      </c>
      <c r="M194" s="107" t="n">
        <v>0.675</v>
      </c>
      <c r="N194" s="107" t="n">
        <v>0.283</v>
      </c>
      <c r="O194" s="102" t="n">
        <v>0.8</v>
      </c>
      <c r="P194" s="102" t="n">
        <v>0.214</v>
      </c>
      <c r="Q194" s="92" t="s">
        <v>1884</v>
      </c>
    </row>
    <row r="195" customFormat="false" ht="14.25" hidden="false" customHeight="false" outlineLevel="0" collapsed="false">
      <c r="C195" s="104" t="n">
        <v>190</v>
      </c>
      <c r="D195" s="71" t="s">
        <v>1885</v>
      </c>
      <c r="E195" s="71" t="s">
        <v>1886</v>
      </c>
      <c r="F195" s="71" t="n">
        <v>13.2</v>
      </c>
      <c r="G195" s="71" t="s">
        <v>1674</v>
      </c>
      <c r="H195" s="65" t="s">
        <v>1014</v>
      </c>
      <c r="I195" s="71" t="s">
        <v>202</v>
      </c>
      <c r="J195" s="106"/>
      <c r="K195" s="107" t="n">
        <v>5.53</v>
      </c>
      <c r="L195" s="107" t="n">
        <v>2.28</v>
      </c>
      <c r="M195" s="107" t="n">
        <v>6.8</v>
      </c>
      <c r="N195" s="107" t="n">
        <v>2.66</v>
      </c>
      <c r="O195" s="102" t="n">
        <v>7.68</v>
      </c>
      <c r="P195" s="102" t="n">
        <v>2.4</v>
      </c>
      <c r="Q195" s="92" t="s">
        <v>1887</v>
      </c>
    </row>
    <row r="196" customFormat="false" ht="14.25" hidden="false" customHeight="false" outlineLevel="0" collapsed="false">
      <c r="C196" s="64" t="n">
        <v>191</v>
      </c>
      <c r="D196" s="71" t="s">
        <v>1888</v>
      </c>
      <c r="E196" s="71" t="s">
        <v>1889</v>
      </c>
      <c r="F196" s="71" t="n">
        <v>13.2</v>
      </c>
      <c r="G196" s="71" t="s">
        <v>1674</v>
      </c>
      <c r="H196" s="65" t="s">
        <v>1014</v>
      </c>
      <c r="I196" s="71" t="s">
        <v>202</v>
      </c>
      <c r="J196" s="106"/>
      <c r="K196" s="107" t="n">
        <v>0.503</v>
      </c>
      <c r="L196" s="107" t="n">
        <v>0.24</v>
      </c>
      <c r="M196" s="107" t="n">
        <v>1.1</v>
      </c>
      <c r="N196" s="107" t="n">
        <v>0.63</v>
      </c>
      <c r="O196" s="102" t="n">
        <v>0.63</v>
      </c>
      <c r="P196" s="102" t="n">
        <v>0.435</v>
      </c>
      <c r="Q196" s="92" t="s">
        <v>1890</v>
      </c>
    </row>
    <row r="197" customFormat="false" ht="14.25" hidden="false" customHeight="false" outlineLevel="0" collapsed="false">
      <c r="C197" s="104" t="n">
        <v>192</v>
      </c>
      <c r="D197" s="71" t="s">
        <v>1891</v>
      </c>
      <c r="E197" s="71" t="s">
        <v>1892</v>
      </c>
      <c r="F197" s="71" t="n">
        <v>13.2</v>
      </c>
      <c r="G197" s="71" t="s">
        <v>1674</v>
      </c>
      <c r="H197" s="65" t="s">
        <v>974</v>
      </c>
      <c r="I197" s="71" t="s">
        <v>202</v>
      </c>
      <c r="J197" s="106"/>
      <c r="K197" s="107" t="n">
        <v>0.44</v>
      </c>
      <c r="L197" s="107" t="n">
        <v>0.18</v>
      </c>
      <c r="M197" s="107" t="n">
        <v>0.91</v>
      </c>
      <c r="N197" s="107" t="n">
        <v>0.38</v>
      </c>
      <c r="O197" s="102" t="n">
        <v>1.1</v>
      </c>
      <c r="P197" s="102" t="n">
        <v>0.49</v>
      </c>
      <c r="Q197" s="92" t="s">
        <v>1823</v>
      </c>
    </row>
    <row r="198" customFormat="false" ht="14.25" hidden="false" customHeight="false" outlineLevel="0" collapsed="false">
      <c r="C198" s="64" t="n">
        <v>193</v>
      </c>
      <c r="D198" s="71" t="s">
        <v>1893</v>
      </c>
      <c r="E198" s="71" t="s">
        <v>1894</v>
      </c>
      <c r="F198" s="71" t="n">
        <v>44</v>
      </c>
      <c r="G198" s="71" t="s">
        <v>1640</v>
      </c>
      <c r="H198" s="65" t="s">
        <v>974</v>
      </c>
      <c r="I198" s="71" t="s">
        <v>202</v>
      </c>
      <c r="J198" s="106"/>
      <c r="K198" s="107" t="n">
        <v>6.5</v>
      </c>
      <c r="L198" s="107" t="n">
        <v>3.1480939388</v>
      </c>
      <c r="M198" s="107" t="n">
        <v>6.5</v>
      </c>
      <c r="N198" s="107" t="n">
        <v>3.1480939388</v>
      </c>
      <c r="O198" s="102" t="n">
        <v>6.5</v>
      </c>
      <c r="P198" s="102" t="n">
        <v>3.1480939388</v>
      </c>
      <c r="Q198" s="92" t="s">
        <v>1895</v>
      </c>
    </row>
    <row r="199" customFormat="false" ht="14.25" hidden="false" customHeight="false" outlineLevel="0" collapsed="false">
      <c r="C199" s="104" t="n">
        <v>194</v>
      </c>
      <c r="D199" s="71" t="s">
        <v>1896</v>
      </c>
      <c r="E199" s="71" t="s">
        <v>1897</v>
      </c>
      <c r="F199" s="71" t="n">
        <v>13.2</v>
      </c>
      <c r="G199" s="71" t="s">
        <v>1674</v>
      </c>
      <c r="H199" s="65" t="s">
        <v>1867</v>
      </c>
      <c r="I199" s="71" t="s">
        <v>202</v>
      </c>
      <c r="J199" s="106"/>
      <c r="K199" s="107" t="n">
        <v>0.83</v>
      </c>
      <c r="L199" s="107" t="n">
        <v>0.42</v>
      </c>
      <c r="M199" s="107" t="n">
        <v>1.16</v>
      </c>
      <c r="N199" s="107" t="n">
        <v>0.55</v>
      </c>
      <c r="O199" s="102" t="n">
        <v>1.76</v>
      </c>
      <c r="P199" s="102" t="n">
        <v>0.55</v>
      </c>
      <c r="Q199" s="92" t="s">
        <v>1898</v>
      </c>
    </row>
    <row r="200" customFormat="false" ht="14.25" hidden="false" customHeight="false" outlineLevel="0" collapsed="false">
      <c r="C200" s="64" t="n">
        <v>195</v>
      </c>
      <c r="D200" s="71" t="s">
        <v>1899</v>
      </c>
      <c r="E200" s="71" t="s">
        <v>1863</v>
      </c>
      <c r="F200" s="71" t="n">
        <v>44</v>
      </c>
      <c r="G200" s="71" t="s">
        <v>1640</v>
      </c>
      <c r="H200" s="65" t="s">
        <v>1014</v>
      </c>
      <c r="I200" s="71" t="s">
        <v>202</v>
      </c>
      <c r="J200" s="106"/>
      <c r="K200" s="107" t="n">
        <v>0.04</v>
      </c>
      <c r="L200" s="107" t="n">
        <v>0.01</v>
      </c>
      <c r="M200" s="107" t="n">
        <v>1.4</v>
      </c>
      <c r="N200" s="107" t="n">
        <v>0.85</v>
      </c>
      <c r="O200" s="102" t="n">
        <v>2.02</v>
      </c>
      <c r="P200" s="102" t="n">
        <v>0.91</v>
      </c>
      <c r="Q200" s="92" t="s">
        <v>1641</v>
      </c>
    </row>
    <row r="201" customFormat="false" ht="14.25" hidden="false" customHeight="false" outlineLevel="0" collapsed="false">
      <c r="C201" s="104" t="n">
        <v>196</v>
      </c>
      <c r="D201" s="71" t="s">
        <v>1900</v>
      </c>
      <c r="E201" s="71" t="s">
        <v>1901</v>
      </c>
      <c r="F201" s="71" t="n">
        <v>13.2</v>
      </c>
      <c r="G201" s="71" t="s">
        <v>1674</v>
      </c>
      <c r="H201" s="65" t="s">
        <v>974</v>
      </c>
      <c r="I201" s="71" t="s">
        <v>202</v>
      </c>
      <c r="J201" s="106"/>
      <c r="K201" s="107" t="n">
        <v>0.32</v>
      </c>
      <c r="L201" s="107" t="n">
        <v>0.05</v>
      </c>
      <c r="M201" s="107" t="n">
        <v>0.71</v>
      </c>
      <c r="N201" s="107" t="n">
        <v>0.25</v>
      </c>
      <c r="O201" s="102" t="n">
        <v>0.93</v>
      </c>
      <c r="P201" s="102" t="n">
        <v>0.26</v>
      </c>
      <c r="Q201" s="92" t="s">
        <v>1902</v>
      </c>
    </row>
    <row r="202" customFormat="false" ht="14.25" hidden="false" customHeight="false" outlineLevel="0" collapsed="false">
      <c r="C202" s="64" t="n">
        <v>197</v>
      </c>
      <c r="D202" s="71" t="s">
        <v>1903</v>
      </c>
      <c r="E202" s="71" t="s">
        <v>1904</v>
      </c>
      <c r="F202" s="71" t="n">
        <v>13.2</v>
      </c>
      <c r="G202" s="71" t="s">
        <v>1674</v>
      </c>
      <c r="H202" s="65" t="s">
        <v>976</v>
      </c>
      <c r="I202" s="71" t="s">
        <v>202</v>
      </c>
      <c r="J202" s="106"/>
      <c r="K202" s="107" t="n">
        <v>0.437</v>
      </c>
      <c r="L202" s="107" t="n">
        <v>0.3</v>
      </c>
      <c r="M202" s="107" t="n">
        <v>0.59</v>
      </c>
      <c r="N202" s="107" t="n">
        <v>0.25</v>
      </c>
      <c r="O202" s="102" t="n">
        <v>1.397</v>
      </c>
      <c r="P202" s="102" t="n">
        <v>0.12</v>
      </c>
      <c r="Q202" s="92" t="s">
        <v>1905</v>
      </c>
    </row>
    <row r="203" customFormat="false" ht="14.25" hidden="false" customHeight="false" outlineLevel="0" collapsed="false">
      <c r="C203" s="104" t="n">
        <v>198</v>
      </c>
      <c r="D203" s="71" t="s">
        <v>1906</v>
      </c>
      <c r="E203" s="71" t="s">
        <v>1907</v>
      </c>
      <c r="F203" s="71" t="n">
        <v>13.2</v>
      </c>
      <c r="G203" s="71" t="s">
        <v>1674</v>
      </c>
      <c r="H203" s="65" t="s">
        <v>927</v>
      </c>
      <c r="I203" s="71" t="s">
        <v>202</v>
      </c>
      <c r="J203" s="106"/>
      <c r="K203" s="107" t="n">
        <v>1.1</v>
      </c>
      <c r="L203" s="107" t="n">
        <v>0.61</v>
      </c>
      <c r="M203" s="107" t="n">
        <v>1.89</v>
      </c>
      <c r="N203" s="107" t="n">
        <v>0.74</v>
      </c>
      <c r="O203" s="102" t="n">
        <v>2.6</v>
      </c>
      <c r="P203" s="102" t="n">
        <v>0.76</v>
      </c>
      <c r="Q203" s="92" t="s">
        <v>1641</v>
      </c>
    </row>
    <row r="204" customFormat="false" ht="14.25" hidden="false" customHeight="false" outlineLevel="0" collapsed="false">
      <c r="C204" s="64" t="n">
        <v>199</v>
      </c>
      <c r="D204" s="71" t="s">
        <v>1908</v>
      </c>
      <c r="E204" s="71" t="s">
        <v>1909</v>
      </c>
      <c r="F204" s="71" t="n">
        <v>13.2</v>
      </c>
      <c r="G204" s="71" t="s">
        <v>1674</v>
      </c>
      <c r="H204" s="65" t="s">
        <v>976</v>
      </c>
      <c r="I204" s="71" t="s">
        <v>202</v>
      </c>
      <c r="J204" s="106"/>
      <c r="K204" s="107" t="n">
        <v>0.43</v>
      </c>
      <c r="L204" s="107" t="n">
        <v>0.31</v>
      </c>
      <c r="M204" s="107" t="n">
        <v>1.11</v>
      </c>
      <c r="N204" s="107" t="n">
        <v>0.43</v>
      </c>
      <c r="O204" s="102" t="n">
        <v>0.95</v>
      </c>
      <c r="P204" s="102" t="n">
        <v>0.34</v>
      </c>
      <c r="Q204" s="92" t="s">
        <v>1910</v>
      </c>
    </row>
    <row r="205" customFormat="false" ht="14.25" hidden="false" customHeight="false" outlineLevel="0" collapsed="false">
      <c r="C205" s="104" t="n">
        <v>200</v>
      </c>
      <c r="D205" s="71" t="s">
        <v>1911</v>
      </c>
      <c r="E205" s="71" t="s">
        <v>1912</v>
      </c>
      <c r="F205" s="71" t="n">
        <v>13.2</v>
      </c>
      <c r="G205" s="71" t="s">
        <v>1674</v>
      </c>
      <c r="H205" s="65" t="s">
        <v>976</v>
      </c>
      <c r="I205" s="71" t="s">
        <v>202</v>
      </c>
      <c r="J205" s="106"/>
      <c r="K205" s="107" t="n">
        <v>0.668</v>
      </c>
      <c r="L205" s="107" t="n">
        <v>0.38</v>
      </c>
      <c r="M205" s="107" t="n">
        <v>1.28</v>
      </c>
      <c r="N205" s="107" t="n">
        <v>0.56</v>
      </c>
      <c r="O205" s="102" t="n">
        <v>1.45</v>
      </c>
      <c r="P205" s="102" t="n">
        <v>0.48</v>
      </c>
      <c r="Q205" s="92" t="s">
        <v>1681</v>
      </c>
    </row>
    <row r="206" customFormat="false" ht="14.25" hidden="false" customHeight="false" outlineLevel="0" collapsed="false">
      <c r="C206" s="64" t="n">
        <v>201</v>
      </c>
      <c r="D206" s="71" t="s">
        <v>1913</v>
      </c>
      <c r="E206" s="71" t="s">
        <v>1914</v>
      </c>
      <c r="F206" s="71" t="n">
        <v>13.2</v>
      </c>
      <c r="G206" s="71" t="s">
        <v>1674</v>
      </c>
      <c r="H206" s="65" t="s">
        <v>976</v>
      </c>
      <c r="I206" s="71" t="s">
        <v>202</v>
      </c>
      <c r="J206" s="106"/>
      <c r="K206" s="107" t="n">
        <v>0.48</v>
      </c>
      <c r="L206" s="107" t="n">
        <v>0.28</v>
      </c>
      <c r="M206" s="107" t="n">
        <v>1.082</v>
      </c>
      <c r="N206" s="107" t="n">
        <v>0.524</v>
      </c>
      <c r="O206" s="102" t="n">
        <v>1.26</v>
      </c>
      <c r="P206" s="102" t="n">
        <v>0.42</v>
      </c>
      <c r="Q206" s="92" t="s">
        <v>1915</v>
      </c>
    </row>
    <row r="207" customFormat="false" ht="14.25" hidden="false" customHeight="false" outlineLevel="0" collapsed="false">
      <c r="C207" s="104" t="n">
        <v>202</v>
      </c>
      <c r="D207" s="71" t="s">
        <v>1916</v>
      </c>
      <c r="E207" s="71" t="s">
        <v>1917</v>
      </c>
      <c r="F207" s="71" t="n">
        <v>13.2</v>
      </c>
      <c r="G207" s="71" t="s">
        <v>1674</v>
      </c>
      <c r="H207" s="65" t="s">
        <v>976</v>
      </c>
      <c r="I207" s="71" t="s">
        <v>202</v>
      </c>
      <c r="J207" s="106"/>
      <c r="K207" s="107" t="n">
        <v>0.801</v>
      </c>
      <c r="L207" s="107" t="n">
        <v>0.427</v>
      </c>
      <c r="M207" s="107" t="n">
        <v>1.365</v>
      </c>
      <c r="N207" s="107" t="n">
        <v>0.58</v>
      </c>
      <c r="O207" s="102" t="n">
        <v>1.45</v>
      </c>
      <c r="P207" s="102" t="n">
        <v>0.39</v>
      </c>
      <c r="Q207" s="92" t="s">
        <v>1644</v>
      </c>
    </row>
    <row r="208" customFormat="false" ht="14.25" hidden="false" customHeight="false" outlineLevel="0" collapsed="false">
      <c r="C208" s="64" t="n">
        <v>203</v>
      </c>
      <c r="D208" s="71" t="s">
        <v>1918</v>
      </c>
      <c r="E208" s="71" t="s">
        <v>1919</v>
      </c>
      <c r="F208" s="71" t="n">
        <v>13.2</v>
      </c>
      <c r="G208" s="71" t="s">
        <v>1674</v>
      </c>
      <c r="H208" s="65" t="s">
        <v>1920</v>
      </c>
      <c r="I208" s="71" t="s">
        <v>202</v>
      </c>
      <c r="J208" s="106"/>
      <c r="K208" s="107" t="n">
        <v>0.861</v>
      </c>
      <c r="L208" s="107" t="n">
        <v>0.99</v>
      </c>
      <c r="M208" s="107" t="n">
        <v>1.57</v>
      </c>
      <c r="N208" s="107" t="n">
        <v>0.41</v>
      </c>
      <c r="O208" s="102" t="n">
        <v>1.97</v>
      </c>
      <c r="P208" s="102" t="n">
        <v>0.39</v>
      </c>
      <c r="Q208" s="92" t="s">
        <v>1921</v>
      </c>
    </row>
    <row r="209" customFormat="false" ht="14.25" hidden="false" customHeight="false" outlineLevel="0" collapsed="false">
      <c r="C209" s="104" t="n">
        <v>204</v>
      </c>
      <c r="D209" s="71" t="s">
        <v>1922</v>
      </c>
      <c r="E209" s="71" t="s">
        <v>1923</v>
      </c>
      <c r="F209" s="71" t="n">
        <v>13.2</v>
      </c>
      <c r="G209" s="71" t="s">
        <v>1674</v>
      </c>
      <c r="H209" s="65" t="s">
        <v>1039</v>
      </c>
      <c r="I209" s="71" t="s">
        <v>202</v>
      </c>
      <c r="J209" s="106"/>
      <c r="K209" s="107" t="n">
        <v>3.3</v>
      </c>
      <c r="L209" s="107" t="n">
        <v>1.6</v>
      </c>
      <c r="M209" s="107" t="n">
        <v>6.6</v>
      </c>
      <c r="N209" s="107" t="n">
        <v>2.1</v>
      </c>
      <c r="O209" s="102" t="n">
        <v>7.7</v>
      </c>
      <c r="P209" s="102" t="n">
        <v>1.9</v>
      </c>
      <c r="Q209" s="92" t="s">
        <v>1924</v>
      </c>
    </row>
    <row r="210" customFormat="false" ht="14.25" hidden="false" customHeight="false" outlineLevel="0" collapsed="false">
      <c r="C210" s="64" t="n">
        <v>205</v>
      </c>
      <c r="D210" s="71" t="s">
        <v>1925</v>
      </c>
      <c r="E210" s="71" t="s">
        <v>1926</v>
      </c>
      <c r="F210" s="71" t="n">
        <v>13.2</v>
      </c>
      <c r="G210" s="71" t="s">
        <v>1674</v>
      </c>
      <c r="H210" s="65" t="s">
        <v>1310</v>
      </c>
      <c r="I210" s="71" t="s">
        <v>202</v>
      </c>
      <c r="J210" s="106"/>
      <c r="K210" s="107" t="n">
        <v>6.63</v>
      </c>
      <c r="L210" s="107" t="n">
        <v>1.39</v>
      </c>
      <c r="M210" s="107" t="n">
        <v>11.14</v>
      </c>
      <c r="N210" s="107" t="n">
        <v>3.45</v>
      </c>
      <c r="O210" s="102" t="n">
        <v>12.21</v>
      </c>
      <c r="P210" s="102" t="n">
        <v>2.26</v>
      </c>
      <c r="Q210" s="92" t="s">
        <v>1927</v>
      </c>
    </row>
    <row r="211" customFormat="false" ht="14.25" hidden="false" customHeight="false" outlineLevel="0" collapsed="false">
      <c r="C211" s="104" t="n">
        <v>206</v>
      </c>
      <c r="D211" s="71" t="s">
        <v>1084</v>
      </c>
      <c r="E211" s="71" t="s">
        <v>1928</v>
      </c>
      <c r="F211" s="71" t="n">
        <v>44</v>
      </c>
      <c r="G211" s="71" t="s">
        <v>1640</v>
      </c>
      <c r="H211" s="65" t="s">
        <v>1046</v>
      </c>
      <c r="I211" s="71" t="s">
        <v>202</v>
      </c>
      <c r="J211" s="106"/>
      <c r="K211" s="107" t="n">
        <v>0.36000001431</v>
      </c>
      <c r="L211" s="107" t="n">
        <v>0.17435602844</v>
      </c>
      <c r="M211" s="107" t="n">
        <v>0.36000001431</v>
      </c>
      <c r="N211" s="107" t="n">
        <v>0.17435602844</v>
      </c>
      <c r="O211" s="107" t="n">
        <v>0.36000001431</v>
      </c>
      <c r="P211" s="107" t="n">
        <v>0.17435602844</v>
      </c>
      <c r="Q211" s="92" t="s">
        <v>1641</v>
      </c>
    </row>
    <row r="212" customFormat="false" ht="14.25" hidden="false" customHeight="false" outlineLevel="0" collapsed="false">
      <c r="C212" s="64" t="n">
        <v>207</v>
      </c>
      <c r="D212" s="71" t="s">
        <v>1929</v>
      </c>
      <c r="E212" s="71" t="s">
        <v>1930</v>
      </c>
      <c r="F212" s="71" t="n">
        <v>13.2</v>
      </c>
      <c r="G212" s="71" t="s">
        <v>1674</v>
      </c>
      <c r="H212" s="65" t="s">
        <v>1039</v>
      </c>
      <c r="I212" s="71" t="s">
        <v>202</v>
      </c>
      <c r="J212" s="106"/>
      <c r="K212" s="107" t="n">
        <v>0.562</v>
      </c>
      <c r="L212" s="107" t="n">
        <v>0.32</v>
      </c>
      <c r="M212" s="107" t="n">
        <v>0.99</v>
      </c>
      <c r="N212" s="107" t="n">
        <v>0.35</v>
      </c>
      <c r="O212" s="102" t="n">
        <v>1.33</v>
      </c>
      <c r="P212" s="102" t="n">
        <v>0.26</v>
      </c>
      <c r="Q212" s="92" t="s">
        <v>1931</v>
      </c>
    </row>
    <row r="213" customFormat="false" ht="14.25" hidden="false" customHeight="false" outlineLevel="0" collapsed="false">
      <c r="C213" s="104" t="n">
        <v>208</v>
      </c>
      <c r="D213" s="71" t="s">
        <v>1932</v>
      </c>
      <c r="E213" s="71" t="s">
        <v>1933</v>
      </c>
      <c r="F213" s="71" t="n">
        <v>13.2</v>
      </c>
      <c r="G213" s="71" t="s">
        <v>1674</v>
      </c>
      <c r="H213" s="65" t="s">
        <v>1041</v>
      </c>
      <c r="I213" s="71" t="s">
        <v>202</v>
      </c>
      <c r="J213" s="106"/>
      <c r="K213" s="107" t="n">
        <v>5.28</v>
      </c>
      <c r="L213" s="107" t="n">
        <v>1.38</v>
      </c>
      <c r="M213" s="107" t="n">
        <v>11.86</v>
      </c>
      <c r="N213" s="107" t="n">
        <v>4.04</v>
      </c>
      <c r="O213" s="102" t="n">
        <v>15.95</v>
      </c>
      <c r="P213" s="102" t="n">
        <v>4.22</v>
      </c>
      <c r="Q213" s="92" t="s">
        <v>1934</v>
      </c>
    </row>
    <row r="214" customFormat="false" ht="14.25" hidden="false" customHeight="false" outlineLevel="0" collapsed="false">
      <c r="C214" s="64" t="n">
        <v>209</v>
      </c>
      <c r="D214" s="71" t="s">
        <v>1935</v>
      </c>
      <c r="E214" s="71" t="s">
        <v>1936</v>
      </c>
      <c r="F214" s="71" t="n">
        <v>13.2</v>
      </c>
      <c r="G214" s="71" t="s">
        <v>1674</v>
      </c>
      <c r="H214" s="65" t="s">
        <v>1046</v>
      </c>
      <c r="I214" s="71" t="s">
        <v>202</v>
      </c>
      <c r="J214" s="106"/>
      <c r="K214" s="107" t="n">
        <v>7.2</v>
      </c>
      <c r="L214" s="107" t="n">
        <v>2.2</v>
      </c>
      <c r="M214" s="107" t="n">
        <v>13.6</v>
      </c>
      <c r="N214" s="107" t="n">
        <v>4.6</v>
      </c>
      <c r="O214" s="102" t="n">
        <v>14.7</v>
      </c>
      <c r="P214" s="102" t="n">
        <v>3.5</v>
      </c>
      <c r="Q214" s="92" t="s">
        <v>1937</v>
      </c>
    </row>
    <row r="215" customFormat="false" ht="14.25" hidden="false" customHeight="false" outlineLevel="0" collapsed="false">
      <c r="C215" s="104" t="n">
        <v>210</v>
      </c>
      <c r="D215" s="71" t="s">
        <v>1938</v>
      </c>
      <c r="E215" s="71" t="s">
        <v>1939</v>
      </c>
      <c r="F215" s="71" t="n">
        <v>13.2</v>
      </c>
      <c r="G215" s="71" t="s">
        <v>1674</v>
      </c>
      <c r="H215" s="65" t="s">
        <v>1045</v>
      </c>
      <c r="I215" s="71" t="s">
        <v>202</v>
      </c>
      <c r="J215" s="106"/>
      <c r="K215" s="107" t="n">
        <v>1.58</v>
      </c>
      <c r="L215" s="107" t="n">
        <v>0.73</v>
      </c>
      <c r="M215" s="107" t="n">
        <v>4.1</v>
      </c>
      <c r="N215" s="107" t="n">
        <v>1.35</v>
      </c>
      <c r="O215" s="102" t="n">
        <v>4.57</v>
      </c>
      <c r="P215" s="102" t="n">
        <v>0.93</v>
      </c>
      <c r="Q215" s="92" t="s">
        <v>1940</v>
      </c>
    </row>
    <row r="216" customFormat="false" ht="14.25" hidden="false" customHeight="false" outlineLevel="0" collapsed="false">
      <c r="C216" s="64" t="n">
        <v>211</v>
      </c>
      <c r="D216" s="71" t="s">
        <v>1941</v>
      </c>
      <c r="E216" s="71" t="s">
        <v>1942</v>
      </c>
      <c r="F216" s="71" t="n">
        <v>13.2</v>
      </c>
      <c r="G216" s="71" t="s">
        <v>1674</v>
      </c>
      <c r="H216" s="65" t="s">
        <v>1039</v>
      </c>
      <c r="I216" s="71" t="s">
        <v>202</v>
      </c>
      <c r="J216" s="106"/>
      <c r="K216" s="107" t="n">
        <v>3.16</v>
      </c>
      <c r="L216" s="107" t="n">
        <v>0.94</v>
      </c>
      <c r="M216" s="107" t="n">
        <v>5.7</v>
      </c>
      <c r="N216" s="107" t="n">
        <v>1.88</v>
      </c>
      <c r="O216" s="102" t="n">
        <v>6.64</v>
      </c>
      <c r="P216" s="102" t="n">
        <v>1.35</v>
      </c>
      <c r="Q216" s="92" t="s">
        <v>1943</v>
      </c>
    </row>
    <row r="217" customFormat="false" ht="14.25" hidden="false" customHeight="false" outlineLevel="0" collapsed="false">
      <c r="C217" s="104" t="n">
        <v>212</v>
      </c>
      <c r="D217" s="71" t="s">
        <v>1944</v>
      </c>
      <c r="E217" s="71" t="s">
        <v>1945</v>
      </c>
      <c r="F217" s="71" t="n">
        <v>44</v>
      </c>
      <c r="G217" s="71" t="s">
        <v>1640</v>
      </c>
      <c r="H217" s="65" t="s">
        <v>1039</v>
      </c>
      <c r="I217" s="71" t="s">
        <v>202</v>
      </c>
      <c r="J217" s="106"/>
      <c r="K217" s="107" t="n">
        <v>1.216</v>
      </c>
      <c r="L217" s="107" t="n">
        <v>0.687</v>
      </c>
      <c r="M217" s="107" t="n">
        <v>0</v>
      </c>
      <c r="N217" s="107" t="n">
        <v>0</v>
      </c>
      <c r="O217" s="102" t="n">
        <v>0.6</v>
      </c>
      <c r="P217" s="102" t="n">
        <v>0.23</v>
      </c>
      <c r="Q217" s="92" t="s">
        <v>1641</v>
      </c>
    </row>
    <row r="218" customFormat="false" ht="14.25" hidden="false" customHeight="false" outlineLevel="0" collapsed="false">
      <c r="C218" s="64" t="n">
        <v>213</v>
      </c>
      <c r="D218" s="71" t="s">
        <v>1946</v>
      </c>
      <c r="E218" s="71" t="s">
        <v>1947</v>
      </c>
      <c r="F218" s="71" t="n">
        <v>13.2</v>
      </c>
      <c r="G218" s="71" t="s">
        <v>1674</v>
      </c>
      <c r="H218" s="65" t="s">
        <v>1071</v>
      </c>
      <c r="I218" s="71" t="s">
        <v>202</v>
      </c>
      <c r="J218" s="106"/>
      <c r="K218" s="107" t="n">
        <v>9.42</v>
      </c>
      <c r="L218" s="107" t="n">
        <v>5.18</v>
      </c>
      <c r="M218" s="107" t="n">
        <v>18.79</v>
      </c>
      <c r="N218" s="107" t="n">
        <v>7.12</v>
      </c>
      <c r="O218" s="102" t="n">
        <v>20.19</v>
      </c>
      <c r="P218" s="102" t="n">
        <v>6.63</v>
      </c>
      <c r="Q218" s="92" t="s">
        <v>1948</v>
      </c>
    </row>
    <row r="219" customFormat="false" ht="14.25" hidden="false" customHeight="false" outlineLevel="0" collapsed="false">
      <c r="C219" s="104" t="n">
        <v>214</v>
      </c>
      <c r="D219" s="71" t="s">
        <v>1949</v>
      </c>
      <c r="E219" s="71" t="s">
        <v>1947</v>
      </c>
      <c r="F219" s="71" t="n">
        <v>13.2</v>
      </c>
      <c r="G219" s="71" t="s">
        <v>1674</v>
      </c>
      <c r="H219" s="65" t="s">
        <v>1071</v>
      </c>
      <c r="I219" s="71" t="s">
        <v>202</v>
      </c>
      <c r="J219" s="106"/>
      <c r="K219" s="107" t="n">
        <v>6.44</v>
      </c>
      <c r="L219" s="107" t="n">
        <v>3.99</v>
      </c>
      <c r="M219" s="107" t="n">
        <v>13.03</v>
      </c>
      <c r="N219" s="107" t="n">
        <v>5.64</v>
      </c>
      <c r="O219" s="102" t="n">
        <v>17.92</v>
      </c>
      <c r="P219" s="102" t="n">
        <v>6.28</v>
      </c>
      <c r="Q219" s="92" t="s">
        <v>1950</v>
      </c>
    </row>
    <row r="220" customFormat="false" ht="14.25" hidden="false" customHeight="false" outlineLevel="0" collapsed="false">
      <c r="C220" s="64" t="n">
        <v>215</v>
      </c>
      <c r="D220" s="71" t="s">
        <v>1951</v>
      </c>
      <c r="E220" s="71" t="s">
        <v>1952</v>
      </c>
      <c r="F220" s="71" t="n">
        <v>13.2</v>
      </c>
      <c r="G220" s="71" t="s">
        <v>1674</v>
      </c>
      <c r="H220" s="65" t="s">
        <v>1039</v>
      </c>
      <c r="I220" s="71" t="s">
        <v>202</v>
      </c>
      <c r="J220" s="106"/>
      <c r="K220" s="107" t="n">
        <v>2.82</v>
      </c>
      <c r="L220" s="107" t="n">
        <v>1.12</v>
      </c>
      <c r="M220" s="107" t="n">
        <v>12.77</v>
      </c>
      <c r="N220" s="107" t="n">
        <v>4.35</v>
      </c>
      <c r="O220" s="102" t="n">
        <v>14.09</v>
      </c>
      <c r="P220" s="102" t="n">
        <v>3.67</v>
      </c>
      <c r="Q220" s="92" t="s">
        <v>1795</v>
      </c>
    </row>
    <row r="221" customFormat="false" ht="14.25" hidden="false" customHeight="false" outlineLevel="0" collapsed="false">
      <c r="C221" s="104" t="n">
        <v>216</v>
      </c>
      <c r="D221" s="71" t="s">
        <v>1953</v>
      </c>
      <c r="E221" s="71" t="s">
        <v>1954</v>
      </c>
      <c r="F221" s="71" t="n">
        <v>13.2</v>
      </c>
      <c r="G221" s="71" t="s">
        <v>1674</v>
      </c>
      <c r="H221" s="65" t="s">
        <v>1033</v>
      </c>
      <c r="I221" s="71" t="s">
        <v>202</v>
      </c>
      <c r="J221" s="106"/>
      <c r="K221" s="107" t="n">
        <v>12.61</v>
      </c>
      <c r="L221" s="107" t="n">
        <v>6.6</v>
      </c>
      <c r="M221" s="107" t="n">
        <v>23.84</v>
      </c>
      <c r="N221" s="107" t="n">
        <v>8.41</v>
      </c>
      <c r="O221" s="102" t="n">
        <v>31.77</v>
      </c>
      <c r="P221" s="102" t="n">
        <v>9.9</v>
      </c>
      <c r="Q221" s="92" t="s">
        <v>1955</v>
      </c>
    </row>
    <row r="222" customFormat="false" ht="14.25" hidden="false" customHeight="false" outlineLevel="0" collapsed="false">
      <c r="C222" s="64" t="n">
        <v>217</v>
      </c>
      <c r="D222" s="71" t="s">
        <v>1956</v>
      </c>
      <c r="E222" s="71" t="s">
        <v>1957</v>
      </c>
      <c r="F222" s="71" t="n">
        <v>13.2</v>
      </c>
      <c r="G222" s="71" t="s">
        <v>1674</v>
      </c>
      <c r="H222" s="65" t="s">
        <v>1041</v>
      </c>
      <c r="I222" s="71" t="s">
        <v>202</v>
      </c>
      <c r="J222" s="106"/>
      <c r="K222" s="107" t="n">
        <v>2.37</v>
      </c>
      <c r="L222" s="107" t="n">
        <v>1.23</v>
      </c>
      <c r="M222" s="107" t="n">
        <v>4.54</v>
      </c>
      <c r="N222" s="107" t="n">
        <v>1.79</v>
      </c>
      <c r="O222" s="102" t="n">
        <v>5.01</v>
      </c>
      <c r="P222" s="102" t="n">
        <v>1.39</v>
      </c>
      <c r="Q222" s="92" t="s">
        <v>1958</v>
      </c>
    </row>
    <row r="223" customFormat="false" ht="14.25" hidden="false" customHeight="false" outlineLevel="0" collapsed="false">
      <c r="C223" s="104" t="n">
        <v>218</v>
      </c>
      <c r="D223" s="71" t="s">
        <v>1959</v>
      </c>
      <c r="E223" s="71" t="s">
        <v>1960</v>
      </c>
      <c r="F223" s="71" t="n">
        <v>13.2</v>
      </c>
      <c r="G223" s="71" t="s">
        <v>1674</v>
      </c>
      <c r="H223" s="65" t="s">
        <v>1920</v>
      </c>
      <c r="I223" s="71" t="s">
        <v>202</v>
      </c>
      <c r="J223" s="106"/>
      <c r="K223" s="107" t="n">
        <v>0.33</v>
      </c>
      <c r="L223" s="107" t="n">
        <v>0.13</v>
      </c>
      <c r="M223" s="107" t="n">
        <v>0.27</v>
      </c>
      <c r="N223" s="107" t="n">
        <v>0.101</v>
      </c>
      <c r="O223" s="102" t="n">
        <v>0.688</v>
      </c>
      <c r="P223" s="102" t="n">
        <v>0.4</v>
      </c>
      <c r="Q223" s="92" t="s">
        <v>1641</v>
      </c>
    </row>
    <row r="224" customFormat="false" ht="14.25" hidden="false" customHeight="false" outlineLevel="0" collapsed="false">
      <c r="C224" s="64" t="n">
        <v>219</v>
      </c>
      <c r="D224" s="71" t="s">
        <v>1961</v>
      </c>
      <c r="E224" s="71" t="s">
        <v>1962</v>
      </c>
      <c r="F224" s="71" t="n">
        <v>110</v>
      </c>
      <c r="G224" s="71" t="s">
        <v>1640</v>
      </c>
      <c r="H224" s="65" t="s">
        <v>1039</v>
      </c>
      <c r="I224" s="71" t="s">
        <v>202</v>
      </c>
      <c r="J224" s="106"/>
      <c r="K224" s="107" t="n">
        <v>0.13</v>
      </c>
      <c r="L224" s="107" t="n">
        <v>0.03</v>
      </c>
      <c r="M224" s="107" t="n">
        <v>0.101</v>
      </c>
      <c r="N224" s="107" t="n">
        <v>0</v>
      </c>
      <c r="O224" s="102" t="n">
        <v>0.2</v>
      </c>
      <c r="P224" s="102" t="n">
        <v>0.45</v>
      </c>
      <c r="Q224" s="92" t="s">
        <v>1641</v>
      </c>
    </row>
    <row r="225" customFormat="false" ht="14.25" hidden="false" customHeight="false" outlineLevel="0" collapsed="false">
      <c r="C225" s="104" t="n">
        <v>220</v>
      </c>
      <c r="D225" s="71" t="s">
        <v>1963</v>
      </c>
      <c r="E225" s="71" t="s">
        <v>1964</v>
      </c>
      <c r="F225" s="71" t="n">
        <v>13.2</v>
      </c>
      <c r="G225" s="71" t="s">
        <v>1674</v>
      </c>
      <c r="H225" s="65" t="s">
        <v>1039</v>
      </c>
      <c r="I225" s="71" t="s">
        <v>202</v>
      </c>
      <c r="J225" s="106"/>
      <c r="K225" s="107" t="n">
        <v>12.41</v>
      </c>
      <c r="L225" s="107" t="n">
        <v>2.92</v>
      </c>
      <c r="M225" s="107" t="n">
        <v>22.36</v>
      </c>
      <c r="N225" s="107" t="n">
        <v>6.7</v>
      </c>
      <c r="O225" s="102" t="n">
        <v>24.41</v>
      </c>
      <c r="P225" s="102" t="n">
        <v>5.17</v>
      </c>
      <c r="Q225" s="92" t="s">
        <v>1965</v>
      </c>
    </row>
    <row r="226" customFormat="false" ht="14.25" hidden="false" customHeight="false" outlineLevel="0" collapsed="false">
      <c r="C226" s="64" t="n">
        <v>221</v>
      </c>
      <c r="D226" s="71" t="s">
        <v>1966</v>
      </c>
      <c r="E226" s="71" t="s">
        <v>1967</v>
      </c>
      <c r="F226" s="71" t="n">
        <v>44</v>
      </c>
      <c r="G226" s="71" t="s">
        <v>1640</v>
      </c>
      <c r="H226" s="65" t="s">
        <v>1039</v>
      </c>
      <c r="I226" s="71" t="s">
        <v>202</v>
      </c>
      <c r="J226" s="106"/>
      <c r="K226" s="107" t="n">
        <v>0.67</v>
      </c>
      <c r="L226" s="107" t="n">
        <v>0.2</v>
      </c>
      <c r="M226" s="107" t="n">
        <v>1.01</v>
      </c>
      <c r="N226" s="107" t="n">
        <v>0.17</v>
      </c>
      <c r="O226" s="102" t="n">
        <v>1.03</v>
      </c>
      <c r="P226" s="102" t="n">
        <v>0.27</v>
      </c>
      <c r="Q226" s="92" t="s">
        <v>1641</v>
      </c>
    </row>
    <row r="227" customFormat="false" ht="14.25" hidden="false" customHeight="false" outlineLevel="0" collapsed="false">
      <c r="C227" s="104" t="n">
        <v>222</v>
      </c>
      <c r="D227" s="71" t="s">
        <v>1968</v>
      </c>
      <c r="E227" s="71" t="s">
        <v>1969</v>
      </c>
      <c r="F227" s="71" t="n">
        <v>13.2</v>
      </c>
      <c r="G227" s="71" t="s">
        <v>1674</v>
      </c>
      <c r="H227" s="65" t="s">
        <v>1033</v>
      </c>
      <c r="I227" s="71" t="s">
        <v>202</v>
      </c>
      <c r="J227" s="106"/>
      <c r="K227" s="107" t="n">
        <v>2.03</v>
      </c>
      <c r="L227" s="107" t="n">
        <v>0.32</v>
      </c>
      <c r="M227" s="107" t="n">
        <v>2.09</v>
      </c>
      <c r="N227" s="107" t="n">
        <v>0.39</v>
      </c>
      <c r="O227" s="102" t="n">
        <v>3.79</v>
      </c>
      <c r="P227" s="102" t="n">
        <v>0.6</v>
      </c>
      <c r="Q227" s="92" t="s">
        <v>1662</v>
      </c>
    </row>
    <row r="228" customFormat="false" ht="14.25" hidden="false" customHeight="false" outlineLevel="0" collapsed="false">
      <c r="C228" s="64" t="n">
        <v>223</v>
      </c>
      <c r="D228" s="71" t="s">
        <v>1970</v>
      </c>
      <c r="E228" s="71" t="s">
        <v>1971</v>
      </c>
      <c r="F228" s="71" t="n">
        <v>13.2</v>
      </c>
      <c r="G228" s="71" t="s">
        <v>1674</v>
      </c>
      <c r="H228" s="65" t="s">
        <v>1039</v>
      </c>
      <c r="I228" s="71" t="s">
        <v>202</v>
      </c>
      <c r="J228" s="106"/>
      <c r="K228" s="107" t="n">
        <v>1.1</v>
      </c>
      <c r="L228" s="107" t="n">
        <v>0.635</v>
      </c>
      <c r="M228" s="107" t="n">
        <v>1.86</v>
      </c>
      <c r="N228" s="107" t="n">
        <v>0.78</v>
      </c>
      <c r="O228" s="102" t="n">
        <v>2.27</v>
      </c>
      <c r="P228" s="102" t="n">
        <v>0.69</v>
      </c>
      <c r="Q228" s="92" t="s">
        <v>1641</v>
      </c>
    </row>
    <row r="229" customFormat="false" ht="14.25" hidden="false" customHeight="false" outlineLevel="0" collapsed="false">
      <c r="C229" s="104" t="n">
        <v>224</v>
      </c>
      <c r="D229" s="71" t="s">
        <v>1972</v>
      </c>
      <c r="E229" s="71" t="s">
        <v>1973</v>
      </c>
      <c r="F229" s="71" t="n">
        <v>13.2</v>
      </c>
      <c r="G229" s="71" t="s">
        <v>1674</v>
      </c>
      <c r="H229" s="65" t="s">
        <v>1039</v>
      </c>
      <c r="I229" s="71" t="s">
        <v>202</v>
      </c>
      <c r="J229" s="106"/>
      <c r="K229" s="107" t="n">
        <v>1.17</v>
      </c>
      <c r="L229" s="107" t="n">
        <v>0.28</v>
      </c>
      <c r="M229" s="107" t="n">
        <v>2.38</v>
      </c>
      <c r="N229" s="107" t="n">
        <v>0.85</v>
      </c>
      <c r="O229" s="102" t="n">
        <v>2.42</v>
      </c>
      <c r="P229" s="102" t="n">
        <v>0.495</v>
      </c>
      <c r="Q229" s="92" t="s">
        <v>1974</v>
      </c>
    </row>
    <row r="230" customFormat="false" ht="14.25" hidden="false" customHeight="false" outlineLevel="0" collapsed="false">
      <c r="C230" s="64" t="n">
        <v>225</v>
      </c>
      <c r="D230" s="71" t="s">
        <v>1975</v>
      </c>
      <c r="E230" s="71" t="s">
        <v>1976</v>
      </c>
      <c r="F230" s="71" t="n">
        <v>13.2</v>
      </c>
      <c r="G230" s="71" t="s">
        <v>1674</v>
      </c>
      <c r="H230" s="65" t="s">
        <v>1039</v>
      </c>
      <c r="I230" s="71" t="s">
        <v>202</v>
      </c>
      <c r="J230" s="106"/>
      <c r="K230" s="107" t="n">
        <v>1.98</v>
      </c>
      <c r="L230" s="107" t="n">
        <v>0.97</v>
      </c>
      <c r="M230" s="107" t="n">
        <v>5.22</v>
      </c>
      <c r="N230" s="107" t="n">
        <v>1.35</v>
      </c>
      <c r="O230" s="102" t="n">
        <v>4.9</v>
      </c>
      <c r="P230" s="102" t="n">
        <v>1.03</v>
      </c>
      <c r="Q230" s="92" t="s">
        <v>1977</v>
      </c>
    </row>
    <row r="231" customFormat="false" ht="14.25" hidden="false" customHeight="false" outlineLevel="0" collapsed="false">
      <c r="C231" s="104" t="n">
        <v>226</v>
      </c>
      <c r="D231" s="71" t="s">
        <v>1978</v>
      </c>
      <c r="E231" s="71" t="s">
        <v>1979</v>
      </c>
      <c r="F231" s="71" t="n">
        <v>13.2</v>
      </c>
      <c r="G231" s="71" t="s">
        <v>1674</v>
      </c>
      <c r="H231" s="65" t="s">
        <v>1047</v>
      </c>
      <c r="I231" s="71" t="s">
        <v>202</v>
      </c>
      <c r="J231" s="106"/>
      <c r="K231" s="107" t="n">
        <v>1.25</v>
      </c>
      <c r="L231" s="107" t="n">
        <v>0.64</v>
      </c>
      <c r="M231" s="107" t="n">
        <v>3.24</v>
      </c>
      <c r="N231" s="107" t="n">
        <v>0.94</v>
      </c>
      <c r="O231" s="102" t="n">
        <v>3.93</v>
      </c>
      <c r="P231" s="102" t="n">
        <v>0.82</v>
      </c>
      <c r="Q231" s="92" t="s">
        <v>1641</v>
      </c>
    </row>
    <row r="232" customFormat="false" ht="14.25" hidden="false" customHeight="false" outlineLevel="0" collapsed="false">
      <c r="C232" s="64" t="n">
        <v>227</v>
      </c>
      <c r="D232" s="71" t="s">
        <v>1980</v>
      </c>
      <c r="E232" s="71" t="s">
        <v>1981</v>
      </c>
      <c r="F232" s="71" t="n">
        <v>13.2</v>
      </c>
      <c r="G232" s="71" t="s">
        <v>1674</v>
      </c>
      <c r="H232" s="65" t="s">
        <v>1257</v>
      </c>
      <c r="I232" s="71" t="s">
        <v>202</v>
      </c>
      <c r="J232" s="106"/>
      <c r="K232" s="107" t="n">
        <v>10.42</v>
      </c>
      <c r="L232" s="107" t="n">
        <v>4.05</v>
      </c>
      <c r="M232" s="107" t="n">
        <v>17.52</v>
      </c>
      <c r="N232" s="107" t="n">
        <v>4.98</v>
      </c>
      <c r="O232" s="102" t="n">
        <v>19.97</v>
      </c>
      <c r="P232" s="102" t="n">
        <v>5.38</v>
      </c>
      <c r="Q232" s="92" t="s">
        <v>1982</v>
      </c>
    </row>
    <row r="233" customFormat="false" ht="14.25" hidden="false" customHeight="false" outlineLevel="0" collapsed="false">
      <c r="C233" s="104" t="n">
        <v>228</v>
      </c>
      <c r="D233" s="71" t="s">
        <v>1983</v>
      </c>
      <c r="E233" s="71" t="s">
        <v>1984</v>
      </c>
      <c r="F233" s="71" t="n">
        <v>13.2</v>
      </c>
      <c r="G233" s="71" t="s">
        <v>1674</v>
      </c>
      <c r="H233" s="65" t="s">
        <v>1096</v>
      </c>
      <c r="I233" s="71" t="s">
        <v>202</v>
      </c>
      <c r="J233" s="106"/>
      <c r="K233" s="107" t="n">
        <v>1.16</v>
      </c>
      <c r="L233" s="107" t="n">
        <v>0.56</v>
      </c>
      <c r="M233" s="107" t="n">
        <v>2.96</v>
      </c>
      <c r="N233" s="107" t="n">
        <v>1.12</v>
      </c>
      <c r="O233" s="102" t="n">
        <v>3.28</v>
      </c>
      <c r="P233" s="102" t="n">
        <v>1</v>
      </c>
      <c r="Q233" s="92" t="s">
        <v>1985</v>
      </c>
    </row>
    <row r="234" customFormat="false" ht="14.25" hidden="false" customHeight="false" outlineLevel="0" collapsed="false">
      <c r="C234" s="64" t="n">
        <v>229</v>
      </c>
      <c r="D234" s="71" t="s">
        <v>1986</v>
      </c>
      <c r="E234" s="71" t="s">
        <v>1987</v>
      </c>
      <c r="F234" s="71" t="n">
        <v>44</v>
      </c>
      <c r="G234" s="71" t="s">
        <v>1640</v>
      </c>
      <c r="H234" s="65" t="s">
        <v>1096</v>
      </c>
      <c r="I234" s="71" t="s">
        <v>202</v>
      </c>
      <c r="J234" s="106"/>
      <c r="K234" s="107" t="n">
        <v>0.5</v>
      </c>
      <c r="L234" s="107" t="n">
        <v>0.5</v>
      </c>
      <c r="M234" s="107" t="n">
        <v>1.456</v>
      </c>
      <c r="N234" s="107" t="n">
        <v>0.576</v>
      </c>
      <c r="O234" s="102" t="n">
        <v>0.81</v>
      </c>
      <c r="P234" s="102" t="n">
        <v>0.81</v>
      </c>
      <c r="Q234" s="92" t="s">
        <v>1641</v>
      </c>
    </row>
    <row r="235" customFormat="false" ht="14.25" hidden="false" customHeight="false" outlineLevel="0" collapsed="false">
      <c r="C235" s="104" t="n">
        <v>230</v>
      </c>
      <c r="D235" s="71" t="s">
        <v>1988</v>
      </c>
      <c r="E235" s="71" t="s">
        <v>1989</v>
      </c>
      <c r="F235" s="71" t="n">
        <v>13.2</v>
      </c>
      <c r="G235" s="71" t="s">
        <v>1674</v>
      </c>
      <c r="H235" s="65" t="s">
        <v>1111</v>
      </c>
      <c r="I235" s="71" t="s">
        <v>202</v>
      </c>
      <c r="J235" s="106"/>
      <c r="K235" s="107" t="n">
        <v>0.54</v>
      </c>
      <c r="L235" s="107" t="n">
        <v>0.41</v>
      </c>
      <c r="M235" s="107" t="n">
        <v>0.43</v>
      </c>
      <c r="N235" s="107" t="n">
        <v>0.43</v>
      </c>
      <c r="O235" s="102" t="n">
        <v>0.64</v>
      </c>
      <c r="P235" s="102" t="n">
        <v>0.42</v>
      </c>
      <c r="Q235" s="92" t="s">
        <v>1990</v>
      </c>
    </row>
    <row r="236" customFormat="false" ht="14.25" hidden="false" customHeight="false" outlineLevel="0" collapsed="false">
      <c r="C236" s="64" t="n">
        <v>231</v>
      </c>
      <c r="D236" s="71" t="s">
        <v>1991</v>
      </c>
      <c r="E236" s="71" t="s">
        <v>1992</v>
      </c>
      <c r="F236" s="71" t="n">
        <v>13.2</v>
      </c>
      <c r="G236" s="71" t="s">
        <v>1674</v>
      </c>
      <c r="H236" s="65" t="s">
        <v>1096</v>
      </c>
      <c r="I236" s="71" t="s">
        <v>202</v>
      </c>
      <c r="J236" s="106"/>
      <c r="K236" s="107" t="n">
        <v>2.75</v>
      </c>
      <c r="L236" s="107" t="n">
        <v>0.705</v>
      </c>
      <c r="M236" s="107" t="n">
        <v>3.48</v>
      </c>
      <c r="N236" s="107" t="n">
        <v>1.25</v>
      </c>
      <c r="O236" s="102" t="n">
        <v>3.16</v>
      </c>
      <c r="P236" s="102" t="n">
        <v>0.89</v>
      </c>
      <c r="Q236" s="92" t="s">
        <v>1993</v>
      </c>
    </row>
    <row r="237" customFormat="false" ht="14.25" hidden="false" customHeight="false" outlineLevel="0" collapsed="false">
      <c r="C237" s="104" t="n">
        <v>232</v>
      </c>
      <c r="D237" s="71" t="s">
        <v>1994</v>
      </c>
      <c r="E237" s="71" t="s">
        <v>1995</v>
      </c>
      <c r="F237" s="71" t="n">
        <v>13.2</v>
      </c>
      <c r="G237" s="71" t="s">
        <v>1640</v>
      </c>
      <c r="H237" s="65" t="s">
        <v>1433</v>
      </c>
      <c r="I237" s="71" t="s">
        <v>202</v>
      </c>
      <c r="J237" s="106"/>
      <c r="K237" s="107" t="n">
        <v>0.87</v>
      </c>
      <c r="L237" s="107" t="n">
        <v>0.17</v>
      </c>
      <c r="M237" s="107" t="n">
        <v>1.7400000095</v>
      </c>
      <c r="N237" s="107" t="n">
        <v>0.84272050858</v>
      </c>
      <c r="O237" s="102" t="n">
        <v>1.9800000191</v>
      </c>
      <c r="P237" s="102" t="n">
        <v>0.95895779133</v>
      </c>
      <c r="Q237" s="92" t="s">
        <v>1641</v>
      </c>
    </row>
    <row r="238" customFormat="false" ht="14.25" hidden="false" customHeight="false" outlineLevel="0" collapsed="false">
      <c r="C238" s="64" t="n">
        <v>233</v>
      </c>
      <c r="D238" s="71" t="s">
        <v>1996</v>
      </c>
      <c r="E238" s="71" t="s">
        <v>1997</v>
      </c>
      <c r="F238" s="71" t="n">
        <v>13.2</v>
      </c>
      <c r="G238" s="71" t="s">
        <v>1674</v>
      </c>
      <c r="H238" s="65" t="s">
        <v>1123</v>
      </c>
      <c r="I238" s="71" t="s">
        <v>202</v>
      </c>
      <c r="J238" s="106"/>
      <c r="K238" s="107" t="n">
        <v>1.55</v>
      </c>
      <c r="L238" s="107" t="n">
        <v>0.74</v>
      </c>
      <c r="M238" s="107" t="n">
        <v>1.8</v>
      </c>
      <c r="N238" s="107" t="n">
        <v>0.79</v>
      </c>
      <c r="O238" s="102" t="n">
        <v>2.37</v>
      </c>
      <c r="P238" s="102" t="n">
        <v>0.76</v>
      </c>
      <c r="Q238" s="92" t="s">
        <v>1998</v>
      </c>
    </row>
    <row r="239" customFormat="false" ht="14.25" hidden="false" customHeight="false" outlineLevel="0" collapsed="false">
      <c r="C239" s="104" t="n">
        <v>234</v>
      </c>
      <c r="D239" s="71" t="s">
        <v>1999</v>
      </c>
      <c r="E239" s="71" t="s">
        <v>2000</v>
      </c>
      <c r="F239" s="71" t="n">
        <v>13.2</v>
      </c>
      <c r="G239" s="71" t="s">
        <v>1640</v>
      </c>
      <c r="H239" s="65" t="s">
        <v>1126</v>
      </c>
      <c r="I239" s="71" t="s">
        <v>202</v>
      </c>
      <c r="J239" s="106"/>
      <c r="K239" s="107" t="n">
        <v>2.640599966</v>
      </c>
      <c r="L239" s="107" t="n">
        <v>1.2789011002</v>
      </c>
      <c r="M239" s="107" t="n">
        <v>3.5599999428</v>
      </c>
      <c r="N239" s="107" t="n">
        <v>1.7241871357</v>
      </c>
      <c r="O239" s="102" t="n">
        <v>4.0500001907</v>
      </c>
      <c r="P239" s="102" t="n">
        <v>1.9615049362</v>
      </c>
      <c r="Q239" s="92" t="s">
        <v>1641</v>
      </c>
    </row>
    <row r="240" customFormat="false" ht="14.25" hidden="false" customHeight="false" outlineLevel="0" collapsed="false">
      <c r="C240" s="64" t="n">
        <v>235</v>
      </c>
      <c r="D240" s="71" t="s">
        <v>2001</v>
      </c>
      <c r="E240" s="71" t="s">
        <v>2002</v>
      </c>
      <c r="F240" s="71" t="n">
        <v>13.2</v>
      </c>
      <c r="G240" s="71" t="s">
        <v>1674</v>
      </c>
      <c r="H240" s="65" t="s">
        <v>1124</v>
      </c>
      <c r="I240" s="71" t="s">
        <v>202</v>
      </c>
      <c r="J240" s="106"/>
      <c r="K240" s="107" t="n">
        <v>0.26</v>
      </c>
      <c r="L240" s="107" t="n">
        <v>0.08</v>
      </c>
      <c r="M240" s="107" t="n">
        <v>0.45</v>
      </c>
      <c r="N240" s="107" t="n">
        <v>0.18</v>
      </c>
      <c r="O240" s="102" t="n">
        <v>0.43</v>
      </c>
      <c r="P240" s="102" t="n">
        <v>0.12</v>
      </c>
      <c r="Q240" s="92" t="s">
        <v>2003</v>
      </c>
    </row>
    <row r="241" customFormat="false" ht="14.25" hidden="false" customHeight="false" outlineLevel="0" collapsed="false">
      <c r="C241" s="104" t="n">
        <v>236</v>
      </c>
      <c r="D241" s="71" t="s">
        <v>2004</v>
      </c>
      <c r="E241" s="71" t="s">
        <v>2005</v>
      </c>
      <c r="F241" s="71" t="n">
        <v>44</v>
      </c>
      <c r="G241" s="71" t="s">
        <v>2006</v>
      </c>
      <c r="H241" s="65" t="s">
        <v>1096</v>
      </c>
      <c r="I241" s="71" t="s">
        <v>202</v>
      </c>
      <c r="J241" s="106"/>
      <c r="K241" s="107" t="n">
        <v>0.68000000715</v>
      </c>
      <c r="L241" s="107" t="n">
        <v>0.32929998636</v>
      </c>
      <c r="M241" s="107" t="n">
        <v>0.47600001097</v>
      </c>
      <c r="N241" s="107" t="n">
        <v>0.23049999774</v>
      </c>
      <c r="O241" s="102" t="n">
        <v>0.68000000715</v>
      </c>
      <c r="P241" s="102" t="n">
        <v>0.32929998636</v>
      </c>
      <c r="Q241" s="92" t="s">
        <v>1641</v>
      </c>
    </row>
    <row r="242" customFormat="false" ht="14.25" hidden="false" customHeight="false" outlineLevel="0" collapsed="false">
      <c r="C242" s="64" t="n">
        <v>237</v>
      </c>
      <c r="D242" s="71" t="s">
        <v>2007</v>
      </c>
      <c r="E242" s="71" t="s">
        <v>2008</v>
      </c>
      <c r="F242" s="71" t="n">
        <v>110</v>
      </c>
      <c r="G242" s="71" t="s">
        <v>1640</v>
      </c>
      <c r="H242" s="65" t="s">
        <v>1096</v>
      </c>
      <c r="I242" s="71" t="s">
        <v>202</v>
      </c>
      <c r="J242" s="106"/>
      <c r="K242" s="107" t="n">
        <v>7.4</v>
      </c>
      <c r="L242" s="107" t="n">
        <v>2.05</v>
      </c>
      <c r="M242" s="107" t="n">
        <v>14</v>
      </c>
      <c r="N242" s="107" t="n">
        <v>6.78</v>
      </c>
      <c r="O242" s="102" t="n">
        <v>20</v>
      </c>
      <c r="P242" s="102" t="n">
        <v>9.6864442825</v>
      </c>
      <c r="Q242" s="92" t="s">
        <v>1641</v>
      </c>
    </row>
    <row r="243" customFormat="false" ht="14.25" hidden="false" customHeight="false" outlineLevel="0" collapsed="false">
      <c r="C243" s="104" t="n">
        <v>238</v>
      </c>
      <c r="D243" s="71" t="s">
        <v>2009</v>
      </c>
      <c r="E243" s="71" t="s">
        <v>1987</v>
      </c>
      <c r="F243" s="71" t="n">
        <v>44</v>
      </c>
      <c r="G243" s="71" t="s">
        <v>1640</v>
      </c>
      <c r="H243" s="65" t="s">
        <v>1096</v>
      </c>
      <c r="I243" s="71" t="s">
        <v>202</v>
      </c>
      <c r="J243" s="106"/>
      <c r="K243" s="107" t="n">
        <v>0.39</v>
      </c>
      <c r="L243" s="107" t="n">
        <v>0</v>
      </c>
      <c r="M243" s="107" t="n">
        <v>1.55</v>
      </c>
      <c r="N243" s="107" t="n">
        <v>0.76</v>
      </c>
      <c r="O243" s="102" t="n">
        <v>1.55</v>
      </c>
      <c r="P243" s="102" t="n">
        <v>0.48</v>
      </c>
      <c r="Q243" s="92" t="s">
        <v>1641</v>
      </c>
    </row>
    <row r="244" customFormat="false" ht="14.25" hidden="false" customHeight="false" outlineLevel="0" collapsed="false">
      <c r="C244" s="64" t="n">
        <v>239</v>
      </c>
      <c r="D244" s="71" t="s">
        <v>2010</v>
      </c>
      <c r="E244" s="71" t="s">
        <v>2011</v>
      </c>
      <c r="F244" s="71" t="n">
        <v>110</v>
      </c>
      <c r="G244" s="71" t="s">
        <v>1640</v>
      </c>
      <c r="H244" s="65" t="s">
        <v>1136</v>
      </c>
      <c r="I244" s="71" t="s">
        <v>202</v>
      </c>
      <c r="J244" s="106"/>
      <c r="K244" s="107" t="n">
        <v>6.18</v>
      </c>
      <c r="L244" s="107" t="n">
        <v>1.24</v>
      </c>
      <c r="M244" s="107" t="n">
        <v>5.45</v>
      </c>
      <c r="N244" s="107" t="n">
        <v>1.49</v>
      </c>
      <c r="O244" s="102" t="n">
        <v>6.4000000954</v>
      </c>
      <c r="P244" s="102" t="n">
        <v>3.0996623039</v>
      </c>
      <c r="Q244" s="92" t="s">
        <v>1641</v>
      </c>
    </row>
    <row r="245" customFormat="false" ht="14.25" hidden="false" customHeight="false" outlineLevel="0" collapsed="false">
      <c r="C245" s="104" t="n">
        <v>240</v>
      </c>
      <c r="D245" s="71" t="s">
        <v>2012</v>
      </c>
      <c r="E245" s="71" t="s">
        <v>2013</v>
      </c>
      <c r="F245" s="71" t="n">
        <v>110</v>
      </c>
      <c r="G245" s="71" t="s">
        <v>1640</v>
      </c>
      <c r="H245" s="65" t="s">
        <v>2014</v>
      </c>
      <c r="I245" s="71" t="s">
        <v>202</v>
      </c>
      <c r="J245" s="106"/>
      <c r="K245" s="107" t="n">
        <v>9</v>
      </c>
      <c r="L245" s="107" t="n">
        <v>4.3588991165</v>
      </c>
      <c r="M245" s="107" t="n">
        <v>9</v>
      </c>
      <c r="N245" s="107" t="n">
        <v>4.3588991165</v>
      </c>
      <c r="O245" s="102" t="n">
        <v>9</v>
      </c>
      <c r="P245" s="102" t="n">
        <v>4.3588991165</v>
      </c>
      <c r="Q245" s="92" t="s">
        <v>1641</v>
      </c>
    </row>
    <row r="246" customFormat="false" ht="14.25" hidden="false" customHeight="false" outlineLevel="0" collapsed="false">
      <c r="C246" s="64" t="n">
        <v>241</v>
      </c>
      <c r="D246" s="71" t="s">
        <v>2015</v>
      </c>
      <c r="E246" s="71" t="s">
        <v>2016</v>
      </c>
      <c r="F246" s="71" t="n">
        <v>13.2</v>
      </c>
      <c r="G246" s="71" t="s">
        <v>1674</v>
      </c>
      <c r="H246" s="65" t="s">
        <v>1111</v>
      </c>
      <c r="I246" s="71" t="s">
        <v>202</v>
      </c>
      <c r="J246" s="106"/>
      <c r="K246" s="107" t="n">
        <v>0.88</v>
      </c>
      <c r="L246" s="107" t="n">
        <v>0.325</v>
      </c>
      <c r="M246" s="107" t="n">
        <v>0.93</v>
      </c>
      <c r="N246" s="107" t="n">
        <v>0.38</v>
      </c>
      <c r="O246" s="102" t="n">
        <v>1.13</v>
      </c>
      <c r="P246" s="102" t="n">
        <v>0.37</v>
      </c>
      <c r="Q246" s="92" t="s">
        <v>2017</v>
      </c>
    </row>
    <row r="247" customFormat="false" ht="14.25" hidden="false" customHeight="false" outlineLevel="0" collapsed="false">
      <c r="C247" s="104" t="n">
        <v>242</v>
      </c>
      <c r="D247" s="71" t="s">
        <v>2018</v>
      </c>
      <c r="E247" s="71" t="s">
        <v>2019</v>
      </c>
      <c r="F247" s="71" t="n">
        <v>110</v>
      </c>
      <c r="G247" s="71" t="s">
        <v>1640</v>
      </c>
      <c r="H247" s="65" t="s">
        <v>2020</v>
      </c>
      <c r="I247" s="71" t="s">
        <v>202</v>
      </c>
      <c r="J247" s="106"/>
      <c r="K247" s="107" t="n">
        <v>0.059999998659</v>
      </c>
      <c r="L247" s="107" t="n">
        <v>0.029059337452</v>
      </c>
      <c r="M247" s="107" t="n">
        <v>0.60000002384</v>
      </c>
      <c r="N247" s="107" t="n">
        <v>0.29059329629</v>
      </c>
      <c r="O247" s="102" t="n">
        <v>1.2000000477</v>
      </c>
      <c r="P247" s="102" t="n">
        <v>0.58118659258</v>
      </c>
      <c r="Q247" s="92" t="s">
        <v>1641</v>
      </c>
    </row>
    <row r="248" customFormat="false" ht="14.25" hidden="false" customHeight="false" outlineLevel="0" collapsed="false">
      <c r="C248" s="64" t="n">
        <v>243</v>
      </c>
      <c r="D248" s="71" t="s">
        <v>2021</v>
      </c>
      <c r="E248" s="71" t="s">
        <v>2022</v>
      </c>
      <c r="F248" s="71" t="n">
        <v>13.2</v>
      </c>
      <c r="G248" s="71" t="s">
        <v>1674</v>
      </c>
      <c r="H248" s="65" t="s">
        <v>1124</v>
      </c>
      <c r="I248" s="71" t="s">
        <v>202</v>
      </c>
      <c r="J248" s="106"/>
      <c r="K248" s="107" t="n">
        <v>0.13</v>
      </c>
      <c r="L248" s="107" t="n">
        <v>0.067</v>
      </c>
      <c r="M248" s="107" t="n">
        <v>0.17</v>
      </c>
      <c r="N248" s="107" t="n">
        <v>0.05</v>
      </c>
      <c r="O248" s="102" t="n">
        <v>0.28</v>
      </c>
      <c r="P248" s="102" t="n">
        <v>0.06</v>
      </c>
      <c r="Q248" s="92" t="s">
        <v>2023</v>
      </c>
    </row>
    <row r="249" customFormat="false" ht="14.25" hidden="false" customHeight="false" outlineLevel="0" collapsed="false">
      <c r="C249" s="104" t="n">
        <v>244</v>
      </c>
      <c r="D249" s="71" t="s">
        <v>2024</v>
      </c>
      <c r="E249" s="71" t="s">
        <v>2025</v>
      </c>
      <c r="F249" s="71" t="n">
        <v>13.2</v>
      </c>
      <c r="G249" s="71" t="s">
        <v>1674</v>
      </c>
      <c r="H249" s="65" t="s">
        <v>1485</v>
      </c>
      <c r="I249" s="71" t="s">
        <v>202</v>
      </c>
      <c r="J249" s="106"/>
      <c r="K249" s="107" t="n">
        <v>1.42</v>
      </c>
      <c r="L249" s="107" t="n">
        <v>0.65</v>
      </c>
      <c r="M249" s="107" t="n">
        <v>1.28</v>
      </c>
      <c r="N249" s="107" t="n">
        <v>0.6</v>
      </c>
      <c r="O249" s="102" t="n">
        <v>1.71</v>
      </c>
      <c r="P249" s="102" t="n">
        <v>0.71</v>
      </c>
      <c r="Q249" s="92" t="s">
        <v>2026</v>
      </c>
    </row>
    <row r="250" customFormat="false" ht="14.25" hidden="false" customHeight="false" outlineLevel="0" collapsed="false">
      <c r="C250" s="64" t="n">
        <v>245</v>
      </c>
      <c r="D250" s="71" t="s">
        <v>2027</v>
      </c>
      <c r="E250" s="71" t="s">
        <v>2028</v>
      </c>
      <c r="F250" s="71" t="n">
        <v>13.2</v>
      </c>
      <c r="G250" s="71" t="s">
        <v>1674</v>
      </c>
      <c r="H250" s="65" t="s">
        <v>1124</v>
      </c>
      <c r="I250" s="71" t="s">
        <v>202</v>
      </c>
      <c r="J250" s="106"/>
      <c r="K250" s="107" t="n">
        <v>1.28</v>
      </c>
      <c r="L250" s="107" t="n">
        <v>0.75</v>
      </c>
      <c r="M250" s="107" t="n">
        <v>2.3</v>
      </c>
      <c r="N250" s="107" t="n">
        <v>1.05</v>
      </c>
      <c r="O250" s="102" t="n">
        <v>2.61</v>
      </c>
      <c r="P250" s="102" t="n">
        <v>0.91</v>
      </c>
      <c r="Q250" s="92" t="s">
        <v>2029</v>
      </c>
    </row>
    <row r="251" customFormat="false" ht="14.25" hidden="false" customHeight="false" outlineLevel="0" collapsed="false">
      <c r="C251" s="104" t="n">
        <v>246</v>
      </c>
      <c r="D251" s="71" t="s">
        <v>2030</v>
      </c>
      <c r="E251" s="71" t="s">
        <v>2031</v>
      </c>
      <c r="F251" s="71" t="n">
        <v>110</v>
      </c>
      <c r="G251" s="71" t="s">
        <v>1640</v>
      </c>
      <c r="H251" s="65" t="s">
        <v>1132</v>
      </c>
      <c r="I251" s="71" t="s">
        <v>202</v>
      </c>
      <c r="J251" s="106"/>
      <c r="K251" s="107" t="n">
        <v>7.9200000763</v>
      </c>
      <c r="L251" s="107" t="n">
        <v>3.8358311653</v>
      </c>
      <c r="M251" s="107" t="n">
        <v>15.050000191</v>
      </c>
      <c r="N251" s="107" t="n">
        <v>7.2890501022</v>
      </c>
      <c r="O251" s="102" t="n">
        <v>19.799999237</v>
      </c>
      <c r="P251" s="102" t="n">
        <v>9.5895786285</v>
      </c>
      <c r="Q251" s="92" t="s">
        <v>1641</v>
      </c>
    </row>
    <row r="252" customFormat="false" ht="14.25" hidden="false" customHeight="false" outlineLevel="0" collapsed="false">
      <c r="C252" s="64" t="n">
        <v>247</v>
      </c>
      <c r="D252" s="71" t="s">
        <v>2032</v>
      </c>
      <c r="E252" s="71" t="s">
        <v>2033</v>
      </c>
      <c r="F252" s="71" t="n">
        <v>110</v>
      </c>
      <c r="G252" s="71" t="s">
        <v>1640</v>
      </c>
      <c r="H252" s="65" t="s">
        <v>2034</v>
      </c>
      <c r="I252" s="71" t="s">
        <v>202</v>
      </c>
      <c r="J252" s="106"/>
      <c r="K252" s="107" t="n">
        <v>8.331700325</v>
      </c>
      <c r="L252" s="107" t="n">
        <v>4.0352282524</v>
      </c>
      <c r="M252" s="107" t="n">
        <v>10.685400009</v>
      </c>
      <c r="N252" s="107" t="n">
        <v>5.1751775742</v>
      </c>
      <c r="O252" s="102" t="n">
        <v>10.399999619</v>
      </c>
      <c r="P252" s="102" t="n">
        <v>5.0369501114</v>
      </c>
      <c r="Q252" s="92" t="s">
        <v>2035</v>
      </c>
    </row>
    <row r="253" customFormat="false" ht="14.25" hidden="false" customHeight="false" outlineLevel="0" collapsed="false">
      <c r="C253" s="104" t="n">
        <v>248</v>
      </c>
      <c r="D253" s="71" t="s">
        <v>2036</v>
      </c>
      <c r="E253" s="71" t="s">
        <v>2037</v>
      </c>
      <c r="F253" s="71" t="n">
        <v>110</v>
      </c>
      <c r="G253" s="71" t="s">
        <v>1640</v>
      </c>
      <c r="H253" s="65" t="s">
        <v>2038</v>
      </c>
      <c r="I253" s="71" t="s">
        <v>202</v>
      </c>
      <c r="J253" s="106"/>
      <c r="K253" s="107" t="n">
        <v>0</v>
      </c>
      <c r="L253" s="107" t="n">
        <v>0</v>
      </c>
      <c r="M253" s="107" t="n">
        <v>0</v>
      </c>
      <c r="N253" s="107" t="n">
        <v>0</v>
      </c>
      <c r="O253" s="102" t="n">
        <v>2.5</v>
      </c>
      <c r="P253" s="102" t="n">
        <v>1.2108055353</v>
      </c>
      <c r="Q253" s="92" t="s">
        <v>2039</v>
      </c>
    </row>
    <row r="254" customFormat="false" ht="14.25" hidden="false" customHeight="false" outlineLevel="0" collapsed="false">
      <c r="C254" s="64" t="n">
        <v>249</v>
      </c>
      <c r="D254" s="71" t="s">
        <v>2040</v>
      </c>
      <c r="E254" s="71" t="s">
        <v>2041</v>
      </c>
      <c r="F254" s="71" t="n">
        <v>110</v>
      </c>
      <c r="G254" s="71" t="s">
        <v>1640</v>
      </c>
      <c r="H254" s="65" t="s">
        <v>2041</v>
      </c>
      <c r="I254" s="71" t="s">
        <v>202</v>
      </c>
      <c r="J254" s="106"/>
      <c r="K254" s="107" t="n">
        <v>4.56</v>
      </c>
      <c r="L254" s="107" t="n">
        <v>1.14</v>
      </c>
      <c r="M254" s="107" t="n">
        <v>24.430000305</v>
      </c>
      <c r="N254" s="107" t="n">
        <v>11.831992149</v>
      </c>
      <c r="O254" s="102" t="n">
        <v>30.5</v>
      </c>
      <c r="P254" s="102" t="n">
        <v>14.771823883</v>
      </c>
      <c r="Q254" s="92" t="s">
        <v>1641</v>
      </c>
    </row>
    <row r="255" customFormat="false" ht="14.25" hidden="false" customHeight="false" outlineLevel="0" collapsed="false">
      <c r="C255" s="104" t="n">
        <v>250</v>
      </c>
      <c r="D255" s="71" t="s">
        <v>2042</v>
      </c>
      <c r="E255" s="71" t="s">
        <v>2043</v>
      </c>
      <c r="F255" s="71" t="n">
        <v>110</v>
      </c>
      <c r="G255" s="71" t="s">
        <v>1640</v>
      </c>
      <c r="H255" s="65" t="s">
        <v>1121</v>
      </c>
      <c r="I255" s="71" t="s">
        <v>202</v>
      </c>
      <c r="J255" s="106"/>
      <c r="K255" s="107" t="n">
        <v>2.15</v>
      </c>
      <c r="L255" s="107" t="n">
        <v>0.03</v>
      </c>
      <c r="M255" s="107" t="n">
        <v>2.2000000477</v>
      </c>
      <c r="N255" s="107" t="n">
        <v>1.0655090809</v>
      </c>
      <c r="O255" s="102" t="n">
        <v>2.5</v>
      </c>
      <c r="P255" s="102" t="n">
        <v>1.2108055353</v>
      </c>
      <c r="Q255" s="92" t="s">
        <v>1641</v>
      </c>
    </row>
    <row r="256" customFormat="false" ht="14.25" hidden="false" customHeight="false" outlineLevel="0" collapsed="false">
      <c r="C256" s="64" t="n">
        <v>251</v>
      </c>
      <c r="D256" s="71" t="s">
        <v>2044</v>
      </c>
      <c r="E256" s="71" t="s">
        <v>2045</v>
      </c>
      <c r="F256" s="71" t="n">
        <v>44</v>
      </c>
      <c r="G256" s="71" t="s">
        <v>1857</v>
      </c>
      <c r="H256" s="65" t="s">
        <v>1156</v>
      </c>
      <c r="I256" s="71" t="s">
        <v>202</v>
      </c>
      <c r="J256" s="106"/>
      <c r="K256" s="107" t="n">
        <v>0.44999998808</v>
      </c>
      <c r="L256" s="107" t="n">
        <v>0.21799999475</v>
      </c>
      <c r="M256" s="107" t="n">
        <v>0.44999998808</v>
      </c>
      <c r="N256" s="107" t="n">
        <v>0.21799999475</v>
      </c>
      <c r="O256" s="102" t="n">
        <v>0.44999998808</v>
      </c>
      <c r="P256" s="102" t="n">
        <v>0.21799999475</v>
      </c>
      <c r="Q256" s="92" t="s">
        <v>1641</v>
      </c>
    </row>
    <row r="257" customFormat="false" ht="14.25" hidden="false" customHeight="false" outlineLevel="0" collapsed="false">
      <c r="C257" s="104" t="n">
        <v>252</v>
      </c>
      <c r="D257" s="71" t="s">
        <v>2046</v>
      </c>
      <c r="E257" s="71" t="s">
        <v>2047</v>
      </c>
      <c r="F257" s="71" t="n">
        <v>44</v>
      </c>
      <c r="G257" s="71" t="s">
        <v>1640</v>
      </c>
      <c r="H257" s="65" t="s">
        <v>1156</v>
      </c>
      <c r="I257" s="71" t="s">
        <v>202</v>
      </c>
      <c r="J257" s="106"/>
      <c r="K257" s="107" t="n">
        <v>0.1258</v>
      </c>
      <c r="L257" s="107" t="n">
        <v>0.06</v>
      </c>
      <c r="M257" s="107" t="n">
        <v>0.1258</v>
      </c>
      <c r="N257" s="107" t="n">
        <v>0.06</v>
      </c>
      <c r="O257" s="102" t="n">
        <v>4.41</v>
      </c>
      <c r="P257" s="102" t="n">
        <v>2.2</v>
      </c>
      <c r="Q257" s="92" t="s">
        <v>1641</v>
      </c>
    </row>
    <row r="258" customFormat="false" ht="14.25" hidden="false" customHeight="false" outlineLevel="0" collapsed="false">
      <c r="C258" s="64" t="n">
        <v>253</v>
      </c>
      <c r="D258" s="71" t="s">
        <v>2048</v>
      </c>
      <c r="E258" s="71" t="s">
        <v>2049</v>
      </c>
      <c r="F258" s="71" t="n">
        <v>13.2</v>
      </c>
      <c r="G258" s="71" t="s">
        <v>1674</v>
      </c>
      <c r="H258" s="65" t="s">
        <v>1156</v>
      </c>
      <c r="I258" s="71" t="s">
        <v>202</v>
      </c>
      <c r="J258" s="106"/>
      <c r="K258" s="107" t="n">
        <v>0.67</v>
      </c>
      <c r="L258" s="107" t="n">
        <v>0.15</v>
      </c>
      <c r="M258" s="107" t="n">
        <v>0.72</v>
      </c>
      <c r="N258" s="107" t="n">
        <v>0.14</v>
      </c>
      <c r="O258" s="102" t="n">
        <v>1.04</v>
      </c>
      <c r="P258" s="102" t="n">
        <v>0.24</v>
      </c>
      <c r="Q258" s="92" t="s">
        <v>2050</v>
      </c>
    </row>
    <row r="259" customFormat="false" ht="14.25" hidden="false" customHeight="false" outlineLevel="0" collapsed="false">
      <c r="C259" s="104" t="n">
        <v>254</v>
      </c>
      <c r="D259" s="71" t="s">
        <v>2051</v>
      </c>
      <c r="E259" s="71" t="s">
        <v>2052</v>
      </c>
      <c r="F259" s="71" t="n">
        <v>13.2</v>
      </c>
      <c r="G259" s="71" t="s">
        <v>1674</v>
      </c>
      <c r="H259" s="65" t="s">
        <v>1156</v>
      </c>
      <c r="I259" s="71" t="s">
        <v>202</v>
      </c>
      <c r="J259" s="106"/>
      <c r="K259" s="107" t="n">
        <v>6.12</v>
      </c>
      <c r="L259" s="107" t="n">
        <v>2.085</v>
      </c>
      <c r="M259" s="107" t="n">
        <v>7.11</v>
      </c>
      <c r="N259" s="107" t="n">
        <v>3.75</v>
      </c>
      <c r="O259" s="102" t="n">
        <v>8</v>
      </c>
      <c r="P259" s="102" t="n">
        <v>2.54</v>
      </c>
      <c r="Q259" s="92" t="s">
        <v>2053</v>
      </c>
    </row>
    <row r="260" customFormat="false" ht="14.25" hidden="false" customHeight="false" outlineLevel="0" collapsed="false">
      <c r="C260" s="64" t="n">
        <v>255</v>
      </c>
      <c r="D260" s="71" t="s">
        <v>2054</v>
      </c>
      <c r="E260" s="71" t="s">
        <v>2055</v>
      </c>
      <c r="F260" s="71" t="n">
        <v>13.2</v>
      </c>
      <c r="G260" s="71" t="s">
        <v>1674</v>
      </c>
      <c r="H260" s="65" t="s">
        <v>1156</v>
      </c>
      <c r="I260" s="71" t="s">
        <v>202</v>
      </c>
      <c r="J260" s="106"/>
      <c r="K260" s="107" t="n">
        <v>6.12</v>
      </c>
      <c r="L260" s="107" t="n">
        <v>2.085</v>
      </c>
      <c r="M260" s="107" t="n">
        <v>7.11</v>
      </c>
      <c r="N260" s="107" t="n">
        <v>3.75</v>
      </c>
      <c r="O260" s="102" t="n">
        <v>8</v>
      </c>
      <c r="P260" s="102" t="n">
        <v>2.54</v>
      </c>
      <c r="Q260" s="92" t="s">
        <v>2053</v>
      </c>
    </row>
    <row r="261" customFormat="false" ht="14.25" hidden="false" customHeight="false" outlineLevel="0" collapsed="false">
      <c r="C261" s="104" t="n">
        <v>256</v>
      </c>
      <c r="D261" s="71" t="s">
        <v>2056</v>
      </c>
      <c r="E261" s="71" t="s">
        <v>2057</v>
      </c>
      <c r="F261" s="71" t="n">
        <v>13.2</v>
      </c>
      <c r="G261" s="71" t="s">
        <v>1674</v>
      </c>
      <c r="H261" s="65" t="s">
        <v>1156</v>
      </c>
      <c r="I261" s="71" t="s">
        <v>202</v>
      </c>
      <c r="J261" s="106"/>
      <c r="K261" s="107" t="n">
        <v>0.21</v>
      </c>
      <c r="L261" s="107" t="n">
        <v>0.05</v>
      </c>
      <c r="M261" s="107" t="n">
        <v>0.2</v>
      </c>
      <c r="N261" s="107" t="n">
        <v>0.07</v>
      </c>
      <c r="O261" s="102" t="n">
        <v>0.15</v>
      </c>
      <c r="P261" s="102" t="n">
        <v>0.04</v>
      </c>
      <c r="Q261" s="92" t="s">
        <v>2058</v>
      </c>
    </row>
    <row r="262" customFormat="false" ht="14.25" hidden="false" customHeight="false" outlineLevel="0" collapsed="false">
      <c r="C262" s="64" t="n">
        <v>257</v>
      </c>
      <c r="D262" s="71" t="s">
        <v>2059</v>
      </c>
      <c r="E262" s="71" t="s">
        <v>2060</v>
      </c>
      <c r="F262" s="71" t="n">
        <v>13.2</v>
      </c>
      <c r="G262" s="71" t="s">
        <v>1674</v>
      </c>
      <c r="H262" s="65" t="s">
        <v>1156</v>
      </c>
      <c r="I262" s="71" t="s">
        <v>202</v>
      </c>
      <c r="J262" s="106"/>
      <c r="K262" s="107" t="n">
        <v>0.88</v>
      </c>
      <c r="L262" s="107" t="n">
        <v>0.23</v>
      </c>
      <c r="M262" s="107" t="n">
        <v>0.86</v>
      </c>
      <c r="N262" s="107" t="n">
        <v>0.38</v>
      </c>
      <c r="O262" s="102" t="n">
        <v>1.22</v>
      </c>
      <c r="P262" s="102" t="n">
        <v>0.03</v>
      </c>
      <c r="Q262" s="92" t="s">
        <v>2061</v>
      </c>
    </row>
    <row r="263" customFormat="false" ht="14.25" hidden="false" customHeight="false" outlineLevel="0" collapsed="false">
      <c r="C263" s="104" t="n">
        <v>258</v>
      </c>
      <c r="D263" s="71" t="s">
        <v>2062</v>
      </c>
      <c r="E263" s="71" t="s">
        <v>2063</v>
      </c>
      <c r="F263" s="71" t="n">
        <v>13.2</v>
      </c>
      <c r="G263" s="71" t="s">
        <v>1674</v>
      </c>
      <c r="H263" s="65" t="s">
        <v>1156</v>
      </c>
      <c r="I263" s="71" t="s">
        <v>202</v>
      </c>
      <c r="J263" s="106"/>
      <c r="K263" s="107" t="n">
        <v>4.19</v>
      </c>
      <c r="L263" s="107" t="n">
        <v>1.81</v>
      </c>
      <c r="M263" s="107" t="n">
        <v>4.41</v>
      </c>
      <c r="N263" s="107" t="n">
        <v>2.04</v>
      </c>
      <c r="O263" s="102" t="n">
        <v>4.72</v>
      </c>
      <c r="P263" s="102" t="n">
        <v>1.66</v>
      </c>
      <c r="Q263" s="92" t="s">
        <v>1977</v>
      </c>
    </row>
    <row r="264" customFormat="false" ht="14.25" hidden="false" customHeight="false" outlineLevel="0" collapsed="false">
      <c r="C264" s="64" t="n">
        <v>259</v>
      </c>
      <c r="D264" s="71" t="s">
        <v>2064</v>
      </c>
      <c r="E264" s="71" t="s">
        <v>2065</v>
      </c>
      <c r="F264" s="71" t="n">
        <v>13.2</v>
      </c>
      <c r="G264" s="71" t="s">
        <v>1674</v>
      </c>
      <c r="H264" s="65" t="s">
        <v>1156</v>
      </c>
      <c r="I264" s="71" t="s">
        <v>202</v>
      </c>
      <c r="J264" s="106"/>
      <c r="K264" s="107" t="n">
        <v>0.27</v>
      </c>
      <c r="L264" s="107" t="n">
        <v>0.09</v>
      </c>
      <c r="M264" s="107" t="n">
        <v>0.23</v>
      </c>
      <c r="N264" s="107" t="n">
        <v>0.09</v>
      </c>
      <c r="O264" s="102" t="n">
        <v>0.36</v>
      </c>
      <c r="P264" s="102" t="n">
        <v>0.08</v>
      </c>
      <c r="Q264" s="92" t="s">
        <v>2066</v>
      </c>
    </row>
    <row r="265" customFormat="false" ht="14.25" hidden="false" customHeight="false" outlineLevel="0" collapsed="false">
      <c r="C265" s="104" t="n">
        <v>260</v>
      </c>
      <c r="D265" s="71" t="s">
        <v>2067</v>
      </c>
      <c r="E265" s="71" t="s">
        <v>2068</v>
      </c>
      <c r="F265" s="71" t="n">
        <v>13.2</v>
      </c>
      <c r="G265" s="71" t="s">
        <v>1674</v>
      </c>
      <c r="H265" s="65" t="s">
        <v>1156</v>
      </c>
      <c r="I265" s="71" t="s">
        <v>202</v>
      </c>
      <c r="J265" s="106"/>
      <c r="K265" s="107" t="n">
        <v>1.08</v>
      </c>
      <c r="L265" s="107" t="n">
        <v>0.37</v>
      </c>
      <c r="M265" s="107" t="n">
        <v>0.921</v>
      </c>
      <c r="N265" s="107" t="n">
        <v>0.403</v>
      </c>
      <c r="O265" s="102" t="n">
        <v>1.26</v>
      </c>
      <c r="P265" s="102" t="n">
        <v>0.38</v>
      </c>
      <c r="Q265" s="92" t="s">
        <v>1692</v>
      </c>
    </row>
    <row r="266" customFormat="false" ht="14.25" hidden="false" customHeight="false" outlineLevel="0" collapsed="false">
      <c r="C266" s="64" t="n">
        <v>261</v>
      </c>
      <c r="D266" s="71" t="s">
        <v>2069</v>
      </c>
      <c r="E266" s="71" t="s">
        <v>2070</v>
      </c>
      <c r="F266" s="71" t="n">
        <v>13.2</v>
      </c>
      <c r="G266" s="71" t="s">
        <v>1674</v>
      </c>
      <c r="H266" s="65" t="s">
        <v>1156</v>
      </c>
      <c r="I266" s="71" t="s">
        <v>202</v>
      </c>
      <c r="J266" s="106"/>
      <c r="K266" s="107" t="n">
        <v>0.15</v>
      </c>
      <c r="L266" s="107" t="n">
        <v>0.075</v>
      </c>
      <c r="M266" s="107" t="n">
        <v>0.348</v>
      </c>
      <c r="N266" s="107" t="n">
        <v>0.174</v>
      </c>
      <c r="O266" s="102" t="n">
        <v>0.49</v>
      </c>
      <c r="P266" s="102" t="n">
        <v>0.245</v>
      </c>
      <c r="Q266" s="92" t="s">
        <v>1692</v>
      </c>
    </row>
    <row r="267" customFormat="false" ht="14.25" hidden="false" customHeight="false" outlineLevel="0" collapsed="false">
      <c r="C267" s="104" t="n">
        <v>262</v>
      </c>
      <c r="D267" s="71" t="s">
        <v>2071</v>
      </c>
      <c r="E267" s="71" t="s">
        <v>2072</v>
      </c>
      <c r="F267" s="71" t="n">
        <v>13.2</v>
      </c>
      <c r="G267" s="71" t="s">
        <v>1674</v>
      </c>
      <c r="H267" s="65" t="s">
        <v>1156</v>
      </c>
      <c r="I267" s="71" t="s">
        <v>202</v>
      </c>
      <c r="J267" s="106"/>
      <c r="K267" s="107" t="n">
        <v>0.52</v>
      </c>
      <c r="L267" s="107" t="n">
        <v>0.19</v>
      </c>
      <c r="M267" s="107" t="n">
        <v>0.4</v>
      </c>
      <c r="N267" s="107" t="n">
        <v>0.19</v>
      </c>
      <c r="O267" s="102" t="n">
        <v>0.69</v>
      </c>
      <c r="P267" s="102" t="n">
        <v>0.2</v>
      </c>
      <c r="Q267" s="92" t="s">
        <v>2073</v>
      </c>
    </row>
    <row r="268" customFormat="false" ht="14.25" hidden="false" customHeight="false" outlineLevel="0" collapsed="false">
      <c r="C268" s="64" t="n">
        <v>263</v>
      </c>
      <c r="D268" s="71" t="s">
        <v>2074</v>
      </c>
      <c r="E268" s="71" t="s">
        <v>2075</v>
      </c>
      <c r="F268" s="71" t="n">
        <v>13.2</v>
      </c>
      <c r="G268" s="71" t="s">
        <v>1674</v>
      </c>
      <c r="H268" s="65" t="s">
        <v>1156</v>
      </c>
      <c r="I268" s="71" t="s">
        <v>202</v>
      </c>
      <c r="J268" s="106"/>
      <c r="K268" s="107" t="n">
        <v>2.32</v>
      </c>
      <c r="L268" s="107" t="n">
        <v>0.84</v>
      </c>
      <c r="M268" s="107" t="n">
        <v>2.32</v>
      </c>
      <c r="N268" s="107" t="n">
        <v>0.82</v>
      </c>
      <c r="O268" s="102" t="n">
        <v>3.06</v>
      </c>
      <c r="P268" s="102" t="n">
        <v>0.83</v>
      </c>
      <c r="Q268" s="92" t="s">
        <v>2076</v>
      </c>
    </row>
    <row r="269" customFormat="false" ht="14.25" hidden="false" customHeight="false" outlineLevel="0" collapsed="false">
      <c r="C269" s="104" t="n">
        <v>264</v>
      </c>
      <c r="D269" s="71" t="s">
        <v>2077</v>
      </c>
      <c r="E269" s="71" t="s">
        <v>2078</v>
      </c>
      <c r="F269" s="71" t="n">
        <v>13.2</v>
      </c>
      <c r="G269" s="71" t="s">
        <v>1674</v>
      </c>
      <c r="H269" s="65" t="s">
        <v>1156</v>
      </c>
      <c r="I269" s="71" t="s">
        <v>202</v>
      </c>
      <c r="J269" s="106"/>
      <c r="K269" s="107" t="n">
        <v>2.48</v>
      </c>
      <c r="L269" s="107" t="n">
        <v>1</v>
      </c>
      <c r="M269" s="107" t="n">
        <v>2.85</v>
      </c>
      <c r="N269" s="107" t="n">
        <v>1.17</v>
      </c>
      <c r="O269" s="102" t="n">
        <v>3.78</v>
      </c>
      <c r="P269" s="102" t="n">
        <v>1.15</v>
      </c>
      <c r="Q269" s="92" t="s">
        <v>2079</v>
      </c>
    </row>
    <row r="270" customFormat="false" ht="14.25" hidden="false" customHeight="false" outlineLevel="0" collapsed="false">
      <c r="C270" s="64" t="n">
        <v>265</v>
      </c>
      <c r="D270" s="71" t="s">
        <v>2080</v>
      </c>
      <c r="E270" s="71" t="s">
        <v>2081</v>
      </c>
      <c r="F270" s="71" t="n">
        <v>13.2</v>
      </c>
      <c r="G270" s="71" t="s">
        <v>1674</v>
      </c>
      <c r="H270" s="65" t="s">
        <v>1156</v>
      </c>
      <c r="I270" s="71" t="s">
        <v>202</v>
      </c>
      <c r="J270" s="106"/>
      <c r="K270" s="107" t="n">
        <v>2.12</v>
      </c>
      <c r="L270" s="107" t="n">
        <v>1.04</v>
      </c>
      <c r="M270" s="107" t="n">
        <v>2.37</v>
      </c>
      <c r="N270" s="107" t="n">
        <v>1.17</v>
      </c>
      <c r="O270" s="102" t="n">
        <v>2.8</v>
      </c>
      <c r="P270" s="102" t="n">
        <v>1.07</v>
      </c>
      <c r="Q270" s="92" t="s">
        <v>2082</v>
      </c>
    </row>
    <row r="271" customFormat="false" ht="14.25" hidden="false" customHeight="false" outlineLevel="0" collapsed="false">
      <c r="C271" s="104" t="n">
        <v>266</v>
      </c>
      <c r="D271" s="71" t="s">
        <v>2083</v>
      </c>
      <c r="E271" s="71" t="s">
        <v>2084</v>
      </c>
      <c r="F271" s="71" t="n">
        <v>110</v>
      </c>
      <c r="G271" s="71" t="s">
        <v>1640</v>
      </c>
      <c r="H271" s="65" t="s">
        <v>1156</v>
      </c>
      <c r="I271" s="71" t="s">
        <v>771</v>
      </c>
      <c r="J271" s="106" t="n">
        <v>46022</v>
      </c>
      <c r="K271" s="107" t="n">
        <v>4</v>
      </c>
      <c r="L271" s="107" t="n">
        <v>1.9</v>
      </c>
      <c r="M271" s="107" t="n">
        <v>5.6</v>
      </c>
      <c r="N271" s="107" t="n">
        <v>2.7</v>
      </c>
      <c r="O271" s="102" t="n">
        <v>8</v>
      </c>
      <c r="P271" s="102" t="n">
        <v>3.9</v>
      </c>
      <c r="Q271" s="92" t="s">
        <v>1641</v>
      </c>
    </row>
    <row r="272" customFormat="false" ht="14.25" hidden="false" customHeight="false" outlineLevel="0" collapsed="false">
      <c r="C272" s="64" t="n">
        <v>267</v>
      </c>
      <c r="D272" s="71" t="s">
        <v>2085</v>
      </c>
      <c r="E272" s="71" t="s">
        <v>1666</v>
      </c>
      <c r="F272" s="71" t="n">
        <v>110</v>
      </c>
      <c r="G272" s="71" t="s">
        <v>1640</v>
      </c>
      <c r="H272" s="65" t="s">
        <v>1197</v>
      </c>
      <c r="I272" s="71" t="s">
        <v>202</v>
      </c>
      <c r="J272" s="106"/>
      <c r="K272" s="107" t="n">
        <v>0.30000001192</v>
      </c>
      <c r="L272" s="107" t="n">
        <v>0.15000000596</v>
      </c>
      <c r="M272" s="107" t="n">
        <v>3.5</v>
      </c>
      <c r="N272" s="107" t="n">
        <v>1.7000000477</v>
      </c>
      <c r="O272" s="102" t="n">
        <v>6</v>
      </c>
      <c r="P272" s="102" t="n">
        <v>2.9100000858</v>
      </c>
      <c r="Q272" s="92" t="s">
        <v>1641</v>
      </c>
    </row>
    <row r="273" customFormat="false" ht="14.25" hidden="false" customHeight="false" outlineLevel="0" collapsed="false">
      <c r="C273" s="104" t="n">
        <v>268</v>
      </c>
      <c r="D273" s="71" t="s">
        <v>2086</v>
      </c>
      <c r="E273" s="71" t="s">
        <v>2087</v>
      </c>
      <c r="F273" s="71" t="n">
        <v>44</v>
      </c>
      <c r="G273" s="71" t="s">
        <v>1640</v>
      </c>
      <c r="H273" s="65" t="s">
        <v>1214</v>
      </c>
      <c r="I273" s="71" t="s">
        <v>202</v>
      </c>
      <c r="J273" s="106"/>
      <c r="K273" s="107" t="n">
        <v>1.22</v>
      </c>
      <c r="L273" s="107" t="n">
        <v>0.39</v>
      </c>
      <c r="M273" s="107" t="n">
        <v>2.55</v>
      </c>
      <c r="N273" s="107" t="n">
        <v>0.7</v>
      </c>
      <c r="O273" s="102" t="n">
        <v>2.17</v>
      </c>
      <c r="P273" s="102" t="n">
        <v>0.46</v>
      </c>
      <c r="Q273" s="92" t="s">
        <v>1641</v>
      </c>
    </row>
    <row r="274" customFormat="false" ht="14.25" hidden="false" customHeight="false" outlineLevel="0" collapsed="false">
      <c r="C274" s="64" t="n">
        <v>269</v>
      </c>
      <c r="D274" s="71" t="s">
        <v>2088</v>
      </c>
      <c r="E274" s="71" t="s">
        <v>2089</v>
      </c>
      <c r="F274" s="71" t="n">
        <v>110</v>
      </c>
      <c r="G274" s="71" t="s">
        <v>1640</v>
      </c>
      <c r="H274" s="65" t="s">
        <v>1247</v>
      </c>
      <c r="I274" s="71" t="s">
        <v>202</v>
      </c>
      <c r="J274" s="106"/>
      <c r="K274" s="107" t="n">
        <v>0.30000001192</v>
      </c>
      <c r="L274" s="107" t="n">
        <v>0.15000000596</v>
      </c>
      <c r="M274" s="107" t="n">
        <v>2.5</v>
      </c>
      <c r="N274" s="107" t="n">
        <v>1.2100000381</v>
      </c>
      <c r="O274" s="102" t="n">
        <v>4</v>
      </c>
      <c r="P274" s="102" t="n">
        <v>1.9400000572</v>
      </c>
      <c r="Q274" s="92" t="s">
        <v>1641</v>
      </c>
    </row>
    <row r="275" customFormat="false" ht="14.25" hidden="false" customHeight="false" outlineLevel="0" collapsed="false">
      <c r="C275" s="104" t="n">
        <v>270</v>
      </c>
      <c r="D275" s="71" t="s">
        <v>2090</v>
      </c>
      <c r="E275" s="71" t="s">
        <v>2091</v>
      </c>
      <c r="F275" s="71" t="n">
        <v>110</v>
      </c>
      <c r="G275" s="71" t="s">
        <v>1640</v>
      </c>
      <c r="H275" s="65" t="s">
        <v>1238</v>
      </c>
      <c r="I275" s="71" t="s">
        <v>202</v>
      </c>
      <c r="J275" s="106"/>
      <c r="K275" s="107" t="n">
        <v>0.80000001192</v>
      </c>
      <c r="L275" s="107" t="n">
        <v>0.38999998569</v>
      </c>
      <c r="M275" s="107" t="n">
        <v>6.3699998856</v>
      </c>
      <c r="N275" s="107" t="n">
        <v>3.0899999142</v>
      </c>
      <c r="O275" s="102" t="n">
        <v>6</v>
      </c>
      <c r="P275" s="102" t="n">
        <v>2.9100000858</v>
      </c>
      <c r="Q275" s="92" t="s">
        <v>1641</v>
      </c>
    </row>
    <row r="276" customFormat="false" ht="14.25" hidden="false" customHeight="false" outlineLevel="0" collapsed="false">
      <c r="C276" s="64" t="n">
        <v>271</v>
      </c>
      <c r="D276" s="71" t="s">
        <v>2092</v>
      </c>
      <c r="E276" s="71" t="s">
        <v>2093</v>
      </c>
      <c r="F276" s="71" t="n">
        <v>13.2</v>
      </c>
      <c r="G276" s="71" t="s">
        <v>1674</v>
      </c>
      <c r="H276" s="65" t="s">
        <v>1205</v>
      </c>
      <c r="I276" s="71" t="s">
        <v>202</v>
      </c>
      <c r="J276" s="106"/>
      <c r="K276" s="107" t="n">
        <v>4.78</v>
      </c>
      <c r="L276" s="107" t="n">
        <v>2.65</v>
      </c>
      <c r="M276" s="107" t="n">
        <v>7.36</v>
      </c>
      <c r="N276" s="107" t="n">
        <v>2.65</v>
      </c>
      <c r="O276" s="102" t="n">
        <v>8.62</v>
      </c>
      <c r="P276" s="102" t="n">
        <v>3.45</v>
      </c>
      <c r="Q276" s="92" t="s">
        <v>2094</v>
      </c>
    </row>
    <row r="277" customFormat="false" ht="14.25" hidden="false" customHeight="false" outlineLevel="0" collapsed="false">
      <c r="C277" s="104" t="n">
        <v>272</v>
      </c>
      <c r="D277" s="71" t="s">
        <v>2095</v>
      </c>
      <c r="E277" s="71" t="s">
        <v>2096</v>
      </c>
      <c r="F277" s="71" t="n">
        <v>110</v>
      </c>
      <c r="G277" s="71" t="s">
        <v>1640</v>
      </c>
      <c r="H277" s="65" t="s">
        <v>1205</v>
      </c>
      <c r="I277" s="71" t="s">
        <v>202</v>
      </c>
      <c r="J277" s="106"/>
      <c r="K277" s="107" t="n">
        <v>2.08</v>
      </c>
      <c r="L277" s="107" t="n">
        <v>0.81</v>
      </c>
      <c r="M277" s="107" t="n">
        <v>3.19</v>
      </c>
      <c r="N277" s="107" t="n">
        <v>0.46</v>
      </c>
      <c r="O277" s="102" t="n">
        <v>6</v>
      </c>
      <c r="P277" s="102" t="n">
        <v>2.9</v>
      </c>
      <c r="Q277" s="92" t="s">
        <v>1641</v>
      </c>
    </row>
    <row r="278" customFormat="false" ht="14.25" hidden="false" customHeight="false" outlineLevel="0" collapsed="false">
      <c r="C278" s="64" t="n">
        <v>273</v>
      </c>
      <c r="D278" s="71" t="s">
        <v>2097</v>
      </c>
      <c r="E278" s="71" t="s">
        <v>2098</v>
      </c>
      <c r="F278" s="71" t="n">
        <v>13.2</v>
      </c>
      <c r="G278" s="71" t="s">
        <v>1674</v>
      </c>
      <c r="H278" s="65" t="s">
        <v>1289</v>
      </c>
      <c r="I278" s="71" t="s">
        <v>202</v>
      </c>
      <c r="J278" s="106"/>
      <c r="K278" s="107" t="n">
        <v>15.06</v>
      </c>
      <c r="L278" s="107" t="n">
        <v>6.7</v>
      </c>
      <c r="M278" s="107" t="n">
        <v>27.13</v>
      </c>
      <c r="N278" s="107" t="n">
        <v>8.4</v>
      </c>
      <c r="O278" s="102" t="n">
        <v>28.66</v>
      </c>
      <c r="P278" s="102" t="n">
        <v>8.09</v>
      </c>
      <c r="Q278" s="92" t="s">
        <v>2099</v>
      </c>
    </row>
    <row r="279" customFormat="false" ht="14.25" hidden="false" customHeight="false" outlineLevel="0" collapsed="false">
      <c r="C279" s="104" t="n">
        <v>274</v>
      </c>
      <c r="D279" s="71" t="s">
        <v>2100</v>
      </c>
      <c r="E279" s="71" t="s">
        <v>2101</v>
      </c>
      <c r="F279" s="71" t="n">
        <v>13.2</v>
      </c>
      <c r="G279" s="71" t="s">
        <v>1674</v>
      </c>
      <c r="H279" s="65" t="s">
        <v>1289</v>
      </c>
      <c r="I279" s="71" t="s">
        <v>202</v>
      </c>
      <c r="J279" s="106"/>
      <c r="K279" s="107" t="n">
        <v>13.44</v>
      </c>
      <c r="L279" s="107" t="n">
        <v>5.72</v>
      </c>
      <c r="M279" s="107" t="n">
        <v>27.68</v>
      </c>
      <c r="N279" s="107" t="n">
        <v>8.27</v>
      </c>
      <c r="O279" s="102" t="n">
        <v>30.18</v>
      </c>
      <c r="P279" s="102" t="n">
        <v>7.91</v>
      </c>
      <c r="Q279" s="92" t="s">
        <v>2102</v>
      </c>
    </row>
    <row r="280" customFormat="false" ht="14.25" hidden="false" customHeight="false" outlineLevel="0" collapsed="false">
      <c r="C280" s="64" t="n">
        <v>275</v>
      </c>
      <c r="D280" s="71" t="s">
        <v>2103</v>
      </c>
      <c r="E280" s="71" t="s">
        <v>2104</v>
      </c>
      <c r="F280" s="71" t="n">
        <v>13.2</v>
      </c>
      <c r="G280" s="71" t="s">
        <v>1674</v>
      </c>
      <c r="H280" s="65" t="s">
        <v>1214</v>
      </c>
      <c r="I280" s="71" t="s">
        <v>202</v>
      </c>
      <c r="J280" s="106"/>
      <c r="K280" s="107" t="n">
        <v>8.88</v>
      </c>
      <c r="L280" s="107" t="n">
        <v>3.38</v>
      </c>
      <c r="M280" s="107" t="n">
        <v>23.01</v>
      </c>
      <c r="N280" s="107" t="n">
        <v>7.71</v>
      </c>
      <c r="O280" s="102" t="n">
        <v>25.22</v>
      </c>
      <c r="P280" s="102" t="n">
        <v>6.97</v>
      </c>
      <c r="Q280" s="92" t="s">
        <v>2105</v>
      </c>
    </row>
    <row r="281" customFormat="false" ht="14.25" hidden="false" customHeight="false" outlineLevel="0" collapsed="false">
      <c r="C281" s="104" t="n">
        <v>276</v>
      </c>
      <c r="D281" s="71" t="s">
        <v>2106</v>
      </c>
      <c r="E281" s="71" t="s">
        <v>2107</v>
      </c>
      <c r="F281" s="71" t="n">
        <v>13.2</v>
      </c>
      <c r="G281" s="71" t="s">
        <v>1674</v>
      </c>
      <c r="H281" s="65" t="s">
        <v>1214</v>
      </c>
      <c r="I281" s="71" t="s">
        <v>202</v>
      </c>
      <c r="J281" s="106"/>
      <c r="K281" s="107" t="n">
        <v>8.29</v>
      </c>
      <c r="L281" s="107" t="n">
        <v>3.1</v>
      </c>
      <c r="M281" s="107" t="n">
        <v>19.05</v>
      </c>
      <c r="N281" s="107" t="n">
        <v>6.31</v>
      </c>
      <c r="O281" s="102" t="n">
        <v>20.97</v>
      </c>
      <c r="P281" s="102" t="n">
        <v>5.08</v>
      </c>
      <c r="Q281" s="92" t="s">
        <v>2108</v>
      </c>
    </row>
    <row r="282" customFormat="false" ht="14.25" hidden="false" customHeight="false" outlineLevel="0" collapsed="false">
      <c r="C282" s="64" t="n">
        <v>277</v>
      </c>
      <c r="D282" s="71" t="s">
        <v>2109</v>
      </c>
      <c r="E282" s="71" t="s">
        <v>2110</v>
      </c>
      <c r="F282" s="71" t="n">
        <v>44</v>
      </c>
      <c r="G282" s="71" t="s">
        <v>1640</v>
      </c>
      <c r="H282" s="65" t="s">
        <v>1214</v>
      </c>
      <c r="I282" s="71" t="s">
        <v>202</v>
      </c>
      <c r="J282" s="106"/>
      <c r="K282" s="107" t="n">
        <v>1.22</v>
      </c>
      <c r="L282" s="107" t="n">
        <v>0.39</v>
      </c>
      <c r="M282" s="107" t="n">
        <v>2.55</v>
      </c>
      <c r="N282" s="107" t="n">
        <v>0.7</v>
      </c>
      <c r="O282" s="102" t="n">
        <v>2.17</v>
      </c>
      <c r="P282" s="102" t="n">
        <v>0.46</v>
      </c>
      <c r="Q282" s="92" t="s">
        <v>1641</v>
      </c>
    </row>
    <row r="283" customFormat="false" ht="14.25" hidden="false" customHeight="false" outlineLevel="0" collapsed="false">
      <c r="C283" s="104" t="n">
        <v>278</v>
      </c>
      <c r="D283" s="71" t="s">
        <v>2111</v>
      </c>
      <c r="E283" s="71" t="s">
        <v>2112</v>
      </c>
      <c r="F283" s="71" t="n">
        <v>13.2</v>
      </c>
      <c r="G283" s="71" t="s">
        <v>1674</v>
      </c>
      <c r="H283" s="65" t="s">
        <v>1224</v>
      </c>
      <c r="I283" s="71" t="s">
        <v>202</v>
      </c>
      <c r="J283" s="106"/>
      <c r="K283" s="107" t="n">
        <v>2.15</v>
      </c>
      <c r="L283" s="107" t="n">
        <v>1.45</v>
      </c>
      <c r="M283" s="107" t="n">
        <v>3.31</v>
      </c>
      <c r="N283" s="107" t="n">
        <v>1.1</v>
      </c>
      <c r="O283" s="102" t="n">
        <v>3.83</v>
      </c>
      <c r="P283" s="102" t="n">
        <v>1.28</v>
      </c>
      <c r="Q283" s="92" t="s">
        <v>2113</v>
      </c>
    </row>
    <row r="284" customFormat="false" ht="14.25" hidden="false" customHeight="false" outlineLevel="0" collapsed="false">
      <c r="C284" s="64" t="n">
        <v>279</v>
      </c>
      <c r="D284" s="71" t="s">
        <v>2114</v>
      </c>
      <c r="E284" s="71" t="s">
        <v>2115</v>
      </c>
      <c r="F284" s="71" t="n">
        <v>13.2</v>
      </c>
      <c r="G284" s="71" t="s">
        <v>1674</v>
      </c>
      <c r="H284" s="65" t="s">
        <v>1215</v>
      </c>
      <c r="I284" s="71" t="s">
        <v>202</v>
      </c>
      <c r="J284" s="106"/>
      <c r="K284" s="107" t="n">
        <v>8.82</v>
      </c>
      <c r="L284" s="107" t="n">
        <v>5.44</v>
      </c>
      <c r="M284" s="107" t="n">
        <v>16.72</v>
      </c>
      <c r="N284" s="107" t="n">
        <v>6.77</v>
      </c>
      <c r="O284" s="102" t="n">
        <v>18.71</v>
      </c>
      <c r="P284" s="102" t="n">
        <v>12.14</v>
      </c>
      <c r="Q284" s="92" t="s">
        <v>2116</v>
      </c>
    </row>
    <row r="285" customFormat="false" ht="14.25" hidden="false" customHeight="false" outlineLevel="0" collapsed="false">
      <c r="C285" s="104" t="n">
        <v>280</v>
      </c>
      <c r="D285" s="71" t="s">
        <v>2117</v>
      </c>
      <c r="E285" s="71" t="s">
        <v>2118</v>
      </c>
      <c r="F285" s="71" t="n">
        <v>13.2</v>
      </c>
      <c r="G285" s="71" t="s">
        <v>1674</v>
      </c>
      <c r="H285" s="65" t="s">
        <v>1215</v>
      </c>
      <c r="I285" s="71" t="s">
        <v>202</v>
      </c>
      <c r="J285" s="106"/>
      <c r="K285" s="107" t="n">
        <v>9.49</v>
      </c>
      <c r="L285" s="107" t="n">
        <v>4.98</v>
      </c>
      <c r="M285" s="107" t="n">
        <v>17.12</v>
      </c>
      <c r="N285" s="107" t="n">
        <v>7.5</v>
      </c>
      <c r="O285" s="102" t="n">
        <v>16.92</v>
      </c>
      <c r="P285" s="102" t="n">
        <v>6.24</v>
      </c>
      <c r="Q285" s="92" t="s">
        <v>2119</v>
      </c>
    </row>
    <row r="286" customFormat="false" ht="14.25" hidden="false" customHeight="false" outlineLevel="0" collapsed="false">
      <c r="C286" s="64" t="n">
        <v>281</v>
      </c>
      <c r="D286" s="71" t="s">
        <v>2120</v>
      </c>
      <c r="E286" s="71" t="s">
        <v>2121</v>
      </c>
      <c r="F286" s="71" t="n">
        <v>13.2</v>
      </c>
      <c r="G286" s="71" t="s">
        <v>1674</v>
      </c>
      <c r="H286" s="65" t="s">
        <v>1218</v>
      </c>
      <c r="I286" s="71" t="s">
        <v>202</v>
      </c>
      <c r="J286" s="106"/>
      <c r="K286" s="107" t="n">
        <v>0.13</v>
      </c>
      <c r="L286" s="107" t="n">
        <v>0</v>
      </c>
      <c r="M286" s="107" t="n">
        <v>27.2</v>
      </c>
      <c r="N286" s="107" t="n">
        <v>8.16</v>
      </c>
      <c r="O286" s="102" t="n">
        <v>26.4</v>
      </c>
      <c r="P286" s="102" t="n">
        <v>6.97</v>
      </c>
      <c r="Q286" s="92" t="s">
        <v>2122</v>
      </c>
    </row>
    <row r="287" customFormat="false" ht="14.25" hidden="false" customHeight="false" outlineLevel="0" collapsed="false">
      <c r="C287" s="104" t="n">
        <v>282</v>
      </c>
      <c r="D287" s="71" t="s">
        <v>2123</v>
      </c>
      <c r="E287" s="71" t="s">
        <v>2124</v>
      </c>
      <c r="F287" s="71" t="n">
        <v>13.2</v>
      </c>
      <c r="G287" s="71" t="s">
        <v>1674</v>
      </c>
      <c r="H287" s="65" t="s">
        <v>1218</v>
      </c>
      <c r="I287" s="71" t="s">
        <v>202</v>
      </c>
      <c r="J287" s="106"/>
      <c r="K287" s="107" t="n">
        <v>3.98</v>
      </c>
      <c r="L287" s="107" t="n">
        <v>0</v>
      </c>
      <c r="M287" s="107" t="n">
        <v>18.51</v>
      </c>
      <c r="N287" s="107" t="n">
        <v>2.92</v>
      </c>
      <c r="O287" s="102" t="n">
        <v>23.02</v>
      </c>
      <c r="P287" s="102" t="n">
        <v>4.71</v>
      </c>
      <c r="Q287" s="92" t="s">
        <v>2125</v>
      </c>
    </row>
    <row r="288" customFormat="false" ht="14.25" hidden="false" customHeight="false" outlineLevel="0" collapsed="false">
      <c r="C288" s="64" t="n">
        <v>283</v>
      </c>
      <c r="D288" s="71" t="s">
        <v>2126</v>
      </c>
      <c r="E288" s="71" t="s">
        <v>2127</v>
      </c>
      <c r="F288" s="71" t="n">
        <v>13.2</v>
      </c>
      <c r="G288" s="71" t="s">
        <v>1674</v>
      </c>
      <c r="H288" s="65" t="s">
        <v>1218</v>
      </c>
      <c r="I288" s="71" t="s">
        <v>202</v>
      </c>
      <c r="J288" s="106"/>
      <c r="K288" s="107" t="n">
        <v>16.25</v>
      </c>
      <c r="L288" s="107" t="n">
        <v>4.11</v>
      </c>
      <c r="M288" s="107" t="n">
        <v>20.96</v>
      </c>
      <c r="N288" s="107" t="n">
        <v>5.77</v>
      </c>
      <c r="O288" s="102" t="n">
        <v>22.2</v>
      </c>
      <c r="P288" s="102" t="n">
        <v>5.37</v>
      </c>
      <c r="Q288" s="92" t="s">
        <v>1702</v>
      </c>
    </row>
    <row r="289" customFormat="false" ht="14.25" hidden="false" customHeight="false" outlineLevel="0" collapsed="false">
      <c r="C289" s="104" t="n">
        <v>284</v>
      </c>
      <c r="D289" s="71" t="s">
        <v>2128</v>
      </c>
      <c r="E289" s="71" t="s">
        <v>2129</v>
      </c>
      <c r="F289" s="71" t="n">
        <v>13.2</v>
      </c>
      <c r="G289" s="71" t="s">
        <v>1674</v>
      </c>
      <c r="H289" s="65" t="s">
        <v>1218</v>
      </c>
      <c r="I289" s="71" t="s">
        <v>202</v>
      </c>
      <c r="J289" s="106"/>
      <c r="K289" s="107" t="n">
        <v>0</v>
      </c>
      <c r="L289" s="107" t="n">
        <v>0</v>
      </c>
      <c r="M289" s="107" t="n">
        <v>0</v>
      </c>
      <c r="N289" s="107" t="n">
        <v>0</v>
      </c>
      <c r="O289" s="102" t="n">
        <v>0</v>
      </c>
      <c r="P289" s="102" t="n">
        <v>0</v>
      </c>
      <c r="Q289" s="92" t="s">
        <v>1641</v>
      </c>
    </row>
    <row r="290" customFormat="false" ht="14.25" hidden="false" customHeight="false" outlineLevel="0" collapsed="false">
      <c r="C290" s="64" t="n">
        <v>285</v>
      </c>
      <c r="D290" s="71" t="s">
        <v>2130</v>
      </c>
      <c r="E290" s="71" t="s">
        <v>2131</v>
      </c>
      <c r="F290" s="71" t="n">
        <v>13.2</v>
      </c>
      <c r="G290" s="71" t="s">
        <v>1674</v>
      </c>
      <c r="H290" s="65" t="s">
        <v>1209</v>
      </c>
      <c r="I290" s="71" t="s">
        <v>202</v>
      </c>
      <c r="J290" s="106"/>
      <c r="K290" s="107" t="n">
        <v>8.26</v>
      </c>
      <c r="L290" s="107" t="n">
        <v>4</v>
      </c>
      <c r="M290" s="107" t="n">
        <v>16.61</v>
      </c>
      <c r="N290" s="107" t="n">
        <v>5.96</v>
      </c>
      <c r="O290" s="102" t="n">
        <v>19.97</v>
      </c>
      <c r="P290" s="102" t="n">
        <v>5.73</v>
      </c>
      <c r="Q290" s="92" t="s">
        <v>2132</v>
      </c>
    </row>
    <row r="291" customFormat="false" ht="14.25" hidden="false" customHeight="false" outlineLevel="0" collapsed="false">
      <c r="C291" s="104" t="n">
        <v>286</v>
      </c>
      <c r="D291" s="71" t="s">
        <v>2133</v>
      </c>
      <c r="E291" s="71" t="s">
        <v>2134</v>
      </c>
      <c r="F291" s="71" t="n">
        <v>13.2</v>
      </c>
      <c r="G291" s="71" t="s">
        <v>1674</v>
      </c>
      <c r="H291" s="65" t="s">
        <v>1209</v>
      </c>
      <c r="I291" s="71" t="s">
        <v>202</v>
      </c>
      <c r="J291" s="106"/>
      <c r="K291" s="107" t="n">
        <v>9.04</v>
      </c>
      <c r="L291" s="107" t="n">
        <v>4.86</v>
      </c>
      <c r="M291" s="107" t="n">
        <v>17.07</v>
      </c>
      <c r="N291" s="107" t="n">
        <v>6.78</v>
      </c>
      <c r="O291" s="102" t="n">
        <v>20.11</v>
      </c>
      <c r="P291" s="102" t="n">
        <v>6.74</v>
      </c>
      <c r="Q291" s="92" t="s">
        <v>2135</v>
      </c>
    </row>
    <row r="292" customFormat="false" ht="14.25" hidden="false" customHeight="false" outlineLevel="0" collapsed="false">
      <c r="C292" s="64" t="n">
        <v>287</v>
      </c>
      <c r="D292" s="71" t="s">
        <v>2136</v>
      </c>
      <c r="E292" s="71" t="s">
        <v>2137</v>
      </c>
      <c r="F292" s="71" t="n">
        <v>110</v>
      </c>
      <c r="G292" s="71" t="s">
        <v>1640</v>
      </c>
      <c r="H292" s="65" t="s">
        <v>1209</v>
      </c>
      <c r="I292" s="71" t="s">
        <v>771</v>
      </c>
      <c r="J292" s="106" t="n">
        <v>45657</v>
      </c>
      <c r="K292" s="107" t="n">
        <v>5.6</v>
      </c>
      <c r="L292" s="107" t="n">
        <v>1.8</v>
      </c>
      <c r="M292" s="107" t="n">
        <v>9.7</v>
      </c>
      <c r="N292" s="107" t="n">
        <v>3.2</v>
      </c>
      <c r="O292" s="102" t="n">
        <v>27.1</v>
      </c>
      <c r="P292" s="102" t="n">
        <v>8.9</v>
      </c>
      <c r="Q292" s="92" t="s">
        <v>1641</v>
      </c>
    </row>
    <row r="293" customFormat="false" ht="14.25" hidden="false" customHeight="false" outlineLevel="0" collapsed="false">
      <c r="C293" s="104" t="n">
        <v>288</v>
      </c>
      <c r="D293" s="71" t="s">
        <v>2138</v>
      </c>
      <c r="E293" s="71" t="s">
        <v>2139</v>
      </c>
      <c r="F293" s="71" t="n">
        <v>110</v>
      </c>
      <c r="G293" s="71" t="s">
        <v>1640</v>
      </c>
      <c r="H293" s="65" t="s">
        <v>1207</v>
      </c>
      <c r="I293" s="71" t="s">
        <v>202</v>
      </c>
      <c r="J293" s="106"/>
      <c r="K293" s="107" t="n">
        <v>11</v>
      </c>
      <c r="L293" s="107" t="n">
        <v>5.3299999237</v>
      </c>
      <c r="M293" s="107" t="n">
        <v>11</v>
      </c>
      <c r="N293" s="107" t="n">
        <v>5.3299999237</v>
      </c>
      <c r="O293" s="102" t="n">
        <v>11</v>
      </c>
      <c r="P293" s="102" t="n">
        <v>5.3299999237</v>
      </c>
      <c r="Q293" s="92" t="s">
        <v>1641</v>
      </c>
    </row>
    <row r="294" customFormat="false" ht="14.25" hidden="false" customHeight="false" outlineLevel="0" collapsed="false">
      <c r="C294" s="64" t="n">
        <v>289</v>
      </c>
      <c r="D294" s="71" t="s">
        <v>2140</v>
      </c>
      <c r="E294" s="71" t="s">
        <v>2141</v>
      </c>
      <c r="F294" s="71" t="n">
        <v>13.2</v>
      </c>
      <c r="G294" s="71" t="s">
        <v>1674</v>
      </c>
      <c r="H294" s="65" t="s">
        <v>1197</v>
      </c>
      <c r="I294" s="71" t="s">
        <v>202</v>
      </c>
      <c r="J294" s="106"/>
      <c r="K294" s="107" t="n">
        <v>11.88</v>
      </c>
      <c r="L294" s="107" t="n">
        <v>3.18</v>
      </c>
      <c r="M294" s="107" t="n">
        <v>30.12</v>
      </c>
      <c r="N294" s="107" t="n">
        <v>8.49</v>
      </c>
      <c r="O294" s="102" t="n">
        <v>32.51</v>
      </c>
      <c r="P294" s="102" t="n">
        <v>7.83</v>
      </c>
      <c r="Q294" s="92" t="s">
        <v>2142</v>
      </c>
    </row>
    <row r="295" customFormat="false" ht="14.25" hidden="false" customHeight="false" outlineLevel="0" collapsed="false">
      <c r="C295" s="104" t="n">
        <v>290</v>
      </c>
      <c r="D295" s="71" t="s">
        <v>2143</v>
      </c>
      <c r="E295" s="71" t="s">
        <v>2144</v>
      </c>
      <c r="F295" s="71" t="n">
        <v>13.2</v>
      </c>
      <c r="G295" s="71" t="s">
        <v>1674</v>
      </c>
      <c r="H295" s="65" t="s">
        <v>1197</v>
      </c>
      <c r="I295" s="71" t="s">
        <v>202</v>
      </c>
      <c r="J295" s="106"/>
      <c r="K295" s="107" t="n">
        <v>11.41</v>
      </c>
      <c r="L295" s="107" t="n">
        <v>4.18</v>
      </c>
      <c r="M295" s="107" t="n">
        <v>31.31</v>
      </c>
      <c r="N295" s="107" t="n">
        <v>9.89</v>
      </c>
      <c r="O295" s="102" t="n">
        <v>28.93</v>
      </c>
      <c r="P295" s="102" t="n">
        <v>7.56</v>
      </c>
      <c r="Q295" s="92" t="s">
        <v>2145</v>
      </c>
    </row>
    <row r="296" customFormat="false" ht="14.25" hidden="false" customHeight="false" outlineLevel="0" collapsed="false">
      <c r="C296" s="64" t="n">
        <v>291</v>
      </c>
      <c r="D296" s="71" t="s">
        <v>2146</v>
      </c>
      <c r="E296" s="71" t="s">
        <v>2147</v>
      </c>
      <c r="F296" s="71" t="n">
        <v>13.2</v>
      </c>
      <c r="G296" s="71" t="s">
        <v>1674</v>
      </c>
      <c r="H296" s="65" t="s">
        <v>1207</v>
      </c>
      <c r="I296" s="71" t="s">
        <v>202</v>
      </c>
      <c r="J296" s="106"/>
      <c r="K296" s="107" t="n">
        <v>7.36</v>
      </c>
      <c r="L296" s="107" t="n">
        <v>2.52</v>
      </c>
      <c r="M296" s="107" t="n">
        <v>19.17</v>
      </c>
      <c r="N296" s="107" t="n">
        <v>7.3</v>
      </c>
      <c r="O296" s="102" t="n">
        <v>21.5</v>
      </c>
      <c r="P296" s="102" t="n">
        <v>6.5</v>
      </c>
      <c r="Q296" s="92" t="s">
        <v>2148</v>
      </c>
    </row>
    <row r="297" customFormat="false" ht="14.25" hidden="false" customHeight="false" outlineLevel="0" collapsed="false">
      <c r="C297" s="104" t="n">
        <v>292</v>
      </c>
      <c r="D297" s="71" t="s">
        <v>2149</v>
      </c>
      <c r="E297" s="71" t="s">
        <v>2150</v>
      </c>
      <c r="F297" s="71" t="n">
        <v>13.2</v>
      </c>
      <c r="G297" s="71" t="s">
        <v>1674</v>
      </c>
      <c r="H297" s="65" t="s">
        <v>1199</v>
      </c>
      <c r="I297" s="71" t="s">
        <v>202</v>
      </c>
      <c r="J297" s="106"/>
      <c r="K297" s="107" t="n">
        <v>10.52</v>
      </c>
      <c r="L297" s="107" t="n">
        <v>2.6</v>
      </c>
      <c r="M297" s="107" t="n">
        <v>26.55</v>
      </c>
      <c r="N297" s="107" t="n">
        <v>7.76</v>
      </c>
      <c r="O297" s="102" t="n">
        <v>26.05</v>
      </c>
      <c r="P297" s="102" t="n">
        <v>7.02</v>
      </c>
      <c r="Q297" s="92" t="s">
        <v>2151</v>
      </c>
    </row>
    <row r="298" customFormat="false" ht="14.25" hidden="false" customHeight="false" outlineLevel="0" collapsed="false">
      <c r="C298" s="64" t="n">
        <v>293</v>
      </c>
      <c r="D298" s="71" t="s">
        <v>2152</v>
      </c>
      <c r="E298" s="71" t="s">
        <v>2153</v>
      </c>
      <c r="F298" s="71" t="n">
        <v>13.2</v>
      </c>
      <c r="G298" s="71" t="s">
        <v>1674</v>
      </c>
      <c r="H298" s="65" t="s">
        <v>1199</v>
      </c>
      <c r="I298" s="71" t="s">
        <v>202</v>
      </c>
      <c r="J298" s="106"/>
      <c r="K298" s="107" t="n">
        <v>8.7</v>
      </c>
      <c r="L298" s="107" t="n">
        <v>1.8</v>
      </c>
      <c r="M298" s="107" t="n">
        <v>25.11</v>
      </c>
      <c r="N298" s="107" t="n">
        <v>6.71</v>
      </c>
      <c r="O298" s="102" t="n">
        <v>20.34</v>
      </c>
      <c r="P298" s="102" t="n">
        <v>4.8</v>
      </c>
      <c r="Q298" s="92" t="s">
        <v>2154</v>
      </c>
    </row>
    <row r="299" customFormat="false" ht="14.25" hidden="false" customHeight="false" outlineLevel="0" collapsed="false">
      <c r="C299" s="104" t="n">
        <v>294</v>
      </c>
      <c r="D299" s="71" t="s">
        <v>2155</v>
      </c>
      <c r="E299" s="71" t="s">
        <v>2156</v>
      </c>
      <c r="F299" s="71" t="n">
        <v>13.2</v>
      </c>
      <c r="G299" s="71" t="s">
        <v>1674</v>
      </c>
      <c r="H299" s="65" t="s">
        <v>1199</v>
      </c>
      <c r="I299" s="71" t="s">
        <v>202</v>
      </c>
      <c r="J299" s="106"/>
      <c r="K299" s="107" t="n">
        <v>6.54</v>
      </c>
      <c r="L299" s="107" t="n">
        <v>1.43</v>
      </c>
      <c r="M299" s="107" t="n">
        <v>14.13</v>
      </c>
      <c r="N299" s="107" t="n">
        <v>3.34</v>
      </c>
      <c r="O299" s="102" t="n">
        <v>17.5</v>
      </c>
      <c r="P299" s="102" t="n">
        <v>4.42</v>
      </c>
      <c r="Q299" s="92" t="s">
        <v>2157</v>
      </c>
    </row>
    <row r="300" customFormat="false" ht="14.25" hidden="false" customHeight="false" outlineLevel="0" collapsed="false">
      <c r="C300" s="64" t="n">
        <v>295</v>
      </c>
      <c r="D300" s="71" t="s">
        <v>2158</v>
      </c>
      <c r="E300" s="71" t="s">
        <v>2159</v>
      </c>
      <c r="F300" s="71" t="n">
        <v>13.2</v>
      </c>
      <c r="G300" s="71" t="s">
        <v>1674</v>
      </c>
      <c r="H300" s="65" t="s">
        <v>1233</v>
      </c>
      <c r="I300" s="71" t="s">
        <v>202</v>
      </c>
      <c r="J300" s="106"/>
      <c r="K300" s="107" t="n">
        <v>13.47</v>
      </c>
      <c r="L300" s="107" t="n">
        <v>6.77</v>
      </c>
      <c r="M300" s="107" t="n">
        <v>26.94</v>
      </c>
      <c r="N300" s="107" t="n">
        <v>10.22</v>
      </c>
      <c r="O300" s="102" t="n">
        <v>23.49</v>
      </c>
      <c r="P300" s="102" t="n">
        <v>7.43</v>
      </c>
      <c r="Q300" s="92" t="s">
        <v>2160</v>
      </c>
    </row>
    <row r="301" customFormat="false" ht="14.25" hidden="false" customHeight="false" outlineLevel="0" collapsed="false">
      <c r="C301" s="104" t="n">
        <v>296</v>
      </c>
      <c r="D301" s="71" t="s">
        <v>2161</v>
      </c>
      <c r="E301" s="71" t="s">
        <v>2162</v>
      </c>
      <c r="F301" s="71" t="n">
        <v>13.2</v>
      </c>
      <c r="G301" s="71" t="s">
        <v>1674</v>
      </c>
      <c r="H301" s="65" t="s">
        <v>1669</v>
      </c>
      <c r="I301" s="71" t="s">
        <v>202</v>
      </c>
      <c r="J301" s="106"/>
      <c r="K301" s="107" t="n">
        <v>10.51</v>
      </c>
      <c r="L301" s="107" t="n">
        <v>4.74</v>
      </c>
      <c r="M301" s="107" t="n">
        <v>30.2</v>
      </c>
      <c r="N301" s="107" t="n">
        <v>10.28</v>
      </c>
      <c r="O301" s="102" t="n">
        <v>31.73</v>
      </c>
      <c r="P301" s="102" t="n">
        <v>9.68</v>
      </c>
      <c r="Q301" s="92" t="s">
        <v>2163</v>
      </c>
    </row>
    <row r="302" customFormat="false" ht="14.25" hidden="false" customHeight="false" outlineLevel="0" collapsed="false">
      <c r="C302" s="64" t="n">
        <v>297</v>
      </c>
      <c r="D302" s="71" t="s">
        <v>2164</v>
      </c>
      <c r="E302" s="71" t="s">
        <v>2165</v>
      </c>
      <c r="F302" s="71" t="n">
        <v>13.2</v>
      </c>
      <c r="G302" s="71" t="s">
        <v>1674</v>
      </c>
      <c r="H302" s="65" t="s">
        <v>1245</v>
      </c>
      <c r="I302" s="71" t="s">
        <v>202</v>
      </c>
      <c r="J302" s="106"/>
      <c r="K302" s="107" t="n">
        <v>15.93</v>
      </c>
      <c r="L302" s="107" t="n">
        <v>3.58</v>
      </c>
      <c r="M302" s="107" t="n">
        <v>29.33</v>
      </c>
      <c r="N302" s="107" t="n">
        <v>6.64</v>
      </c>
      <c r="O302" s="102" t="n">
        <v>38.69</v>
      </c>
      <c r="P302" s="102" t="n">
        <v>7.1</v>
      </c>
      <c r="Q302" s="92" t="s">
        <v>2166</v>
      </c>
    </row>
    <row r="303" customFormat="false" ht="14.25" hidden="false" customHeight="false" outlineLevel="0" collapsed="false">
      <c r="C303" s="104" t="n">
        <v>298</v>
      </c>
      <c r="D303" s="71" t="s">
        <v>2167</v>
      </c>
      <c r="E303" s="71" t="s">
        <v>2168</v>
      </c>
      <c r="F303" s="71" t="n">
        <v>13.2</v>
      </c>
      <c r="G303" s="71" t="s">
        <v>1674</v>
      </c>
      <c r="H303" s="65" t="s">
        <v>1202</v>
      </c>
      <c r="I303" s="71" t="s">
        <v>202</v>
      </c>
      <c r="J303" s="106"/>
      <c r="K303" s="107" t="n">
        <v>9.9</v>
      </c>
      <c r="L303" s="107" t="n">
        <v>4.26</v>
      </c>
      <c r="M303" s="107" t="n">
        <v>28.04</v>
      </c>
      <c r="N303" s="107" t="n">
        <v>9.84</v>
      </c>
      <c r="O303" s="102" t="n">
        <v>30.92</v>
      </c>
      <c r="P303" s="102" t="n">
        <v>9.85</v>
      </c>
      <c r="Q303" s="92" t="s">
        <v>2169</v>
      </c>
    </row>
    <row r="304" customFormat="false" ht="14.25" hidden="false" customHeight="false" outlineLevel="0" collapsed="false">
      <c r="C304" s="64" t="n">
        <v>299</v>
      </c>
      <c r="D304" s="71" t="s">
        <v>2170</v>
      </c>
      <c r="E304" s="71" t="s">
        <v>2171</v>
      </c>
      <c r="F304" s="71" t="n">
        <v>13.2</v>
      </c>
      <c r="G304" s="71" t="s">
        <v>1674</v>
      </c>
      <c r="H304" s="65" t="s">
        <v>1247</v>
      </c>
      <c r="I304" s="71" t="s">
        <v>202</v>
      </c>
      <c r="J304" s="106"/>
      <c r="K304" s="107" t="n">
        <v>12.4</v>
      </c>
      <c r="L304" s="107" t="n">
        <v>4.13</v>
      </c>
      <c r="M304" s="107" t="n">
        <v>30.03</v>
      </c>
      <c r="N304" s="107" t="n">
        <v>8.75</v>
      </c>
      <c r="O304" s="102" t="n">
        <v>36.04</v>
      </c>
      <c r="P304" s="102" t="n">
        <v>10.7</v>
      </c>
      <c r="Q304" s="92" t="s">
        <v>2172</v>
      </c>
    </row>
    <row r="305" customFormat="false" ht="14.25" hidden="false" customHeight="false" outlineLevel="0" collapsed="false">
      <c r="C305" s="104" t="n">
        <v>300</v>
      </c>
      <c r="D305" s="71" t="s">
        <v>2173</v>
      </c>
      <c r="E305" s="71" t="s">
        <v>2174</v>
      </c>
      <c r="F305" s="71" t="n">
        <v>13.2</v>
      </c>
      <c r="G305" s="71" t="s">
        <v>1674</v>
      </c>
      <c r="H305" s="65" t="s">
        <v>1247</v>
      </c>
      <c r="I305" s="71" t="s">
        <v>202</v>
      </c>
      <c r="J305" s="106"/>
      <c r="K305" s="107" t="n">
        <v>6.32</v>
      </c>
      <c r="L305" s="107" t="n">
        <v>1.09</v>
      </c>
      <c r="M305" s="107" t="n">
        <v>15.5</v>
      </c>
      <c r="N305" s="107" t="n">
        <v>3.4</v>
      </c>
      <c r="O305" s="102" t="n">
        <v>20.48</v>
      </c>
      <c r="P305" s="102" t="n">
        <v>4.44</v>
      </c>
      <c r="Q305" s="92" t="s">
        <v>2175</v>
      </c>
    </row>
    <row r="306" customFormat="false" ht="14.25" hidden="false" customHeight="false" outlineLevel="0" collapsed="false">
      <c r="C306" s="64" t="n">
        <v>301</v>
      </c>
      <c r="D306" s="71" t="s">
        <v>2176</v>
      </c>
      <c r="E306" s="71" t="s">
        <v>2177</v>
      </c>
      <c r="F306" s="71" t="n">
        <v>13.2</v>
      </c>
      <c r="G306" s="71" t="s">
        <v>1674</v>
      </c>
      <c r="H306" s="65" t="s">
        <v>1238</v>
      </c>
      <c r="I306" s="71" t="s">
        <v>202</v>
      </c>
      <c r="J306" s="106"/>
      <c r="K306" s="107" t="n">
        <v>11.48</v>
      </c>
      <c r="L306" s="107" t="n">
        <v>6.24</v>
      </c>
      <c r="M306" s="107" t="n">
        <v>26.67</v>
      </c>
      <c r="N306" s="107" t="n">
        <v>10.75</v>
      </c>
      <c r="O306" s="102" t="n">
        <v>32.64</v>
      </c>
      <c r="P306" s="102" t="n">
        <v>10.55</v>
      </c>
      <c r="Q306" s="92" t="s">
        <v>2132</v>
      </c>
    </row>
    <row r="307" customFormat="false" ht="14.25" hidden="false" customHeight="false" outlineLevel="0" collapsed="false">
      <c r="C307" s="104" t="n">
        <v>302</v>
      </c>
      <c r="D307" s="71" t="s">
        <v>2178</v>
      </c>
      <c r="E307" s="71" t="s">
        <v>2179</v>
      </c>
      <c r="F307" s="71" t="n">
        <v>13.2</v>
      </c>
      <c r="G307" s="71" t="s">
        <v>1674</v>
      </c>
      <c r="H307" s="65" t="s">
        <v>1238</v>
      </c>
      <c r="I307" s="71" t="s">
        <v>202</v>
      </c>
      <c r="J307" s="106"/>
      <c r="K307" s="107" t="n">
        <v>12.87</v>
      </c>
      <c r="L307" s="107" t="n">
        <v>7.63</v>
      </c>
      <c r="M307" s="107" t="n">
        <v>23.42</v>
      </c>
      <c r="N307" s="107" t="n">
        <v>9.55</v>
      </c>
      <c r="O307" s="102" t="n">
        <v>29.86</v>
      </c>
      <c r="P307" s="102" t="n">
        <v>9.55</v>
      </c>
      <c r="Q307" s="92" t="s">
        <v>2135</v>
      </c>
    </row>
    <row r="308" customFormat="false" ht="14.25" hidden="false" customHeight="false" outlineLevel="0" collapsed="false">
      <c r="C308" s="64" t="n">
        <v>303</v>
      </c>
      <c r="D308" s="71" t="s">
        <v>2180</v>
      </c>
      <c r="E308" s="71" t="s">
        <v>2181</v>
      </c>
      <c r="F308" s="71" t="n">
        <v>13.2</v>
      </c>
      <c r="G308" s="71" t="s">
        <v>1674</v>
      </c>
      <c r="H308" s="65" t="s">
        <v>1214</v>
      </c>
      <c r="I308" s="71" t="s">
        <v>202</v>
      </c>
      <c r="J308" s="106"/>
      <c r="K308" s="107" t="n">
        <v>7.72023869</v>
      </c>
      <c r="L308" s="107" t="n">
        <v>3.89312077</v>
      </c>
      <c r="M308" s="107" t="n">
        <v>6.46052933</v>
      </c>
      <c r="N308" s="107" t="n">
        <v>2.73076749</v>
      </c>
      <c r="O308" s="102" t="n">
        <v>7.68476105</v>
      </c>
      <c r="P308" s="102" t="n">
        <v>2.66902661</v>
      </c>
      <c r="Q308" s="92" t="s">
        <v>2182</v>
      </c>
    </row>
    <row r="309" customFormat="false" ht="14.25" hidden="false" customHeight="false" outlineLevel="0" collapsed="false">
      <c r="C309" s="104" t="n">
        <v>304</v>
      </c>
      <c r="D309" s="71" t="s">
        <v>2183</v>
      </c>
      <c r="E309" s="71" t="s">
        <v>2184</v>
      </c>
      <c r="F309" s="71" t="n">
        <v>13.2</v>
      </c>
      <c r="G309" s="71" t="s">
        <v>1674</v>
      </c>
      <c r="H309" s="65" t="s">
        <v>1214</v>
      </c>
      <c r="I309" s="71" t="s">
        <v>202</v>
      </c>
      <c r="J309" s="106"/>
      <c r="K309" s="107" t="n">
        <v>0</v>
      </c>
      <c r="L309" s="107" t="n">
        <v>0</v>
      </c>
      <c r="M309" s="107" t="n">
        <v>2.00645757</v>
      </c>
      <c r="N309" s="107" t="n">
        <v>0.90223902</v>
      </c>
      <c r="O309" s="102" t="n">
        <v>2.90271258</v>
      </c>
      <c r="P309" s="102" t="n">
        <v>1.17682993</v>
      </c>
      <c r="Q309" s="92" t="s">
        <v>1641</v>
      </c>
    </row>
    <row r="310" customFormat="false" ht="14.25" hidden="false" customHeight="false" outlineLevel="0" collapsed="false">
      <c r="C310" s="64" t="n">
        <v>305</v>
      </c>
      <c r="D310" s="71" t="s">
        <v>1495</v>
      </c>
      <c r="E310" s="71" t="s">
        <v>2185</v>
      </c>
      <c r="F310" s="71" t="n">
        <v>13.2</v>
      </c>
      <c r="G310" s="71" t="s">
        <v>1674</v>
      </c>
      <c r="H310" s="65" t="s">
        <v>1209</v>
      </c>
      <c r="I310" s="71" t="s">
        <v>202</v>
      </c>
      <c r="J310" s="106"/>
      <c r="K310" s="107" t="n">
        <v>4.24</v>
      </c>
      <c r="L310" s="107" t="n">
        <v>1.76</v>
      </c>
      <c r="M310" s="107" t="n">
        <v>8.95</v>
      </c>
      <c r="N310" s="107" t="n">
        <v>3.12</v>
      </c>
      <c r="O310" s="102" t="n">
        <v>10.4</v>
      </c>
      <c r="P310" s="102" t="n">
        <v>3.12</v>
      </c>
      <c r="Q310" s="92" t="s">
        <v>1887</v>
      </c>
    </row>
    <row r="311" customFormat="false" ht="14.25" hidden="false" customHeight="false" outlineLevel="0" collapsed="false">
      <c r="C311" s="104" t="n">
        <v>306</v>
      </c>
      <c r="D311" s="71" t="s">
        <v>2186</v>
      </c>
      <c r="E311" s="71" t="s">
        <v>2187</v>
      </c>
      <c r="F311" s="71" t="n">
        <v>13.2</v>
      </c>
      <c r="G311" s="71" t="s">
        <v>1674</v>
      </c>
      <c r="H311" s="65" t="s">
        <v>851</v>
      </c>
      <c r="I311" s="71" t="s">
        <v>202</v>
      </c>
      <c r="J311" s="106"/>
      <c r="K311" s="107" t="n">
        <v>9.89</v>
      </c>
      <c r="L311" s="107" t="n">
        <v>2.65</v>
      </c>
      <c r="M311" s="107" t="n">
        <v>43.65</v>
      </c>
      <c r="N311" s="107" t="n">
        <v>14.2</v>
      </c>
      <c r="O311" s="102" t="n">
        <v>44.78</v>
      </c>
      <c r="P311" s="102" t="n">
        <v>12.21</v>
      </c>
      <c r="Q311" s="92" t="s">
        <v>2188</v>
      </c>
    </row>
    <row r="312" customFormat="false" ht="14.25" hidden="false" customHeight="false" outlineLevel="0" collapsed="false">
      <c r="C312" s="64" t="n">
        <v>307</v>
      </c>
      <c r="D312" s="71" t="s">
        <v>2189</v>
      </c>
      <c r="E312" s="71" t="s">
        <v>2190</v>
      </c>
      <c r="F312" s="71" t="n">
        <v>13.2</v>
      </c>
      <c r="G312" s="71" t="s">
        <v>1674</v>
      </c>
      <c r="H312" s="65" t="s">
        <v>851</v>
      </c>
      <c r="I312" s="71" t="s">
        <v>202</v>
      </c>
      <c r="J312" s="106"/>
      <c r="K312" s="107" t="n">
        <v>9.42</v>
      </c>
      <c r="L312" s="107" t="n">
        <v>2.12</v>
      </c>
      <c r="M312" s="107" t="n">
        <v>18.44</v>
      </c>
      <c r="N312" s="107" t="n">
        <v>6.7</v>
      </c>
      <c r="O312" s="102" t="n">
        <v>20.3</v>
      </c>
      <c r="P312" s="102" t="n">
        <v>5.77</v>
      </c>
      <c r="Q312" s="92" t="s">
        <v>2191</v>
      </c>
    </row>
    <row r="313" customFormat="false" ht="14.25" hidden="false" customHeight="false" outlineLevel="0" collapsed="false">
      <c r="C313" s="104" t="n">
        <v>308</v>
      </c>
      <c r="D313" s="71" t="s">
        <v>2192</v>
      </c>
      <c r="E313" s="71" t="s">
        <v>2193</v>
      </c>
      <c r="F313" s="71" t="n">
        <v>13.2</v>
      </c>
      <c r="G313" s="71" t="s">
        <v>1674</v>
      </c>
      <c r="H313" s="65" t="s">
        <v>2194</v>
      </c>
      <c r="I313" s="71" t="s">
        <v>202</v>
      </c>
      <c r="J313" s="106"/>
      <c r="K313" s="107" t="n">
        <v>2.41</v>
      </c>
      <c r="L313" s="107" t="n">
        <v>0.8</v>
      </c>
      <c r="M313" s="107" t="n">
        <v>6.91</v>
      </c>
      <c r="N313" s="107" t="n">
        <v>2.11</v>
      </c>
      <c r="O313" s="102" t="n">
        <v>7.42</v>
      </c>
      <c r="P313" s="102" t="n">
        <v>1.81</v>
      </c>
      <c r="Q313" s="92" t="s">
        <v>2195</v>
      </c>
    </row>
    <row r="314" customFormat="false" ht="14.25" hidden="false" customHeight="false" outlineLevel="0" collapsed="false">
      <c r="C314" s="64" t="n">
        <v>309</v>
      </c>
      <c r="D314" s="71" t="s">
        <v>2196</v>
      </c>
      <c r="E314" s="71" t="s">
        <v>2197</v>
      </c>
      <c r="F314" s="71" t="n">
        <v>13.2</v>
      </c>
      <c r="G314" s="71" t="s">
        <v>1674</v>
      </c>
      <c r="H314" s="65" t="s">
        <v>2194</v>
      </c>
      <c r="I314" s="71" t="s">
        <v>202</v>
      </c>
      <c r="J314" s="106"/>
      <c r="K314" s="107" t="n">
        <v>2.37</v>
      </c>
      <c r="L314" s="107" t="n">
        <v>1.11</v>
      </c>
      <c r="M314" s="107" t="n">
        <v>5.87</v>
      </c>
      <c r="N314" s="107" t="n">
        <v>1.99</v>
      </c>
      <c r="O314" s="102" t="n">
        <v>6.53</v>
      </c>
      <c r="P314" s="102" t="n">
        <v>1.51</v>
      </c>
      <c r="Q314" s="92" t="s">
        <v>2198</v>
      </c>
    </row>
    <row r="315" customFormat="false" ht="14.25" hidden="false" customHeight="false" outlineLevel="0" collapsed="false">
      <c r="C315" s="104" t="n">
        <v>310</v>
      </c>
      <c r="D315" s="71" t="s">
        <v>2199</v>
      </c>
      <c r="E315" s="71" t="s">
        <v>2200</v>
      </c>
      <c r="F315" s="71" t="n">
        <v>13.2</v>
      </c>
      <c r="G315" s="71" t="s">
        <v>1674</v>
      </c>
      <c r="H315" s="65" t="s">
        <v>851</v>
      </c>
      <c r="I315" s="71" t="s">
        <v>202</v>
      </c>
      <c r="J315" s="106"/>
      <c r="K315" s="107" t="n">
        <v>4.62</v>
      </c>
      <c r="L315" s="107" t="n">
        <v>2.33</v>
      </c>
      <c r="M315" s="107" t="n">
        <v>9.69</v>
      </c>
      <c r="N315" s="107" t="n">
        <v>3.84</v>
      </c>
      <c r="O315" s="102" t="n">
        <v>10.65</v>
      </c>
      <c r="P315" s="102" t="n">
        <v>3.24</v>
      </c>
      <c r="Q315" s="92" t="s">
        <v>2201</v>
      </c>
    </row>
    <row r="316" customFormat="false" ht="14.25" hidden="false" customHeight="false" outlineLevel="0" collapsed="false">
      <c r="C316" s="64" t="n">
        <v>311</v>
      </c>
      <c r="D316" s="71" t="s">
        <v>2202</v>
      </c>
      <c r="E316" s="71" t="s">
        <v>2203</v>
      </c>
      <c r="F316" s="71" t="n">
        <v>13.2</v>
      </c>
      <c r="G316" s="71" t="s">
        <v>1674</v>
      </c>
      <c r="H316" s="65" t="s">
        <v>1036</v>
      </c>
      <c r="I316" s="71" t="s">
        <v>771</v>
      </c>
      <c r="J316" s="69" t="n">
        <v>46752</v>
      </c>
      <c r="K316" s="107"/>
      <c r="L316" s="107"/>
      <c r="M316" s="107"/>
      <c r="N316" s="107"/>
      <c r="O316" s="102"/>
      <c r="P316" s="102"/>
      <c r="Q316" s="92" t="s">
        <v>2204</v>
      </c>
    </row>
    <row r="317" customFormat="false" ht="14.25" hidden="false" customHeight="false" outlineLevel="0" collapsed="false">
      <c r="C317" s="104" t="n">
        <v>312</v>
      </c>
      <c r="D317" s="65" t="s">
        <v>1250</v>
      </c>
      <c r="E317" s="65" t="s">
        <v>2205</v>
      </c>
      <c r="F317" s="71" t="n">
        <v>13.2</v>
      </c>
      <c r="G317" s="65" t="s">
        <v>1674</v>
      </c>
      <c r="H317" s="65" t="s">
        <v>1250</v>
      </c>
      <c r="I317" s="65" t="s">
        <v>771</v>
      </c>
      <c r="J317" s="69" t="n">
        <v>46387</v>
      </c>
      <c r="K317" s="102"/>
      <c r="L317" s="102"/>
      <c r="M317" s="102"/>
      <c r="N317" s="102"/>
      <c r="O317" s="102"/>
      <c r="P317" s="102"/>
      <c r="Q317" s="92" t="s">
        <v>2206</v>
      </c>
    </row>
    <row r="318" customFormat="false" ht="14.25" hidden="false" customHeight="false" outlineLevel="0" collapsed="false">
      <c r="C318" s="64" t="n">
        <v>313</v>
      </c>
      <c r="D318" s="65" t="s">
        <v>2207</v>
      </c>
      <c r="E318" s="65" t="s">
        <v>2208</v>
      </c>
      <c r="F318" s="71" t="n">
        <v>13.2</v>
      </c>
      <c r="G318" s="65" t="s">
        <v>1640</v>
      </c>
      <c r="H318" s="65" t="s">
        <v>1207</v>
      </c>
      <c r="I318" s="65" t="s">
        <v>202</v>
      </c>
      <c r="J318" s="69"/>
      <c r="K318" s="102" t="n">
        <v>0</v>
      </c>
      <c r="L318" s="102" t="n">
        <v>0</v>
      </c>
      <c r="M318" s="102" t="n">
        <v>0</v>
      </c>
      <c r="N318" s="102" t="n">
        <v>0</v>
      </c>
      <c r="O318" s="102" t="n">
        <v>0</v>
      </c>
      <c r="P318" s="102" t="n">
        <v>0</v>
      </c>
      <c r="Q318" s="92" t="s">
        <v>1641</v>
      </c>
    </row>
    <row r="319" customFormat="false" ht="14.25" hidden="false" customHeight="false" outlineLevel="0" collapsed="false">
      <c r="C319" s="104" t="n">
        <v>314</v>
      </c>
      <c r="D319" s="65" t="s">
        <v>2209</v>
      </c>
      <c r="E319" s="65" t="s">
        <v>2210</v>
      </c>
      <c r="F319" s="71" t="n">
        <v>44</v>
      </c>
      <c r="G319" s="65" t="s">
        <v>1640</v>
      </c>
      <c r="H319" s="65" t="s">
        <v>1033</v>
      </c>
      <c r="I319" s="65" t="s">
        <v>202</v>
      </c>
      <c r="J319" s="69"/>
      <c r="K319" s="102" t="n">
        <v>0.33</v>
      </c>
      <c r="L319" s="102" t="n">
        <v>0.16</v>
      </c>
      <c r="M319" s="102" t="n">
        <v>0.3</v>
      </c>
      <c r="N319" s="102" t="n">
        <v>0.15</v>
      </c>
      <c r="O319" s="102" t="n">
        <v>0.31</v>
      </c>
      <c r="P319" s="102" t="n">
        <v>0.15</v>
      </c>
      <c r="Q319" s="92" t="s">
        <v>1641</v>
      </c>
    </row>
    <row r="320" customFormat="false" ht="14.25" hidden="false" customHeight="false" outlineLevel="0" collapsed="false">
      <c r="C320" s="64" t="n">
        <v>315</v>
      </c>
      <c r="D320" s="65" t="s">
        <v>2211</v>
      </c>
      <c r="E320" s="65" t="s">
        <v>2212</v>
      </c>
      <c r="F320" s="71" t="n">
        <v>44</v>
      </c>
      <c r="G320" s="65" t="s">
        <v>1640</v>
      </c>
      <c r="H320" s="65" t="s">
        <v>1214</v>
      </c>
      <c r="I320" s="65" t="s">
        <v>202</v>
      </c>
      <c r="J320" s="69"/>
      <c r="K320" s="102" t="n">
        <v>0</v>
      </c>
      <c r="L320" s="102" t="n">
        <v>0</v>
      </c>
      <c r="M320" s="102" t="n">
        <v>0</v>
      </c>
      <c r="N320" s="102" t="n">
        <v>0</v>
      </c>
      <c r="O320" s="102" t="n">
        <v>0</v>
      </c>
      <c r="P320" s="102" t="n">
        <v>0</v>
      </c>
      <c r="Q320" s="92" t="s">
        <v>1641</v>
      </c>
    </row>
    <row r="321" customFormat="false" ht="14.25" hidden="false" customHeight="false" outlineLevel="0" collapsed="false">
      <c r="C321" s="64" t="n">
        <v>316</v>
      </c>
      <c r="D321" s="65" t="s">
        <v>2213</v>
      </c>
      <c r="E321" s="65" t="s">
        <v>2213</v>
      </c>
      <c r="F321" s="71" t="n">
        <v>44</v>
      </c>
      <c r="G321" s="65" t="s">
        <v>1640</v>
      </c>
      <c r="H321" s="65" t="s">
        <v>1039</v>
      </c>
      <c r="I321" s="65" t="s">
        <v>202</v>
      </c>
      <c r="J321" s="69"/>
      <c r="K321" s="102" t="n">
        <v>0</v>
      </c>
      <c r="L321" s="102" t="n">
        <v>0</v>
      </c>
      <c r="M321" s="102" t="n">
        <v>0</v>
      </c>
      <c r="N321" s="102" t="n">
        <v>0</v>
      </c>
      <c r="O321" s="102" t="n">
        <v>0</v>
      </c>
      <c r="P321" s="102" t="n">
        <v>0</v>
      </c>
      <c r="Q321" s="92" t="s">
        <v>1641</v>
      </c>
    </row>
    <row r="322" customFormat="false" ht="14.25" hidden="false" customHeight="false" outlineLevel="0" collapsed="false">
      <c r="C322" s="64" t="n">
        <v>316</v>
      </c>
      <c r="D322" s="65" t="s">
        <v>1269</v>
      </c>
      <c r="E322" s="65" t="s">
        <v>1269</v>
      </c>
      <c r="F322" s="65" t="n">
        <v>13.2</v>
      </c>
      <c r="G322" s="65" t="s">
        <v>1674</v>
      </c>
      <c r="H322" s="65" t="s">
        <v>2214</v>
      </c>
      <c r="I322" s="65" t="s">
        <v>202</v>
      </c>
      <c r="J322" s="69"/>
      <c r="K322" s="102" t="n">
        <v>1.403</v>
      </c>
      <c r="L322" s="102" t="n">
        <v>0.385</v>
      </c>
      <c r="M322" s="102" t="n">
        <v>2.923</v>
      </c>
      <c r="N322" s="102" t="n">
        <v>0.803</v>
      </c>
      <c r="O322" s="102" t="n">
        <v>3.367</v>
      </c>
      <c r="P322" s="102" t="n">
        <v>0.925</v>
      </c>
      <c r="Q322" s="92" t="s">
        <v>2215</v>
      </c>
    </row>
    <row r="334" customFormat="false" ht="14.25" hidden="false" customHeight="false" outlineLevel="0" collapsed="false">
      <c r="K334" s="78"/>
      <c r="L334" s="78"/>
      <c r="M334" s="78"/>
      <c r="N334" s="78"/>
      <c r="O334" s="78"/>
      <c r="P334" s="78"/>
    </row>
    <row r="335" customFormat="false" ht="14.25" hidden="false" customHeight="false" outlineLevel="0" collapsed="false">
      <c r="K335" s="78"/>
      <c r="L335" s="78"/>
      <c r="M335" s="78"/>
      <c r="N335" s="78"/>
      <c r="O335" s="78"/>
      <c r="P335" s="78"/>
    </row>
    <row r="336" customFormat="false" ht="14.25" hidden="false" customHeight="false" outlineLevel="0" collapsed="false">
      <c r="K336" s="78"/>
      <c r="L336" s="78"/>
      <c r="M336" s="78"/>
      <c r="N336" s="78"/>
      <c r="O336" s="78"/>
      <c r="P336" s="78"/>
    </row>
    <row r="337" customFormat="false" ht="14.25" hidden="false" customHeight="false" outlineLevel="0" collapsed="false">
      <c r="K337" s="78"/>
      <c r="L337" s="78"/>
      <c r="M337" s="78"/>
      <c r="N337" s="78"/>
      <c r="O337" s="78"/>
      <c r="P337" s="78"/>
    </row>
    <row r="338" customFormat="false" ht="14.25" hidden="false" customHeight="false" outlineLevel="0" collapsed="false">
      <c r="K338" s="78"/>
      <c r="L338" s="78"/>
      <c r="M338" s="78"/>
      <c r="N338" s="78"/>
      <c r="O338" s="78"/>
      <c r="P338" s="78"/>
    </row>
    <row r="339" customFormat="false" ht="14.25" hidden="false" customHeight="false" outlineLevel="0" collapsed="false">
      <c r="K339" s="78"/>
      <c r="L339" s="78"/>
      <c r="M339" s="78"/>
      <c r="N339" s="78"/>
      <c r="O339" s="78"/>
      <c r="P339" s="78"/>
    </row>
    <row r="340" customFormat="false" ht="14.25" hidden="false" customHeight="false" outlineLevel="0" collapsed="false">
      <c r="K340" s="78"/>
    </row>
    <row r="341" customFormat="false" ht="14.25" hidden="false" customHeight="false" outlineLevel="0" collapsed="false">
      <c r="K341" s="110"/>
      <c r="L341" s="110"/>
      <c r="M341" s="110"/>
      <c r="N341" s="110"/>
      <c r="O341" s="110"/>
      <c r="P341" s="110"/>
    </row>
    <row r="342" customFormat="false" ht="14.25" hidden="false" customHeight="false" outlineLevel="0" collapsed="false">
      <c r="K342" s="110"/>
      <c r="L342" s="110"/>
      <c r="M342" s="110"/>
      <c r="N342" s="110"/>
      <c r="O342" s="110"/>
      <c r="P342" s="110"/>
    </row>
    <row r="343" customFormat="false" ht="14.25" hidden="false" customHeight="false" outlineLevel="0" collapsed="false">
      <c r="K343" s="110"/>
      <c r="L343" s="110"/>
      <c r="M343" s="110"/>
      <c r="N343" s="110"/>
      <c r="O343" s="110"/>
      <c r="P343" s="110"/>
    </row>
    <row r="344" customFormat="false" ht="14.25" hidden="false" customHeight="false" outlineLevel="0" collapsed="false">
      <c r="K344" s="110"/>
      <c r="L344" s="110"/>
      <c r="M344" s="110"/>
      <c r="N344" s="110"/>
      <c r="O344" s="110"/>
      <c r="P344" s="110"/>
    </row>
    <row r="345" customFormat="false" ht="14.25" hidden="false" customHeight="false" outlineLevel="0" collapsed="false">
      <c r="K345" s="110"/>
      <c r="L345" s="110"/>
      <c r="M345" s="110"/>
      <c r="N345" s="110"/>
      <c r="O345" s="110"/>
      <c r="P345" s="110"/>
    </row>
    <row r="346" customFormat="false" ht="14.25" hidden="false" customHeight="false" outlineLevel="0" collapsed="false">
      <c r="K346" s="110"/>
      <c r="L346" s="110"/>
      <c r="M346" s="110"/>
      <c r="N346" s="110"/>
      <c r="O346" s="110"/>
      <c r="P346" s="110"/>
    </row>
  </sheetData>
  <mergeCells count="13">
    <mergeCell ref="C3:Q3"/>
    <mergeCell ref="C4:C5"/>
    <mergeCell ref="D4:D5"/>
    <mergeCell ref="E4:E5"/>
    <mergeCell ref="F4:F5"/>
    <mergeCell ref="G4:G5"/>
    <mergeCell ref="H4:H5"/>
    <mergeCell ref="I4:I5"/>
    <mergeCell ref="J4:J5"/>
    <mergeCell ref="K4:L4"/>
    <mergeCell ref="M4:N4"/>
    <mergeCell ref="O4:P4"/>
    <mergeCell ref="Q4:Q5"/>
  </mergeCells>
  <dataValidations count="6">
    <dataValidation allowBlank="true" errorStyle="stop" operator="greaterThan" showDropDown="false" showErrorMessage="true" showInputMessage="true" sqref="J1 J6:J1322" type="date">
      <formula1>1</formula1>
      <formula2>0</formula2>
    </dataValidation>
    <dataValidation allowBlank="true" errorStyle="stop" operator="between" showDropDown="false" showErrorMessage="true" showInputMessage="true" sqref="F1 K1:P1 F6:F113 K6:P329 K331:P1322" type="decimal">
      <formula1>-100000000</formula1>
      <formula2>100000000000</formula2>
    </dataValidation>
    <dataValidation allowBlank="true" errorStyle="stop" operator="between" showDropDown="false" showErrorMessage="true" showInputMessage="true" sqref="G56:G113 I56:I130 I132:I138" type="list">
      <formula1>#ref!</formula1>
      <formula2>0</formula2>
    </dataValidation>
    <dataValidation allowBlank="true" errorStyle="stop" operator="between" showDropDown="false" showErrorMessage="true" showInputMessage="true" sqref="I1 I6:I55" type="list">
      <formula1>'Listas Desplegables'!$B$58:$B$59</formula1>
      <formula2>0</formula2>
    </dataValidation>
    <dataValidation allowBlank="true" errorStyle="stop" operator="between" showDropDown="false" showErrorMessage="true" showInputMessage="true" sqref="G1 G6:G55" type="list">
      <formula1>'Listas Desplegables'!$B$53:$B$56</formula1>
      <formula2>0</formula2>
    </dataValidation>
    <dataValidation allowBlank="true" errorStyle="stop" operator="between" showDropDown="false" showErrorMessage="true" showInputMessage="true" sqref="E56:E113 D57:D115" type="list">
      <formula1>'c:\users\aacosta\downloads\[circular_002_anexo.xlsx]listas desplegables'!#ref!</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N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6" activeCellId="0" sqref="D16"/>
    </sheetView>
  </sheetViews>
  <sheetFormatPr defaultColWidth="11.55859375" defaultRowHeight="14.25" zeroHeight="false" outlineLevelRow="0" outlineLevelCol="0"/>
  <cols>
    <col collapsed="false" customWidth="true" hidden="false" outlineLevel="0" max="2" min="1" style="111" width="3"/>
    <col collapsed="false" customWidth="true" hidden="false" outlineLevel="0" max="3" min="3" style="46" width="6.67"/>
    <col collapsed="false" customWidth="true" hidden="false" outlineLevel="0" max="4" min="4" style="0" width="33"/>
    <col collapsed="false" customWidth="true" hidden="false" outlineLevel="0" max="5" min="5" style="0" width="16.11"/>
    <col collapsed="false" customWidth="true" hidden="false" outlineLevel="0" max="6" min="6" style="0" width="12.67"/>
    <col collapsed="false" customWidth="true" hidden="false" outlineLevel="0" max="11" min="10" style="0" width="14.89"/>
    <col collapsed="false" customWidth="false" hidden="false" outlineLevel="0" max="13" min="13" style="47" width="11.55"/>
    <col collapsed="false" customWidth="true" hidden="false" outlineLevel="0" max="14" min="14" style="0" width="29.44"/>
  </cols>
  <sheetData>
    <row r="2" customFormat="false" ht="15" hidden="false" customHeight="false" outlineLevel="0" collapsed="false"/>
    <row r="3" s="50" customFormat="true" ht="15" hidden="false" customHeight="false" outlineLevel="0" collapsed="false">
      <c r="A3" s="112"/>
      <c r="B3" s="112"/>
      <c r="C3" s="49" t="s">
        <v>2216</v>
      </c>
      <c r="D3" s="49"/>
      <c r="E3" s="49"/>
      <c r="F3" s="49"/>
      <c r="G3" s="49"/>
      <c r="H3" s="49"/>
      <c r="I3" s="49"/>
      <c r="J3" s="49"/>
      <c r="K3" s="49"/>
      <c r="L3" s="49"/>
      <c r="M3" s="49"/>
      <c r="N3" s="49"/>
    </row>
    <row r="4" s="55" customFormat="true" ht="12" hidden="false" customHeight="true" outlineLevel="0" collapsed="false">
      <c r="A4" s="113"/>
      <c r="B4" s="113"/>
      <c r="C4" s="53" t="s">
        <v>195</v>
      </c>
      <c r="D4" s="54" t="str">
        <f aca="false">'Manual de Uso'!C126</f>
        <v>Nombre</v>
      </c>
      <c r="E4" s="54" t="str">
        <f aca="false">'Manual de Uso'!C127</f>
        <v>Subestación</v>
      </c>
      <c r="F4" s="54" t="str">
        <f aca="false">'Manual de Uso'!C128</f>
        <v>Nivel de tensión [kV]</v>
      </c>
      <c r="G4" s="54" t="str">
        <f aca="false">'Manual de Uso'!C129</f>
        <v>Capacidad [MVAr]</v>
      </c>
      <c r="H4" s="54" t="s">
        <v>147</v>
      </c>
      <c r="I4" s="54" t="str">
        <f aca="false">'Manual de Uso'!C131</f>
        <v>Número de pasos</v>
      </c>
      <c r="J4" s="54" t="str">
        <f aca="false">'Manual de Uso'!C132</f>
        <v>Tipo conexión</v>
      </c>
      <c r="K4" s="54" t="str">
        <f aca="false">'Manual de Uso'!C133</f>
        <v>Operabilidad</v>
      </c>
      <c r="L4" s="54" t="str">
        <f aca="false">'Manual de Uso'!C134</f>
        <v>En Operación</v>
      </c>
      <c r="M4" s="87" t="str">
        <f aca="false">'Manual de Uso'!C135</f>
        <v>FPO</v>
      </c>
      <c r="N4" s="54" t="str">
        <f aca="false">'Manual de Uso'!C136</f>
        <v>Observaciones transportador</v>
      </c>
    </row>
    <row r="5" s="55" customFormat="true" ht="24" hidden="false" customHeight="true" outlineLevel="0" collapsed="false">
      <c r="A5" s="113"/>
      <c r="B5" s="113"/>
      <c r="C5" s="53"/>
      <c r="D5" s="54"/>
      <c r="E5" s="54"/>
      <c r="F5" s="54"/>
      <c r="G5" s="54"/>
      <c r="H5" s="54"/>
      <c r="I5" s="54"/>
      <c r="J5" s="54"/>
      <c r="K5" s="54"/>
      <c r="L5" s="54"/>
      <c r="M5" s="87"/>
      <c r="N5" s="54"/>
    </row>
    <row r="6" customFormat="false" ht="14.25" hidden="false" customHeight="false" outlineLevel="0" collapsed="false">
      <c r="A6" s="111" t="e">
        <f aca="false">#N/A</f>
        <v>#N/A</v>
      </c>
      <c r="B6" s="111" t="e">
        <f aca="false">#N/A</f>
        <v>#N/A</v>
      </c>
      <c r="C6" s="57" t="n">
        <v>1</v>
      </c>
      <c r="D6" s="58" t="s">
        <v>797</v>
      </c>
      <c r="E6" s="58" t="s">
        <v>1698</v>
      </c>
      <c r="F6" s="66" t="n">
        <v>13.2</v>
      </c>
      <c r="G6" s="60" t="n">
        <v>0.15</v>
      </c>
      <c r="H6" s="68" t="s">
        <v>2217</v>
      </c>
      <c r="I6" s="60" t="n">
        <v>1</v>
      </c>
      <c r="J6" s="68" t="s">
        <v>2218</v>
      </c>
      <c r="K6" s="68" t="s">
        <v>2219</v>
      </c>
      <c r="L6" s="61" t="s">
        <v>202</v>
      </c>
      <c r="M6" s="62"/>
      <c r="N6" s="95"/>
    </row>
    <row r="7" customFormat="false" ht="14.25" hidden="false" customHeight="false" outlineLevel="0" collapsed="false">
      <c r="A7" s="111" t="e">
        <f aca="false">#N/A</f>
        <v>#N/A</v>
      </c>
      <c r="B7" s="111" t="e">
        <f aca="false">#N/A</f>
        <v>#N/A</v>
      </c>
      <c r="C7" s="64" t="n">
        <v>2</v>
      </c>
      <c r="D7" s="65" t="s">
        <v>1502</v>
      </c>
      <c r="E7" s="65" t="s">
        <v>1707</v>
      </c>
      <c r="F7" s="66" t="n">
        <v>13.2</v>
      </c>
      <c r="G7" s="67" t="n">
        <v>1.8</v>
      </c>
      <c r="H7" s="68" t="s">
        <v>2217</v>
      </c>
      <c r="I7" s="67" t="n">
        <v>1</v>
      </c>
      <c r="J7" s="68" t="s">
        <v>2218</v>
      </c>
      <c r="K7" s="68" t="s">
        <v>2219</v>
      </c>
      <c r="L7" s="68" t="s">
        <v>202</v>
      </c>
      <c r="M7" s="69"/>
      <c r="N7" s="92"/>
    </row>
    <row r="8" customFormat="false" ht="14.25" hidden="false" customHeight="false" outlineLevel="0" collapsed="false">
      <c r="A8" s="111" t="e">
        <f aca="false">#N/A</f>
        <v>#N/A</v>
      </c>
      <c r="B8" s="111" t="e">
        <f aca="false">#N/A</f>
        <v>#N/A</v>
      </c>
      <c r="C8" s="64" t="n">
        <v>3</v>
      </c>
      <c r="D8" s="65" t="s">
        <v>1381</v>
      </c>
      <c r="E8" s="65" t="s">
        <v>1677</v>
      </c>
      <c r="F8" s="66" t="n">
        <v>13.2</v>
      </c>
      <c r="G8" s="67" t="n">
        <v>1.8</v>
      </c>
      <c r="H8" s="68" t="s">
        <v>2217</v>
      </c>
      <c r="I8" s="67" t="n">
        <v>1</v>
      </c>
      <c r="J8" s="68" t="s">
        <v>2218</v>
      </c>
      <c r="K8" s="68" t="s">
        <v>2219</v>
      </c>
      <c r="L8" s="68" t="s">
        <v>202</v>
      </c>
      <c r="M8" s="69"/>
      <c r="N8" s="92"/>
    </row>
    <row r="9" customFormat="false" ht="14.25" hidden="false" customHeight="false" outlineLevel="0" collapsed="false">
      <c r="A9" s="111" t="e">
        <f aca="false">#N/A</f>
        <v>#N/A</v>
      </c>
      <c r="B9" s="111" t="e">
        <f aca="false">#N/A</f>
        <v>#N/A</v>
      </c>
      <c r="C9" s="64" t="n">
        <v>4</v>
      </c>
      <c r="D9" s="65" t="s">
        <v>794</v>
      </c>
      <c r="E9" s="65" t="s">
        <v>1717</v>
      </c>
      <c r="F9" s="66" t="n">
        <v>13.2</v>
      </c>
      <c r="G9" s="67" t="n">
        <v>1.8</v>
      </c>
      <c r="H9" s="68" t="s">
        <v>2217</v>
      </c>
      <c r="I9" s="67" t="n">
        <v>1</v>
      </c>
      <c r="J9" s="68" t="s">
        <v>2218</v>
      </c>
      <c r="K9" s="68" t="s">
        <v>2219</v>
      </c>
      <c r="L9" s="68" t="s">
        <v>771</v>
      </c>
      <c r="M9" s="69" t="n">
        <v>45291</v>
      </c>
      <c r="N9" s="92"/>
    </row>
    <row r="10" customFormat="false" ht="14.25" hidden="false" customHeight="false" outlineLevel="0" collapsed="false">
      <c r="A10" s="111" t="e">
        <f aca="false">#N/A</f>
        <v>#N/A</v>
      </c>
      <c r="B10" s="111" t="e">
        <f aca="false">#N/A</f>
        <v>#N/A</v>
      </c>
      <c r="C10" s="64" t="n">
        <v>5</v>
      </c>
      <c r="D10" s="65" t="s">
        <v>1406</v>
      </c>
      <c r="E10" s="65" t="s">
        <v>1688</v>
      </c>
      <c r="F10" s="66" t="n">
        <v>13.2</v>
      </c>
      <c r="G10" s="67" t="n">
        <v>1.8</v>
      </c>
      <c r="H10" s="68" t="s">
        <v>2217</v>
      </c>
      <c r="I10" s="67" t="n">
        <v>1</v>
      </c>
      <c r="J10" s="68" t="s">
        <v>2218</v>
      </c>
      <c r="K10" s="68" t="s">
        <v>2219</v>
      </c>
      <c r="L10" s="68" t="s">
        <v>771</v>
      </c>
      <c r="M10" s="69" t="n">
        <v>45291</v>
      </c>
      <c r="N10" s="92"/>
    </row>
    <row r="11" customFormat="false" ht="14.25" hidden="false" customHeight="false" outlineLevel="0" collapsed="false">
      <c r="A11" s="111" t="e">
        <f aca="false">#N/A</f>
        <v>#N/A</v>
      </c>
      <c r="B11" s="111" t="e">
        <f aca="false">#N/A</f>
        <v>#N/A</v>
      </c>
      <c r="C11" s="64" t="n">
        <v>6</v>
      </c>
      <c r="D11" s="65" t="s">
        <v>2220</v>
      </c>
      <c r="E11" s="65" t="s">
        <v>2221</v>
      </c>
      <c r="F11" s="66" t="n">
        <v>110</v>
      </c>
      <c r="G11" s="67" t="n">
        <v>18</v>
      </c>
      <c r="H11" s="68" t="s">
        <v>2217</v>
      </c>
      <c r="I11" s="67" t="n">
        <v>3</v>
      </c>
      <c r="J11" s="68" t="s">
        <v>2218</v>
      </c>
      <c r="K11" s="68" t="s">
        <v>2219</v>
      </c>
      <c r="L11" s="68" t="s">
        <v>202</v>
      </c>
      <c r="M11" s="69"/>
      <c r="N11" s="92"/>
    </row>
    <row r="12" customFormat="false" ht="14.25" hidden="false" customHeight="false" outlineLevel="0" collapsed="false">
      <c r="A12" s="111" t="e">
        <f aca="false">#N/A</f>
        <v>#N/A</v>
      </c>
      <c r="B12" s="111" t="e">
        <f aca="false">#N/A</f>
        <v>#N/A</v>
      </c>
      <c r="C12" s="64" t="n">
        <v>7</v>
      </c>
      <c r="D12" s="65" t="s">
        <v>943</v>
      </c>
      <c r="E12" s="65" t="s">
        <v>1822</v>
      </c>
      <c r="F12" s="66" t="n">
        <v>13.2</v>
      </c>
      <c r="G12" s="67" t="n">
        <v>0.567</v>
      </c>
      <c r="H12" s="68" t="s">
        <v>2217</v>
      </c>
      <c r="I12" s="67" t="n">
        <v>1</v>
      </c>
      <c r="J12" s="68" t="s">
        <v>2218</v>
      </c>
      <c r="K12" s="68" t="s">
        <v>2219</v>
      </c>
      <c r="L12" s="68" t="s">
        <v>202</v>
      </c>
      <c r="M12" s="69"/>
      <c r="N12" s="92"/>
    </row>
    <row r="13" customFormat="false" ht="14.25" hidden="false" customHeight="false" outlineLevel="0" collapsed="false">
      <c r="A13" s="111" t="e">
        <f aca="false">#N/A</f>
        <v>#N/A</v>
      </c>
      <c r="B13" s="111" t="e">
        <f aca="false">#N/A</f>
        <v>#N/A</v>
      </c>
      <c r="C13" s="64" t="n">
        <v>8</v>
      </c>
      <c r="D13" s="65" t="s">
        <v>958</v>
      </c>
      <c r="E13" s="65" t="s">
        <v>1846</v>
      </c>
      <c r="F13" s="66" t="n">
        <v>13.2</v>
      </c>
      <c r="G13" s="67" t="n">
        <v>6.32</v>
      </c>
      <c r="H13" s="68" t="s">
        <v>2217</v>
      </c>
      <c r="I13" s="67" t="n">
        <v>4</v>
      </c>
      <c r="J13" s="68" t="s">
        <v>2218</v>
      </c>
      <c r="K13" s="68" t="s">
        <v>2219</v>
      </c>
      <c r="L13" s="68" t="s">
        <v>202</v>
      </c>
      <c r="M13" s="69"/>
      <c r="N13" s="92" t="s">
        <v>2222</v>
      </c>
    </row>
    <row r="14" customFormat="false" ht="14.25" hidden="false" customHeight="false" outlineLevel="0" collapsed="false">
      <c r="A14" s="111" t="e">
        <f aca="false">#N/A</f>
        <v>#N/A</v>
      </c>
      <c r="B14" s="111" t="e">
        <f aca="false">#N/A</f>
        <v>#N/A</v>
      </c>
      <c r="C14" s="64" t="n">
        <v>9</v>
      </c>
      <c r="D14" s="65" t="s">
        <v>956</v>
      </c>
      <c r="E14" s="65" t="s">
        <v>1825</v>
      </c>
      <c r="F14" s="66" t="n">
        <v>13.2</v>
      </c>
      <c r="G14" s="67" t="n">
        <v>0.567</v>
      </c>
      <c r="H14" s="68" t="s">
        <v>2217</v>
      </c>
      <c r="I14" s="67" t="n">
        <v>1</v>
      </c>
      <c r="J14" s="68" t="s">
        <v>2218</v>
      </c>
      <c r="K14" s="68" t="s">
        <v>2219</v>
      </c>
      <c r="L14" s="68" t="s">
        <v>202</v>
      </c>
      <c r="M14" s="69"/>
      <c r="N14" s="92"/>
    </row>
    <row r="15" customFormat="false" ht="14.25" hidden="false" customHeight="false" outlineLevel="0" collapsed="false">
      <c r="A15" s="111" t="e">
        <f aca="false">#N/A</f>
        <v>#N/A</v>
      </c>
      <c r="B15" s="111" t="e">
        <f aca="false">#N/A</f>
        <v>#N/A</v>
      </c>
      <c r="C15" s="64" t="n">
        <v>10</v>
      </c>
      <c r="D15" s="65" t="s">
        <v>1386</v>
      </c>
      <c r="E15" s="65" t="s">
        <v>2223</v>
      </c>
      <c r="F15" s="66" t="n">
        <v>13.2</v>
      </c>
      <c r="G15" s="67" t="n">
        <v>7.2</v>
      </c>
      <c r="H15" s="68" t="s">
        <v>2217</v>
      </c>
      <c r="I15" s="67" t="n">
        <v>1</v>
      </c>
      <c r="J15" s="68" t="s">
        <v>2218</v>
      </c>
      <c r="K15" s="68" t="s">
        <v>2219</v>
      </c>
      <c r="L15" s="68" t="s">
        <v>202</v>
      </c>
      <c r="M15" s="69"/>
      <c r="N15" s="92"/>
    </row>
    <row r="16" customFormat="false" ht="14.25" hidden="false" customHeight="false" outlineLevel="0" collapsed="false">
      <c r="A16" s="111" t="e">
        <f aca="false">#N/A</f>
        <v>#N/A</v>
      </c>
      <c r="B16" s="111" t="e">
        <f aca="false">#N/A</f>
        <v>#N/A</v>
      </c>
      <c r="C16" s="64" t="n">
        <v>11</v>
      </c>
      <c r="D16" s="65" t="s">
        <v>1176</v>
      </c>
      <c r="E16" s="65" t="s">
        <v>2063</v>
      </c>
      <c r="F16" s="66" t="n">
        <v>13.2</v>
      </c>
      <c r="G16" s="67" t="n">
        <v>1.8</v>
      </c>
      <c r="H16" s="68" t="s">
        <v>2217</v>
      </c>
      <c r="I16" s="67" t="n">
        <v>2</v>
      </c>
      <c r="J16" s="68" t="s">
        <v>2218</v>
      </c>
      <c r="K16" s="68" t="s">
        <v>2219</v>
      </c>
      <c r="L16" s="68" t="s">
        <v>202</v>
      </c>
      <c r="M16" s="69"/>
      <c r="N16" s="92"/>
    </row>
    <row r="17" customFormat="false" ht="14.25" hidden="false" customHeight="false" outlineLevel="0" collapsed="false">
      <c r="A17" s="111" t="e">
        <f aca="false">#N/A</f>
        <v>#N/A</v>
      </c>
      <c r="B17" s="111" t="e">
        <f aca="false">#N/A</f>
        <v>#N/A</v>
      </c>
      <c r="C17" s="64" t="n">
        <v>12</v>
      </c>
      <c r="D17" s="65" t="s">
        <v>1010</v>
      </c>
      <c r="E17" s="65" t="s">
        <v>2081</v>
      </c>
      <c r="F17" s="66" t="n">
        <v>13.2</v>
      </c>
      <c r="G17" s="67" t="n">
        <v>0.72</v>
      </c>
      <c r="H17" s="68" t="s">
        <v>2217</v>
      </c>
      <c r="I17" s="67" t="n">
        <v>1</v>
      </c>
      <c r="J17" s="68" t="s">
        <v>2218</v>
      </c>
      <c r="K17" s="68" t="s">
        <v>2219</v>
      </c>
      <c r="L17" s="68" t="s">
        <v>202</v>
      </c>
      <c r="M17" s="69"/>
      <c r="N17" s="92"/>
    </row>
    <row r="18" customFormat="false" ht="14.25" hidden="false" customHeight="false" outlineLevel="0" collapsed="false">
      <c r="A18" s="56"/>
      <c r="B18" s="111" t="e">
        <f aca="false">#N/A</f>
        <v>#N/A</v>
      </c>
      <c r="C18" s="64" t="n">
        <v>13</v>
      </c>
      <c r="D18" s="65"/>
      <c r="E18" s="65"/>
      <c r="F18" s="66"/>
      <c r="G18" s="67"/>
      <c r="H18" s="68"/>
      <c r="I18" s="67"/>
      <c r="J18" s="68"/>
      <c r="K18" s="68"/>
      <c r="L18" s="68"/>
      <c r="M18" s="69"/>
      <c r="N18" s="92"/>
    </row>
    <row r="19" customFormat="false" ht="14.25" hidden="false" customHeight="false" outlineLevel="0" collapsed="false">
      <c r="A19" s="111" t="e">
        <f aca="false">#N/A</f>
        <v>#N/A</v>
      </c>
      <c r="B19" s="111" t="e">
        <f aca="false">#N/A</f>
        <v>#N/A</v>
      </c>
      <c r="C19" s="64" t="n">
        <v>14</v>
      </c>
      <c r="D19" s="65"/>
      <c r="E19" s="65"/>
      <c r="F19" s="66"/>
      <c r="G19" s="67"/>
      <c r="H19" s="68"/>
      <c r="I19" s="67"/>
      <c r="J19" s="68"/>
      <c r="K19" s="68"/>
      <c r="L19" s="68"/>
      <c r="M19" s="69"/>
      <c r="N19" s="92"/>
    </row>
    <row r="20" customFormat="false" ht="14.25" hidden="false" customHeight="false" outlineLevel="0" collapsed="false">
      <c r="A20" s="111" t="e">
        <f aca="false">#N/A</f>
        <v>#N/A</v>
      </c>
      <c r="B20" s="111" t="e">
        <f aca="false">#N/A</f>
        <v>#N/A</v>
      </c>
      <c r="C20" s="64" t="n">
        <v>15</v>
      </c>
      <c r="D20" s="65"/>
      <c r="E20" s="65"/>
      <c r="F20" s="66"/>
      <c r="G20" s="67"/>
      <c r="H20" s="68"/>
      <c r="I20" s="67"/>
      <c r="J20" s="68"/>
      <c r="K20" s="68"/>
      <c r="L20" s="68"/>
      <c r="M20" s="69"/>
      <c r="N20" s="92"/>
    </row>
    <row r="21" customFormat="false" ht="14.25" hidden="false" customHeight="false" outlineLevel="0" collapsed="false">
      <c r="A21" s="111" t="e">
        <f aca="false">#N/A</f>
        <v>#N/A</v>
      </c>
      <c r="B21" s="111" t="e">
        <f aca="false">#N/A</f>
        <v>#N/A</v>
      </c>
      <c r="C21" s="64" t="n">
        <v>16</v>
      </c>
      <c r="D21" s="65"/>
      <c r="E21" s="65"/>
      <c r="F21" s="66"/>
      <c r="G21" s="67"/>
      <c r="H21" s="68"/>
      <c r="I21" s="67"/>
      <c r="J21" s="68"/>
      <c r="K21" s="68"/>
      <c r="L21" s="68"/>
      <c r="M21" s="69"/>
      <c r="N21" s="92"/>
    </row>
    <row r="22" customFormat="false" ht="14.25" hidden="false" customHeight="false" outlineLevel="0" collapsed="false">
      <c r="A22" s="111" t="e">
        <f aca="false">#N/A</f>
        <v>#N/A</v>
      </c>
      <c r="B22" s="111" t="e">
        <f aca="false">#N/A</f>
        <v>#N/A</v>
      </c>
      <c r="C22" s="64" t="n">
        <v>17</v>
      </c>
      <c r="D22" s="65"/>
      <c r="E22" s="65"/>
      <c r="F22" s="66"/>
      <c r="G22" s="67"/>
      <c r="H22" s="68"/>
      <c r="I22" s="67"/>
      <c r="J22" s="68"/>
      <c r="K22" s="68"/>
      <c r="L22" s="68"/>
      <c r="M22" s="69"/>
      <c r="N22" s="92"/>
    </row>
    <row r="23" customFormat="false" ht="14.25" hidden="false" customHeight="false" outlineLevel="0" collapsed="false">
      <c r="A23" s="111" t="e">
        <f aca="false">#N/A</f>
        <v>#N/A</v>
      </c>
      <c r="B23" s="111" t="e">
        <f aca="false">#N/A</f>
        <v>#N/A</v>
      </c>
      <c r="C23" s="64" t="n">
        <v>18</v>
      </c>
      <c r="D23" s="65"/>
      <c r="E23" s="65"/>
      <c r="F23" s="66"/>
      <c r="G23" s="67"/>
      <c r="H23" s="68"/>
      <c r="I23" s="67"/>
      <c r="J23" s="68"/>
      <c r="K23" s="68"/>
      <c r="L23" s="68"/>
      <c r="M23" s="69"/>
      <c r="N23" s="92"/>
    </row>
    <row r="24" customFormat="false" ht="14.25" hidden="false" customHeight="false" outlineLevel="0" collapsed="false">
      <c r="A24" s="111" t="e">
        <f aca="false">#N/A</f>
        <v>#N/A</v>
      </c>
      <c r="B24" s="111" t="e">
        <f aca="false">#N/A</f>
        <v>#N/A</v>
      </c>
      <c r="C24" s="64" t="n">
        <v>19</v>
      </c>
      <c r="D24" s="71"/>
      <c r="E24" s="71"/>
      <c r="F24" s="105"/>
      <c r="G24" s="67"/>
      <c r="H24" s="68"/>
      <c r="I24" s="67"/>
      <c r="J24" s="68"/>
      <c r="K24" s="68"/>
      <c r="L24" s="68"/>
      <c r="M24" s="69"/>
      <c r="N24" s="92"/>
    </row>
    <row r="25" customFormat="false" ht="14.25" hidden="false" customHeight="false" outlineLevel="0" collapsed="false">
      <c r="A25" s="111" t="e">
        <f aca="false">#N/A</f>
        <v>#N/A</v>
      </c>
      <c r="B25" s="111" t="e">
        <f aca="false">#N/A</f>
        <v>#N/A</v>
      </c>
      <c r="C25" s="64" t="n">
        <v>20</v>
      </c>
      <c r="D25" s="71"/>
      <c r="E25" s="71"/>
      <c r="F25" s="105"/>
      <c r="G25" s="67"/>
      <c r="H25" s="68"/>
      <c r="I25" s="67"/>
      <c r="J25" s="68"/>
      <c r="K25" s="68"/>
      <c r="L25" s="68"/>
      <c r="M25" s="69"/>
      <c r="N25" s="92"/>
    </row>
    <row r="26" customFormat="false" ht="14.25" hidden="false" customHeight="false" outlineLevel="0" collapsed="false">
      <c r="A26" s="111" t="e">
        <f aca="false">#N/A</f>
        <v>#N/A</v>
      </c>
      <c r="B26" s="111" t="e">
        <f aca="false">#N/A</f>
        <v>#N/A</v>
      </c>
      <c r="C26" s="64" t="n">
        <v>21</v>
      </c>
      <c r="D26" s="71"/>
      <c r="E26" s="71"/>
      <c r="F26" s="105"/>
      <c r="G26" s="67"/>
      <c r="H26" s="68"/>
      <c r="I26" s="67"/>
      <c r="J26" s="68"/>
      <c r="K26" s="68"/>
      <c r="L26" s="68"/>
      <c r="M26" s="69"/>
      <c r="N26" s="92"/>
    </row>
    <row r="27" customFormat="false" ht="14.25" hidden="false" customHeight="false" outlineLevel="0" collapsed="false">
      <c r="A27" s="111" t="e">
        <f aca="false">#N/A</f>
        <v>#N/A</v>
      </c>
      <c r="B27" s="111" t="e">
        <f aca="false">#N/A</f>
        <v>#N/A</v>
      </c>
      <c r="C27" s="64" t="n">
        <v>22</v>
      </c>
      <c r="D27" s="71"/>
      <c r="E27" s="71"/>
      <c r="F27" s="105"/>
      <c r="G27" s="67"/>
      <c r="H27" s="68"/>
      <c r="I27" s="67"/>
      <c r="J27" s="68"/>
      <c r="K27" s="68"/>
      <c r="L27" s="68"/>
      <c r="M27" s="69"/>
      <c r="N27" s="92"/>
    </row>
    <row r="28" customFormat="false" ht="14.25" hidden="false" customHeight="false" outlineLevel="0" collapsed="false">
      <c r="A28" s="111" t="e">
        <f aca="false">#N/A</f>
        <v>#N/A</v>
      </c>
      <c r="B28" s="111" t="e">
        <f aca="false">#N/A</f>
        <v>#N/A</v>
      </c>
      <c r="C28" s="64" t="n">
        <v>23</v>
      </c>
      <c r="D28" s="71"/>
      <c r="E28" s="71"/>
      <c r="F28" s="105"/>
      <c r="G28" s="67"/>
      <c r="H28" s="68"/>
      <c r="I28" s="67"/>
      <c r="J28" s="68"/>
      <c r="K28" s="68"/>
      <c r="L28" s="68"/>
      <c r="M28" s="69"/>
      <c r="N28" s="92"/>
    </row>
    <row r="29" customFormat="false" ht="14.25" hidden="false" customHeight="false" outlineLevel="0" collapsed="false">
      <c r="A29" s="111" t="e">
        <f aca="false">#N/A</f>
        <v>#N/A</v>
      </c>
      <c r="B29" s="111" t="e">
        <f aca="false">#N/A</f>
        <v>#N/A</v>
      </c>
      <c r="C29" s="64" t="n">
        <v>24</v>
      </c>
      <c r="D29" s="71"/>
      <c r="E29" s="71"/>
      <c r="F29" s="105"/>
      <c r="G29" s="67"/>
      <c r="H29" s="68"/>
      <c r="I29" s="67"/>
      <c r="J29" s="68"/>
      <c r="K29" s="68"/>
      <c r="L29" s="68"/>
      <c r="M29" s="69"/>
      <c r="N29" s="92"/>
    </row>
    <row r="30" customFormat="false" ht="14.25" hidden="false" customHeight="false" outlineLevel="0" collapsed="false">
      <c r="A30" s="111" t="e">
        <f aca="false">#N/A</f>
        <v>#N/A</v>
      </c>
      <c r="B30" s="111" t="e">
        <f aca="false">#N/A</f>
        <v>#N/A</v>
      </c>
      <c r="C30" s="64" t="n">
        <v>25</v>
      </c>
      <c r="D30" s="71"/>
      <c r="E30" s="71"/>
      <c r="F30" s="105"/>
      <c r="G30" s="67"/>
      <c r="H30" s="68"/>
      <c r="I30" s="67"/>
      <c r="J30" s="68"/>
      <c r="K30" s="68"/>
      <c r="L30" s="68"/>
      <c r="M30" s="69"/>
      <c r="N30" s="92"/>
    </row>
    <row r="31" customFormat="false" ht="14.25" hidden="false" customHeight="false" outlineLevel="0" collapsed="false">
      <c r="A31" s="111" t="e">
        <f aca="false">#N/A</f>
        <v>#N/A</v>
      </c>
      <c r="B31" s="111" t="e">
        <f aca="false">#N/A</f>
        <v>#N/A</v>
      </c>
      <c r="C31" s="64" t="n">
        <v>26</v>
      </c>
      <c r="D31" s="71"/>
      <c r="E31" s="71"/>
      <c r="F31" s="105"/>
      <c r="G31" s="67"/>
      <c r="H31" s="68"/>
      <c r="I31" s="67"/>
      <c r="J31" s="68"/>
      <c r="K31" s="68"/>
      <c r="L31" s="68"/>
      <c r="M31" s="69"/>
      <c r="N31" s="92"/>
    </row>
    <row r="32" customFormat="false" ht="14.25" hidden="false" customHeight="false" outlineLevel="0" collapsed="false">
      <c r="A32" s="111" t="e">
        <f aca="false">#N/A</f>
        <v>#N/A</v>
      </c>
      <c r="B32" s="111" t="e">
        <f aca="false">#N/A</f>
        <v>#N/A</v>
      </c>
      <c r="C32" s="64" t="n">
        <v>27</v>
      </c>
      <c r="D32" s="71"/>
      <c r="E32" s="71"/>
      <c r="F32" s="105"/>
      <c r="G32" s="67"/>
      <c r="H32" s="68"/>
      <c r="I32" s="67"/>
      <c r="J32" s="68"/>
      <c r="K32" s="68"/>
      <c r="L32" s="68"/>
      <c r="M32" s="69"/>
      <c r="N32" s="92"/>
    </row>
    <row r="33" customFormat="false" ht="14.25" hidden="false" customHeight="false" outlineLevel="0" collapsed="false">
      <c r="A33" s="111" t="e">
        <f aca="false">#N/A</f>
        <v>#N/A</v>
      </c>
      <c r="B33" s="111" t="e">
        <f aca="false">#N/A</f>
        <v>#N/A</v>
      </c>
      <c r="C33" s="64" t="n">
        <v>28</v>
      </c>
      <c r="D33" s="71"/>
      <c r="E33" s="71"/>
      <c r="F33" s="105"/>
      <c r="G33" s="67"/>
      <c r="H33" s="68"/>
      <c r="I33" s="67"/>
      <c r="J33" s="68"/>
      <c r="K33" s="68"/>
      <c r="L33" s="68"/>
      <c r="M33" s="69"/>
      <c r="N33" s="92"/>
    </row>
    <row r="34" customFormat="false" ht="14.25" hidden="false" customHeight="false" outlineLevel="0" collapsed="false">
      <c r="A34" s="111" t="e">
        <f aca="false">#N/A</f>
        <v>#N/A</v>
      </c>
      <c r="B34" s="111" t="e">
        <f aca="false">#N/A</f>
        <v>#N/A</v>
      </c>
      <c r="C34" s="64" t="n">
        <v>29</v>
      </c>
      <c r="D34" s="71"/>
      <c r="E34" s="71"/>
      <c r="F34" s="105"/>
      <c r="G34" s="67"/>
      <c r="H34" s="68"/>
      <c r="I34" s="67"/>
      <c r="J34" s="68"/>
      <c r="K34" s="68"/>
      <c r="L34" s="68"/>
      <c r="M34" s="69"/>
      <c r="N34" s="92"/>
    </row>
    <row r="35" customFormat="false" ht="14.25" hidden="false" customHeight="false" outlineLevel="0" collapsed="false">
      <c r="A35" s="111" t="e">
        <f aca="false">#N/A</f>
        <v>#N/A</v>
      </c>
      <c r="B35" s="111" t="e">
        <f aca="false">#N/A</f>
        <v>#N/A</v>
      </c>
      <c r="C35" s="64" t="n">
        <v>30</v>
      </c>
      <c r="D35" s="71"/>
      <c r="E35" s="71"/>
      <c r="F35" s="105"/>
      <c r="G35" s="67"/>
      <c r="H35" s="68"/>
      <c r="I35" s="67"/>
      <c r="J35" s="68"/>
      <c r="K35" s="68"/>
      <c r="L35" s="68"/>
      <c r="M35" s="69"/>
      <c r="N35" s="92"/>
    </row>
    <row r="36" customFormat="false" ht="14.25" hidden="false" customHeight="false" outlineLevel="0" collapsed="false">
      <c r="A36" s="111" t="e">
        <f aca="false">#N/A</f>
        <v>#N/A</v>
      </c>
      <c r="B36" s="111" t="e">
        <f aca="false">#N/A</f>
        <v>#N/A</v>
      </c>
      <c r="C36" s="64" t="n">
        <v>31</v>
      </c>
      <c r="D36" s="71"/>
      <c r="E36" s="71"/>
      <c r="F36" s="105"/>
      <c r="G36" s="67"/>
      <c r="H36" s="68"/>
      <c r="I36" s="67"/>
      <c r="J36" s="68"/>
      <c r="K36" s="68"/>
      <c r="L36" s="68"/>
      <c r="M36" s="69"/>
      <c r="N36" s="92"/>
    </row>
    <row r="37" customFormat="false" ht="14.25" hidden="false" customHeight="false" outlineLevel="0" collapsed="false">
      <c r="A37" s="111" t="e">
        <f aca="false">#N/A</f>
        <v>#N/A</v>
      </c>
      <c r="B37" s="111" t="e">
        <f aca="false">#N/A</f>
        <v>#N/A</v>
      </c>
      <c r="C37" s="64" t="n">
        <v>32</v>
      </c>
      <c r="D37" s="71"/>
      <c r="E37" s="71"/>
      <c r="F37" s="105"/>
      <c r="G37" s="67"/>
      <c r="H37" s="68"/>
      <c r="I37" s="67"/>
      <c r="J37" s="68"/>
      <c r="K37" s="68"/>
      <c r="L37" s="68"/>
      <c r="M37" s="69"/>
      <c r="N37" s="92"/>
    </row>
    <row r="38" customFormat="false" ht="14.25" hidden="false" customHeight="false" outlineLevel="0" collapsed="false">
      <c r="A38" s="111" t="e">
        <f aca="false">#N/A</f>
        <v>#N/A</v>
      </c>
      <c r="B38" s="111" t="e">
        <f aca="false">#N/A</f>
        <v>#N/A</v>
      </c>
      <c r="C38" s="64" t="n">
        <v>33</v>
      </c>
      <c r="D38" s="71"/>
      <c r="E38" s="71"/>
      <c r="F38" s="105"/>
      <c r="G38" s="67"/>
      <c r="H38" s="68"/>
      <c r="I38" s="67"/>
      <c r="J38" s="68"/>
      <c r="K38" s="68"/>
      <c r="L38" s="68"/>
      <c r="M38" s="69"/>
      <c r="N38" s="92"/>
    </row>
    <row r="39" customFormat="false" ht="14.25" hidden="false" customHeight="false" outlineLevel="0" collapsed="false">
      <c r="A39" s="111" t="e">
        <f aca="false">#N/A</f>
        <v>#N/A</v>
      </c>
      <c r="B39" s="111" t="e">
        <f aca="false">#N/A</f>
        <v>#N/A</v>
      </c>
      <c r="C39" s="64" t="n">
        <v>34</v>
      </c>
      <c r="D39" s="71"/>
      <c r="E39" s="71"/>
      <c r="F39" s="105"/>
      <c r="G39" s="67"/>
      <c r="H39" s="68"/>
      <c r="I39" s="67"/>
      <c r="J39" s="68"/>
      <c r="K39" s="68"/>
      <c r="L39" s="68"/>
      <c r="M39" s="69"/>
      <c r="N39" s="92"/>
    </row>
    <row r="40" customFormat="false" ht="14.25" hidden="false" customHeight="false" outlineLevel="0" collapsed="false">
      <c r="A40" s="111" t="e">
        <f aca="false">#N/A</f>
        <v>#N/A</v>
      </c>
      <c r="B40" s="111" t="e">
        <f aca="false">#N/A</f>
        <v>#N/A</v>
      </c>
      <c r="C40" s="64" t="n">
        <v>35</v>
      </c>
      <c r="D40" s="71"/>
      <c r="E40" s="71"/>
      <c r="F40" s="105"/>
      <c r="G40" s="67"/>
      <c r="H40" s="68"/>
      <c r="I40" s="67"/>
      <c r="J40" s="68"/>
      <c r="K40" s="68"/>
      <c r="L40" s="68"/>
      <c r="M40" s="69"/>
      <c r="N40" s="92"/>
    </row>
    <row r="41" customFormat="false" ht="14.25" hidden="false" customHeight="false" outlineLevel="0" collapsed="false">
      <c r="A41" s="111" t="e">
        <f aca="false">#N/A</f>
        <v>#N/A</v>
      </c>
      <c r="B41" s="111" t="e">
        <f aca="false">#N/A</f>
        <v>#N/A</v>
      </c>
      <c r="C41" s="64" t="n">
        <v>36</v>
      </c>
      <c r="D41" s="71"/>
      <c r="E41" s="71"/>
      <c r="F41" s="105"/>
      <c r="G41" s="67"/>
      <c r="H41" s="68"/>
      <c r="I41" s="67"/>
      <c r="J41" s="68"/>
      <c r="K41" s="68"/>
      <c r="L41" s="68"/>
      <c r="M41" s="69"/>
      <c r="N41" s="92"/>
    </row>
    <row r="42" customFormat="false" ht="14.25" hidden="false" customHeight="false" outlineLevel="0" collapsed="false">
      <c r="A42" s="111" t="e">
        <f aca="false">#N/A</f>
        <v>#N/A</v>
      </c>
      <c r="B42" s="111" t="e">
        <f aca="false">#N/A</f>
        <v>#N/A</v>
      </c>
      <c r="C42" s="64" t="n">
        <v>37</v>
      </c>
      <c r="D42" s="71"/>
      <c r="E42" s="71"/>
      <c r="F42" s="105"/>
      <c r="G42" s="67"/>
      <c r="H42" s="68"/>
      <c r="I42" s="67"/>
      <c r="J42" s="68"/>
      <c r="K42" s="68"/>
      <c r="L42" s="68"/>
      <c r="M42" s="69"/>
      <c r="N42" s="92"/>
    </row>
    <row r="43" customFormat="false" ht="14.25" hidden="false" customHeight="false" outlineLevel="0" collapsed="false">
      <c r="A43" s="111" t="e">
        <f aca="false">#N/A</f>
        <v>#N/A</v>
      </c>
      <c r="B43" s="111" t="e">
        <f aca="false">#N/A</f>
        <v>#N/A</v>
      </c>
      <c r="C43" s="64" t="n">
        <v>38</v>
      </c>
      <c r="D43" s="71"/>
      <c r="E43" s="71"/>
      <c r="F43" s="105"/>
      <c r="G43" s="67"/>
      <c r="H43" s="68"/>
      <c r="I43" s="67"/>
      <c r="J43" s="68"/>
      <c r="K43" s="68"/>
      <c r="L43" s="68"/>
      <c r="M43" s="69"/>
      <c r="N43" s="92"/>
    </row>
    <row r="44" customFormat="false" ht="14.25" hidden="false" customHeight="false" outlineLevel="0" collapsed="false">
      <c r="A44" s="111" t="e">
        <f aca="false">#N/A</f>
        <v>#N/A</v>
      </c>
      <c r="B44" s="111" t="e">
        <f aca="false">#N/A</f>
        <v>#N/A</v>
      </c>
      <c r="C44" s="64" t="n">
        <v>39</v>
      </c>
      <c r="D44" s="71"/>
      <c r="E44" s="71"/>
      <c r="F44" s="105"/>
      <c r="G44" s="67"/>
      <c r="H44" s="68"/>
      <c r="I44" s="67"/>
      <c r="J44" s="68"/>
      <c r="K44" s="68"/>
      <c r="L44" s="68"/>
      <c r="M44" s="69"/>
      <c r="N44" s="92"/>
    </row>
    <row r="45" customFormat="false" ht="14.25" hidden="false" customHeight="false" outlineLevel="0" collapsed="false">
      <c r="A45" s="111" t="e">
        <f aca="false">#N/A</f>
        <v>#N/A</v>
      </c>
      <c r="B45" s="111" t="e">
        <f aca="false">#N/A</f>
        <v>#N/A</v>
      </c>
      <c r="C45" s="64" t="n">
        <v>40</v>
      </c>
      <c r="D45" s="71"/>
      <c r="E45" s="71"/>
      <c r="F45" s="105"/>
      <c r="G45" s="67"/>
      <c r="H45" s="68"/>
      <c r="I45" s="67"/>
      <c r="J45" s="68"/>
      <c r="K45" s="68"/>
      <c r="L45" s="68"/>
      <c r="M45" s="69"/>
      <c r="N45" s="92"/>
    </row>
    <row r="46" customFormat="false" ht="14.25" hidden="false" customHeight="false" outlineLevel="0" collapsed="false">
      <c r="A46" s="111" t="e">
        <f aca="false">#N/A</f>
        <v>#N/A</v>
      </c>
      <c r="B46" s="111" t="e">
        <f aca="false">#N/A</f>
        <v>#N/A</v>
      </c>
      <c r="C46" s="64" t="n">
        <v>41</v>
      </c>
      <c r="D46" s="71"/>
      <c r="E46" s="71"/>
      <c r="F46" s="105"/>
      <c r="G46" s="67"/>
      <c r="H46" s="68"/>
      <c r="I46" s="67"/>
      <c r="J46" s="68"/>
      <c r="K46" s="68"/>
      <c r="L46" s="68"/>
      <c r="M46" s="69"/>
      <c r="N46" s="92"/>
    </row>
    <row r="47" customFormat="false" ht="14.25" hidden="false" customHeight="false" outlineLevel="0" collapsed="false">
      <c r="A47" s="111" t="e">
        <f aca="false">#N/A</f>
        <v>#N/A</v>
      </c>
      <c r="B47" s="111" t="e">
        <f aca="false">#N/A</f>
        <v>#N/A</v>
      </c>
      <c r="C47" s="64" t="n">
        <v>42</v>
      </c>
      <c r="D47" s="71"/>
      <c r="E47" s="71"/>
      <c r="F47" s="105"/>
      <c r="G47" s="67"/>
      <c r="H47" s="68"/>
      <c r="I47" s="67"/>
      <c r="J47" s="68"/>
      <c r="K47" s="68"/>
      <c r="L47" s="68"/>
      <c r="M47" s="69"/>
      <c r="N47" s="92"/>
    </row>
    <row r="48" customFormat="false" ht="14.25" hidden="false" customHeight="false" outlineLevel="0" collapsed="false">
      <c r="A48" s="111" t="e">
        <f aca="false">#N/A</f>
        <v>#N/A</v>
      </c>
      <c r="B48" s="111" t="e">
        <f aca="false">#N/A</f>
        <v>#N/A</v>
      </c>
      <c r="C48" s="64" t="n">
        <v>43</v>
      </c>
      <c r="D48" s="71"/>
      <c r="E48" s="71"/>
      <c r="F48" s="105"/>
      <c r="G48" s="67"/>
      <c r="H48" s="68"/>
      <c r="I48" s="67"/>
      <c r="J48" s="68"/>
      <c r="K48" s="68"/>
      <c r="L48" s="68"/>
      <c r="M48" s="69"/>
      <c r="N48" s="92"/>
    </row>
    <row r="49" customFormat="false" ht="14.25" hidden="false" customHeight="false" outlineLevel="0" collapsed="false">
      <c r="A49" s="111" t="e">
        <f aca="false">#N/A</f>
        <v>#N/A</v>
      </c>
      <c r="B49" s="111" t="e">
        <f aca="false">#N/A</f>
        <v>#N/A</v>
      </c>
      <c r="C49" s="64" t="n">
        <v>44</v>
      </c>
      <c r="D49" s="71"/>
      <c r="E49" s="71"/>
      <c r="F49" s="105"/>
      <c r="G49" s="67"/>
      <c r="H49" s="68"/>
      <c r="I49" s="67"/>
      <c r="J49" s="68"/>
      <c r="K49" s="68"/>
      <c r="L49" s="68"/>
      <c r="M49" s="69"/>
      <c r="N49" s="92"/>
    </row>
    <row r="50" customFormat="false" ht="14.25" hidden="false" customHeight="false" outlineLevel="0" collapsed="false">
      <c r="A50" s="111" t="e">
        <f aca="false">#N/A</f>
        <v>#N/A</v>
      </c>
      <c r="B50" s="111" t="e">
        <f aca="false">#N/A</f>
        <v>#N/A</v>
      </c>
      <c r="C50" s="64" t="n">
        <v>45</v>
      </c>
      <c r="D50" s="71"/>
      <c r="E50" s="71"/>
      <c r="F50" s="105"/>
      <c r="G50" s="67"/>
      <c r="H50" s="68"/>
      <c r="I50" s="67"/>
      <c r="J50" s="68"/>
      <c r="K50" s="68"/>
      <c r="L50" s="68"/>
      <c r="M50" s="69"/>
      <c r="N50" s="92"/>
    </row>
    <row r="51" customFormat="false" ht="14.25" hidden="false" customHeight="false" outlineLevel="0" collapsed="false">
      <c r="A51" s="111" t="e">
        <f aca="false">#N/A</f>
        <v>#N/A</v>
      </c>
      <c r="B51" s="111" t="e">
        <f aca="false">#N/A</f>
        <v>#N/A</v>
      </c>
      <c r="C51" s="64" t="n">
        <v>46</v>
      </c>
      <c r="D51" s="71"/>
      <c r="E51" s="71"/>
      <c r="F51" s="105"/>
      <c r="G51" s="67"/>
      <c r="H51" s="67"/>
      <c r="I51" s="67"/>
      <c r="J51" s="68"/>
      <c r="K51" s="68"/>
      <c r="L51" s="68"/>
      <c r="M51" s="69"/>
      <c r="N51" s="92"/>
    </row>
    <row r="52" customFormat="false" ht="14.25" hidden="false" customHeight="false" outlineLevel="0" collapsed="false">
      <c r="A52" s="111" t="e">
        <f aca="false">#N/A</f>
        <v>#N/A</v>
      </c>
      <c r="B52" s="111" t="e">
        <f aca="false">#N/A</f>
        <v>#N/A</v>
      </c>
      <c r="C52" s="64" t="n">
        <v>47</v>
      </c>
      <c r="D52" s="71"/>
      <c r="E52" s="71"/>
      <c r="F52" s="105"/>
      <c r="G52" s="67"/>
      <c r="H52" s="67"/>
      <c r="I52" s="67"/>
      <c r="J52" s="68"/>
      <c r="K52" s="68"/>
      <c r="L52" s="68"/>
      <c r="M52" s="69"/>
      <c r="N52" s="92"/>
    </row>
    <row r="53" customFormat="false" ht="14.25" hidden="false" customHeight="false" outlineLevel="0" collapsed="false">
      <c r="A53" s="111" t="e">
        <f aca="false">#N/A</f>
        <v>#N/A</v>
      </c>
      <c r="B53" s="111" t="e">
        <f aca="false">#N/A</f>
        <v>#N/A</v>
      </c>
      <c r="C53" s="64" t="n">
        <v>48</v>
      </c>
      <c r="D53" s="71"/>
      <c r="E53" s="71"/>
      <c r="F53" s="105"/>
      <c r="G53" s="67"/>
      <c r="H53" s="67"/>
      <c r="I53" s="67"/>
      <c r="J53" s="68"/>
      <c r="K53" s="68"/>
      <c r="L53" s="68"/>
      <c r="M53" s="69"/>
      <c r="N53" s="92"/>
    </row>
    <row r="54" customFormat="false" ht="14.25" hidden="false" customHeight="false" outlineLevel="0" collapsed="false">
      <c r="A54" s="111" t="e">
        <f aca="false">#N/A</f>
        <v>#N/A</v>
      </c>
      <c r="B54" s="111" t="e">
        <f aca="false">#N/A</f>
        <v>#N/A</v>
      </c>
      <c r="C54" s="64" t="n">
        <v>49</v>
      </c>
      <c r="D54" s="71"/>
      <c r="E54" s="71"/>
      <c r="F54" s="105"/>
      <c r="G54" s="67"/>
      <c r="H54" s="67"/>
      <c r="I54" s="67"/>
      <c r="J54" s="68"/>
      <c r="K54" s="68"/>
      <c r="L54" s="68"/>
      <c r="M54" s="69"/>
      <c r="N54" s="92"/>
    </row>
    <row r="55" customFormat="false" ht="14.25" hidden="false" customHeight="false" outlineLevel="0" collapsed="false">
      <c r="A55" s="111" t="e">
        <f aca="false">#N/A</f>
        <v>#N/A</v>
      </c>
      <c r="B55" s="111" t="e">
        <f aca="false">#N/A</f>
        <v>#N/A</v>
      </c>
      <c r="C55" s="64" t="n">
        <v>50</v>
      </c>
      <c r="D55" s="71"/>
      <c r="E55" s="71"/>
      <c r="F55" s="105"/>
      <c r="G55" s="67"/>
      <c r="H55" s="67"/>
      <c r="I55" s="67"/>
      <c r="J55" s="68"/>
      <c r="K55" s="68"/>
      <c r="L55" s="68"/>
      <c r="M55" s="69"/>
      <c r="N55" s="92"/>
    </row>
    <row r="56" customFormat="false" ht="15" hidden="false" customHeight="false" outlineLevel="0" collapsed="false">
      <c r="A56" s="111" t="e">
        <f aca="false">#N/A</f>
        <v>#N/A</v>
      </c>
      <c r="B56" s="111" t="e">
        <f aca="false">#N/A</f>
        <v>#N/A</v>
      </c>
      <c r="C56" s="114" t="s">
        <v>2224</v>
      </c>
      <c r="D56" s="115"/>
      <c r="E56" s="115"/>
      <c r="F56" s="115"/>
      <c r="G56" s="116"/>
      <c r="H56" s="116"/>
      <c r="I56" s="116"/>
      <c r="J56" s="116"/>
      <c r="K56" s="116"/>
      <c r="L56" s="116"/>
      <c r="M56" s="117"/>
      <c r="N56" s="118"/>
    </row>
  </sheetData>
  <mergeCells count="13">
    <mergeCell ref="C3:N3"/>
    <mergeCell ref="C4:C5"/>
    <mergeCell ref="D4:D5"/>
    <mergeCell ref="E4:E5"/>
    <mergeCell ref="F4:F5"/>
    <mergeCell ref="G4:G5"/>
    <mergeCell ref="H4:H5"/>
    <mergeCell ref="I4:I5"/>
    <mergeCell ref="J4:J5"/>
    <mergeCell ref="K4:K5"/>
    <mergeCell ref="L4:L5"/>
    <mergeCell ref="M4:M5"/>
    <mergeCell ref="N4:N5"/>
  </mergeCells>
  <dataValidations count="6">
    <dataValidation allowBlank="true" errorStyle="stop" operator="between" showDropDown="false" showErrorMessage="true" showInputMessage="true" sqref="F6:G50 I6:I50 F51:I1056" type="decimal">
      <formula1>-1000000</formula1>
      <formula2>10000000</formula2>
    </dataValidation>
    <dataValidation allowBlank="true" errorStyle="stop" operator="greaterThan" showDropDown="false" showErrorMessage="true" showInputMessage="true" sqref="M6:M1056" type="date">
      <formula1>1</formula1>
      <formula2>0</formula2>
    </dataValidation>
    <dataValidation allowBlank="true" errorStyle="stop" operator="between" showDropDown="false" showErrorMessage="true" showInputMessage="true" sqref="J6:J1056" type="list">
      <formula1>'Listas Desplegables'!$B$63:$B$64</formula1>
      <formula2>0</formula2>
    </dataValidation>
    <dataValidation allowBlank="true" errorStyle="stop" operator="between" showDropDown="false" showErrorMessage="true" showInputMessage="true" sqref="K6:K1056" type="list">
      <formula1>'Listas Desplegables'!$B$66:$B$67</formula1>
      <formula2>0</formula2>
    </dataValidation>
    <dataValidation allowBlank="true" errorStyle="stop" operator="between" showDropDown="false" showErrorMessage="true" showInputMessage="true" sqref="L6:L1056" type="list">
      <formula1>'Listas Desplegables'!$B$69:$B$70</formula1>
      <formula2>0</formula2>
    </dataValidation>
    <dataValidation allowBlank="true" errorStyle="stop" operator="between" showDropDown="false" showErrorMessage="true" showInputMessage="true" sqref="H6:H50" type="list">
      <formula1>'Listas Desplegables'!$B$72:$B$73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5859375" defaultRowHeight="14.25" zeroHeight="false" outlineLevelRow="0" outlineLevelCol="0"/>
  <cols>
    <col collapsed="false" customWidth="true" hidden="false" outlineLevel="0" max="2" min="1" style="111" width="3"/>
    <col collapsed="false" customWidth="true" hidden="false" outlineLevel="0" max="3" min="3" style="46" width="6.67"/>
    <col collapsed="false" customWidth="true" hidden="false" outlineLevel="0" max="4" min="4" style="0" width="33"/>
    <col collapsed="false" customWidth="true" hidden="false" outlineLevel="0" max="5" min="5" style="0" width="20.55"/>
    <col collapsed="false" customWidth="true" hidden="false" outlineLevel="0" max="8" min="6" style="0" width="12.67"/>
    <col collapsed="false" customWidth="true" hidden="false" outlineLevel="0" max="9" min="9" style="47" width="12.67"/>
    <col collapsed="false" customWidth="true" hidden="false" outlineLevel="0" max="10" min="10" style="0" width="12.67"/>
    <col collapsed="false" customWidth="true" hidden="false" outlineLevel="0" max="12" min="12" style="0" width="29.44"/>
  </cols>
  <sheetData>
    <row r="2" customFormat="false" ht="15" hidden="false" customHeight="false" outlineLevel="0" collapsed="false"/>
    <row r="3" s="50" customFormat="true" ht="15" hidden="false" customHeight="false" outlineLevel="0" collapsed="false">
      <c r="A3" s="112"/>
      <c r="B3" s="112"/>
      <c r="C3" s="49" t="s">
        <v>2225</v>
      </c>
      <c r="D3" s="49"/>
      <c r="E3" s="49"/>
      <c r="F3" s="49"/>
      <c r="G3" s="49"/>
      <c r="H3" s="49"/>
      <c r="I3" s="49"/>
      <c r="J3" s="49"/>
      <c r="K3" s="49"/>
      <c r="L3" s="49"/>
    </row>
    <row r="4" s="55" customFormat="true" ht="12" hidden="false" customHeight="true" outlineLevel="0" collapsed="false">
      <c r="A4" s="113"/>
      <c r="B4" s="113"/>
      <c r="C4" s="53" t="s">
        <v>195</v>
      </c>
      <c r="D4" s="54" t="str">
        <f aca="false">'Manual de Uso'!C137</f>
        <v>Nombre</v>
      </c>
      <c r="E4" s="54" t="str">
        <f aca="false">'Manual de Uso'!C138</f>
        <v>Subestación</v>
      </c>
      <c r="F4" s="54" t="str">
        <f aca="false">'Manual de Uso'!C139</f>
        <v>Nivel de tensión [kV]</v>
      </c>
      <c r="G4" s="54" t="str">
        <f aca="false">'Manual de Uso'!C140</f>
        <v>Tecnología</v>
      </c>
      <c r="H4" s="54" t="str">
        <f aca="false">'Manual de Uso'!C141</f>
        <v>En Operación</v>
      </c>
      <c r="I4" s="87" t="str">
        <f aca="false">'Manual de Uso'!C142</f>
        <v>FPO</v>
      </c>
      <c r="J4" s="54" t="str">
        <f aca="false">'Manual de Uso'!C143</f>
        <v>Qmin [MVAr]</v>
      </c>
      <c r="K4" s="54" t="str">
        <f aca="false">'Manual de Uso'!C144</f>
        <v>Qmax [MVAr]</v>
      </c>
      <c r="L4" s="54" t="str">
        <f aca="false">'Manual de Uso'!C145</f>
        <v>Observaciones transportador</v>
      </c>
    </row>
    <row r="5" s="55" customFormat="true" ht="24" hidden="false" customHeight="true" outlineLevel="0" collapsed="false">
      <c r="A5" s="113"/>
      <c r="B5" s="113"/>
      <c r="C5" s="53"/>
      <c r="D5" s="54"/>
      <c r="E5" s="54"/>
      <c r="F5" s="54"/>
      <c r="G5" s="54"/>
      <c r="H5" s="54"/>
      <c r="I5" s="87"/>
      <c r="J5" s="54"/>
      <c r="K5" s="54"/>
      <c r="L5" s="54"/>
    </row>
    <row r="6" customFormat="false" ht="14.25" hidden="false" customHeight="false" outlineLevel="0" collapsed="false">
      <c r="A6" s="111" t="e">
        <f aca="false">#REF!</f>
        <v>#REF!</v>
      </c>
      <c r="B6" s="111" t="e">
        <f aca="false">#REF!</f>
        <v>#REF!</v>
      </c>
      <c r="C6" s="57" t="n">
        <v>1</v>
      </c>
      <c r="D6" s="58"/>
      <c r="E6" s="58"/>
      <c r="F6" s="59"/>
      <c r="G6" s="59"/>
      <c r="H6" s="60"/>
      <c r="I6" s="62"/>
      <c r="J6" s="60"/>
      <c r="K6" s="60"/>
      <c r="L6" s="95"/>
    </row>
    <row r="7" customFormat="false" ht="14.25" hidden="false" customHeight="false" outlineLevel="0" collapsed="false">
      <c r="A7" s="111" t="e">
        <f aca="false">#REF!</f>
        <v>#REF!</v>
      </c>
      <c r="B7" s="111" t="e">
        <f aca="false">#REF!</f>
        <v>#REF!</v>
      </c>
      <c r="C7" s="64" t="n">
        <v>2</v>
      </c>
      <c r="D7" s="65"/>
      <c r="E7" s="65"/>
      <c r="F7" s="66"/>
      <c r="G7" s="66"/>
      <c r="H7" s="67"/>
      <c r="I7" s="69"/>
      <c r="J7" s="67"/>
      <c r="K7" s="67"/>
      <c r="L7" s="92"/>
    </row>
    <row r="8" customFormat="false" ht="14.25" hidden="false" customHeight="false" outlineLevel="0" collapsed="false">
      <c r="A8" s="111" t="e">
        <f aca="false">#REF!</f>
        <v>#REF!</v>
      </c>
      <c r="B8" s="111" t="e">
        <f aca="false">#REF!</f>
        <v>#REF!</v>
      </c>
      <c r="C8" s="64" t="n">
        <v>3</v>
      </c>
      <c r="D8" s="65"/>
      <c r="E8" s="65"/>
      <c r="F8" s="66"/>
      <c r="G8" s="66"/>
      <c r="H8" s="67"/>
      <c r="I8" s="69"/>
      <c r="J8" s="67"/>
      <c r="K8" s="67"/>
      <c r="L8" s="92"/>
    </row>
    <row r="9" customFormat="false" ht="14.25" hidden="false" customHeight="false" outlineLevel="0" collapsed="false">
      <c r="A9" s="111" t="e">
        <f aca="false">#REF!</f>
        <v>#REF!</v>
      </c>
      <c r="B9" s="111" t="e">
        <f aca="false">#REF!</f>
        <v>#REF!</v>
      </c>
      <c r="C9" s="64" t="n">
        <v>4</v>
      </c>
      <c r="D9" s="65"/>
      <c r="E9" s="65"/>
      <c r="F9" s="66"/>
      <c r="G9" s="66"/>
      <c r="H9" s="67"/>
      <c r="I9" s="69"/>
      <c r="J9" s="67"/>
      <c r="K9" s="67"/>
      <c r="L9" s="92"/>
    </row>
    <row r="10" customFormat="false" ht="14.25" hidden="false" customHeight="false" outlineLevel="0" collapsed="false">
      <c r="A10" s="111" t="e">
        <f aca="false">#REF!</f>
        <v>#REF!</v>
      </c>
      <c r="B10" s="111" t="e">
        <f aca="false">#REF!</f>
        <v>#REF!</v>
      </c>
      <c r="C10" s="64" t="n">
        <v>5</v>
      </c>
      <c r="D10" s="65"/>
      <c r="E10" s="65"/>
      <c r="F10" s="66"/>
      <c r="G10" s="66"/>
      <c r="H10" s="67"/>
      <c r="I10" s="69"/>
      <c r="J10" s="67"/>
      <c r="K10" s="67"/>
      <c r="L10" s="92"/>
    </row>
    <row r="11" customFormat="false" ht="14.25" hidden="false" customHeight="false" outlineLevel="0" collapsed="false">
      <c r="A11" s="111" t="e">
        <f aca="false">#REF!</f>
        <v>#REF!</v>
      </c>
      <c r="B11" s="111" t="e">
        <f aca="false">#REF!</f>
        <v>#REF!</v>
      </c>
      <c r="C11" s="64" t="n">
        <v>6</v>
      </c>
      <c r="D11" s="65"/>
      <c r="E11" s="65"/>
      <c r="F11" s="66"/>
      <c r="G11" s="66"/>
      <c r="H11" s="67"/>
      <c r="I11" s="69"/>
      <c r="J11" s="67"/>
      <c r="K11" s="67"/>
      <c r="L11" s="92"/>
    </row>
    <row r="12" customFormat="false" ht="14.25" hidden="false" customHeight="false" outlineLevel="0" collapsed="false">
      <c r="A12" s="111" t="e">
        <f aca="false">#REF!</f>
        <v>#REF!</v>
      </c>
      <c r="B12" s="111" t="e">
        <f aca="false">#REF!</f>
        <v>#REF!</v>
      </c>
      <c r="C12" s="64" t="n">
        <v>7</v>
      </c>
      <c r="D12" s="65"/>
      <c r="E12" s="65"/>
      <c r="F12" s="66"/>
      <c r="G12" s="66"/>
      <c r="H12" s="67"/>
      <c r="I12" s="69"/>
      <c r="J12" s="67"/>
      <c r="K12" s="67"/>
      <c r="L12" s="92"/>
    </row>
    <row r="13" customFormat="false" ht="14.25" hidden="false" customHeight="false" outlineLevel="0" collapsed="false">
      <c r="A13" s="111" t="e">
        <f aca="false">#REF!</f>
        <v>#REF!</v>
      </c>
      <c r="B13" s="111" t="e">
        <f aca="false">#REF!</f>
        <v>#REF!</v>
      </c>
      <c r="C13" s="64" t="n">
        <v>8</v>
      </c>
      <c r="D13" s="65"/>
      <c r="E13" s="65"/>
      <c r="F13" s="66"/>
      <c r="G13" s="66"/>
      <c r="H13" s="67"/>
      <c r="I13" s="69"/>
      <c r="J13" s="67"/>
      <c r="K13" s="67"/>
      <c r="L13" s="92"/>
    </row>
    <row r="14" customFormat="false" ht="14.25" hidden="false" customHeight="false" outlineLevel="0" collapsed="false">
      <c r="A14" s="111" t="e">
        <f aca="false">#REF!</f>
        <v>#REF!</v>
      </c>
      <c r="B14" s="111" t="e">
        <f aca="false">#REF!</f>
        <v>#REF!</v>
      </c>
      <c r="C14" s="64" t="n">
        <v>9</v>
      </c>
      <c r="D14" s="65"/>
      <c r="E14" s="65"/>
      <c r="F14" s="66"/>
      <c r="G14" s="66"/>
      <c r="H14" s="67"/>
      <c r="I14" s="69"/>
      <c r="J14" s="67"/>
      <c r="K14" s="67"/>
      <c r="L14" s="92"/>
    </row>
    <row r="15" customFormat="false" ht="14.25" hidden="false" customHeight="false" outlineLevel="0" collapsed="false">
      <c r="A15" s="111" t="e">
        <f aca="false">#REF!</f>
        <v>#REF!</v>
      </c>
      <c r="B15" s="111" t="e">
        <f aca="false">#REF!</f>
        <v>#REF!</v>
      </c>
      <c r="C15" s="104" t="n">
        <v>10</v>
      </c>
      <c r="D15" s="65"/>
      <c r="E15" s="65"/>
      <c r="F15" s="66"/>
      <c r="G15" s="66"/>
      <c r="H15" s="67"/>
      <c r="I15" s="69"/>
      <c r="J15" s="67"/>
      <c r="K15" s="67"/>
      <c r="L15" s="92"/>
    </row>
    <row r="16" customFormat="false" ht="14.25" hidden="false" customHeight="false" outlineLevel="0" collapsed="false">
      <c r="A16" s="111" t="e">
        <f aca="false">#REF!</f>
        <v>#REF!</v>
      </c>
      <c r="B16" s="111" t="e">
        <f aca="false">#REF!</f>
        <v>#REF!</v>
      </c>
      <c r="C16" s="64" t="n">
        <v>11</v>
      </c>
      <c r="D16" s="65"/>
      <c r="E16" s="65"/>
      <c r="F16" s="66"/>
      <c r="G16" s="66"/>
      <c r="H16" s="67"/>
      <c r="I16" s="69"/>
      <c r="J16" s="67"/>
      <c r="K16" s="67"/>
      <c r="L16" s="92"/>
    </row>
    <row r="17" customFormat="false" ht="14.25" hidden="false" customHeight="false" outlineLevel="0" collapsed="false">
      <c r="A17" s="111" t="e">
        <f aca="false">#REF!</f>
        <v>#REF!</v>
      </c>
      <c r="B17" s="111" t="e">
        <f aca="false">#REF!</f>
        <v>#REF!</v>
      </c>
      <c r="C17" s="64" t="n">
        <v>12</v>
      </c>
      <c r="D17" s="65"/>
      <c r="E17" s="65"/>
      <c r="F17" s="66"/>
      <c r="G17" s="66"/>
      <c r="H17" s="67"/>
      <c r="I17" s="69"/>
      <c r="J17" s="67"/>
      <c r="K17" s="67"/>
      <c r="L17" s="92"/>
    </row>
    <row r="18" customFormat="false" ht="14.25" hidden="false" customHeight="false" outlineLevel="0" collapsed="false">
      <c r="A18" s="111" t="e">
        <f aca="false">#REF!</f>
        <v>#REF!</v>
      </c>
      <c r="B18" s="111" t="e">
        <f aca="false">#REF!</f>
        <v>#REF!</v>
      </c>
      <c r="C18" s="64" t="n">
        <v>13</v>
      </c>
      <c r="D18" s="65"/>
      <c r="E18" s="65"/>
      <c r="F18" s="66"/>
      <c r="G18" s="66"/>
      <c r="H18" s="67"/>
      <c r="I18" s="69"/>
      <c r="J18" s="67"/>
      <c r="K18" s="67"/>
      <c r="L18" s="92"/>
    </row>
    <row r="19" customFormat="false" ht="14.25" hidden="false" customHeight="false" outlineLevel="0" collapsed="false">
      <c r="A19" s="111" t="e">
        <f aca="false">#REF!</f>
        <v>#REF!</v>
      </c>
      <c r="B19" s="111" t="e">
        <f aca="false">#REF!</f>
        <v>#REF!</v>
      </c>
      <c r="C19" s="64" t="n">
        <v>14</v>
      </c>
      <c r="D19" s="65"/>
      <c r="E19" s="65"/>
      <c r="F19" s="66"/>
      <c r="G19" s="66"/>
      <c r="H19" s="67"/>
      <c r="I19" s="69"/>
      <c r="J19" s="67"/>
      <c r="K19" s="67"/>
      <c r="L19" s="92"/>
    </row>
    <row r="20" customFormat="false" ht="14.25" hidden="false" customHeight="false" outlineLevel="0" collapsed="false">
      <c r="A20" s="111" t="e">
        <f aca="false">#REF!</f>
        <v>#REF!</v>
      </c>
      <c r="B20" s="111" t="e">
        <f aca="false">#REF!</f>
        <v>#REF!</v>
      </c>
      <c r="C20" s="64" t="n">
        <v>15</v>
      </c>
      <c r="D20" s="65"/>
      <c r="E20" s="65"/>
      <c r="F20" s="66"/>
      <c r="G20" s="66"/>
      <c r="H20" s="67"/>
      <c r="I20" s="69"/>
      <c r="J20" s="67"/>
      <c r="K20" s="67"/>
      <c r="L20" s="92"/>
    </row>
    <row r="21" customFormat="false" ht="14.25" hidden="false" customHeight="false" outlineLevel="0" collapsed="false">
      <c r="A21" s="111" t="e">
        <f aca="false">#REF!</f>
        <v>#REF!</v>
      </c>
      <c r="B21" s="111" t="e">
        <f aca="false">#REF!</f>
        <v>#REF!</v>
      </c>
      <c r="C21" s="64" t="n">
        <v>16</v>
      </c>
      <c r="D21" s="65"/>
      <c r="E21" s="65"/>
      <c r="F21" s="66"/>
      <c r="G21" s="66"/>
      <c r="H21" s="67"/>
      <c r="I21" s="69"/>
      <c r="J21" s="67"/>
      <c r="K21" s="67"/>
      <c r="L21" s="92"/>
    </row>
    <row r="22" customFormat="false" ht="14.25" hidden="false" customHeight="false" outlineLevel="0" collapsed="false">
      <c r="A22" s="111" t="e">
        <f aca="false">#REF!</f>
        <v>#REF!</v>
      </c>
      <c r="B22" s="111" t="e">
        <f aca="false">#REF!</f>
        <v>#REF!</v>
      </c>
      <c r="C22" s="64" t="n">
        <v>17</v>
      </c>
      <c r="D22" s="65"/>
      <c r="E22" s="65"/>
      <c r="F22" s="66"/>
      <c r="G22" s="66"/>
      <c r="H22" s="67"/>
      <c r="I22" s="69"/>
      <c r="J22" s="67"/>
      <c r="K22" s="67"/>
      <c r="L22" s="92"/>
    </row>
    <row r="23" customFormat="false" ht="14.25" hidden="false" customHeight="false" outlineLevel="0" collapsed="false">
      <c r="A23" s="111" t="e">
        <f aca="false">#REF!</f>
        <v>#REF!</v>
      </c>
      <c r="B23" s="111" t="e">
        <f aca="false">#REF!</f>
        <v>#REF!</v>
      </c>
      <c r="C23" s="64" t="n">
        <v>18</v>
      </c>
      <c r="D23" s="65"/>
      <c r="E23" s="65"/>
      <c r="F23" s="66"/>
      <c r="G23" s="66"/>
      <c r="H23" s="67"/>
      <c r="I23" s="69"/>
      <c r="J23" s="67"/>
      <c r="K23" s="67"/>
      <c r="L23" s="92"/>
    </row>
    <row r="24" customFormat="false" ht="14.25" hidden="false" customHeight="false" outlineLevel="0" collapsed="false">
      <c r="A24" s="111" t="e">
        <f aca="false">#REF!</f>
        <v>#REF!</v>
      </c>
      <c r="B24" s="111" t="e">
        <f aca="false">#REF!</f>
        <v>#REF!</v>
      </c>
      <c r="C24" s="104" t="n">
        <v>19</v>
      </c>
      <c r="D24" s="65"/>
      <c r="E24" s="65"/>
      <c r="F24" s="66"/>
      <c r="G24" s="66"/>
      <c r="H24" s="67"/>
      <c r="I24" s="69"/>
      <c r="J24" s="67"/>
      <c r="K24" s="67"/>
      <c r="L24" s="92"/>
    </row>
    <row r="25" customFormat="false" ht="14.25" hidden="false" customHeight="false" outlineLevel="0" collapsed="false">
      <c r="A25" s="111" t="e">
        <f aca="false">#REF!</f>
        <v>#REF!</v>
      </c>
      <c r="B25" s="111" t="e">
        <f aca="false">#REF!</f>
        <v>#REF!</v>
      </c>
      <c r="C25" s="119" t="n">
        <v>20</v>
      </c>
      <c r="D25" s="71"/>
      <c r="E25" s="71"/>
      <c r="F25" s="105"/>
      <c r="G25" s="66"/>
      <c r="H25" s="67"/>
      <c r="I25" s="69"/>
      <c r="J25" s="67"/>
      <c r="K25" s="67"/>
      <c r="L25" s="92"/>
    </row>
    <row r="26" customFormat="false" ht="14.25" hidden="false" customHeight="false" outlineLevel="0" collapsed="false">
      <c r="A26" s="111" t="e">
        <f aca="false">#REF!</f>
        <v>#REF!</v>
      </c>
      <c r="B26" s="111" t="e">
        <f aca="false">#REF!</f>
        <v>#REF!</v>
      </c>
      <c r="C26" s="104" t="n">
        <v>21</v>
      </c>
      <c r="D26" s="71"/>
      <c r="E26" s="71"/>
      <c r="F26" s="105"/>
      <c r="G26" s="66"/>
      <c r="H26" s="67"/>
      <c r="I26" s="69"/>
      <c r="J26" s="67"/>
      <c r="K26" s="67"/>
      <c r="L26" s="92"/>
    </row>
    <row r="27" customFormat="false" ht="14.25" hidden="false" customHeight="false" outlineLevel="0" collapsed="false">
      <c r="A27" s="111" t="e">
        <f aca="false">#REF!</f>
        <v>#REF!</v>
      </c>
      <c r="B27" s="111" t="e">
        <f aca="false">#REF!</f>
        <v>#REF!</v>
      </c>
      <c r="C27" s="64" t="n">
        <v>22</v>
      </c>
      <c r="D27" s="71"/>
      <c r="E27" s="71"/>
      <c r="F27" s="105"/>
      <c r="G27" s="66"/>
      <c r="H27" s="67"/>
      <c r="I27" s="69"/>
      <c r="J27" s="67"/>
      <c r="K27" s="67"/>
      <c r="L27" s="92"/>
    </row>
    <row r="28" customFormat="false" ht="14.25" hidden="false" customHeight="false" outlineLevel="0" collapsed="false">
      <c r="A28" s="111" t="e">
        <f aca="false">#REF!</f>
        <v>#REF!</v>
      </c>
      <c r="B28" s="111" t="e">
        <f aca="false">#REF!</f>
        <v>#REF!</v>
      </c>
      <c r="C28" s="64" t="n">
        <v>23</v>
      </c>
      <c r="D28" s="71"/>
      <c r="E28" s="71"/>
      <c r="F28" s="105"/>
      <c r="G28" s="66"/>
      <c r="H28" s="67"/>
      <c r="I28" s="69"/>
      <c r="J28" s="67"/>
      <c r="K28" s="67"/>
      <c r="L28" s="92"/>
    </row>
    <row r="29" customFormat="false" ht="14.25" hidden="false" customHeight="false" outlineLevel="0" collapsed="false">
      <c r="A29" s="111" t="e">
        <f aca="false">#REF!</f>
        <v>#REF!</v>
      </c>
      <c r="B29" s="111" t="e">
        <f aca="false">#REF!</f>
        <v>#REF!</v>
      </c>
      <c r="C29" s="64" t="n">
        <v>24</v>
      </c>
      <c r="D29" s="71"/>
      <c r="E29" s="71"/>
      <c r="F29" s="105"/>
      <c r="G29" s="66"/>
      <c r="H29" s="67"/>
      <c r="I29" s="69"/>
      <c r="J29" s="67"/>
      <c r="K29" s="67"/>
      <c r="L29" s="92"/>
    </row>
    <row r="30" customFormat="false" ht="14.25" hidden="false" customHeight="false" outlineLevel="0" collapsed="false">
      <c r="A30" s="111" t="e">
        <f aca="false">#REF!</f>
        <v>#REF!</v>
      </c>
      <c r="B30" s="111" t="e">
        <f aca="false">#REF!</f>
        <v>#REF!</v>
      </c>
      <c r="C30" s="64" t="n">
        <v>25</v>
      </c>
      <c r="D30" s="71"/>
      <c r="E30" s="71"/>
      <c r="F30" s="105"/>
      <c r="G30" s="66"/>
      <c r="H30" s="67"/>
      <c r="I30" s="69"/>
      <c r="J30" s="67"/>
      <c r="K30" s="67"/>
      <c r="L30" s="92"/>
    </row>
    <row r="31" customFormat="false" ht="14.25" hidden="false" customHeight="false" outlineLevel="0" collapsed="false">
      <c r="A31" s="111" t="e">
        <f aca="false">#REF!</f>
        <v>#REF!</v>
      </c>
      <c r="B31" s="111" t="e">
        <f aca="false">#REF!</f>
        <v>#REF!</v>
      </c>
      <c r="C31" s="64" t="n">
        <v>26</v>
      </c>
      <c r="D31" s="71"/>
      <c r="E31" s="71"/>
      <c r="F31" s="105"/>
      <c r="G31" s="66"/>
      <c r="H31" s="67"/>
      <c r="I31" s="69"/>
      <c r="J31" s="67"/>
      <c r="K31" s="67"/>
      <c r="L31" s="92"/>
    </row>
    <row r="32" customFormat="false" ht="14.25" hidden="false" customHeight="false" outlineLevel="0" collapsed="false">
      <c r="A32" s="111" t="e">
        <f aca="false">#REF!</f>
        <v>#REF!</v>
      </c>
      <c r="B32" s="111" t="e">
        <f aca="false">#REF!</f>
        <v>#REF!</v>
      </c>
      <c r="C32" s="64" t="n">
        <v>27</v>
      </c>
      <c r="D32" s="71"/>
      <c r="E32" s="71"/>
      <c r="F32" s="105"/>
      <c r="G32" s="66"/>
      <c r="H32" s="67"/>
      <c r="I32" s="69"/>
      <c r="J32" s="67"/>
      <c r="K32" s="67"/>
      <c r="L32" s="92"/>
    </row>
    <row r="33" customFormat="false" ht="14.25" hidden="false" customHeight="false" outlineLevel="0" collapsed="false">
      <c r="A33" s="111" t="e">
        <f aca="false">#REF!</f>
        <v>#REF!</v>
      </c>
      <c r="B33" s="111" t="e">
        <f aca="false">#REF!</f>
        <v>#REF!</v>
      </c>
      <c r="C33" s="64" t="n">
        <v>28</v>
      </c>
      <c r="D33" s="71"/>
      <c r="E33" s="71"/>
      <c r="F33" s="105"/>
      <c r="G33" s="66"/>
      <c r="H33" s="67"/>
      <c r="I33" s="69"/>
      <c r="J33" s="67"/>
      <c r="K33" s="67"/>
      <c r="L33" s="92"/>
    </row>
    <row r="34" customFormat="false" ht="14.25" hidden="false" customHeight="false" outlineLevel="0" collapsed="false">
      <c r="A34" s="111" t="e">
        <f aca="false">#REF!</f>
        <v>#REF!</v>
      </c>
      <c r="B34" s="111" t="e">
        <f aca="false">#REF!</f>
        <v>#REF!</v>
      </c>
      <c r="C34" s="64" t="n">
        <v>29</v>
      </c>
      <c r="D34" s="71"/>
      <c r="E34" s="71"/>
      <c r="F34" s="105"/>
      <c r="G34" s="66"/>
      <c r="H34" s="67"/>
      <c r="I34" s="69"/>
      <c r="J34" s="67"/>
      <c r="K34" s="67"/>
      <c r="L34" s="92"/>
    </row>
    <row r="35" customFormat="false" ht="14.25" hidden="false" customHeight="false" outlineLevel="0" collapsed="false">
      <c r="A35" s="111" t="e">
        <f aca="false">#REF!</f>
        <v>#REF!</v>
      </c>
      <c r="B35" s="111" t="e">
        <f aca="false">#REF!</f>
        <v>#REF!</v>
      </c>
      <c r="C35" s="104" t="n">
        <v>30</v>
      </c>
      <c r="D35" s="71"/>
      <c r="E35" s="71"/>
      <c r="F35" s="105"/>
      <c r="G35" s="66"/>
      <c r="H35" s="67"/>
      <c r="I35" s="69"/>
      <c r="J35" s="67"/>
      <c r="K35" s="67"/>
      <c r="L35" s="92"/>
    </row>
    <row r="36" customFormat="false" ht="14.25" hidden="false" customHeight="false" outlineLevel="0" collapsed="false">
      <c r="A36" s="111" t="e">
        <f aca="false">#REF!</f>
        <v>#REF!</v>
      </c>
      <c r="B36" s="111" t="e">
        <f aca="false">#REF!</f>
        <v>#REF!</v>
      </c>
      <c r="C36" s="64" t="n">
        <v>31</v>
      </c>
      <c r="D36" s="71"/>
      <c r="E36" s="71"/>
      <c r="F36" s="105"/>
      <c r="G36" s="66"/>
      <c r="H36" s="67"/>
      <c r="I36" s="69"/>
      <c r="J36" s="67"/>
      <c r="K36" s="67"/>
      <c r="L36" s="92"/>
    </row>
    <row r="37" customFormat="false" ht="14.25" hidden="false" customHeight="false" outlineLevel="0" collapsed="false">
      <c r="A37" s="111" t="e">
        <f aca="false">#REF!</f>
        <v>#REF!</v>
      </c>
      <c r="B37" s="111" t="e">
        <f aca="false">#REF!</f>
        <v>#REF!</v>
      </c>
      <c r="C37" s="64" t="n">
        <v>32</v>
      </c>
      <c r="D37" s="71"/>
      <c r="E37" s="71"/>
      <c r="F37" s="105"/>
      <c r="G37" s="66"/>
      <c r="H37" s="67"/>
      <c r="I37" s="69"/>
      <c r="J37" s="67"/>
      <c r="K37" s="67"/>
      <c r="L37" s="92"/>
    </row>
    <row r="38" customFormat="false" ht="14.25" hidden="false" customHeight="false" outlineLevel="0" collapsed="false">
      <c r="A38" s="111" t="e">
        <f aca="false">#REF!</f>
        <v>#REF!</v>
      </c>
      <c r="B38" s="111" t="e">
        <f aca="false">#REF!</f>
        <v>#REF!</v>
      </c>
      <c r="C38" s="64" t="n">
        <v>33</v>
      </c>
      <c r="D38" s="71"/>
      <c r="E38" s="71"/>
      <c r="F38" s="105"/>
      <c r="G38" s="66"/>
      <c r="H38" s="67"/>
      <c r="I38" s="69"/>
      <c r="J38" s="67"/>
      <c r="K38" s="67"/>
      <c r="L38" s="92"/>
    </row>
    <row r="39" customFormat="false" ht="14.25" hidden="false" customHeight="false" outlineLevel="0" collapsed="false">
      <c r="A39" s="111" t="e">
        <f aca="false">#REF!</f>
        <v>#REF!</v>
      </c>
      <c r="B39" s="111" t="e">
        <f aca="false">#REF!</f>
        <v>#REF!</v>
      </c>
      <c r="C39" s="64" t="n">
        <v>34</v>
      </c>
      <c r="D39" s="71"/>
      <c r="E39" s="71"/>
      <c r="F39" s="105"/>
      <c r="G39" s="66"/>
      <c r="H39" s="67"/>
      <c r="I39" s="69"/>
      <c r="J39" s="67"/>
      <c r="K39" s="67"/>
      <c r="L39" s="92"/>
    </row>
    <row r="40" customFormat="false" ht="14.25" hidden="false" customHeight="false" outlineLevel="0" collapsed="false">
      <c r="A40" s="111" t="e">
        <f aca="false">#REF!</f>
        <v>#REF!</v>
      </c>
      <c r="B40" s="111" t="e">
        <f aca="false">#REF!</f>
        <v>#REF!</v>
      </c>
      <c r="C40" s="64" t="n">
        <v>35</v>
      </c>
      <c r="D40" s="71"/>
      <c r="E40" s="71"/>
      <c r="F40" s="105"/>
      <c r="G40" s="66"/>
      <c r="H40" s="67"/>
      <c r="I40" s="69"/>
      <c r="J40" s="67"/>
      <c r="K40" s="67"/>
      <c r="L40" s="92"/>
    </row>
    <row r="41" customFormat="false" ht="14.25" hidden="false" customHeight="false" outlineLevel="0" collapsed="false">
      <c r="A41" s="111" t="e">
        <f aca="false">#REF!</f>
        <v>#REF!</v>
      </c>
      <c r="B41" s="111" t="e">
        <f aca="false">#REF!</f>
        <v>#REF!</v>
      </c>
      <c r="C41" s="64" t="n">
        <v>36</v>
      </c>
      <c r="D41" s="71"/>
      <c r="E41" s="71"/>
      <c r="F41" s="105"/>
      <c r="G41" s="66"/>
      <c r="H41" s="67"/>
      <c r="I41" s="69"/>
      <c r="J41" s="67"/>
      <c r="K41" s="67"/>
      <c r="L41" s="92"/>
    </row>
    <row r="42" customFormat="false" ht="14.25" hidden="false" customHeight="false" outlineLevel="0" collapsed="false">
      <c r="A42" s="111" t="e">
        <f aca="false">#REF!</f>
        <v>#REF!</v>
      </c>
      <c r="B42" s="111" t="e">
        <f aca="false">#REF!</f>
        <v>#REF!</v>
      </c>
      <c r="C42" s="64" t="n">
        <v>37</v>
      </c>
      <c r="D42" s="71"/>
      <c r="E42" s="71"/>
      <c r="F42" s="105"/>
      <c r="G42" s="66"/>
      <c r="H42" s="67"/>
      <c r="I42" s="69"/>
      <c r="J42" s="67"/>
      <c r="K42" s="67"/>
      <c r="L42" s="92"/>
    </row>
    <row r="43" customFormat="false" ht="14.25" hidden="false" customHeight="false" outlineLevel="0" collapsed="false">
      <c r="A43" s="111" t="e">
        <f aca="false">#REF!</f>
        <v>#REF!</v>
      </c>
      <c r="B43" s="111" t="e">
        <f aca="false">#REF!</f>
        <v>#REF!</v>
      </c>
      <c r="C43" s="64" t="n">
        <v>38</v>
      </c>
      <c r="D43" s="71"/>
      <c r="E43" s="71"/>
      <c r="F43" s="105"/>
      <c r="G43" s="66"/>
      <c r="H43" s="67"/>
      <c r="I43" s="69"/>
      <c r="J43" s="67"/>
      <c r="K43" s="67"/>
      <c r="L43" s="92"/>
    </row>
    <row r="44" customFormat="false" ht="14.25" hidden="false" customHeight="false" outlineLevel="0" collapsed="false">
      <c r="A44" s="111" t="e">
        <f aca="false">#REF!</f>
        <v>#REF!</v>
      </c>
      <c r="B44" s="111" t="e">
        <f aca="false">#REF!</f>
        <v>#REF!</v>
      </c>
      <c r="C44" s="104" t="n">
        <v>39</v>
      </c>
      <c r="D44" s="71"/>
      <c r="E44" s="71"/>
      <c r="F44" s="105"/>
      <c r="G44" s="66"/>
      <c r="H44" s="67"/>
      <c r="I44" s="69"/>
      <c r="J44" s="67"/>
      <c r="K44" s="67"/>
      <c r="L44" s="92"/>
    </row>
    <row r="45" customFormat="false" ht="14.25" hidden="false" customHeight="false" outlineLevel="0" collapsed="false">
      <c r="A45" s="111" t="e">
        <f aca="false">#REF!</f>
        <v>#REF!</v>
      </c>
      <c r="B45" s="111" t="e">
        <f aca="false">#REF!</f>
        <v>#REF!</v>
      </c>
      <c r="C45" s="119" t="n">
        <v>40</v>
      </c>
      <c r="D45" s="71"/>
      <c r="E45" s="71"/>
      <c r="F45" s="105"/>
      <c r="G45" s="66"/>
      <c r="H45" s="67"/>
      <c r="I45" s="69"/>
      <c r="J45" s="67"/>
      <c r="K45" s="67"/>
      <c r="L45" s="92"/>
    </row>
    <row r="46" customFormat="false" ht="14.25" hidden="false" customHeight="false" outlineLevel="0" collapsed="false">
      <c r="A46" s="111" t="e">
        <f aca="false">#REF!</f>
        <v>#REF!</v>
      </c>
      <c r="B46" s="111" t="e">
        <f aca="false">#REF!</f>
        <v>#REF!</v>
      </c>
      <c r="C46" s="104" t="n">
        <v>41</v>
      </c>
      <c r="D46" s="71"/>
      <c r="E46" s="71"/>
      <c r="F46" s="105"/>
      <c r="G46" s="66"/>
      <c r="H46" s="67"/>
      <c r="I46" s="69"/>
      <c r="J46" s="67"/>
      <c r="K46" s="67"/>
      <c r="L46" s="92"/>
    </row>
    <row r="47" customFormat="false" ht="14.25" hidden="false" customHeight="false" outlineLevel="0" collapsed="false">
      <c r="A47" s="111" t="e">
        <f aca="false">#REF!</f>
        <v>#REF!</v>
      </c>
      <c r="B47" s="111" t="e">
        <f aca="false">#REF!</f>
        <v>#REF!</v>
      </c>
      <c r="C47" s="64" t="n">
        <v>42</v>
      </c>
      <c r="D47" s="71"/>
      <c r="E47" s="71"/>
      <c r="F47" s="105"/>
      <c r="G47" s="66"/>
      <c r="H47" s="67"/>
      <c r="I47" s="69"/>
      <c r="J47" s="67"/>
      <c r="K47" s="67"/>
      <c r="L47" s="92"/>
    </row>
    <row r="48" customFormat="false" ht="14.25" hidden="false" customHeight="false" outlineLevel="0" collapsed="false">
      <c r="A48" s="111" t="e">
        <f aca="false">#REF!</f>
        <v>#REF!</v>
      </c>
      <c r="B48" s="111" t="e">
        <f aca="false">#REF!</f>
        <v>#REF!</v>
      </c>
      <c r="C48" s="64" t="n">
        <v>43</v>
      </c>
      <c r="D48" s="71"/>
      <c r="E48" s="71"/>
      <c r="F48" s="105"/>
      <c r="G48" s="66"/>
      <c r="H48" s="67"/>
      <c r="I48" s="69"/>
      <c r="J48" s="67"/>
      <c r="K48" s="67"/>
      <c r="L48" s="92"/>
    </row>
    <row r="49" customFormat="false" ht="14.25" hidden="false" customHeight="false" outlineLevel="0" collapsed="false">
      <c r="A49" s="111" t="e">
        <f aca="false">#REF!</f>
        <v>#REF!</v>
      </c>
      <c r="B49" s="111" t="e">
        <f aca="false">#REF!</f>
        <v>#REF!</v>
      </c>
      <c r="C49" s="64" t="n">
        <v>44</v>
      </c>
      <c r="D49" s="71"/>
      <c r="E49" s="71"/>
      <c r="F49" s="105"/>
      <c r="G49" s="66"/>
      <c r="H49" s="67"/>
      <c r="I49" s="69"/>
      <c r="J49" s="67"/>
      <c r="K49" s="67"/>
      <c r="L49" s="92"/>
    </row>
    <row r="50" customFormat="false" ht="14.25" hidden="false" customHeight="false" outlineLevel="0" collapsed="false">
      <c r="A50" s="111" t="e">
        <f aca="false">#REF!</f>
        <v>#REF!</v>
      </c>
      <c r="B50" s="111" t="e">
        <f aca="false">#REF!</f>
        <v>#REF!</v>
      </c>
      <c r="C50" s="64" t="n">
        <v>45</v>
      </c>
      <c r="D50" s="71"/>
      <c r="E50" s="71"/>
      <c r="F50" s="105"/>
      <c r="G50" s="66"/>
      <c r="H50" s="67"/>
      <c r="I50" s="69"/>
      <c r="J50" s="67"/>
      <c r="K50" s="67"/>
      <c r="L50" s="92"/>
    </row>
    <row r="51" customFormat="false" ht="14.25" hidden="false" customHeight="false" outlineLevel="0" collapsed="false">
      <c r="A51" s="111" t="e">
        <f aca="false">#REF!</f>
        <v>#REF!</v>
      </c>
      <c r="B51" s="111" t="e">
        <f aca="false">#REF!</f>
        <v>#REF!</v>
      </c>
      <c r="C51" s="64" t="n">
        <v>46</v>
      </c>
      <c r="D51" s="71"/>
      <c r="E51" s="71"/>
      <c r="F51" s="105"/>
      <c r="G51" s="66"/>
      <c r="H51" s="67"/>
      <c r="I51" s="69"/>
      <c r="J51" s="67"/>
      <c r="K51" s="67"/>
      <c r="L51" s="92"/>
    </row>
    <row r="52" customFormat="false" ht="14.25" hidden="false" customHeight="false" outlineLevel="0" collapsed="false">
      <c r="A52" s="111" t="e">
        <f aca="false">#REF!</f>
        <v>#REF!</v>
      </c>
      <c r="B52" s="111" t="e">
        <f aca="false">#REF!</f>
        <v>#REF!</v>
      </c>
      <c r="C52" s="64" t="n">
        <v>47</v>
      </c>
      <c r="D52" s="71"/>
      <c r="E52" s="71"/>
      <c r="F52" s="105"/>
      <c r="G52" s="66"/>
      <c r="H52" s="67"/>
      <c r="I52" s="69"/>
      <c r="J52" s="67"/>
      <c r="K52" s="67"/>
      <c r="L52" s="92"/>
    </row>
    <row r="53" customFormat="false" ht="14.25" hidden="false" customHeight="false" outlineLevel="0" collapsed="false">
      <c r="A53" s="111" t="e">
        <f aca="false">#REF!</f>
        <v>#REF!</v>
      </c>
      <c r="B53" s="111" t="e">
        <f aca="false">#REF!</f>
        <v>#REF!</v>
      </c>
      <c r="C53" s="64" t="n">
        <v>48</v>
      </c>
      <c r="D53" s="71"/>
      <c r="E53" s="71"/>
      <c r="F53" s="105"/>
      <c r="G53" s="66"/>
      <c r="H53" s="67"/>
      <c r="I53" s="69"/>
      <c r="J53" s="67"/>
      <c r="K53" s="67"/>
      <c r="L53" s="92"/>
    </row>
    <row r="54" customFormat="false" ht="14.25" hidden="false" customHeight="false" outlineLevel="0" collapsed="false">
      <c r="A54" s="111" t="e">
        <f aca="false">#REF!</f>
        <v>#REF!</v>
      </c>
      <c r="B54" s="111" t="e">
        <f aca="false">#REF!</f>
        <v>#REF!</v>
      </c>
      <c r="C54" s="64" t="n">
        <v>49</v>
      </c>
      <c r="D54" s="71"/>
      <c r="E54" s="71"/>
      <c r="F54" s="105"/>
      <c r="G54" s="66"/>
      <c r="H54" s="67"/>
      <c r="I54" s="69"/>
      <c r="J54" s="67"/>
      <c r="K54" s="67"/>
      <c r="L54" s="92"/>
    </row>
    <row r="55" customFormat="false" ht="14.25" hidden="false" customHeight="false" outlineLevel="0" collapsed="false">
      <c r="A55" s="111" t="e">
        <f aca="false">#REF!</f>
        <v>#REF!</v>
      </c>
      <c r="B55" s="111" t="e">
        <f aca="false">#REF!</f>
        <v>#REF!</v>
      </c>
      <c r="C55" s="104" t="n">
        <v>50</v>
      </c>
      <c r="D55" s="71"/>
      <c r="E55" s="71"/>
      <c r="F55" s="105"/>
      <c r="G55" s="66"/>
      <c r="H55" s="67"/>
      <c r="I55" s="69"/>
      <c r="J55" s="67"/>
      <c r="K55" s="67"/>
      <c r="L55" s="92"/>
    </row>
    <row r="56" customFormat="false" ht="14.25" hidden="false" customHeight="false" outlineLevel="0" collapsed="false">
      <c r="A56" s="111" t="e">
        <f aca="false">#REF!</f>
        <v>#REF!</v>
      </c>
      <c r="B56" s="111" t="e">
        <f aca="false">#REF!</f>
        <v>#REF!</v>
      </c>
      <c r="C56" s="64" t="n">
        <v>51</v>
      </c>
      <c r="D56" s="71"/>
      <c r="E56" s="71"/>
      <c r="F56" s="105"/>
      <c r="G56" s="66"/>
      <c r="H56" s="67"/>
      <c r="I56" s="69"/>
      <c r="J56" s="67"/>
      <c r="K56" s="67"/>
      <c r="L56" s="92"/>
    </row>
    <row r="57" customFormat="false" ht="15" hidden="false" customHeight="false" outlineLevel="0" collapsed="false">
      <c r="A57" s="111" t="e">
        <f aca="false">#REF!</f>
        <v>#REF!</v>
      </c>
      <c r="B57" s="111" t="e">
        <f aca="false">#REF!</f>
        <v>#REF!</v>
      </c>
      <c r="C57" s="114" t="s">
        <v>2224</v>
      </c>
      <c r="D57" s="115"/>
      <c r="E57" s="115"/>
      <c r="F57" s="115"/>
      <c r="G57" s="115"/>
      <c r="H57" s="116"/>
      <c r="I57" s="117"/>
      <c r="J57" s="116"/>
      <c r="K57" s="116"/>
      <c r="L57" s="118"/>
    </row>
  </sheetData>
  <mergeCells count="11">
    <mergeCell ref="C3:L3"/>
    <mergeCell ref="C4:C5"/>
    <mergeCell ref="D4:D5"/>
    <mergeCell ref="E4:E5"/>
    <mergeCell ref="F4:F5"/>
    <mergeCell ref="G4:G5"/>
    <mergeCell ref="H4:H5"/>
    <mergeCell ref="I4:I5"/>
    <mergeCell ref="J4:J5"/>
    <mergeCell ref="K4:K5"/>
    <mergeCell ref="L4:L5"/>
  </mergeCells>
  <dataValidations count="6">
    <dataValidation allowBlank="true" errorStyle="stop" operator="between" showDropDown="false" showErrorMessage="true" showInputMessage="true" sqref="F1:F3 J1:K3 F6:F1057 J6:K1057" type="decimal">
      <formula1>-100000000</formula1>
      <formula2>100000</formula2>
    </dataValidation>
    <dataValidation allowBlank="true" errorStyle="stop" operator="greaterThan" showDropDown="false" showErrorMessage="true" showInputMessage="true" sqref="I1:I3 I6:I1057" type="date">
      <formula1>1</formula1>
      <formula2>0</formula2>
    </dataValidation>
    <dataValidation allowBlank="true" errorStyle="stop" operator="between" showDropDown="false" showErrorMessage="true" showInputMessage="true" sqref="G58:G1057" type="list">
      <formula1>$B$80:$B$82</formula1>
      <formula2>0</formula2>
    </dataValidation>
    <dataValidation allowBlank="true" errorStyle="stop" operator="between" showDropDown="false" showErrorMessage="true" showInputMessage="true" sqref="G6:G57" type="list">
      <formula1>$B$81:$B$83</formula1>
      <formula2>0</formula2>
    </dataValidation>
    <dataValidation allowBlank="true" errorStyle="stop" operator="between" showDropDown="false" showErrorMessage="true" showInputMessage="true" sqref="G1:G3" type="list">
      <formula1>'Listas Desplegables'!$B$77:$B$79</formula1>
      <formula2>0</formula2>
    </dataValidation>
    <dataValidation allowBlank="true" errorStyle="stop" operator="between" showDropDown="false" showErrorMessage="true" showInputMessage="true" sqref="H6:H57" type="list">
      <formula1>'Listas Desplegables'!$B$81:$B$82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M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5859375" defaultRowHeight="14.25" zeroHeight="false" outlineLevelRow="0" outlineLevelCol="0"/>
  <cols>
    <col collapsed="false" customWidth="true" hidden="false" outlineLevel="0" max="2" min="1" style="111" width="3"/>
    <col collapsed="false" customWidth="true" hidden="false" outlineLevel="0" max="3" min="3" style="46" width="6.67"/>
    <col collapsed="false" customWidth="true" hidden="false" outlineLevel="0" max="4" min="4" style="0" width="33"/>
    <col collapsed="false" customWidth="true" hidden="false" outlineLevel="0" max="5" min="5" style="0" width="23.11"/>
    <col collapsed="false" customWidth="true" hidden="false" outlineLevel="0" max="11" min="6" style="0" width="12.67"/>
    <col collapsed="false" customWidth="true" hidden="false" outlineLevel="0" max="13" min="13" style="0" width="29.44"/>
  </cols>
  <sheetData>
    <row r="2" customFormat="false" ht="15" hidden="false" customHeight="false" outlineLevel="0" collapsed="false"/>
    <row r="3" s="50" customFormat="true" ht="15" hidden="false" customHeight="false" outlineLevel="0" collapsed="false">
      <c r="A3" s="112"/>
      <c r="B3" s="112"/>
      <c r="C3" s="49" t="s">
        <v>2226</v>
      </c>
      <c r="D3" s="49"/>
      <c r="E3" s="49"/>
      <c r="F3" s="49"/>
      <c r="G3" s="49"/>
      <c r="H3" s="49"/>
      <c r="I3" s="49"/>
      <c r="J3" s="49"/>
      <c r="K3" s="49"/>
      <c r="L3" s="49"/>
      <c r="M3" s="49"/>
    </row>
    <row r="4" s="55" customFormat="true" ht="12" hidden="false" customHeight="true" outlineLevel="0" collapsed="false">
      <c r="A4" s="113"/>
      <c r="B4" s="113"/>
      <c r="C4" s="53" t="s">
        <v>195</v>
      </c>
      <c r="D4" s="54" t="str">
        <f aca="false">'Manual de Uso'!C146</f>
        <v>Nombre</v>
      </c>
      <c r="E4" s="54" t="str">
        <f aca="false">'Manual de Uso'!C147</f>
        <v>Línea Intervenida</v>
      </c>
      <c r="F4" s="54" t="str">
        <f aca="false">'Manual de Uso'!C148</f>
        <v>Nivel de tensión [kV]</v>
      </c>
      <c r="G4" s="54" t="str">
        <f aca="false">'Manual de Uso'!C149</f>
        <v>En Operación</v>
      </c>
      <c r="H4" s="54" t="str">
        <f aca="false">'Manual de Uso'!C150</f>
        <v>FPO</v>
      </c>
      <c r="I4" s="54" t="str">
        <f aca="false">'Manual de Uso'!C151</f>
        <v>Conectado al lado de</v>
      </c>
      <c r="J4" s="54" t="str">
        <f aca="false">'Manual de Uso'!C152</f>
        <v>Tensión máxima aporte [V]</v>
      </c>
      <c r="K4" s="54" t="str">
        <f aca="false">'Manual de Uso'!C153</f>
        <v>Corriente máxima aporte [A]</v>
      </c>
      <c r="L4" s="54" t="str">
        <f aca="false">'Manual de Uso'!C154</f>
        <v>Modelo (si disponible)</v>
      </c>
      <c r="M4" s="54" t="str">
        <f aca="false">'Manual de Uso'!C155</f>
        <v>Observaciones transportador</v>
      </c>
    </row>
    <row r="5" s="55" customFormat="true" ht="24" hidden="false" customHeight="true" outlineLevel="0" collapsed="false">
      <c r="A5" s="113"/>
      <c r="B5" s="113"/>
      <c r="C5" s="53"/>
      <c r="D5" s="54"/>
      <c r="E5" s="54"/>
      <c r="F5" s="54"/>
      <c r="G5" s="54"/>
      <c r="H5" s="54"/>
      <c r="I5" s="54"/>
      <c r="J5" s="54"/>
      <c r="K5" s="54"/>
      <c r="L5" s="54"/>
      <c r="M5" s="54"/>
    </row>
    <row r="6" customFormat="false" ht="14.25" hidden="false" customHeight="false" outlineLevel="0" collapsed="false">
      <c r="A6" s="56" t="e">
        <f aca="false">#REF!</f>
        <v>#REF!</v>
      </c>
      <c r="B6" s="111" t="e">
        <f aca="false">#REF!</f>
        <v>#REF!</v>
      </c>
      <c r="C6" s="57" t="n">
        <v>1</v>
      </c>
      <c r="D6" s="58" t="s">
        <v>2227</v>
      </c>
      <c r="E6" s="58" t="s">
        <v>2227</v>
      </c>
      <c r="F6" s="59" t="n">
        <v>110</v>
      </c>
      <c r="G6" s="58" t="s">
        <v>2228</v>
      </c>
      <c r="H6" s="100"/>
      <c r="I6" s="58" t="s">
        <v>1197</v>
      </c>
      <c r="J6" s="59" t="n">
        <v>566</v>
      </c>
      <c r="K6" s="60" t="n">
        <v>1800</v>
      </c>
      <c r="L6" s="61"/>
      <c r="M6" s="95"/>
    </row>
    <row r="7" customFormat="false" ht="14.25" hidden="false" customHeight="false" outlineLevel="0" collapsed="false">
      <c r="A7" s="56" t="e">
        <f aca="false">#REF!</f>
        <v>#REF!</v>
      </c>
      <c r="B7" s="111" t="e">
        <f aca="false">#REF!</f>
        <v>#REF!</v>
      </c>
      <c r="C7" s="64" t="n">
        <v>2</v>
      </c>
      <c r="D7" s="65" t="s">
        <v>2229</v>
      </c>
      <c r="E7" s="65" t="s">
        <v>2229</v>
      </c>
      <c r="F7" s="66" t="n">
        <v>110</v>
      </c>
      <c r="G7" s="65" t="s">
        <v>2228</v>
      </c>
      <c r="H7" s="103"/>
      <c r="I7" s="65" t="s">
        <v>1199</v>
      </c>
      <c r="J7" s="66" t="n">
        <v>566</v>
      </c>
      <c r="K7" s="67" t="n">
        <v>1800</v>
      </c>
      <c r="L7" s="68"/>
      <c r="M7" s="92"/>
    </row>
    <row r="8" customFormat="false" ht="14.25" hidden="false" customHeight="false" outlineLevel="0" collapsed="false">
      <c r="A8" s="56" t="e">
        <f aca="false">#REF!</f>
        <v>#REF!</v>
      </c>
      <c r="B8" s="111" t="e">
        <f aca="false">#REF!</f>
        <v>#REF!</v>
      </c>
      <c r="C8" s="64" t="n">
        <v>3</v>
      </c>
      <c r="D8" s="65" t="s">
        <v>2230</v>
      </c>
      <c r="E8" s="65" t="s">
        <v>2231</v>
      </c>
      <c r="F8" s="66" t="n">
        <v>110</v>
      </c>
      <c r="G8" s="65" t="s">
        <v>2228</v>
      </c>
      <c r="H8" s="103"/>
      <c r="I8" s="65" t="s">
        <v>1197</v>
      </c>
      <c r="J8" s="66" t="n">
        <v>566</v>
      </c>
      <c r="K8" s="67" t="n">
        <v>1800</v>
      </c>
      <c r="L8" s="68"/>
      <c r="M8" s="92"/>
    </row>
    <row r="9" customFormat="false" ht="14.25" hidden="false" customHeight="false" outlineLevel="0" collapsed="false">
      <c r="A9" s="56" t="e">
        <f aca="false">#REF!</f>
        <v>#REF!</v>
      </c>
      <c r="B9" s="111" t="e">
        <f aca="false">#REF!</f>
        <v>#REF!</v>
      </c>
      <c r="C9" s="64" t="n">
        <v>4</v>
      </c>
      <c r="D9" s="65" t="s">
        <v>2232</v>
      </c>
      <c r="E9" s="65" t="s">
        <v>2231</v>
      </c>
      <c r="F9" s="66" t="n">
        <v>110</v>
      </c>
      <c r="G9" s="65" t="s">
        <v>2228</v>
      </c>
      <c r="H9" s="103"/>
      <c r="I9" s="65" t="s">
        <v>1197</v>
      </c>
      <c r="J9" s="66" t="n">
        <v>566</v>
      </c>
      <c r="K9" s="67" t="n">
        <v>1800</v>
      </c>
      <c r="L9" s="68"/>
      <c r="M9" s="92"/>
    </row>
    <row r="10" customFormat="false" ht="14.25" hidden="false" customHeight="false" outlineLevel="0" collapsed="false">
      <c r="A10" s="111" t="e">
        <f aca="false">#REF!</f>
        <v>#REF!</v>
      </c>
      <c r="B10" s="111" t="e">
        <f aca="false">#REF!</f>
        <v>#REF!</v>
      </c>
      <c r="C10" s="64" t="n">
        <v>5</v>
      </c>
      <c r="D10" s="65"/>
      <c r="E10" s="65"/>
      <c r="F10" s="66"/>
      <c r="G10" s="65"/>
      <c r="H10" s="66"/>
      <c r="I10" s="65"/>
      <c r="J10" s="66"/>
      <c r="K10" s="67"/>
      <c r="L10" s="68"/>
      <c r="M10" s="92"/>
    </row>
    <row r="11" customFormat="false" ht="14.25" hidden="false" customHeight="false" outlineLevel="0" collapsed="false">
      <c r="A11" s="111" t="e">
        <f aca="false">#REF!</f>
        <v>#REF!</v>
      </c>
      <c r="B11" s="111" t="e">
        <f aca="false">#REF!</f>
        <v>#REF!</v>
      </c>
      <c r="C11" s="64" t="n">
        <v>6</v>
      </c>
      <c r="D11" s="65"/>
      <c r="E11" s="65"/>
      <c r="F11" s="66"/>
      <c r="G11" s="65"/>
      <c r="H11" s="66"/>
      <c r="I11" s="65"/>
      <c r="J11" s="66"/>
      <c r="K11" s="67"/>
      <c r="L11" s="68"/>
      <c r="M11" s="92"/>
    </row>
    <row r="12" customFormat="false" ht="14.25" hidden="false" customHeight="false" outlineLevel="0" collapsed="false">
      <c r="A12" s="111" t="e">
        <f aca="false">#REF!</f>
        <v>#REF!</v>
      </c>
      <c r="B12" s="111" t="e">
        <f aca="false">#REF!</f>
        <v>#REF!</v>
      </c>
      <c r="C12" s="64" t="n">
        <v>7</v>
      </c>
      <c r="D12" s="65"/>
      <c r="E12" s="65"/>
      <c r="F12" s="66"/>
      <c r="G12" s="65"/>
      <c r="H12" s="66"/>
      <c r="I12" s="65"/>
      <c r="J12" s="66"/>
      <c r="K12" s="67"/>
      <c r="L12" s="68"/>
      <c r="M12" s="92"/>
    </row>
    <row r="13" customFormat="false" ht="14.25" hidden="false" customHeight="false" outlineLevel="0" collapsed="false">
      <c r="A13" s="111" t="e">
        <f aca="false">#REF!</f>
        <v>#REF!</v>
      </c>
      <c r="B13" s="111" t="e">
        <f aca="false">#REF!</f>
        <v>#REF!</v>
      </c>
      <c r="C13" s="64" t="n">
        <v>8</v>
      </c>
      <c r="D13" s="65"/>
      <c r="E13" s="65"/>
      <c r="F13" s="66"/>
      <c r="G13" s="65"/>
      <c r="H13" s="66"/>
      <c r="I13" s="65"/>
      <c r="J13" s="66"/>
      <c r="K13" s="67"/>
      <c r="L13" s="68"/>
      <c r="M13" s="92"/>
    </row>
    <row r="14" customFormat="false" ht="14.25" hidden="false" customHeight="false" outlineLevel="0" collapsed="false">
      <c r="A14" s="111" t="e">
        <f aca="false">#REF!</f>
        <v>#REF!</v>
      </c>
      <c r="B14" s="111" t="e">
        <f aca="false">#REF!</f>
        <v>#REF!</v>
      </c>
      <c r="C14" s="64" t="n">
        <v>9</v>
      </c>
      <c r="D14" s="65"/>
      <c r="E14" s="65"/>
      <c r="F14" s="66"/>
      <c r="G14" s="65"/>
      <c r="H14" s="66"/>
      <c r="I14" s="65"/>
      <c r="J14" s="66"/>
      <c r="K14" s="67"/>
      <c r="L14" s="68"/>
      <c r="M14" s="92"/>
    </row>
    <row r="15" customFormat="false" ht="14.25" hidden="false" customHeight="false" outlineLevel="0" collapsed="false">
      <c r="A15" s="111" t="e">
        <f aca="false">#REF!</f>
        <v>#REF!</v>
      </c>
      <c r="B15" s="111" t="e">
        <f aca="false">#REF!</f>
        <v>#REF!</v>
      </c>
      <c r="C15" s="104" t="n">
        <v>10</v>
      </c>
      <c r="D15" s="65"/>
      <c r="E15" s="65"/>
      <c r="F15" s="66"/>
      <c r="G15" s="65"/>
      <c r="H15" s="66"/>
      <c r="I15" s="65"/>
      <c r="J15" s="66"/>
      <c r="K15" s="67"/>
      <c r="L15" s="68"/>
      <c r="M15" s="92"/>
    </row>
    <row r="16" customFormat="false" ht="14.25" hidden="false" customHeight="false" outlineLevel="0" collapsed="false">
      <c r="A16" s="111" t="e">
        <f aca="false">#REF!</f>
        <v>#REF!</v>
      </c>
      <c r="B16" s="111" t="e">
        <f aca="false">#REF!</f>
        <v>#REF!</v>
      </c>
      <c r="C16" s="64" t="n">
        <v>11</v>
      </c>
      <c r="D16" s="65"/>
      <c r="E16" s="65"/>
      <c r="F16" s="66"/>
      <c r="G16" s="65"/>
      <c r="H16" s="66"/>
      <c r="I16" s="65"/>
      <c r="J16" s="66"/>
      <c r="K16" s="67"/>
      <c r="L16" s="68"/>
      <c r="M16" s="92"/>
    </row>
    <row r="17" customFormat="false" ht="14.25" hidden="false" customHeight="false" outlineLevel="0" collapsed="false">
      <c r="A17" s="111" t="e">
        <f aca="false">#REF!</f>
        <v>#REF!</v>
      </c>
      <c r="B17" s="111" t="e">
        <f aca="false">#REF!</f>
        <v>#REF!</v>
      </c>
      <c r="C17" s="64" t="n">
        <v>12</v>
      </c>
      <c r="D17" s="65"/>
      <c r="E17" s="65"/>
      <c r="F17" s="66"/>
      <c r="G17" s="65"/>
      <c r="H17" s="66"/>
      <c r="I17" s="65"/>
      <c r="J17" s="66"/>
      <c r="K17" s="67"/>
      <c r="L17" s="68"/>
      <c r="M17" s="92"/>
    </row>
    <row r="18" customFormat="false" ht="14.25" hidden="false" customHeight="false" outlineLevel="0" collapsed="false">
      <c r="A18" s="111" t="e">
        <f aca="false">#REF!</f>
        <v>#REF!</v>
      </c>
      <c r="B18" s="111" t="e">
        <f aca="false">#REF!</f>
        <v>#REF!</v>
      </c>
      <c r="C18" s="64" t="n">
        <v>13</v>
      </c>
      <c r="D18" s="65"/>
      <c r="E18" s="65"/>
      <c r="F18" s="66"/>
      <c r="G18" s="65"/>
      <c r="H18" s="66"/>
      <c r="I18" s="65"/>
      <c r="J18" s="66"/>
      <c r="K18" s="67"/>
      <c r="L18" s="68"/>
      <c r="M18" s="92"/>
    </row>
    <row r="19" customFormat="false" ht="14.25" hidden="false" customHeight="false" outlineLevel="0" collapsed="false">
      <c r="A19" s="111" t="e">
        <f aca="false">#REF!</f>
        <v>#REF!</v>
      </c>
      <c r="B19" s="111" t="e">
        <f aca="false">#REF!</f>
        <v>#REF!</v>
      </c>
      <c r="C19" s="64" t="n">
        <v>14</v>
      </c>
      <c r="D19" s="65"/>
      <c r="E19" s="65"/>
      <c r="F19" s="66"/>
      <c r="G19" s="65"/>
      <c r="H19" s="66"/>
      <c r="I19" s="65"/>
      <c r="J19" s="66"/>
      <c r="K19" s="67"/>
      <c r="L19" s="68"/>
      <c r="M19" s="92"/>
    </row>
    <row r="20" customFormat="false" ht="14.25" hidden="false" customHeight="false" outlineLevel="0" collapsed="false">
      <c r="A20" s="111" t="e">
        <f aca="false">#REF!</f>
        <v>#REF!</v>
      </c>
      <c r="B20" s="111" t="e">
        <f aca="false">#REF!</f>
        <v>#REF!</v>
      </c>
      <c r="C20" s="64" t="n">
        <v>15</v>
      </c>
      <c r="D20" s="65"/>
      <c r="E20" s="65"/>
      <c r="F20" s="66"/>
      <c r="G20" s="65"/>
      <c r="H20" s="66"/>
      <c r="I20" s="65"/>
      <c r="J20" s="66"/>
      <c r="K20" s="67"/>
      <c r="L20" s="68"/>
      <c r="M20" s="92"/>
    </row>
    <row r="21" customFormat="false" ht="14.25" hidden="false" customHeight="false" outlineLevel="0" collapsed="false">
      <c r="A21" s="111" t="e">
        <f aca="false">#REF!</f>
        <v>#REF!</v>
      </c>
      <c r="B21" s="111" t="e">
        <f aca="false">#REF!</f>
        <v>#REF!</v>
      </c>
      <c r="C21" s="64" t="n">
        <v>16</v>
      </c>
      <c r="D21" s="65"/>
      <c r="E21" s="65"/>
      <c r="F21" s="66"/>
      <c r="G21" s="65"/>
      <c r="H21" s="66"/>
      <c r="I21" s="65"/>
      <c r="J21" s="66"/>
      <c r="K21" s="67"/>
      <c r="L21" s="68"/>
      <c r="M21" s="92"/>
    </row>
    <row r="22" customFormat="false" ht="14.25" hidden="false" customHeight="false" outlineLevel="0" collapsed="false">
      <c r="A22" s="111" t="e">
        <f aca="false">#REF!</f>
        <v>#REF!</v>
      </c>
      <c r="B22" s="111" t="e">
        <f aca="false">#REF!</f>
        <v>#REF!</v>
      </c>
      <c r="C22" s="64" t="n">
        <v>17</v>
      </c>
      <c r="D22" s="65"/>
      <c r="E22" s="65"/>
      <c r="F22" s="66"/>
      <c r="G22" s="65"/>
      <c r="H22" s="66"/>
      <c r="I22" s="65"/>
      <c r="J22" s="66"/>
      <c r="K22" s="67"/>
      <c r="L22" s="68"/>
      <c r="M22" s="92"/>
    </row>
    <row r="23" customFormat="false" ht="14.25" hidden="false" customHeight="false" outlineLevel="0" collapsed="false">
      <c r="A23" s="111" t="e">
        <f aca="false">#REF!</f>
        <v>#REF!</v>
      </c>
      <c r="B23" s="111" t="e">
        <f aca="false">#REF!</f>
        <v>#REF!</v>
      </c>
      <c r="C23" s="64" t="n">
        <v>18</v>
      </c>
      <c r="D23" s="65"/>
      <c r="E23" s="65"/>
      <c r="F23" s="66"/>
      <c r="G23" s="65"/>
      <c r="H23" s="66"/>
      <c r="I23" s="65"/>
      <c r="J23" s="66"/>
      <c r="K23" s="67"/>
      <c r="L23" s="68"/>
      <c r="M23" s="92"/>
    </row>
    <row r="24" customFormat="false" ht="14.25" hidden="false" customHeight="false" outlineLevel="0" collapsed="false">
      <c r="A24" s="111" t="e">
        <f aca="false">#REF!</f>
        <v>#REF!</v>
      </c>
      <c r="B24" s="111" t="e">
        <f aca="false">#REF!</f>
        <v>#REF!</v>
      </c>
      <c r="C24" s="104" t="n">
        <v>19</v>
      </c>
      <c r="D24" s="65"/>
      <c r="E24" s="65"/>
      <c r="F24" s="66"/>
      <c r="G24" s="65"/>
      <c r="H24" s="66"/>
      <c r="I24" s="65"/>
      <c r="J24" s="66"/>
      <c r="K24" s="67"/>
      <c r="L24" s="68"/>
      <c r="M24" s="92"/>
    </row>
    <row r="25" customFormat="false" ht="14.25" hidden="false" customHeight="false" outlineLevel="0" collapsed="false">
      <c r="A25" s="111" t="e">
        <f aca="false">#REF!</f>
        <v>#REF!</v>
      </c>
      <c r="B25" s="111" t="e">
        <f aca="false">#REF!</f>
        <v>#REF!</v>
      </c>
      <c r="C25" s="119" t="n">
        <v>20</v>
      </c>
      <c r="D25" s="71"/>
      <c r="E25" s="71"/>
      <c r="F25" s="105"/>
      <c r="G25" s="105"/>
      <c r="H25" s="105"/>
      <c r="I25" s="71"/>
      <c r="J25" s="66"/>
      <c r="K25" s="67"/>
      <c r="L25" s="68"/>
      <c r="M25" s="92"/>
    </row>
    <row r="26" customFormat="false" ht="14.25" hidden="false" customHeight="false" outlineLevel="0" collapsed="false">
      <c r="A26" s="111" t="e">
        <f aca="false">#REF!</f>
        <v>#REF!</v>
      </c>
      <c r="B26" s="111" t="e">
        <f aca="false">#REF!</f>
        <v>#REF!</v>
      </c>
      <c r="C26" s="104" t="n">
        <v>21</v>
      </c>
      <c r="D26" s="71"/>
      <c r="E26" s="71"/>
      <c r="F26" s="105"/>
      <c r="G26" s="105"/>
      <c r="H26" s="105"/>
      <c r="I26" s="71"/>
      <c r="J26" s="66"/>
      <c r="K26" s="67"/>
      <c r="L26" s="68"/>
      <c r="M26" s="92"/>
    </row>
    <row r="27" customFormat="false" ht="14.25" hidden="false" customHeight="false" outlineLevel="0" collapsed="false">
      <c r="A27" s="111" t="e">
        <f aca="false">#REF!</f>
        <v>#REF!</v>
      </c>
      <c r="B27" s="111" t="e">
        <f aca="false">#REF!</f>
        <v>#REF!</v>
      </c>
      <c r="C27" s="64" t="n">
        <v>22</v>
      </c>
      <c r="D27" s="71"/>
      <c r="E27" s="71"/>
      <c r="F27" s="105"/>
      <c r="G27" s="105"/>
      <c r="H27" s="105"/>
      <c r="I27" s="71"/>
      <c r="J27" s="66"/>
      <c r="K27" s="67"/>
      <c r="L27" s="68"/>
      <c r="M27" s="92"/>
    </row>
    <row r="28" customFormat="false" ht="14.25" hidden="false" customHeight="false" outlineLevel="0" collapsed="false">
      <c r="A28" s="111" t="e">
        <f aca="false">#REF!</f>
        <v>#REF!</v>
      </c>
      <c r="B28" s="111" t="e">
        <f aca="false">#REF!</f>
        <v>#REF!</v>
      </c>
      <c r="C28" s="64" t="n">
        <v>23</v>
      </c>
      <c r="D28" s="71"/>
      <c r="E28" s="71"/>
      <c r="F28" s="105"/>
      <c r="G28" s="105"/>
      <c r="H28" s="105"/>
      <c r="I28" s="71"/>
      <c r="J28" s="66"/>
      <c r="K28" s="67"/>
      <c r="L28" s="68"/>
      <c r="M28" s="92"/>
    </row>
    <row r="29" customFormat="false" ht="14.25" hidden="false" customHeight="false" outlineLevel="0" collapsed="false">
      <c r="A29" s="111" t="e">
        <f aca="false">#REF!</f>
        <v>#REF!</v>
      </c>
      <c r="B29" s="111" t="e">
        <f aca="false">#REF!</f>
        <v>#REF!</v>
      </c>
      <c r="C29" s="64" t="n">
        <v>24</v>
      </c>
      <c r="D29" s="71"/>
      <c r="E29" s="71"/>
      <c r="F29" s="105"/>
      <c r="G29" s="105"/>
      <c r="H29" s="105"/>
      <c r="I29" s="71"/>
      <c r="J29" s="66"/>
      <c r="K29" s="67"/>
      <c r="L29" s="68"/>
      <c r="M29" s="92"/>
    </row>
    <row r="30" customFormat="false" ht="14.25" hidden="false" customHeight="false" outlineLevel="0" collapsed="false">
      <c r="A30" s="111" t="e">
        <f aca="false">#REF!</f>
        <v>#REF!</v>
      </c>
      <c r="B30" s="111" t="e">
        <f aca="false">#REF!</f>
        <v>#REF!</v>
      </c>
      <c r="C30" s="64" t="n">
        <v>25</v>
      </c>
      <c r="D30" s="71"/>
      <c r="E30" s="71"/>
      <c r="F30" s="105"/>
      <c r="G30" s="105"/>
      <c r="H30" s="105"/>
      <c r="I30" s="71"/>
      <c r="J30" s="66"/>
      <c r="K30" s="67"/>
      <c r="L30" s="68"/>
      <c r="M30" s="92"/>
    </row>
    <row r="31" customFormat="false" ht="14.25" hidden="false" customHeight="false" outlineLevel="0" collapsed="false">
      <c r="A31" s="111" t="e">
        <f aca="false">#REF!</f>
        <v>#REF!</v>
      </c>
      <c r="B31" s="111" t="e">
        <f aca="false">#REF!</f>
        <v>#REF!</v>
      </c>
      <c r="C31" s="64" t="n">
        <v>26</v>
      </c>
      <c r="D31" s="71"/>
      <c r="E31" s="71"/>
      <c r="F31" s="105"/>
      <c r="G31" s="105"/>
      <c r="H31" s="105"/>
      <c r="I31" s="71"/>
      <c r="J31" s="66"/>
      <c r="K31" s="67"/>
      <c r="L31" s="68"/>
      <c r="M31" s="92"/>
    </row>
    <row r="32" customFormat="false" ht="14.25" hidden="false" customHeight="false" outlineLevel="0" collapsed="false">
      <c r="A32" s="111" t="e">
        <f aca="false">#REF!</f>
        <v>#REF!</v>
      </c>
      <c r="B32" s="111" t="e">
        <f aca="false">#REF!</f>
        <v>#REF!</v>
      </c>
      <c r="C32" s="64" t="n">
        <v>27</v>
      </c>
      <c r="D32" s="71"/>
      <c r="E32" s="71"/>
      <c r="F32" s="105"/>
      <c r="G32" s="105"/>
      <c r="H32" s="105"/>
      <c r="I32" s="71"/>
      <c r="J32" s="66"/>
      <c r="K32" s="67"/>
      <c r="L32" s="68"/>
      <c r="M32" s="92"/>
    </row>
    <row r="33" customFormat="false" ht="14.25" hidden="false" customHeight="false" outlineLevel="0" collapsed="false">
      <c r="A33" s="111" t="e">
        <f aca="false">#REF!</f>
        <v>#REF!</v>
      </c>
      <c r="B33" s="111" t="e">
        <f aca="false">#REF!</f>
        <v>#REF!</v>
      </c>
      <c r="C33" s="64" t="n">
        <v>28</v>
      </c>
      <c r="D33" s="71"/>
      <c r="E33" s="71"/>
      <c r="F33" s="105"/>
      <c r="G33" s="105"/>
      <c r="H33" s="105"/>
      <c r="I33" s="71"/>
      <c r="J33" s="66"/>
      <c r="K33" s="67"/>
      <c r="L33" s="68"/>
      <c r="M33" s="92"/>
    </row>
    <row r="34" customFormat="false" ht="14.25" hidden="false" customHeight="false" outlineLevel="0" collapsed="false">
      <c r="A34" s="111" t="e">
        <f aca="false">#REF!</f>
        <v>#REF!</v>
      </c>
      <c r="B34" s="111" t="e">
        <f aca="false">#REF!</f>
        <v>#REF!</v>
      </c>
      <c r="C34" s="64" t="n">
        <v>29</v>
      </c>
      <c r="D34" s="71"/>
      <c r="E34" s="71"/>
      <c r="F34" s="105"/>
      <c r="G34" s="105"/>
      <c r="H34" s="105"/>
      <c r="I34" s="71"/>
      <c r="J34" s="66"/>
      <c r="K34" s="67"/>
      <c r="L34" s="68"/>
      <c r="M34" s="92"/>
    </row>
    <row r="35" customFormat="false" ht="14.25" hidden="false" customHeight="false" outlineLevel="0" collapsed="false">
      <c r="A35" s="111" t="e">
        <f aca="false">#REF!</f>
        <v>#REF!</v>
      </c>
      <c r="B35" s="111" t="e">
        <f aca="false">#REF!</f>
        <v>#REF!</v>
      </c>
      <c r="C35" s="104" t="n">
        <v>30</v>
      </c>
      <c r="D35" s="71"/>
      <c r="E35" s="71"/>
      <c r="F35" s="105"/>
      <c r="G35" s="105"/>
      <c r="H35" s="105"/>
      <c r="I35" s="71"/>
      <c r="J35" s="66"/>
      <c r="K35" s="67"/>
      <c r="L35" s="68"/>
      <c r="M35" s="92"/>
    </row>
    <row r="36" customFormat="false" ht="14.25" hidden="false" customHeight="false" outlineLevel="0" collapsed="false">
      <c r="A36" s="111" t="e">
        <f aca="false">#REF!</f>
        <v>#REF!</v>
      </c>
      <c r="B36" s="111" t="e">
        <f aca="false">#REF!</f>
        <v>#REF!</v>
      </c>
      <c r="C36" s="64" t="n">
        <v>31</v>
      </c>
      <c r="D36" s="71"/>
      <c r="E36" s="71"/>
      <c r="F36" s="105"/>
      <c r="G36" s="105"/>
      <c r="H36" s="105"/>
      <c r="I36" s="71"/>
      <c r="J36" s="66"/>
      <c r="K36" s="67"/>
      <c r="L36" s="68"/>
      <c r="M36" s="92"/>
    </row>
    <row r="37" customFormat="false" ht="14.25" hidden="false" customHeight="false" outlineLevel="0" collapsed="false">
      <c r="A37" s="111" t="e">
        <f aca="false">#REF!</f>
        <v>#REF!</v>
      </c>
      <c r="B37" s="111" t="e">
        <f aca="false">#REF!</f>
        <v>#REF!</v>
      </c>
      <c r="C37" s="64" t="n">
        <v>32</v>
      </c>
      <c r="D37" s="71"/>
      <c r="E37" s="71"/>
      <c r="F37" s="105"/>
      <c r="G37" s="105"/>
      <c r="H37" s="105"/>
      <c r="I37" s="71"/>
      <c r="J37" s="66"/>
      <c r="K37" s="67"/>
      <c r="L37" s="68"/>
      <c r="M37" s="92"/>
    </row>
    <row r="38" customFormat="false" ht="14.25" hidden="false" customHeight="false" outlineLevel="0" collapsed="false">
      <c r="A38" s="111" t="e">
        <f aca="false">#REF!</f>
        <v>#REF!</v>
      </c>
      <c r="B38" s="111" t="e">
        <f aca="false">#REF!</f>
        <v>#REF!</v>
      </c>
      <c r="C38" s="64" t="n">
        <v>33</v>
      </c>
      <c r="D38" s="71"/>
      <c r="E38" s="71"/>
      <c r="F38" s="105"/>
      <c r="G38" s="105"/>
      <c r="H38" s="105"/>
      <c r="I38" s="71"/>
      <c r="J38" s="66"/>
      <c r="K38" s="67"/>
      <c r="L38" s="68"/>
      <c r="M38" s="92"/>
    </row>
    <row r="39" customFormat="false" ht="14.25" hidden="false" customHeight="false" outlineLevel="0" collapsed="false">
      <c r="A39" s="111" t="e">
        <f aca="false">#REF!</f>
        <v>#REF!</v>
      </c>
      <c r="B39" s="111" t="e">
        <f aca="false">#REF!</f>
        <v>#REF!</v>
      </c>
      <c r="C39" s="64" t="n">
        <v>34</v>
      </c>
      <c r="D39" s="71"/>
      <c r="E39" s="71"/>
      <c r="F39" s="105"/>
      <c r="G39" s="105"/>
      <c r="H39" s="105"/>
      <c r="I39" s="71"/>
      <c r="J39" s="66"/>
      <c r="K39" s="67"/>
      <c r="L39" s="68"/>
      <c r="M39" s="92"/>
    </row>
    <row r="40" customFormat="false" ht="14.25" hidden="false" customHeight="false" outlineLevel="0" collapsed="false">
      <c r="A40" s="111" t="e">
        <f aca="false">#REF!</f>
        <v>#REF!</v>
      </c>
      <c r="B40" s="111" t="e">
        <f aca="false">#REF!</f>
        <v>#REF!</v>
      </c>
      <c r="C40" s="64" t="n">
        <v>35</v>
      </c>
      <c r="D40" s="71"/>
      <c r="E40" s="71"/>
      <c r="F40" s="105"/>
      <c r="G40" s="105"/>
      <c r="H40" s="105"/>
      <c r="I40" s="71"/>
      <c r="J40" s="66"/>
      <c r="K40" s="67"/>
      <c r="L40" s="68"/>
      <c r="M40" s="92"/>
    </row>
    <row r="41" customFormat="false" ht="14.25" hidden="false" customHeight="false" outlineLevel="0" collapsed="false">
      <c r="A41" s="111" t="e">
        <f aca="false">#REF!</f>
        <v>#REF!</v>
      </c>
      <c r="B41" s="111" t="e">
        <f aca="false">#REF!</f>
        <v>#REF!</v>
      </c>
      <c r="C41" s="64" t="n">
        <v>36</v>
      </c>
      <c r="D41" s="71"/>
      <c r="E41" s="71"/>
      <c r="F41" s="105"/>
      <c r="G41" s="105"/>
      <c r="H41" s="105"/>
      <c r="I41" s="71"/>
      <c r="J41" s="66"/>
      <c r="K41" s="67"/>
      <c r="L41" s="68"/>
      <c r="M41" s="92"/>
    </row>
    <row r="42" customFormat="false" ht="14.25" hidden="false" customHeight="false" outlineLevel="0" collapsed="false">
      <c r="A42" s="111" t="e">
        <f aca="false">#REF!</f>
        <v>#REF!</v>
      </c>
      <c r="B42" s="111" t="e">
        <f aca="false">#REF!</f>
        <v>#REF!</v>
      </c>
      <c r="C42" s="64" t="n">
        <v>37</v>
      </c>
      <c r="D42" s="71"/>
      <c r="E42" s="71"/>
      <c r="F42" s="105"/>
      <c r="G42" s="105"/>
      <c r="H42" s="105"/>
      <c r="I42" s="71"/>
      <c r="J42" s="66"/>
      <c r="K42" s="67"/>
      <c r="L42" s="68"/>
      <c r="M42" s="92"/>
    </row>
    <row r="43" customFormat="false" ht="14.25" hidden="false" customHeight="false" outlineLevel="0" collapsed="false">
      <c r="A43" s="111" t="e">
        <f aca="false">#REF!</f>
        <v>#REF!</v>
      </c>
      <c r="B43" s="111" t="e">
        <f aca="false">#REF!</f>
        <v>#REF!</v>
      </c>
      <c r="C43" s="64" t="n">
        <v>38</v>
      </c>
      <c r="D43" s="71"/>
      <c r="E43" s="71"/>
      <c r="F43" s="105"/>
      <c r="G43" s="105"/>
      <c r="H43" s="105"/>
      <c r="I43" s="71"/>
      <c r="J43" s="66"/>
      <c r="K43" s="67"/>
      <c r="L43" s="68"/>
      <c r="M43" s="92"/>
    </row>
    <row r="44" customFormat="false" ht="14.25" hidden="false" customHeight="false" outlineLevel="0" collapsed="false">
      <c r="A44" s="111" t="e">
        <f aca="false">#REF!</f>
        <v>#REF!</v>
      </c>
      <c r="B44" s="111" t="e">
        <f aca="false">#REF!</f>
        <v>#REF!</v>
      </c>
      <c r="C44" s="104" t="n">
        <v>39</v>
      </c>
      <c r="D44" s="71"/>
      <c r="E44" s="71"/>
      <c r="F44" s="105"/>
      <c r="G44" s="105"/>
      <c r="H44" s="105"/>
      <c r="I44" s="71"/>
      <c r="J44" s="66"/>
      <c r="K44" s="67"/>
      <c r="L44" s="68"/>
      <c r="M44" s="92"/>
    </row>
    <row r="45" customFormat="false" ht="14.25" hidden="false" customHeight="false" outlineLevel="0" collapsed="false">
      <c r="A45" s="111" t="e">
        <f aca="false">#REF!</f>
        <v>#REF!</v>
      </c>
      <c r="B45" s="111" t="e">
        <f aca="false">#REF!</f>
        <v>#REF!</v>
      </c>
      <c r="C45" s="119" t="n">
        <v>40</v>
      </c>
      <c r="D45" s="71"/>
      <c r="E45" s="71"/>
      <c r="F45" s="105"/>
      <c r="G45" s="105"/>
      <c r="H45" s="105"/>
      <c r="I45" s="71"/>
      <c r="J45" s="66"/>
      <c r="K45" s="67"/>
      <c r="L45" s="68"/>
      <c r="M45" s="92"/>
    </row>
    <row r="46" customFormat="false" ht="14.25" hidden="false" customHeight="false" outlineLevel="0" collapsed="false">
      <c r="A46" s="111" t="e">
        <f aca="false">#REF!</f>
        <v>#REF!</v>
      </c>
      <c r="B46" s="111" t="e">
        <f aca="false">#REF!</f>
        <v>#REF!</v>
      </c>
      <c r="C46" s="104" t="n">
        <v>41</v>
      </c>
      <c r="D46" s="71"/>
      <c r="E46" s="71"/>
      <c r="F46" s="105"/>
      <c r="G46" s="105"/>
      <c r="H46" s="105"/>
      <c r="I46" s="71"/>
      <c r="J46" s="66"/>
      <c r="K46" s="67"/>
      <c r="L46" s="68"/>
      <c r="M46" s="92"/>
    </row>
    <row r="47" customFormat="false" ht="14.25" hidden="false" customHeight="false" outlineLevel="0" collapsed="false">
      <c r="A47" s="111" t="e">
        <f aca="false">#REF!</f>
        <v>#REF!</v>
      </c>
      <c r="B47" s="111" t="e">
        <f aca="false">#REF!</f>
        <v>#REF!</v>
      </c>
      <c r="C47" s="64" t="n">
        <v>42</v>
      </c>
      <c r="D47" s="71"/>
      <c r="E47" s="71"/>
      <c r="F47" s="105"/>
      <c r="G47" s="105"/>
      <c r="H47" s="105"/>
      <c r="I47" s="71"/>
      <c r="J47" s="66"/>
      <c r="K47" s="67"/>
      <c r="L47" s="68"/>
      <c r="M47" s="92"/>
    </row>
    <row r="48" customFormat="false" ht="14.25" hidden="false" customHeight="false" outlineLevel="0" collapsed="false">
      <c r="A48" s="111" t="e">
        <f aca="false">#REF!</f>
        <v>#REF!</v>
      </c>
      <c r="B48" s="111" t="e">
        <f aca="false">#REF!</f>
        <v>#REF!</v>
      </c>
      <c r="C48" s="64" t="n">
        <v>43</v>
      </c>
      <c r="D48" s="71"/>
      <c r="E48" s="71"/>
      <c r="F48" s="105"/>
      <c r="G48" s="105"/>
      <c r="H48" s="105"/>
      <c r="I48" s="71"/>
      <c r="J48" s="66"/>
      <c r="K48" s="67"/>
      <c r="L48" s="68"/>
      <c r="M48" s="92"/>
    </row>
    <row r="49" customFormat="false" ht="14.25" hidden="false" customHeight="false" outlineLevel="0" collapsed="false">
      <c r="A49" s="111" t="e">
        <f aca="false">#REF!</f>
        <v>#REF!</v>
      </c>
      <c r="B49" s="111" t="e">
        <f aca="false">#REF!</f>
        <v>#REF!</v>
      </c>
      <c r="C49" s="64" t="n">
        <v>44</v>
      </c>
      <c r="D49" s="71"/>
      <c r="E49" s="71"/>
      <c r="F49" s="105"/>
      <c r="G49" s="105"/>
      <c r="H49" s="105"/>
      <c r="I49" s="71"/>
      <c r="J49" s="66"/>
      <c r="K49" s="67"/>
      <c r="L49" s="68"/>
      <c r="M49" s="92"/>
    </row>
    <row r="50" customFormat="false" ht="14.25" hidden="false" customHeight="false" outlineLevel="0" collapsed="false">
      <c r="A50" s="111" t="e">
        <f aca="false">#REF!</f>
        <v>#REF!</v>
      </c>
      <c r="B50" s="111" t="e">
        <f aca="false">#REF!</f>
        <v>#REF!</v>
      </c>
      <c r="C50" s="64" t="n">
        <v>45</v>
      </c>
      <c r="D50" s="71"/>
      <c r="E50" s="71"/>
      <c r="F50" s="105"/>
      <c r="G50" s="105"/>
      <c r="H50" s="105"/>
      <c r="I50" s="71"/>
      <c r="J50" s="66"/>
      <c r="K50" s="67"/>
      <c r="L50" s="68"/>
      <c r="M50" s="92"/>
    </row>
    <row r="51" customFormat="false" ht="14.25" hidden="false" customHeight="false" outlineLevel="0" collapsed="false">
      <c r="A51" s="111" t="e">
        <f aca="false">#REF!</f>
        <v>#REF!</v>
      </c>
      <c r="B51" s="111" t="e">
        <f aca="false">#REF!</f>
        <v>#REF!</v>
      </c>
      <c r="C51" s="64" t="n">
        <v>46</v>
      </c>
      <c r="D51" s="71"/>
      <c r="E51" s="71"/>
      <c r="F51" s="105"/>
      <c r="G51" s="105"/>
      <c r="H51" s="105"/>
      <c r="I51" s="71"/>
      <c r="J51" s="66"/>
      <c r="K51" s="67"/>
      <c r="L51" s="68"/>
      <c r="M51" s="92"/>
    </row>
    <row r="52" customFormat="false" ht="14.25" hidden="false" customHeight="false" outlineLevel="0" collapsed="false">
      <c r="A52" s="111" t="e">
        <f aca="false">#REF!</f>
        <v>#REF!</v>
      </c>
      <c r="B52" s="111" t="e">
        <f aca="false">#REF!</f>
        <v>#REF!</v>
      </c>
      <c r="C52" s="64" t="n">
        <v>47</v>
      </c>
      <c r="D52" s="71"/>
      <c r="E52" s="71"/>
      <c r="F52" s="105"/>
      <c r="G52" s="105"/>
      <c r="H52" s="105"/>
      <c r="I52" s="71"/>
      <c r="J52" s="66"/>
      <c r="K52" s="67"/>
      <c r="L52" s="68"/>
      <c r="M52" s="92"/>
    </row>
    <row r="53" customFormat="false" ht="14.25" hidden="false" customHeight="false" outlineLevel="0" collapsed="false">
      <c r="A53" s="111" t="e">
        <f aca="false">#REF!</f>
        <v>#REF!</v>
      </c>
      <c r="B53" s="111" t="e">
        <f aca="false">#REF!</f>
        <v>#REF!</v>
      </c>
      <c r="C53" s="64" t="n">
        <v>48</v>
      </c>
      <c r="D53" s="71"/>
      <c r="E53" s="71"/>
      <c r="F53" s="105"/>
      <c r="G53" s="105"/>
      <c r="H53" s="105"/>
      <c r="I53" s="71"/>
      <c r="J53" s="66"/>
      <c r="K53" s="67"/>
      <c r="L53" s="68"/>
      <c r="M53" s="92"/>
    </row>
    <row r="54" customFormat="false" ht="14.25" hidden="false" customHeight="false" outlineLevel="0" collapsed="false">
      <c r="A54" s="111" t="e">
        <f aca="false">#REF!</f>
        <v>#REF!</v>
      </c>
      <c r="B54" s="111" t="e">
        <f aca="false">#REF!</f>
        <v>#REF!</v>
      </c>
      <c r="C54" s="64" t="n">
        <v>49</v>
      </c>
      <c r="D54" s="71"/>
      <c r="E54" s="71"/>
      <c r="F54" s="105"/>
      <c r="G54" s="105"/>
      <c r="H54" s="105"/>
      <c r="I54" s="71"/>
      <c r="J54" s="66"/>
      <c r="K54" s="67"/>
      <c r="L54" s="68"/>
      <c r="M54" s="92"/>
    </row>
    <row r="55" customFormat="false" ht="14.25" hidden="false" customHeight="false" outlineLevel="0" collapsed="false">
      <c r="A55" s="111" t="e">
        <f aca="false">#REF!</f>
        <v>#REF!</v>
      </c>
      <c r="B55" s="111" t="e">
        <f aca="false">#REF!</f>
        <v>#REF!</v>
      </c>
      <c r="C55" s="104" t="n">
        <v>50</v>
      </c>
      <c r="D55" s="71"/>
      <c r="E55" s="71"/>
      <c r="F55" s="105"/>
      <c r="G55" s="105"/>
      <c r="H55" s="105"/>
      <c r="I55" s="71"/>
      <c r="J55" s="66"/>
      <c r="K55" s="67"/>
      <c r="L55" s="68"/>
      <c r="M55" s="92"/>
    </row>
    <row r="56" customFormat="false" ht="14.25" hidden="false" customHeight="false" outlineLevel="0" collapsed="false">
      <c r="A56" s="111" t="e">
        <f aca="false">#REF!</f>
        <v>#REF!</v>
      </c>
      <c r="B56" s="111" t="e">
        <f aca="false">#REF!</f>
        <v>#REF!</v>
      </c>
      <c r="C56" s="64" t="n">
        <v>51</v>
      </c>
      <c r="D56" s="71"/>
      <c r="E56" s="71"/>
      <c r="F56" s="105"/>
      <c r="G56" s="105"/>
      <c r="H56" s="105"/>
      <c r="I56" s="71"/>
      <c r="J56" s="66"/>
      <c r="K56" s="67"/>
      <c r="L56" s="68"/>
      <c r="M56" s="92"/>
    </row>
    <row r="57" customFormat="false" ht="15" hidden="false" customHeight="false" outlineLevel="0" collapsed="false">
      <c r="A57" s="111" t="e">
        <f aca="false">#REF!</f>
        <v>#REF!</v>
      </c>
      <c r="B57" s="111" t="e">
        <f aca="false">#REF!</f>
        <v>#REF!</v>
      </c>
      <c r="C57" s="114" t="s">
        <v>2224</v>
      </c>
      <c r="D57" s="115"/>
      <c r="E57" s="115"/>
      <c r="F57" s="115"/>
      <c r="G57" s="115"/>
      <c r="H57" s="115"/>
      <c r="I57" s="115"/>
      <c r="J57" s="115"/>
      <c r="K57" s="116"/>
      <c r="L57" s="116"/>
      <c r="M57" s="118"/>
    </row>
  </sheetData>
  <mergeCells count="12">
    <mergeCell ref="C3:M3"/>
    <mergeCell ref="C4:C5"/>
    <mergeCell ref="D4:D5"/>
    <mergeCell ref="E4:E5"/>
    <mergeCell ref="F4:F5"/>
    <mergeCell ref="G4:G5"/>
    <mergeCell ref="H4:H5"/>
    <mergeCell ref="I4:I5"/>
    <mergeCell ref="J4:J5"/>
    <mergeCell ref="K4:K5"/>
    <mergeCell ref="L4:L5"/>
    <mergeCell ref="M4:M5"/>
  </mergeCells>
  <dataValidations count="5">
    <dataValidation allowBlank="true" errorStyle="stop" operator="greaterThan" showDropDown="false" showErrorMessage="true" showInputMessage="true" sqref="H6:H1057" type="date">
      <formula1>36526</formula1>
      <formula2>0</formula2>
    </dataValidation>
    <dataValidation allowBlank="true" errorStyle="stop" operator="between" showDropDown="false" showErrorMessage="true" showInputMessage="true" sqref="J6:K1057" type="decimal">
      <formula1>-1000000000</formula1>
      <formula2>10000000000000</formula2>
    </dataValidation>
    <dataValidation allowBlank="true" errorStyle="stop" operator="between" showDropDown="false" showErrorMessage="true" showInputMessage="true" sqref="F6:F1057" type="decimal">
      <formula1>-10000000</formula1>
      <formula2>1000000000</formula2>
    </dataValidation>
    <dataValidation allowBlank="true" errorStyle="stop" operator="between" showDropDown="false" showErrorMessage="true" showInputMessage="true" sqref="I58:I1057" type="list">
      <formula1>'c:\users\aacosta\downloads\[circular_002_anexo.xlsx]listas desplegables'!#ref!</formula1>
      <formula2>0</formula2>
    </dataValidation>
    <dataValidation allowBlank="true" errorStyle="stop" operator="between" showDropDown="false" showErrorMessage="true" showInputMessage="true" sqref="G6:G1057" type="list">
      <formula1>'Listas Desplegables'!$B$86:$B$87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8.890625" defaultRowHeight="14.25" zeroHeight="false" outlineLevelRow="0" outlineLevelCol="0"/>
  <cols>
    <col collapsed="false" customWidth="false" hidden="false" outlineLevel="0" max="1" min="1" style="120" width="8.89"/>
    <col collapsed="false" customWidth="true" hidden="false" outlineLevel="0" max="2" min="2" style="121" width="51.67"/>
    <col collapsed="false" customWidth="true" hidden="false" outlineLevel="0" max="3" min="3" style="120" width="27.45"/>
    <col collapsed="false" customWidth="true" hidden="false" outlineLevel="0" max="4" min="4" style="120" width="13"/>
    <col collapsed="false" customWidth="true" hidden="false" outlineLevel="0" max="5" min="5" style="120" width="22.44"/>
    <col collapsed="false" customWidth="true" hidden="false" outlineLevel="0" max="6" min="6" style="120" width="50.34"/>
    <col collapsed="false" customWidth="false" hidden="false" outlineLevel="0" max="16384" min="7" style="120" width="8.89"/>
  </cols>
  <sheetData>
    <row r="1" customFormat="false" ht="28.5" hidden="false" customHeight="false" outlineLevel="0" collapsed="false">
      <c r="A1" s="122" t="s">
        <v>2233</v>
      </c>
      <c r="B1" s="122" t="s">
        <v>2234</v>
      </c>
      <c r="C1" s="122" t="s">
        <v>2235</v>
      </c>
      <c r="D1" s="122" t="s">
        <v>2236</v>
      </c>
      <c r="E1" s="122" t="s">
        <v>2237</v>
      </c>
      <c r="F1" s="122" t="s">
        <v>2238</v>
      </c>
    </row>
    <row r="2" customFormat="false" ht="14.25" hidden="false" customHeight="false" outlineLevel="0" collapsed="false">
      <c r="A2" s="123" t="n">
        <v>1</v>
      </c>
      <c r="B2" s="124" t="s">
        <v>2239</v>
      </c>
      <c r="C2" s="125" t="s">
        <v>2240</v>
      </c>
      <c r="D2" s="65"/>
      <c r="E2" s="65"/>
      <c r="F2" s="65" t="s">
        <v>2241</v>
      </c>
    </row>
    <row r="3" customFormat="false" ht="14.25" hidden="false" customHeight="false" outlineLevel="0" collapsed="false">
      <c r="A3" s="123" t="n">
        <v>2</v>
      </c>
      <c r="B3" s="124" t="s">
        <v>2242</v>
      </c>
      <c r="C3" s="125" t="s">
        <v>2240</v>
      </c>
      <c r="D3" s="65"/>
      <c r="E3" s="65"/>
      <c r="F3" s="65" t="s">
        <v>2241</v>
      </c>
    </row>
    <row r="4" customFormat="false" ht="14.25" hidden="false" customHeight="false" outlineLevel="0" collapsed="false">
      <c r="A4" s="123" t="n">
        <v>3</v>
      </c>
      <c r="B4" s="124" t="s">
        <v>2243</v>
      </c>
      <c r="C4" s="125" t="s">
        <v>2240</v>
      </c>
      <c r="D4" s="65"/>
      <c r="E4" s="65"/>
      <c r="F4" s="65" t="s">
        <v>2241</v>
      </c>
    </row>
    <row r="5" customFormat="false" ht="14.25" hidden="false" customHeight="false" outlineLevel="0" collapsed="false">
      <c r="A5" s="123" t="n">
        <v>4</v>
      </c>
      <c r="B5" s="124" t="s">
        <v>183</v>
      </c>
      <c r="C5" s="125" t="s">
        <v>2240</v>
      </c>
      <c r="D5" s="65"/>
      <c r="E5" s="65"/>
      <c r="F5" s="65" t="s">
        <v>2241</v>
      </c>
    </row>
    <row r="6" customFormat="false" ht="28.5" hidden="false" customHeight="false" outlineLevel="0" collapsed="false">
      <c r="A6" s="123" t="n">
        <v>5</v>
      </c>
      <c r="B6" s="124" t="s">
        <v>2244</v>
      </c>
      <c r="C6" s="125" t="s">
        <v>2240</v>
      </c>
      <c r="D6" s="65"/>
      <c r="E6" s="65"/>
      <c r="F6" s="65" t="s">
        <v>2241</v>
      </c>
    </row>
    <row r="7" customFormat="false" ht="41.25" hidden="false" customHeight="true" outlineLevel="0" collapsed="false">
      <c r="A7" s="123" t="n">
        <v>6</v>
      </c>
      <c r="B7" s="124" t="s">
        <v>2245</v>
      </c>
      <c r="C7" s="125" t="s">
        <v>2240</v>
      </c>
      <c r="D7" s="65"/>
      <c r="E7" s="65"/>
      <c r="F7" s="65" t="s">
        <v>2241</v>
      </c>
    </row>
    <row r="8" customFormat="false" ht="28.5" hidden="false" customHeight="false" outlineLevel="0" collapsed="false">
      <c r="A8" s="123" t="n">
        <v>7</v>
      </c>
      <c r="B8" s="124" t="s">
        <v>2246</v>
      </c>
      <c r="C8" s="125" t="s">
        <v>2240</v>
      </c>
      <c r="D8" s="65"/>
      <c r="E8" s="65"/>
      <c r="F8" s="65" t="s">
        <v>2241</v>
      </c>
    </row>
    <row r="9" customFormat="false" ht="14.25" hidden="false" customHeight="false" outlineLevel="0" collapsed="false">
      <c r="A9" s="123" t="n">
        <v>8</v>
      </c>
      <c r="B9" s="124" t="s">
        <v>2247</v>
      </c>
      <c r="C9" s="125" t="s">
        <v>2240</v>
      </c>
      <c r="D9" s="65"/>
      <c r="E9" s="65"/>
      <c r="F9" s="65" t="s">
        <v>2241</v>
      </c>
    </row>
    <row r="10" customFormat="false" ht="14.25" hidden="false" customHeight="false" outlineLevel="0" collapsed="false">
      <c r="A10" s="123" t="n">
        <v>9</v>
      </c>
      <c r="B10" s="124" t="s">
        <v>2248</v>
      </c>
      <c r="C10" s="125" t="s">
        <v>2249</v>
      </c>
      <c r="D10" s="65"/>
      <c r="E10" s="65"/>
      <c r="F10" s="65" t="s">
        <v>2241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5859375" defaultRowHeight="14.25" zeroHeight="false" outlineLevelRow="0" outlineLevelCol="0"/>
  <cols>
    <col collapsed="false" customWidth="true" hidden="false" outlineLevel="0" max="1" min="1" style="0" width="3.67"/>
    <col collapsed="false" customWidth="true" hidden="false" outlineLevel="0" max="2" min="2" style="0" width="49.11"/>
    <col collapsed="false" customWidth="true" hidden="false" outlineLevel="0" max="3" min="3" style="0" width="4.89"/>
    <col collapsed="false" customWidth="true" hidden="false" outlineLevel="0" max="5" min="5" style="111" width="20.33"/>
    <col collapsed="false" customWidth="true" hidden="false" outlineLevel="0" max="7" min="6" style="111" width="11.45"/>
    <col collapsed="false" customWidth="true" hidden="false" outlineLevel="0" max="8" min="8" style="111" width="32.55"/>
    <col collapsed="false" customWidth="true" hidden="false" outlineLevel="0" max="9" min="9" style="111" width="12.45"/>
    <col collapsed="false" customWidth="true" hidden="false" outlineLevel="0" max="10" min="10" style="111" width="22.11"/>
    <col collapsed="false" customWidth="true" hidden="false" outlineLevel="0" max="19" min="11" style="111" width="11.45"/>
  </cols>
  <sheetData>
    <row r="2" customFormat="false" ht="14.25" hidden="false" customHeight="false" outlineLevel="0" collapsed="false">
      <c r="B2" s="126" t="s">
        <v>2250</v>
      </c>
    </row>
    <row r="3" customFormat="false" ht="14.25" hidden="false" customHeight="false" outlineLevel="0" collapsed="false">
      <c r="B3" s="127" t="s">
        <v>2251</v>
      </c>
      <c r="E3" s="128" t="s">
        <v>2252</v>
      </c>
      <c r="F3" s="111" t="n">
        <v>0</v>
      </c>
      <c r="G3" s="111" t="n">
        <v>100</v>
      </c>
    </row>
    <row r="4" customFormat="false" ht="14.25" hidden="false" customHeight="false" outlineLevel="0" collapsed="false">
      <c r="B4" s="129" t="s">
        <v>2253</v>
      </c>
      <c r="E4" s="111" t="s">
        <v>2254</v>
      </c>
      <c r="F4" s="111" t="n">
        <v>0</v>
      </c>
      <c r="G4" s="111" t="n">
        <v>1000</v>
      </c>
    </row>
    <row r="5" customFormat="false" ht="14.25" hidden="false" customHeight="false" outlineLevel="0" collapsed="false">
      <c r="B5" s="130" t="s">
        <v>767</v>
      </c>
      <c r="E5" s="111" t="s">
        <v>2255</v>
      </c>
      <c r="F5" s="111" t="n">
        <v>0</v>
      </c>
      <c r="G5" s="111" t="n">
        <v>1000</v>
      </c>
    </row>
    <row r="6" s="111" customFormat="true" ht="14.25" hidden="false" customHeight="false" outlineLevel="0" collapsed="false">
      <c r="B6" s="130" t="s">
        <v>200</v>
      </c>
    </row>
    <row r="7" s="111" customFormat="true" ht="14.25" hidden="false" customHeight="false" outlineLevel="0" collapsed="false">
      <c r="B7" s="131" t="s">
        <v>2256</v>
      </c>
      <c r="E7" s="111" t="s">
        <v>2257</v>
      </c>
    </row>
    <row r="8" s="111" customFormat="true" ht="14.25" hidden="false" customHeight="false" outlineLevel="0" collapsed="false">
      <c r="B8" s="132" t="s">
        <v>201</v>
      </c>
      <c r="E8" s="111" t="s">
        <v>2258</v>
      </c>
      <c r="F8" s="111" t="s">
        <v>2259</v>
      </c>
      <c r="G8" s="111" t="s">
        <v>2260</v>
      </c>
      <c r="H8" s="111" t="s">
        <v>2261</v>
      </c>
      <c r="I8" s="111" t="s">
        <v>2262</v>
      </c>
      <c r="J8" s="111" t="s">
        <v>2263</v>
      </c>
    </row>
    <row r="9" s="111" customFormat="true" ht="14.25" hidden="false" customHeight="false" outlineLevel="0" collapsed="false">
      <c r="B9" s="132" t="s">
        <v>2264</v>
      </c>
      <c r="E9" s="111" t="s">
        <v>2265</v>
      </c>
      <c r="F9" s="111" t="s">
        <v>2266</v>
      </c>
      <c r="G9" s="111" t="s">
        <v>2267</v>
      </c>
      <c r="H9" s="111" t="s">
        <v>2268</v>
      </c>
      <c r="I9" s="111" t="s">
        <v>2269</v>
      </c>
      <c r="J9" s="111" t="s">
        <v>2270</v>
      </c>
    </row>
    <row r="10" s="111" customFormat="true" ht="14.25" hidden="false" customHeight="false" outlineLevel="0" collapsed="false">
      <c r="B10" s="131" t="s">
        <v>42</v>
      </c>
      <c r="H10" s="111" t="s">
        <v>2271</v>
      </c>
    </row>
    <row r="11" s="111" customFormat="true" ht="14.25" hidden="false" customHeight="false" outlineLevel="0" collapsed="false">
      <c r="B11" s="132" t="s">
        <v>202</v>
      </c>
    </row>
    <row r="12" s="111" customFormat="true" ht="14.25" hidden="false" customHeight="false" outlineLevel="0" collapsed="false">
      <c r="B12" s="132" t="s">
        <v>771</v>
      </c>
    </row>
    <row r="13" s="111" customFormat="true" ht="14.25" hidden="false" customHeight="false" outlineLevel="0" collapsed="false"/>
    <row r="14" customFormat="false" ht="14.25" hidden="false" customHeight="false" outlineLevel="0" collapsed="false">
      <c r="B14" s="126" t="s">
        <v>2272</v>
      </c>
    </row>
    <row r="15" customFormat="false" ht="14.25" hidden="false" customHeight="false" outlineLevel="0" collapsed="false">
      <c r="B15" s="127" t="s">
        <v>42</v>
      </c>
    </row>
    <row r="16" customFormat="false" ht="14.25" hidden="false" customHeight="false" outlineLevel="0" collapsed="false">
      <c r="B16" s="132" t="s">
        <v>202</v>
      </c>
    </row>
    <row r="17" customFormat="false" ht="14.25" hidden="false" customHeight="false" outlineLevel="0" collapsed="false">
      <c r="B17" s="132" t="s">
        <v>771</v>
      </c>
    </row>
    <row r="18" customFormat="false" ht="14.25" hidden="false" customHeight="false" outlineLevel="0" collapsed="false">
      <c r="B18" s="127" t="s">
        <v>2273</v>
      </c>
    </row>
    <row r="19" customFormat="false" ht="14.25" hidden="false" customHeight="false" outlineLevel="0" collapsed="false">
      <c r="B19" s="132" t="s">
        <v>2253</v>
      </c>
    </row>
    <row r="20" customFormat="false" ht="14.25" hidden="false" customHeight="false" outlineLevel="0" collapsed="false">
      <c r="B20" s="132" t="s">
        <v>767</v>
      </c>
    </row>
    <row r="21" customFormat="false" ht="14.25" hidden="false" customHeight="false" outlineLevel="0" collapsed="false">
      <c r="B21" s="132" t="s">
        <v>200</v>
      </c>
    </row>
    <row r="23" customFormat="false" ht="14.25" hidden="false" customHeight="false" outlineLevel="0" collapsed="false">
      <c r="B23" s="126" t="s">
        <v>2274</v>
      </c>
    </row>
    <row r="24" customFormat="false" ht="14.25" hidden="false" customHeight="false" outlineLevel="0" collapsed="false">
      <c r="B24" s="127" t="s">
        <v>42</v>
      </c>
    </row>
    <row r="25" customFormat="false" ht="14.25" hidden="false" customHeight="false" outlineLevel="0" collapsed="false">
      <c r="B25" s="132" t="s">
        <v>202</v>
      </c>
    </row>
    <row r="26" customFormat="false" ht="14.25" hidden="false" customHeight="false" outlineLevel="0" collapsed="false">
      <c r="B26" s="132" t="s">
        <v>771</v>
      </c>
    </row>
    <row r="27" customFormat="false" ht="14.25" hidden="false" customHeight="false" outlineLevel="0" collapsed="false">
      <c r="B27" s="127" t="s">
        <v>2273</v>
      </c>
    </row>
    <row r="28" customFormat="false" ht="14.25" hidden="false" customHeight="false" outlineLevel="0" collapsed="false">
      <c r="B28" s="132" t="s">
        <v>2253</v>
      </c>
    </row>
    <row r="29" customFormat="false" ht="14.25" hidden="false" customHeight="false" outlineLevel="0" collapsed="false">
      <c r="B29" s="132" t="s">
        <v>767</v>
      </c>
    </row>
    <row r="30" customFormat="false" ht="14.25" hidden="false" customHeight="false" outlineLevel="0" collapsed="false">
      <c r="B30" s="132" t="s">
        <v>200</v>
      </c>
    </row>
    <row r="32" customFormat="false" ht="14.25" hidden="false" customHeight="false" outlineLevel="0" collapsed="false">
      <c r="B32" s="126" t="s">
        <v>2275</v>
      </c>
    </row>
    <row r="33" customFormat="false" ht="14.25" hidden="false" customHeight="false" outlineLevel="0" collapsed="false">
      <c r="B33" s="127" t="s">
        <v>121</v>
      </c>
    </row>
    <row r="34" customFormat="false" ht="14.25" hidden="false" customHeight="false" outlineLevel="0" collapsed="false">
      <c r="B34" s="132" t="s">
        <v>1606</v>
      </c>
    </row>
    <row r="35" customFormat="false" ht="14.25" hidden="false" customHeight="false" outlineLevel="0" collapsed="false">
      <c r="B35" s="132" t="s">
        <v>1569</v>
      </c>
    </row>
    <row r="36" customFormat="false" ht="14.25" hidden="false" customHeight="false" outlineLevel="0" collapsed="false">
      <c r="B36" s="132" t="s">
        <v>2276</v>
      </c>
    </row>
    <row r="37" customFormat="false" ht="14.25" hidden="false" customHeight="false" outlineLevel="0" collapsed="false">
      <c r="B37" s="132" t="s">
        <v>2277</v>
      </c>
    </row>
    <row r="38" customFormat="false" ht="14.25" hidden="false" customHeight="false" outlineLevel="0" collapsed="false">
      <c r="B38" s="132" t="s">
        <v>2278</v>
      </c>
    </row>
    <row r="39" customFormat="false" ht="14.25" hidden="false" customHeight="false" outlineLevel="0" collapsed="false">
      <c r="B39" s="132" t="s">
        <v>2279</v>
      </c>
    </row>
    <row r="40" customFormat="false" ht="14.25" hidden="false" customHeight="false" outlineLevel="0" collapsed="false">
      <c r="B40" s="132" t="s">
        <v>1613</v>
      </c>
    </row>
    <row r="41" customFormat="false" ht="14.25" hidden="false" customHeight="false" outlineLevel="0" collapsed="false">
      <c r="B41" s="132" t="s">
        <v>1614</v>
      </c>
    </row>
    <row r="42" customFormat="false" ht="14.25" hidden="false" customHeight="false" outlineLevel="0" collapsed="false">
      <c r="B42" s="132" t="s">
        <v>2280</v>
      </c>
    </row>
    <row r="43" customFormat="false" ht="14.25" hidden="false" customHeight="false" outlineLevel="0" collapsed="false">
      <c r="B43" s="127" t="s">
        <v>40</v>
      </c>
    </row>
    <row r="44" customFormat="false" ht="14.25" hidden="false" customHeight="false" outlineLevel="0" collapsed="false">
      <c r="B44" s="132" t="s">
        <v>1546</v>
      </c>
    </row>
    <row r="45" customFormat="false" ht="14.25" hidden="false" customHeight="false" outlineLevel="0" collapsed="false">
      <c r="B45" s="132" t="s">
        <v>1558</v>
      </c>
    </row>
    <row r="46" customFormat="false" ht="14.25" hidden="false" customHeight="false" outlineLevel="0" collapsed="false">
      <c r="B46" s="132" t="s">
        <v>2281</v>
      </c>
    </row>
    <row r="47" customFormat="false" ht="14.25" hidden="false" customHeight="false" outlineLevel="0" collapsed="false">
      <c r="B47" s="127" t="s">
        <v>42</v>
      </c>
    </row>
    <row r="48" customFormat="false" ht="14.25" hidden="false" customHeight="false" outlineLevel="0" collapsed="false">
      <c r="B48" s="132" t="s">
        <v>202</v>
      </c>
    </row>
    <row r="49" customFormat="false" ht="14.25" hidden="false" customHeight="false" outlineLevel="0" collapsed="false">
      <c r="B49" s="132" t="s">
        <v>771</v>
      </c>
    </row>
    <row r="51" customFormat="false" ht="14.25" hidden="false" customHeight="false" outlineLevel="0" collapsed="false">
      <c r="B51" s="126" t="s">
        <v>2282</v>
      </c>
    </row>
    <row r="52" customFormat="false" ht="14.25" hidden="false" customHeight="false" outlineLevel="0" collapsed="false">
      <c r="B52" s="127" t="s">
        <v>40</v>
      </c>
    </row>
    <row r="53" customFormat="false" ht="14.25" hidden="false" customHeight="false" outlineLevel="0" collapsed="false">
      <c r="B53" s="132" t="s">
        <v>1640</v>
      </c>
    </row>
    <row r="54" customFormat="false" ht="14.25" hidden="false" customHeight="false" outlineLevel="0" collapsed="false">
      <c r="B54" s="132" t="s">
        <v>1642</v>
      </c>
    </row>
    <row r="55" customFormat="false" ht="14.25" hidden="false" customHeight="false" outlineLevel="0" collapsed="false">
      <c r="B55" s="132" t="s">
        <v>1674</v>
      </c>
    </row>
    <row r="56" customFormat="false" ht="14.25" hidden="false" customHeight="false" outlineLevel="0" collapsed="false">
      <c r="B56" s="132" t="s">
        <v>1857</v>
      </c>
    </row>
    <row r="57" customFormat="false" ht="14.25" hidden="false" customHeight="false" outlineLevel="0" collapsed="false">
      <c r="B57" s="127" t="s">
        <v>42</v>
      </c>
    </row>
    <row r="58" customFormat="false" ht="14.25" hidden="false" customHeight="false" outlineLevel="0" collapsed="false">
      <c r="B58" s="132" t="s">
        <v>202</v>
      </c>
    </row>
    <row r="59" customFormat="false" ht="14.25" hidden="false" customHeight="false" outlineLevel="0" collapsed="false">
      <c r="B59" s="132" t="s">
        <v>771</v>
      </c>
    </row>
    <row r="61" customFormat="false" ht="14.25" hidden="false" customHeight="false" outlineLevel="0" collapsed="false">
      <c r="B61" s="126" t="s">
        <v>2283</v>
      </c>
    </row>
    <row r="62" customFormat="false" ht="14.25" hidden="false" customHeight="false" outlineLevel="0" collapsed="false">
      <c r="B62" s="127" t="s">
        <v>2284</v>
      </c>
    </row>
    <row r="63" customFormat="false" ht="14.25" hidden="false" customHeight="false" outlineLevel="0" collapsed="false">
      <c r="B63" s="132" t="s">
        <v>2285</v>
      </c>
    </row>
    <row r="64" customFormat="false" ht="14.25" hidden="false" customHeight="false" outlineLevel="0" collapsed="false">
      <c r="B64" s="132" t="s">
        <v>2218</v>
      </c>
    </row>
    <row r="65" customFormat="false" ht="14.25" hidden="false" customHeight="false" outlineLevel="0" collapsed="false">
      <c r="B65" s="127" t="s">
        <v>153</v>
      </c>
    </row>
    <row r="66" customFormat="false" ht="14.25" hidden="false" customHeight="false" outlineLevel="0" collapsed="false">
      <c r="B66" s="132" t="s">
        <v>2286</v>
      </c>
    </row>
    <row r="67" customFormat="false" ht="14.25" hidden="false" customHeight="false" outlineLevel="0" collapsed="false">
      <c r="B67" s="132" t="s">
        <v>2219</v>
      </c>
    </row>
    <row r="68" customFormat="false" ht="14.25" hidden="false" customHeight="false" outlineLevel="0" collapsed="false">
      <c r="B68" s="127" t="s">
        <v>2287</v>
      </c>
    </row>
    <row r="69" customFormat="false" ht="14.25" hidden="false" customHeight="false" outlineLevel="0" collapsed="false">
      <c r="B69" s="132" t="s">
        <v>202</v>
      </c>
    </row>
    <row r="70" customFormat="false" ht="14.25" hidden="false" customHeight="false" outlineLevel="0" collapsed="false">
      <c r="B70" s="132" t="s">
        <v>771</v>
      </c>
    </row>
    <row r="71" customFormat="false" ht="14.25" hidden="false" customHeight="false" outlineLevel="0" collapsed="false">
      <c r="B71" s="127" t="s">
        <v>147</v>
      </c>
    </row>
    <row r="72" customFormat="false" ht="14.25" hidden="false" customHeight="false" outlineLevel="0" collapsed="false">
      <c r="B72" s="132" t="s">
        <v>2217</v>
      </c>
    </row>
    <row r="73" customFormat="false" ht="14.25" hidden="false" customHeight="false" outlineLevel="0" collapsed="false">
      <c r="B73" s="132" t="s">
        <v>2288</v>
      </c>
    </row>
    <row r="75" customFormat="false" ht="14.25" hidden="false" customHeight="false" outlineLevel="0" collapsed="false">
      <c r="B75" s="126" t="s">
        <v>2289</v>
      </c>
    </row>
    <row r="76" customFormat="false" ht="14.25" hidden="false" customHeight="false" outlineLevel="0" collapsed="false">
      <c r="B76" s="127" t="s">
        <v>158</v>
      </c>
    </row>
    <row r="77" customFormat="false" ht="14.25" hidden="false" customHeight="false" outlineLevel="0" collapsed="false">
      <c r="B77" s="132" t="s">
        <v>2290</v>
      </c>
    </row>
    <row r="78" customFormat="false" ht="14.25" hidden="false" customHeight="false" outlineLevel="0" collapsed="false">
      <c r="B78" s="132" t="s">
        <v>2291</v>
      </c>
    </row>
    <row r="79" customFormat="false" ht="14.25" hidden="false" customHeight="false" outlineLevel="0" collapsed="false">
      <c r="B79" s="132" t="s">
        <v>2292</v>
      </c>
    </row>
    <row r="80" customFormat="false" ht="14.25" hidden="false" customHeight="false" outlineLevel="0" collapsed="false">
      <c r="B80" s="127" t="s">
        <v>2287</v>
      </c>
    </row>
    <row r="81" customFormat="false" ht="14.25" hidden="false" customHeight="false" outlineLevel="0" collapsed="false">
      <c r="B81" s="132" t="s">
        <v>202</v>
      </c>
    </row>
    <row r="82" customFormat="false" ht="14.25" hidden="false" customHeight="false" outlineLevel="0" collapsed="false">
      <c r="B82" s="132" t="s">
        <v>771</v>
      </c>
    </row>
    <row r="84" customFormat="false" ht="14.25" hidden="false" customHeight="false" outlineLevel="0" collapsed="false">
      <c r="B84" s="126" t="s">
        <v>2293</v>
      </c>
    </row>
    <row r="85" customFormat="false" ht="14.25" hidden="false" customHeight="false" outlineLevel="0" collapsed="false">
      <c r="B85" s="127" t="s">
        <v>2287</v>
      </c>
    </row>
    <row r="86" customFormat="false" ht="14.25" hidden="false" customHeight="false" outlineLevel="0" collapsed="false">
      <c r="B86" s="132" t="s">
        <v>2228</v>
      </c>
    </row>
    <row r="87" customFormat="false" ht="14.25" hidden="false" customHeight="false" outlineLevel="0" collapsed="false">
      <c r="B87" s="132" t="s">
        <v>771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o" ma:contentTypeID="0x010100FB9F2CC0F7159142A4DDA0ED9DEA58AF" ma:contentTypeVersion="14" ma:contentTypeDescription="Crear nuevo documento." ma:contentTypeScope="" ma:versionID="73ffc6f36e52eddb5d7ff1a871704c4b">
  <xsd:schema xmlns:xsd="http://www.w3.org/2001/XMLSchema" xmlns:xs="http://www.w3.org/2001/XMLSchema" xmlns:p="http://schemas.microsoft.com/office/2006/metadata/properties" xmlns:ns2="8f0daf44-44aa-416d-8bb6-d00252568537" xmlns:ns3="15ba721c-b3f7-4043-b4aa-98fcb5041bf2" xmlns:ns4="fde91536-cb6a-48c8-a1c9-f59bb520eba1" targetNamespace="http://schemas.microsoft.com/office/2006/metadata/properties" ma:root="true" ma:fieldsID="ed8a1e2f4bb7bd92897654ef9f844c3b" ns2:_="" ns3:_="" ns4:_="">
    <xsd:import namespace="8f0daf44-44aa-416d-8bb6-d00252568537"/>
    <xsd:import namespace="15ba721c-b3f7-4043-b4aa-98fcb5041bf2"/>
    <xsd:import namespace="fde91536-cb6a-48c8-a1c9-f59bb520eba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DateTaken"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0daf44-44aa-416d-8bb6-d00252568537"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ba721c-b3f7-4043-b4aa-98fcb5041bf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eca7b523-58f5-4d52-b53c-05f253e3dcf7"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de91536-cb6a-48c8-a1c9-f59bb520eba1"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a82fa33-7a86-4009-a4a5-429e1b9b4a35}" ma:internalName="TaxCatchAll" ma:showField="CatchAllData" ma:web="8f0daf44-44aa-416d-8bb6-d002525685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8f0daf44-44aa-416d-8bb6-d00252568537">2CFA377F4PU2-1082406165-159814</_dlc_DocId>
    <_dlc_DocIdUrl xmlns="8f0daf44-44aa-416d-8bb6-d00252568537">
      <Url>https://epmco.sharepoint.com/sites/FILE-7004-UPI-TDE/_layouts/15/DocIdRedir.aspx?ID=2CFA377F4PU2-1082406165-159814</Url>
      <Description>2CFA377F4PU2-1082406165-159814</Description>
    </_dlc_DocIdUrl>
    <TaxCatchAll xmlns="fde91536-cb6a-48c8-a1c9-f59bb520eba1" xsi:nil="true"/>
    <lcf76f155ced4ddcb4097134ff3c332f xmlns="15ba721c-b3f7-4043-b4aa-98fcb5041b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D27F55-B50C-4AA7-93CD-FD89053FB005}">
  <ds:schemaRefs>
    <ds:schemaRef ds:uri="http://schemas.microsoft.com/sharepoint/v3/contenttype/forms"/>
  </ds:schemaRefs>
</ds:datastoreItem>
</file>

<file path=customXml/itemProps2.xml><?xml version="1.0" encoding="utf-8"?>
<ds:datastoreItem xmlns:ds="http://schemas.openxmlformats.org/officeDocument/2006/customXml" ds:itemID="{7E19C743-1B41-4989-AEB8-A89B83850DDA}">
  <ds:schemaRefs>
    <ds:schemaRef ds:uri="http://schemas.microsoft.com/sharepoint/events"/>
  </ds:schemaRefs>
</ds:datastoreItem>
</file>

<file path=customXml/itemProps3.xml><?xml version="1.0" encoding="utf-8"?>
<ds:datastoreItem xmlns:ds="http://schemas.openxmlformats.org/officeDocument/2006/customXml" ds:itemID="{12B45D7F-D92A-4B29-A2FA-FEA29118EF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0daf44-44aa-416d-8bb6-d00252568537"/>
    <ds:schemaRef ds:uri="15ba721c-b3f7-4043-b4aa-98fcb5041bf2"/>
    <ds:schemaRef ds:uri="fde91536-cb6a-48c8-a1c9-f59bb520eb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B4FB956-46FC-42AC-B5C8-1280C4B66B56}">
  <ds:schemaRefs>
    <ds:schemaRef ds:uri="http://schemas.microsoft.com/office/2006/metadata/properties"/>
    <ds:schemaRef ds:uri="http://schemas.microsoft.com/office/infopath/2007/PartnerControls"/>
    <ds:schemaRef ds:uri="8f0daf44-44aa-416d-8bb6-d00252568537"/>
    <ds:schemaRef ds:uri="fde91536-cb6a-48c8-a1c9-f59bb520eba1"/>
    <ds:schemaRef ds:uri="15ba721c-b3f7-4043-b4aa-98fcb5041bf2"/>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Template/>
  <TotalTime>513</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2021-11-10T19:20:41Z</dcterms:created>
  <dc:creator>Carlos Andrés Torres</dc:creator>
  <dc:description/>
  <dc:language>en-GB</dc:language>
  <cp:lastModifiedBy/>
  <dcterms:modified xsi:type="dcterms:W3CDTF">2026-04-08T19:27:51Z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0x010100FB9F2CC0F7159142A4DDA0ED9DEA58AF</vt:lpwstr>
  </property>
  <property fmtid="{D5CDD505-2E9C-101B-9397-08002B2CF9AE}" pid="3" name="MSIP_Label_666bb131-2344-48ed-84db-fe1e84a9fae2_ActionId">
    <vt:lpwstr>5ae36fc8-b9eb-4678-b2fd-71304edd1dc3</vt:lpwstr>
  </property>
  <property fmtid="{D5CDD505-2E9C-101B-9397-08002B2CF9AE}" pid="4" name="MSIP_Label_666bb131-2344-48ed-84db-fe1e84a9fae2_ContentBits">
    <vt:lpwstr>0</vt:lpwstr>
  </property>
  <property fmtid="{D5CDD505-2E9C-101B-9397-08002B2CF9AE}" pid="5" name="MSIP_Label_666bb131-2344-48ed-84db-fe1e84a9fae2_Enabled">
    <vt:lpwstr>true</vt:lpwstr>
  </property>
  <property fmtid="{D5CDD505-2E9C-101B-9397-08002B2CF9AE}" pid="6" name="MSIP_Label_666bb131-2344-48ed-84db-fe1e84a9fae2_Method">
    <vt:lpwstr>Standard</vt:lpwstr>
  </property>
  <property fmtid="{D5CDD505-2E9C-101B-9397-08002B2CF9AE}" pid="7" name="MSIP_Label_666bb131-2344-48ed-84db-fe1e84a9fae2_Name">
    <vt:lpwstr>666bb131-2344-48ed-84db-fe1e84a9fae2</vt:lpwstr>
  </property>
  <property fmtid="{D5CDD505-2E9C-101B-9397-08002B2CF9AE}" pid="8" name="MSIP_Label_666bb131-2344-48ed-84db-fe1e84a9fae2_SetDate">
    <vt:lpwstr>2022-03-19T19:39:10Z</vt:lpwstr>
  </property>
  <property fmtid="{D5CDD505-2E9C-101B-9397-08002B2CF9AE}" pid="9" name="MSIP_Label_666bb131-2344-48ed-84db-fe1e84a9fae2_SiteId">
    <vt:lpwstr>bf1ce8b5-5d39-4bc5-ad6e-07b3e4d7d67a</vt:lpwstr>
  </property>
  <property fmtid="{D5CDD505-2E9C-101B-9397-08002B2CF9AE}" pid="10" name="MediaServiceImageTags">
    <vt:lpwstr/>
  </property>
  <property fmtid="{D5CDD505-2E9C-101B-9397-08002B2CF9AE}" pid="11" name="_dlc_DocIdItemGuid">
    <vt:lpwstr>d59622c1-1bbf-459d-9eac-15967c05bedc</vt:lpwstr>
  </property>
</Properties>
</file>